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5.xml" ContentType="application/vnd.openxmlformats-officedocument.spreadsheetml.query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queryTables/queryTable6.xml" ContentType="application/vnd.openxmlformats-officedocument.spreadsheetml.query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queryTables/queryTable7.xml" ContentType="application/vnd.openxmlformats-officedocument.spreadsheetml.query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queryTables/queryTable8.xml" ContentType="application/vnd.openxmlformats-officedocument.spreadsheetml.query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queryTables/queryTable9.xml" ContentType="application/vnd.openxmlformats-officedocument.spreadsheetml.query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queryTables/queryTable10.xml" ContentType="application/vnd.openxmlformats-officedocument.spreadsheetml.query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queryTables/queryTable11.xml" ContentType="application/vnd.openxmlformats-officedocument.spreadsheetml.query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queryTables/queryTable12.xml" ContentType="application/vnd.openxmlformats-officedocument.spreadsheetml.query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queryTables/queryTable13.xml" ContentType="application/vnd.openxmlformats-officedocument.spreadsheetml.query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queryTables/queryTable14.xml" ContentType="application/vnd.openxmlformats-officedocument.spreadsheetml.query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queryTables/queryTable15.xml" ContentType="application/vnd.openxmlformats-officedocument.spreadsheetml.query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queryTables/queryTable16.xml" ContentType="application/vnd.openxmlformats-officedocument.spreadsheetml.query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queryTables/queryTable17.xml" ContentType="application/vnd.openxmlformats-officedocument.spreadsheetml.query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queryTables/queryTable18.xml" ContentType="application/vnd.openxmlformats-officedocument.spreadsheetml.query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queryTables/queryTable19.xml" ContentType="application/vnd.openxmlformats-officedocument.spreadsheetml.query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queryTables/queryTable20.xml" ContentType="application/vnd.openxmlformats-officedocument.spreadsheetml.query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queryTables/queryTable21.xml" ContentType="application/vnd.openxmlformats-officedocument.spreadsheetml.query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queryTables/queryTable22.xml" ContentType="application/vnd.openxmlformats-officedocument.spreadsheetml.query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queryTables/queryTable23.xml" ContentType="application/vnd.openxmlformats-officedocument.spreadsheetml.query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queryTables/queryTable24.xml" ContentType="application/vnd.openxmlformats-officedocument.spreadsheetml.query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queryTables/queryTable2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P:\Arun Kumar_2021\Sjs Study\sjsstudy\Raw Data_From_Leenart\"/>
    </mc:Choice>
  </mc:AlternateContent>
  <bookViews>
    <workbookView xWindow="-120" yWindow="1680" windowWidth="29040" windowHeight="15840" tabRatio="943" activeTab="2"/>
  </bookViews>
  <sheets>
    <sheet name="Raw Data" sheetId="1" r:id="rId1"/>
    <sheet name="Creatin Kinase" sheetId="2" r:id="rId2"/>
    <sheet name="Creatin Kinase Table" sheetId="4" r:id="rId3"/>
    <sheet name="Quick" sheetId="3" r:id="rId4"/>
    <sheet name="Quick Table" sheetId="5" r:id="rId5"/>
    <sheet name="PTT" sheetId="6" r:id="rId6"/>
    <sheet name="PTT Table" sheetId="7" r:id="rId7"/>
    <sheet name="Fibrinogen" sheetId="8" r:id="rId8"/>
    <sheet name="Fibrinogen Table" sheetId="9" r:id="rId9"/>
    <sheet name="AT" sheetId="10" r:id="rId10"/>
    <sheet name="AT Table" sheetId="11" r:id="rId11"/>
    <sheet name="Leukozyten" sheetId="12" r:id="rId12"/>
    <sheet name="Leukozyten Table" sheetId="13" r:id="rId13"/>
    <sheet name="GOT" sheetId="14" r:id="rId14"/>
    <sheet name="GOT Table" sheetId="15" r:id="rId15"/>
    <sheet name="GPT" sheetId="16" r:id="rId16"/>
    <sheet name="GPT Table" sheetId="17" r:id="rId17"/>
    <sheet name="GGT" sheetId="18" r:id="rId18"/>
    <sheet name="GGT Table" sheetId="19" r:id="rId19"/>
    <sheet name="LDH" sheetId="20" r:id="rId20"/>
    <sheet name="LDH Table" sheetId="21" r:id="rId21"/>
    <sheet name="Bilirubin" sheetId="22" r:id="rId22"/>
    <sheet name="Bilirubin Table" sheetId="23" r:id="rId23"/>
    <sheet name="GLDH" sheetId="24" r:id="rId24"/>
    <sheet name="GLDH Table" sheetId="25" r:id="rId25"/>
    <sheet name="AP" sheetId="26" r:id="rId26"/>
    <sheet name="AP Table" sheetId="27" r:id="rId27"/>
    <sheet name="Cholin Estrase" sheetId="28" r:id="rId28"/>
    <sheet name="Choline Estrase Table" sheetId="29" r:id="rId29"/>
    <sheet name="Keratinin" sheetId="30" r:id="rId30"/>
    <sheet name="Keratinin Table " sheetId="31" r:id="rId31"/>
    <sheet name="INR" sheetId="32" r:id="rId32"/>
    <sheet name="INR Table" sheetId="33" r:id="rId33"/>
    <sheet name="Amylase" sheetId="35" r:id="rId34"/>
    <sheet name="Amylase Table" sheetId="36" r:id="rId35"/>
    <sheet name="Lipase" sheetId="34" r:id="rId36"/>
    <sheet name="LipaseTable" sheetId="37" r:id="rId37"/>
    <sheet name="CRP" sheetId="38" r:id="rId38"/>
    <sheet name="CRP Table" sheetId="39" r:id="rId39"/>
    <sheet name="Harnstoff" sheetId="40" r:id="rId40"/>
    <sheet name="Harnstoff Table" sheetId="41" r:id="rId41"/>
    <sheet name="Thrombozyten" sheetId="42" r:id="rId42"/>
    <sheet name="Thrombozyten Table" sheetId="43" r:id="rId43"/>
    <sheet name="Albumin" sheetId="44" r:id="rId44"/>
    <sheet name="Albumin Table" sheetId="45" r:id="rId45"/>
    <sheet name="ABHCTAG" sheetId="46" r:id="rId46"/>
    <sheet name="ABHCTAG Table" sheetId="47" r:id="rId47"/>
    <sheet name="PTZLAKTATNH3" sheetId="48" r:id="rId48"/>
    <sheet name="PTZLAKTATNH3 Table" sheetId="49" r:id="rId49"/>
    <sheet name="All in one" sheetId="50" r:id="rId50"/>
    <sheet name="All in one Table (2)" sheetId="52" r:id="rId51"/>
  </sheets>
  <definedNames>
    <definedName name="ExternalData_1" localSheetId="46" hidden="1">'ABHCTAG Table'!$A$1:$D$15</definedName>
    <definedName name="ExternalData_1" localSheetId="44" hidden="1">'Albumin Table'!$A$1:$D$13</definedName>
    <definedName name="ExternalData_1" localSheetId="50" hidden="1">'All in one Table (2)'!$A$1:$D$742</definedName>
    <definedName name="ExternalData_1" localSheetId="34" hidden="1">'Amylase Table'!$A$1:$D$16</definedName>
    <definedName name="ExternalData_1" localSheetId="26" hidden="1">'AP Table'!$A$1:$D$42</definedName>
    <definedName name="ExternalData_1" localSheetId="10" hidden="1">'AT Table'!$A$1:$D$10</definedName>
    <definedName name="ExternalData_1" localSheetId="22" hidden="1">'Bilirubin Table'!$A$1:$D$45</definedName>
    <definedName name="ExternalData_1" localSheetId="28" hidden="1">'Choline Estrase Table'!$A$1:$D$16</definedName>
    <definedName name="ExternalData_1" localSheetId="2" hidden="1">'Creatin Kinase Table'!$A$1:$D$20</definedName>
    <definedName name="ExternalData_1" localSheetId="38" hidden="1">'CRP Table'!$A$1:$D$29</definedName>
    <definedName name="ExternalData_1" localSheetId="8" hidden="1">'Fibrinogen Table'!$A$1:$D$12</definedName>
    <definedName name="ExternalData_1" localSheetId="18" hidden="1">'GGT Table'!$A$1:$D$67</definedName>
    <definedName name="ExternalData_1" localSheetId="24" hidden="1">'GLDH Table'!$A$1:$D$11</definedName>
    <definedName name="ExternalData_1" localSheetId="14" hidden="1">'GOT Table'!$A$1:$D$75</definedName>
    <definedName name="ExternalData_1" localSheetId="16" hidden="1">'GPT Table'!$A$1:$D$76</definedName>
    <definedName name="ExternalData_1" localSheetId="40" hidden="1">'Harnstoff Table'!$A$1:$D$20</definedName>
    <definedName name="ExternalData_1" localSheetId="32" hidden="1">'INR Table'!$A$1:$D$17</definedName>
    <definedName name="ExternalData_1" localSheetId="30" hidden="1">'Keratinin Table '!$A$1:$D$49</definedName>
    <definedName name="ExternalData_1" localSheetId="20" hidden="1">'LDH Table'!$A$1:$D$44</definedName>
    <definedName name="ExternalData_1" localSheetId="12" hidden="1">'Leukozyten Table'!$A$1:$D$39</definedName>
    <definedName name="ExternalData_1" localSheetId="36" hidden="1">LipaseTable!$A$1:$D$17</definedName>
    <definedName name="ExternalData_1" localSheetId="6" hidden="1">'PTT Table'!$A$1:$D$25</definedName>
    <definedName name="ExternalData_1" localSheetId="48" hidden="1">'PTZLAKTATNH3 Table'!$A$1:$D$15</definedName>
    <definedName name="ExternalData_1" localSheetId="4" hidden="1">'Quick Table'!$A$1:$D$34</definedName>
    <definedName name="ExternalData_1" localSheetId="42" hidden="1">'Thrombozyten Table'!$A$1:$D$24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744" i="52" l="1"/>
  <c r="B744" i="52"/>
  <c r="C744" i="52"/>
  <c r="A744" i="52"/>
  <c r="BA93" i="1"/>
  <c r="CB93" i="1"/>
  <c r="DE93" i="1"/>
  <c r="DS93" i="1"/>
  <c r="EF93" i="1"/>
  <c r="FI93" i="1"/>
  <c r="HY93" i="1"/>
  <c r="KM93" i="1"/>
  <c r="MZ93" i="1"/>
  <c r="OQ93" i="1"/>
  <c r="OW93" i="1"/>
  <c r="RD93" i="1"/>
  <c r="RU93" i="1"/>
  <c r="UE93" i="1"/>
  <c r="VJ93" i="1"/>
  <c r="WM93" i="1"/>
  <c r="XH93" i="1"/>
  <c r="YD93" i="1"/>
  <c r="YX93" i="1"/>
  <c r="ZR93" i="1"/>
  <c r="ZX93" i="1"/>
  <c r="AAT93" i="1"/>
  <c r="ABQ93" i="1"/>
  <c r="ABV93" i="1"/>
  <c r="ACC93" i="1"/>
  <c r="ACQ93" i="1"/>
  <c r="ADA93" i="1"/>
  <c r="ADM93" i="1"/>
  <c r="AEI93" i="1"/>
  <c r="AEI2" i="1" l="1"/>
  <c r="AEI3" i="1"/>
  <c r="AEI4" i="1"/>
  <c r="AEI5" i="1"/>
  <c r="AEI6" i="1"/>
  <c r="AEI7" i="1"/>
  <c r="AEI8" i="1"/>
  <c r="AEI9" i="1"/>
  <c r="AEI10" i="1"/>
  <c r="AEI11" i="1"/>
  <c r="AEI12" i="1"/>
  <c r="AEI13" i="1"/>
  <c r="AEI14" i="1"/>
  <c r="AEI15" i="1"/>
  <c r="AEI16" i="1"/>
  <c r="AEI17" i="1"/>
  <c r="AEI18" i="1"/>
  <c r="AEI19" i="1"/>
  <c r="AEI20" i="1"/>
  <c r="AEI21" i="1"/>
  <c r="AEI22" i="1"/>
  <c r="AEI23" i="1"/>
  <c r="AEI24" i="1"/>
  <c r="AEI25" i="1"/>
  <c r="AEI26" i="1"/>
  <c r="AEI27" i="1"/>
  <c r="AEI28" i="1"/>
  <c r="AEI29" i="1"/>
  <c r="AEI30" i="1"/>
  <c r="AEI31" i="1"/>
  <c r="AEI32" i="1"/>
  <c r="AEI33" i="1"/>
  <c r="AEI34" i="1"/>
  <c r="AEI35" i="1"/>
  <c r="AEI36" i="1"/>
  <c r="AEI37" i="1"/>
  <c r="AEI38" i="1"/>
  <c r="AEI39" i="1"/>
  <c r="AEI40" i="1"/>
  <c r="AEI41" i="1"/>
  <c r="AEI42" i="1"/>
  <c r="AEI43" i="1"/>
  <c r="AEI44" i="1"/>
  <c r="AEI45" i="1"/>
  <c r="AEI46" i="1"/>
  <c r="AEI47" i="1"/>
  <c r="AEI48" i="1"/>
  <c r="AEI49" i="1"/>
  <c r="AEI50" i="1"/>
  <c r="AEI51" i="1"/>
  <c r="AEI52" i="1"/>
  <c r="AEI53" i="1"/>
  <c r="AEI54" i="1"/>
  <c r="AEI55" i="1"/>
  <c r="AEI56" i="1"/>
  <c r="AEI57" i="1"/>
  <c r="AEI58" i="1"/>
  <c r="AEI59" i="1"/>
  <c r="AEI60" i="1"/>
  <c r="AEI61" i="1"/>
  <c r="AEI62" i="1"/>
  <c r="AEI63" i="1"/>
  <c r="AEI64" i="1"/>
  <c r="AEI65" i="1"/>
  <c r="AEI66" i="1"/>
  <c r="AEI67" i="1"/>
  <c r="AEI68" i="1"/>
  <c r="AEI69" i="1"/>
  <c r="AEI70" i="1"/>
  <c r="AEI71" i="1"/>
  <c r="AEI72" i="1"/>
  <c r="AEI73" i="1"/>
  <c r="AEI74" i="1"/>
  <c r="AEI75" i="1"/>
  <c r="AEI76" i="1"/>
  <c r="AEI77" i="1"/>
  <c r="AEI78" i="1"/>
  <c r="AEI79" i="1"/>
  <c r="AEI80" i="1"/>
  <c r="AEI81" i="1"/>
  <c r="AEI82" i="1"/>
  <c r="AEI83" i="1"/>
  <c r="AEI84" i="1"/>
  <c r="AEI85" i="1"/>
  <c r="AEI86" i="1"/>
  <c r="AEI87" i="1"/>
  <c r="AEI88" i="1"/>
  <c r="AEI89" i="1"/>
  <c r="AEI90" i="1"/>
  <c r="AEI91" i="1"/>
  <c r="AEI92" i="1"/>
  <c r="AEI94" i="1"/>
  <c r="AEI95" i="1"/>
  <c r="AEI96" i="1"/>
  <c r="AEI97" i="1"/>
  <c r="AEI98" i="1"/>
  <c r="AEI99" i="1"/>
  <c r="AEI100" i="1"/>
  <c r="AEI101" i="1"/>
  <c r="AEI102" i="1"/>
  <c r="AEI103" i="1"/>
  <c r="AEI104" i="1"/>
  <c r="AEI105" i="1"/>
  <c r="AEI106" i="1"/>
  <c r="AEI107" i="1"/>
  <c r="AEI108" i="1"/>
  <c r="AEI109" i="1"/>
  <c r="AEI110" i="1"/>
  <c r="AEI111" i="1"/>
  <c r="AEI112" i="1"/>
  <c r="AEI113" i="1"/>
  <c r="AEI114" i="1"/>
  <c r="AEI115" i="1"/>
  <c r="AEI116" i="1"/>
  <c r="AEI117" i="1"/>
  <c r="AEI118" i="1"/>
  <c r="AEI119" i="1"/>
  <c r="AEI120" i="1"/>
  <c r="AEI121" i="1"/>
  <c r="AEI122" i="1"/>
  <c r="AEI123" i="1"/>
  <c r="AEI124" i="1"/>
  <c r="AEI125" i="1"/>
  <c r="AEI126" i="1"/>
  <c r="AEI127" i="1"/>
  <c r="AEI128" i="1"/>
  <c r="AEI129" i="1"/>
  <c r="AEI130" i="1"/>
  <c r="AEI131" i="1"/>
  <c r="AEI132" i="1"/>
  <c r="AEI133" i="1"/>
  <c r="AEI134" i="1"/>
  <c r="AEI135" i="1"/>
  <c r="AEI136" i="1"/>
  <c r="AEI137" i="1"/>
  <c r="AEI138" i="1"/>
  <c r="AEI139" i="1"/>
  <c r="AEI140" i="1"/>
  <c r="AEI141" i="1"/>
  <c r="AEI142" i="1"/>
  <c r="AEI143" i="1"/>
  <c r="AEI144" i="1"/>
  <c r="AEI145" i="1"/>
  <c r="AEI146" i="1"/>
  <c r="AEI147" i="1"/>
  <c r="AEI148" i="1"/>
  <c r="AEI149" i="1"/>
  <c r="AEI150" i="1"/>
  <c r="AEI151" i="1"/>
  <c r="AEI152" i="1"/>
  <c r="AEI153" i="1"/>
  <c r="AEI154" i="1"/>
  <c r="ADM2" i="1"/>
  <c r="ADM3" i="1"/>
  <c r="ADM4" i="1"/>
  <c r="ADM5" i="1"/>
  <c r="ADM6" i="1"/>
  <c r="ADM7" i="1"/>
  <c r="ADM8" i="1"/>
  <c r="ADM9" i="1"/>
  <c r="ADM10" i="1"/>
  <c r="ADM11" i="1"/>
  <c r="ADM12" i="1"/>
  <c r="ADM13" i="1"/>
  <c r="ADM14" i="1"/>
  <c r="ADM15" i="1"/>
  <c r="ADM16" i="1"/>
  <c r="ADM17" i="1"/>
  <c r="ADM18" i="1"/>
  <c r="ADM19" i="1"/>
  <c r="ADM20" i="1"/>
  <c r="ADM21" i="1"/>
  <c r="ADM22" i="1"/>
  <c r="ADM23" i="1"/>
  <c r="ADM24" i="1"/>
  <c r="ADM25" i="1"/>
  <c r="ADM26" i="1"/>
  <c r="ADM27" i="1"/>
  <c r="ADM28" i="1"/>
  <c r="ADM29" i="1"/>
  <c r="ADM30" i="1"/>
  <c r="ADM31" i="1"/>
  <c r="ADM32" i="1"/>
  <c r="ADM33" i="1"/>
  <c r="ADM34" i="1"/>
  <c r="ADM35" i="1"/>
  <c r="ADM36" i="1"/>
  <c r="ADM37" i="1"/>
  <c r="ADM38" i="1"/>
  <c r="ADM39" i="1"/>
  <c r="ADM40" i="1"/>
  <c r="ADM41" i="1"/>
  <c r="ADM42" i="1"/>
  <c r="ADM43" i="1"/>
  <c r="ADM44" i="1"/>
  <c r="ADM45" i="1"/>
  <c r="ADM46" i="1"/>
  <c r="ADM47" i="1"/>
  <c r="ADM48" i="1"/>
  <c r="ADM49" i="1"/>
  <c r="ADM50" i="1"/>
  <c r="ADM51" i="1"/>
  <c r="ADM52" i="1"/>
  <c r="ADM53" i="1"/>
  <c r="ADM54" i="1"/>
  <c r="ADM55" i="1"/>
  <c r="ADM56" i="1"/>
  <c r="ADM57" i="1"/>
  <c r="ADM58" i="1"/>
  <c r="ADM59" i="1"/>
  <c r="ADM60" i="1"/>
  <c r="ADM61" i="1"/>
  <c r="ADM62" i="1"/>
  <c r="ADM63" i="1"/>
  <c r="ADM64" i="1"/>
  <c r="ADM65" i="1"/>
  <c r="ADM66" i="1"/>
  <c r="ADM67" i="1"/>
  <c r="ADM68" i="1"/>
  <c r="ADM69" i="1"/>
  <c r="ADM70" i="1"/>
  <c r="ADM71" i="1"/>
  <c r="ADM72" i="1"/>
  <c r="ADM73" i="1"/>
  <c r="ADM74" i="1"/>
  <c r="ADM75" i="1"/>
  <c r="ADM76" i="1"/>
  <c r="ADM77" i="1"/>
  <c r="ADM78" i="1"/>
  <c r="ADM79" i="1"/>
  <c r="ADM80" i="1"/>
  <c r="ADM81" i="1"/>
  <c r="ADM82" i="1"/>
  <c r="ADM83" i="1"/>
  <c r="ADM84" i="1"/>
  <c r="ADM85" i="1"/>
  <c r="ADM86" i="1"/>
  <c r="ADM87" i="1"/>
  <c r="ADM88" i="1"/>
  <c r="ADM89" i="1"/>
  <c r="ADM90" i="1"/>
  <c r="ADM91" i="1"/>
  <c r="ADM92" i="1"/>
  <c r="ADM94" i="1"/>
  <c r="ADM95" i="1"/>
  <c r="ADM96" i="1"/>
  <c r="ADM97" i="1"/>
  <c r="ADM98" i="1"/>
  <c r="ADM99" i="1"/>
  <c r="ADM100" i="1"/>
  <c r="ADM101" i="1"/>
  <c r="ADM102" i="1"/>
  <c r="ADM103" i="1"/>
  <c r="ADM104" i="1"/>
  <c r="ADM105" i="1"/>
  <c r="ADM106" i="1"/>
  <c r="ADM107" i="1"/>
  <c r="ADM108" i="1"/>
  <c r="ADM109" i="1"/>
  <c r="ADM110" i="1"/>
  <c r="ADM111" i="1"/>
  <c r="ADM112" i="1"/>
  <c r="ADM113" i="1"/>
  <c r="ADM114" i="1"/>
  <c r="ADM115" i="1"/>
  <c r="ADM116" i="1"/>
  <c r="ADM117" i="1"/>
  <c r="ADM118" i="1"/>
  <c r="ADM119" i="1"/>
  <c r="ADM120" i="1"/>
  <c r="ADM121" i="1"/>
  <c r="ADM122" i="1"/>
  <c r="ADM123" i="1"/>
  <c r="ADM124" i="1"/>
  <c r="ADM125" i="1"/>
  <c r="ADM126" i="1"/>
  <c r="ADM127" i="1"/>
  <c r="ADM128" i="1"/>
  <c r="ADM129" i="1"/>
  <c r="ADM130" i="1"/>
  <c r="ADM131" i="1"/>
  <c r="ADM132" i="1"/>
  <c r="ADM133" i="1"/>
  <c r="ADM134" i="1"/>
  <c r="ADM135" i="1"/>
  <c r="ADM136" i="1"/>
  <c r="ADM137" i="1"/>
  <c r="ADM138" i="1"/>
  <c r="ADM139" i="1"/>
  <c r="ADM140" i="1"/>
  <c r="ADM141" i="1"/>
  <c r="ADM142" i="1"/>
  <c r="ADM143" i="1"/>
  <c r="ADM144" i="1"/>
  <c r="ADM145" i="1"/>
  <c r="ADM146" i="1"/>
  <c r="ADM147" i="1"/>
  <c r="ADM148" i="1"/>
  <c r="ADM149" i="1"/>
  <c r="ADM150" i="1"/>
  <c r="ADM151" i="1"/>
  <c r="ADM152" i="1"/>
  <c r="ADM153" i="1"/>
  <c r="ADM154" i="1"/>
  <c r="ADA2" i="1"/>
  <c r="ADA3" i="1"/>
  <c r="ADA4" i="1"/>
  <c r="ADA5" i="1"/>
  <c r="ADA6" i="1"/>
  <c r="ADA7" i="1"/>
  <c r="ADA8" i="1"/>
  <c r="ADA9" i="1"/>
  <c r="ADA10" i="1"/>
  <c r="ADA11" i="1"/>
  <c r="ADA12" i="1"/>
  <c r="ADA13" i="1"/>
  <c r="ADA14" i="1"/>
  <c r="ADA15" i="1"/>
  <c r="ADA16" i="1"/>
  <c r="ADA17" i="1"/>
  <c r="ADA18" i="1"/>
  <c r="ADA19" i="1"/>
  <c r="ADA20" i="1"/>
  <c r="ADA21" i="1"/>
  <c r="ADA22" i="1"/>
  <c r="ADA23" i="1"/>
  <c r="ADA24" i="1"/>
  <c r="ADA25" i="1"/>
  <c r="ADA26" i="1"/>
  <c r="ADA27" i="1"/>
  <c r="ADA28" i="1"/>
  <c r="ADA29" i="1"/>
  <c r="ADA30" i="1"/>
  <c r="ADA31" i="1"/>
  <c r="ADA32" i="1"/>
  <c r="ADA33" i="1"/>
  <c r="ADA34" i="1"/>
  <c r="ADA35" i="1"/>
  <c r="ADA36" i="1"/>
  <c r="ADA37" i="1"/>
  <c r="ADA38" i="1"/>
  <c r="ADA39" i="1"/>
  <c r="ADA40" i="1"/>
  <c r="ADA41" i="1"/>
  <c r="ADA42" i="1"/>
  <c r="ADA43" i="1"/>
  <c r="ADA44" i="1"/>
  <c r="ADA45" i="1"/>
  <c r="ADA46" i="1"/>
  <c r="ADA47" i="1"/>
  <c r="ADA48" i="1"/>
  <c r="ADA49" i="1"/>
  <c r="ADA50" i="1"/>
  <c r="ADA51" i="1"/>
  <c r="ADA52" i="1"/>
  <c r="ADA53" i="1"/>
  <c r="ADA54" i="1"/>
  <c r="ADA55" i="1"/>
  <c r="ADA56" i="1"/>
  <c r="ADA57" i="1"/>
  <c r="ADA58" i="1"/>
  <c r="ADA59" i="1"/>
  <c r="ADA60" i="1"/>
  <c r="ADA61" i="1"/>
  <c r="ADA62" i="1"/>
  <c r="ADA63" i="1"/>
  <c r="ADA64" i="1"/>
  <c r="ADA65" i="1"/>
  <c r="ADA66" i="1"/>
  <c r="ADA67" i="1"/>
  <c r="ADA68" i="1"/>
  <c r="ADA69" i="1"/>
  <c r="ADA70" i="1"/>
  <c r="ADA71" i="1"/>
  <c r="ADA72" i="1"/>
  <c r="ADA73" i="1"/>
  <c r="ADA74" i="1"/>
  <c r="ADA75" i="1"/>
  <c r="ADA76" i="1"/>
  <c r="ADA77" i="1"/>
  <c r="ADA78" i="1"/>
  <c r="ADA79" i="1"/>
  <c r="ADA80" i="1"/>
  <c r="ADA81" i="1"/>
  <c r="ADA82" i="1"/>
  <c r="ADA83" i="1"/>
  <c r="ADA84" i="1"/>
  <c r="ADA85" i="1"/>
  <c r="ADA86" i="1"/>
  <c r="ADA87" i="1"/>
  <c r="ADA88" i="1"/>
  <c r="ADA89" i="1"/>
  <c r="ADA90" i="1"/>
  <c r="ADA91" i="1"/>
  <c r="ADA92" i="1"/>
  <c r="ADA94" i="1"/>
  <c r="ADA95" i="1"/>
  <c r="ADA96" i="1"/>
  <c r="ADA97" i="1"/>
  <c r="ADA98" i="1"/>
  <c r="ADA99" i="1"/>
  <c r="ADA100" i="1"/>
  <c r="ADA101" i="1"/>
  <c r="ADA102" i="1"/>
  <c r="ADA103" i="1"/>
  <c r="ADA104" i="1"/>
  <c r="ADA105" i="1"/>
  <c r="ADA106" i="1"/>
  <c r="ADA107" i="1"/>
  <c r="ADA108" i="1"/>
  <c r="ADA109" i="1"/>
  <c r="ADA110" i="1"/>
  <c r="ADA111" i="1"/>
  <c r="ADA112" i="1"/>
  <c r="ADA113" i="1"/>
  <c r="ADA114" i="1"/>
  <c r="ADA115" i="1"/>
  <c r="ADA116" i="1"/>
  <c r="ADA117" i="1"/>
  <c r="ADA118" i="1"/>
  <c r="ADA119" i="1"/>
  <c r="ADA120" i="1"/>
  <c r="ADA121" i="1"/>
  <c r="ADA122" i="1"/>
  <c r="ADA123" i="1"/>
  <c r="ADA124" i="1"/>
  <c r="ADA125" i="1"/>
  <c r="ADA126" i="1"/>
  <c r="ADA127" i="1"/>
  <c r="ADA128" i="1"/>
  <c r="ADA129" i="1"/>
  <c r="ADA130" i="1"/>
  <c r="ADA131" i="1"/>
  <c r="ADA132" i="1"/>
  <c r="ADA133" i="1"/>
  <c r="ADA134" i="1"/>
  <c r="ADA135" i="1"/>
  <c r="ADA136" i="1"/>
  <c r="ADA137" i="1"/>
  <c r="ADA138" i="1"/>
  <c r="ADA139" i="1"/>
  <c r="ADA140" i="1"/>
  <c r="ADA141" i="1"/>
  <c r="ADA142" i="1"/>
  <c r="ADA143" i="1"/>
  <c r="ADA144" i="1"/>
  <c r="ADA145" i="1"/>
  <c r="ADA146" i="1"/>
  <c r="ADA147" i="1"/>
  <c r="ADA148" i="1"/>
  <c r="ADA149" i="1"/>
  <c r="ADA150" i="1"/>
  <c r="ADA151" i="1"/>
  <c r="ADA152" i="1"/>
  <c r="ADA153" i="1"/>
  <c r="ADA154" i="1"/>
  <c r="ACQ2" i="1"/>
  <c r="ACQ3" i="1"/>
  <c r="ACQ4" i="1"/>
  <c r="ACQ5" i="1"/>
  <c r="ACQ6" i="1"/>
  <c r="ACQ7" i="1"/>
  <c r="ACQ8" i="1"/>
  <c r="ACQ9" i="1"/>
  <c r="ACQ10" i="1"/>
  <c r="ACQ11" i="1"/>
  <c r="ACQ12" i="1"/>
  <c r="ACQ13" i="1"/>
  <c r="ACQ14" i="1"/>
  <c r="ACQ15" i="1"/>
  <c r="ACQ16" i="1"/>
  <c r="ACQ17" i="1"/>
  <c r="ACQ18" i="1"/>
  <c r="ACQ19" i="1"/>
  <c r="ACQ20" i="1"/>
  <c r="ACQ21" i="1"/>
  <c r="ACQ22" i="1"/>
  <c r="ACQ23" i="1"/>
  <c r="ACQ24" i="1"/>
  <c r="ACQ25" i="1"/>
  <c r="ACQ26" i="1"/>
  <c r="ACQ27" i="1"/>
  <c r="ACQ28" i="1"/>
  <c r="ACQ29" i="1"/>
  <c r="ACQ30" i="1"/>
  <c r="ACQ31" i="1"/>
  <c r="ACQ32" i="1"/>
  <c r="ACQ33" i="1"/>
  <c r="ACQ34" i="1"/>
  <c r="ACQ35" i="1"/>
  <c r="ACQ36" i="1"/>
  <c r="ACQ37" i="1"/>
  <c r="ACQ38" i="1"/>
  <c r="ACQ39" i="1"/>
  <c r="ACQ40" i="1"/>
  <c r="ACQ41" i="1"/>
  <c r="ACQ42" i="1"/>
  <c r="ACQ43" i="1"/>
  <c r="ACQ44" i="1"/>
  <c r="ACQ45" i="1"/>
  <c r="ACQ46" i="1"/>
  <c r="ACQ47" i="1"/>
  <c r="ACQ48" i="1"/>
  <c r="ACQ49" i="1"/>
  <c r="ACQ50" i="1"/>
  <c r="ACQ51" i="1"/>
  <c r="ACQ52" i="1"/>
  <c r="ACQ53" i="1"/>
  <c r="ACQ54" i="1"/>
  <c r="ACQ55" i="1"/>
  <c r="ACQ56" i="1"/>
  <c r="ACQ57" i="1"/>
  <c r="ACQ58" i="1"/>
  <c r="ACQ59" i="1"/>
  <c r="ACQ60" i="1"/>
  <c r="ACQ61" i="1"/>
  <c r="ACQ62" i="1"/>
  <c r="ACQ63" i="1"/>
  <c r="ACQ64" i="1"/>
  <c r="ACQ65" i="1"/>
  <c r="ACQ66" i="1"/>
  <c r="ACQ67" i="1"/>
  <c r="ACQ68" i="1"/>
  <c r="ACQ69" i="1"/>
  <c r="ACQ70" i="1"/>
  <c r="ACQ71" i="1"/>
  <c r="ACQ72" i="1"/>
  <c r="ACQ73" i="1"/>
  <c r="ACQ74" i="1"/>
  <c r="ACQ75" i="1"/>
  <c r="ACQ76" i="1"/>
  <c r="ACQ77" i="1"/>
  <c r="ACQ78" i="1"/>
  <c r="ACQ79" i="1"/>
  <c r="ACQ80" i="1"/>
  <c r="ACQ81" i="1"/>
  <c r="ACQ82" i="1"/>
  <c r="ACQ83" i="1"/>
  <c r="ACQ84" i="1"/>
  <c r="ACQ85" i="1"/>
  <c r="ACQ86" i="1"/>
  <c r="ACQ87" i="1"/>
  <c r="ACQ88" i="1"/>
  <c r="ACQ89" i="1"/>
  <c r="ACQ90" i="1"/>
  <c r="ACQ91" i="1"/>
  <c r="ACQ92" i="1"/>
  <c r="ACQ94" i="1"/>
  <c r="ACQ95" i="1"/>
  <c r="ACQ96" i="1"/>
  <c r="ACQ97" i="1"/>
  <c r="ACQ98" i="1"/>
  <c r="ACQ99" i="1"/>
  <c r="ACQ100" i="1"/>
  <c r="ACQ101" i="1"/>
  <c r="ACQ102" i="1"/>
  <c r="ACQ103" i="1"/>
  <c r="ACQ104" i="1"/>
  <c r="ACQ105" i="1"/>
  <c r="ACQ106" i="1"/>
  <c r="ACQ107" i="1"/>
  <c r="ACQ108" i="1"/>
  <c r="ACQ109" i="1"/>
  <c r="ACQ110" i="1"/>
  <c r="ACQ111" i="1"/>
  <c r="ACQ112" i="1"/>
  <c r="ACQ113" i="1"/>
  <c r="ACQ114" i="1"/>
  <c r="ACQ115" i="1"/>
  <c r="ACQ116" i="1"/>
  <c r="ACQ117" i="1"/>
  <c r="ACQ118" i="1"/>
  <c r="ACQ119" i="1"/>
  <c r="ACQ120" i="1"/>
  <c r="ACQ121" i="1"/>
  <c r="ACQ122" i="1"/>
  <c r="ACQ123" i="1"/>
  <c r="ACQ124" i="1"/>
  <c r="ACQ125" i="1"/>
  <c r="ACQ126" i="1"/>
  <c r="ACQ127" i="1"/>
  <c r="ACQ128" i="1"/>
  <c r="ACQ129" i="1"/>
  <c r="ACQ130" i="1"/>
  <c r="ACQ131" i="1"/>
  <c r="ACQ132" i="1"/>
  <c r="ACQ133" i="1"/>
  <c r="ACQ134" i="1"/>
  <c r="ACQ135" i="1"/>
  <c r="ACQ136" i="1"/>
  <c r="ACQ137" i="1"/>
  <c r="ACQ138" i="1"/>
  <c r="ACQ139" i="1"/>
  <c r="ACQ140" i="1"/>
  <c r="ACQ141" i="1"/>
  <c r="ACQ142" i="1"/>
  <c r="ACQ143" i="1"/>
  <c r="ACQ144" i="1"/>
  <c r="ACQ145" i="1"/>
  <c r="ACQ146" i="1"/>
  <c r="ACQ147" i="1"/>
  <c r="ACQ148" i="1"/>
  <c r="ACQ149" i="1"/>
  <c r="ACQ150" i="1"/>
  <c r="ACQ151" i="1"/>
  <c r="ACQ152" i="1"/>
  <c r="ACQ153" i="1"/>
  <c r="ACQ154" i="1"/>
  <c r="ACC2" i="1"/>
  <c r="ACC3" i="1"/>
  <c r="ACC4" i="1"/>
  <c r="ACC5" i="1"/>
  <c r="ACC6" i="1"/>
  <c r="ACC7" i="1"/>
  <c r="ACC8" i="1"/>
  <c r="ACC9" i="1"/>
  <c r="ACC10" i="1"/>
  <c r="ACC11" i="1"/>
  <c r="ACC12" i="1"/>
  <c r="ACC13" i="1"/>
  <c r="ACC14" i="1"/>
  <c r="ACC15" i="1"/>
  <c r="ACC16" i="1"/>
  <c r="ACC17" i="1"/>
  <c r="ACC18" i="1"/>
  <c r="ACC19" i="1"/>
  <c r="ACC20" i="1"/>
  <c r="ACC21" i="1"/>
  <c r="ACC22" i="1"/>
  <c r="ACC23" i="1"/>
  <c r="ACC24" i="1"/>
  <c r="ACC25" i="1"/>
  <c r="ACC26" i="1"/>
  <c r="ACC27" i="1"/>
  <c r="ACC28" i="1"/>
  <c r="ACC29" i="1"/>
  <c r="ACC30" i="1"/>
  <c r="ACC31" i="1"/>
  <c r="ACC32" i="1"/>
  <c r="ACC33" i="1"/>
  <c r="ACC34" i="1"/>
  <c r="ACC35" i="1"/>
  <c r="ACC36" i="1"/>
  <c r="ACC37" i="1"/>
  <c r="ACC38" i="1"/>
  <c r="ACC39" i="1"/>
  <c r="ACC40" i="1"/>
  <c r="ACC41" i="1"/>
  <c r="ACC42" i="1"/>
  <c r="ACC43" i="1"/>
  <c r="ACC44" i="1"/>
  <c r="ACC45" i="1"/>
  <c r="ACC46" i="1"/>
  <c r="ACC47" i="1"/>
  <c r="ACC48" i="1"/>
  <c r="ACC49" i="1"/>
  <c r="ACC50" i="1"/>
  <c r="ACC51" i="1"/>
  <c r="ACC52" i="1"/>
  <c r="ACC53" i="1"/>
  <c r="ACC54" i="1"/>
  <c r="ACC55" i="1"/>
  <c r="ACC56" i="1"/>
  <c r="ACC57" i="1"/>
  <c r="ACC58" i="1"/>
  <c r="ACC59" i="1"/>
  <c r="ACC60" i="1"/>
  <c r="ACC61" i="1"/>
  <c r="ACC62" i="1"/>
  <c r="ACC63" i="1"/>
  <c r="ACC64" i="1"/>
  <c r="ACC65" i="1"/>
  <c r="ACC66" i="1"/>
  <c r="ACC67" i="1"/>
  <c r="ACC68" i="1"/>
  <c r="ACC69" i="1"/>
  <c r="ACC70" i="1"/>
  <c r="ACC71" i="1"/>
  <c r="ACC72" i="1"/>
  <c r="ACC73" i="1"/>
  <c r="ACC74" i="1"/>
  <c r="ACC75" i="1"/>
  <c r="ACC76" i="1"/>
  <c r="ACC77" i="1"/>
  <c r="ACC78" i="1"/>
  <c r="ACC79" i="1"/>
  <c r="ACC80" i="1"/>
  <c r="ACC81" i="1"/>
  <c r="ACC82" i="1"/>
  <c r="ACC83" i="1"/>
  <c r="ACC84" i="1"/>
  <c r="ACC85" i="1"/>
  <c r="ACC86" i="1"/>
  <c r="ACC87" i="1"/>
  <c r="ACC88" i="1"/>
  <c r="ACC89" i="1"/>
  <c r="ACC90" i="1"/>
  <c r="ACC91" i="1"/>
  <c r="ACC92" i="1"/>
  <c r="ACC94" i="1"/>
  <c r="ACC95" i="1"/>
  <c r="ACC96" i="1"/>
  <c r="ACC97" i="1"/>
  <c r="ACC98" i="1"/>
  <c r="ACC99" i="1"/>
  <c r="ACC100" i="1"/>
  <c r="ACC101" i="1"/>
  <c r="ACC102" i="1"/>
  <c r="ACC103" i="1"/>
  <c r="ACC104" i="1"/>
  <c r="ACC105" i="1"/>
  <c r="ACC106" i="1"/>
  <c r="ACC107" i="1"/>
  <c r="ACC108" i="1"/>
  <c r="ACC109" i="1"/>
  <c r="ACC110" i="1"/>
  <c r="ACC111" i="1"/>
  <c r="ACC112" i="1"/>
  <c r="ACC113" i="1"/>
  <c r="ACC114" i="1"/>
  <c r="ACC115" i="1"/>
  <c r="ACC116" i="1"/>
  <c r="ACC117" i="1"/>
  <c r="ACC118" i="1"/>
  <c r="ACC119" i="1"/>
  <c r="ACC120" i="1"/>
  <c r="ACC121" i="1"/>
  <c r="ACC122" i="1"/>
  <c r="ACC123" i="1"/>
  <c r="ACC124" i="1"/>
  <c r="ACC125" i="1"/>
  <c r="ACC126" i="1"/>
  <c r="ACC127" i="1"/>
  <c r="ACC128" i="1"/>
  <c r="ACC129" i="1"/>
  <c r="ACC130" i="1"/>
  <c r="ACC131" i="1"/>
  <c r="ACC132" i="1"/>
  <c r="ACC133" i="1"/>
  <c r="ACC134" i="1"/>
  <c r="ACC135" i="1"/>
  <c r="ACC136" i="1"/>
  <c r="ACC137" i="1"/>
  <c r="ACC138" i="1"/>
  <c r="ACC139" i="1"/>
  <c r="ACC140" i="1"/>
  <c r="ACC141" i="1"/>
  <c r="ACC142" i="1"/>
  <c r="ACC143" i="1"/>
  <c r="ACC144" i="1"/>
  <c r="ACC145" i="1"/>
  <c r="ACC146" i="1"/>
  <c r="ACC147" i="1"/>
  <c r="ACC148" i="1"/>
  <c r="ACC149" i="1"/>
  <c r="ACC150" i="1"/>
  <c r="ACC151" i="1"/>
  <c r="ACC152" i="1"/>
  <c r="ACC153" i="1"/>
  <c r="ACC154" i="1"/>
  <c r="ABV2" i="1"/>
  <c r="ABV3" i="1"/>
  <c r="ABV4" i="1"/>
  <c r="ABV5" i="1"/>
  <c r="ABV6" i="1"/>
  <c r="ABV7" i="1"/>
  <c r="ABV8" i="1"/>
  <c r="ABV9" i="1"/>
  <c r="ABV10" i="1"/>
  <c r="ABV11" i="1"/>
  <c r="ABV12" i="1"/>
  <c r="ABV13" i="1"/>
  <c r="ABV14" i="1"/>
  <c r="ABV15" i="1"/>
  <c r="ABV16" i="1"/>
  <c r="ABV17" i="1"/>
  <c r="ABV18" i="1"/>
  <c r="ABV19" i="1"/>
  <c r="ABV20" i="1"/>
  <c r="ABV21" i="1"/>
  <c r="ABV22" i="1"/>
  <c r="ABV23" i="1"/>
  <c r="ABV24" i="1"/>
  <c r="ABV25" i="1"/>
  <c r="ABV26" i="1"/>
  <c r="ABV27" i="1"/>
  <c r="ABV28" i="1"/>
  <c r="ABV29" i="1"/>
  <c r="ABV30" i="1"/>
  <c r="ABV31" i="1"/>
  <c r="ABV32" i="1"/>
  <c r="ABV33" i="1"/>
  <c r="ABV34" i="1"/>
  <c r="ABV35" i="1"/>
  <c r="ABV36" i="1"/>
  <c r="ABV37" i="1"/>
  <c r="ABV38" i="1"/>
  <c r="ABV39" i="1"/>
  <c r="ABV40" i="1"/>
  <c r="ABV41" i="1"/>
  <c r="ABV42" i="1"/>
  <c r="ABV43" i="1"/>
  <c r="ABV44" i="1"/>
  <c r="ABV45" i="1"/>
  <c r="ABV46" i="1"/>
  <c r="ABV47" i="1"/>
  <c r="ABV48" i="1"/>
  <c r="ABV49" i="1"/>
  <c r="ABV50" i="1"/>
  <c r="ABV51" i="1"/>
  <c r="ABV52" i="1"/>
  <c r="ABV53" i="1"/>
  <c r="ABV54" i="1"/>
  <c r="ABV55" i="1"/>
  <c r="ABV56" i="1"/>
  <c r="ABV57" i="1"/>
  <c r="ABV58" i="1"/>
  <c r="ABV59" i="1"/>
  <c r="ABV60" i="1"/>
  <c r="ABV61" i="1"/>
  <c r="ABV62" i="1"/>
  <c r="ABV63" i="1"/>
  <c r="ABV64" i="1"/>
  <c r="ABV65" i="1"/>
  <c r="ABV66" i="1"/>
  <c r="ABV67" i="1"/>
  <c r="ABV68" i="1"/>
  <c r="ABV69" i="1"/>
  <c r="ABV70" i="1"/>
  <c r="ABV71" i="1"/>
  <c r="ABV72" i="1"/>
  <c r="ABV73" i="1"/>
  <c r="ABV74" i="1"/>
  <c r="ABV75" i="1"/>
  <c r="ABV76" i="1"/>
  <c r="ABV77" i="1"/>
  <c r="ABV78" i="1"/>
  <c r="ABV79" i="1"/>
  <c r="ABV80" i="1"/>
  <c r="ABV81" i="1"/>
  <c r="ABV82" i="1"/>
  <c r="ABV83" i="1"/>
  <c r="ABV84" i="1"/>
  <c r="ABV85" i="1"/>
  <c r="ABV86" i="1"/>
  <c r="ABV87" i="1"/>
  <c r="ABV88" i="1"/>
  <c r="ABV89" i="1"/>
  <c r="ABV90" i="1"/>
  <c r="ABV91" i="1"/>
  <c r="ABV92" i="1"/>
  <c r="ABV94" i="1"/>
  <c r="ABV95" i="1"/>
  <c r="ABV96" i="1"/>
  <c r="ABV97" i="1"/>
  <c r="ABV98" i="1"/>
  <c r="ABV99" i="1"/>
  <c r="ABV100" i="1"/>
  <c r="ABV101" i="1"/>
  <c r="ABV102" i="1"/>
  <c r="ABV103" i="1"/>
  <c r="ABV104" i="1"/>
  <c r="ABV105" i="1"/>
  <c r="ABV106" i="1"/>
  <c r="ABV107" i="1"/>
  <c r="ABV108" i="1"/>
  <c r="ABV109" i="1"/>
  <c r="ABV110" i="1"/>
  <c r="ABV111" i="1"/>
  <c r="ABV112" i="1"/>
  <c r="ABV113" i="1"/>
  <c r="ABV114" i="1"/>
  <c r="ABV115" i="1"/>
  <c r="ABV116" i="1"/>
  <c r="ABV117" i="1"/>
  <c r="ABV118" i="1"/>
  <c r="ABV119" i="1"/>
  <c r="ABV120" i="1"/>
  <c r="ABV121" i="1"/>
  <c r="ABV122" i="1"/>
  <c r="ABV123" i="1"/>
  <c r="ABV124" i="1"/>
  <c r="ABV125" i="1"/>
  <c r="ABV126" i="1"/>
  <c r="ABV127" i="1"/>
  <c r="ABV128" i="1"/>
  <c r="ABV129" i="1"/>
  <c r="ABV130" i="1"/>
  <c r="ABV131" i="1"/>
  <c r="ABV132" i="1"/>
  <c r="ABV133" i="1"/>
  <c r="ABV134" i="1"/>
  <c r="ABV135" i="1"/>
  <c r="ABV136" i="1"/>
  <c r="ABV137" i="1"/>
  <c r="ABV138" i="1"/>
  <c r="ABV139" i="1"/>
  <c r="ABV140" i="1"/>
  <c r="ABV141" i="1"/>
  <c r="ABV142" i="1"/>
  <c r="ABV143" i="1"/>
  <c r="ABV144" i="1"/>
  <c r="ABV145" i="1"/>
  <c r="ABV146" i="1"/>
  <c r="ABV147" i="1"/>
  <c r="ABV148" i="1"/>
  <c r="ABV149" i="1"/>
  <c r="ABV150" i="1"/>
  <c r="ABV151" i="1"/>
  <c r="ABV152" i="1"/>
  <c r="ABV153" i="1"/>
  <c r="ABV154" i="1"/>
  <c r="ABQ2" i="1"/>
  <c r="ABQ3" i="1"/>
  <c r="ABQ4" i="1"/>
  <c r="ABQ5" i="1"/>
  <c r="ABQ6" i="1"/>
  <c r="ABQ7" i="1"/>
  <c r="ABQ8" i="1"/>
  <c r="ABQ9" i="1"/>
  <c r="ABQ10" i="1"/>
  <c r="ABQ11" i="1"/>
  <c r="ABQ12" i="1"/>
  <c r="ABQ13" i="1"/>
  <c r="ABQ14" i="1"/>
  <c r="ABQ15" i="1"/>
  <c r="ABQ16" i="1"/>
  <c r="ABQ17" i="1"/>
  <c r="ABQ18" i="1"/>
  <c r="ABQ19" i="1"/>
  <c r="ABQ20" i="1"/>
  <c r="ABQ21" i="1"/>
  <c r="ABQ22" i="1"/>
  <c r="ABQ23" i="1"/>
  <c r="ABQ24" i="1"/>
  <c r="ABQ25" i="1"/>
  <c r="ABQ26" i="1"/>
  <c r="ABQ27" i="1"/>
  <c r="ABQ28" i="1"/>
  <c r="ABQ29" i="1"/>
  <c r="ABQ30" i="1"/>
  <c r="ABQ31" i="1"/>
  <c r="ABQ32" i="1"/>
  <c r="ABQ33" i="1"/>
  <c r="ABQ34" i="1"/>
  <c r="ABQ35" i="1"/>
  <c r="ABQ36" i="1"/>
  <c r="ABQ37" i="1"/>
  <c r="ABQ38" i="1"/>
  <c r="ABQ39" i="1"/>
  <c r="ABQ40" i="1"/>
  <c r="ABQ41" i="1"/>
  <c r="ABQ42" i="1"/>
  <c r="ABQ43" i="1"/>
  <c r="ABQ44" i="1"/>
  <c r="ABQ45" i="1"/>
  <c r="ABQ46" i="1"/>
  <c r="ABQ47" i="1"/>
  <c r="ABQ48" i="1"/>
  <c r="ABQ49" i="1"/>
  <c r="ABQ50" i="1"/>
  <c r="ABQ51" i="1"/>
  <c r="ABQ52" i="1"/>
  <c r="ABQ53" i="1"/>
  <c r="ABQ54" i="1"/>
  <c r="ABQ55" i="1"/>
  <c r="ABQ56" i="1"/>
  <c r="ABQ57" i="1"/>
  <c r="ABQ58" i="1"/>
  <c r="ABQ59" i="1"/>
  <c r="ABQ60" i="1"/>
  <c r="ABQ61" i="1"/>
  <c r="ABQ62" i="1"/>
  <c r="ABQ63" i="1"/>
  <c r="ABQ64" i="1"/>
  <c r="ABQ65" i="1"/>
  <c r="ABQ66" i="1"/>
  <c r="ABQ67" i="1"/>
  <c r="ABQ68" i="1"/>
  <c r="ABQ69" i="1"/>
  <c r="ABQ70" i="1"/>
  <c r="ABQ71" i="1"/>
  <c r="ABQ72" i="1"/>
  <c r="ABQ73" i="1"/>
  <c r="ABQ74" i="1"/>
  <c r="ABQ75" i="1"/>
  <c r="ABQ76" i="1"/>
  <c r="ABQ77" i="1"/>
  <c r="ABQ78" i="1"/>
  <c r="ABQ79" i="1"/>
  <c r="ABQ80" i="1"/>
  <c r="ABQ81" i="1"/>
  <c r="ABQ82" i="1"/>
  <c r="ABQ83" i="1"/>
  <c r="ABQ84" i="1"/>
  <c r="ABQ85" i="1"/>
  <c r="ABQ86" i="1"/>
  <c r="ABQ87" i="1"/>
  <c r="ABQ88" i="1"/>
  <c r="ABQ89" i="1"/>
  <c r="ABQ90" i="1"/>
  <c r="ABQ91" i="1"/>
  <c r="ABQ92" i="1"/>
  <c r="ABQ94" i="1"/>
  <c r="ABQ95" i="1"/>
  <c r="ABQ96" i="1"/>
  <c r="ABQ97" i="1"/>
  <c r="ABQ98" i="1"/>
  <c r="ABQ99" i="1"/>
  <c r="ABQ100" i="1"/>
  <c r="ABQ101" i="1"/>
  <c r="ABQ102" i="1"/>
  <c r="ABQ103" i="1"/>
  <c r="ABQ104" i="1"/>
  <c r="ABQ105" i="1"/>
  <c r="ABQ106" i="1"/>
  <c r="ABQ107" i="1"/>
  <c r="ABQ108" i="1"/>
  <c r="ABQ109" i="1"/>
  <c r="ABQ110" i="1"/>
  <c r="ABQ111" i="1"/>
  <c r="ABQ112" i="1"/>
  <c r="ABQ113" i="1"/>
  <c r="ABQ114" i="1"/>
  <c r="ABQ115" i="1"/>
  <c r="ABQ116" i="1"/>
  <c r="ABQ117" i="1"/>
  <c r="ABQ118" i="1"/>
  <c r="ABQ119" i="1"/>
  <c r="ABQ120" i="1"/>
  <c r="ABQ121" i="1"/>
  <c r="ABQ122" i="1"/>
  <c r="ABQ123" i="1"/>
  <c r="ABQ124" i="1"/>
  <c r="ABQ125" i="1"/>
  <c r="ABQ126" i="1"/>
  <c r="ABQ127" i="1"/>
  <c r="ABQ128" i="1"/>
  <c r="ABQ129" i="1"/>
  <c r="ABQ130" i="1"/>
  <c r="ABQ131" i="1"/>
  <c r="ABQ132" i="1"/>
  <c r="ABQ133" i="1"/>
  <c r="ABQ134" i="1"/>
  <c r="ABQ135" i="1"/>
  <c r="ABQ136" i="1"/>
  <c r="ABQ137" i="1"/>
  <c r="ABQ138" i="1"/>
  <c r="ABQ139" i="1"/>
  <c r="ABQ140" i="1"/>
  <c r="ABQ141" i="1"/>
  <c r="ABQ142" i="1"/>
  <c r="ABQ143" i="1"/>
  <c r="ABQ144" i="1"/>
  <c r="ABQ145" i="1"/>
  <c r="ABQ146" i="1"/>
  <c r="ABQ147" i="1"/>
  <c r="ABQ148" i="1"/>
  <c r="ABQ149" i="1"/>
  <c r="ABQ150" i="1"/>
  <c r="ABQ151" i="1"/>
  <c r="ABQ152" i="1"/>
  <c r="ABQ153" i="1"/>
  <c r="ABQ154" i="1"/>
  <c r="AAT2" i="1"/>
  <c r="AAT3" i="1"/>
  <c r="AAT4" i="1"/>
  <c r="AAT5" i="1"/>
  <c r="AAT6" i="1"/>
  <c r="AAT7" i="1"/>
  <c r="AAT8" i="1"/>
  <c r="AAT9" i="1"/>
  <c r="AAT10" i="1"/>
  <c r="AAT11" i="1"/>
  <c r="AAT12" i="1"/>
  <c r="AAT13" i="1"/>
  <c r="AAT14" i="1"/>
  <c r="AAT15" i="1"/>
  <c r="AAT16" i="1"/>
  <c r="AAT17" i="1"/>
  <c r="AAT18" i="1"/>
  <c r="AAT19" i="1"/>
  <c r="AAT20" i="1"/>
  <c r="AAT21" i="1"/>
  <c r="AAT22" i="1"/>
  <c r="AAT23" i="1"/>
  <c r="AAT24" i="1"/>
  <c r="AAT25" i="1"/>
  <c r="AAT26" i="1"/>
  <c r="AAT27" i="1"/>
  <c r="AAT28" i="1"/>
  <c r="AAT29" i="1"/>
  <c r="AAT30" i="1"/>
  <c r="AAT31" i="1"/>
  <c r="AAT32" i="1"/>
  <c r="AAT33" i="1"/>
  <c r="AAT34" i="1"/>
  <c r="AAT35" i="1"/>
  <c r="AAT36" i="1"/>
  <c r="AAT37" i="1"/>
  <c r="AAT38" i="1"/>
  <c r="AAT39" i="1"/>
  <c r="AAT40" i="1"/>
  <c r="AAT41" i="1"/>
  <c r="AAT42" i="1"/>
  <c r="AAT43" i="1"/>
  <c r="AAT44" i="1"/>
  <c r="AAT45" i="1"/>
  <c r="AAT46" i="1"/>
  <c r="AAT47" i="1"/>
  <c r="AAT48" i="1"/>
  <c r="AAT49" i="1"/>
  <c r="AAT50" i="1"/>
  <c r="AAT51" i="1"/>
  <c r="AAT52" i="1"/>
  <c r="AAT53" i="1"/>
  <c r="AAT54" i="1"/>
  <c r="AAT55" i="1"/>
  <c r="AAT56" i="1"/>
  <c r="AAT57" i="1"/>
  <c r="AAT58" i="1"/>
  <c r="AAT59" i="1"/>
  <c r="AAT60" i="1"/>
  <c r="AAT61" i="1"/>
  <c r="AAT62" i="1"/>
  <c r="AAT63" i="1"/>
  <c r="AAT64" i="1"/>
  <c r="AAT65" i="1"/>
  <c r="AAT66" i="1"/>
  <c r="AAT67" i="1"/>
  <c r="AAT68" i="1"/>
  <c r="AAT69" i="1"/>
  <c r="AAT70" i="1"/>
  <c r="AAT71" i="1"/>
  <c r="AAT72" i="1"/>
  <c r="AAT73" i="1"/>
  <c r="AAT74" i="1"/>
  <c r="AAT75" i="1"/>
  <c r="AAT76" i="1"/>
  <c r="AAT77" i="1"/>
  <c r="AAT78" i="1"/>
  <c r="AAT79" i="1"/>
  <c r="AAT80" i="1"/>
  <c r="AAT81" i="1"/>
  <c r="AAT82" i="1"/>
  <c r="AAT83" i="1"/>
  <c r="AAT84" i="1"/>
  <c r="AAT85" i="1"/>
  <c r="AAT86" i="1"/>
  <c r="AAT87" i="1"/>
  <c r="AAT88" i="1"/>
  <c r="AAT89" i="1"/>
  <c r="AAT90" i="1"/>
  <c r="AAT91" i="1"/>
  <c r="AAT92" i="1"/>
  <c r="AAT94" i="1"/>
  <c r="AAT95" i="1"/>
  <c r="AAT96" i="1"/>
  <c r="AAT97" i="1"/>
  <c r="AAT98" i="1"/>
  <c r="AAT99" i="1"/>
  <c r="AAT100" i="1"/>
  <c r="AAT101" i="1"/>
  <c r="AAT102" i="1"/>
  <c r="AAT103" i="1"/>
  <c r="AAT104" i="1"/>
  <c r="AAT105" i="1"/>
  <c r="AAT106" i="1"/>
  <c r="AAT107" i="1"/>
  <c r="AAT108" i="1"/>
  <c r="AAT109" i="1"/>
  <c r="AAT110" i="1"/>
  <c r="AAT111" i="1"/>
  <c r="AAT112" i="1"/>
  <c r="AAT113" i="1"/>
  <c r="AAT114" i="1"/>
  <c r="AAT115" i="1"/>
  <c r="AAT116" i="1"/>
  <c r="AAT117" i="1"/>
  <c r="AAT118" i="1"/>
  <c r="AAT119" i="1"/>
  <c r="AAT120" i="1"/>
  <c r="AAT121" i="1"/>
  <c r="AAT122" i="1"/>
  <c r="AAT123" i="1"/>
  <c r="AAT124" i="1"/>
  <c r="AAT125" i="1"/>
  <c r="AAT126" i="1"/>
  <c r="AAT127" i="1"/>
  <c r="AAT128" i="1"/>
  <c r="AAT129" i="1"/>
  <c r="AAT130" i="1"/>
  <c r="AAT131" i="1"/>
  <c r="AAT132" i="1"/>
  <c r="AAT133" i="1"/>
  <c r="AAT134" i="1"/>
  <c r="AAT135" i="1"/>
  <c r="AAT136" i="1"/>
  <c r="AAT137" i="1"/>
  <c r="AAT138" i="1"/>
  <c r="AAT139" i="1"/>
  <c r="AAT140" i="1"/>
  <c r="AAT141" i="1"/>
  <c r="AAT142" i="1"/>
  <c r="AAT143" i="1"/>
  <c r="AAT144" i="1"/>
  <c r="AAT145" i="1"/>
  <c r="AAT146" i="1"/>
  <c r="AAT147" i="1"/>
  <c r="AAT148" i="1"/>
  <c r="AAT149" i="1"/>
  <c r="AAT150" i="1"/>
  <c r="AAT151" i="1"/>
  <c r="AAT152" i="1"/>
  <c r="AAT153" i="1"/>
  <c r="AAT154" i="1"/>
  <c r="ZX2" i="1"/>
  <c r="ZX3" i="1"/>
  <c r="ZX4" i="1"/>
  <c r="ZX5" i="1"/>
  <c r="ZX6" i="1"/>
  <c r="ZX7" i="1"/>
  <c r="ZX8" i="1"/>
  <c r="ZX9" i="1"/>
  <c r="ZX10" i="1"/>
  <c r="ZX11" i="1"/>
  <c r="ZX12" i="1"/>
  <c r="ZX13" i="1"/>
  <c r="ZX14" i="1"/>
  <c r="ZX15" i="1"/>
  <c r="ZX16" i="1"/>
  <c r="ZX17" i="1"/>
  <c r="ZX18" i="1"/>
  <c r="ZX19" i="1"/>
  <c r="ZX20" i="1"/>
  <c r="ZX21" i="1"/>
  <c r="ZX22" i="1"/>
  <c r="ZX23" i="1"/>
  <c r="ZX24" i="1"/>
  <c r="ZX25" i="1"/>
  <c r="ZX26" i="1"/>
  <c r="ZX27" i="1"/>
  <c r="ZX28" i="1"/>
  <c r="ZX29" i="1"/>
  <c r="ZX30" i="1"/>
  <c r="ZX31" i="1"/>
  <c r="ZX32" i="1"/>
  <c r="ZX33" i="1"/>
  <c r="ZX34" i="1"/>
  <c r="ZX35" i="1"/>
  <c r="ZX36" i="1"/>
  <c r="ZX37" i="1"/>
  <c r="ZX38" i="1"/>
  <c r="ZX39" i="1"/>
  <c r="ZX40" i="1"/>
  <c r="ZX41" i="1"/>
  <c r="ZX42" i="1"/>
  <c r="ZX43" i="1"/>
  <c r="ZX44" i="1"/>
  <c r="ZX45" i="1"/>
  <c r="ZX46" i="1"/>
  <c r="ZX47" i="1"/>
  <c r="ZX48" i="1"/>
  <c r="ZX49" i="1"/>
  <c r="ZX50" i="1"/>
  <c r="ZX51" i="1"/>
  <c r="ZX52" i="1"/>
  <c r="ZX53" i="1"/>
  <c r="ZX54" i="1"/>
  <c r="ZX55" i="1"/>
  <c r="ZX56" i="1"/>
  <c r="ZX57" i="1"/>
  <c r="ZX58" i="1"/>
  <c r="ZX59" i="1"/>
  <c r="ZX60" i="1"/>
  <c r="ZX61" i="1"/>
  <c r="ZX62" i="1"/>
  <c r="ZX63" i="1"/>
  <c r="ZX64" i="1"/>
  <c r="ZX65" i="1"/>
  <c r="ZX66" i="1"/>
  <c r="ZX67" i="1"/>
  <c r="ZX68" i="1"/>
  <c r="ZX69" i="1"/>
  <c r="ZX70" i="1"/>
  <c r="ZX71" i="1"/>
  <c r="ZX72" i="1"/>
  <c r="ZX73" i="1"/>
  <c r="ZX74" i="1"/>
  <c r="ZX75" i="1"/>
  <c r="ZX76" i="1"/>
  <c r="ZX77" i="1"/>
  <c r="ZX78" i="1"/>
  <c r="ZX79" i="1"/>
  <c r="ZX80" i="1"/>
  <c r="ZX81" i="1"/>
  <c r="ZX82" i="1"/>
  <c r="ZX83" i="1"/>
  <c r="ZX84" i="1"/>
  <c r="ZX85" i="1"/>
  <c r="ZX86" i="1"/>
  <c r="ZX87" i="1"/>
  <c r="ZX88" i="1"/>
  <c r="ZX89" i="1"/>
  <c r="ZX90" i="1"/>
  <c r="ZX91" i="1"/>
  <c r="ZX92" i="1"/>
  <c r="ZX94" i="1"/>
  <c r="ZX95" i="1"/>
  <c r="ZX96" i="1"/>
  <c r="ZX97" i="1"/>
  <c r="ZX98" i="1"/>
  <c r="ZX99" i="1"/>
  <c r="ZX100" i="1"/>
  <c r="ZX101" i="1"/>
  <c r="ZX102" i="1"/>
  <c r="ZX103" i="1"/>
  <c r="ZX104" i="1"/>
  <c r="ZX105" i="1"/>
  <c r="ZX106" i="1"/>
  <c r="ZX107" i="1"/>
  <c r="ZX108" i="1"/>
  <c r="ZX109" i="1"/>
  <c r="ZX110" i="1"/>
  <c r="ZX111" i="1"/>
  <c r="ZX112" i="1"/>
  <c r="ZX113" i="1"/>
  <c r="ZX114" i="1"/>
  <c r="ZX115" i="1"/>
  <c r="ZX116" i="1"/>
  <c r="ZX117" i="1"/>
  <c r="ZX118" i="1"/>
  <c r="ZX119" i="1"/>
  <c r="ZX120" i="1"/>
  <c r="ZX121" i="1"/>
  <c r="ZX122" i="1"/>
  <c r="ZX123" i="1"/>
  <c r="ZX124" i="1"/>
  <c r="ZX125" i="1"/>
  <c r="ZX126" i="1"/>
  <c r="ZX127" i="1"/>
  <c r="ZX128" i="1"/>
  <c r="ZX129" i="1"/>
  <c r="ZX130" i="1"/>
  <c r="ZX131" i="1"/>
  <c r="ZX132" i="1"/>
  <c r="ZX133" i="1"/>
  <c r="ZX134" i="1"/>
  <c r="ZX135" i="1"/>
  <c r="ZX136" i="1"/>
  <c r="ZX137" i="1"/>
  <c r="ZX138" i="1"/>
  <c r="ZX139" i="1"/>
  <c r="ZX140" i="1"/>
  <c r="ZX141" i="1"/>
  <c r="ZX142" i="1"/>
  <c r="ZX143" i="1"/>
  <c r="ZX144" i="1"/>
  <c r="ZX145" i="1"/>
  <c r="ZX146" i="1"/>
  <c r="ZX147" i="1"/>
  <c r="ZX148" i="1"/>
  <c r="ZX149" i="1"/>
  <c r="ZX150" i="1"/>
  <c r="ZX151" i="1"/>
  <c r="ZX152" i="1"/>
  <c r="ZX153" i="1"/>
  <c r="ZX154" i="1"/>
  <c r="ZR2" i="1"/>
  <c r="ZR3" i="1"/>
  <c r="ZR4" i="1"/>
  <c r="ZR5" i="1"/>
  <c r="ZR6" i="1"/>
  <c r="ZR7" i="1"/>
  <c r="ZR8" i="1"/>
  <c r="ZR9" i="1"/>
  <c r="ZR10" i="1"/>
  <c r="ZR11" i="1"/>
  <c r="ZR12" i="1"/>
  <c r="ZR13" i="1"/>
  <c r="ZR14" i="1"/>
  <c r="ZR15" i="1"/>
  <c r="ZR16" i="1"/>
  <c r="ZR17" i="1"/>
  <c r="ZR18" i="1"/>
  <c r="ZR19" i="1"/>
  <c r="ZR20" i="1"/>
  <c r="ZR21" i="1"/>
  <c r="ZR22" i="1"/>
  <c r="ZR23" i="1"/>
  <c r="ZR24" i="1"/>
  <c r="ZR25" i="1"/>
  <c r="ZR26" i="1"/>
  <c r="ZR27" i="1"/>
  <c r="ZR28" i="1"/>
  <c r="ZR29" i="1"/>
  <c r="ZR30" i="1"/>
  <c r="ZR31" i="1"/>
  <c r="ZR32" i="1"/>
  <c r="ZR33" i="1"/>
  <c r="ZR34" i="1"/>
  <c r="ZR35" i="1"/>
  <c r="ZR36" i="1"/>
  <c r="ZR37" i="1"/>
  <c r="ZR38" i="1"/>
  <c r="ZR39" i="1"/>
  <c r="ZR40" i="1"/>
  <c r="ZR41" i="1"/>
  <c r="ZR42" i="1"/>
  <c r="ZR43" i="1"/>
  <c r="ZR44" i="1"/>
  <c r="ZR45" i="1"/>
  <c r="ZR46" i="1"/>
  <c r="ZR47" i="1"/>
  <c r="ZR48" i="1"/>
  <c r="ZR49" i="1"/>
  <c r="ZR50" i="1"/>
  <c r="ZR51" i="1"/>
  <c r="ZR52" i="1"/>
  <c r="ZR53" i="1"/>
  <c r="ZR54" i="1"/>
  <c r="ZR55" i="1"/>
  <c r="ZR56" i="1"/>
  <c r="ZR57" i="1"/>
  <c r="ZR58" i="1"/>
  <c r="ZR59" i="1"/>
  <c r="ZR60" i="1"/>
  <c r="ZR61" i="1"/>
  <c r="ZR62" i="1"/>
  <c r="ZR63" i="1"/>
  <c r="ZR64" i="1"/>
  <c r="ZR65" i="1"/>
  <c r="ZR66" i="1"/>
  <c r="ZR67" i="1"/>
  <c r="ZR68" i="1"/>
  <c r="ZR69" i="1"/>
  <c r="ZR70" i="1"/>
  <c r="ZR71" i="1"/>
  <c r="ZR72" i="1"/>
  <c r="ZR73" i="1"/>
  <c r="ZR74" i="1"/>
  <c r="ZR75" i="1"/>
  <c r="ZR76" i="1"/>
  <c r="ZR77" i="1"/>
  <c r="ZR78" i="1"/>
  <c r="ZR79" i="1"/>
  <c r="ZR80" i="1"/>
  <c r="ZR81" i="1"/>
  <c r="ZR82" i="1"/>
  <c r="ZR83" i="1"/>
  <c r="ZR84" i="1"/>
  <c r="ZR85" i="1"/>
  <c r="ZR86" i="1"/>
  <c r="ZR87" i="1"/>
  <c r="ZR88" i="1"/>
  <c r="ZR89" i="1"/>
  <c r="ZR90" i="1"/>
  <c r="ZR91" i="1"/>
  <c r="ZR92" i="1"/>
  <c r="ZR94" i="1"/>
  <c r="ZR95" i="1"/>
  <c r="ZR96" i="1"/>
  <c r="ZR97" i="1"/>
  <c r="ZR98" i="1"/>
  <c r="ZR99" i="1"/>
  <c r="ZR100" i="1"/>
  <c r="ZR101" i="1"/>
  <c r="ZR102" i="1"/>
  <c r="ZR103" i="1"/>
  <c r="ZR104" i="1"/>
  <c r="ZR105" i="1"/>
  <c r="ZR106" i="1"/>
  <c r="ZR107" i="1"/>
  <c r="ZR108" i="1"/>
  <c r="ZR109" i="1"/>
  <c r="ZR110" i="1"/>
  <c r="ZR111" i="1"/>
  <c r="ZR112" i="1"/>
  <c r="ZR113" i="1"/>
  <c r="ZR114" i="1"/>
  <c r="ZR115" i="1"/>
  <c r="ZR116" i="1"/>
  <c r="ZR117" i="1"/>
  <c r="ZR118" i="1"/>
  <c r="ZR119" i="1"/>
  <c r="ZR120" i="1"/>
  <c r="ZR121" i="1"/>
  <c r="ZR122" i="1"/>
  <c r="ZR123" i="1"/>
  <c r="ZR124" i="1"/>
  <c r="ZR125" i="1"/>
  <c r="ZR126" i="1"/>
  <c r="ZR127" i="1"/>
  <c r="ZR128" i="1"/>
  <c r="ZR129" i="1"/>
  <c r="ZR130" i="1"/>
  <c r="ZR131" i="1"/>
  <c r="ZR132" i="1"/>
  <c r="ZR133" i="1"/>
  <c r="ZR134" i="1"/>
  <c r="ZR135" i="1"/>
  <c r="ZR136" i="1"/>
  <c r="ZR137" i="1"/>
  <c r="ZR138" i="1"/>
  <c r="ZR139" i="1"/>
  <c r="ZR140" i="1"/>
  <c r="ZR141" i="1"/>
  <c r="ZR142" i="1"/>
  <c r="ZR143" i="1"/>
  <c r="ZR144" i="1"/>
  <c r="ZR145" i="1"/>
  <c r="ZR146" i="1"/>
  <c r="ZR147" i="1"/>
  <c r="ZR148" i="1"/>
  <c r="ZR149" i="1"/>
  <c r="ZR150" i="1"/>
  <c r="ZR151" i="1"/>
  <c r="ZR152" i="1"/>
  <c r="ZR153" i="1"/>
  <c r="ZR154" i="1"/>
  <c r="YX2" i="1"/>
  <c r="YX3" i="1"/>
  <c r="YX4" i="1"/>
  <c r="YX5" i="1"/>
  <c r="YX6" i="1"/>
  <c r="YX7" i="1"/>
  <c r="YX8" i="1"/>
  <c r="YX9" i="1"/>
  <c r="YX10" i="1"/>
  <c r="YX11" i="1"/>
  <c r="YX12" i="1"/>
  <c r="YX13" i="1"/>
  <c r="YX14" i="1"/>
  <c r="YX15" i="1"/>
  <c r="YX16" i="1"/>
  <c r="YX17" i="1"/>
  <c r="YX18" i="1"/>
  <c r="YX19" i="1"/>
  <c r="YX20" i="1"/>
  <c r="YX21" i="1"/>
  <c r="YX22" i="1"/>
  <c r="YX23" i="1"/>
  <c r="YX24" i="1"/>
  <c r="YX25" i="1"/>
  <c r="YX26" i="1"/>
  <c r="YX27" i="1"/>
  <c r="YX28" i="1"/>
  <c r="YX29" i="1"/>
  <c r="YX30" i="1"/>
  <c r="YX31" i="1"/>
  <c r="YX32" i="1"/>
  <c r="YX33" i="1"/>
  <c r="YX34" i="1"/>
  <c r="YX35" i="1"/>
  <c r="YX36" i="1"/>
  <c r="YX37" i="1"/>
  <c r="YX38" i="1"/>
  <c r="YX39" i="1"/>
  <c r="YX40" i="1"/>
  <c r="YX41" i="1"/>
  <c r="YX42" i="1"/>
  <c r="YX43" i="1"/>
  <c r="YX44" i="1"/>
  <c r="YX45" i="1"/>
  <c r="YX46" i="1"/>
  <c r="YX47" i="1"/>
  <c r="YX48" i="1"/>
  <c r="YX49" i="1"/>
  <c r="YX50" i="1"/>
  <c r="YX51" i="1"/>
  <c r="YX52" i="1"/>
  <c r="YX53" i="1"/>
  <c r="YX54" i="1"/>
  <c r="YX55" i="1"/>
  <c r="YX56" i="1"/>
  <c r="YX57" i="1"/>
  <c r="YX58" i="1"/>
  <c r="YX59" i="1"/>
  <c r="YX60" i="1"/>
  <c r="YX61" i="1"/>
  <c r="YX62" i="1"/>
  <c r="YX63" i="1"/>
  <c r="YX64" i="1"/>
  <c r="YX65" i="1"/>
  <c r="YX66" i="1"/>
  <c r="YX67" i="1"/>
  <c r="YX68" i="1"/>
  <c r="YX69" i="1"/>
  <c r="YX70" i="1"/>
  <c r="YX71" i="1"/>
  <c r="YX72" i="1"/>
  <c r="YX73" i="1"/>
  <c r="YX74" i="1"/>
  <c r="YX75" i="1"/>
  <c r="YX76" i="1"/>
  <c r="YX77" i="1"/>
  <c r="YX78" i="1"/>
  <c r="YX79" i="1"/>
  <c r="YX80" i="1"/>
  <c r="YX81" i="1"/>
  <c r="YX82" i="1"/>
  <c r="YX83" i="1"/>
  <c r="YX84" i="1"/>
  <c r="YX85" i="1"/>
  <c r="YX86" i="1"/>
  <c r="YX87" i="1"/>
  <c r="YX88" i="1"/>
  <c r="YX89" i="1"/>
  <c r="YX90" i="1"/>
  <c r="YX91" i="1"/>
  <c r="YX92" i="1"/>
  <c r="YX94" i="1"/>
  <c r="YX95" i="1"/>
  <c r="YX96" i="1"/>
  <c r="YX97" i="1"/>
  <c r="YX98" i="1"/>
  <c r="YX99" i="1"/>
  <c r="YX100" i="1"/>
  <c r="YX101" i="1"/>
  <c r="YX102" i="1"/>
  <c r="YX103" i="1"/>
  <c r="YX104" i="1"/>
  <c r="YX105" i="1"/>
  <c r="YX106" i="1"/>
  <c r="YX107" i="1"/>
  <c r="YX108" i="1"/>
  <c r="YX109" i="1"/>
  <c r="YX110" i="1"/>
  <c r="YX111" i="1"/>
  <c r="YX112" i="1"/>
  <c r="YX113" i="1"/>
  <c r="YX114" i="1"/>
  <c r="YX115" i="1"/>
  <c r="YX116" i="1"/>
  <c r="YX117" i="1"/>
  <c r="YX118" i="1"/>
  <c r="YX119" i="1"/>
  <c r="YX120" i="1"/>
  <c r="YX121" i="1"/>
  <c r="YX122" i="1"/>
  <c r="YX123" i="1"/>
  <c r="YX124" i="1"/>
  <c r="YX125" i="1"/>
  <c r="YX126" i="1"/>
  <c r="YX127" i="1"/>
  <c r="YX128" i="1"/>
  <c r="YX129" i="1"/>
  <c r="YX130" i="1"/>
  <c r="YX131" i="1"/>
  <c r="YX132" i="1"/>
  <c r="YX133" i="1"/>
  <c r="YX134" i="1"/>
  <c r="YX135" i="1"/>
  <c r="YX136" i="1"/>
  <c r="YX137" i="1"/>
  <c r="YX138" i="1"/>
  <c r="YX139" i="1"/>
  <c r="YX140" i="1"/>
  <c r="YX141" i="1"/>
  <c r="YX142" i="1"/>
  <c r="YX143" i="1"/>
  <c r="YX144" i="1"/>
  <c r="YX145" i="1"/>
  <c r="YX146" i="1"/>
  <c r="YX147" i="1"/>
  <c r="YX148" i="1"/>
  <c r="YX149" i="1"/>
  <c r="YX150" i="1"/>
  <c r="YX151" i="1"/>
  <c r="YX152" i="1"/>
  <c r="YX153" i="1"/>
  <c r="YX154" i="1"/>
  <c r="YD2" i="1"/>
  <c r="YD3" i="1"/>
  <c r="YD4" i="1"/>
  <c r="YD5" i="1"/>
  <c r="YD6" i="1"/>
  <c r="YD7" i="1"/>
  <c r="YD8" i="1"/>
  <c r="YD9" i="1"/>
  <c r="YD10" i="1"/>
  <c r="YD11" i="1"/>
  <c r="YD12" i="1"/>
  <c r="YD13" i="1"/>
  <c r="YD14" i="1"/>
  <c r="YD15" i="1"/>
  <c r="YD16" i="1"/>
  <c r="YD17" i="1"/>
  <c r="YD18" i="1"/>
  <c r="YD19" i="1"/>
  <c r="YD20" i="1"/>
  <c r="YD21" i="1"/>
  <c r="YD22" i="1"/>
  <c r="YD23" i="1"/>
  <c r="YD24" i="1"/>
  <c r="YD25" i="1"/>
  <c r="YD26" i="1"/>
  <c r="YD27" i="1"/>
  <c r="YD28" i="1"/>
  <c r="YD29" i="1"/>
  <c r="YD30" i="1"/>
  <c r="YD31" i="1"/>
  <c r="YD32" i="1"/>
  <c r="YD33" i="1"/>
  <c r="YD34" i="1"/>
  <c r="YD35" i="1"/>
  <c r="YD36" i="1"/>
  <c r="YD37" i="1"/>
  <c r="YD38" i="1"/>
  <c r="YD39" i="1"/>
  <c r="YD40" i="1"/>
  <c r="YD41" i="1"/>
  <c r="YD42" i="1"/>
  <c r="YD43" i="1"/>
  <c r="YD44" i="1"/>
  <c r="YD45" i="1"/>
  <c r="YD46" i="1"/>
  <c r="YD47" i="1"/>
  <c r="YD48" i="1"/>
  <c r="YD49" i="1"/>
  <c r="YD50" i="1"/>
  <c r="YD51" i="1"/>
  <c r="YD52" i="1"/>
  <c r="YD53" i="1"/>
  <c r="YD54" i="1"/>
  <c r="YD55" i="1"/>
  <c r="YD56" i="1"/>
  <c r="YD57" i="1"/>
  <c r="YD58" i="1"/>
  <c r="YD59" i="1"/>
  <c r="YD60" i="1"/>
  <c r="YD61" i="1"/>
  <c r="YD62" i="1"/>
  <c r="YD63" i="1"/>
  <c r="YD64" i="1"/>
  <c r="YD65" i="1"/>
  <c r="YD66" i="1"/>
  <c r="YD67" i="1"/>
  <c r="YD68" i="1"/>
  <c r="YD69" i="1"/>
  <c r="YD70" i="1"/>
  <c r="YD71" i="1"/>
  <c r="YD72" i="1"/>
  <c r="YD73" i="1"/>
  <c r="YD74" i="1"/>
  <c r="YD75" i="1"/>
  <c r="YD76" i="1"/>
  <c r="YD77" i="1"/>
  <c r="YD78" i="1"/>
  <c r="YD79" i="1"/>
  <c r="YD80" i="1"/>
  <c r="YD81" i="1"/>
  <c r="YD82" i="1"/>
  <c r="YD83" i="1"/>
  <c r="YD84" i="1"/>
  <c r="YD85" i="1"/>
  <c r="YD86" i="1"/>
  <c r="YD87" i="1"/>
  <c r="YD88" i="1"/>
  <c r="YD89" i="1"/>
  <c r="YD90" i="1"/>
  <c r="YD91" i="1"/>
  <c r="YD92" i="1"/>
  <c r="YD94" i="1"/>
  <c r="YD95" i="1"/>
  <c r="YD96" i="1"/>
  <c r="YD97" i="1"/>
  <c r="YD98" i="1"/>
  <c r="YD99" i="1"/>
  <c r="YD100" i="1"/>
  <c r="YD101" i="1"/>
  <c r="YD102" i="1"/>
  <c r="YD103" i="1"/>
  <c r="YD104" i="1"/>
  <c r="YD105" i="1"/>
  <c r="YD106" i="1"/>
  <c r="YD107" i="1"/>
  <c r="YD108" i="1"/>
  <c r="YD109" i="1"/>
  <c r="YD110" i="1"/>
  <c r="YD111" i="1"/>
  <c r="YD112" i="1"/>
  <c r="YD113" i="1"/>
  <c r="YD114" i="1"/>
  <c r="YD115" i="1"/>
  <c r="YD116" i="1"/>
  <c r="YD117" i="1"/>
  <c r="YD118" i="1"/>
  <c r="YD119" i="1"/>
  <c r="YD120" i="1"/>
  <c r="YD121" i="1"/>
  <c r="YD122" i="1"/>
  <c r="YD123" i="1"/>
  <c r="YD124" i="1"/>
  <c r="YD125" i="1"/>
  <c r="YD126" i="1"/>
  <c r="YD127" i="1"/>
  <c r="YD128" i="1"/>
  <c r="YD129" i="1"/>
  <c r="YD130" i="1"/>
  <c r="YD131" i="1"/>
  <c r="YD132" i="1"/>
  <c r="YD133" i="1"/>
  <c r="YD134" i="1"/>
  <c r="YD135" i="1"/>
  <c r="YD136" i="1"/>
  <c r="YD137" i="1"/>
  <c r="YD138" i="1"/>
  <c r="YD139" i="1"/>
  <c r="YD140" i="1"/>
  <c r="YD141" i="1"/>
  <c r="YD142" i="1"/>
  <c r="YD143" i="1"/>
  <c r="YD144" i="1"/>
  <c r="YD145" i="1"/>
  <c r="YD146" i="1"/>
  <c r="YD147" i="1"/>
  <c r="YD148" i="1"/>
  <c r="YD149" i="1"/>
  <c r="YD150" i="1"/>
  <c r="YD151" i="1"/>
  <c r="YD152" i="1"/>
  <c r="YD153" i="1"/>
  <c r="YD154" i="1"/>
  <c r="XH2" i="1"/>
  <c r="XH3" i="1"/>
  <c r="XH4" i="1"/>
  <c r="XH5" i="1"/>
  <c r="XH6" i="1"/>
  <c r="XH7" i="1"/>
  <c r="XH8" i="1"/>
  <c r="XH9" i="1"/>
  <c r="XH10" i="1"/>
  <c r="XH11" i="1"/>
  <c r="XH12" i="1"/>
  <c r="XH13" i="1"/>
  <c r="XH14" i="1"/>
  <c r="XH15" i="1"/>
  <c r="XH16" i="1"/>
  <c r="XH17" i="1"/>
  <c r="XH18" i="1"/>
  <c r="XH19" i="1"/>
  <c r="XH20" i="1"/>
  <c r="XH21" i="1"/>
  <c r="XH22" i="1"/>
  <c r="XH23" i="1"/>
  <c r="XH24" i="1"/>
  <c r="XH25" i="1"/>
  <c r="XH26" i="1"/>
  <c r="XH27" i="1"/>
  <c r="XH28" i="1"/>
  <c r="XH29" i="1"/>
  <c r="XH30" i="1"/>
  <c r="XH31" i="1"/>
  <c r="XH32" i="1"/>
  <c r="XH33" i="1"/>
  <c r="XH34" i="1"/>
  <c r="XH35" i="1"/>
  <c r="XH36" i="1"/>
  <c r="XH37" i="1"/>
  <c r="XH38" i="1"/>
  <c r="XH39" i="1"/>
  <c r="XH40" i="1"/>
  <c r="XH41" i="1"/>
  <c r="XH42" i="1"/>
  <c r="XH43" i="1"/>
  <c r="XH44" i="1"/>
  <c r="XH45" i="1"/>
  <c r="XH46" i="1"/>
  <c r="XH47" i="1"/>
  <c r="XH48" i="1"/>
  <c r="XH49" i="1"/>
  <c r="XH50" i="1"/>
  <c r="XH51" i="1"/>
  <c r="XH52" i="1"/>
  <c r="XH53" i="1"/>
  <c r="XH54" i="1"/>
  <c r="XH55" i="1"/>
  <c r="XH56" i="1"/>
  <c r="XH57" i="1"/>
  <c r="XH58" i="1"/>
  <c r="XH59" i="1"/>
  <c r="XH60" i="1"/>
  <c r="XH61" i="1"/>
  <c r="XH62" i="1"/>
  <c r="XH63" i="1"/>
  <c r="XH64" i="1"/>
  <c r="XH65" i="1"/>
  <c r="XH66" i="1"/>
  <c r="XH67" i="1"/>
  <c r="XH68" i="1"/>
  <c r="XH69" i="1"/>
  <c r="XH70" i="1"/>
  <c r="XH71" i="1"/>
  <c r="XH72" i="1"/>
  <c r="XH73" i="1"/>
  <c r="XH74" i="1"/>
  <c r="XH75" i="1"/>
  <c r="XH76" i="1"/>
  <c r="XH77" i="1"/>
  <c r="XH78" i="1"/>
  <c r="XH79" i="1"/>
  <c r="XH80" i="1"/>
  <c r="XH81" i="1"/>
  <c r="XH82" i="1"/>
  <c r="XH83" i="1"/>
  <c r="XH84" i="1"/>
  <c r="XH85" i="1"/>
  <c r="XH86" i="1"/>
  <c r="XH87" i="1"/>
  <c r="XH88" i="1"/>
  <c r="XH89" i="1"/>
  <c r="XH90" i="1"/>
  <c r="XH91" i="1"/>
  <c r="XH92" i="1"/>
  <c r="XH94" i="1"/>
  <c r="XH95" i="1"/>
  <c r="XH96" i="1"/>
  <c r="XH97" i="1"/>
  <c r="XH98" i="1"/>
  <c r="XH99" i="1"/>
  <c r="XH100" i="1"/>
  <c r="XH101" i="1"/>
  <c r="XH102" i="1"/>
  <c r="XH103" i="1"/>
  <c r="XH104" i="1"/>
  <c r="XH105" i="1"/>
  <c r="XH106" i="1"/>
  <c r="XH107" i="1"/>
  <c r="XH108" i="1"/>
  <c r="XH109" i="1"/>
  <c r="XH110" i="1"/>
  <c r="XH111" i="1"/>
  <c r="XH112" i="1"/>
  <c r="XH113" i="1"/>
  <c r="XH114" i="1"/>
  <c r="XH115" i="1"/>
  <c r="XH116" i="1"/>
  <c r="XH117" i="1"/>
  <c r="XH118" i="1"/>
  <c r="XH119" i="1"/>
  <c r="XH120" i="1"/>
  <c r="XH121" i="1"/>
  <c r="XH122" i="1"/>
  <c r="XH123" i="1"/>
  <c r="XH124" i="1"/>
  <c r="XH125" i="1"/>
  <c r="XH126" i="1"/>
  <c r="XH127" i="1"/>
  <c r="XH128" i="1"/>
  <c r="XH129" i="1"/>
  <c r="XH130" i="1"/>
  <c r="XH131" i="1"/>
  <c r="XH132" i="1"/>
  <c r="XH133" i="1"/>
  <c r="XH134" i="1"/>
  <c r="XH135" i="1"/>
  <c r="XH136" i="1"/>
  <c r="XH137" i="1"/>
  <c r="XH138" i="1"/>
  <c r="XH139" i="1"/>
  <c r="XH140" i="1"/>
  <c r="XH141" i="1"/>
  <c r="XH142" i="1"/>
  <c r="XH143" i="1"/>
  <c r="XH144" i="1"/>
  <c r="XH145" i="1"/>
  <c r="XH146" i="1"/>
  <c r="XH147" i="1"/>
  <c r="XH148" i="1"/>
  <c r="XH149" i="1"/>
  <c r="XH150" i="1"/>
  <c r="XH151" i="1"/>
  <c r="XH152" i="1"/>
  <c r="XH153" i="1"/>
  <c r="XH154" i="1"/>
  <c r="WM2" i="1"/>
  <c r="WM3" i="1"/>
  <c r="WM4" i="1"/>
  <c r="WM5" i="1"/>
  <c r="WM6" i="1"/>
  <c r="WM7" i="1"/>
  <c r="WM8" i="1"/>
  <c r="WM9" i="1"/>
  <c r="WM10" i="1"/>
  <c r="WM11" i="1"/>
  <c r="WM12" i="1"/>
  <c r="WM13" i="1"/>
  <c r="WM14" i="1"/>
  <c r="WM15" i="1"/>
  <c r="WM16" i="1"/>
  <c r="WM17" i="1"/>
  <c r="WM18" i="1"/>
  <c r="WM19" i="1"/>
  <c r="WM20" i="1"/>
  <c r="WM21" i="1"/>
  <c r="WM22" i="1"/>
  <c r="WM23" i="1"/>
  <c r="WM24" i="1"/>
  <c r="WM25" i="1"/>
  <c r="WM26" i="1"/>
  <c r="WM27" i="1"/>
  <c r="WM28" i="1"/>
  <c r="WM29" i="1"/>
  <c r="WM30" i="1"/>
  <c r="WM31" i="1"/>
  <c r="WM32" i="1"/>
  <c r="WM33" i="1"/>
  <c r="WM34" i="1"/>
  <c r="WM35" i="1"/>
  <c r="WM36" i="1"/>
  <c r="WM37" i="1"/>
  <c r="WM38" i="1"/>
  <c r="WM39" i="1"/>
  <c r="WM40" i="1"/>
  <c r="WM41" i="1"/>
  <c r="WM42" i="1"/>
  <c r="WM43" i="1"/>
  <c r="WM44" i="1"/>
  <c r="WM45" i="1"/>
  <c r="WM46" i="1"/>
  <c r="WM47" i="1"/>
  <c r="WM48" i="1"/>
  <c r="WM49" i="1"/>
  <c r="WM50" i="1"/>
  <c r="WM51" i="1"/>
  <c r="WM52" i="1"/>
  <c r="WM53" i="1"/>
  <c r="WM54" i="1"/>
  <c r="WM55" i="1"/>
  <c r="WM56" i="1"/>
  <c r="WM57" i="1"/>
  <c r="WM58" i="1"/>
  <c r="WM59" i="1"/>
  <c r="WM60" i="1"/>
  <c r="WM61" i="1"/>
  <c r="WM62" i="1"/>
  <c r="WM63" i="1"/>
  <c r="WM64" i="1"/>
  <c r="WM65" i="1"/>
  <c r="WM66" i="1"/>
  <c r="WM67" i="1"/>
  <c r="WM68" i="1"/>
  <c r="WM69" i="1"/>
  <c r="WM70" i="1"/>
  <c r="WM71" i="1"/>
  <c r="WM72" i="1"/>
  <c r="WM73" i="1"/>
  <c r="WM74" i="1"/>
  <c r="WM75" i="1"/>
  <c r="WM76" i="1"/>
  <c r="WM77" i="1"/>
  <c r="WM78" i="1"/>
  <c r="WM79" i="1"/>
  <c r="WM80" i="1"/>
  <c r="WM81" i="1"/>
  <c r="WM82" i="1"/>
  <c r="WM83" i="1"/>
  <c r="WM84" i="1"/>
  <c r="WM85" i="1"/>
  <c r="WM86" i="1"/>
  <c r="WM87" i="1"/>
  <c r="WM88" i="1"/>
  <c r="WM89" i="1"/>
  <c r="WM90" i="1"/>
  <c r="WM91" i="1"/>
  <c r="WM92" i="1"/>
  <c r="WM94" i="1"/>
  <c r="WM95" i="1"/>
  <c r="WM96" i="1"/>
  <c r="WM97" i="1"/>
  <c r="WM98" i="1"/>
  <c r="WM99" i="1"/>
  <c r="WM100" i="1"/>
  <c r="WM101" i="1"/>
  <c r="WM102" i="1"/>
  <c r="WM103" i="1"/>
  <c r="WM104" i="1"/>
  <c r="WM105" i="1"/>
  <c r="WM106" i="1"/>
  <c r="WM107" i="1"/>
  <c r="WM108" i="1"/>
  <c r="WM109" i="1"/>
  <c r="WM110" i="1"/>
  <c r="WM111" i="1"/>
  <c r="WM112" i="1"/>
  <c r="WM113" i="1"/>
  <c r="WM114" i="1"/>
  <c r="WM115" i="1"/>
  <c r="WM116" i="1"/>
  <c r="WM117" i="1"/>
  <c r="WM118" i="1"/>
  <c r="WM119" i="1"/>
  <c r="WM120" i="1"/>
  <c r="WM121" i="1"/>
  <c r="WM122" i="1"/>
  <c r="WM123" i="1"/>
  <c r="WM124" i="1"/>
  <c r="WM125" i="1"/>
  <c r="WM126" i="1"/>
  <c r="WM127" i="1"/>
  <c r="WM128" i="1"/>
  <c r="WM129" i="1"/>
  <c r="WM130" i="1"/>
  <c r="WM131" i="1"/>
  <c r="WM132" i="1"/>
  <c r="WM133" i="1"/>
  <c r="WM134" i="1"/>
  <c r="WM135" i="1"/>
  <c r="WM136" i="1"/>
  <c r="WM137" i="1"/>
  <c r="WM138" i="1"/>
  <c r="WM139" i="1"/>
  <c r="WM140" i="1"/>
  <c r="WM141" i="1"/>
  <c r="WM142" i="1"/>
  <c r="WM143" i="1"/>
  <c r="WM144" i="1"/>
  <c r="WM145" i="1"/>
  <c r="WM146" i="1"/>
  <c r="WM147" i="1"/>
  <c r="WM148" i="1"/>
  <c r="WM149" i="1"/>
  <c r="WM150" i="1"/>
  <c r="WM151" i="1"/>
  <c r="WM152" i="1"/>
  <c r="WM153" i="1"/>
  <c r="WM154" i="1"/>
  <c r="VJ2" i="1"/>
  <c r="VJ3" i="1"/>
  <c r="VJ4" i="1"/>
  <c r="VJ5" i="1"/>
  <c r="VJ6" i="1"/>
  <c r="VJ7" i="1"/>
  <c r="VJ8" i="1"/>
  <c r="VJ9" i="1"/>
  <c r="VJ10" i="1"/>
  <c r="VJ11" i="1"/>
  <c r="VJ12" i="1"/>
  <c r="VJ13" i="1"/>
  <c r="VJ14" i="1"/>
  <c r="VJ15" i="1"/>
  <c r="VJ16" i="1"/>
  <c r="VJ17" i="1"/>
  <c r="VJ18" i="1"/>
  <c r="VJ19" i="1"/>
  <c r="VJ20" i="1"/>
  <c r="VJ21" i="1"/>
  <c r="VJ22" i="1"/>
  <c r="VJ23" i="1"/>
  <c r="VJ24" i="1"/>
  <c r="VJ25" i="1"/>
  <c r="VJ26" i="1"/>
  <c r="VJ27" i="1"/>
  <c r="VJ28" i="1"/>
  <c r="VJ29" i="1"/>
  <c r="VJ30" i="1"/>
  <c r="VJ31" i="1"/>
  <c r="VJ32" i="1"/>
  <c r="VJ33" i="1"/>
  <c r="VJ34" i="1"/>
  <c r="VJ35" i="1"/>
  <c r="VJ36" i="1"/>
  <c r="VJ37" i="1"/>
  <c r="VJ38" i="1"/>
  <c r="VJ39" i="1"/>
  <c r="VJ40" i="1"/>
  <c r="VJ41" i="1"/>
  <c r="VJ42" i="1"/>
  <c r="VJ43" i="1"/>
  <c r="VJ44" i="1"/>
  <c r="VJ45" i="1"/>
  <c r="VJ46" i="1"/>
  <c r="VJ47" i="1"/>
  <c r="VJ48" i="1"/>
  <c r="VJ49" i="1"/>
  <c r="VJ50" i="1"/>
  <c r="VJ51" i="1"/>
  <c r="VJ52" i="1"/>
  <c r="VJ53" i="1"/>
  <c r="VJ54" i="1"/>
  <c r="VJ55" i="1"/>
  <c r="VJ56" i="1"/>
  <c r="VJ57" i="1"/>
  <c r="VJ58" i="1"/>
  <c r="VJ59" i="1"/>
  <c r="VJ60" i="1"/>
  <c r="VJ61" i="1"/>
  <c r="VJ62" i="1"/>
  <c r="VJ63" i="1"/>
  <c r="VJ64" i="1"/>
  <c r="VJ65" i="1"/>
  <c r="VJ66" i="1"/>
  <c r="VJ67" i="1"/>
  <c r="VJ68" i="1"/>
  <c r="VJ69" i="1"/>
  <c r="VJ70" i="1"/>
  <c r="VJ71" i="1"/>
  <c r="VJ72" i="1"/>
  <c r="VJ73" i="1"/>
  <c r="VJ74" i="1"/>
  <c r="VJ75" i="1"/>
  <c r="VJ76" i="1"/>
  <c r="VJ77" i="1"/>
  <c r="VJ78" i="1"/>
  <c r="VJ79" i="1"/>
  <c r="VJ80" i="1"/>
  <c r="VJ81" i="1"/>
  <c r="VJ82" i="1"/>
  <c r="VJ83" i="1"/>
  <c r="VJ84" i="1"/>
  <c r="VJ85" i="1"/>
  <c r="VJ86" i="1"/>
  <c r="VJ87" i="1"/>
  <c r="VJ88" i="1"/>
  <c r="VJ89" i="1"/>
  <c r="VJ90" i="1"/>
  <c r="VJ91" i="1"/>
  <c r="VJ92" i="1"/>
  <c r="VJ94" i="1"/>
  <c r="VJ95" i="1"/>
  <c r="VJ96" i="1"/>
  <c r="VJ97" i="1"/>
  <c r="VJ98" i="1"/>
  <c r="VJ99" i="1"/>
  <c r="VJ100" i="1"/>
  <c r="VJ101" i="1"/>
  <c r="VJ102" i="1"/>
  <c r="VJ103" i="1"/>
  <c r="VJ104" i="1"/>
  <c r="VJ105" i="1"/>
  <c r="VJ106" i="1"/>
  <c r="VJ107" i="1"/>
  <c r="VJ108" i="1"/>
  <c r="VJ109" i="1"/>
  <c r="VJ110" i="1"/>
  <c r="VJ111" i="1"/>
  <c r="VJ112" i="1"/>
  <c r="VJ113" i="1"/>
  <c r="VJ114" i="1"/>
  <c r="VJ115" i="1"/>
  <c r="VJ116" i="1"/>
  <c r="VJ117" i="1"/>
  <c r="VJ118" i="1"/>
  <c r="VJ119" i="1"/>
  <c r="VJ120" i="1"/>
  <c r="VJ121" i="1"/>
  <c r="VJ122" i="1"/>
  <c r="VJ123" i="1"/>
  <c r="VJ124" i="1"/>
  <c r="VJ125" i="1"/>
  <c r="VJ126" i="1"/>
  <c r="VJ127" i="1"/>
  <c r="VJ128" i="1"/>
  <c r="VJ129" i="1"/>
  <c r="VJ130" i="1"/>
  <c r="VJ131" i="1"/>
  <c r="VJ132" i="1"/>
  <c r="VJ133" i="1"/>
  <c r="VJ134" i="1"/>
  <c r="VJ135" i="1"/>
  <c r="VJ136" i="1"/>
  <c r="VJ137" i="1"/>
  <c r="VJ138" i="1"/>
  <c r="VJ139" i="1"/>
  <c r="VJ140" i="1"/>
  <c r="VJ141" i="1"/>
  <c r="VJ142" i="1"/>
  <c r="VJ143" i="1"/>
  <c r="VJ144" i="1"/>
  <c r="VJ145" i="1"/>
  <c r="VJ146" i="1"/>
  <c r="VJ147" i="1"/>
  <c r="VJ148" i="1"/>
  <c r="VJ149" i="1"/>
  <c r="VJ150" i="1"/>
  <c r="VJ151" i="1"/>
  <c r="VJ152" i="1"/>
  <c r="VJ153" i="1"/>
  <c r="VJ154" i="1"/>
  <c r="UE2" i="1"/>
  <c r="UE3" i="1"/>
  <c r="UE4" i="1"/>
  <c r="UE5" i="1"/>
  <c r="UE6" i="1"/>
  <c r="UE7" i="1"/>
  <c r="UE8" i="1"/>
  <c r="UE9" i="1"/>
  <c r="UE10" i="1"/>
  <c r="UE11" i="1"/>
  <c r="UE12" i="1"/>
  <c r="UE13" i="1"/>
  <c r="UE14" i="1"/>
  <c r="UE15" i="1"/>
  <c r="UE16" i="1"/>
  <c r="UE17" i="1"/>
  <c r="UE18" i="1"/>
  <c r="UE19" i="1"/>
  <c r="UE20" i="1"/>
  <c r="UE21" i="1"/>
  <c r="UE22" i="1"/>
  <c r="UE23" i="1"/>
  <c r="UE24" i="1"/>
  <c r="UE25" i="1"/>
  <c r="UE26" i="1"/>
  <c r="UE27" i="1"/>
  <c r="UE28" i="1"/>
  <c r="UE29" i="1"/>
  <c r="UE30" i="1"/>
  <c r="UE31" i="1"/>
  <c r="UE32" i="1"/>
  <c r="UE33" i="1"/>
  <c r="UE34" i="1"/>
  <c r="UE35" i="1"/>
  <c r="UE36" i="1"/>
  <c r="UE37" i="1"/>
  <c r="UE38" i="1"/>
  <c r="UE39" i="1"/>
  <c r="UE40" i="1"/>
  <c r="UE41" i="1"/>
  <c r="UE42" i="1"/>
  <c r="UE43" i="1"/>
  <c r="UE44" i="1"/>
  <c r="UE45" i="1"/>
  <c r="UE46" i="1"/>
  <c r="UE47" i="1"/>
  <c r="UE48" i="1"/>
  <c r="UE49" i="1"/>
  <c r="UE50" i="1"/>
  <c r="UE51" i="1"/>
  <c r="UE52" i="1"/>
  <c r="UE53" i="1"/>
  <c r="UE54" i="1"/>
  <c r="UE55" i="1"/>
  <c r="UE56" i="1"/>
  <c r="UE57" i="1"/>
  <c r="UE58" i="1"/>
  <c r="UE59" i="1"/>
  <c r="UE60" i="1"/>
  <c r="UE61" i="1"/>
  <c r="UE62" i="1"/>
  <c r="UE63" i="1"/>
  <c r="UE64" i="1"/>
  <c r="UE65" i="1"/>
  <c r="UE66" i="1"/>
  <c r="UE67" i="1"/>
  <c r="UE68" i="1"/>
  <c r="UE69" i="1"/>
  <c r="UE70" i="1"/>
  <c r="UE71" i="1"/>
  <c r="UE72" i="1"/>
  <c r="UE73" i="1"/>
  <c r="UE74" i="1"/>
  <c r="UE75" i="1"/>
  <c r="UE76" i="1"/>
  <c r="UE77" i="1"/>
  <c r="UE78" i="1"/>
  <c r="UE79" i="1"/>
  <c r="UE80" i="1"/>
  <c r="UE81" i="1"/>
  <c r="UE82" i="1"/>
  <c r="UE83" i="1"/>
  <c r="UE84" i="1"/>
  <c r="UE85" i="1"/>
  <c r="UE86" i="1"/>
  <c r="UE87" i="1"/>
  <c r="UE88" i="1"/>
  <c r="UE89" i="1"/>
  <c r="UE90" i="1"/>
  <c r="UE91" i="1"/>
  <c r="UE92" i="1"/>
  <c r="UE94" i="1"/>
  <c r="UE95" i="1"/>
  <c r="UE96" i="1"/>
  <c r="UE97" i="1"/>
  <c r="UE98" i="1"/>
  <c r="UE99" i="1"/>
  <c r="UE100" i="1"/>
  <c r="UE101" i="1"/>
  <c r="UE102" i="1"/>
  <c r="UE103" i="1"/>
  <c r="UE104" i="1"/>
  <c r="UE105" i="1"/>
  <c r="UE106" i="1"/>
  <c r="UE107" i="1"/>
  <c r="UE108" i="1"/>
  <c r="UE109" i="1"/>
  <c r="UE110" i="1"/>
  <c r="UE111" i="1"/>
  <c r="UE112" i="1"/>
  <c r="UE113" i="1"/>
  <c r="UE114" i="1"/>
  <c r="UE115" i="1"/>
  <c r="UE116" i="1"/>
  <c r="UE117" i="1"/>
  <c r="UE118" i="1"/>
  <c r="UE119" i="1"/>
  <c r="UE120" i="1"/>
  <c r="UE121" i="1"/>
  <c r="UE122" i="1"/>
  <c r="UE123" i="1"/>
  <c r="UE124" i="1"/>
  <c r="UE125" i="1"/>
  <c r="UE126" i="1"/>
  <c r="UE127" i="1"/>
  <c r="UE128" i="1"/>
  <c r="UE129" i="1"/>
  <c r="UE130" i="1"/>
  <c r="UE131" i="1"/>
  <c r="UE132" i="1"/>
  <c r="UE133" i="1"/>
  <c r="UE134" i="1"/>
  <c r="UE135" i="1"/>
  <c r="UE136" i="1"/>
  <c r="UE137" i="1"/>
  <c r="UE138" i="1"/>
  <c r="UE139" i="1"/>
  <c r="UE140" i="1"/>
  <c r="UE141" i="1"/>
  <c r="UE142" i="1"/>
  <c r="UE143" i="1"/>
  <c r="UE144" i="1"/>
  <c r="UE145" i="1"/>
  <c r="UE146" i="1"/>
  <c r="UE147" i="1"/>
  <c r="UE148" i="1"/>
  <c r="UE149" i="1"/>
  <c r="UE150" i="1"/>
  <c r="UE151" i="1"/>
  <c r="UE152" i="1"/>
  <c r="UE153" i="1"/>
  <c r="UE154" i="1"/>
  <c r="RU2" i="1"/>
  <c r="RU3" i="1"/>
  <c r="RU4" i="1"/>
  <c r="RU5" i="1"/>
  <c r="RU6" i="1"/>
  <c r="RU7" i="1"/>
  <c r="RU8" i="1"/>
  <c r="RU9" i="1"/>
  <c r="RU10" i="1"/>
  <c r="RU11" i="1"/>
  <c r="RU12" i="1"/>
  <c r="RU13" i="1"/>
  <c r="RU14" i="1"/>
  <c r="RU15" i="1"/>
  <c r="RU16" i="1"/>
  <c r="RU17" i="1"/>
  <c r="RU18" i="1"/>
  <c r="RU19" i="1"/>
  <c r="RU20" i="1"/>
  <c r="RU21" i="1"/>
  <c r="RU22" i="1"/>
  <c r="RU23" i="1"/>
  <c r="RU24" i="1"/>
  <c r="RU25" i="1"/>
  <c r="RU26" i="1"/>
  <c r="RU27" i="1"/>
  <c r="RU28" i="1"/>
  <c r="RU29" i="1"/>
  <c r="RU30" i="1"/>
  <c r="RU31" i="1"/>
  <c r="RU32" i="1"/>
  <c r="RU33" i="1"/>
  <c r="RU34" i="1"/>
  <c r="RU35" i="1"/>
  <c r="RU36" i="1"/>
  <c r="RU37" i="1"/>
  <c r="RU38" i="1"/>
  <c r="RU39" i="1"/>
  <c r="RU40" i="1"/>
  <c r="RU41" i="1"/>
  <c r="RU42" i="1"/>
  <c r="RU43" i="1"/>
  <c r="RU44" i="1"/>
  <c r="RU45" i="1"/>
  <c r="RU46" i="1"/>
  <c r="RU47" i="1"/>
  <c r="RU48" i="1"/>
  <c r="RU49" i="1"/>
  <c r="RU50" i="1"/>
  <c r="RU51" i="1"/>
  <c r="RU52" i="1"/>
  <c r="RU53" i="1"/>
  <c r="RU54" i="1"/>
  <c r="RU55" i="1"/>
  <c r="RU56" i="1"/>
  <c r="RU57" i="1"/>
  <c r="RU58" i="1"/>
  <c r="RU59" i="1"/>
  <c r="RU60" i="1"/>
  <c r="RU61" i="1"/>
  <c r="RU62" i="1"/>
  <c r="RU63" i="1"/>
  <c r="RU64" i="1"/>
  <c r="RU65" i="1"/>
  <c r="RU66" i="1"/>
  <c r="RU67" i="1"/>
  <c r="RU68" i="1"/>
  <c r="RU69" i="1"/>
  <c r="RU70" i="1"/>
  <c r="RU71" i="1"/>
  <c r="RU72" i="1"/>
  <c r="RU73" i="1"/>
  <c r="RU74" i="1"/>
  <c r="RU75" i="1"/>
  <c r="RU76" i="1"/>
  <c r="RU77" i="1"/>
  <c r="RU78" i="1"/>
  <c r="RU79" i="1"/>
  <c r="RU80" i="1"/>
  <c r="RU81" i="1"/>
  <c r="RU82" i="1"/>
  <c r="RU83" i="1"/>
  <c r="RU84" i="1"/>
  <c r="RU85" i="1"/>
  <c r="RU86" i="1"/>
  <c r="RU87" i="1"/>
  <c r="RU88" i="1"/>
  <c r="RU89" i="1"/>
  <c r="RU90" i="1"/>
  <c r="RU91" i="1"/>
  <c r="RU92" i="1"/>
  <c r="RU94" i="1"/>
  <c r="RU95" i="1"/>
  <c r="RU96" i="1"/>
  <c r="RU97" i="1"/>
  <c r="RU98" i="1"/>
  <c r="RU99" i="1"/>
  <c r="RU100" i="1"/>
  <c r="RU101" i="1"/>
  <c r="RU102" i="1"/>
  <c r="RU103" i="1"/>
  <c r="RU104" i="1"/>
  <c r="RU105" i="1"/>
  <c r="RU106" i="1"/>
  <c r="RU107" i="1"/>
  <c r="RU108" i="1"/>
  <c r="RU109" i="1"/>
  <c r="RU110" i="1"/>
  <c r="RU111" i="1"/>
  <c r="RU112" i="1"/>
  <c r="RU113" i="1"/>
  <c r="RU114" i="1"/>
  <c r="RU115" i="1"/>
  <c r="RU116" i="1"/>
  <c r="RU117" i="1"/>
  <c r="RU118" i="1"/>
  <c r="RU119" i="1"/>
  <c r="RU120" i="1"/>
  <c r="RU121" i="1"/>
  <c r="RU122" i="1"/>
  <c r="RU123" i="1"/>
  <c r="RU124" i="1"/>
  <c r="RU125" i="1"/>
  <c r="RU126" i="1"/>
  <c r="RU127" i="1"/>
  <c r="RU128" i="1"/>
  <c r="RU129" i="1"/>
  <c r="RU130" i="1"/>
  <c r="RU131" i="1"/>
  <c r="RU132" i="1"/>
  <c r="RU133" i="1"/>
  <c r="RU134" i="1"/>
  <c r="RU135" i="1"/>
  <c r="RU136" i="1"/>
  <c r="RU137" i="1"/>
  <c r="RU138" i="1"/>
  <c r="RU139" i="1"/>
  <c r="RU140" i="1"/>
  <c r="RU141" i="1"/>
  <c r="RU142" i="1"/>
  <c r="RU143" i="1"/>
  <c r="RU144" i="1"/>
  <c r="RU145" i="1"/>
  <c r="RU146" i="1"/>
  <c r="RU147" i="1"/>
  <c r="RU148" i="1"/>
  <c r="RU149" i="1"/>
  <c r="RU150" i="1"/>
  <c r="RU151" i="1"/>
  <c r="RU152" i="1"/>
  <c r="RU153" i="1"/>
  <c r="RU154" i="1"/>
  <c r="RD2" i="1"/>
  <c r="RD3" i="1"/>
  <c r="RD4" i="1"/>
  <c r="RD5" i="1"/>
  <c r="RD6" i="1"/>
  <c r="RD7" i="1"/>
  <c r="RD8" i="1"/>
  <c r="RD9" i="1"/>
  <c r="RD10" i="1"/>
  <c r="RD11" i="1"/>
  <c r="RD12" i="1"/>
  <c r="RD13" i="1"/>
  <c r="RD14" i="1"/>
  <c r="RD15" i="1"/>
  <c r="RD16" i="1"/>
  <c r="RD17" i="1"/>
  <c r="RD18" i="1"/>
  <c r="RD19" i="1"/>
  <c r="RD20" i="1"/>
  <c r="RD21" i="1"/>
  <c r="RD22" i="1"/>
  <c r="RD23" i="1"/>
  <c r="RD24" i="1"/>
  <c r="RD25" i="1"/>
  <c r="RD26" i="1"/>
  <c r="RD27" i="1"/>
  <c r="RD28" i="1"/>
  <c r="RD29" i="1"/>
  <c r="RD30" i="1"/>
  <c r="RD31" i="1"/>
  <c r="RD32" i="1"/>
  <c r="RD33" i="1"/>
  <c r="RD34" i="1"/>
  <c r="RD35" i="1"/>
  <c r="RD36" i="1"/>
  <c r="RD37" i="1"/>
  <c r="RD38" i="1"/>
  <c r="RD39" i="1"/>
  <c r="RD40" i="1"/>
  <c r="RD41" i="1"/>
  <c r="RD42" i="1"/>
  <c r="RD43" i="1"/>
  <c r="RD44" i="1"/>
  <c r="RD45" i="1"/>
  <c r="RD46" i="1"/>
  <c r="RD47" i="1"/>
  <c r="RD48" i="1"/>
  <c r="RD49" i="1"/>
  <c r="RD50" i="1"/>
  <c r="RD51" i="1"/>
  <c r="RD52" i="1"/>
  <c r="RD53" i="1"/>
  <c r="RD54" i="1"/>
  <c r="RD55" i="1"/>
  <c r="RD56" i="1"/>
  <c r="RD57" i="1"/>
  <c r="RD58" i="1"/>
  <c r="RD59" i="1"/>
  <c r="RD60" i="1"/>
  <c r="RD61" i="1"/>
  <c r="RD62" i="1"/>
  <c r="RD63" i="1"/>
  <c r="RD64" i="1"/>
  <c r="RD65" i="1"/>
  <c r="RD66" i="1"/>
  <c r="RD67" i="1"/>
  <c r="RD68" i="1"/>
  <c r="RD69" i="1"/>
  <c r="RD70" i="1"/>
  <c r="RD71" i="1"/>
  <c r="RD72" i="1"/>
  <c r="RD73" i="1"/>
  <c r="RD74" i="1"/>
  <c r="RD75" i="1"/>
  <c r="RD76" i="1"/>
  <c r="RD77" i="1"/>
  <c r="RD78" i="1"/>
  <c r="RD79" i="1"/>
  <c r="RD80" i="1"/>
  <c r="RD81" i="1"/>
  <c r="RD82" i="1"/>
  <c r="RD83" i="1"/>
  <c r="RD84" i="1"/>
  <c r="RD85" i="1"/>
  <c r="RD86" i="1"/>
  <c r="RD87" i="1"/>
  <c r="RD88" i="1"/>
  <c r="RD89" i="1"/>
  <c r="RD90" i="1"/>
  <c r="RD91" i="1"/>
  <c r="RD92" i="1"/>
  <c r="RD94" i="1"/>
  <c r="RD95" i="1"/>
  <c r="RD96" i="1"/>
  <c r="RD97" i="1"/>
  <c r="RD98" i="1"/>
  <c r="RD99" i="1"/>
  <c r="RD100" i="1"/>
  <c r="RD101" i="1"/>
  <c r="RD102" i="1"/>
  <c r="RD103" i="1"/>
  <c r="RD104" i="1"/>
  <c r="RD105" i="1"/>
  <c r="RD106" i="1"/>
  <c r="RD107" i="1"/>
  <c r="RD108" i="1"/>
  <c r="RD109" i="1"/>
  <c r="RD110" i="1"/>
  <c r="RD111" i="1"/>
  <c r="RD112" i="1"/>
  <c r="RD113" i="1"/>
  <c r="RD114" i="1"/>
  <c r="RD115" i="1"/>
  <c r="RD116" i="1"/>
  <c r="RD117" i="1"/>
  <c r="RD118" i="1"/>
  <c r="RD119" i="1"/>
  <c r="RD120" i="1"/>
  <c r="RD121" i="1"/>
  <c r="RD122" i="1"/>
  <c r="RD123" i="1"/>
  <c r="RD124" i="1"/>
  <c r="RD125" i="1"/>
  <c r="RD126" i="1"/>
  <c r="RD127" i="1"/>
  <c r="RD128" i="1"/>
  <c r="RD129" i="1"/>
  <c r="RD130" i="1"/>
  <c r="RD131" i="1"/>
  <c r="RD132" i="1"/>
  <c r="RD133" i="1"/>
  <c r="RD134" i="1"/>
  <c r="RD135" i="1"/>
  <c r="RD136" i="1"/>
  <c r="RD137" i="1"/>
  <c r="RD138" i="1"/>
  <c r="RD139" i="1"/>
  <c r="RD140" i="1"/>
  <c r="RD141" i="1"/>
  <c r="RD142" i="1"/>
  <c r="RD143" i="1"/>
  <c r="RD144" i="1"/>
  <c r="RD145" i="1"/>
  <c r="RD146" i="1"/>
  <c r="RD147" i="1"/>
  <c r="RD148" i="1"/>
  <c r="RD149" i="1"/>
  <c r="RD150" i="1"/>
  <c r="RD151" i="1"/>
  <c r="RD152" i="1"/>
  <c r="RD153" i="1"/>
  <c r="RD154" i="1"/>
  <c r="OW2" i="1"/>
  <c r="OW3" i="1"/>
  <c r="OW4" i="1"/>
  <c r="OW5" i="1"/>
  <c r="OW6" i="1"/>
  <c r="OW7" i="1"/>
  <c r="OW8" i="1"/>
  <c r="OW9" i="1"/>
  <c r="OW10" i="1"/>
  <c r="OW11" i="1"/>
  <c r="OW12" i="1"/>
  <c r="OW13" i="1"/>
  <c r="OW14" i="1"/>
  <c r="OW15" i="1"/>
  <c r="OW16" i="1"/>
  <c r="OW17" i="1"/>
  <c r="OW18" i="1"/>
  <c r="OW19" i="1"/>
  <c r="OW20" i="1"/>
  <c r="OW21" i="1"/>
  <c r="OW22" i="1"/>
  <c r="OW23" i="1"/>
  <c r="OW24" i="1"/>
  <c r="OW25" i="1"/>
  <c r="OW26" i="1"/>
  <c r="OW27" i="1"/>
  <c r="OW28" i="1"/>
  <c r="OW29" i="1"/>
  <c r="OW30" i="1"/>
  <c r="OW31" i="1"/>
  <c r="OW32" i="1"/>
  <c r="OW33" i="1"/>
  <c r="OW34" i="1"/>
  <c r="OW35" i="1"/>
  <c r="OW36" i="1"/>
  <c r="OW37" i="1"/>
  <c r="OW38" i="1"/>
  <c r="OW39" i="1"/>
  <c r="OW40" i="1"/>
  <c r="OW41" i="1"/>
  <c r="OW42" i="1"/>
  <c r="OW43" i="1"/>
  <c r="OW44" i="1"/>
  <c r="OW45" i="1"/>
  <c r="OW46" i="1"/>
  <c r="OW47" i="1"/>
  <c r="OW48" i="1"/>
  <c r="OW49" i="1"/>
  <c r="OW50" i="1"/>
  <c r="OW51" i="1"/>
  <c r="OW52" i="1"/>
  <c r="OW53" i="1"/>
  <c r="OW54" i="1"/>
  <c r="OW55" i="1"/>
  <c r="OW56" i="1"/>
  <c r="OW57" i="1"/>
  <c r="OW58" i="1"/>
  <c r="OW59" i="1"/>
  <c r="OW60" i="1"/>
  <c r="OW61" i="1"/>
  <c r="OW62" i="1"/>
  <c r="OW63" i="1"/>
  <c r="OW64" i="1"/>
  <c r="OW65" i="1"/>
  <c r="OW66" i="1"/>
  <c r="OW67" i="1"/>
  <c r="OW68" i="1"/>
  <c r="OW69" i="1"/>
  <c r="OW70" i="1"/>
  <c r="OW71" i="1"/>
  <c r="OW72" i="1"/>
  <c r="OW73" i="1"/>
  <c r="OW74" i="1"/>
  <c r="OW75" i="1"/>
  <c r="OW76" i="1"/>
  <c r="OW77" i="1"/>
  <c r="OW78" i="1"/>
  <c r="OW79" i="1"/>
  <c r="OW80" i="1"/>
  <c r="OW81" i="1"/>
  <c r="OW82" i="1"/>
  <c r="OW83" i="1"/>
  <c r="OW84" i="1"/>
  <c r="OW85" i="1"/>
  <c r="OW86" i="1"/>
  <c r="OW87" i="1"/>
  <c r="OW88" i="1"/>
  <c r="OW89" i="1"/>
  <c r="OW90" i="1"/>
  <c r="OW91" i="1"/>
  <c r="OW92" i="1"/>
  <c r="OW94" i="1"/>
  <c r="OW95" i="1"/>
  <c r="OW96" i="1"/>
  <c r="OW97" i="1"/>
  <c r="OW98" i="1"/>
  <c r="OW99" i="1"/>
  <c r="OW100" i="1"/>
  <c r="OW101" i="1"/>
  <c r="OW102" i="1"/>
  <c r="OW103" i="1"/>
  <c r="OW104" i="1"/>
  <c r="OW105" i="1"/>
  <c r="OW106" i="1"/>
  <c r="OW107" i="1"/>
  <c r="OW108" i="1"/>
  <c r="OW109" i="1"/>
  <c r="OW110" i="1"/>
  <c r="OW111" i="1"/>
  <c r="OW112" i="1"/>
  <c r="OW113" i="1"/>
  <c r="OW114" i="1"/>
  <c r="OW115" i="1"/>
  <c r="OW116" i="1"/>
  <c r="OW117" i="1"/>
  <c r="OW118" i="1"/>
  <c r="OW119" i="1"/>
  <c r="OW120" i="1"/>
  <c r="OW121" i="1"/>
  <c r="OW122" i="1"/>
  <c r="OW123" i="1"/>
  <c r="OW124" i="1"/>
  <c r="OW125" i="1"/>
  <c r="OW126" i="1"/>
  <c r="OW127" i="1"/>
  <c r="OW128" i="1"/>
  <c r="OW129" i="1"/>
  <c r="OW130" i="1"/>
  <c r="OW131" i="1"/>
  <c r="OW132" i="1"/>
  <c r="OW133" i="1"/>
  <c r="OW134" i="1"/>
  <c r="OW135" i="1"/>
  <c r="OW136" i="1"/>
  <c r="OW137" i="1"/>
  <c r="OW138" i="1"/>
  <c r="OW139" i="1"/>
  <c r="OW140" i="1"/>
  <c r="OW141" i="1"/>
  <c r="OW142" i="1"/>
  <c r="OW143" i="1"/>
  <c r="OW144" i="1"/>
  <c r="OW145" i="1"/>
  <c r="OW146" i="1"/>
  <c r="OW147" i="1"/>
  <c r="OW148" i="1"/>
  <c r="OW149" i="1"/>
  <c r="OW150" i="1"/>
  <c r="OW151" i="1"/>
  <c r="OW152" i="1"/>
  <c r="OW153" i="1"/>
  <c r="OW154" i="1"/>
  <c r="OQ2" i="1"/>
  <c r="OQ3" i="1"/>
  <c r="OQ4" i="1"/>
  <c r="OQ5" i="1"/>
  <c r="OQ6" i="1"/>
  <c r="OQ7" i="1"/>
  <c r="OQ8" i="1"/>
  <c r="OQ9" i="1"/>
  <c r="OQ10" i="1"/>
  <c r="OQ11" i="1"/>
  <c r="OQ12" i="1"/>
  <c r="OQ13" i="1"/>
  <c r="OQ14" i="1"/>
  <c r="OQ15" i="1"/>
  <c r="OQ16" i="1"/>
  <c r="OQ17" i="1"/>
  <c r="OQ18" i="1"/>
  <c r="OQ19" i="1"/>
  <c r="OQ20" i="1"/>
  <c r="OQ21" i="1"/>
  <c r="OQ22" i="1"/>
  <c r="OQ23" i="1"/>
  <c r="OQ24" i="1"/>
  <c r="OQ25" i="1"/>
  <c r="OQ26" i="1"/>
  <c r="OQ27" i="1"/>
  <c r="OQ28" i="1"/>
  <c r="OQ29" i="1"/>
  <c r="OQ30" i="1"/>
  <c r="OQ31" i="1"/>
  <c r="OQ32" i="1"/>
  <c r="OQ33" i="1"/>
  <c r="OQ34" i="1"/>
  <c r="OQ35" i="1"/>
  <c r="OQ36" i="1"/>
  <c r="OQ37" i="1"/>
  <c r="OQ38" i="1"/>
  <c r="OQ39" i="1"/>
  <c r="OQ40" i="1"/>
  <c r="OQ41" i="1"/>
  <c r="OQ42" i="1"/>
  <c r="OQ43" i="1"/>
  <c r="OQ44" i="1"/>
  <c r="OQ45" i="1"/>
  <c r="OQ46" i="1"/>
  <c r="OQ47" i="1"/>
  <c r="OQ48" i="1"/>
  <c r="OQ49" i="1"/>
  <c r="OQ50" i="1"/>
  <c r="OQ51" i="1"/>
  <c r="OQ52" i="1"/>
  <c r="OQ53" i="1"/>
  <c r="OQ54" i="1"/>
  <c r="OQ55" i="1"/>
  <c r="OQ56" i="1"/>
  <c r="OQ57" i="1"/>
  <c r="OQ58" i="1"/>
  <c r="OQ59" i="1"/>
  <c r="OQ60" i="1"/>
  <c r="OQ61" i="1"/>
  <c r="OQ62" i="1"/>
  <c r="OQ63" i="1"/>
  <c r="OQ64" i="1"/>
  <c r="OQ65" i="1"/>
  <c r="OQ66" i="1"/>
  <c r="OQ67" i="1"/>
  <c r="OQ68" i="1"/>
  <c r="OQ69" i="1"/>
  <c r="OQ70" i="1"/>
  <c r="OQ71" i="1"/>
  <c r="OQ72" i="1"/>
  <c r="OQ73" i="1"/>
  <c r="OQ74" i="1"/>
  <c r="OQ75" i="1"/>
  <c r="OQ76" i="1"/>
  <c r="OQ77" i="1"/>
  <c r="OQ78" i="1"/>
  <c r="OQ79" i="1"/>
  <c r="OQ80" i="1"/>
  <c r="OQ81" i="1"/>
  <c r="OQ82" i="1"/>
  <c r="OQ83" i="1"/>
  <c r="OQ84" i="1"/>
  <c r="OQ85" i="1"/>
  <c r="OQ86" i="1"/>
  <c r="OQ87" i="1"/>
  <c r="OQ88" i="1"/>
  <c r="OQ89" i="1"/>
  <c r="OQ90" i="1"/>
  <c r="OQ91" i="1"/>
  <c r="OQ92" i="1"/>
  <c r="OQ94" i="1"/>
  <c r="OQ95" i="1"/>
  <c r="OQ96" i="1"/>
  <c r="OQ97" i="1"/>
  <c r="OQ98" i="1"/>
  <c r="OQ99" i="1"/>
  <c r="OQ100" i="1"/>
  <c r="OQ101" i="1"/>
  <c r="OQ102" i="1"/>
  <c r="OQ103" i="1"/>
  <c r="OQ104" i="1"/>
  <c r="OQ105" i="1"/>
  <c r="OQ106" i="1"/>
  <c r="OQ107" i="1"/>
  <c r="OQ108" i="1"/>
  <c r="OQ109" i="1"/>
  <c r="OQ110" i="1"/>
  <c r="OQ111" i="1"/>
  <c r="OQ112" i="1"/>
  <c r="OQ113" i="1"/>
  <c r="OQ114" i="1"/>
  <c r="OQ115" i="1"/>
  <c r="OQ116" i="1"/>
  <c r="OQ117" i="1"/>
  <c r="OQ118" i="1"/>
  <c r="OQ119" i="1"/>
  <c r="OQ120" i="1"/>
  <c r="OQ121" i="1"/>
  <c r="OQ122" i="1"/>
  <c r="OQ123" i="1"/>
  <c r="OQ124" i="1"/>
  <c r="OQ125" i="1"/>
  <c r="OQ126" i="1"/>
  <c r="OQ127" i="1"/>
  <c r="OQ128" i="1"/>
  <c r="OQ129" i="1"/>
  <c r="OQ130" i="1"/>
  <c r="OQ131" i="1"/>
  <c r="OQ132" i="1"/>
  <c r="OQ133" i="1"/>
  <c r="OQ134" i="1"/>
  <c r="OQ135" i="1"/>
  <c r="OQ136" i="1"/>
  <c r="OQ137" i="1"/>
  <c r="OQ138" i="1"/>
  <c r="OQ139" i="1"/>
  <c r="OQ140" i="1"/>
  <c r="OQ141" i="1"/>
  <c r="OQ142" i="1"/>
  <c r="OQ143" i="1"/>
  <c r="OQ144" i="1"/>
  <c r="OQ145" i="1"/>
  <c r="OQ146" i="1"/>
  <c r="OQ147" i="1"/>
  <c r="OQ148" i="1"/>
  <c r="OQ149" i="1"/>
  <c r="OQ150" i="1"/>
  <c r="OQ151" i="1"/>
  <c r="OQ152" i="1"/>
  <c r="OQ153" i="1"/>
  <c r="OQ154" i="1"/>
  <c r="MZ2" i="1"/>
  <c r="MZ3" i="1"/>
  <c r="MZ4" i="1"/>
  <c r="MZ5" i="1"/>
  <c r="MZ6" i="1"/>
  <c r="MZ7" i="1"/>
  <c r="MZ8" i="1"/>
  <c r="MZ9" i="1"/>
  <c r="MZ10" i="1"/>
  <c r="MZ11" i="1"/>
  <c r="MZ12" i="1"/>
  <c r="MZ13" i="1"/>
  <c r="MZ14" i="1"/>
  <c r="MZ15" i="1"/>
  <c r="MZ16" i="1"/>
  <c r="MZ17" i="1"/>
  <c r="MZ18" i="1"/>
  <c r="MZ19" i="1"/>
  <c r="MZ20" i="1"/>
  <c r="MZ21" i="1"/>
  <c r="MZ22" i="1"/>
  <c r="MZ23" i="1"/>
  <c r="MZ24" i="1"/>
  <c r="MZ25" i="1"/>
  <c r="MZ26" i="1"/>
  <c r="MZ27" i="1"/>
  <c r="MZ28" i="1"/>
  <c r="MZ29" i="1"/>
  <c r="MZ30" i="1"/>
  <c r="MZ31" i="1"/>
  <c r="MZ32" i="1"/>
  <c r="MZ33" i="1"/>
  <c r="MZ34" i="1"/>
  <c r="MZ35" i="1"/>
  <c r="MZ36" i="1"/>
  <c r="MZ37" i="1"/>
  <c r="MZ38" i="1"/>
  <c r="MZ39" i="1"/>
  <c r="MZ40" i="1"/>
  <c r="MZ41" i="1"/>
  <c r="MZ42" i="1"/>
  <c r="MZ43" i="1"/>
  <c r="MZ44" i="1"/>
  <c r="MZ45" i="1"/>
  <c r="MZ46" i="1"/>
  <c r="MZ47" i="1"/>
  <c r="MZ48" i="1"/>
  <c r="MZ49" i="1"/>
  <c r="MZ50" i="1"/>
  <c r="MZ51" i="1"/>
  <c r="MZ52" i="1"/>
  <c r="MZ53" i="1"/>
  <c r="MZ54" i="1"/>
  <c r="MZ55" i="1"/>
  <c r="MZ56" i="1"/>
  <c r="MZ57" i="1"/>
  <c r="MZ58" i="1"/>
  <c r="MZ59" i="1"/>
  <c r="MZ60" i="1"/>
  <c r="MZ61" i="1"/>
  <c r="MZ62" i="1"/>
  <c r="MZ63" i="1"/>
  <c r="MZ64" i="1"/>
  <c r="MZ65" i="1"/>
  <c r="MZ66" i="1"/>
  <c r="MZ67" i="1"/>
  <c r="MZ68" i="1"/>
  <c r="MZ69" i="1"/>
  <c r="MZ70" i="1"/>
  <c r="MZ71" i="1"/>
  <c r="MZ72" i="1"/>
  <c r="MZ73" i="1"/>
  <c r="MZ74" i="1"/>
  <c r="MZ75" i="1"/>
  <c r="MZ76" i="1"/>
  <c r="MZ77" i="1"/>
  <c r="MZ78" i="1"/>
  <c r="MZ79" i="1"/>
  <c r="MZ80" i="1"/>
  <c r="MZ81" i="1"/>
  <c r="MZ82" i="1"/>
  <c r="MZ83" i="1"/>
  <c r="MZ84" i="1"/>
  <c r="MZ85" i="1"/>
  <c r="MZ86" i="1"/>
  <c r="MZ87" i="1"/>
  <c r="MZ88" i="1"/>
  <c r="MZ89" i="1"/>
  <c r="MZ90" i="1"/>
  <c r="MZ91" i="1"/>
  <c r="MZ92" i="1"/>
  <c r="MZ94" i="1"/>
  <c r="MZ95" i="1"/>
  <c r="MZ96" i="1"/>
  <c r="MZ97" i="1"/>
  <c r="MZ98" i="1"/>
  <c r="MZ99" i="1"/>
  <c r="MZ100" i="1"/>
  <c r="MZ101" i="1"/>
  <c r="MZ102" i="1"/>
  <c r="MZ103" i="1"/>
  <c r="MZ104" i="1"/>
  <c r="MZ105" i="1"/>
  <c r="MZ106" i="1"/>
  <c r="MZ107" i="1"/>
  <c r="MZ108" i="1"/>
  <c r="MZ109" i="1"/>
  <c r="MZ110" i="1"/>
  <c r="MZ111" i="1"/>
  <c r="MZ112" i="1"/>
  <c r="MZ113" i="1"/>
  <c r="MZ114" i="1"/>
  <c r="MZ115" i="1"/>
  <c r="MZ116" i="1"/>
  <c r="MZ117" i="1"/>
  <c r="MZ118" i="1"/>
  <c r="MZ119" i="1"/>
  <c r="MZ120" i="1"/>
  <c r="MZ121" i="1"/>
  <c r="MZ122" i="1"/>
  <c r="MZ123" i="1"/>
  <c r="MZ124" i="1"/>
  <c r="MZ125" i="1"/>
  <c r="MZ126" i="1"/>
  <c r="MZ127" i="1"/>
  <c r="MZ128" i="1"/>
  <c r="MZ129" i="1"/>
  <c r="MZ130" i="1"/>
  <c r="MZ131" i="1"/>
  <c r="MZ132" i="1"/>
  <c r="MZ133" i="1"/>
  <c r="MZ134" i="1"/>
  <c r="MZ135" i="1"/>
  <c r="MZ136" i="1"/>
  <c r="MZ137" i="1"/>
  <c r="MZ138" i="1"/>
  <c r="MZ139" i="1"/>
  <c r="MZ140" i="1"/>
  <c r="MZ141" i="1"/>
  <c r="MZ142" i="1"/>
  <c r="MZ143" i="1"/>
  <c r="MZ144" i="1"/>
  <c r="MZ145" i="1"/>
  <c r="MZ146" i="1"/>
  <c r="MZ147" i="1"/>
  <c r="MZ148" i="1"/>
  <c r="MZ149" i="1"/>
  <c r="MZ150" i="1"/>
  <c r="MZ151" i="1"/>
  <c r="MZ152" i="1"/>
  <c r="MZ153" i="1"/>
  <c r="MZ154" i="1"/>
  <c r="KM2" i="1"/>
  <c r="KM3" i="1"/>
  <c r="KM4" i="1"/>
  <c r="KM5" i="1"/>
  <c r="KM6" i="1"/>
  <c r="KM7" i="1"/>
  <c r="KM8" i="1"/>
  <c r="KM9" i="1"/>
  <c r="KM10" i="1"/>
  <c r="KM11" i="1"/>
  <c r="KM12" i="1"/>
  <c r="KM13" i="1"/>
  <c r="KM14" i="1"/>
  <c r="KM15" i="1"/>
  <c r="KM16" i="1"/>
  <c r="KM17" i="1"/>
  <c r="KM18" i="1"/>
  <c r="KM19" i="1"/>
  <c r="KM20" i="1"/>
  <c r="KM21" i="1"/>
  <c r="KM22" i="1"/>
  <c r="KM23" i="1"/>
  <c r="KM24" i="1"/>
  <c r="KM25" i="1"/>
  <c r="KM26" i="1"/>
  <c r="KM27" i="1"/>
  <c r="KM28" i="1"/>
  <c r="KM29" i="1"/>
  <c r="KM30" i="1"/>
  <c r="KM31" i="1"/>
  <c r="KM32" i="1"/>
  <c r="KM33" i="1"/>
  <c r="KM34" i="1"/>
  <c r="KM35" i="1"/>
  <c r="KM36" i="1"/>
  <c r="KM37" i="1"/>
  <c r="KM38" i="1"/>
  <c r="KM39" i="1"/>
  <c r="KM40" i="1"/>
  <c r="KM41" i="1"/>
  <c r="KM42" i="1"/>
  <c r="KM43" i="1"/>
  <c r="KM44" i="1"/>
  <c r="KM45" i="1"/>
  <c r="KM46" i="1"/>
  <c r="KM47" i="1"/>
  <c r="KM48" i="1"/>
  <c r="KM49" i="1"/>
  <c r="KM50" i="1"/>
  <c r="KM51" i="1"/>
  <c r="KM52" i="1"/>
  <c r="KM53" i="1"/>
  <c r="KM54" i="1"/>
  <c r="KM55" i="1"/>
  <c r="KM56" i="1"/>
  <c r="KM57" i="1"/>
  <c r="KM58" i="1"/>
  <c r="KM59" i="1"/>
  <c r="KM60" i="1"/>
  <c r="KM61" i="1"/>
  <c r="KM62" i="1"/>
  <c r="KM63" i="1"/>
  <c r="KM64" i="1"/>
  <c r="KM65" i="1"/>
  <c r="KM66" i="1"/>
  <c r="KM67" i="1"/>
  <c r="KM68" i="1"/>
  <c r="KM69" i="1"/>
  <c r="KM70" i="1"/>
  <c r="KM71" i="1"/>
  <c r="KM72" i="1"/>
  <c r="KM73" i="1"/>
  <c r="KM74" i="1"/>
  <c r="KM75" i="1"/>
  <c r="KM76" i="1"/>
  <c r="KM77" i="1"/>
  <c r="KM78" i="1"/>
  <c r="KM79" i="1"/>
  <c r="KM80" i="1"/>
  <c r="KM81" i="1"/>
  <c r="KM82" i="1"/>
  <c r="KM83" i="1"/>
  <c r="KM84" i="1"/>
  <c r="KM85" i="1"/>
  <c r="KM86" i="1"/>
  <c r="KM87" i="1"/>
  <c r="KM88" i="1"/>
  <c r="KM89" i="1"/>
  <c r="KM90" i="1"/>
  <c r="KM91" i="1"/>
  <c r="KM92" i="1"/>
  <c r="KM94" i="1"/>
  <c r="KM95" i="1"/>
  <c r="KM96" i="1"/>
  <c r="KM97" i="1"/>
  <c r="KM98" i="1"/>
  <c r="KM99" i="1"/>
  <c r="KM100" i="1"/>
  <c r="KM101" i="1"/>
  <c r="KM102" i="1"/>
  <c r="KM103" i="1"/>
  <c r="KM104" i="1"/>
  <c r="KM105" i="1"/>
  <c r="KM106" i="1"/>
  <c r="KM107" i="1"/>
  <c r="KM108" i="1"/>
  <c r="KM109" i="1"/>
  <c r="KM110" i="1"/>
  <c r="KM111" i="1"/>
  <c r="KM112" i="1"/>
  <c r="KM113" i="1"/>
  <c r="KM114" i="1"/>
  <c r="KM115" i="1"/>
  <c r="KM116" i="1"/>
  <c r="KM117" i="1"/>
  <c r="KM118" i="1"/>
  <c r="KM119" i="1"/>
  <c r="KM120" i="1"/>
  <c r="KM121" i="1"/>
  <c r="KM122" i="1"/>
  <c r="KM123" i="1"/>
  <c r="KM124" i="1"/>
  <c r="KM125" i="1"/>
  <c r="KM126" i="1"/>
  <c r="KM127" i="1"/>
  <c r="KM128" i="1"/>
  <c r="KM129" i="1"/>
  <c r="KM130" i="1"/>
  <c r="KM131" i="1"/>
  <c r="KM132" i="1"/>
  <c r="KM133" i="1"/>
  <c r="KM134" i="1"/>
  <c r="KM135" i="1"/>
  <c r="KM136" i="1"/>
  <c r="KM137" i="1"/>
  <c r="KM138" i="1"/>
  <c r="KM139" i="1"/>
  <c r="KM140" i="1"/>
  <c r="KM141" i="1"/>
  <c r="KM142" i="1"/>
  <c r="KM143" i="1"/>
  <c r="KM144" i="1"/>
  <c r="KM145" i="1"/>
  <c r="KM146" i="1"/>
  <c r="KM147" i="1"/>
  <c r="KM148" i="1"/>
  <c r="KM149" i="1"/>
  <c r="KM150" i="1"/>
  <c r="KM151" i="1"/>
  <c r="KM152" i="1"/>
  <c r="KM153" i="1"/>
  <c r="KM154" i="1"/>
  <c r="HY2" i="1"/>
  <c r="HY3" i="1"/>
  <c r="HY4" i="1"/>
  <c r="HY5" i="1"/>
  <c r="HY6" i="1"/>
  <c r="HY7" i="1"/>
  <c r="HY8" i="1"/>
  <c r="HY9" i="1"/>
  <c r="HY10" i="1"/>
  <c r="HY11" i="1"/>
  <c r="HY12" i="1"/>
  <c r="HY13" i="1"/>
  <c r="HY14" i="1"/>
  <c r="HY15" i="1"/>
  <c r="HY16" i="1"/>
  <c r="HY17" i="1"/>
  <c r="HY18" i="1"/>
  <c r="HY19" i="1"/>
  <c r="HY20" i="1"/>
  <c r="HY21" i="1"/>
  <c r="HY22" i="1"/>
  <c r="HY23" i="1"/>
  <c r="HY24" i="1"/>
  <c r="HY25" i="1"/>
  <c r="HY26" i="1"/>
  <c r="HY27" i="1"/>
  <c r="HY28" i="1"/>
  <c r="HY29" i="1"/>
  <c r="HY30" i="1"/>
  <c r="HY31" i="1"/>
  <c r="HY32" i="1"/>
  <c r="HY33" i="1"/>
  <c r="HY34" i="1"/>
  <c r="HY35" i="1"/>
  <c r="HY36" i="1"/>
  <c r="HY37" i="1"/>
  <c r="HY38" i="1"/>
  <c r="HY39" i="1"/>
  <c r="HY40" i="1"/>
  <c r="HY41" i="1"/>
  <c r="HY42" i="1"/>
  <c r="HY43" i="1"/>
  <c r="HY44" i="1"/>
  <c r="HY45" i="1"/>
  <c r="HY46" i="1"/>
  <c r="HY47" i="1"/>
  <c r="HY48" i="1"/>
  <c r="HY49" i="1"/>
  <c r="HY50" i="1"/>
  <c r="HY51" i="1"/>
  <c r="HY52" i="1"/>
  <c r="HY53" i="1"/>
  <c r="HY54" i="1"/>
  <c r="HY55" i="1"/>
  <c r="HY56" i="1"/>
  <c r="HY57" i="1"/>
  <c r="HY58" i="1"/>
  <c r="HY59" i="1"/>
  <c r="HY60" i="1"/>
  <c r="HY61" i="1"/>
  <c r="HY62" i="1"/>
  <c r="HY63" i="1"/>
  <c r="HY64" i="1"/>
  <c r="HY65" i="1"/>
  <c r="HY66" i="1"/>
  <c r="HY67" i="1"/>
  <c r="HY68" i="1"/>
  <c r="HY69" i="1"/>
  <c r="HY70" i="1"/>
  <c r="HY71" i="1"/>
  <c r="HY72" i="1"/>
  <c r="HY73" i="1"/>
  <c r="HY74" i="1"/>
  <c r="HY75" i="1"/>
  <c r="HY76" i="1"/>
  <c r="HY77" i="1"/>
  <c r="HY78" i="1"/>
  <c r="HY79" i="1"/>
  <c r="HY80" i="1"/>
  <c r="HY81" i="1"/>
  <c r="HY82" i="1"/>
  <c r="HY83" i="1"/>
  <c r="HY84" i="1"/>
  <c r="HY85" i="1"/>
  <c r="HY86" i="1"/>
  <c r="HY87" i="1"/>
  <c r="HY88" i="1"/>
  <c r="HY89" i="1"/>
  <c r="HY90" i="1"/>
  <c r="HY91" i="1"/>
  <c r="HY92" i="1"/>
  <c r="HY94" i="1"/>
  <c r="HY95" i="1"/>
  <c r="HY96" i="1"/>
  <c r="HY97" i="1"/>
  <c r="HY98" i="1"/>
  <c r="HY99" i="1"/>
  <c r="HY100" i="1"/>
  <c r="HY101" i="1"/>
  <c r="HY102" i="1"/>
  <c r="HY103" i="1"/>
  <c r="HY104" i="1"/>
  <c r="HY105" i="1"/>
  <c r="HY106" i="1"/>
  <c r="HY107" i="1"/>
  <c r="HY108" i="1"/>
  <c r="HY109" i="1"/>
  <c r="HY110" i="1"/>
  <c r="HY111" i="1"/>
  <c r="HY112" i="1"/>
  <c r="HY113" i="1"/>
  <c r="HY114" i="1"/>
  <c r="HY115" i="1"/>
  <c r="HY116" i="1"/>
  <c r="HY117" i="1"/>
  <c r="HY118" i="1"/>
  <c r="HY119" i="1"/>
  <c r="HY120" i="1"/>
  <c r="HY121" i="1"/>
  <c r="HY122" i="1"/>
  <c r="HY123" i="1"/>
  <c r="HY124" i="1"/>
  <c r="HY125" i="1"/>
  <c r="HY126" i="1"/>
  <c r="HY127" i="1"/>
  <c r="HY128" i="1"/>
  <c r="HY129" i="1"/>
  <c r="HY130" i="1"/>
  <c r="HY131" i="1"/>
  <c r="HY132" i="1"/>
  <c r="HY133" i="1"/>
  <c r="HY134" i="1"/>
  <c r="HY135" i="1"/>
  <c r="HY136" i="1"/>
  <c r="HY137" i="1"/>
  <c r="HY138" i="1"/>
  <c r="HY139" i="1"/>
  <c r="HY140" i="1"/>
  <c r="HY141" i="1"/>
  <c r="HY142" i="1"/>
  <c r="HY143" i="1"/>
  <c r="HY144" i="1"/>
  <c r="HY145" i="1"/>
  <c r="HY146" i="1"/>
  <c r="HY147" i="1"/>
  <c r="HY148" i="1"/>
  <c r="HY149" i="1"/>
  <c r="HY150" i="1"/>
  <c r="HY151" i="1"/>
  <c r="HY152" i="1"/>
  <c r="HY153" i="1"/>
  <c r="HY154" i="1"/>
  <c r="FI2" i="1"/>
  <c r="FI3" i="1"/>
  <c r="FI4" i="1"/>
  <c r="FI5" i="1"/>
  <c r="FI6" i="1"/>
  <c r="FI7" i="1"/>
  <c r="FI8" i="1"/>
  <c r="FI9" i="1"/>
  <c r="FI10" i="1"/>
  <c r="FI11" i="1"/>
  <c r="FI12" i="1"/>
  <c r="FI13" i="1"/>
  <c r="FI14" i="1"/>
  <c r="FI15" i="1"/>
  <c r="FI16" i="1"/>
  <c r="FI17" i="1"/>
  <c r="FI18" i="1"/>
  <c r="FI19" i="1"/>
  <c r="FI20" i="1"/>
  <c r="FI21" i="1"/>
  <c r="FI22" i="1"/>
  <c r="FI23" i="1"/>
  <c r="FI24" i="1"/>
  <c r="FI25" i="1"/>
  <c r="FI26" i="1"/>
  <c r="FI27" i="1"/>
  <c r="FI28" i="1"/>
  <c r="FI29" i="1"/>
  <c r="FI30" i="1"/>
  <c r="FI31" i="1"/>
  <c r="FI32" i="1"/>
  <c r="FI33" i="1"/>
  <c r="FI34" i="1"/>
  <c r="FI35" i="1"/>
  <c r="FI36" i="1"/>
  <c r="FI37" i="1"/>
  <c r="FI38" i="1"/>
  <c r="FI39" i="1"/>
  <c r="FI40" i="1"/>
  <c r="FI41" i="1"/>
  <c r="FI42" i="1"/>
  <c r="FI43" i="1"/>
  <c r="FI44" i="1"/>
  <c r="FI45" i="1"/>
  <c r="FI46" i="1"/>
  <c r="FI47" i="1"/>
  <c r="FI48" i="1"/>
  <c r="FI49" i="1"/>
  <c r="FI50" i="1"/>
  <c r="FI51" i="1"/>
  <c r="FI52" i="1"/>
  <c r="FI53" i="1"/>
  <c r="FI54" i="1"/>
  <c r="FI55" i="1"/>
  <c r="FI56" i="1"/>
  <c r="FI57" i="1"/>
  <c r="FI58" i="1"/>
  <c r="FI59" i="1"/>
  <c r="FI60" i="1"/>
  <c r="FI61" i="1"/>
  <c r="FI62" i="1"/>
  <c r="FI63" i="1"/>
  <c r="FI64" i="1"/>
  <c r="FI65" i="1"/>
  <c r="FI66" i="1"/>
  <c r="FI67" i="1"/>
  <c r="FI68" i="1"/>
  <c r="FI69" i="1"/>
  <c r="FI70" i="1"/>
  <c r="FI71" i="1"/>
  <c r="FI72" i="1"/>
  <c r="FI73" i="1"/>
  <c r="FI74" i="1"/>
  <c r="FI75" i="1"/>
  <c r="FI76" i="1"/>
  <c r="FI77" i="1"/>
  <c r="FI78" i="1"/>
  <c r="FI79" i="1"/>
  <c r="FI80" i="1"/>
  <c r="FI81" i="1"/>
  <c r="FI82" i="1"/>
  <c r="FI83" i="1"/>
  <c r="FI84" i="1"/>
  <c r="FI85" i="1"/>
  <c r="FI86" i="1"/>
  <c r="FI87" i="1"/>
  <c r="FI88" i="1"/>
  <c r="FI89" i="1"/>
  <c r="FI90" i="1"/>
  <c r="FI91" i="1"/>
  <c r="FI92" i="1"/>
  <c r="FI94" i="1"/>
  <c r="FI95" i="1"/>
  <c r="FI96" i="1"/>
  <c r="FI97" i="1"/>
  <c r="FI98" i="1"/>
  <c r="FI99" i="1"/>
  <c r="FI100" i="1"/>
  <c r="FI101" i="1"/>
  <c r="FI102" i="1"/>
  <c r="FI103" i="1"/>
  <c r="FI104" i="1"/>
  <c r="FI105" i="1"/>
  <c r="FI106" i="1"/>
  <c r="FI107" i="1"/>
  <c r="FI108" i="1"/>
  <c r="FI109" i="1"/>
  <c r="FI110" i="1"/>
  <c r="FI111" i="1"/>
  <c r="FI112" i="1"/>
  <c r="FI113" i="1"/>
  <c r="FI114" i="1"/>
  <c r="FI115" i="1"/>
  <c r="FI116" i="1"/>
  <c r="FI117" i="1"/>
  <c r="FI118" i="1"/>
  <c r="FI119" i="1"/>
  <c r="FI120" i="1"/>
  <c r="FI121" i="1"/>
  <c r="FI122" i="1"/>
  <c r="FI123" i="1"/>
  <c r="FI124" i="1"/>
  <c r="FI125" i="1"/>
  <c r="FI126" i="1"/>
  <c r="FI127" i="1"/>
  <c r="FI128" i="1"/>
  <c r="FI129" i="1"/>
  <c r="FI130" i="1"/>
  <c r="FI131" i="1"/>
  <c r="FI132" i="1"/>
  <c r="FI133" i="1"/>
  <c r="FI134" i="1"/>
  <c r="FI135" i="1"/>
  <c r="FI136" i="1"/>
  <c r="FI137" i="1"/>
  <c r="FI138" i="1"/>
  <c r="FI139" i="1"/>
  <c r="FI140" i="1"/>
  <c r="FI141" i="1"/>
  <c r="FI142" i="1"/>
  <c r="FI143" i="1"/>
  <c r="FI144" i="1"/>
  <c r="FI145" i="1"/>
  <c r="FI146" i="1"/>
  <c r="FI147" i="1"/>
  <c r="FI148" i="1"/>
  <c r="FI149" i="1"/>
  <c r="FI150" i="1"/>
  <c r="FI151" i="1"/>
  <c r="FI152" i="1"/>
  <c r="FI153" i="1"/>
  <c r="FI154" i="1"/>
  <c r="EF2" i="1"/>
  <c r="EF3" i="1"/>
  <c r="EF4" i="1"/>
  <c r="EF5" i="1"/>
  <c r="EF6" i="1"/>
  <c r="EF7" i="1"/>
  <c r="EF8" i="1"/>
  <c r="EF9" i="1"/>
  <c r="EF10" i="1"/>
  <c r="EF11" i="1"/>
  <c r="EF12" i="1"/>
  <c r="EF13" i="1"/>
  <c r="EF14" i="1"/>
  <c r="EF15" i="1"/>
  <c r="EF16" i="1"/>
  <c r="EF17" i="1"/>
  <c r="EF18" i="1"/>
  <c r="EF19" i="1"/>
  <c r="EF20" i="1"/>
  <c r="EF21" i="1"/>
  <c r="EF22" i="1"/>
  <c r="EF23" i="1"/>
  <c r="EF24" i="1"/>
  <c r="EF25" i="1"/>
  <c r="EF26" i="1"/>
  <c r="EF27" i="1"/>
  <c r="EF28" i="1"/>
  <c r="EF29" i="1"/>
  <c r="EF30" i="1"/>
  <c r="EF31" i="1"/>
  <c r="EF32" i="1"/>
  <c r="EF33" i="1"/>
  <c r="EF34" i="1"/>
  <c r="EF35" i="1"/>
  <c r="EF36" i="1"/>
  <c r="EF37" i="1"/>
  <c r="EF38" i="1"/>
  <c r="EF39" i="1"/>
  <c r="EF40" i="1"/>
  <c r="EF41" i="1"/>
  <c r="EF42" i="1"/>
  <c r="EF43" i="1"/>
  <c r="EF44" i="1"/>
  <c r="EF45" i="1"/>
  <c r="EF46" i="1"/>
  <c r="EF47" i="1"/>
  <c r="EF48" i="1"/>
  <c r="EF49" i="1"/>
  <c r="EF50" i="1"/>
  <c r="EF51" i="1"/>
  <c r="EF52" i="1"/>
  <c r="EF53" i="1"/>
  <c r="EF54" i="1"/>
  <c r="EF55" i="1"/>
  <c r="EF56" i="1"/>
  <c r="EF57" i="1"/>
  <c r="EF58" i="1"/>
  <c r="EF59" i="1"/>
  <c r="EF60" i="1"/>
  <c r="EF61" i="1"/>
  <c r="EF62" i="1"/>
  <c r="EF63" i="1"/>
  <c r="EF64" i="1"/>
  <c r="EF65" i="1"/>
  <c r="EF66" i="1"/>
  <c r="EF67" i="1"/>
  <c r="EF68" i="1"/>
  <c r="EF69" i="1"/>
  <c r="EF70" i="1"/>
  <c r="EF71" i="1"/>
  <c r="EF72" i="1"/>
  <c r="EF73" i="1"/>
  <c r="EF74" i="1"/>
  <c r="EF75" i="1"/>
  <c r="EF76" i="1"/>
  <c r="EF77" i="1"/>
  <c r="EF78" i="1"/>
  <c r="EF79" i="1"/>
  <c r="EF80" i="1"/>
  <c r="EF81" i="1"/>
  <c r="EF82" i="1"/>
  <c r="EF83" i="1"/>
  <c r="EF84" i="1"/>
  <c r="EF85" i="1"/>
  <c r="EF86" i="1"/>
  <c r="EF87" i="1"/>
  <c r="EF88" i="1"/>
  <c r="EF89" i="1"/>
  <c r="EF90" i="1"/>
  <c r="EF91" i="1"/>
  <c r="EF92" i="1"/>
  <c r="EF94" i="1"/>
  <c r="EF95" i="1"/>
  <c r="EF96" i="1"/>
  <c r="EF97" i="1"/>
  <c r="EF98" i="1"/>
  <c r="EF99" i="1"/>
  <c r="EF100" i="1"/>
  <c r="EF101" i="1"/>
  <c r="EF102" i="1"/>
  <c r="EF103" i="1"/>
  <c r="EF104" i="1"/>
  <c r="EF105" i="1"/>
  <c r="EF106" i="1"/>
  <c r="EF107" i="1"/>
  <c r="EF108" i="1"/>
  <c r="EF109" i="1"/>
  <c r="EF110" i="1"/>
  <c r="EF111" i="1"/>
  <c r="EF112" i="1"/>
  <c r="EF113" i="1"/>
  <c r="EF114" i="1"/>
  <c r="EF115" i="1"/>
  <c r="EF116" i="1"/>
  <c r="EF117" i="1"/>
  <c r="EF118" i="1"/>
  <c r="EF119" i="1"/>
  <c r="EF120" i="1"/>
  <c r="EF121" i="1"/>
  <c r="EF122" i="1"/>
  <c r="EF123" i="1"/>
  <c r="EF124" i="1"/>
  <c r="EF125" i="1"/>
  <c r="EF126" i="1"/>
  <c r="EF127" i="1"/>
  <c r="EF128" i="1"/>
  <c r="EF129" i="1"/>
  <c r="EF130" i="1"/>
  <c r="EF131" i="1"/>
  <c r="EF132" i="1"/>
  <c r="EF133" i="1"/>
  <c r="EF134" i="1"/>
  <c r="EF135" i="1"/>
  <c r="EF136" i="1"/>
  <c r="EF137" i="1"/>
  <c r="EF138" i="1"/>
  <c r="EF139" i="1"/>
  <c r="EF140" i="1"/>
  <c r="EF141" i="1"/>
  <c r="EF142" i="1"/>
  <c r="EF143" i="1"/>
  <c r="EF144" i="1"/>
  <c r="EF145" i="1"/>
  <c r="EF146" i="1"/>
  <c r="EF147" i="1"/>
  <c r="EF148" i="1"/>
  <c r="EF149" i="1"/>
  <c r="EF150" i="1"/>
  <c r="EF151" i="1"/>
  <c r="EF152" i="1"/>
  <c r="EF153" i="1"/>
  <c r="EF154" i="1"/>
  <c r="DS2" i="1"/>
  <c r="DS3" i="1"/>
  <c r="DS4" i="1"/>
  <c r="DS5" i="1"/>
  <c r="DS6" i="1"/>
  <c r="DS7" i="1"/>
  <c r="DS8" i="1"/>
  <c r="DS9" i="1"/>
  <c r="DS10" i="1"/>
  <c r="DS11" i="1"/>
  <c r="DS12" i="1"/>
  <c r="DS13" i="1"/>
  <c r="DS14" i="1"/>
  <c r="DS15" i="1"/>
  <c r="DS16" i="1"/>
  <c r="DS17" i="1"/>
  <c r="DS18" i="1"/>
  <c r="DS19" i="1"/>
  <c r="DS20" i="1"/>
  <c r="DS21" i="1"/>
  <c r="DS22" i="1"/>
  <c r="DS23" i="1"/>
  <c r="DS24" i="1"/>
  <c r="DS25" i="1"/>
  <c r="DS26" i="1"/>
  <c r="DS27" i="1"/>
  <c r="DS28" i="1"/>
  <c r="DS29" i="1"/>
  <c r="DS30" i="1"/>
  <c r="DS31" i="1"/>
  <c r="DS32" i="1"/>
  <c r="DS33" i="1"/>
  <c r="DS34" i="1"/>
  <c r="DS35" i="1"/>
  <c r="DS36" i="1"/>
  <c r="DS37" i="1"/>
  <c r="DS38" i="1"/>
  <c r="DS39" i="1"/>
  <c r="DS40" i="1"/>
  <c r="DS41" i="1"/>
  <c r="DS42" i="1"/>
  <c r="DS43" i="1"/>
  <c r="DS44" i="1"/>
  <c r="DS45" i="1"/>
  <c r="DS46" i="1"/>
  <c r="DS47" i="1"/>
  <c r="DS48" i="1"/>
  <c r="DS49" i="1"/>
  <c r="DS50" i="1"/>
  <c r="DS51" i="1"/>
  <c r="DS52" i="1"/>
  <c r="DS53" i="1"/>
  <c r="DS54" i="1"/>
  <c r="DS55" i="1"/>
  <c r="DS56" i="1"/>
  <c r="DS57" i="1"/>
  <c r="DS58" i="1"/>
  <c r="DS59" i="1"/>
  <c r="DS60" i="1"/>
  <c r="DS61" i="1"/>
  <c r="DS62" i="1"/>
  <c r="DS63" i="1"/>
  <c r="DS64" i="1"/>
  <c r="DS65" i="1"/>
  <c r="DS66" i="1"/>
  <c r="DS67" i="1"/>
  <c r="DS68" i="1"/>
  <c r="DS69" i="1"/>
  <c r="DS70" i="1"/>
  <c r="DS71" i="1"/>
  <c r="DS72" i="1"/>
  <c r="DS73" i="1"/>
  <c r="DS74" i="1"/>
  <c r="DS75" i="1"/>
  <c r="DS76" i="1"/>
  <c r="DS77" i="1"/>
  <c r="DS78" i="1"/>
  <c r="DS79" i="1"/>
  <c r="DS80" i="1"/>
  <c r="DS81" i="1"/>
  <c r="DS82" i="1"/>
  <c r="DS83" i="1"/>
  <c r="DS84" i="1"/>
  <c r="DS85" i="1"/>
  <c r="DS86" i="1"/>
  <c r="DS87" i="1"/>
  <c r="DS88" i="1"/>
  <c r="DS89" i="1"/>
  <c r="DS90" i="1"/>
  <c r="DS91" i="1"/>
  <c r="DS92" i="1"/>
  <c r="DS94" i="1"/>
  <c r="DS95" i="1"/>
  <c r="DS96" i="1"/>
  <c r="DS97" i="1"/>
  <c r="DS98" i="1"/>
  <c r="DS99" i="1"/>
  <c r="DS100" i="1"/>
  <c r="DS101" i="1"/>
  <c r="DS102" i="1"/>
  <c r="DS103" i="1"/>
  <c r="DS104" i="1"/>
  <c r="DS105" i="1"/>
  <c r="DS106" i="1"/>
  <c r="DS107" i="1"/>
  <c r="DS108" i="1"/>
  <c r="DS109" i="1"/>
  <c r="DS110" i="1"/>
  <c r="DS111" i="1"/>
  <c r="DS112" i="1"/>
  <c r="DS113" i="1"/>
  <c r="DS114" i="1"/>
  <c r="DS115" i="1"/>
  <c r="DS116" i="1"/>
  <c r="DS117" i="1"/>
  <c r="DS118" i="1"/>
  <c r="DS119" i="1"/>
  <c r="DS120" i="1"/>
  <c r="DS121" i="1"/>
  <c r="DS122" i="1"/>
  <c r="DS123" i="1"/>
  <c r="DS124" i="1"/>
  <c r="DS125" i="1"/>
  <c r="DS126" i="1"/>
  <c r="DS127" i="1"/>
  <c r="DS128" i="1"/>
  <c r="DS129" i="1"/>
  <c r="DS130" i="1"/>
  <c r="DS131" i="1"/>
  <c r="DS132" i="1"/>
  <c r="DS133" i="1"/>
  <c r="DS134" i="1"/>
  <c r="DS135" i="1"/>
  <c r="DS136" i="1"/>
  <c r="DS137" i="1"/>
  <c r="DS138" i="1"/>
  <c r="DS139" i="1"/>
  <c r="DS140" i="1"/>
  <c r="DS141" i="1"/>
  <c r="DS142" i="1"/>
  <c r="DS143" i="1"/>
  <c r="DS144" i="1"/>
  <c r="DS145" i="1"/>
  <c r="DS146" i="1"/>
  <c r="DS147" i="1"/>
  <c r="DS148" i="1"/>
  <c r="DS149" i="1"/>
  <c r="DS150" i="1"/>
  <c r="DS151" i="1"/>
  <c r="DS152" i="1"/>
  <c r="DS153" i="1"/>
  <c r="DS154" i="1"/>
  <c r="DE2" i="1"/>
  <c r="DE3" i="1"/>
  <c r="DE4" i="1"/>
  <c r="DE5" i="1"/>
  <c r="DE6" i="1"/>
  <c r="DE7" i="1"/>
  <c r="DE8" i="1"/>
  <c r="DE9" i="1"/>
  <c r="DE10" i="1"/>
  <c r="DE11" i="1"/>
  <c r="DE12" i="1"/>
  <c r="DE13" i="1"/>
  <c r="DE14" i="1"/>
  <c r="DE15" i="1"/>
  <c r="DE16" i="1"/>
  <c r="DE17" i="1"/>
  <c r="DE18" i="1"/>
  <c r="DE19" i="1"/>
  <c r="DE20" i="1"/>
  <c r="DE21" i="1"/>
  <c r="DE22" i="1"/>
  <c r="DE23" i="1"/>
  <c r="DE24" i="1"/>
  <c r="DE25" i="1"/>
  <c r="DE26" i="1"/>
  <c r="DE27" i="1"/>
  <c r="DE28" i="1"/>
  <c r="DE29" i="1"/>
  <c r="DE30" i="1"/>
  <c r="DE31" i="1"/>
  <c r="DE32" i="1"/>
  <c r="DE33" i="1"/>
  <c r="DE34" i="1"/>
  <c r="DE35" i="1"/>
  <c r="DE36" i="1"/>
  <c r="DE37" i="1"/>
  <c r="DE38" i="1"/>
  <c r="DE39" i="1"/>
  <c r="DE40" i="1"/>
  <c r="DE41" i="1"/>
  <c r="DE42" i="1"/>
  <c r="DE43" i="1"/>
  <c r="DE44" i="1"/>
  <c r="DE45" i="1"/>
  <c r="DE46" i="1"/>
  <c r="DE47" i="1"/>
  <c r="DE48" i="1"/>
  <c r="DE49" i="1"/>
  <c r="DE50" i="1"/>
  <c r="DE51" i="1"/>
  <c r="DE52" i="1"/>
  <c r="DE53" i="1"/>
  <c r="DE54" i="1"/>
  <c r="DE55" i="1"/>
  <c r="DE56" i="1"/>
  <c r="DE57" i="1"/>
  <c r="DE58" i="1"/>
  <c r="DE59" i="1"/>
  <c r="DE60" i="1"/>
  <c r="DE61" i="1"/>
  <c r="DE62" i="1"/>
  <c r="DE63" i="1"/>
  <c r="DE64" i="1"/>
  <c r="DE65" i="1"/>
  <c r="DE66" i="1"/>
  <c r="DE67" i="1"/>
  <c r="DE68" i="1"/>
  <c r="DE69" i="1"/>
  <c r="DE70" i="1"/>
  <c r="DE71" i="1"/>
  <c r="DE72" i="1"/>
  <c r="DE73" i="1"/>
  <c r="DE74" i="1"/>
  <c r="DE75" i="1"/>
  <c r="DE76" i="1"/>
  <c r="DE77" i="1"/>
  <c r="DE78" i="1"/>
  <c r="DE79" i="1"/>
  <c r="DE80" i="1"/>
  <c r="DE81" i="1"/>
  <c r="DE82" i="1"/>
  <c r="DE83" i="1"/>
  <c r="DE84" i="1"/>
  <c r="DE85" i="1"/>
  <c r="DE86" i="1"/>
  <c r="DE87" i="1"/>
  <c r="DE88" i="1"/>
  <c r="DE89" i="1"/>
  <c r="DE90" i="1"/>
  <c r="DE91" i="1"/>
  <c r="DE92" i="1"/>
  <c r="DE94" i="1"/>
  <c r="DE95" i="1"/>
  <c r="DE96" i="1"/>
  <c r="DE97" i="1"/>
  <c r="DE98" i="1"/>
  <c r="DE99" i="1"/>
  <c r="DE100" i="1"/>
  <c r="DE101" i="1"/>
  <c r="DE102" i="1"/>
  <c r="DE103" i="1"/>
  <c r="DE104" i="1"/>
  <c r="DE105" i="1"/>
  <c r="DE106" i="1"/>
  <c r="DE107" i="1"/>
  <c r="DE108" i="1"/>
  <c r="DE109" i="1"/>
  <c r="DE110" i="1"/>
  <c r="DE111" i="1"/>
  <c r="DE112" i="1"/>
  <c r="DE113" i="1"/>
  <c r="DE114" i="1"/>
  <c r="DE115" i="1"/>
  <c r="DE116" i="1"/>
  <c r="DE117" i="1"/>
  <c r="DE118" i="1"/>
  <c r="DE119" i="1"/>
  <c r="DE120" i="1"/>
  <c r="DE121" i="1"/>
  <c r="DE122" i="1"/>
  <c r="DE123" i="1"/>
  <c r="DE124" i="1"/>
  <c r="DE125" i="1"/>
  <c r="DE126" i="1"/>
  <c r="DE127" i="1"/>
  <c r="DE128" i="1"/>
  <c r="DE129" i="1"/>
  <c r="DE130" i="1"/>
  <c r="DE131" i="1"/>
  <c r="DE132" i="1"/>
  <c r="DE133" i="1"/>
  <c r="DE134" i="1"/>
  <c r="DE135" i="1"/>
  <c r="DE136" i="1"/>
  <c r="DE137" i="1"/>
  <c r="DE138" i="1"/>
  <c r="DE139" i="1"/>
  <c r="DE140" i="1"/>
  <c r="DE141" i="1"/>
  <c r="DE142" i="1"/>
  <c r="DE143" i="1"/>
  <c r="DE144" i="1"/>
  <c r="DE145" i="1"/>
  <c r="DE146" i="1"/>
  <c r="DE147" i="1"/>
  <c r="DE148" i="1"/>
  <c r="DE149" i="1"/>
  <c r="DE150" i="1"/>
  <c r="DE151" i="1"/>
  <c r="DE152" i="1"/>
  <c r="DE153" i="1"/>
  <c r="DE154" i="1"/>
  <c r="CB2" i="1"/>
  <c r="CB3" i="1"/>
  <c r="CB4" i="1"/>
  <c r="CB5" i="1"/>
  <c r="CB6" i="1"/>
  <c r="CB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5" i="1"/>
  <c r="CB86" i="1"/>
  <c r="CB87" i="1"/>
  <c r="CB88" i="1"/>
  <c r="CB89" i="1"/>
  <c r="CB90" i="1"/>
  <c r="CB91" i="1"/>
  <c r="CB92" i="1"/>
  <c r="CB94" i="1"/>
  <c r="CB95" i="1"/>
  <c r="CB96" i="1"/>
  <c r="CB97" i="1"/>
  <c r="CB98" i="1"/>
  <c r="CB99" i="1"/>
  <c r="CB100" i="1"/>
  <c r="CB101" i="1"/>
  <c r="CB102" i="1"/>
  <c r="CB103" i="1"/>
  <c r="CB104" i="1"/>
  <c r="CB105" i="1"/>
  <c r="CB106" i="1"/>
  <c r="CB107" i="1"/>
  <c r="CB108" i="1"/>
  <c r="CB109" i="1"/>
  <c r="CB110" i="1"/>
  <c r="CB111" i="1"/>
  <c r="CB112" i="1"/>
  <c r="CB113" i="1"/>
  <c r="CB114" i="1"/>
  <c r="CB115" i="1"/>
  <c r="CB116" i="1"/>
  <c r="CB117" i="1"/>
  <c r="CB118" i="1"/>
  <c r="CB119" i="1"/>
  <c r="CB120" i="1"/>
  <c r="CB121" i="1"/>
  <c r="CB122" i="1"/>
  <c r="CB123" i="1"/>
  <c r="CB124" i="1"/>
  <c r="CB125" i="1"/>
  <c r="CB126" i="1"/>
  <c r="CB127" i="1"/>
  <c r="CB128" i="1"/>
  <c r="CB129" i="1"/>
  <c r="CB130" i="1"/>
  <c r="CB131" i="1"/>
  <c r="CB132" i="1"/>
  <c r="CB133" i="1"/>
  <c r="CB134" i="1"/>
  <c r="CB135" i="1"/>
  <c r="CB136" i="1"/>
  <c r="CB137" i="1"/>
  <c r="CB138" i="1"/>
  <c r="CB139" i="1"/>
  <c r="CB140" i="1"/>
  <c r="CB141" i="1"/>
  <c r="CB142" i="1"/>
  <c r="CB143" i="1"/>
  <c r="CB144" i="1"/>
  <c r="CB145" i="1"/>
  <c r="CB146" i="1"/>
  <c r="CB147" i="1"/>
  <c r="CB148" i="1"/>
  <c r="CB149" i="1"/>
  <c r="CB150" i="1"/>
  <c r="CB151" i="1"/>
  <c r="CB152" i="1"/>
  <c r="CB153" i="1"/>
  <c r="CB154" i="1"/>
  <c r="BA2" i="1"/>
  <c r="BA3" i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B155" i="1"/>
  <c r="BC155" i="1"/>
  <c r="BD155" i="1"/>
  <c r="BE155" i="1"/>
  <c r="BF155" i="1"/>
  <c r="BG155" i="1"/>
  <c r="BH155" i="1"/>
  <c r="BI155" i="1"/>
  <c r="BJ155" i="1"/>
  <c r="BK155" i="1"/>
  <c r="BL155" i="1"/>
  <c r="BM155" i="1"/>
  <c r="BN155" i="1"/>
  <c r="BO155" i="1"/>
  <c r="BP155" i="1"/>
  <c r="BQ155" i="1"/>
  <c r="BR155" i="1"/>
  <c r="BS155" i="1"/>
  <c r="BT155" i="1"/>
  <c r="BU155" i="1"/>
  <c r="BV155" i="1"/>
  <c r="BW155" i="1"/>
  <c r="BX155" i="1"/>
  <c r="BY155" i="1"/>
  <c r="BZ155" i="1"/>
  <c r="CA155" i="1"/>
  <c r="CC155" i="1"/>
  <c r="CD155" i="1"/>
  <c r="CE155" i="1"/>
  <c r="CF155" i="1"/>
  <c r="CG155" i="1"/>
  <c r="CH155" i="1"/>
  <c r="CI155" i="1"/>
  <c r="CJ155" i="1"/>
  <c r="CK155" i="1"/>
  <c r="CL155" i="1"/>
  <c r="CM155" i="1"/>
  <c r="CN155" i="1"/>
  <c r="CO155" i="1"/>
  <c r="CP155" i="1"/>
  <c r="CQ155" i="1"/>
  <c r="CR155" i="1"/>
  <c r="CS155" i="1"/>
  <c r="CT155" i="1"/>
  <c r="CU155" i="1"/>
  <c r="CV155" i="1"/>
  <c r="CW155" i="1"/>
  <c r="CX155" i="1"/>
  <c r="CY155" i="1"/>
  <c r="CZ155" i="1"/>
  <c r="DA155" i="1"/>
  <c r="DB155" i="1"/>
  <c r="DC155" i="1"/>
  <c r="DD155" i="1"/>
  <c r="DF155" i="1"/>
  <c r="DG155" i="1"/>
  <c r="DH155" i="1"/>
  <c r="DI155" i="1"/>
  <c r="DJ155" i="1"/>
  <c r="DK155" i="1"/>
  <c r="DL155" i="1"/>
  <c r="DM155" i="1"/>
  <c r="DN155" i="1"/>
  <c r="DO155" i="1"/>
  <c r="DP155" i="1"/>
  <c r="DQ155" i="1"/>
  <c r="DR155" i="1"/>
  <c r="DT155" i="1"/>
  <c r="DU155" i="1"/>
  <c r="DV155" i="1"/>
  <c r="DW155" i="1"/>
  <c r="DX155" i="1"/>
  <c r="DY155" i="1"/>
  <c r="DZ155" i="1"/>
  <c r="EA155" i="1"/>
  <c r="EB155" i="1"/>
  <c r="EC155" i="1"/>
  <c r="ED155" i="1"/>
  <c r="EE155" i="1"/>
  <c r="EG155" i="1"/>
  <c r="EH155" i="1"/>
  <c r="EI155" i="1"/>
  <c r="EJ155" i="1"/>
  <c r="EK155" i="1"/>
  <c r="EL155" i="1"/>
  <c r="EM155" i="1"/>
  <c r="EN155" i="1"/>
  <c r="EO155" i="1"/>
  <c r="EP155" i="1"/>
  <c r="EQ155" i="1"/>
  <c r="ER155" i="1"/>
  <c r="ES155" i="1"/>
  <c r="ET155" i="1"/>
  <c r="EU155" i="1"/>
  <c r="EV155" i="1"/>
  <c r="EW155" i="1"/>
  <c r="EX155" i="1"/>
  <c r="EY155" i="1"/>
  <c r="EZ155" i="1"/>
  <c r="FA155" i="1"/>
  <c r="FB155" i="1"/>
  <c r="FC155" i="1"/>
  <c r="FD155" i="1"/>
  <c r="FE155" i="1"/>
  <c r="FF155" i="1"/>
  <c r="FG155" i="1"/>
  <c r="FH155" i="1"/>
  <c r="FJ155" i="1"/>
  <c r="FK155" i="1"/>
  <c r="FL155" i="1"/>
  <c r="FM155" i="1"/>
  <c r="FN155" i="1"/>
  <c r="FO155" i="1"/>
  <c r="FP155" i="1"/>
  <c r="FQ155" i="1"/>
  <c r="FR155" i="1"/>
  <c r="FS155" i="1"/>
  <c r="FT155" i="1"/>
  <c r="FU155" i="1"/>
  <c r="FV155" i="1"/>
  <c r="FW155" i="1"/>
  <c r="FX155" i="1"/>
  <c r="FY155" i="1"/>
  <c r="FZ155" i="1"/>
  <c r="GA155" i="1"/>
  <c r="GB155" i="1"/>
  <c r="GC155" i="1"/>
  <c r="GD155" i="1"/>
  <c r="GE155" i="1"/>
  <c r="GF155" i="1"/>
  <c r="GG155" i="1"/>
  <c r="GH155" i="1"/>
  <c r="GI155" i="1"/>
  <c r="GJ155" i="1"/>
  <c r="GK155" i="1"/>
  <c r="GL155" i="1"/>
  <c r="GM155" i="1"/>
  <c r="GN155" i="1"/>
  <c r="GO155" i="1"/>
  <c r="GP155" i="1"/>
  <c r="GQ155" i="1"/>
  <c r="GR155" i="1"/>
  <c r="GS155" i="1"/>
  <c r="GT155" i="1"/>
  <c r="GU155" i="1"/>
  <c r="GV155" i="1"/>
  <c r="GW155" i="1"/>
  <c r="GX155" i="1"/>
  <c r="GY155" i="1"/>
  <c r="GZ155" i="1"/>
  <c r="HA155" i="1"/>
  <c r="HB155" i="1"/>
  <c r="HC155" i="1"/>
  <c r="HD155" i="1"/>
  <c r="HE155" i="1"/>
  <c r="HF155" i="1"/>
  <c r="HG155" i="1"/>
  <c r="HH155" i="1"/>
  <c r="HI155" i="1"/>
  <c r="HJ155" i="1"/>
  <c r="HK155" i="1"/>
  <c r="HL155" i="1"/>
  <c r="HM155" i="1"/>
  <c r="HN155" i="1"/>
  <c r="HO155" i="1"/>
  <c r="HP155" i="1"/>
  <c r="HQ155" i="1"/>
  <c r="HR155" i="1"/>
  <c r="HS155" i="1"/>
  <c r="HT155" i="1"/>
  <c r="HU155" i="1"/>
  <c r="HV155" i="1"/>
  <c r="HW155" i="1"/>
  <c r="HX155" i="1"/>
  <c r="HZ155" i="1"/>
  <c r="IA155" i="1"/>
  <c r="IB155" i="1"/>
  <c r="IC155" i="1"/>
  <c r="ID155" i="1"/>
  <c r="IE155" i="1"/>
  <c r="IF155" i="1"/>
  <c r="IG155" i="1"/>
  <c r="IH155" i="1"/>
  <c r="II155" i="1"/>
  <c r="IJ155" i="1"/>
  <c r="IK155" i="1"/>
  <c r="IL155" i="1"/>
  <c r="IM155" i="1"/>
  <c r="IN155" i="1"/>
  <c r="IO155" i="1"/>
  <c r="IP155" i="1"/>
  <c r="IQ155" i="1"/>
  <c r="IR155" i="1"/>
  <c r="IS155" i="1"/>
  <c r="IT155" i="1"/>
  <c r="IU155" i="1"/>
  <c r="IV155" i="1"/>
  <c r="IW155" i="1"/>
  <c r="IX155" i="1"/>
  <c r="IY155" i="1"/>
  <c r="IZ155" i="1"/>
  <c r="JA155" i="1"/>
  <c r="JB155" i="1"/>
  <c r="JC155" i="1"/>
  <c r="JD155" i="1"/>
  <c r="JE155" i="1"/>
  <c r="JF155" i="1"/>
  <c r="JG155" i="1"/>
  <c r="JH155" i="1"/>
  <c r="JI155" i="1"/>
  <c r="JJ155" i="1"/>
  <c r="JK155" i="1"/>
  <c r="JL155" i="1"/>
  <c r="JM155" i="1"/>
  <c r="JN155" i="1"/>
  <c r="JO155" i="1"/>
  <c r="JP155" i="1"/>
  <c r="JQ155" i="1"/>
  <c r="JR155" i="1"/>
  <c r="JS155" i="1"/>
  <c r="JT155" i="1"/>
  <c r="JU155" i="1"/>
  <c r="JV155" i="1"/>
  <c r="JW155" i="1"/>
  <c r="JX155" i="1"/>
  <c r="JY155" i="1"/>
  <c r="JZ155" i="1"/>
  <c r="KA155" i="1"/>
  <c r="KB155" i="1"/>
  <c r="KC155" i="1"/>
  <c r="KD155" i="1"/>
  <c r="KE155" i="1"/>
  <c r="KF155" i="1"/>
  <c r="KG155" i="1"/>
  <c r="KH155" i="1"/>
  <c r="KI155" i="1"/>
  <c r="KJ155" i="1"/>
  <c r="KK155" i="1"/>
  <c r="KL155" i="1"/>
  <c r="KN155" i="1"/>
  <c r="KO155" i="1"/>
  <c r="KP155" i="1"/>
  <c r="KQ155" i="1"/>
  <c r="KR155" i="1"/>
  <c r="KS155" i="1"/>
  <c r="KT155" i="1"/>
  <c r="KU155" i="1"/>
  <c r="KV155" i="1"/>
  <c r="KW155" i="1"/>
  <c r="KX155" i="1"/>
  <c r="KY155" i="1"/>
  <c r="KZ155" i="1"/>
  <c r="LA155" i="1"/>
  <c r="LB155" i="1"/>
  <c r="LC155" i="1"/>
  <c r="LD155" i="1"/>
  <c r="LE155" i="1"/>
  <c r="LF155" i="1"/>
  <c r="LG155" i="1"/>
  <c r="LH155" i="1"/>
  <c r="LI155" i="1"/>
  <c r="LJ155" i="1"/>
  <c r="LK155" i="1"/>
  <c r="LL155" i="1"/>
  <c r="LM155" i="1"/>
  <c r="LN155" i="1"/>
  <c r="LO155" i="1"/>
  <c r="LP155" i="1"/>
  <c r="LQ155" i="1"/>
  <c r="LR155" i="1"/>
  <c r="LS155" i="1"/>
  <c r="LT155" i="1"/>
  <c r="LU155" i="1"/>
  <c r="LV155" i="1"/>
  <c r="LW155" i="1"/>
  <c r="LX155" i="1"/>
  <c r="LY155" i="1"/>
  <c r="LZ155" i="1"/>
  <c r="MA155" i="1"/>
  <c r="MB155" i="1"/>
  <c r="MC155" i="1"/>
  <c r="MD155" i="1"/>
  <c r="ME155" i="1"/>
  <c r="MF155" i="1"/>
  <c r="MG155" i="1"/>
  <c r="MH155" i="1"/>
  <c r="MI155" i="1"/>
  <c r="MJ155" i="1"/>
  <c r="MK155" i="1"/>
  <c r="ML155" i="1"/>
  <c r="MM155" i="1"/>
  <c r="MN155" i="1"/>
  <c r="MO155" i="1"/>
  <c r="MP155" i="1"/>
  <c r="MQ155" i="1"/>
  <c r="MR155" i="1"/>
  <c r="MS155" i="1"/>
  <c r="MT155" i="1"/>
  <c r="MU155" i="1"/>
  <c r="MV155" i="1"/>
  <c r="MW155" i="1"/>
  <c r="MX155" i="1"/>
  <c r="MY155" i="1"/>
  <c r="NA155" i="1"/>
  <c r="NB155" i="1"/>
  <c r="NC155" i="1"/>
  <c r="ND155" i="1"/>
  <c r="NE155" i="1"/>
  <c r="NF155" i="1"/>
  <c r="NG155" i="1"/>
  <c r="NH155" i="1"/>
  <c r="NI155" i="1"/>
  <c r="NJ155" i="1"/>
  <c r="NK155" i="1"/>
  <c r="NL155" i="1"/>
  <c r="NM155" i="1"/>
  <c r="NN155" i="1"/>
  <c r="NO155" i="1"/>
  <c r="NP155" i="1"/>
  <c r="NQ155" i="1"/>
  <c r="NR155" i="1"/>
  <c r="NS155" i="1"/>
  <c r="NT155" i="1"/>
  <c r="NU155" i="1"/>
  <c r="NV155" i="1"/>
  <c r="NW155" i="1"/>
  <c r="NX155" i="1"/>
  <c r="NY155" i="1"/>
  <c r="NZ155" i="1"/>
  <c r="OA155" i="1"/>
  <c r="OB155" i="1"/>
  <c r="OC155" i="1"/>
  <c r="OD155" i="1"/>
  <c r="OE155" i="1"/>
  <c r="OF155" i="1"/>
  <c r="OG155" i="1"/>
  <c r="OH155" i="1"/>
  <c r="OI155" i="1"/>
  <c r="OJ155" i="1"/>
  <c r="OK155" i="1"/>
  <c r="OL155" i="1"/>
  <c r="OM155" i="1"/>
  <c r="ON155" i="1"/>
  <c r="OO155" i="1"/>
  <c r="OP155" i="1"/>
  <c r="OR155" i="1"/>
  <c r="OS155" i="1"/>
  <c r="OT155" i="1"/>
  <c r="OU155" i="1"/>
  <c r="OV155" i="1"/>
  <c r="OX155" i="1"/>
  <c r="OY155" i="1"/>
  <c r="OZ155" i="1"/>
  <c r="PA155" i="1"/>
  <c r="PB155" i="1"/>
  <c r="PC155" i="1"/>
  <c r="PD155" i="1"/>
  <c r="PE155" i="1"/>
  <c r="PF155" i="1"/>
  <c r="PG155" i="1"/>
  <c r="PH155" i="1"/>
  <c r="PI155" i="1"/>
  <c r="PJ155" i="1"/>
  <c r="PK155" i="1"/>
  <c r="PL155" i="1"/>
  <c r="PM155" i="1"/>
  <c r="PN155" i="1"/>
  <c r="PO155" i="1"/>
  <c r="PP155" i="1"/>
  <c r="PQ155" i="1"/>
  <c r="PR155" i="1"/>
  <c r="PS155" i="1"/>
  <c r="PT155" i="1"/>
  <c r="PU155" i="1"/>
  <c r="PV155" i="1"/>
  <c r="PW155" i="1"/>
  <c r="PX155" i="1"/>
  <c r="PY155" i="1"/>
  <c r="PZ155" i="1"/>
  <c r="QA155" i="1"/>
  <c r="QB155" i="1"/>
  <c r="QC155" i="1"/>
  <c r="QD155" i="1"/>
  <c r="QE155" i="1"/>
  <c r="QF155" i="1"/>
  <c r="QG155" i="1"/>
  <c r="QH155" i="1"/>
  <c r="QI155" i="1"/>
  <c r="QJ155" i="1"/>
  <c r="QK155" i="1"/>
  <c r="QL155" i="1"/>
  <c r="QM155" i="1"/>
  <c r="QN155" i="1"/>
  <c r="QO155" i="1"/>
  <c r="QP155" i="1"/>
  <c r="QQ155" i="1"/>
  <c r="QR155" i="1"/>
  <c r="QS155" i="1"/>
  <c r="QT155" i="1"/>
  <c r="QU155" i="1"/>
  <c r="QV155" i="1"/>
  <c r="QW155" i="1"/>
  <c r="QX155" i="1"/>
  <c r="QY155" i="1"/>
  <c r="QZ155" i="1"/>
  <c r="RA155" i="1"/>
  <c r="RB155" i="1"/>
  <c r="RC155" i="1"/>
  <c r="RE155" i="1"/>
  <c r="RF155" i="1"/>
  <c r="RG155" i="1"/>
  <c r="RH155" i="1"/>
  <c r="RI155" i="1"/>
  <c r="RJ155" i="1"/>
  <c r="RK155" i="1"/>
  <c r="RL155" i="1"/>
  <c r="RM155" i="1"/>
  <c r="RN155" i="1"/>
  <c r="RO155" i="1"/>
  <c r="RP155" i="1"/>
  <c r="RQ155" i="1"/>
  <c r="RR155" i="1"/>
  <c r="RS155" i="1"/>
  <c r="RT155" i="1"/>
  <c r="RV155" i="1"/>
  <c r="RW155" i="1"/>
  <c r="RX155" i="1"/>
  <c r="RY155" i="1"/>
  <c r="RZ155" i="1"/>
  <c r="SA155" i="1"/>
  <c r="SB155" i="1"/>
  <c r="SC155" i="1"/>
  <c r="SD155" i="1"/>
  <c r="SE155" i="1"/>
  <c r="SF155" i="1"/>
  <c r="SG155" i="1"/>
  <c r="SH155" i="1"/>
  <c r="SI155" i="1"/>
  <c r="SJ155" i="1"/>
  <c r="SK155" i="1"/>
  <c r="SL155" i="1"/>
  <c r="SM155" i="1"/>
  <c r="SN155" i="1"/>
  <c r="SO155" i="1"/>
  <c r="SP155" i="1"/>
  <c r="SQ155" i="1"/>
  <c r="SR155" i="1"/>
  <c r="SS155" i="1"/>
  <c r="ST155" i="1"/>
  <c r="SU155" i="1"/>
  <c r="SV155" i="1"/>
  <c r="SW155" i="1"/>
  <c r="SX155" i="1"/>
  <c r="SY155" i="1"/>
  <c r="SZ155" i="1"/>
  <c r="TA155" i="1"/>
  <c r="TB155" i="1"/>
  <c r="TC155" i="1"/>
  <c r="TD155" i="1"/>
  <c r="TE155" i="1"/>
  <c r="TF155" i="1"/>
  <c r="TG155" i="1"/>
  <c r="TH155" i="1"/>
  <c r="TI155" i="1"/>
  <c r="TJ155" i="1"/>
  <c r="TK155" i="1"/>
  <c r="TL155" i="1"/>
  <c r="TM155" i="1"/>
  <c r="TN155" i="1"/>
  <c r="TO155" i="1"/>
  <c r="TP155" i="1"/>
  <c r="TQ155" i="1"/>
  <c r="TR155" i="1"/>
  <c r="TS155" i="1"/>
  <c r="TT155" i="1"/>
  <c r="TU155" i="1"/>
  <c r="TV155" i="1"/>
  <c r="TW155" i="1"/>
  <c r="TX155" i="1"/>
  <c r="TY155" i="1"/>
  <c r="TZ155" i="1"/>
  <c r="UA155" i="1"/>
  <c r="UB155" i="1"/>
  <c r="UC155" i="1"/>
  <c r="UD155" i="1"/>
  <c r="UF155" i="1"/>
  <c r="UG155" i="1"/>
  <c r="UH155" i="1"/>
  <c r="UI155" i="1"/>
  <c r="UJ155" i="1"/>
  <c r="UK155" i="1"/>
  <c r="UL155" i="1"/>
  <c r="UM155" i="1"/>
  <c r="UN155" i="1"/>
  <c r="UO155" i="1"/>
  <c r="UP155" i="1"/>
  <c r="UQ155" i="1"/>
  <c r="UR155" i="1"/>
  <c r="US155" i="1"/>
  <c r="UT155" i="1"/>
  <c r="UU155" i="1"/>
  <c r="UV155" i="1"/>
  <c r="UW155" i="1"/>
  <c r="UX155" i="1"/>
  <c r="UY155" i="1"/>
  <c r="UZ155" i="1"/>
  <c r="VA155" i="1"/>
  <c r="VB155" i="1"/>
  <c r="VC155" i="1"/>
  <c r="VD155" i="1"/>
  <c r="VE155" i="1"/>
  <c r="VF155" i="1"/>
  <c r="VG155" i="1"/>
  <c r="VH155" i="1"/>
  <c r="VI155" i="1"/>
  <c r="VK155" i="1"/>
  <c r="VL155" i="1"/>
  <c r="VM155" i="1"/>
  <c r="VN155" i="1"/>
  <c r="VO155" i="1"/>
  <c r="VP155" i="1"/>
  <c r="VQ155" i="1"/>
  <c r="VR155" i="1"/>
  <c r="VS155" i="1"/>
  <c r="VT155" i="1"/>
  <c r="VU155" i="1"/>
  <c r="VV155" i="1"/>
  <c r="VW155" i="1"/>
  <c r="VX155" i="1"/>
  <c r="VY155" i="1"/>
  <c r="VZ155" i="1"/>
  <c r="WA155" i="1"/>
  <c r="WB155" i="1"/>
  <c r="WC155" i="1"/>
  <c r="WD155" i="1"/>
  <c r="WE155" i="1"/>
  <c r="WF155" i="1"/>
  <c r="WG155" i="1"/>
  <c r="WH155" i="1"/>
  <c r="WI155" i="1"/>
  <c r="WJ155" i="1"/>
  <c r="WK155" i="1"/>
  <c r="WL155" i="1"/>
  <c r="WN155" i="1"/>
  <c r="WO155" i="1"/>
  <c r="WP155" i="1"/>
  <c r="WQ155" i="1"/>
  <c r="WR155" i="1"/>
  <c r="WS155" i="1"/>
  <c r="WT155" i="1"/>
  <c r="WU155" i="1"/>
  <c r="WV155" i="1"/>
  <c r="WW155" i="1"/>
  <c r="WX155" i="1"/>
  <c r="WY155" i="1"/>
  <c r="WZ155" i="1"/>
  <c r="XA155" i="1"/>
  <c r="XB155" i="1"/>
  <c r="XC155" i="1"/>
  <c r="XD155" i="1"/>
  <c r="XE155" i="1"/>
  <c r="XF155" i="1"/>
  <c r="XG155" i="1"/>
  <c r="XI155" i="1"/>
  <c r="XJ155" i="1"/>
  <c r="XK155" i="1"/>
  <c r="XL155" i="1"/>
  <c r="XM155" i="1"/>
  <c r="XN155" i="1"/>
  <c r="XO155" i="1"/>
  <c r="XP155" i="1"/>
  <c r="XQ155" i="1"/>
  <c r="XR155" i="1"/>
  <c r="XS155" i="1"/>
  <c r="XT155" i="1"/>
  <c r="XU155" i="1"/>
  <c r="XV155" i="1"/>
  <c r="XW155" i="1"/>
  <c r="XX155" i="1"/>
  <c r="XY155" i="1"/>
  <c r="XZ155" i="1"/>
  <c r="YA155" i="1"/>
  <c r="YB155" i="1"/>
  <c r="YC155" i="1"/>
  <c r="YE155" i="1"/>
  <c r="YF155" i="1"/>
  <c r="YG155" i="1"/>
  <c r="YH155" i="1"/>
  <c r="YI155" i="1"/>
  <c r="YJ155" i="1"/>
  <c r="YK155" i="1"/>
  <c r="YL155" i="1"/>
  <c r="YM155" i="1"/>
  <c r="YN155" i="1"/>
  <c r="YO155" i="1"/>
  <c r="YP155" i="1"/>
  <c r="YQ155" i="1"/>
  <c r="YR155" i="1"/>
  <c r="YS155" i="1"/>
  <c r="YT155" i="1"/>
  <c r="YU155" i="1"/>
  <c r="YV155" i="1"/>
  <c r="YW155" i="1"/>
  <c r="YY155" i="1"/>
  <c r="YZ155" i="1"/>
  <c r="ZA155" i="1"/>
  <c r="ZB155" i="1"/>
  <c r="ZC155" i="1"/>
  <c r="ZD155" i="1"/>
  <c r="ZE155" i="1"/>
  <c r="ZF155" i="1"/>
  <c r="ZG155" i="1"/>
  <c r="ZH155" i="1"/>
  <c r="ZI155" i="1"/>
  <c r="ZJ155" i="1"/>
  <c r="ZK155" i="1"/>
  <c r="ZL155" i="1"/>
  <c r="ZM155" i="1"/>
  <c r="ZN155" i="1"/>
  <c r="ZO155" i="1"/>
  <c r="ZP155" i="1"/>
  <c r="ZQ155" i="1"/>
  <c r="ZS155" i="1"/>
  <c r="ZT155" i="1"/>
  <c r="ZU155" i="1"/>
  <c r="ZV155" i="1"/>
  <c r="ZW155" i="1"/>
  <c r="ZY155" i="1"/>
  <c r="ZZ155" i="1"/>
  <c r="AAA155" i="1"/>
  <c r="AAB155" i="1"/>
  <c r="AAC155" i="1"/>
  <c r="AAD155" i="1"/>
  <c r="AAE155" i="1"/>
  <c r="AAF155" i="1"/>
  <c r="AAG155" i="1"/>
  <c r="AAH155" i="1"/>
  <c r="AAI155" i="1"/>
  <c r="AAJ155" i="1"/>
  <c r="AAK155" i="1"/>
  <c r="AAL155" i="1"/>
  <c r="AAM155" i="1"/>
  <c r="AAN155" i="1"/>
  <c r="AAO155" i="1"/>
  <c r="AAP155" i="1"/>
  <c r="AAQ155" i="1"/>
  <c r="AAR155" i="1"/>
  <c r="AAS155" i="1"/>
  <c r="AAU155" i="1"/>
  <c r="AAV155" i="1"/>
  <c r="AAW155" i="1"/>
  <c r="AAX155" i="1"/>
  <c r="AAY155" i="1"/>
  <c r="AAZ155" i="1"/>
  <c r="ABA155" i="1"/>
  <c r="ABB155" i="1"/>
  <c r="ABC155" i="1"/>
  <c r="ABD155" i="1"/>
  <c r="ABE155" i="1"/>
  <c r="ABF155" i="1"/>
  <c r="ABG155" i="1"/>
  <c r="ABH155" i="1"/>
  <c r="ABI155" i="1"/>
  <c r="ABJ155" i="1"/>
  <c r="ABK155" i="1"/>
  <c r="ABL155" i="1"/>
  <c r="ABM155" i="1"/>
  <c r="ABN155" i="1"/>
  <c r="ABO155" i="1"/>
  <c r="ABP155" i="1"/>
  <c r="ABR155" i="1"/>
  <c r="ABS155" i="1"/>
  <c r="ABT155" i="1"/>
  <c r="ABU155" i="1"/>
  <c r="ABW155" i="1"/>
  <c r="ABX155" i="1"/>
  <c r="ABY155" i="1"/>
  <c r="ABZ155" i="1"/>
  <c r="ACA155" i="1"/>
  <c r="ACB155" i="1"/>
  <c r="ACD155" i="1"/>
  <c r="ACE155" i="1"/>
  <c r="ACF155" i="1"/>
  <c r="ACG155" i="1"/>
  <c r="ACH155" i="1"/>
  <c r="ACI155" i="1"/>
  <c r="ACJ155" i="1"/>
  <c r="ACK155" i="1"/>
  <c r="ACL155" i="1"/>
  <c r="ACM155" i="1"/>
  <c r="ACN155" i="1"/>
  <c r="ACO155" i="1"/>
  <c r="ACP155" i="1"/>
  <c r="ACR155" i="1"/>
  <c r="ACS155" i="1"/>
  <c r="ACT155" i="1"/>
  <c r="ACU155" i="1"/>
  <c r="ACV155" i="1"/>
  <c r="ACW155" i="1"/>
  <c r="ACX155" i="1"/>
  <c r="ACY155" i="1"/>
  <c r="ACZ155" i="1"/>
  <c r="ADB155" i="1"/>
  <c r="ADC155" i="1"/>
  <c r="ADD155" i="1"/>
  <c r="ADE155" i="1"/>
  <c r="ADF155" i="1"/>
  <c r="ADG155" i="1"/>
  <c r="ADH155" i="1"/>
  <c r="ADI155" i="1"/>
  <c r="ADJ155" i="1"/>
  <c r="ADK155" i="1"/>
  <c r="ADL155" i="1"/>
  <c r="ADN155" i="1"/>
  <c r="ADO155" i="1"/>
  <c r="ADP155" i="1"/>
  <c r="ADQ155" i="1"/>
  <c r="ADR155" i="1"/>
  <c r="ADS155" i="1"/>
  <c r="ADT155" i="1"/>
  <c r="ADU155" i="1"/>
  <c r="ADV155" i="1"/>
  <c r="ADW155" i="1"/>
  <c r="ADX155" i="1"/>
  <c r="ADY155" i="1"/>
  <c r="ADZ155" i="1"/>
  <c r="AEA155" i="1"/>
  <c r="AEB155" i="1"/>
  <c r="AEC155" i="1"/>
  <c r="AED155" i="1"/>
  <c r="AEE155" i="1"/>
  <c r="AEF155" i="1"/>
  <c r="AEG155" i="1"/>
  <c r="AEH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C155" i="1"/>
  <c r="RD155" i="1" l="1"/>
  <c r="YD155" i="1"/>
  <c r="ABV155" i="1"/>
  <c r="XH155" i="1"/>
  <c r="FI155" i="1"/>
  <c r="HY155" i="1"/>
  <c r="OW155" i="1"/>
  <c r="WM155" i="1"/>
  <c r="ZX155" i="1"/>
  <c r="ACQ155" i="1"/>
  <c r="DS155" i="1"/>
  <c r="KM155" i="1"/>
  <c r="RU155" i="1"/>
  <c r="AAT155" i="1"/>
  <c r="ADA155" i="1"/>
  <c r="DE155" i="1"/>
  <c r="OQ155" i="1"/>
  <c r="VJ155" i="1"/>
  <c r="ZR155" i="1"/>
  <c r="ACC155" i="1"/>
  <c r="AEI155" i="1"/>
  <c r="BA155" i="1"/>
  <c r="CB155" i="1"/>
  <c r="EF155" i="1"/>
  <c r="MZ155" i="1"/>
  <c r="UE155" i="1"/>
  <c r="YX155" i="1"/>
  <c r="ABQ155" i="1"/>
  <c r="ADM155" i="1"/>
</calcChain>
</file>

<file path=xl/connections.xml><?xml version="1.0" encoding="utf-8"?>
<connections xmlns="http://schemas.openxmlformats.org/spreadsheetml/2006/main">
  <connection id="1" keepAlive="1" name="Query - ABHCTAG" description="Connection to the 'ABHCTAG' query in the workbook." type="5" refreshedVersion="8" background="1" saveData="1">
    <dbPr connection="Provider=Microsoft.Mashup.OleDb.1;Data Source=$Workbook$;Location=ABHCTAG;Extended Properties=&quot;&quot;" command="SELECT * FROM [ABHCTAG]"/>
  </connection>
  <connection id="2" keepAlive="1" name="Query - Albumin" description="Connection to the 'Albumin' query in the workbook." type="5" refreshedVersion="8" background="1" saveData="1">
    <dbPr connection="Provider=Microsoft.Mashup.OleDb.1;Data Source=$Workbook$;Location=Albumin;Extended Properties=&quot;&quot;" command="SELECT * FROM [Albumin]"/>
  </connection>
  <connection id="3" keepAlive="1" name="Query - All in one" description="Connection to the 'All in one' query in the workbook." type="5" refreshedVersion="8" background="1" saveData="1">
    <dbPr connection="Provider=Microsoft.Mashup.OleDb.1;Data Source=$Workbook$;Location=&quot;All in one&quot;;Extended Properties=&quot;&quot;" command="SELECT * FROM [All in one]"/>
  </connection>
  <connection id="4" keepAlive="1" name="Query - Amylase" description="Connection to the 'Amylase' query in the workbook." type="5" refreshedVersion="8" background="1" saveData="1">
    <dbPr connection="Provider=Microsoft.Mashup.OleDb.1;Data Source=$Workbook$;Location=Amylase;Extended Properties=&quot;&quot;" command="SELECT * FROM [Amylase]"/>
  </connection>
  <connection id="5" keepAlive="1" name="Query - AP" description="Connection to the 'AP' query in the workbook." type="5" refreshedVersion="8" background="1" saveData="1">
    <dbPr connection="Provider=Microsoft.Mashup.OleDb.1;Data Source=$Workbook$;Location=AP;Extended Properties=&quot;&quot;" command="SELECT * FROM [AP]"/>
  </connection>
  <connection id="6" keepAlive="1" name="Query - AT Table" description="Connection to the 'AT Table' query in the workbook." type="5" refreshedVersion="8" background="1" saveData="1">
    <dbPr connection="Provider=Microsoft.Mashup.OleDb.1;Data Source=$Workbook$;Location=&quot;AT Table&quot;;Extended Properties=&quot;&quot;" command="SELECT * FROM [AT Table]"/>
  </connection>
  <connection id="7" keepAlive="1" name="Query - Bilirubin" description="Connection to the 'Bilirubin' query in the workbook." type="5" refreshedVersion="8" background="1" saveData="1">
    <dbPr connection="Provider=Microsoft.Mashup.OleDb.1;Data Source=$Workbook$;Location=Bilirubin;Extended Properties=&quot;&quot;" command="SELECT * FROM [Bilirubin]"/>
  </connection>
  <connection id="8" keepAlive="1" name="Query - Choline estrase" description="Connection to the 'Choline estrase' query in the workbook." type="5" refreshedVersion="8" background="1" saveData="1">
    <dbPr connection="Provider=Microsoft.Mashup.OleDb.1;Data Source=$Workbook$;Location=&quot;Choline estrase&quot;;Extended Properties=&quot;&quot;" command="SELECT * FROM [Choline estrase]"/>
  </connection>
  <connection id="9" keepAlive="1" name="Query - CK Observations" description="Connection to the 'CK Observations' query in the workbook." type="5" refreshedVersion="8" background="1">
    <dbPr connection="Provider=Microsoft.Mashup.OleDb.1;Data Source=$Workbook$;Location=&quot;CK Observations&quot;;Extended Properties=&quot;&quot;" command="SELECT * FROM [CK Observations]"/>
  </connection>
  <connection id="10" keepAlive="1" name="Query - CRP" description="Connection to the 'CRP' query in the workbook." type="5" refreshedVersion="8" background="1" saveData="1">
    <dbPr connection="Provider=Microsoft.Mashup.OleDb.1;Data Source=$Workbook$;Location=CRP;Extended Properties=&quot;&quot;" command="SELECT * FROM [CRP]"/>
  </connection>
  <connection id="11" keepAlive="1" name="Query - Fibrinogen" description="Connection to the 'Fibrinogen' query in the workbook." type="5" refreshedVersion="8" background="1" saveData="1">
    <dbPr connection="Provider=Microsoft.Mashup.OleDb.1;Data Source=$Workbook$;Location=Fibrinogen;Extended Properties=&quot;&quot;" command="SELECT * FROM [Fibrinogen]"/>
  </connection>
  <connection id="12" keepAlive="1" name="Query - GGT" description="Connection to the 'GGT' query in the workbook." type="5" refreshedVersion="8" background="1" saveData="1">
    <dbPr connection="Provider=Microsoft.Mashup.OleDb.1;Data Source=$Workbook$;Location=GGT;Extended Properties=&quot;&quot;" command="SELECT * FROM [GGT]"/>
  </connection>
  <connection id="13" keepAlive="1" name="Query - GLDH" description="Connection to the 'GLDH' query in the workbook." type="5" refreshedVersion="8" background="1" saveData="1">
    <dbPr connection="Provider=Microsoft.Mashup.OleDb.1;Data Source=$Workbook$;Location=GLDH;Extended Properties=&quot;&quot;" command="SELECT * FROM [GLDH]"/>
  </connection>
  <connection id="14" keepAlive="1" name="Query - GOT" description="Connection to the 'GOT' query in the workbook." type="5" refreshedVersion="8" background="1" saveData="1">
    <dbPr connection="Provider=Microsoft.Mashup.OleDb.1;Data Source=$Workbook$;Location=GOT;Extended Properties=&quot;&quot;" command="SELECT * FROM [GOT]"/>
  </connection>
  <connection id="15" keepAlive="1" name="Query - GPT" description="Connection to the 'GPT' query in the workbook." type="5" refreshedVersion="8" background="1" saveData="1">
    <dbPr connection="Provider=Microsoft.Mashup.OleDb.1;Data Source=$Workbook$;Location=GPT;Extended Properties=&quot;&quot;" command="SELECT * FROM [GPT]"/>
  </connection>
  <connection id="16" keepAlive="1" name="Query - Harnstoff" description="Connection to the 'Harnstoff' query in the workbook." type="5" refreshedVersion="8" background="1" saveData="1">
    <dbPr connection="Provider=Microsoft.Mashup.OleDb.1;Data Source=$Workbook$;Location=Harnstoff;Extended Properties=&quot;&quot;" command="SELECT * FROM [Harnstoff]"/>
  </connection>
  <connection id="17" keepAlive="1" name="Query - INR" description="Connection to the 'INR' query in the workbook." type="5" refreshedVersion="8" background="1" saveData="1">
    <dbPr connection="Provider=Microsoft.Mashup.OleDb.1;Data Source=$Workbook$;Location=INR;Extended Properties=&quot;&quot;" command="SELECT * FROM [INR]"/>
  </connection>
  <connection id="18" keepAlive="1" name="Query - Keratinin" description="Connection to the 'Keratinin' query in the workbook." type="5" refreshedVersion="8" background="1" saveData="1">
    <dbPr connection="Provider=Microsoft.Mashup.OleDb.1;Data Source=$Workbook$;Location=Keratinin;Extended Properties=&quot;&quot;" command="SELECT * FROM [Keratinin]"/>
  </connection>
  <connection id="19" keepAlive="1" name="Query - LDH" description="Connection to the 'LDH' query in the workbook." type="5" refreshedVersion="8" background="1" saveData="1">
    <dbPr connection="Provider=Microsoft.Mashup.OleDb.1;Data Source=$Workbook$;Location=LDH;Extended Properties=&quot;&quot;" command="SELECT * FROM [LDH]"/>
  </connection>
  <connection id="20" keepAlive="1" name="Query - Leukozyten" description="Connection to the 'Leukozyten' query in the workbook." type="5" refreshedVersion="8" background="1" saveData="1">
    <dbPr connection="Provider=Microsoft.Mashup.OleDb.1;Data Source=$Workbook$;Location=Leukozyten;Extended Properties=&quot;&quot;" command="SELECT * FROM [Leukozyten]"/>
  </connection>
  <connection id="21" keepAlive="1" name="Query - Lipase" description="Connection to the 'Lipase' query in the workbook." type="5" refreshedVersion="8" background="1" saveData="1">
    <dbPr connection="Provider=Microsoft.Mashup.OleDb.1;Data Source=$Workbook$;Location=Lipase;Extended Properties=&quot;&quot;" command="SELECT * FROM [Lipase]"/>
  </connection>
  <connection id="22" keepAlive="1" name="Query - PTT" description="Connection to the 'PTT' query in the workbook." type="5" refreshedVersion="8" background="1" saveData="1">
    <dbPr connection="Provider=Microsoft.Mashup.OleDb.1;Data Source=$Workbook$;Location=PTT;Extended Properties=&quot;&quot;" command="SELECT * FROM [PTT]"/>
  </connection>
  <connection id="23" keepAlive="1" name="Query - PTZLAKTATNH3" description="Connection to the 'PTZLAKTATNH3' query in the workbook." type="5" refreshedVersion="8" background="1" saveData="1">
    <dbPr connection="Provider=Microsoft.Mashup.OleDb.1;Data Source=$Workbook$;Location=PTZLAKTATNH3;Extended Properties=&quot;&quot;" command="SELECT * FROM [PTZLAKTATNH3]"/>
  </connection>
  <connection id="24" keepAlive="1" name="Query - Quick" description="Connection to the 'Quick' query in the workbook." type="5" refreshedVersion="8" background="1" saveData="1">
    <dbPr connection="Provider=Microsoft.Mashup.OleDb.1;Data Source=$Workbook$;Location=Quick;Extended Properties=&quot;&quot;" command="SELECT * FROM [Quick]"/>
  </connection>
  <connection id="25" keepAlive="1" name="Query - Thrombozyten" description="Connection to the 'Thrombozyten' query in the workbook." type="5" refreshedVersion="8" background="1" saveData="1">
    <dbPr connection="Provider=Microsoft.Mashup.OleDb.1;Data Source=$Workbook$;Location=Thrombozyten;Extended Properties=&quot;&quot;" command="SELECT * FROM [Thrombozyten]"/>
  </connection>
</connections>
</file>

<file path=xl/sharedStrings.xml><?xml version="1.0" encoding="utf-8"?>
<sst xmlns="http://schemas.openxmlformats.org/spreadsheetml/2006/main" count="13691" uniqueCount="2670">
  <si>
    <t>Patienten-ID</t>
  </si>
  <si>
    <t>Alter</t>
  </si>
  <si>
    <t>Geschlecht</t>
  </si>
  <si>
    <t>Initialien</t>
  </si>
  <si>
    <t>Arztbrief</t>
  </si>
  <si>
    <t>Laborwerte</t>
  </si>
  <si>
    <t>00001263</t>
  </si>
  <si>
    <t>K.A.</t>
  </si>
  <si>
    <t>w</t>
  </si>
  <si>
    <t>Ja</t>
  </si>
  <si>
    <t>P.H.</t>
  </si>
  <si>
    <t>00001480</t>
  </si>
  <si>
    <t>00001505</t>
  </si>
  <si>
    <t>S.B.</t>
  </si>
  <si>
    <t>m</t>
  </si>
  <si>
    <t>Nein</t>
  </si>
  <si>
    <t>00001506</t>
  </si>
  <si>
    <t>E.R.</t>
  </si>
  <si>
    <t>00002139</t>
  </si>
  <si>
    <t>G.H.</t>
  </si>
  <si>
    <t>00005281</t>
  </si>
  <si>
    <t>M.S.</t>
  </si>
  <si>
    <t>00200085</t>
  </si>
  <si>
    <t>I.L.</t>
  </si>
  <si>
    <t>00200149</t>
  </si>
  <si>
    <t>R.C.</t>
  </si>
  <si>
    <t>00500129</t>
  </si>
  <si>
    <t>R.U.</t>
  </si>
  <si>
    <t>01000192</t>
  </si>
  <si>
    <t>F.R.</t>
  </si>
  <si>
    <t>01000197</t>
  </si>
  <si>
    <t>H.G.</t>
  </si>
  <si>
    <t>01000891</t>
  </si>
  <si>
    <t>S.S.</t>
  </si>
  <si>
    <t>01002033</t>
  </si>
  <si>
    <t>D.M.</t>
  </si>
  <si>
    <t>01002241</t>
  </si>
  <si>
    <t>01003215</t>
  </si>
  <si>
    <t>T.H.</t>
  </si>
  <si>
    <t>Z.K.</t>
  </si>
  <si>
    <t>01003457</t>
  </si>
  <si>
    <t>B.H.</t>
  </si>
  <si>
    <t>01005555</t>
  </si>
  <si>
    <t>01005591</t>
  </si>
  <si>
    <t>01006310</t>
  </si>
  <si>
    <t>H.B.</t>
  </si>
  <si>
    <t>01007842</t>
  </si>
  <si>
    <t>C.G.</t>
  </si>
  <si>
    <t>02004367</t>
  </si>
  <si>
    <t>R.R.</t>
  </si>
  <si>
    <t>02005223</t>
  </si>
  <si>
    <t>K.S.</t>
  </si>
  <si>
    <t>02005294</t>
  </si>
  <si>
    <t>02006107</t>
  </si>
  <si>
    <t>S.F.</t>
  </si>
  <si>
    <t>02007236</t>
  </si>
  <si>
    <t>B.W.</t>
  </si>
  <si>
    <t>02008127</t>
  </si>
  <si>
    <t>N.B.</t>
  </si>
  <si>
    <t>02010754</t>
  </si>
  <si>
    <t>02012014</t>
  </si>
  <si>
    <t>J.M.</t>
  </si>
  <si>
    <t>03000152</t>
  </si>
  <si>
    <t>P.B.</t>
  </si>
  <si>
    <t>03001872</t>
  </si>
  <si>
    <t>03014566</t>
  </si>
  <si>
    <t>03015058</t>
  </si>
  <si>
    <t>S.L.</t>
  </si>
  <si>
    <t>03017084</t>
  </si>
  <si>
    <t>03018901</t>
  </si>
  <si>
    <t>D.C.</t>
  </si>
  <si>
    <t>03019249</t>
  </si>
  <si>
    <t>A.M.</t>
  </si>
  <si>
    <t>03019706</t>
  </si>
  <si>
    <t>04000996</t>
  </si>
  <si>
    <t>V.D.</t>
  </si>
  <si>
    <t>04003543</t>
  </si>
  <si>
    <t>M.J.</t>
  </si>
  <si>
    <t>04003768</t>
  </si>
  <si>
    <t>R.S.</t>
  </si>
  <si>
    <t>04006540</t>
  </si>
  <si>
    <t>M.T.</t>
  </si>
  <si>
    <t>04007054</t>
  </si>
  <si>
    <t>R.B.</t>
  </si>
  <si>
    <t>04007646</t>
  </si>
  <si>
    <t>04009308</t>
  </si>
  <si>
    <t>M.B.</t>
  </si>
  <si>
    <t>04011002</t>
  </si>
  <si>
    <t>R.T.</t>
  </si>
  <si>
    <t>04900268</t>
  </si>
  <si>
    <t>I.S.</t>
  </si>
  <si>
    <t>04900809</t>
  </si>
  <si>
    <t>04900849</t>
  </si>
  <si>
    <t>05001097</t>
  </si>
  <si>
    <t>P.G.</t>
  </si>
  <si>
    <t>05001098</t>
  </si>
  <si>
    <t>S.A.</t>
  </si>
  <si>
    <t>05004470</t>
  </si>
  <si>
    <t>I.I.</t>
  </si>
  <si>
    <t>05005508</t>
  </si>
  <si>
    <t>05005517</t>
  </si>
  <si>
    <t>05005523</t>
  </si>
  <si>
    <t>05005557</t>
  </si>
  <si>
    <t>05006152</t>
  </si>
  <si>
    <t>G.B.</t>
  </si>
  <si>
    <t>05006717</t>
  </si>
  <si>
    <t>05006719</t>
  </si>
  <si>
    <t>05006726</t>
  </si>
  <si>
    <t>05006732</t>
  </si>
  <si>
    <t>05006733</t>
  </si>
  <si>
    <t>05006736</t>
  </si>
  <si>
    <t>05006761</t>
  </si>
  <si>
    <t>05006764</t>
  </si>
  <si>
    <t>05006844</t>
  </si>
  <si>
    <t>R.D.</t>
  </si>
  <si>
    <t>05006916</t>
  </si>
  <si>
    <t>05006917</t>
  </si>
  <si>
    <t>05010412</t>
  </si>
  <si>
    <t>W.D.</t>
  </si>
  <si>
    <t>05011824</t>
  </si>
  <si>
    <t>05013714</t>
  </si>
  <si>
    <t>J.S.</t>
  </si>
  <si>
    <t>05013780</t>
  </si>
  <si>
    <t>05015182</t>
  </si>
  <si>
    <t>S.I.</t>
  </si>
  <si>
    <t>05016179</t>
  </si>
  <si>
    <t>05016207</t>
  </si>
  <si>
    <t>05016255</t>
  </si>
  <si>
    <t>05018677</t>
  </si>
  <si>
    <t>E.B.</t>
  </si>
  <si>
    <t>G.N.</t>
  </si>
  <si>
    <t>06012361</t>
  </si>
  <si>
    <t>D.S.</t>
  </si>
  <si>
    <t>06032853</t>
  </si>
  <si>
    <t>06043619</t>
  </si>
  <si>
    <t>S.J.</t>
  </si>
  <si>
    <t>06062587</t>
  </si>
  <si>
    <t>F.K.</t>
  </si>
  <si>
    <t>06064311</t>
  </si>
  <si>
    <t>S.T.</t>
  </si>
  <si>
    <t>06081681</t>
  </si>
  <si>
    <t>H.K.</t>
  </si>
  <si>
    <t>07008716</t>
  </si>
  <si>
    <t>07011435</t>
  </si>
  <si>
    <t>07034252</t>
  </si>
  <si>
    <t>07034283</t>
  </si>
  <si>
    <t>07034934</t>
  </si>
  <si>
    <t>07035085</t>
  </si>
  <si>
    <t>07035107</t>
  </si>
  <si>
    <t>07079011</t>
  </si>
  <si>
    <t>07103068</t>
  </si>
  <si>
    <t>08019333</t>
  </si>
  <si>
    <t>08065877</t>
  </si>
  <si>
    <t>08089666</t>
  </si>
  <si>
    <t>A.F.</t>
  </si>
  <si>
    <t>08103536</t>
  </si>
  <si>
    <t>Z.C.</t>
  </si>
  <si>
    <t>08124816</t>
  </si>
  <si>
    <t>08135416</t>
  </si>
  <si>
    <t>A.G.</t>
  </si>
  <si>
    <t>08148882</t>
  </si>
  <si>
    <t>L.H.</t>
  </si>
  <si>
    <t>09074418</t>
  </si>
  <si>
    <t>09095148</t>
  </si>
  <si>
    <t>10098420</t>
  </si>
  <si>
    <t>10173664</t>
  </si>
  <si>
    <t>11000454</t>
  </si>
  <si>
    <t>11138447</t>
  </si>
  <si>
    <t>A.G.-H.</t>
  </si>
  <si>
    <t>11187503</t>
  </si>
  <si>
    <t>11231446</t>
  </si>
  <si>
    <t>W.</t>
  </si>
  <si>
    <t>12055731</t>
  </si>
  <si>
    <t>12202633</t>
  </si>
  <si>
    <t>J.B.</t>
  </si>
  <si>
    <t>93018945</t>
  </si>
  <si>
    <t>94002083</t>
  </si>
  <si>
    <t>94009028</t>
  </si>
  <si>
    <t>94011991</t>
  </si>
  <si>
    <t>95004426</t>
  </si>
  <si>
    <t>B.B.</t>
  </si>
  <si>
    <t>A.E.</t>
  </si>
  <si>
    <t>95005793</t>
  </si>
  <si>
    <t>95005907</t>
  </si>
  <si>
    <t>T.K.</t>
  </si>
  <si>
    <t>95900164</t>
  </si>
  <si>
    <t>S.C.</t>
  </si>
  <si>
    <t>96015811</t>
  </si>
  <si>
    <t>S.W.</t>
  </si>
  <si>
    <t>96018835</t>
  </si>
  <si>
    <t>W.C.</t>
  </si>
  <si>
    <t>97002414/97001240</t>
  </si>
  <si>
    <t>97001891</t>
  </si>
  <si>
    <t>L.S.</t>
  </si>
  <si>
    <t>97005366</t>
  </si>
  <si>
    <t>R.K.</t>
  </si>
  <si>
    <t>97008791</t>
  </si>
  <si>
    <t>97500067</t>
  </si>
  <si>
    <t>H.J.</t>
  </si>
  <si>
    <t>98000595</t>
  </si>
  <si>
    <t>98001469</t>
  </si>
  <si>
    <t>98001796</t>
  </si>
  <si>
    <t>98002692</t>
  </si>
  <si>
    <t>23/17</t>
  </si>
  <si>
    <t>m/w</t>
  </si>
  <si>
    <t>Ja/Ja</t>
  </si>
  <si>
    <t>Nein/Ja</t>
  </si>
  <si>
    <t>98005277</t>
  </si>
  <si>
    <t>98007258</t>
  </si>
  <si>
    <t>98008326</t>
  </si>
  <si>
    <t>O.E.</t>
  </si>
  <si>
    <t>99000717</t>
  </si>
  <si>
    <t>99000802</t>
  </si>
  <si>
    <t>W.J.</t>
  </si>
  <si>
    <t>99000892</t>
  </si>
  <si>
    <t>F.M.</t>
  </si>
  <si>
    <t>99000894</t>
  </si>
  <si>
    <t>W.O.</t>
  </si>
  <si>
    <t>99000897</t>
  </si>
  <si>
    <t>K.B.</t>
  </si>
  <si>
    <t>99001245</t>
  </si>
  <si>
    <t>M.L.</t>
  </si>
  <si>
    <t>99001815</t>
  </si>
  <si>
    <t>J.O.</t>
  </si>
  <si>
    <t>99001898</t>
  </si>
  <si>
    <t>99001902</t>
  </si>
  <si>
    <t>R.A.</t>
  </si>
  <si>
    <t>99001912</t>
  </si>
  <si>
    <t>G.W.</t>
  </si>
  <si>
    <t>99001913</t>
  </si>
  <si>
    <t>H.F.</t>
  </si>
  <si>
    <t>99001927</t>
  </si>
  <si>
    <t>99001937</t>
  </si>
  <si>
    <t>L.E.</t>
  </si>
  <si>
    <t>99001943</t>
  </si>
  <si>
    <t>N.S.</t>
  </si>
  <si>
    <t>99901337</t>
  </si>
  <si>
    <t>J.H.</t>
  </si>
  <si>
    <t>Suizid</t>
  </si>
  <si>
    <t>Indikation</t>
  </si>
  <si>
    <t>Leben</t>
  </si>
  <si>
    <t>Intervention</t>
  </si>
  <si>
    <t>Konakionsgabe(Vit. K), Absetzen aller Medikamente</t>
  </si>
  <si>
    <t>nein</t>
  </si>
  <si>
    <t>Tinnitus rechts, Kopfschmerzen</t>
  </si>
  <si>
    <t>Fieberhafter Infekt</t>
  </si>
  <si>
    <t xml:space="preserve">Fieber </t>
  </si>
  <si>
    <t>Postoperativ nach Radiusfraktur</t>
  </si>
  <si>
    <t>Antibiose mit Ciprobay</t>
  </si>
  <si>
    <t>Schmerzen</t>
  </si>
  <si>
    <t>Schmerzen (Hexenschuss,Kopfschmerzen)</t>
  </si>
  <si>
    <t xml:space="preserve">Schmerzen   </t>
  </si>
  <si>
    <t>Mittelohrentzuendung</t>
  </si>
  <si>
    <t>Fieber</t>
  </si>
  <si>
    <t>Grippaler Infekt</t>
  </si>
  <si>
    <t>Kopfschmerzen</t>
  </si>
  <si>
    <t>Absetzen der Medikamente</t>
  </si>
  <si>
    <t>ja</t>
  </si>
  <si>
    <t>Erbrechen provoziert,Aktivkohle,Infusion</t>
  </si>
  <si>
    <t>Zahnschmerzen</t>
  </si>
  <si>
    <t>Angina Tonsillaris</t>
  </si>
  <si>
    <t>Prophylaxe von Knochenschmerzen</t>
  </si>
  <si>
    <t>Gleiderschmerzen</t>
  </si>
  <si>
    <t>Siliben Behandlung</t>
  </si>
  <si>
    <t>Postoperativ Analgetische Behandlung</t>
  </si>
  <si>
    <t>W.W.</t>
  </si>
  <si>
    <t>Darminfekt</t>
  </si>
  <si>
    <t>Tanesmen/Obstipation</t>
  </si>
  <si>
    <t>Erkaeltung</t>
  </si>
  <si>
    <t>Schmerz</t>
  </si>
  <si>
    <t>Acetylcystein</t>
  </si>
  <si>
    <t>Ohrenentzuendung</t>
  </si>
  <si>
    <t>Postoperativ Schmerzlindernd</t>
  </si>
  <si>
    <t>Nach Hueft-Op, vermutlich Schmerz</t>
  </si>
  <si>
    <t>Sepsis</t>
  </si>
  <si>
    <t>Migraene</t>
  </si>
  <si>
    <t>Halsschmerzen</t>
  </si>
  <si>
    <t>Grippe</t>
  </si>
  <si>
    <t>Antidot Fluimucil</t>
  </si>
  <si>
    <t>Schmerztherapie</t>
  </si>
  <si>
    <t>Postoperative Schmerzen</t>
  </si>
  <si>
    <t>Fiebergefuehl</t>
  </si>
  <si>
    <t>Postoperativer Schmerz</t>
  </si>
  <si>
    <t>Allgemeinanaesthesie</t>
  </si>
  <si>
    <t>Abgeschlagenheit, Schwaeche</t>
  </si>
  <si>
    <t>Hyperpyrexie</t>
  </si>
  <si>
    <t>Schmerzen, Fieber</t>
  </si>
  <si>
    <t>Fieber, Cephalgie</t>
  </si>
  <si>
    <t>Tonsillektomie Post Op</t>
  </si>
  <si>
    <t xml:space="preserve">Endokarditis </t>
  </si>
  <si>
    <t>Absetzen der Medikamente,Yienam (Imipenem/Kombi)</t>
  </si>
  <si>
    <t>Bandscheibeninfekt</t>
  </si>
  <si>
    <t>Fieber/Fieber</t>
  </si>
  <si>
    <t>nein/nein</t>
  </si>
  <si>
    <t>98004909/98004910</t>
  </si>
  <si>
    <t>ja/ja</t>
  </si>
  <si>
    <t>Aktivkohle, Magenspuelung,ACC Gabe</t>
  </si>
  <si>
    <t>Kopfschmerzen und Fieber</t>
  </si>
  <si>
    <t>Schmerzen und Fieber</t>
  </si>
  <si>
    <t>Fieber,Halsschmerzen</t>
  </si>
  <si>
    <t>Wirkung</t>
  </si>
  <si>
    <t>Steven Johnson</t>
  </si>
  <si>
    <t>Interaktion Paracetamol und Vit.C, Verkleinerung Quick Wert</t>
  </si>
  <si>
    <t>Leberwerte veraendert</t>
  </si>
  <si>
    <t>Erbrechen, Paracetamol Intoxikation</t>
  </si>
  <si>
    <t>toxische Hepatopathie</t>
  </si>
  <si>
    <t>Ikterus</t>
  </si>
  <si>
    <t>Ikterus,Cholostase</t>
  </si>
  <si>
    <t>Uebelkeit, Erbrechen</t>
  </si>
  <si>
    <t>toxischer Leberschaden mit Leberversagen</t>
  </si>
  <si>
    <t>Leberversagen</t>
  </si>
  <si>
    <t>Hepatitis</t>
  </si>
  <si>
    <t>Hepatomegalie, Oedeme</t>
  </si>
  <si>
    <t>Hepatitis, Leukopenie</t>
  </si>
  <si>
    <t>Steven Johnson Syndrom</t>
  </si>
  <si>
    <t>vermutlich Steven Johnson Syndrom</t>
  </si>
  <si>
    <t>Bauchschmerzen, Leberwerte veraendert</t>
  </si>
  <si>
    <t>Leberfunktion eingeschraenkt, veraenderte Werte</t>
  </si>
  <si>
    <t>Leberschaden</t>
  </si>
  <si>
    <t>veraenderte Leberwerte</t>
  </si>
  <si>
    <t>Leberfunktionsstoerung</t>
  </si>
  <si>
    <t>08064673/08055749</t>
  </si>
  <si>
    <t>Hautreaktion</t>
  </si>
  <si>
    <t>Agranulozytose</t>
  </si>
  <si>
    <t xml:space="preserve">Leberversagen </t>
  </si>
  <si>
    <t>Lebewerete verandert</t>
  </si>
  <si>
    <t>Uebelkeit, Erbrechen, Leberwerte veraendert</t>
  </si>
  <si>
    <t>Gewicht (kg)</t>
  </si>
  <si>
    <t>Groesse (cm)</t>
  </si>
  <si>
    <t>C.D</t>
  </si>
  <si>
    <t>k.A/53</t>
  </si>
  <si>
    <t>k.A/170</t>
  </si>
  <si>
    <t>Erythema</t>
  </si>
  <si>
    <t>Epidermale Nekrolyse</t>
  </si>
  <si>
    <t>Leberschaden, Leukopenie</t>
  </si>
  <si>
    <t>14,4</t>
  </si>
  <si>
    <t>Ck-d3</t>
  </si>
  <si>
    <t>CK-d1 (U\l)</t>
  </si>
  <si>
    <t>Quick-d1 (%)</t>
  </si>
  <si>
    <t>Quick-d3</t>
  </si>
  <si>
    <t>Quick-d6</t>
  </si>
  <si>
    <t>&gt;5</t>
  </si>
  <si>
    <t>PTT-d3</t>
  </si>
  <si>
    <t>PTT-d6</t>
  </si>
  <si>
    <t>PTT-d1 (sec)</t>
  </si>
  <si>
    <t>&gt;180</t>
  </si>
  <si>
    <t>33,6</t>
  </si>
  <si>
    <t>TZ-d1</t>
  </si>
  <si>
    <t>AT III -d1</t>
  </si>
  <si>
    <t>GOT-d1 (u\l)</t>
  </si>
  <si>
    <t>GPT-d1 (u\l)</t>
  </si>
  <si>
    <t>LDH-d1 (u\l)</t>
  </si>
  <si>
    <t>Leukozyten-d5</t>
  </si>
  <si>
    <t>6,8</t>
  </si>
  <si>
    <t>Lymphozyten-d1 (%)</t>
  </si>
  <si>
    <t>9,9</t>
  </si>
  <si>
    <t>Bilirubin-d1 (mikromol/l)</t>
  </si>
  <si>
    <t>GLDH-d1 (u/l)</t>
  </si>
  <si>
    <t>AP-d1 (u/l)</t>
  </si>
  <si>
    <t>AP-d2</t>
  </si>
  <si>
    <t>AP-d8</t>
  </si>
  <si>
    <t>AP-d9</t>
  </si>
  <si>
    <t>AP-d13</t>
  </si>
  <si>
    <t>AP-d15</t>
  </si>
  <si>
    <t>AP-d16</t>
  </si>
  <si>
    <t>AP-d17</t>
  </si>
  <si>
    <t>AP-d18</t>
  </si>
  <si>
    <t>AP-d19</t>
  </si>
  <si>
    <t>AP-d20</t>
  </si>
  <si>
    <t>AP-d22</t>
  </si>
  <si>
    <t>AP-d28</t>
  </si>
  <si>
    <t>AP-d30</t>
  </si>
  <si>
    <t>Bilirubin-d2</t>
  </si>
  <si>
    <t>Bilirubin-d13</t>
  </si>
  <si>
    <t>Bilirubin-d16</t>
  </si>
  <si>
    <t>Bilirubin-d17</t>
  </si>
  <si>
    <t>Bilirubin-d18</t>
  </si>
  <si>
    <t>Bilirubin-d21</t>
  </si>
  <si>
    <t>11,9</t>
  </si>
  <si>
    <t>Bilirubin-d12</t>
  </si>
  <si>
    <t>Bilirubin-d15</t>
  </si>
  <si>
    <t>Bilirubin-d20</t>
  </si>
  <si>
    <t>Cholinesterase-d1 (U/l)</t>
  </si>
  <si>
    <t>Cholinesterase-d4</t>
  </si>
  <si>
    <t>Cholinesterase-d5</t>
  </si>
  <si>
    <t>Cholinesterase-d6</t>
  </si>
  <si>
    <t>Cholinesterase-d9</t>
  </si>
  <si>
    <t>Cholinesterase-d11</t>
  </si>
  <si>
    <t>Cholinesterase-d15</t>
  </si>
  <si>
    <t>Ck-d2</t>
  </si>
  <si>
    <t>Ck-d6</t>
  </si>
  <si>
    <t>Ck-d7</t>
  </si>
  <si>
    <t>Ck-d8</t>
  </si>
  <si>
    <t>Ck-d10</t>
  </si>
  <si>
    <t>GGT-d1 (u\l)</t>
  </si>
  <si>
    <t>GGT-d8</t>
  </si>
  <si>
    <t>GGT-d9</t>
  </si>
  <si>
    <t>GGT-d14</t>
  </si>
  <si>
    <t>GGT-d15</t>
  </si>
  <si>
    <t>GGT-d16</t>
  </si>
  <si>
    <t>GGT-d17</t>
  </si>
  <si>
    <t>GGT-d18</t>
  </si>
  <si>
    <t>GGT-d20</t>
  </si>
  <si>
    <t>GGT-d19</t>
  </si>
  <si>
    <t>GGT-d28</t>
  </si>
  <si>
    <t>GGT-d13</t>
  </si>
  <si>
    <t>GGT-d35</t>
  </si>
  <si>
    <t>LDH-d14</t>
  </si>
  <si>
    <t>LDH-d15</t>
  </si>
  <si>
    <t>LDH-d16</t>
  </si>
  <si>
    <t>LDH-d17</t>
  </si>
  <si>
    <t>LDH-d18</t>
  </si>
  <si>
    <t>LDH-d19</t>
  </si>
  <si>
    <t>LDH-d20</t>
  </si>
  <si>
    <t>LDH-d21</t>
  </si>
  <si>
    <t>LDH-23</t>
  </si>
  <si>
    <t>LDH-25</t>
  </si>
  <si>
    <t>LDH-d29</t>
  </si>
  <si>
    <t>PTT-d7</t>
  </si>
  <si>
    <t>PTT-d8</t>
  </si>
  <si>
    <t>PTT-d9</t>
  </si>
  <si>
    <t>PTT-d10</t>
  </si>
  <si>
    <t>GOT-d9</t>
  </si>
  <si>
    <t>GOT-d10</t>
  </si>
  <si>
    <t>GOT-d14</t>
  </si>
  <si>
    <t>GOT-d15</t>
  </si>
  <si>
    <t>GOT-d16</t>
  </si>
  <si>
    <t>GOT-d17</t>
  </si>
  <si>
    <t>GOT-d18</t>
  </si>
  <si>
    <t>GOT-d19</t>
  </si>
  <si>
    <t>GOT-d20</t>
  </si>
  <si>
    <t>GOT-d21</t>
  </si>
  <si>
    <t>GOT-d23</t>
  </si>
  <si>
    <t>GOT-d25</t>
  </si>
  <si>
    <t>GOT-d29</t>
  </si>
  <si>
    <t>GOT-d31</t>
  </si>
  <si>
    <t>GOT-d36</t>
  </si>
  <si>
    <t>GOT-d39</t>
  </si>
  <si>
    <t>GOT-d32</t>
  </si>
  <si>
    <t>GPT-d9</t>
  </si>
  <si>
    <t>GPT-d10</t>
  </si>
  <si>
    <t>GPT-d14</t>
  </si>
  <si>
    <t>GPT-d15</t>
  </si>
  <si>
    <t>GPT-d16</t>
  </si>
  <si>
    <t>GPT-d17</t>
  </si>
  <si>
    <t>GPT-d18</t>
  </si>
  <si>
    <t>GPT-d19</t>
  </si>
  <si>
    <t>GPT-d20</t>
  </si>
  <si>
    <t>GPT-d21</t>
  </si>
  <si>
    <t>GPT-d23</t>
  </si>
  <si>
    <t>GPT-d25</t>
  </si>
  <si>
    <t>GPT-d29</t>
  </si>
  <si>
    <t>GPT-d31</t>
  </si>
  <si>
    <t>GPT-d32</t>
  </si>
  <si>
    <t>GPT-d36</t>
  </si>
  <si>
    <t>GPT-d39</t>
  </si>
  <si>
    <t>Kreatinin-d1 (mikromol/l)</t>
  </si>
  <si>
    <t>29,9</t>
  </si>
  <si>
    <t>5,41</t>
  </si>
  <si>
    <t>10,73</t>
  </si>
  <si>
    <t xml:space="preserve">INR-d1 </t>
  </si>
  <si>
    <t>Amylase-d1 (U/l)</t>
  </si>
  <si>
    <t>GOT-d3</t>
  </si>
  <si>
    <t>GPT-d3</t>
  </si>
  <si>
    <t>AP-d3</t>
  </si>
  <si>
    <t>GGT-d3</t>
  </si>
  <si>
    <t>INR-d3</t>
  </si>
  <si>
    <t>Kreatinin-d5</t>
  </si>
  <si>
    <t>GOT-d5</t>
  </si>
  <si>
    <t>GPT-d5</t>
  </si>
  <si>
    <t>AP-d5</t>
  </si>
  <si>
    <t>GGT-d5</t>
  </si>
  <si>
    <t>Kreatinin-d7</t>
  </si>
  <si>
    <t>GOT-d7</t>
  </si>
  <si>
    <t>GPT-d7</t>
  </si>
  <si>
    <t>Crp-d1 (mg/l)</t>
  </si>
  <si>
    <t>PTZ-d1 (%)</t>
  </si>
  <si>
    <t>AP-d7</t>
  </si>
  <si>
    <t>GGT-d7</t>
  </si>
  <si>
    <t>PTZ-d7</t>
  </si>
  <si>
    <t>Kreatinin-d8</t>
  </si>
  <si>
    <t>GOT-d8</t>
  </si>
  <si>
    <t>GPT-d8</t>
  </si>
  <si>
    <t>Billirubin-d8</t>
  </si>
  <si>
    <t>Fibrinogen-d8</t>
  </si>
  <si>
    <t>Kreatinin-d27</t>
  </si>
  <si>
    <t>Harnstoff-d1 (mmol/l)</t>
  </si>
  <si>
    <t>GOT-d27</t>
  </si>
  <si>
    <t>GPT-d27</t>
  </si>
  <si>
    <t>Billirubin-d27</t>
  </si>
  <si>
    <t>Billirubin-d3</t>
  </si>
  <si>
    <t>AP-d27</t>
  </si>
  <si>
    <t>GGT-d27</t>
  </si>
  <si>
    <t>PTZ-d27</t>
  </si>
  <si>
    <t>Billirubin-d28</t>
  </si>
  <si>
    <t>GOT-d28</t>
  </si>
  <si>
    <t>GPT-d28</t>
  </si>
  <si>
    <t>Amylase-d2</t>
  </si>
  <si>
    <t>Bilirubin-d39</t>
  </si>
  <si>
    <t>Leukozyten-d2</t>
  </si>
  <si>
    <t>Thrombozyten-d1 (GPT/l)</t>
  </si>
  <si>
    <t>7,4</t>
  </si>
  <si>
    <t>NH3-d1</t>
  </si>
  <si>
    <t>44,4</t>
  </si>
  <si>
    <t>3,3</t>
  </si>
  <si>
    <t>GOT-d11</t>
  </si>
  <si>
    <t>GPT-d11</t>
  </si>
  <si>
    <t>LDH-d11</t>
  </si>
  <si>
    <t>GGT-d12</t>
  </si>
  <si>
    <t>GGT-d21</t>
  </si>
  <si>
    <t>GGT-d26</t>
  </si>
  <si>
    <t>GOT-d12</t>
  </si>
  <si>
    <t>GOT-d26</t>
  </si>
  <si>
    <t>GPT-d12</t>
  </si>
  <si>
    <t>GPT-d26</t>
  </si>
  <si>
    <t>GGT-d40</t>
  </si>
  <si>
    <t>GGT-d54</t>
  </si>
  <si>
    <t>GOT-d40</t>
  </si>
  <si>
    <t>GOT-d54</t>
  </si>
  <si>
    <t>GPT-d40</t>
  </si>
  <si>
    <t>GPT-d54</t>
  </si>
  <si>
    <t>PLT-d1 /mikrol</t>
  </si>
  <si>
    <t>378 000</t>
  </si>
  <si>
    <t>BSG-d1 (mm/h)</t>
  </si>
  <si>
    <t>Monozyten (%)</t>
  </si>
  <si>
    <t>Eosinophile Granuloyzten (%)</t>
  </si>
  <si>
    <t>21,9</t>
  </si>
  <si>
    <t>GLDH- Verlauf</t>
  </si>
  <si>
    <t>7,8</t>
  </si>
  <si>
    <t>75,68</t>
  </si>
  <si>
    <t>alpha-1-G-d1 (%)</t>
  </si>
  <si>
    <t>alpha-2-G-d1 (%)</t>
  </si>
  <si>
    <t>beta-G-d1 (%)</t>
  </si>
  <si>
    <t>1,8</t>
  </si>
  <si>
    <t>5,5</t>
  </si>
  <si>
    <t>8,3</t>
  </si>
  <si>
    <t>gamma-G-d1 (%)</t>
  </si>
  <si>
    <t>12,0</t>
  </si>
  <si>
    <t>12,7</t>
  </si>
  <si>
    <t>1,41</t>
  </si>
  <si>
    <t>104,2</t>
  </si>
  <si>
    <t>Billirubin-d5</t>
  </si>
  <si>
    <t>70,55</t>
  </si>
  <si>
    <t>61,6</t>
  </si>
  <si>
    <t>26,4</t>
  </si>
  <si>
    <t>Harnsaure-d1 (mg/dl)</t>
  </si>
  <si>
    <t>3,1</t>
  </si>
  <si>
    <t>.</t>
  </si>
  <si>
    <t>20,7</t>
  </si>
  <si>
    <t>&gt;3000</t>
  </si>
  <si>
    <t>Muskelkraempfe</t>
  </si>
  <si>
    <t>193,6</t>
  </si>
  <si>
    <t>6,7</t>
  </si>
  <si>
    <t>0,6 mg/dl</t>
  </si>
  <si>
    <t>13,8</t>
  </si>
  <si>
    <t>Albumin-d3</t>
  </si>
  <si>
    <t>Harnstoff-d3</t>
  </si>
  <si>
    <t>Kreatinin-d3</t>
  </si>
  <si>
    <t>149,6</t>
  </si>
  <si>
    <t>1,2</t>
  </si>
  <si>
    <t>Leukozyten-d3</t>
  </si>
  <si>
    <t>Albumin-d4</t>
  </si>
  <si>
    <t>Harnstoff-d4</t>
  </si>
  <si>
    <t>Kreatinin-d4</t>
  </si>
  <si>
    <t>Billirubin-d4</t>
  </si>
  <si>
    <t>Quick-d4</t>
  </si>
  <si>
    <t>INR-d4</t>
  </si>
  <si>
    <t>1,1</t>
  </si>
  <si>
    <t>PTT-d4</t>
  </si>
  <si>
    <t>Fibrinogen-d3</t>
  </si>
  <si>
    <t>Fibrinogen-d4</t>
  </si>
  <si>
    <t>Leukozyten-d4</t>
  </si>
  <si>
    <t>Thrombozyten-d3</t>
  </si>
  <si>
    <t>Thrombozyten-d4</t>
  </si>
  <si>
    <t>Harnstoff-d5</t>
  </si>
  <si>
    <t>184,8</t>
  </si>
  <si>
    <t>6,4</t>
  </si>
  <si>
    <t>Harnsaure-d5</t>
  </si>
  <si>
    <t>Crp-d5</t>
  </si>
  <si>
    <t>228,2</t>
  </si>
  <si>
    <t>Thrombozyten-d5</t>
  </si>
  <si>
    <t>Harnstoff-d7</t>
  </si>
  <si>
    <t>Harnsaure-d7</t>
  </si>
  <si>
    <t>Thrombozyten-d7</t>
  </si>
  <si>
    <t>Crp-d7</t>
  </si>
  <si>
    <t>155,8</t>
  </si>
  <si>
    <t>Leukozyten-d7</t>
  </si>
  <si>
    <t>Kreatinin-d11</t>
  </si>
  <si>
    <t>Quick-d12</t>
  </si>
  <si>
    <t>PTT-d12</t>
  </si>
  <si>
    <t>INR-d12</t>
  </si>
  <si>
    <t>3,4</t>
  </si>
  <si>
    <t>Fibrinogen-d12</t>
  </si>
  <si>
    <t>Harnstoff-d13</t>
  </si>
  <si>
    <t>Kreatinin-d13</t>
  </si>
  <si>
    <t>96,8</t>
  </si>
  <si>
    <t>Harnsaure-d14</t>
  </si>
  <si>
    <t>4,4</t>
  </si>
  <si>
    <t>GOT-d13</t>
  </si>
  <si>
    <t>GPT-d13</t>
  </si>
  <si>
    <t>LDH-d13</t>
  </si>
  <si>
    <t>Ck-d13</t>
  </si>
  <si>
    <t>4,56 KU/L</t>
  </si>
  <si>
    <t>Quick-d13</t>
  </si>
  <si>
    <t>PTT-d13</t>
  </si>
  <si>
    <t>Fibrinogen-d13</t>
  </si>
  <si>
    <t>INR-d13</t>
  </si>
  <si>
    <t>1,4</t>
  </si>
  <si>
    <t>Thrombozyten-d13</t>
  </si>
  <si>
    <t>CRP-d13</t>
  </si>
  <si>
    <t>63,7</t>
  </si>
  <si>
    <t>Leukozyten-d13</t>
  </si>
  <si>
    <t>Harnstoff-d14</t>
  </si>
  <si>
    <t>17mg/dl</t>
  </si>
  <si>
    <t>Thrombozyten-d14</t>
  </si>
  <si>
    <t>Kreatinin-d14</t>
  </si>
  <si>
    <t>Harnsaure-d13</t>
  </si>
  <si>
    <t>4,9</t>
  </si>
  <si>
    <t>Cholinesterase-d13</t>
  </si>
  <si>
    <t>Bilirubin-d14</t>
  </si>
  <si>
    <t>Ck-d14</t>
  </si>
  <si>
    <t>AP-d14</t>
  </si>
  <si>
    <t>Quick-d14</t>
  </si>
  <si>
    <t>INR-d14</t>
  </si>
  <si>
    <t>Fibrinogen-d14</t>
  </si>
  <si>
    <t>PTT-d14</t>
  </si>
  <si>
    <t>Leukozyten-d14</t>
  </si>
  <si>
    <t>CRP-d14</t>
  </si>
  <si>
    <t>45,4</t>
  </si>
  <si>
    <t>Quick-d20</t>
  </si>
  <si>
    <t>3,9</t>
  </si>
  <si>
    <t>9,6</t>
  </si>
  <si>
    <t>11,8</t>
  </si>
  <si>
    <t>18,4</t>
  </si>
  <si>
    <t>2,1</t>
  </si>
  <si>
    <t>31,5</t>
  </si>
  <si>
    <t>1,0</t>
  </si>
  <si>
    <t>GPT-d2</t>
  </si>
  <si>
    <t>GGT-d2</t>
  </si>
  <si>
    <t>LDH-d2</t>
  </si>
  <si>
    <t>7,3</t>
  </si>
  <si>
    <t>Lipase-d3</t>
  </si>
  <si>
    <t>GLDH-d3</t>
  </si>
  <si>
    <t>0,9</t>
  </si>
  <si>
    <t>Cholinesterase-d3</t>
  </si>
  <si>
    <t>LDH-d3</t>
  </si>
  <si>
    <t>Lipase-d7</t>
  </si>
  <si>
    <t>Cholinesterase-d7</t>
  </si>
  <si>
    <t>LDH-d7</t>
  </si>
  <si>
    <t>2,0</t>
  </si>
  <si>
    <t>Amylase-d14</t>
  </si>
  <si>
    <t>Lipase-d14</t>
  </si>
  <si>
    <t>GLDH-d14</t>
  </si>
  <si>
    <t>&lt;50</t>
  </si>
  <si>
    <t>0,94</t>
  </si>
  <si>
    <t>Quick-d8</t>
  </si>
  <si>
    <t>GOT-d2</t>
  </si>
  <si>
    <t>Lymphozyten-d2</t>
  </si>
  <si>
    <t>AP-d10</t>
  </si>
  <si>
    <t>AP-d21</t>
  </si>
  <si>
    <t>AP-d23</t>
  </si>
  <si>
    <t>Ap-d25</t>
  </si>
  <si>
    <t>AP-d29</t>
  </si>
  <si>
    <t>AP-d31</t>
  </si>
  <si>
    <t>Ap-d36</t>
  </si>
  <si>
    <t>AP-d39</t>
  </si>
  <si>
    <t>AP Therapieende</t>
  </si>
  <si>
    <t>Bilirubin-d19</t>
  </si>
  <si>
    <t>Bilirubin-d23</t>
  </si>
  <si>
    <t>Bilirubin-25</t>
  </si>
  <si>
    <t>Bilirubin-d31</t>
  </si>
  <si>
    <t>Cholinesterase-d18</t>
  </si>
  <si>
    <t>Cholinesterase-19</t>
  </si>
  <si>
    <t>Cholinesterase-d20</t>
  </si>
  <si>
    <t>Cholinesterase-d23</t>
  </si>
  <si>
    <t>Cholinesterase-25</t>
  </si>
  <si>
    <t>Cholinesterase-29</t>
  </si>
  <si>
    <t>Ck-d15</t>
  </si>
  <si>
    <t>Ck-d19</t>
  </si>
  <si>
    <t>Ck-d20</t>
  </si>
  <si>
    <t>Ck-d21</t>
  </si>
  <si>
    <t>Ck-d23</t>
  </si>
  <si>
    <t>GGT-d10</t>
  </si>
  <si>
    <t>GGT-d23</t>
  </si>
  <si>
    <t>GGT-d25</t>
  </si>
  <si>
    <t>GGT-d29</t>
  </si>
  <si>
    <t>GGT-d31</t>
  </si>
  <si>
    <t>GGT-d36</t>
  </si>
  <si>
    <t>GGT-d39</t>
  </si>
  <si>
    <t>GGT-Verlauf/Therapieende</t>
  </si>
  <si>
    <t>PTT-d18</t>
  </si>
  <si>
    <t>PTT-d20</t>
  </si>
  <si>
    <t>PTT-d23</t>
  </si>
  <si>
    <t>PTT-d25</t>
  </si>
  <si>
    <t>PTT-d29</t>
  </si>
  <si>
    <t>GOT Therapieende</t>
  </si>
  <si>
    <t>GPT-Therapieende</t>
  </si>
  <si>
    <t>Quick-d18</t>
  </si>
  <si>
    <t>Quick-23</t>
  </si>
  <si>
    <t>Quick-25</t>
  </si>
  <si>
    <t>Quick-29</t>
  </si>
  <si>
    <t>PTT-d27</t>
  </si>
  <si>
    <t>AT III-d7</t>
  </si>
  <si>
    <t>Bilirubin-d7</t>
  </si>
  <si>
    <t>Amylase-d28</t>
  </si>
  <si>
    <t>Lipase-d28</t>
  </si>
  <si>
    <t>0,84 Einheit ?</t>
  </si>
  <si>
    <t>Crp-d3</t>
  </si>
  <si>
    <t>PTZ-d5</t>
  </si>
  <si>
    <t>PTZ-d8</t>
  </si>
  <si>
    <t>Fibrinogen-d7</t>
  </si>
  <si>
    <t>Harnstoff-d27</t>
  </si>
  <si>
    <t>12000/mikrol</t>
  </si>
  <si>
    <t>9000/mikrol</t>
  </si>
  <si>
    <t>48/55</t>
  </si>
  <si>
    <t>&gt;700mikromol/l</t>
  </si>
  <si>
    <t>140 x erhöht</t>
  </si>
  <si>
    <t>At III-d13</t>
  </si>
  <si>
    <t>INR-d20</t>
  </si>
  <si>
    <t>Amylase-d20</t>
  </si>
  <si>
    <t>Lipase-d20</t>
  </si>
  <si>
    <t>Thrombozyten-d20</t>
  </si>
  <si>
    <t>Laktat-d3</t>
  </si>
  <si>
    <t>Laktat-d4</t>
  </si>
  <si>
    <t>Leukozyten-d20</t>
  </si>
  <si>
    <t>GGT-m7</t>
  </si>
  <si>
    <t>Bilirubin-m7</t>
  </si>
  <si>
    <t>GLDH-d2</t>
  </si>
  <si>
    <t>334 nmol/ls</t>
  </si>
  <si>
    <t>Cholinesterase-d2</t>
  </si>
  <si>
    <t xml:space="preserve">105.6 </t>
  </si>
  <si>
    <t>79.2</t>
  </si>
  <si>
    <t>GGT-d32</t>
  </si>
  <si>
    <t>Billirubin-d32</t>
  </si>
  <si>
    <t>Ap-d32</t>
  </si>
  <si>
    <t>Ap-d35</t>
  </si>
  <si>
    <t>Ap-d38</t>
  </si>
  <si>
    <t>Ap-d40</t>
  </si>
  <si>
    <t>GOT-d35</t>
  </si>
  <si>
    <t>GPT-d35</t>
  </si>
  <si>
    <t>LDH-d35</t>
  </si>
  <si>
    <t>Billirubin-d35</t>
  </si>
  <si>
    <t>GOT-d37</t>
  </si>
  <si>
    <t>GPT-d37</t>
  </si>
  <si>
    <t>GGT-d37</t>
  </si>
  <si>
    <t>Billirubin-d37</t>
  </si>
  <si>
    <t>Amylase-d37</t>
  </si>
  <si>
    <t>146 einheit?</t>
  </si>
  <si>
    <t>Billirubin-d38</t>
  </si>
  <si>
    <t>LDH-d38</t>
  </si>
  <si>
    <t>GOT-d38</t>
  </si>
  <si>
    <t>GPT-d38</t>
  </si>
  <si>
    <t>GGT-d38</t>
  </si>
  <si>
    <t>INR-d38</t>
  </si>
  <si>
    <t>228.82</t>
  </si>
  <si>
    <t>LDH-d39</t>
  </si>
  <si>
    <t>LDH-d40</t>
  </si>
  <si>
    <t>Billirubin-d40</t>
  </si>
  <si>
    <t xml:space="preserve">244.12 </t>
  </si>
  <si>
    <t>Kreatinin-d40</t>
  </si>
  <si>
    <t>216.48</t>
  </si>
  <si>
    <t>GGT-d42</t>
  </si>
  <si>
    <t>Bilirubin-d42</t>
  </si>
  <si>
    <t xml:space="preserve">469.88 </t>
  </si>
  <si>
    <t>LDH-d5</t>
  </si>
  <si>
    <t>LDH-d8</t>
  </si>
  <si>
    <t xml:space="preserve">Quick-d2 </t>
  </si>
  <si>
    <t>PTT-d2</t>
  </si>
  <si>
    <t>Fibrinogen-d2</t>
  </si>
  <si>
    <t>ATIII-d2</t>
  </si>
  <si>
    <t>Leukozyten-d6</t>
  </si>
  <si>
    <t>GPT-d6</t>
  </si>
  <si>
    <t>GGT-d6</t>
  </si>
  <si>
    <t>Billirubin-d6</t>
  </si>
  <si>
    <t>Billirubin-d9</t>
  </si>
  <si>
    <t>Ap-d6</t>
  </si>
  <si>
    <t>Kreatinin-d2</t>
  </si>
  <si>
    <t>Kreatinin-d9</t>
  </si>
  <si>
    <t>Crp-d2</t>
  </si>
  <si>
    <t>Crp-d6</t>
  </si>
  <si>
    <t>Crp-d9</t>
  </si>
  <si>
    <t>Thrombozyten-d2</t>
  </si>
  <si>
    <t>Thrombozyten-d9</t>
  </si>
  <si>
    <t>411 GPT/L</t>
  </si>
  <si>
    <t>INR-d2</t>
  </si>
  <si>
    <t>INR-d6</t>
  </si>
  <si>
    <t>&gt; 100</t>
  </si>
  <si>
    <t xml:space="preserve">&gt;115 </t>
  </si>
  <si>
    <t>PTT-d15</t>
  </si>
  <si>
    <t>Leukozyten-d8</t>
  </si>
  <si>
    <t>Leukozyten-d19</t>
  </si>
  <si>
    <t>Ap-d12</t>
  </si>
  <si>
    <t>Kreatin-d19</t>
  </si>
  <si>
    <t>Lipase-d2</t>
  </si>
  <si>
    <t>Crp-d8</t>
  </si>
  <si>
    <t>Thrombozyten-d8</t>
  </si>
  <si>
    <t>385^9/L</t>
  </si>
  <si>
    <t>Ck-m20d28</t>
  </si>
  <si>
    <t>Ck-m21/2</t>
  </si>
  <si>
    <t>&gt;100</t>
  </si>
  <si>
    <t>Quick-m20d28</t>
  </si>
  <si>
    <t>PTT-m20d28</t>
  </si>
  <si>
    <t>GOT-m20d28</t>
  </si>
  <si>
    <t>GOT-m21d1</t>
  </si>
  <si>
    <t>GOT-m21d2</t>
  </si>
  <si>
    <t>GOTm21/d5</t>
  </si>
  <si>
    <t>GOTm21/d9</t>
  </si>
  <si>
    <t>GPT-m20d28</t>
  </si>
  <si>
    <t>GPT-m21/d1</t>
  </si>
  <si>
    <t>GPTm21d2</t>
  </si>
  <si>
    <t>GPTm21d9</t>
  </si>
  <si>
    <t>GPTm21d5</t>
  </si>
  <si>
    <t>GGT-m20d28</t>
  </si>
  <si>
    <t>GGTm21d1</t>
  </si>
  <si>
    <t>GGTm21d2</t>
  </si>
  <si>
    <t>GGTm21d5</t>
  </si>
  <si>
    <t>GGTm21d9</t>
  </si>
  <si>
    <t>LDH-m20d28</t>
  </si>
  <si>
    <t>LDH-m21d2</t>
  </si>
  <si>
    <t>LDH-m21d9</t>
  </si>
  <si>
    <t>Lymphozyten-m20d28</t>
  </si>
  <si>
    <t>Lymphozyten-m21d2</t>
  </si>
  <si>
    <t>Bilirubin-m21d1</t>
  </si>
  <si>
    <t>Bilirubin-m21d2</t>
  </si>
  <si>
    <t>Bilirubin-m21d5</t>
  </si>
  <si>
    <t>Ap-m20d28</t>
  </si>
  <si>
    <t>Ap-m21d1</t>
  </si>
  <si>
    <t>Ap-m21d2</t>
  </si>
  <si>
    <t>Ap-m21d5</t>
  </si>
  <si>
    <t>Ap-m21d9</t>
  </si>
  <si>
    <t>Kreatinin-m20d28</t>
  </si>
  <si>
    <t>CRP-m20d28</t>
  </si>
  <si>
    <t>CRP-m21d1</t>
  </si>
  <si>
    <t>CRP-m21d2</t>
  </si>
  <si>
    <t>532 10^9/L</t>
  </si>
  <si>
    <t>312 10^9/L</t>
  </si>
  <si>
    <t>371 10^9/L</t>
  </si>
  <si>
    <t>&gt; 440</t>
  </si>
  <si>
    <t>Ck-d4</t>
  </si>
  <si>
    <t>GOT-d4</t>
  </si>
  <si>
    <t>GPT-d4</t>
  </si>
  <si>
    <t>GGT-d4</t>
  </si>
  <si>
    <t>LDH-d4</t>
  </si>
  <si>
    <t>Ap-d4</t>
  </si>
  <si>
    <t>&gt;440</t>
  </si>
  <si>
    <t>&gt;120</t>
  </si>
  <si>
    <t>Quick-d7</t>
  </si>
  <si>
    <t>INR-d7</t>
  </si>
  <si>
    <t>Amylase-d3</t>
  </si>
  <si>
    <t>Amylase-d7</t>
  </si>
  <si>
    <t>Cholesterin-d3</t>
  </si>
  <si>
    <t>Cholesterin-d7</t>
  </si>
  <si>
    <t>Triacylglyceride-d14 (mmol/l)</t>
  </si>
  <si>
    <t>Triacylgylceride-d7</t>
  </si>
  <si>
    <t>&lt;3000</t>
  </si>
  <si>
    <t>&gt;2000</t>
  </si>
  <si>
    <t>Laktat-d7</t>
  </si>
  <si>
    <t>&gt; 100 mikrog/dl</t>
  </si>
  <si>
    <t>NH3-d7</t>
  </si>
  <si>
    <t>&gt;150 mikrog/dl</t>
  </si>
  <si>
    <t>Quick-d5</t>
  </si>
  <si>
    <t>PTT-d5</t>
  </si>
  <si>
    <t>ATII-d5</t>
  </si>
  <si>
    <t>ATIII-d6</t>
  </si>
  <si>
    <t>GOT-d6</t>
  </si>
  <si>
    <t>Kreatinin-d6</t>
  </si>
  <si>
    <t>Amylase-d4</t>
  </si>
  <si>
    <t>Thrombozyten-d6</t>
  </si>
  <si>
    <t>20,3 g/l</t>
  </si>
  <si>
    <t>Cholesterin-d4</t>
  </si>
  <si>
    <t>59 U/L</t>
  </si>
  <si>
    <t>Triacylglyceride-d4</t>
  </si>
  <si>
    <t>Quick-d9</t>
  </si>
  <si>
    <t>Quick-d11</t>
  </si>
  <si>
    <t>Quick-d15</t>
  </si>
  <si>
    <t>PTT-d11</t>
  </si>
  <si>
    <t>Leukozyten-d9</t>
  </si>
  <si>
    <t>Leukozyten-d11</t>
  </si>
  <si>
    <t>Leukozyten-d12</t>
  </si>
  <si>
    <t>GGT-d11</t>
  </si>
  <si>
    <t>Billirubin-d11</t>
  </si>
  <si>
    <t>Ap-d11</t>
  </si>
  <si>
    <t>INR-d9</t>
  </si>
  <si>
    <t>Harnstoff-d11</t>
  </si>
  <si>
    <t>Thrombozyten-d15</t>
  </si>
  <si>
    <t>INR-d15</t>
  </si>
  <si>
    <t>&lt;130</t>
  </si>
  <si>
    <t>618 GPT/L</t>
  </si>
  <si>
    <t>GOT-d42</t>
  </si>
  <si>
    <t>GPT-d42</t>
  </si>
  <si>
    <t>315 Einheit?</t>
  </si>
  <si>
    <t>CRP-d16</t>
  </si>
  <si>
    <t>100 Einheit?</t>
  </si>
  <si>
    <t>3,95 Einheit?</t>
  </si>
  <si>
    <t>552 3nmol/ls</t>
  </si>
  <si>
    <t>3,86 3mikromol/ls</t>
  </si>
  <si>
    <t>Albumin-d14</t>
  </si>
  <si>
    <t>220 3nmol/ls</t>
  </si>
  <si>
    <t>GLDH-d13</t>
  </si>
  <si>
    <t>5,94 3mikromol/ls</t>
  </si>
  <si>
    <t>Albumin-d13</t>
  </si>
  <si>
    <t>Billirubin-d10</t>
  </si>
  <si>
    <t>INR-d10</t>
  </si>
  <si>
    <t>67 mikrog/dl</t>
  </si>
  <si>
    <t>Ck-d5</t>
  </si>
  <si>
    <t>Fibrinogen-d5</t>
  </si>
  <si>
    <t>INR-d5</t>
  </si>
  <si>
    <t>&lt; 7</t>
  </si>
  <si>
    <t>&lt; 10</t>
  </si>
  <si>
    <t>Amylase-d5</t>
  </si>
  <si>
    <t>Lipase-d4</t>
  </si>
  <si>
    <t>Lipase-d5</t>
  </si>
  <si>
    <t>&lt;10</t>
  </si>
  <si>
    <t>Crp-d4</t>
  </si>
  <si>
    <t>Harnstoff-d2</t>
  </si>
  <si>
    <t>304 G/L</t>
  </si>
  <si>
    <t>Triacylglyceride-d2</t>
  </si>
  <si>
    <t>Triacylglyceride-d3</t>
  </si>
  <si>
    <t>Triacylglyceride-d5</t>
  </si>
  <si>
    <t>NH3-d4</t>
  </si>
  <si>
    <t>NH3-d5</t>
  </si>
  <si>
    <t>Cholesterin-d8</t>
  </si>
  <si>
    <t>Cholesterin-d14</t>
  </si>
  <si>
    <t>&lt;5</t>
  </si>
  <si>
    <t>LDH-d6</t>
  </si>
  <si>
    <t>Amylase-d6</t>
  </si>
  <si>
    <t>Lipase-d6</t>
  </si>
  <si>
    <t>Harnstoff-d6</t>
  </si>
  <si>
    <t>88 G/L</t>
  </si>
  <si>
    <t>Triacylglyceride-d6</t>
  </si>
  <si>
    <t>34 mikromol/l</t>
  </si>
  <si>
    <t>NH3-d2</t>
  </si>
  <si>
    <t>NH3-d3</t>
  </si>
  <si>
    <t>1,5</t>
  </si>
  <si>
    <t>GLDH-d4</t>
  </si>
  <si>
    <t>GLDH-d6</t>
  </si>
  <si>
    <t>40,3</t>
  </si>
  <si>
    <t>37,7</t>
  </si>
  <si>
    <t>8,4</t>
  </si>
  <si>
    <t>1,62</t>
  </si>
  <si>
    <t>1,12</t>
  </si>
  <si>
    <t>185 g/l</t>
  </si>
  <si>
    <t>20 mikromol/l</t>
  </si>
  <si>
    <t>Albumin-d2</t>
  </si>
  <si>
    <t>31,4</t>
  </si>
  <si>
    <t>33,2</t>
  </si>
  <si>
    <t>40,9</t>
  </si>
  <si>
    <t>GOT-m4d6</t>
  </si>
  <si>
    <t>GOT-m5d21</t>
  </si>
  <si>
    <t>GOT-m5d26</t>
  </si>
  <si>
    <t>GOT-m5d29</t>
  </si>
  <si>
    <t>GOT-m6d7</t>
  </si>
  <si>
    <t>GOT-m6d4</t>
  </si>
  <si>
    <t>GOT-m7d6</t>
  </si>
  <si>
    <t>GOT-m10d6</t>
  </si>
  <si>
    <t>GOT-m11d10</t>
  </si>
  <si>
    <t>GOT-m11d30</t>
  </si>
  <si>
    <t>GPT-m4d6</t>
  </si>
  <si>
    <t>GPT-m5d21</t>
  </si>
  <si>
    <t>GPT-m5d26</t>
  </si>
  <si>
    <t>GPT-m5d29</t>
  </si>
  <si>
    <t>GPT-m6d7</t>
  </si>
  <si>
    <t>GPT-m6d14</t>
  </si>
  <si>
    <t>GPT-m7d16</t>
  </si>
  <si>
    <t>GPT-m10d6</t>
  </si>
  <si>
    <t>GPT-m11d10</t>
  </si>
  <si>
    <t>GPT-m11d30</t>
  </si>
  <si>
    <t>GGT-m4d6</t>
  </si>
  <si>
    <t>GGT-m5d21</t>
  </si>
  <si>
    <t>GGT-m5d26</t>
  </si>
  <si>
    <t>GGT-m5d29</t>
  </si>
  <si>
    <t>GGT-m6d7</t>
  </si>
  <si>
    <t>GGT-m7d16</t>
  </si>
  <si>
    <t>GGT-m10d6</t>
  </si>
  <si>
    <t>GGT-m11d10</t>
  </si>
  <si>
    <t>GGT-m11d30</t>
  </si>
  <si>
    <t>GGT-m6d14</t>
  </si>
  <si>
    <t>Bili-m4d6</t>
  </si>
  <si>
    <t>Bili-m5d21</t>
  </si>
  <si>
    <t>Bili-m5d26</t>
  </si>
  <si>
    <t>Bili-m5d29</t>
  </si>
  <si>
    <t>Bili-m6d7</t>
  </si>
  <si>
    <t>Bili-m6d14</t>
  </si>
  <si>
    <t>Bili-m7d16</t>
  </si>
  <si>
    <t>Bili-m10d6</t>
  </si>
  <si>
    <t>Bili-m11d10</t>
  </si>
  <si>
    <t>Bili-m11d30</t>
  </si>
  <si>
    <t>GLDH-m6d7</t>
  </si>
  <si>
    <t>GLDH-m6d14</t>
  </si>
  <si>
    <t>GLDH-m7d16</t>
  </si>
  <si>
    <t>GLDH-m11d10</t>
  </si>
  <si>
    <t>GLDH-m11d30</t>
  </si>
  <si>
    <t>41,8</t>
  </si>
  <si>
    <t>1,7</t>
  </si>
  <si>
    <t>18,3</t>
  </si>
  <si>
    <t>Ap-m5d21</t>
  </si>
  <si>
    <t>Ap-m5d26</t>
  </si>
  <si>
    <t>Ap-m5d29</t>
  </si>
  <si>
    <t>AP-m6d7</t>
  </si>
  <si>
    <t>AP-m6d14</t>
  </si>
  <si>
    <t>AP-m7d16</t>
  </si>
  <si>
    <t>Ap-m10d6</t>
  </si>
  <si>
    <t>Ap-m11d10</t>
  </si>
  <si>
    <t>Ap-m11d30</t>
  </si>
  <si>
    <t>Cholinesterase-m5d26</t>
  </si>
  <si>
    <t>Cholinesterase-m6d7</t>
  </si>
  <si>
    <t>Cholinesterase-m6d14</t>
  </si>
  <si>
    <t>Cholinesterase-m7d16</t>
  </si>
  <si>
    <t>Cholinesterase-m10d6</t>
  </si>
  <si>
    <t>Cholinesterase-m11d30</t>
  </si>
  <si>
    <t>Tria-m4d6</t>
  </si>
  <si>
    <t>Tria-m7d16</t>
  </si>
  <si>
    <t>Tria-m10d6</t>
  </si>
  <si>
    <t>Tria-m11d10</t>
  </si>
  <si>
    <t>Tria-m11d30</t>
  </si>
  <si>
    <t>Cholesterin-m4d6</t>
  </si>
  <si>
    <t>Cholesterin-m7d16</t>
  </si>
  <si>
    <t>Cholesterin-m10d6</t>
  </si>
  <si>
    <t>Cholesterin-m11d10</t>
  </si>
  <si>
    <t>Cholesterin-m11d30</t>
  </si>
  <si>
    <t>66,5</t>
  </si>
  <si>
    <t>5,42 einheit ?</t>
  </si>
  <si>
    <t>253 Tsd  einheit ?</t>
  </si>
  <si>
    <t>810 mikromol/l</t>
  </si>
  <si>
    <t>ATIII-d3</t>
  </si>
  <si>
    <t>Leukozyten/d17</t>
  </si>
  <si>
    <t>3,0</t>
  </si>
  <si>
    <t>515 einheit?</t>
  </si>
  <si>
    <t>Amylase-d9</t>
  </si>
  <si>
    <t>Amylase-d12</t>
  </si>
  <si>
    <t>273 einheit?</t>
  </si>
  <si>
    <t>&gt;1000</t>
  </si>
  <si>
    <t>892 einheit ?</t>
  </si>
  <si>
    <t>Thrombozyten-d17</t>
  </si>
  <si>
    <t>Thrombozyten-d12</t>
  </si>
  <si>
    <t>90 einheit?</t>
  </si>
  <si>
    <t>24,2</t>
  </si>
  <si>
    <t>Quick-d27</t>
  </si>
  <si>
    <t>Quick-d32</t>
  </si>
  <si>
    <t>PTT-d32</t>
  </si>
  <si>
    <t>AT III-d32</t>
  </si>
  <si>
    <t>AT III-d33</t>
  </si>
  <si>
    <t>Got-d33</t>
  </si>
  <si>
    <t>GPT-d33</t>
  </si>
  <si>
    <t>GGT-d33</t>
  </si>
  <si>
    <t>LDH-d27</t>
  </si>
  <si>
    <t>LDH-d33</t>
  </si>
  <si>
    <t>LDH-d32</t>
  </si>
  <si>
    <t>Kreatinin-d32</t>
  </si>
  <si>
    <t>Kreatinin-d33</t>
  </si>
  <si>
    <t>86 mikromol/l</t>
  </si>
  <si>
    <t>GOT-m2d2</t>
  </si>
  <si>
    <t>GPT-m2d2</t>
  </si>
  <si>
    <t>GGT-m2d2</t>
  </si>
  <si>
    <t>AP-m2d2</t>
  </si>
  <si>
    <t>Ck-d28</t>
  </si>
  <si>
    <t>Ldh-d28</t>
  </si>
  <si>
    <t>Kreatinin-d21</t>
  </si>
  <si>
    <t>Harnstoff-d21</t>
  </si>
  <si>
    <t>Harnstoff-d28</t>
  </si>
  <si>
    <t>Leukozyten-d15</t>
  </si>
  <si>
    <t>Lymphozyten-d8</t>
  </si>
  <si>
    <t>Leukozyten-d16</t>
  </si>
  <si>
    <t>24,7</t>
  </si>
  <si>
    <t>56,47</t>
  </si>
  <si>
    <t>42,4</t>
  </si>
  <si>
    <t>1,33</t>
  </si>
  <si>
    <t>218 einheit?</t>
  </si>
  <si>
    <t>BMI</t>
  </si>
  <si>
    <t>16,7</t>
  </si>
  <si>
    <t>28,9</t>
  </si>
  <si>
    <t>26,1</t>
  </si>
  <si>
    <t>25,8</t>
  </si>
  <si>
    <t>18,8</t>
  </si>
  <si>
    <t>26,6</t>
  </si>
  <si>
    <t>31,2</t>
  </si>
  <si>
    <t>0,059</t>
  </si>
  <si>
    <t>39,9</t>
  </si>
  <si>
    <t>19,2</t>
  </si>
  <si>
    <t>25,4</t>
  </si>
  <si>
    <t>25,3</t>
  </si>
  <si>
    <t>22,4</t>
  </si>
  <si>
    <t>30,5</t>
  </si>
  <si>
    <t>21,2</t>
  </si>
  <si>
    <t>31,8</t>
  </si>
  <si>
    <t>19,5</t>
  </si>
  <si>
    <t>23,5</t>
  </si>
  <si>
    <t>37,5</t>
  </si>
  <si>
    <t>21,7</t>
  </si>
  <si>
    <t>20,2</t>
  </si>
  <si>
    <t>31,6</t>
  </si>
  <si>
    <t>17,7</t>
  </si>
  <si>
    <t>22,6</t>
  </si>
  <si>
    <t>21,3</t>
  </si>
  <si>
    <t>29,7</t>
  </si>
  <si>
    <t>20,8</t>
  </si>
  <si>
    <t>19,4</t>
  </si>
  <si>
    <t>21,5</t>
  </si>
  <si>
    <t>25,1</t>
  </si>
  <si>
    <t>29,1</t>
  </si>
  <si>
    <t>26,7</t>
  </si>
  <si>
    <t>26,5</t>
  </si>
  <si>
    <t>19,6</t>
  </si>
  <si>
    <t>Nebendiagnosen</t>
  </si>
  <si>
    <t>Symptome bei Aufnahme</t>
  </si>
  <si>
    <t>Entlassungsmedikation</t>
  </si>
  <si>
    <t>Dauermedikation</t>
  </si>
  <si>
    <t>Paracetamol-Dosis</t>
  </si>
  <si>
    <t>Dauer der Paracetamol Einnahme</t>
  </si>
  <si>
    <t>Paracetamol Start</t>
  </si>
  <si>
    <t>Paracetamol Stop</t>
  </si>
  <si>
    <t>Tarivid, Firin</t>
  </si>
  <si>
    <t>Makrohaematurie</t>
  </si>
  <si>
    <t>7 Tage</t>
  </si>
  <si>
    <t>2 g/d</t>
  </si>
  <si>
    <t>Gerinnungsstörung, haemorrhagische Bullae</t>
  </si>
  <si>
    <t>Harnwegsinfektion</t>
  </si>
  <si>
    <t>akute Gastrointeritis</t>
  </si>
  <si>
    <t>Grunderkrankung</t>
  </si>
  <si>
    <t>Tinnitus</t>
  </si>
  <si>
    <t>Mykoplasmen-Pneumonie</t>
  </si>
  <si>
    <t>Cystitis</t>
  </si>
  <si>
    <t>syst. lupus erythematodes</t>
  </si>
  <si>
    <t>Flecken an Händen, Füßen</t>
  </si>
  <si>
    <t>Erkältung, verschleterung AZ, Bläschen</t>
  </si>
  <si>
    <t>Bläschen, HV an Händen MSH/GSH</t>
  </si>
  <si>
    <t>Cortison, Corticoid</t>
  </si>
  <si>
    <t>Fluimucil,Lindoxyl,Tavanic,Rhinotussal</t>
  </si>
  <si>
    <t>Cortison, Cotrim,Amoxcillin</t>
  </si>
  <si>
    <t>2 x 1 Dosis/Tag</t>
  </si>
  <si>
    <t>Vitamin C, Marcumar</t>
  </si>
  <si>
    <t>16 g</t>
  </si>
  <si>
    <t>verlängerte Gerinnung</t>
  </si>
  <si>
    <t>1 Tag</t>
  </si>
  <si>
    <t>Antidot Gabe /24h später</t>
  </si>
  <si>
    <t>Diclofenac,Tramal,Gelomyrtol</t>
  </si>
  <si>
    <t>Toxischer Leberzellschaden</t>
  </si>
  <si>
    <t>1,5 g/Tag</t>
  </si>
  <si>
    <t>1,5 g/ Tag</t>
  </si>
  <si>
    <t>Leberwerte veraendert, nicht infektiöse Hepatitis</t>
  </si>
  <si>
    <t>Miller-Fisher-Syndrom</t>
  </si>
  <si>
    <t>Chephalgie</t>
  </si>
  <si>
    <t>12 Tage</t>
  </si>
  <si>
    <t>A-HBC pos, Anti HAV pos</t>
  </si>
  <si>
    <t>Polyglobin,Urbason,Thyronajod,Bisobloc, Ranitidin</t>
  </si>
  <si>
    <t>Radiusfraktur</t>
  </si>
  <si>
    <t>3g/Tag</t>
  </si>
  <si>
    <t>Leberwerte veraendert,Bluthochdruck</t>
  </si>
  <si>
    <t>Ciprobay,Optociliin,Jonosteril,Tramal Long,Antra Mups,Vioxx,Tramadol,Omeprazol,Rofecoxib,Hydergintropfen,Calcitonin-Nasentropfen,Ciprofloxaicn,Dikaliumclorazepat,Metamizol,Flurazepam</t>
  </si>
  <si>
    <t>unknown/21.3.2000</t>
  </si>
  <si>
    <t>unknown/5.4.2000</t>
  </si>
  <si>
    <t>unknown/15 Tage</t>
  </si>
  <si>
    <t>3g/Tag /1,5 g</t>
  </si>
  <si>
    <t>500 mg</t>
  </si>
  <si>
    <t>Isoptin, Renacor,Spalt, Digitoxin,Loftan,Prednisolon</t>
  </si>
  <si>
    <t>Leberwerte veraendert, Leberzellschädigung, Cholestase, Ikterus, Hepatomegalie, Einzelzellnekrosen, Cholangitis</t>
  </si>
  <si>
    <t>Starke Durstgefühl, Übelkeit, Erbrechen, Kopfweh</t>
  </si>
  <si>
    <t>Bronchitis chronisch obstruktiv,Stoffwechseldefekte, Paracetamol Missbrauch</t>
  </si>
  <si>
    <t>Cholecystitis, Diabetes Mellitus,Herz-Krankheit chronische onA ischiämische,arterielle Hypertonie, Hexenschuss</t>
  </si>
  <si>
    <t>Zusätzliche Medikation</t>
  </si>
  <si>
    <t>Astrozytom Grad III</t>
  </si>
  <si>
    <t>orale Erosionen, Bläschen</t>
  </si>
  <si>
    <t>Hepatitis C, Gastroentiritis</t>
  </si>
  <si>
    <t>01.09.1999/25.09.1999</t>
  </si>
  <si>
    <t>1 Tag/1Tag</t>
  </si>
  <si>
    <t>1*1 Tbsp/ 1x</t>
  </si>
  <si>
    <t>Bepanthen, Phenydan,Remestan</t>
  </si>
  <si>
    <t>Leukämie,refraktäre Anämie</t>
  </si>
  <si>
    <t>Exanthem, Blasen</t>
  </si>
  <si>
    <t>Erkältung und Otitis</t>
  </si>
  <si>
    <t>Acetylsalicylsäure,...</t>
  </si>
  <si>
    <t>2 Tage</t>
  </si>
  <si>
    <t>5 DF/Tag</t>
  </si>
  <si>
    <t>1,5g/ 1 Tag, 1,0 g/ 2 Tag</t>
  </si>
  <si>
    <t>Trisonomie 21</t>
  </si>
  <si>
    <t>ASD 1</t>
  </si>
  <si>
    <t>N-Acetylcystein, Antibiose (nach 48h)</t>
  </si>
  <si>
    <t>Erbrechen</t>
  </si>
  <si>
    <t>Zyprexa,Stangyl,Olanzapine,Trimipramine Maleate, Paroxetine</t>
  </si>
  <si>
    <t>Psychiatrische Grunderkrankung</t>
  </si>
  <si>
    <t>20.12.2000/20.1.20001</t>
  </si>
  <si>
    <t>20.12.2000/20.1.2001</t>
  </si>
  <si>
    <t>2g/1g</t>
  </si>
  <si>
    <t>Leberwerte veraendert, nach Reexpoistion am 20.1 erneute Erhöhung Leberwerte</t>
  </si>
  <si>
    <t>Zyprexa, Stangyl abgesetzt, Seroxat Therapie (nach 8 Tagen)</t>
  </si>
  <si>
    <t>Adipositas, Alkohol Missbrauch dadurch Fettleber</t>
  </si>
  <si>
    <t>Fettleberhepatits</t>
  </si>
  <si>
    <t>Fieber, Ikterus,Abgeschlagenheit</t>
  </si>
  <si>
    <t>Adipositas,Diabetes Mellitus (nicht insulinpflichtig), Ascites</t>
  </si>
  <si>
    <t>Lasix, Diuretikabehandlung und Spirunolacton, Konakion Gabe (erhöhter INR)</t>
  </si>
  <si>
    <t>Ten(toxic epidermal necrolysis) mit Schleimhautbeteiligung, Bläschen</t>
  </si>
  <si>
    <t>Tegretal,Novalgin, Carbamezapin (Krampfanfälle)</t>
  </si>
  <si>
    <t>Glukokortikosteriod Gabe, Candio Hermal Suspension,Hydrocortison,Subkutin Lösung,...</t>
  </si>
  <si>
    <t>Krampfanfälle, Hepatitis B</t>
  </si>
  <si>
    <t>reduzierter Ernährungs und Allgemeinzustand, Engmaschige Kontrolle aufgrund Anorexie</t>
  </si>
  <si>
    <t>Anorexie</t>
  </si>
  <si>
    <t>Zyprexa, Efexor, Stilnox, Spasmo-Cibalgin, Dafalgan, Prazine</t>
  </si>
  <si>
    <t>4 Tabletten</t>
  </si>
  <si>
    <t>Absetzen der Medikamente, Tramal Reserve</t>
  </si>
  <si>
    <t>11,5 g</t>
  </si>
  <si>
    <t>Hepatitis, Ikterus</t>
  </si>
  <si>
    <t>Propofol,Midazolam,Enfluran</t>
  </si>
  <si>
    <t>nach Zahnärztlichem Eingriff-Schmerzen?</t>
  </si>
  <si>
    <t>8 Tage</t>
  </si>
  <si>
    <t>2 Tabletten/Tag</t>
  </si>
  <si>
    <t>Hepatopathie, Osteopenie</t>
  </si>
  <si>
    <t>Kraftlos, Schlechter AZ</t>
  </si>
  <si>
    <t>&gt; 1 Jahr</t>
  </si>
  <si>
    <t>Frühjahr 2000</t>
  </si>
  <si>
    <t>Sommer 2001</t>
  </si>
  <si>
    <t>1 g/ Tag</t>
  </si>
  <si>
    <t>toxische Hepatose,Thrombo-Leukopenie,normochrome Anaemie</t>
  </si>
  <si>
    <t>Zwangsstörung</t>
  </si>
  <si>
    <t>enorme Gewichtsreduktion (30kg), früher hoher Alkoholkonsum</t>
  </si>
  <si>
    <t>Fluctin, Aspirin</t>
  </si>
  <si>
    <t>Haemolytische Anaemie,Leberzirrhose, Ikterus</t>
  </si>
  <si>
    <t>&gt; 1g/Tag</t>
  </si>
  <si>
    <t>1,5g</t>
  </si>
  <si>
    <t>4 Tage</t>
  </si>
  <si>
    <t>1,5g/Tag</t>
  </si>
  <si>
    <t>Penicillin, Theophyllin, Codein</t>
  </si>
  <si>
    <t>Ikterus, Erbrechen, Appetitlosigkeit</t>
  </si>
  <si>
    <t>Rocephinbehandlung (keine Verbess.), Tazobac, Acc Gabe (zur Sekretolyse)</t>
  </si>
  <si>
    <t>Rewodina</t>
  </si>
  <si>
    <t>Schwindel, Billirubinerhöhung, AZ beeinträchtigt</t>
  </si>
  <si>
    <t>6g/Tag</t>
  </si>
  <si>
    <t>Unbekannt</t>
  </si>
  <si>
    <t>3/Tag</t>
  </si>
  <si>
    <t>Loratadin</t>
  </si>
  <si>
    <t xml:space="preserve">Loratadin abgesetzt </t>
  </si>
  <si>
    <t>20g</t>
  </si>
  <si>
    <t>innerhalb 12 h</t>
  </si>
  <si>
    <t>Ergenyl,Resimatil,Effortil plus</t>
  </si>
  <si>
    <t>Grand Mal Epilepsie, Oligophrenie</t>
  </si>
  <si>
    <t>Harnwegsinfekt, Angina tonsillaris</t>
  </si>
  <si>
    <t>Leberversagen,Leberkoma, Hirnödem</t>
  </si>
  <si>
    <t>500mg-1g/Tag</t>
  </si>
  <si>
    <t>14.1.2002/16.1.2002</t>
  </si>
  <si>
    <t>1 Tag/ 2 Tage</t>
  </si>
  <si>
    <t>14.1.2002/ 17.01.2002</t>
  </si>
  <si>
    <t>verschlechterte AZ, komatös</t>
  </si>
  <si>
    <t>Lamictal,Clindamycin,Augmentan forte,ASS,Novalgin,Vomex A, MCP Tropfen</t>
  </si>
  <si>
    <t>Lamisil</t>
  </si>
  <si>
    <t>"low dosages"</t>
  </si>
  <si>
    <t>einige Tage</t>
  </si>
  <si>
    <t>Ikterus, Grippe Gefühl</t>
  </si>
  <si>
    <t>Grippe Gefühl/Nasopharyngitis</t>
  </si>
  <si>
    <t>Nierenbeckenenntzündung</t>
  </si>
  <si>
    <t>Neupogen (Stammzellmobilisierung)</t>
  </si>
  <si>
    <t>keine Intervention, 2 Wochen nach Spende normalisiert</t>
  </si>
  <si>
    <t>1g/Tag</t>
  </si>
  <si>
    <t>Fußnagelmykose</t>
  </si>
  <si>
    <t>Lamisil Therapie (Fußnagelnekrose)</t>
  </si>
  <si>
    <t>Ikterus, Hepatitis (A,B,B,E ausgeschlossen)</t>
  </si>
  <si>
    <t>Ludiomil</t>
  </si>
  <si>
    <t>positiver RAST auf Paracetamol</t>
  </si>
  <si>
    <t>4g</t>
  </si>
  <si>
    <t>Kolonkarzinom</t>
  </si>
  <si>
    <t xml:space="preserve">7g </t>
  </si>
  <si>
    <t>Spizef,Clexane</t>
  </si>
  <si>
    <t>Cytomegalie, IGG pos.</t>
  </si>
  <si>
    <t>Erkältung (2003)</t>
  </si>
  <si>
    <t>6 Tage</t>
  </si>
  <si>
    <t>verschlechterter AZ, ikterus</t>
  </si>
  <si>
    <t>Hepatitis B, Appendektomie, Nierenbeckenentzündung (2000)</t>
  </si>
  <si>
    <t>Ursodeoxycholic acid tabletten, Prednisolone, Levocetirizine, Metoclopramide</t>
  </si>
  <si>
    <t>Multiple Sklerose</t>
  </si>
  <si>
    <t>Absetzen der Medikamente, Behandlung mit Prednisolon,Loratadim,betamethason</t>
  </si>
  <si>
    <t>Flupiritin</t>
  </si>
  <si>
    <t>4g/Tag</t>
  </si>
  <si>
    <t>Absetzen der Medikamente,Silymarin und Cholestyramin Gabe</t>
  </si>
  <si>
    <t>Robif,Pantoprazol,Tetrazepam</t>
  </si>
  <si>
    <t>Betaferon,Valette</t>
  </si>
  <si>
    <t>500 mg/Tag</t>
  </si>
  <si>
    <t>Interferon,Proleukin,Fluorouracil,Metoclopramide, Codein</t>
  </si>
  <si>
    <t>Infektion Harntraktes,Klebsiellen Pneumonie, Gastritis, Schlechter AZ</t>
  </si>
  <si>
    <t>Nierenkarzinom, Diabetes Mellitus Typ 2 insulinabhängig, Arterielle Hypertonie, Thrombose, chronische Gastritis</t>
  </si>
  <si>
    <t>Nephrektomie (rechts),Gewichtsverlust, Lungen und Schenkel Metastasen</t>
  </si>
  <si>
    <t>Novalgin Gabe</t>
  </si>
  <si>
    <t>Doxycyclin,Valette</t>
  </si>
  <si>
    <t>Voltaren,Ketek</t>
  </si>
  <si>
    <t>Juckenden Haut, Exanthem</t>
  </si>
  <si>
    <t>Steven Johnson Syndrom, Erhöhte Leberwerte</t>
  </si>
  <si>
    <t>Gliederschmerzen, Arterielle Hypertonie</t>
  </si>
  <si>
    <t>Sigma Resektion</t>
  </si>
  <si>
    <t>Hepatitis A und IGG positiv</t>
  </si>
  <si>
    <t>3Tage</t>
  </si>
  <si>
    <t>Therapie der Blutgerinnung, Absetzen Paracetmol und Cefuroxime</t>
  </si>
  <si>
    <t>Leberversagen, Gerinnungsstörung, Arterielle Hypertonie, Organversagen, Hämothorax</t>
  </si>
  <si>
    <t>Suprane(begleitend zur Anästhesie), Acetylcystein,phytomenadion,valsartan,Diazepam, NFX,Inzolen,Fotassium,Sorbitol,Sodium Chlorid,Intramin,Kylitol,Ranitidine,Ropivacaine,Metronidazol,Briserin, (2004), Cefuroxine (Diverticulitis 1989)</t>
  </si>
  <si>
    <t>Absetzen der Medikamente, MCP Tropfen</t>
  </si>
  <si>
    <t>läppchenzentrale Nekrose</t>
  </si>
  <si>
    <t>Ebrechen, Fieber,Geldfärbung der Augen</t>
  </si>
  <si>
    <t>Ciprofloxacin, Metoclopramide</t>
  </si>
  <si>
    <t>Infusionstherapie, ASS Pause, Clexane, übrige Medikation abgesetzt</t>
  </si>
  <si>
    <t>Diabetes Mellitus</t>
  </si>
  <si>
    <t>Myokardinfarkt</t>
  </si>
  <si>
    <t>Akutes Abdomen</t>
  </si>
  <si>
    <t>ASS, Corvaton Retard, Dilatrend, Isoket</t>
  </si>
  <si>
    <t>3 Tage</t>
  </si>
  <si>
    <t>4,3 g/Tag</t>
  </si>
  <si>
    <t>Leberwerte erhöht, Gerinnungswert erniedrigt</t>
  </si>
  <si>
    <t>Lonarid</t>
  </si>
  <si>
    <t>Alkoholmissbrauch (mehrere L)</t>
  </si>
  <si>
    <t>10g/Tag</t>
  </si>
  <si>
    <t>5g/Tag</t>
  </si>
  <si>
    <t>Delirium</t>
  </si>
  <si>
    <t>nach 16 h</t>
  </si>
  <si>
    <t>1 Tablette</t>
  </si>
  <si>
    <t>Cholezystektomie,Hysterektomie</t>
  </si>
  <si>
    <t>Geröteter Rachen, Schmerzen im Abdomen</t>
  </si>
  <si>
    <t>Gabe von Novaminsulfon und Pantoprazol</t>
  </si>
  <si>
    <t>Pantoprazol 40mg/d</t>
  </si>
  <si>
    <t xml:space="preserve">Absetzen der Medikamente und Gabe von Anitbiotikum </t>
  </si>
  <si>
    <t>Bromhexin,Cefuroxim</t>
  </si>
  <si>
    <t>Verdacht auf Pneumonie</t>
  </si>
  <si>
    <t>Fieber, Husten,Kopfschmerzen</t>
  </si>
  <si>
    <t>1 g</t>
  </si>
  <si>
    <t>Lamotrigine, Trileptal,Cipralex,Folsäure</t>
  </si>
  <si>
    <t>Sediert,Intubatiert, Beatmet, Gabe von Paracetmol,Clonacepam,Refobacin,Zinacef, später anstatt Refo und Zinac Meronem und Plasma Gabe</t>
  </si>
  <si>
    <t>Leberversagen, Hämorrhagie</t>
  </si>
  <si>
    <t>Lebewerte verandert, Cholestase</t>
  </si>
  <si>
    <t>12233581</t>
  </si>
  <si>
    <t>12461026</t>
  </si>
  <si>
    <t>12539722</t>
  </si>
  <si>
    <t>12567806</t>
  </si>
  <si>
    <t>12709523</t>
  </si>
  <si>
    <t>Leberversage</t>
  </si>
  <si>
    <t>Nexium,enahexal,decortin</t>
  </si>
  <si>
    <t>Rheumatische Arthritis, Hypertonus, Gastritis, Lungenfibrose</t>
  </si>
  <si>
    <t>tramal,decortin,xanef</t>
  </si>
  <si>
    <t>Psoriasisarthropathie, arterieller Hypertonus, diab. Stoffwechsel,Basilaristhrombose</t>
  </si>
  <si>
    <t>Absetzen Paracetamol</t>
  </si>
  <si>
    <t>Lithium Acetat/Carbonat</t>
  </si>
  <si>
    <t>Stark vermindertes Bewusstsein,Tremor,Schläfrigkeit</t>
  </si>
  <si>
    <t>5g</t>
  </si>
  <si>
    <t>Niereninsuffizienz aufgrund Medikamentenmissbrauch</t>
  </si>
  <si>
    <t>Leberschaden, Leberinsuffizienz</t>
  </si>
  <si>
    <t>innerhalb 24 h</t>
  </si>
  <si>
    <t>5 g</t>
  </si>
  <si>
    <t>Metamizol</t>
  </si>
  <si>
    <t xml:space="preserve">nach 24 h </t>
  </si>
  <si>
    <t>45g</t>
  </si>
  <si>
    <t>nach 24 h</t>
  </si>
  <si>
    <t>Larynxcarzinom, Herzinsuffizienz, arterieller Hypertonus, COPD</t>
  </si>
  <si>
    <t>2g/tag</t>
  </si>
  <si>
    <t>Dipidolor,amineurin,furesis,isoptin,acc,prednisolon,prothazin,carbostesin,etomidat,sevoran</t>
  </si>
  <si>
    <t>1-2 Wochen</t>
  </si>
  <si>
    <t xml:space="preserve">nach 7-14 Tage </t>
  </si>
  <si>
    <t>Leberschaden, Multi Organ Versagen</t>
  </si>
  <si>
    <t>9g/in 8h</t>
  </si>
  <si>
    <t>nach 24 h, Dialyse</t>
  </si>
  <si>
    <t>20-25g/in 10h</t>
  </si>
  <si>
    <t>Hepatits C aufgrund Alkoholkonsum</t>
  </si>
  <si>
    <t>nach 24h, Dialyse</t>
  </si>
  <si>
    <t>10g</t>
  </si>
  <si>
    <t>nach 3 Tagen</t>
  </si>
  <si>
    <t>nach 24h</t>
  </si>
  <si>
    <t>25g</t>
  </si>
  <si>
    <t>Acetylsalecylsäure</t>
  </si>
  <si>
    <t>8g</t>
  </si>
  <si>
    <t>Diclofenac, Ibuprofen</t>
  </si>
  <si>
    <t>15g</t>
  </si>
  <si>
    <t>nach 5 Tagen</t>
  </si>
  <si>
    <t>Penicillin</t>
  </si>
  <si>
    <t>Leponex/Clozaril,Vomex</t>
  </si>
  <si>
    <t>Acetylcystein, Antibiotikum</t>
  </si>
  <si>
    <t>Unruhe, Tachykardie, Koma, Stupor, Myoklonie, Transaminase Anstieg</t>
  </si>
  <si>
    <t>nach 7-14 Tagen</t>
  </si>
  <si>
    <t>Niereninsuffizienz, Organversagen, Leberfunktionsstörung</t>
  </si>
  <si>
    <t>Phenytoin,Digoxin</t>
  </si>
  <si>
    <t>Niereninsuffizienz, Leberfunktionsstörung</t>
  </si>
  <si>
    <t>nach 1 Tag</t>
  </si>
  <si>
    <t>Coffein,Chlorphenamin</t>
  </si>
  <si>
    <t>Darm karzinom</t>
  </si>
  <si>
    <t>5 Tage</t>
  </si>
  <si>
    <t>Post Operativ Schmerzen</t>
  </si>
  <si>
    <t>Oxygesic,Amlodipin</t>
  </si>
  <si>
    <t>Hypertonie, Struma OP</t>
  </si>
  <si>
    <t>4-6 Wochen</t>
  </si>
  <si>
    <t>2-4 g/Tag</t>
  </si>
  <si>
    <t>Diabetes Mellitus Typ 1</t>
  </si>
  <si>
    <t>Leberversagen, Cholestatische Hepatitis, Ikterus</t>
  </si>
  <si>
    <t>Ibuprofen, Doxycyclin, Dolormin, Amoxicillin, Ciprofloxacin,Clindamycin</t>
  </si>
  <si>
    <t>Otitis Media, Exanthem(durch Amoxcillin), ARDS</t>
  </si>
  <si>
    <t>Acetylcystein, aufgrund ADRS intubiert, Hämofiltration mit MARS</t>
  </si>
  <si>
    <t>geplant: Transplantation</t>
  </si>
  <si>
    <t>Hepatitis mit Tod durch Leberkoma</t>
  </si>
  <si>
    <t>Clinda Saar, Otobacid,Novaminsulfon</t>
  </si>
  <si>
    <t>2-4g/Tag, insg. 3 Packungen</t>
  </si>
  <si>
    <t>Fettleber, Alkoholmissbrauch</t>
  </si>
  <si>
    <t>Transaminasen bis zum 4 Stelligen erhöht, Abdominale und Duodenale OP</t>
  </si>
  <si>
    <t>Absetzen der Medikamente, ACC Gabe, Plasmagabe</t>
  </si>
  <si>
    <t>Norvasc, Vesdil, Nexium, Piritramide</t>
  </si>
  <si>
    <t>Lebertransplantation</t>
  </si>
  <si>
    <t>2 DF</t>
  </si>
  <si>
    <t>Voltaren,Cephalosporine,Sevoran, Mono Embolex,Tranxilium,Remitentanil,Nimbox,Doplantin,Dipidolor, ACC</t>
  </si>
  <si>
    <t>Gabe von ACC</t>
  </si>
  <si>
    <t>Hüft OP</t>
  </si>
  <si>
    <t>Gelbe Augen,Ascited,Dunkler Urin, Gastro Interstinale Probleme, Schläfrigkeit</t>
  </si>
  <si>
    <t>1-2x1g/Tag</t>
  </si>
  <si>
    <t>Sepsis bei Pneumonie, Rheuma,Lyme Borreliose</t>
  </si>
  <si>
    <t>Prostatahyperplasie,Pleuraerguss,ANV,Criticall-Illness-Myopathie,Arzneimittelexanthem,Gingivostomatitis,Pharyngotonsillitis, paroxymales VHS, Raucher</t>
  </si>
  <si>
    <t>Phenylbutazon,Voltaren,Prostagutt,Aspirin,Doxiciclin,Falicard,Digitoxin,Diazepam,Etomaldat,Dormicin,Irenat,Jonosteril,Sufenta,Noradrenalin,Hydrocortison,Antra,Rocephin,Pipril,Kaliumphosphor,Clexane,dobutamin,Beloc,Delix,Movicol,actrapid,Lasix, Nexium, Novasource, AT III,Clinomel, Acidorir, Pyocatanin,Triclosan,</t>
  </si>
  <si>
    <t>Cranoc</t>
  </si>
  <si>
    <t>Adipositis, arterielle Hypertonie</t>
  </si>
  <si>
    <t>Hypercholesterolämie,Post ERCP Pankreatitis mit Niereninsuffizienz</t>
  </si>
  <si>
    <t>ERCP, Antibiotikum Rocephin</t>
  </si>
  <si>
    <t>Moxonidin,Disalunil,Concor 5</t>
  </si>
  <si>
    <t>Tegretal,Lamotrigine</t>
  </si>
  <si>
    <t>Hepatoxische Reaktion, Leberversage</t>
  </si>
  <si>
    <t>nach 1 Woche</t>
  </si>
  <si>
    <t>Darm Op</t>
  </si>
  <si>
    <t>Neugeborenenikterus, Ventrikelseptumdefekt</t>
  </si>
  <si>
    <t>proguanil(malaria prophylaxe),codein,atovaguon</t>
  </si>
  <si>
    <t>Absetzen der Medikamente, ACC Gabe, Inhalation mit Emser</t>
  </si>
  <si>
    <t>Fieber, schlechter AZ</t>
  </si>
  <si>
    <t>Amoxicillin,Roxithromycin</t>
  </si>
  <si>
    <t>500mg/Tag</t>
  </si>
  <si>
    <t>Absetzen der Medikamente, Konakion, Comafusin,E153, HepaMerz,Multibiointa,Albumin, KCL/MCP,Pantozol,Lebertransplantation</t>
  </si>
  <si>
    <t>Leistungsminderung, Druckschmerz, Exanthem, unklare Hepatitis mit Ikterus</t>
  </si>
  <si>
    <t>Leberzirrhose,Ascites, Teilthrombose linke Pfortader,Encephalopathie</t>
  </si>
  <si>
    <t>Amoxypen,Bronchiprat,Cerazette,Doxycyclin,Ferrosanol,Lall J,Syneudon,Voltaren</t>
  </si>
  <si>
    <t>&gt; 1 Monat</t>
  </si>
  <si>
    <t>Avalox</t>
  </si>
  <si>
    <t>Absetzen der Medikamente, Albumin Gabe,Legalon,Eks, Fenistil,Antibiotikum Ciprobay dann Clont,Rocephin,UDC, Konakion</t>
  </si>
  <si>
    <t>Ikterus, Druckschmerzen Leber, Juckreiz, Fieber, Leberzirrhose diagnostiziert</t>
  </si>
  <si>
    <t>akute Cholecysteitis, akutes Leberversagen</t>
  </si>
  <si>
    <t>chronischer Alkoholkonsum</t>
  </si>
  <si>
    <t>Grippostad C, Prednisolon</t>
  </si>
  <si>
    <t>1 g/Tag</t>
  </si>
  <si>
    <t>Exanthem, Fieber, Gelenkschmerz,Muskelschmerz,Schluckstörung</t>
  </si>
  <si>
    <t>Ibuprofen,Penicillin,Ceftraxion,Piperacillin,Clarithromycin,non-steriodiale Antihestaminica und Antirheumatika</t>
  </si>
  <si>
    <t>Tumorlyse Syndrom, Leukämie</t>
  </si>
  <si>
    <t>Hepatosplenomegalie</t>
  </si>
  <si>
    <t>Propofol,Alfenatinil,Dexamethason</t>
  </si>
  <si>
    <t>30g</t>
  </si>
  <si>
    <t>Zienam,Dipidolor</t>
  </si>
  <si>
    <t>Peritonitis,Gastroentiritis</t>
  </si>
  <si>
    <t>Hypokaliämie,mechanischer Ileus,Pangastritis,Meteorismus</t>
  </si>
  <si>
    <t>Icterus, Müdigkeit, Bauchschmerzen</t>
  </si>
  <si>
    <t>Behandlung mit ACC, MARS</t>
  </si>
  <si>
    <t>Peritonitis,Rektumresektion bei Adenocarzinom</t>
  </si>
  <si>
    <t>Leberwerte veraendert, Oedeme, Kopf-Bauchschmerzen</t>
  </si>
  <si>
    <t>1-2g/Tag</t>
  </si>
  <si>
    <t>seit August 2008</t>
  </si>
  <si>
    <t>ca. 16 Tage</t>
  </si>
  <si>
    <t>Myasthenie</t>
  </si>
  <si>
    <t>Faktor V Leiden</t>
  </si>
  <si>
    <t>Remifemin,Mestinon</t>
  </si>
  <si>
    <t>Abestzen Remifemin</t>
  </si>
  <si>
    <t>Schmerzen im Oberbauchbereich</t>
  </si>
  <si>
    <t>Remergil</t>
  </si>
  <si>
    <t>Morbus Parkinson,Gastritis,Lumbago</t>
  </si>
  <si>
    <t>Depression, Angstzustände,LWS/HWS mit degenerativen Veränderungen, Hypotesteronämie</t>
  </si>
  <si>
    <t>Absetzen der Medikamente, Ibuprofen gegen Schmerzen, Ropinirol, Pantozol,Sertalin,Tamsulosin,Enalapril</t>
  </si>
  <si>
    <t>3 g</t>
  </si>
  <si>
    <t>Beckenprellung nach Sturz</t>
  </si>
  <si>
    <t>Diabetes mellitus insulinabhängig</t>
  </si>
  <si>
    <t>Absetzen der Medikamente, Diurese</t>
  </si>
  <si>
    <t>Lasix, Pantozol,...</t>
  </si>
  <si>
    <t>Amoxcillin</t>
  </si>
  <si>
    <t>Exanthem</t>
  </si>
  <si>
    <t>Prednisolon Gabe nach 4 d</t>
  </si>
  <si>
    <t>Patch Test für beide Medikamente postitiv, Prick postitiv fur Amoxicillin</t>
  </si>
  <si>
    <t>Diflucan, Baldrian,Vancomycin,Inostenil,Furosemid,Prednisolon,Clont,Concor,Omniflora,Fraxiparin,Rocephin,Gelositin,Ocutears Lipospray,Kalinor,Digifoxin,Pantozol,Bisoprolol,CaD3</t>
  </si>
  <si>
    <t>2.4.2009/9.4.2009/11.4.2009</t>
  </si>
  <si>
    <t>2.4.2009/9.4.220/11.4.2009</t>
  </si>
  <si>
    <t>1x 1g/Tag, 2x 500mg/Tag</t>
  </si>
  <si>
    <t>Fieber,Hypertonie,Nierenversagen</t>
  </si>
  <si>
    <t>Urosepsis mit CMV Reaktivierung</t>
  </si>
  <si>
    <t>Vegetation im Bereich Mitralklappe,infektiöse Endokarditis, Zyto-Neutropenien-&gt; toxisch geschädigtes RM, Pleuraerguss links,Agranulozytose, Osteoporose,Neurogene Blasenelteerungsstörung,SIRS,Ulcus ventriculi, Vorhofflimmern</t>
  </si>
  <si>
    <t>GCSF Therapie</t>
  </si>
  <si>
    <t>Pantozol,Digimerck,CalciumD3,Decortin,Omniflora, Protein,Fraxiparin</t>
  </si>
  <si>
    <t>Leberversagen, Nierenversagen, Hirnödem, Gerinnungsstörung</t>
  </si>
  <si>
    <t>reduzierter AZ,Abdominalschmerzen</t>
  </si>
  <si>
    <t>9-18 g/ pro 6d</t>
  </si>
  <si>
    <t>Fluimucil, Hämodialyse, ZVK, geplant Lebertransplantation</t>
  </si>
  <si>
    <t>2g/Tag</t>
  </si>
  <si>
    <t>Leberversagen, Cholezystolithiasis</t>
  </si>
  <si>
    <t>Tonsillektomie,Angiomyolipom rechte Niere</t>
  </si>
  <si>
    <t>Ikterus,Übelkeit</t>
  </si>
  <si>
    <t>Ibuprofen</t>
  </si>
  <si>
    <t>7 Wochen</t>
  </si>
  <si>
    <t>Ursodeoxycholsäure</t>
  </si>
  <si>
    <t>Flupiritin,Amitriptylin, Naproxan, Metoprolol</t>
  </si>
  <si>
    <t>Vit K und Acetylcystein, Terlipressin,Antibiotikum</t>
  </si>
  <si>
    <t>Leberwerte veraendert, Exanthem, metabolische Azidose, Lungen-Leberversagen, Verdacht auf Sepsis, Purpura</t>
  </si>
  <si>
    <t>Chronische Schmerzen,Lumboischialgie,degenerativer WS Schaden mit Bandscheibenprotusion,Hypertonie</t>
  </si>
  <si>
    <t>Pantozol,Thyronajod,Votum,Metohexal,HCT,Simvastatin,Novalgin,Fraxiparin,Kalinor,Fentanyl,MCP</t>
  </si>
  <si>
    <t>Re-Reluxation des Atlantoaxialgelenks bei Grisel Syndrom</t>
  </si>
  <si>
    <t>Alkoholmissbrauch</t>
  </si>
  <si>
    <t>Opiatüberhang,Bradypnoe,Zyanose,Viglanzminderung</t>
  </si>
  <si>
    <t>Propofol,Cisatracurium,Fentanyl,Piritramid,Dimenhydrinat,Paracetamol</t>
  </si>
  <si>
    <t>18.40.2012</t>
  </si>
  <si>
    <t>Ruptur vorderes Kreuzband, Innenminiskushornriss</t>
  </si>
  <si>
    <t>Opiatüberhang, Appendektomie und</t>
  </si>
  <si>
    <t>Narcatin, Anexate, Acetylcystein</t>
  </si>
  <si>
    <t>1,5g /Tag</t>
  </si>
  <si>
    <t>Mevinacor</t>
  </si>
  <si>
    <t>Hypercholesterinämie</t>
  </si>
  <si>
    <t>Psoriasis vulgaris</t>
  </si>
  <si>
    <t>toxische Hepatose, Cholestatische Hepatitis</t>
  </si>
  <si>
    <t>5,5 g/Tag</t>
  </si>
  <si>
    <t>Omeprazol,Glibenclamid,Kreon,Isorbid,ASS,Indometazin</t>
  </si>
  <si>
    <t>Solu Decortin Gabe und Cortison</t>
  </si>
  <si>
    <t>Erbrechen, Oberbauchschmerzen, Übelkeit</t>
  </si>
  <si>
    <t>Leberwerte veraendert, Organversagen</t>
  </si>
  <si>
    <t>Diabetes Mellitus,Pankreasinsuffizienz,Hyperurikämie, Fettleber</t>
  </si>
  <si>
    <t>Leberwerte veraendert, Hyperpyrexie</t>
  </si>
  <si>
    <t>Timonil retard</t>
  </si>
  <si>
    <t>19.08.</t>
  </si>
  <si>
    <t>Epilepsie</t>
  </si>
  <si>
    <t>fieberhafter Infekt,Urticaria</t>
  </si>
  <si>
    <t>Orelox und ASS Gabe</t>
  </si>
  <si>
    <t>Virale Gastro-Enteritis</t>
  </si>
  <si>
    <t>Ceclor Saft,Parkemed, Metifex</t>
  </si>
  <si>
    <t>250mg/tag 1 / 500 mg /2 Tag</t>
  </si>
  <si>
    <t>Leberwerte veraendert, Hirnödem, Zerfall der Leber</t>
  </si>
  <si>
    <t>Leberinsuffizienz, Nephritis</t>
  </si>
  <si>
    <t>25 g/Tag</t>
  </si>
  <si>
    <t xml:space="preserve">Infusion Acetylcystein </t>
  </si>
  <si>
    <t>Übelkeit, Erbrechen, Bauchschmerzen</t>
  </si>
  <si>
    <t>Non Hodgkin Lymphom</t>
  </si>
  <si>
    <t>Sempra Kapseln,Zantic,Pepdul, Morphin,Diflucan,Zovirax,Bactrim,Targocid,Heparin, Antithrombin III,Prothil,Dilzem</t>
  </si>
  <si>
    <t>13 Tage</t>
  </si>
  <si>
    <t>24 Tage</t>
  </si>
  <si>
    <t>20 Tage</t>
  </si>
  <si>
    <t>16 Tage</t>
  </si>
  <si>
    <t>18 Tage</t>
  </si>
  <si>
    <t>3,5g</t>
  </si>
  <si>
    <t>Borderline Psychose</t>
  </si>
  <si>
    <t>Taxilan,Tavegil,Dihydergot,Diazepam,Haloperidol,Neurocil,Truxal</t>
  </si>
  <si>
    <t>Neurodermitis, Asthma</t>
  </si>
  <si>
    <t>ACC Gabe</t>
  </si>
  <si>
    <t>Klippel-Trenaunay Syndrom</t>
  </si>
  <si>
    <t>Tonsillektomie</t>
  </si>
  <si>
    <t>Trapanal,Lachgas,Paspertin</t>
  </si>
  <si>
    <t>7g</t>
  </si>
  <si>
    <t>Übelket, Ebrechen</t>
  </si>
  <si>
    <t>Leberversagen, Hepatogene Koagulopathie, Hirnödem</t>
  </si>
  <si>
    <t>geplante Lebertransplantation</t>
  </si>
  <si>
    <t>2-3 Tage</t>
  </si>
  <si>
    <t>Tage</t>
  </si>
  <si>
    <t>cholestatische Hepatitis,Pankreatitits,Lyell Snydrom,Pneumonie Sepsis</t>
  </si>
  <si>
    <t>Bauchschmerzen</t>
  </si>
  <si>
    <t xml:space="preserve"> ausstrahlender Druckschmerz im Abdomenbereich ,Exanthem,Pharyngitis, Epidermolyse</t>
  </si>
  <si>
    <t>Herabsetzen der Medikation, Cotricosteriod Gabe</t>
  </si>
  <si>
    <t>unklare Bauchschmerzen</t>
  </si>
  <si>
    <t>Harnwegsinfekt, Fettleberaspekte, Psychose,</t>
  </si>
  <si>
    <t>Diazepam, Buscopan,Doxycyclin, Muskel Trancopal, Korodin, Yxin Augentropfen,</t>
  </si>
  <si>
    <t>Leberausfall, Knochenmarkssupression</t>
  </si>
  <si>
    <t>mehrere Gramm</t>
  </si>
  <si>
    <t>13.01.1997/1.2.1997</t>
  </si>
  <si>
    <t>16.01.1997/10.2.1997</t>
  </si>
  <si>
    <t>4 Tage/10 Tage</t>
  </si>
  <si>
    <t>Novalgin</t>
  </si>
  <si>
    <t>chronische Polyarthritis</t>
  </si>
  <si>
    <t>Grippale Beschwerde,Schmerzen,Übelkeit,Erbrechen, Fieber, Schüttelfrost, Exanthem</t>
  </si>
  <si>
    <t>3-4 g/Tag</t>
  </si>
  <si>
    <t>Beloc Zpl, Metoclepramid,Rifun</t>
  </si>
  <si>
    <t>Hypertonie, Endokarditits, Reflux Ösophagitis</t>
  </si>
  <si>
    <t>Supraventriculäre Sinustachykardie, Ulcera Ventriculi</t>
  </si>
  <si>
    <t>Absetzen der Medikamente, Pantoprazol, Metoclopramid und Metoprolol Gabe</t>
  </si>
  <si>
    <t>Übelkeit, Schwindel, Bauchkrämpfe</t>
  </si>
  <si>
    <t>Elzogram</t>
  </si>
  <si>
    <t>Spinale Muskeldystrophie</t>
  </si>
  <si>
    <t>Absetzen Elzogram, Konakion und Plasma Gabe</t>
  </si>
  <si>
    <t>Pneumonie, Herz Insuffizienz, Cholecystitis, Myelodysplastisches Syndrom</t>
  </si>
  <si>
    <t>Hepatotoxisch, Somnolenz</t>
  </si>
  <si>
    <t>Diflucan,Digitoxin,Mundipharma,Gernebecin,Fortum,Berlosin,</t>
  </si>
  <si>
    <t>Allopurinol,Isoptin,Lasix</t>
  </si>
  <si>
    <t>&gt;7 Monate</t>
  </si>
  <si>
    <t>Generalisierte Arteriosklerose,chronisch obstruktive Lungenerkrankung</t>
  </si>
  <si>
    <t>Soor,Lamliasis,unklares Abdomen</t>
  </si>
  <si>
    <t>Furanthril,Chlormadinon</t>
  </si>
  <si>
    <t>bis 3g/Tag</t>
  </si>
  <si>
    <t>ca 3 Monate</t>
  </si>
  <si>
    <t>Bandscheibenvorfall</t>
  </si>
  <si>
    <t>ASS,Cibrobay, Novalgin</t>
  </si>
  <si>
    <t>grippaler Infekt mit Harnwegsinfektion</t>
  </si>
  <si>
    <t>Hautausschlag, Luftnot, Leberwertveränderung</t>
  </si>
  <si>
    <t>kA/6.06.89</t>
  </si>
  <si>
    <t>kA/7.06.89</t>
  </si>
  <si>
    <t>2 Tage/2 Tage</t>
  </si>
  <si>
    <t>kA/1g pro Tag</t>
  </si>
  <si>
    <t>1-2g</t>
  </si>
  <si>
    <t>Übelkeit, Erbrechen</t>
  </si>
  <si>
    <t xml:space="preserve">Behandlung mit ACC nach 20 h </t>
  </si>
  <si>
    <t>98008110 not.</t>
  </si>
  <si>
    <t>Morbus Farquar mit Cerebralem Befall mit Knochenmarkstransplantation</t>
  </si>
  <si>
    <t>Blasen und Erosionen an der Haut</t>
  </si>
  <si>
    <t>GVH Reaktion, Glucosemangel, Infektion der oberen Atemwege</t>
  </si>
  <si>
    <t>200ml/Tag / 200 ml/Tag</t>
  </si>
  <si>
    <t>20.11.1996/26.11.96</t>
  </si>
  <si>
    <t>20.11.1996/22.11.96</t>
  </si>
  <si>
    <t>1 Tag/5 Tage</t>
  </si>
  <si>
    <t>Herzinsuffizienz,Leberzirrhose bei chron. Hepatitis C,Beinparese rechts</t>
  </si>
  <si>
    <t>20.12.1996/2.1.1997</t>
  </si>
  <si>
    <t>23.12.1996/3.2.1996</t>
  </si>
  <si>
    <t>4 Tage/2 Tage</t>
  </si>
  <si>
    <t>KA/ 1 TBSP/Tag</t>
  </si>
  <si>
    <t>Bakterielle Suprainfektion mit Enterokokkus und Enterokokkus Septikämie, Candidose.Demenz,Hypokaliamie</t>
  </si>
  <si>
    <t>Septikaemie,Abzess am Unterarm,lymphadenitis colli</t>
  </si>
  <si>
    <t>HIV positiv, Missempfindung an Handen und Fuessen,Exanthem,Fieber, MSH Erosionen</t>
  </si>
  <si>
    <t>Steven Johnson Syndrom/Trockener Husten</t>
  </si>
  <si>
    <t>Viramune, Videx, Zerit</t>
  </si>
  <si>
    <t>5.10.1998/28.10.1998</t>
  </si>
  <si>
    <t>25.10.1998/1.11.1998</t>
  </si>
  <si>
    <t>21 Tage/5 Tage</t>
  </si>
  <si>
    <t>2x 1,5g/Tag</t>
  </si>
  <si>
    <t>Exanthem mit Blasen an der Haut, MSH Erosionen, Fieber, massive Konjunktivitis</t>
  </si>
  <si>
    <t>Steven Johnson Syndrom, Epidermale Nekrolyse</t>
  </si>
  <si>
    <t>KHK,Vorderwandinfarkt,Hypertonie,Hypercholesterinamie</t>
  </si>
  <si>
    <t>Bisporol,HerzASS,Diclofenac,Allopurinol,Meditonsin</t>
  </si>
  <si>
    <t>Glioblastem parieto-occipital li.</t>
  </si>
  <si>
    <t>orale Erosionen,Exanthem,Hautblasen</t>
  </si>
  <si>
    <t>Tegretal,ASS,Gastrozepin,Fortecortin,Thym Uvocal,Omniscan, Transpulim</t>
  </si>
  <si>
    <t>20.08.1998</t>
  </si>
  <si>
    <t>Infekt obere Luftwege,Erkaltung(1 Monat vor Hautreaktion),Krampfanfalle</t>
  </si>
  <si>
    <t>3 Dos.F/Tag</t>
  </si>
  <si>
    <t>Bronchialkarzinom, Hirnmetastase</t>
  </si>
  <si>
    <t>Fieber, Exanthem,Hautblasen, orale Erosion, Mucositis</t>
  </si>
  <si>
    <t>Mucosolvan,Phenhydan,Fortecortin,Ulcogant,Zantic,Fluimucil,Heparin</t>
  </si>
  <si>
    <t>9.04.1997</t>
  </si>
  <si>
    <t>1Tag</t>
  </si>
  <si>
    <t>Myeloplasma Pneumonie</t>
  </si>
  <si>
    <t>Husten,Exanthem mit Blasen,Stomatitis,orale Erosionen</t>
  </si>
  <si>
    <t>Amoxypem Saft</t>
  </si>
  <si>
    <t>Tonsillitis</t>
  </si>
  <si>
    <t>Tonsillits</t>
  </si>
  <si>
    <t>Allergie auf CEL-Saft</t>
  </si>
  <si>
    <t>Fieber, Halsschmerzen,Exanthem,orale Erosion,Hautblasen</t>
  </si>
  <si>
    <t>Capval Saft, Fenistil,CEC Saft, Pen-Lich Saft</t>
  </si>
  <si>
    <t>Novamin, Dolantin</t>
  </si>
  <si>
    <t>Pyelonephritis,Gastroenteritis</t>
  </si>
  <si>
    <t>Asthma Bronchiale</t>
  </si>
  <si>
    <t>24.05.</t>
  </si>
  <si>
    <t>Heroin-Codein Abhangigkeit, Hepatitis B Infektion</t>
  </si>
  <si>
    <t>Ikterus, Exanthem,anales Ulkus,Erosionen,Sepsis</t>
  </si>
  <si>
    <t>21.10.1994</t>
  </si>
  <si>
    <t>23.10.1994</t>
  </si>
  <si>
    <t>Atosil,L-Polamidon,Maalox Susp,Valium,Tramal,Novalgin,Lasix,Konakion</t>
  </si>
  <si>
    <t>Ottitis Media,Grippaler Infekt, schwere Hautreaktion</t>
  </si>
  <si>
    <t>Husten,Diarrhoe,schwere Hautreaktion,fieberhafter Infekt, Exanthem und Blasen</t>
  </si>
  <si>
    <t>Amoxcillin,Diclofenac</t>
  </si>
  <si>
    <t>Grippaler Infekt,Mykoplasmen Pneumonie 1 Monat vor Hautreaktion</t>
  </si>
  <si>
    <t>ASS,Tarivid,Fluimucil,Kompensan,Nystatin,Kanamytrex</t>
  </si>
  <si>
    <t>6.1.1995</t>
  </si>
  <si>
    <t>8.1.1995</t>
  </si>
  <si>
    <t>Penicillin Allergie,Gastritis,Konjunktivitis</t>
  </si>
  <si>
    <t>Fieber,Husten,Kopfschmerzen</t>
  </si>
  <si>
    <t>Pharyngitis 1Monat vor Hautreaktion,Halsschmerzen,Fieber,Exanthem,Erosionen,Leberversagen</t>
  </si>
  <si>
    <t>20.9.1997</t>
  </si>
  <si>
    <t>22.09.1997</t>
  </si>
  <si>
    <t>3 anz/Tag</t>
  </si>
  <si>
    <t>Penicillin Allergie,Alkoholischer Leberschaden</t>
  </si>
  <si>
    <t>Ibuprofen,Silomat,Rulid,ACC,Orelox</t>
  </si>
  <si>
    <t>Steven Johnson Syndrom,Halsschmerzen,Fieber,Exanthem</t>
  </si>
  <si>
    <t>Toxisch epidermale Nekrolyse mit Maculae</t>
  </si>
  <si>
    <t>PUVA Therapie 1 Monat vor Hautreaktion,Exanthem</t>
  </si>
  <si>
    <t>19.09.1994</t>
  </si>
  <si>
    <t>Dalmadrom,Pepdul,Agarol</t>
  </si>
  <si>
    <t>Varikosis,Schlafstorung,Fieber</t>
  </si>
  <si>
    <t>gastrointestinale Beschwerden, exanthematischer Lichen ruber, Hirnorganisches Psychosyndrom</t>
  </si>
  <si>
    <t>Harnwegsinfekt 1 Monat vor Hautreaktion</t>
  </si>
  <si>
    <t>Tarivid,Phenhydan,Zentropil</t>
  </si>
  <si>
    <t>Spindelzellcarzinom,Fieber, Krampfanfallsprophylaxe</t>
  </si>
  <si>
    <t>Calcium Substitution,Gehirnblutung,Hypothyrese,Thyreoidektomie</t>
  </si>
  <si>
    <t>11.10.1994</t>
  </si>
  <si>
    <t>12.10.1994</t>
  </si>
  <si>
    <t>Neuralgie,Neuritis,Radiculitis</t>
  </si>
  <si>
    <t>Tegretal Retard,ASS</t>
  </si>
  <si>
    <t>Alkoholkonsum</t>
  </si>
  <si>
    <t>5,1</t>
  </si>
  <si>
    <t>8,5</t>
  </si>
  <si>
    <t>224,4</t>
  </si>
  <si>
    <t>6,97</t>
  </si>
  <si>
    <t>4,76</t>
  </si>
  <si>
    <t>9,18</t>
  </si>
  <si>
    <t>2,89</t>
  </si>
  <si>
    <t>49,47</t>
  </si>
  <si>
    <t>40,12</t>
  </si>
  <si>
    <t>34,17</t>
  </si>
  <si>
    <t>26,35</t>
  </si>
  <si>
    <t>20,06</t>
  </si>
  <si>
    <t>29,24</t>
  </si>
  <si>
    <t>24,82</t>
  </si>
  <si>
    <t>23,12</t>
  </si>
  <si>
    <t>18,87</t>
  </si>
  <si>
    <t>49,3</t>
  </si>
  <si>
    <t>15,13</t>
  </si>
  <si>
    <t>25,5</t>
  </si>
  <si>
    <t>32,3</t>
  </si>
  <si>
    <t>93,5</t>
  </si>
  <si>
    <t>13,6</t>
  </si>
  <si>
    <t>15,3</t>
  </si>
  <si>
    <t>27,2</t>
  </si>
  <si>
    <t>197,2</t>
  </si>
  <si>
    <t>210,8</t>
  </si>
  <si>
    <t>288,15</t>
  </si>
  <si>
    <t>130,9</t>
  </si>
  <si>
    <t>229,5</t>
  </si>
  <si>
    <t>96,9</t>
  </si>
  <si>
    <t>62,9</t>
  </si>
  <si>
    <t>22,1</t>
  </si>
  <si>
    <t>88,4</t>
  </si>
  <si>
    <t>10,2</t>
  </si>
  <si>
    <t>60,69</t>
  </si>
  <si>
    <t>13,94</t>
  </si>
  <si>
    <t>13,09</t>
  </si>
  <si>
    <t>11,05</t>
  </si>
  <si>
    <t>10,03</t>
  </si>
  <si>
    <t>118,49</t>
  </si>
  <si>
    <t>132,94</t>
  </si>
  <si>
    <t>150,28</t>
  </si>
  <si>
    <t>64,24</t>
  </si>
  <si>
    <t>65,12</t>
  </si>
  <si>
    <t>81,84</t>
  </si>
  <si>
    <t>39,6</t>
  </si>
  <si>
    <t>50,16</t>
  </si>
  <si>
    <t>35,2</t>
  </si>
  <si>
    <t>28,16</t>
  </si>
  <si>
    <t>29,04</t>
  </si>
  <si>
    <t>48,4</t>
  </si>
  <si>
    <t>38,72</t>
  </si>
  <si>
    <t>51,04</t>
  </si>
  <si>
    <t>29,92</t>
  </si>
  <si>
    <t>101,2</t>
  </si>
  <si>
    <t>52,8</t>
  </si>
  <si>
    <t>61,1</t>
  </si>
  <si>
    <t>84,48</t>
  </si>
  <si>
    <t>82,72</t>
  </si>
  <si>
    <t>57,2</t>
  </si>
  <si>
    <t>59,84</t>
  </si>
  <si>
    <t>74,8</t>
  </si>
  <si>
    <t>70,4</t>
  </si>
  <si>
    <t>169,84</t>
  </si>
  <si>
    <t>89,76</t>
  </si>
  <si>
    <t>76,56</t>
  </si>
  <si>
    <t>180,4</t>
  </si>
  <si>
    <t>36,9</t>
  </si>
  <si>
    <t>PTT-d1w2</t>
  </si>
  <si>
    <t>47,7</t>
  </si>
  <si>
    <t>39,3</t>
  </si>
  <si>
    <t>PTT-d2w2</t>
  </si>
  <si>
    <t>PTT-d4w1</t>
  </si>
  <si>
    <t>PTT-d4w2</t>
  </si>
  <si>
    <t>PTT-d4w3</t>
  </si>
  <si>
    <t>Fibrinogen-d4w1</t>
  </si>
  <si>
    <t>Fibrinogen-d4w2</t>
  </si>
  <si>
    <t>Ck-d2w3</t>
  </si>
  <si>
    <t>Ck-d2w2</t>
  </si>
  <si>
    <t>Ck-d4w2</t>
  </si>
  <si>
    <t>Ck-d4w3</t>
  </si>
  <si>
    <t>Ck-d4w4</t>
  </si>
  <si>
    <t>Ck-d5w2</t>
  </si>
  <si>
    <t>Ck-d6w2</t>
  </si>
  <si>
    <t>Ck-d6w3</t>
  </si>
  <si>
    <t>Quick-d1w2</t>
  </si>
  <si>
    <t>11,5</t>
  </si>
  <si>
    <t>Quick-d2w2</t>
  </si>
  <si>
    <t>Quick-d4w2</t>
  </si>
  <si>
    <t>Quick-d4w3</t>
  </si>
  <si>
    <t>&lt;6</t>
  </si>
  <si>
    <t>AT III-d1w2</t>
  </si>
  <si>
    <t>Leukozyten-d1w2</t>
  </si>
  <si>
    <t>Leukozyten-d2w2</t>
  </si>
  <si>
    <t>Leukozyten-d2w3</t>
  </si>
  <si>
    <t>Leukozyten-d3w2</t>
  </si>
  <si>
    <t>Leukozyten-d4w2</t>
  </si>
  <si>
    <t>Leukozyten-d4w3</t>
  </si>
  <si>
    <t>Leukozyten-d4w4</t>
  </si>
  <si>
    <t>Leukozyten-d5w2</t>
  </si>
  <si>
    <t>Leukozyten-d6w2</t>
  </si>
  <si>
    <t>Leukozyten-d6w3</t>
  </si>
  <si>
    <t>GOT-d1w2</t>
  </si>
  <si>
    <t>GOT-d1w3</t>
  </si>
  <si>
    <t>GOT-d1w4</t>
  </si>
  <si>
    <t>1,21</t>
  </si>
  <si>
    <t>33,4</t>
  </si>
  <si>
    <t>GOT-d2w2</t>
  </si>
  <si>
    <t>GOT-d2w3</t>
  </si>
  <si>
    <t>GOT-d4w2</t>
  </si>
  <si>
    <t>GOT-d4w3</t>
  </si>
  <si>
    <t>GOT-d4w4</t>
  </si>
  <si>
    <t>GOT-d5w2</t>
  </si>
  <si>
    <t>GOT-d6w2</t>
  </si>
  <si>
    <t>GOTd6w3</t>
  </si>
  <si>
    <t>GPT-d1w2</t>
  </si>
  <si>
    <t>GPT-d1w3</t>
  </si>
  <si>
    <t>8,85</t>
  </si>
  <si>
    <t>65,30</t>
  </si>
  <si>
    <t>69,6</t>
  </si>
  <si>
    <t>GPT-d2w2</t>
  </si>
  <si>
    <t>Gpt-d2w3</t>
  </si>
  <si>
    <t>GPT-d4w2</t>
  </si>
  <si>
    <t>GPT-d4w3</t>
  </si>
  <si>
    <t>GPT-d4w4</t>
  </si>
  <si>
    <t>GPT-d5w2</t>
  </si>
  <si>
    <t>GPT-d6w2</t>
  </si>
  <si>
    <t>GPT-d6w3</t>
  </si>
  <si>
    <t>GGT-d1w2</t>
  </si>
  <si>
    <t>7,99</t>
  </si>
  <si>
    <t>GGT-d2w2</t>
  </si>
  <si>
    <t>GGT-d4w2</t>
  </si>
  <si>
    <t>GGT-d4w3</t>
  </si>
  <si>
    <t>GGT-d4w4</t>
  </si>
  <si>
    <t>GGT-d5w2</t>
  </si>
  <si>
    <t>GGT-d6w2</t>
  </si>
  <si>
    <t>GGT-d6w3</t>
  </si>
  <si>
    <t>LDH-d1w2</t>
  </si>
  <si>
    <t>7,05</t>
  </si>
  <si>
    <t>LDH-d1w3</t>
  </si>
  <si>
    <t>LDH-d2w2</t>
  </si>
  <si>
    <t>LDH-d2w3</t>
  </si>
  <si>
    <t>LDH-d4w2</t>
  </si>
  <si>
    <t>LDH-d4w3</t>
  </si>
  <si>
    <t>LDH-d4w4</t>
  </si>
  <si>
    <t>LDH-d5w2</t>
  </si>
  <si>
    <t>LDH-d6w2</t>
  </si>
  <si>
    <t>LDH-d6w3</t>
  </si>
  <si>
    <t>Bilirubin-d1w2</t>
  </si>
  <si>
    <t>69,19</t>
  </si>
  <si>
    <t>55,42</t>
  </si>
  <si>
    <t>Bilirubin-d2w2</t>
  </si>
  <si>
    <t>Bilirubin-d2w3</t>
  </si>
  <si>
    <t>18,7</t>
  </si>
  <si>
    <t>20,4</t>
  </si>
  <si>
    <t>Bilirubin-d3w2</t>
  </si>
  <si>
    <t>Billirubin-d4w2</t>
  </si>
  <si>
    <t>Billirubin-d4w3</t>
  </si>
  <si>
    <t>Bilirubin-d4w4</t>
  </si>
  <si>
    <t>54,4</t>
  </si>
  <si>
    <t>66,3</t>
  </si>
  <si>
    <t>90,1</t>
  </si>
  <si>
    <t>Billirubin-d5w2</t>
  </si>
  <si>
    <t>30,6</t>
  </si>
  <si>
    <t>Bilirubin-d6w2</t>
  </si>
  <si>
    <t>Billirubin-d6w3</t>
  </si>
  <si>
    <t>23,8</t>
  </si>
  <si>
    <t>GLDH-d1w2</t>
  </si>
  <si>
    <t>GLDH-d1w3</t>
  </si>
  <si>
    <t>217,2</t>
  </si>
  <si>
    <t>GLDH-d2w2</t>
  </si>
  <si>
    <t>71,8</t>
  </si>
  <si>
    <t>AP-d1w2</t>
  </si>
  <si>
    <t>Ap-d1w3</t>
  </si>
  <si>
    <t>14,0</t>
  </si>
  <si>
    <t>9,81</t>
  </si>
  <si>
    <t>12,8</t>
  </si>
  <si>
    <t>AP-d2w2</t>
  </si>
  <si>
    <t>Ap-d2w3</t>
  </si>
  <si>
    <t>AP-d4w2</t>
  </si>
  <si>
    <t>AP-d4w3</t>
  </si>
  <si>
    <t>Ap-d4w4</t>
  </si>
  <si>
    <t>AP-d5w2</t>
  </si>
  <si>
    <t>AP-d6w2</t>
  </si>
  <si>
    <t>Ap-d6w3</t>
  </si>
  <si>
    <t>Cholinesterase-d1w2</t>
  </si>
  <si>
    <t>92,8</t>
  </si>
  <si>
    <t>86,9</t>
  </si>
  <si>
    <t>Cholinesterase-d2w2</t>
  </si>
  <si>
    <t>Cholinesterase-d5w2</t>
  </si>
  <si>
    <t>Cholinesterase-d6w2</t>
  </si>
  <si>
    <t>Cholinesterase-d6w3</t>
  </si>
  <si>
    <t>Kreatinin-d1w2</t>
  </si>
  <si>
    <t>167,2</t>
  </si>
  <si>
    <t>211,2</t>
  </si>
  <si>
    <t>79,2</t>
  </si>
  <si>
    <t>Kreatinin-d2w2</t>
  </si>
  <si>
    <t>Kreatinin-d2w3</t>
  </si>
  <si>
    <t>24,64</t>
  </si>
  <si>
    <t>27,28</t>
  </si>
  <si>
    <t>87,12</t>
  </si>
  <si>
    <t>Kreatinin-d4w2</t>
  </si>
  <si>
    <t>Kreatinin-d4w3</t>
  </si>
  <si>
    <t>62,48</t>
  </si>
  <si>
    <t>80,8</t>
  </si>
  <si>
    <t>56,32</t>
  </si>
  <si>
    <t>Kreatinin-d4w4</t>
  </si>
  <si>
    <t>Kreatinin-d5w2</t>
  </si>
  <si>
    <t>249,92</t>
  </si>
  <si>
    <t>Kreatinin-d6w2</t>
  </si>
  <si>
    <t>Kreatinin-d6w3</t>
  </si>
  <si>
    <t>246,4</t>
  </si>
  <si>
    <t>244,64</t>
  </si>
  <si>
    <t>INR-d1w2</t>
  </si>
  <si>
    <t>2,42</t>
  </si>
  <si>
    <t>2,11</t>
  </si>
  <si>
    <t>INR-d2w2</t>
  </si>
  <si>
    <t>1,95</t>
  </si>
  <si>
    <t>2,47</t>
  </si>
  <si>
    <t>INR-d4w2</t>
  </si>
  <si>
    <t>INR-d4w3</t>
  </si>
  <si>
    <t>INR-d4w4</t>
  </si>
  <si>
    <t>5,2</t>
  </si>
  <si>
    <t>&gt;6,82</t>
  </si>
  <si>
    <t>Amylase-d2w2</t>
  </si>
  <si>
    <t>Amylase-d2w3</t>
  </si>
  <si>
    <t>3,60</t>
  </si>
  <si>
    <t>0,93</t>
  </si>
  <si>
    <t>223 einheit?</t>
  </si>
  <si>
    <t>Amylase-d4w2</t>
  </si>
  <si>
    <t>Amylase-d4w3</t>
  </si>
  <si>
    <t>Amzlase-d4w4</t>
  </si>
  <si>
    <t>Amylase-d5w2</t>
  </si>
  <si>
    <t>Amylase-d6w2</t>
  </si>
  <si>
    <t>Amylase-d6w3</t>
  </si>
  <si>
    <t>Lipase-d1w2</t>
  </si>
  <si>
    <t>2,04</t>
  </si>
  <si>
    <t>0,51</t>
  </si>
  <si>
    <t>Lipase-d2w2</t>
  </si>
  <si>
    <t>Lipase-d2w3</t>
  </si>
  <si>
    <t>Lipase-d4w2</t>
  </si>
  <si>
    <t>Lipase-d4w3</t>
  </si>
  <si>
    <t>Lipase-d4w5</t>
  </si>
  <si>
    <t>Lipase-d5w2</t>
  </si>
  <si>
    <t>Lipase-d6w2</t>
  </si>
  <si>
    <t>Lipase-d6w3</t>
  </si>
  <si>
    <t>CRP-d1w2</t>
  </si>
  <si>
    <t>CRP-d4w2</t>
  </si>
  <si>
    <t>CRP-d4w3</t>
  </si>
  <si>
    <t>CRP-d4w4</t>
  </si>
  <si>
    <t>Harnstoff-d2w2</t>
  </si>
  <si>
    <t>Harnstoff-d2w3</t>
  </si>
  <si>
    <t>Harnstoff-d4w2</t>
  </si>
  <si>
    <t>Harnstoff-d4w3</t>
  </si>
  <si>
    <t>Harnstoff-d4w4</t>
  </si>
  <si>
    <t>|Harnstoff-d5w2</t>
  </si>
  <si>
    <t>Harnstoff-d6w2</t>
  </si>
  <si>
    <t>Harnstoff-d6w3</t>
  </si>
  <si>
    <t>Thrombozyten-d1w2</t>
  </si>
  <si>
    <t>Trhombozyten-d2w2</t>
  </si>
  <si>
    <t>Thrombozyten-d2w3</t>
  </si>
  <si>
    <t>Trhomozyten-d3w2</t>
  </si>
  <si>
    <t>Thrombozyten-d5w2</t>
  </si>
  <si>
    <t>Thrombozyten-d6w2</t>
  </si>
  <si>
    <t>Trhombozyten-d6w3</t>
  </si>
  <si>
    <t>79 mikromol/l</t>
  </si>
  <si>
    <t>Albumin-d1w2</t>
  </si>
  <si>
    <t>32,7</t>
  </si>
  <si>
    <t>Albumin-d4w2</t>
  </si>
  <si>
    <t>Albumin-d4w3</t>
  </si>
  <si>
    <t>Triacylglyceride-d2w2</t>
  </si>
  <si>
    <t>Triacylglyceride-d2w3</t>
  </si>
  <si>
    <t>Triacylglyceride-d4w2</t>
  </si>
  <si>
    <t>Triacylglyceride-d4w3</t>
  </si>
  <si>
    <t>Triacylglyceride-d4w4</t>
  </si>
  <si>
    <t>Triacylglyceride-d5w2</t>
  </si>
  <si>
    <t>Triacylglyceride-d6w2</t>
  </si>
  <si>
    <t>Triacylglyceride-d6w3</t>
  </si>
  <si>
    <t xml:space="preserve">6,93 </t>
  </si>
  <si>
    <t xml:space="preserve">2,55 </t>
  </si>
  <si>
    <t>275,4</t>
  </si>
  <si>
    <t>Fibrinogen(mg/dl)-d1</t>
  </si>
  <si>
    <t>441,6</t>
  </si>
  <si>
    <t>362,4</t>
  </si>
  <si>
    <t>178,2</t>
  </si>
  <si>
    <t>202,8</t>
  </si>
  <si>
    <t>22,8</t>
  </si>
  <si>
    <t>7231,8</t>
  </si>
  <si>
    <t>147,6</t>
  </si>
  <si>
    <t>761,4</t>
  </si>
  <si>
    <t>947,4</t>
  </si>
  <si>
    <t>620,4</t>
  </si>
  <si>
    <t>58,2</t>
  </si>
  <si>
    <t>34,2</t>
  </si>
  <si>
    <t>142,8</t>
  </si>
  <si>
    <t>112,2</t>
  </si>
  <si>
    <t>40,2</t>
  </si>
  <si>
    <t>410,4</t>
  </si>
  <si>
    <t>385,2</t>
  </si>
  <si>
    <t>502,8</t>
  </si>
  <si>
    <t>1171,2</t>
  </si>
  <si>
    <t>5887,2</t>
  </si>
  <si>
    <t>625,2</t>
  </si>
  <si>
    <t>723,6</t>
  </si>
  <si>
    <t>577,2</t>
  </si>
  <si>
    <t>67,8</t>
  </si>
  <si>
    <t>121,2</t>
  </si>
  <si>
    <t>83,4</t>
  </si>
  <si>
    <t>109,8</t>
  </si>
  <si>
    <t>205,8</t>
  </si>
  <si>
    <t>218,4</t>
  </si>
  <si>
    <t>1051,2</t>
  </si>
  <si>
    <t>936,6</t>
  </si>
  <si>
    <t>274,8</t>
  </si>
  <si>
    <t>125,4</t>
  </si>
  <si>
    <t>136,8</t>
  </si>
  <si>
    <t>976,8</t>
  </si>
  <si>
    <t>319,8</t>
  </si>
  <si>
    <t>266,4</t>
  </si>
  <si>
    <t>270,6</t>
  </si>
  <si>
    <t>238,8</t>
  </si>
  <si>
    <t>907,8</t>
  </si>
  <si>
    <t xml:space="preserve">277,8 </t>
  </si>
  <si>
    <t>161,8</t>
  </si>
  <si>
    <t>53,4</t>
  </si>
  <si>
    <t>59,4</t>
  </si>
  <si>
    <t>232,2</t>
  </si>
  <si>
    <t>169,2</t>
  </si>
  <si>
    <t>181,8</t>
  </si>
  <si>
    <t>189,6</t>
  </si>
  <si>
    <t>325,2</t>
  </si>
  <si>
    <t>172,2</t>
  </si>
  <si>
    <t>307,8</t>
  </si>
  <si>
    <t>148,8</t>
  </si>
  <si>
    <t>151,8</t>
  </si>
  <si>
    <t>154,2</t>
  </si>
  <si>
    <t>Cholinesterase-d2w3</t>
  </si>
  <si>
    <t>16,2</t>
  </si>
  <si>
    <t>Lipase-d1  (U/L)</t>
  </si>
  <si>
    <t xml:space="preserve">&gt;1000 </t>
  </si>
  <si>
    <t>17,4</t>
  </si>
  <si>
    <t>55,8</t>
  </si>
  <si>
    <t>Laktat-d1 (mmol/l)</t>
  </si>
  <si>
    <t xml:space="preserve">&gt;17 </t>
  </si>
  <si>
    <t xml:space="preserve">1,1 </t>
  </si>
  <si>
    <t xml:space="preserve">1,5 </t>
  </si>
  <si>
    <t xml:space="preserve">1,2 </t>
  </si>
  <si>
    <t>Cholesterin-(mg/dl)-d1</t>
  </si>
  <si>
    <t>Triacyglyceride-(mg/dl)-d1</t>
  </si>
  <si>
    <t>71,4</t>
  </si>
  <si>
    <t>184,2</t>
  </si>
  <si>
    <t>Leukozyten-d1 (\mikrol)</t>
  </si>
  <si>
    <t>&lt;1</t>
  </si>
  <si>
    <t>&lt; 5</t>
  </si>
  <si>
    <t>0.38</t>
  </si>
  <si>
    <t>0.96</t>
  </si>
  <si>
    <t>Albumin-d1 (g/l)</t>
  </si>
  <si>
    <t xml:space="preserve">&lt;0,0025 </t>
  </si>
  <si>
    <t>Anzahl CK Daten</t>
  </si>
  <si>
    <t>Anzahl Quick Daten</t>
  </si>
  <si>
    <t>Anzahl PTT Daten</t>
  </si>
  <si>
    <t>Anzahl Fibrinogen Daten</t>
  </si>
  <si>
    <t>Anzahl AT Daten</t>
  </si>
  <si>
    <t>Anzahl Leukozyten Daten</t>
  </si>
  <si>
    <t>Anzahl GOT Daten</t>
  </si>
  <si>
    <t>Anzahl GP Daten</t>
  </si>
  <si>
    <t>Anzahl GGT Daten</t>
  </si>
  <si>
    <t>Anzahl LDH Daten</t>
  </si>
  <si>
    <t>Anzahl Lymphozyten Daten</t>
  </si>
  <si>
    <t>Anzahl BILLI Werte</t>
  </si>
  <si>
    <t>Anzahl GLDH Daten</t>
  </si>
  <si>
    <t>Anzahl AP Werte</t>
  </si>
  <si>
    <t>Anzahl Choline Daten</t>
  </si>
  <si>
    <t>Anzahl Kreatinin Daten</t>
  </si>
  <si>
    <t>Anzahl INR Daten</t>
  </si>
  <si>
    <t>Anzahl Amylase Daten</t>
  </si>
  <si>
    <t>Anzahl Lipase Daten</t>
  </si>
  <si>
    <t>Anzahl CRP DATEN</t>
  </si>
  <si>
    <t>Azahl PTZ dATEN</t>
  </si>
  <si>
    <t>Anzahl Harnstoff Daten</t>
  </si>
  <si>
    <t>Anzahl Thromb Daten</t>
  </si>
  <si>
    <t>Anzahl Laktat Daten</t>
  </si>
  <si>
    <t>Anzahl NH3 Daten</t>
  </si>
  <si>
    <t>Anzahl Albumin Daten</t>
  </si>
  <si>
    <t>Anzahl Hansäure Daten</t>
  </si>
  <si>
    <t>Anzahl Cholest Daten</t>
  </si>
  <si>
    <t>Anzahl Tria Daten</t>
  </si>
  <si>
    <t>Anzahl vorhandener Daten</t>
  </si>
  <si>
    <t>Duplikat mit SJS + first…</t>
  </si>
  <si>
    <t>Duplikate</t>
  </si>
  <si>
    <r>
      <t xml:space="preserve">Duplikat mit SJS + first… </t>
    </r>
    <r>
      <rPr>
        <b/>
        <u/>
        <sz val="11"/>
        <color theme="1"/>
        <rFont val="Calibri"/>
        <family val="2"/>
        <scheme val="minor"/>
      </rPr>
      <t>und</t>
    </r>
    <r>
      <rPr>
        <sz val="11"/>
        <color theme="1"/>
        <rFont val="Calibri"/>
        <family val="2"/>
        <scheme val="minor"/>
      </rPr>
      <t xml:space="preserve"> Diclofenac</t>
    </r>
  </si>
  <si>
    <t>x</t>
  </si>
  <si>
    <t>Duplikat mit "Übersicht SJS, TEN ohne Duplikate"</t>
  </si>
  <si>
    <t xml:space="preserve">Ck-d1 </t>
  </si>
  <si>
    <t>Ck</t>
  </si>
  <si>
    <t>Ck-d1  , Ck-d3</t>
  </si>
  <si>
    <t>Ck-d14 , Ck-d15 , Ck-d19 , Ck-d20 , Ck-d21 , Ck-d23</t>
  </si>
  <si>
    <t>Ck-d1  , Ck-d13 , Ck-d14</t>
  </si>
  <si>
    <t>Ck-d1  , Ck-d2</t>
  </si>
  <si>
    <t>Ck-d1  , Ck-m20d28 , Ck-m21/2</t>
  </si>
  <si>
    <t>Ck-d3 , Ck-d4</t>
  </si>
  <si>
    <t>Ck-d1  , Ck-d3 , Ck-d7</t>
  </si>
  <si>
    <t>Ck-d2 , Ck-d2w2 , Ck-d3 , Ck-d4 , Ck-d4w2 , Ck-d4w3 , Ck-d4w4 , Ck-d5</t>
  </si>
  <si>
    <t>Ck-d1  , Ck-d2 , Ck-d2w2 , Ck-d2w3 , Ck-d3 , Ck-d4 , Ck-d5 , Ck-d5w2 , Ck-d6 , Ck-d6w2 , Ck-d6w3 , Ck-d7</t>
  </si>
  <si>
    <t>Ck-d1  , Ck-d2 , Ck-d3</t>
  </si>
  <si>
    <t>Ck-d1  , Ck-d6 , Ck-d14 , Ck-d21 , Ck-d28</t>
  </si>
  <si>
    <t>Cretaine Kinase</t>
  </si>
  <si>
    <t>Day of Observation</t>
  </si>
  <si>
    <t xml:space="preserve">Quick-d1 </t>
  </si>
  <si>
    <t>Quick</t>
  </si>
  <si>
    <t>Quick-d1  , Quick-d3 , Quick-d6 , Quick-d8</t>
  </si>
  <si>
    <t>Quick-d1  , Quick-d18 , Quick-d20 , Quick-23 , Quick-25 , Quick-29</t>
  </si>
  <si>
    <t>Quick-d1  , Quick-d1w2</t>
  </si>
  <si>
    <t>Quick-d1  , Quick-d3 , Quick-d4 , Quick-d12 , Quick-d13 , Quick-d14 , Quick-d20</t>
  </si>
  <si>
    <t>Quick-d2  , Quick-d6</t>
  </si>
  <si>
    <t>Quick-d1  , Quick-m20d28</t>
  </si>
  <si>
    <t>Quick-d1  , Quick-d3 , Quick-d7</t>
  </si>
  <si>
    <t>Quick-d1  , Quick-d2  , Quick-d4 , Quick-d5 , Quick-d6 , Quick-d8 , Quick-d9 , Quick-d11 , Quick-d13 , Quick-d14 , Quick-d15</t>
  </si>
  <si>
    <t>Quick-d1  , Quick-d14</t>
  </si>
  <si>
    <t>Quick-d6 , Quick-d15</t>
  </si>
  <si>
    <t>Quick-d1  , Quick-d2  , Quick-d2w2 , Quick-d3 , Quick-d4 , Quick-d4w2 , Quick-d4w3 , Quick-d5</t>
  </si>
  <si>
    <t>Quick-d1  , Quick-d1w2 , Quick-d2  , Quick-d2w2 , Quick-d3</t>
  </si>
  <si>
    <t>Quick-d1  , Quick-d1w2 , Quick-d7</t>
  </si>
  <si>
    <t>Quick-d2  , Quick-d3</t>
  </si>
  <si>
    <t>Quick-d1  , Quick-d3</t>
  </si>
  <si>
    <t>Quick-d27 , Quick-d32</t>
  </si>
  <si>
    <t>PTT</t>
  </si>
  <si>
    <t>Total Count of Obervations</t>
  </si>
  <si>
    <t>PTT-d1 (sec)PTT-d3PTT-d6</t>
  </si>
  <si>
    <t>PTT-d1 (sec)PTT-d7PTT-d8PTT-d9PTT-d10PTT-d18PTT-d20PTT-d23PTT-d25PTT-d29</t>
  </si>
  <si>
    <t>PTT-d1 (sec)PTT-d3PTT-d7PTT-d8PTT-d27</t>
  </si>
  <si>
    <t>PTT-d1 (sec)PTT-d1w2</t>
  </si>
  <si>
    <t>PTT-d1 (sec)PTT-d3PTT-d4PTT-d12PTT-d13PTT-d14</t>
  </si>
  <si>
    <t>PTT-d1 (sec)PTT-d3</t>
  </si>
  <si>
    <t>PTT-d2PTT-d6</t>
  </si>
  <si>
    <t>PTT-d1 (sec)PTT-d15</t>
  </si>
  <si>
    <t>PTT-d1 (sec)PTT-m20d28</t>
  </si>
  <si>
    <t>PTT-d1 (sec)PTT-d3PTT-d7</t>
  </si>
  <si>
    <t>PTT-d1 (sec)PTT-d2PTT-d4PTT-d5PTT-d6PTT-d8PTT-d9PTT-d11PTT-d14PTT-d15</t>
  </si>
  <si>
    <t>PTT-d1 (sec)PTT-d2PTT-d2w2PTT-d3PTT-d4PTT-d4w1PTT-d4w2PTT-d4w3PTT-d5</t>
  </si>
  <si>
    <t>PTT-d1 (sec)PTT-d2</t>
  </si>
  <si>
    <t>PTT-d2PTT-d2w2PTT-d3</t>
  </si>
  <si>
    <t>PTT-d27PTT-d32</t>
  </si>
  <si>
    <t>Qucik</t>
  </si>
  <si>
    <t>Total Number of Observations</t>
  </si>
  <si>
    <t>Fibrinogen-d1</t>
  </si>
  <si>
    <t>Fibrinogen</t>
  </si>
  <si>
    <t>FB</t>
  </si>
  <si>
    <t>FB
FB</t>
  </si>
  <si>
    <t>Fibrinogen-d1 , Fibrinogen-d3 , Fibrinogen-d4 , Fibrinogen-d12 , Fibrinogen-d13 , Fibrinogen-d14</t>
  </si>
  <si>
    <t>Fibrinogen-d2 , Fibrinogen-d4 , Fibrinogen-d4w1 , Fibrinogen-d4w2 , Fibrinogen-d5</t>
  </si>
  <si>
    <t>Column1</t>
  </si>
  <si>
    <t>Column2</t>
  </si>
  <si>
    <t>AT</t>
  </si>
  <si>
    <t>AT III -d1 , AT III-d1w2</t>
  </si>
  <si>
    <t>ATII-d5 , ATIII-d6</t>
  </si>
  <si>
    <t>AT III-d32 , AT III-d33</t>
  </si>
  <si>
    <t xml:space="preserve">Leukozyten-d1 </t>
  </si>
  <si>
    <t>Leukozyten-d17</t>
  </si>
  <si>
    <t>Leukozyten</t>
  </si>
  <si>
    <t>Day of Observations</t>
  </si>
  <si>
    <t>Leukozyten-d2 , Leukozyten-d3</t>
  </si>
  <si>
    <t>Leukozyten-d1  , Leukozyten-d2</t>
  </si>
  <si>
    <t>Leukozyten-d1  , Leukozyten-d2 , Leukozyten-d6</t>
  </si>
  <si>
    <t>Leukozyten-d1  , Leukozyten-d2 , Leukozyten-d8 , Leukozyten-d19</t>
  </si>
  <si>
    <t>Leukozyten-d1  , Leukozyten-d3 , Leukozyten-d4</t>
  </si>
  <si>
    <t>Leukozyten-d1  , Leukozyten-d3 , Leukozyten-d7</t>
  </si>
  <si>
    <t>Leukozyten-d1  , Leukozyten-d1w2 , Leukozyten-d2 , Leukozyten-d2w2 , Leukozyten-d3 , Leukozyten-d3w2 , Leukozyten-d4</t>
  </si>
  <si>
    <t>Leukozyten-d1  , Leukozyten-d2 , Leukozyten-d3</t>
  </si>
  <si>
    <t>Leukozyten-d1  , Leukozyten-d1w2 , Leukozyten-d2 , Leukozyten-d2w2 , Leukozyten-d3 , Leukozyten-d4 , Leukozyten-d6</t>
  </si>
  <si>
    <t>Leukozyten-d1  , Leukozyten-d13</t>
  </si>
  <si>
    <t>Leukozyten-d1  , Leukozyten-d15</t>
  </si>
  <si>
    <t>Leukozyten-d1  , Leukozyten-d1w2</t>
  </si>
  <si>
    <t xml:space="preserve">GOT-d1 </t>
  </si>
  <si>
    <t>GOT-Missing day</t>
  </si>
  <si>
    <t>GOT</t>
  </si>
  <si>
    <t>GOT-d1  , GOT-d1w2</t>
  </si>
  <si>
    <t>GOT-d1  , GOT-d3 , GOT-d5 , GOT-d7 , GOT-d8 , GOT-d15 , GOT-d27 , GOT-d28</t>
  </si>
  <si>
    <t>GOT-d1  , GOT-d12 , GOT-d21 , GOT-d26 , GOT-d40 , GOT-d54</t>
  </si>
  <si>
    <t>GOT-d1  , GOT-d3 , GOT-d18</t>
  </si>
  <si>
    <t>GOT-d1  , GOT-d13 , GOT-d14</t>
  </si>
  <si>
    <t>GOT-d2 , GOT-d3 , GOT-d7 , GOT-d14</t>
  </si>
  <si>
    <t>GOT-d1  , GOT-d5</t>
  </si>
  <si>
    <t>GOT-d1  , GOT-d32 , GOT-d35 , GOT-d37 , GOT-d38 , GOT-d39 , GOT-d40</t>
  </si>
  <si>
    <t>GOT-d1  , GOT-d2 , GOT-d5 , GOT-d8</t>
  </si>
  <si>
    <t>GOT-d1  , GOT-d15</t>
  </si>
  <si>
    <t>GOT-d1  , GOT-d8</t>
  </si>
  <si>
    <t>GOT-d1  , GOT-d2 , GOT-d7 , GOT-d9</t>
  </si>
  <si>
    <t>GOT-d1  , GOT-d1w2 , GOT-d1w3</t>
  </si>
  <si>
    <t>GOT-d1  , GOT-d2 , GOT-d8 , GOT-d12 , GOT-d19</t>
  </si>
  <si>
    <t>GOT-d1  , GOT-d3 , GOT-d4</t>
  </si>
  <si>
    <t>GOT-d1  , GOT-d2 , GOT-d3 , GOT-d7</t>
  </si>
  <si>
    <t>GOT-d1  , GOT-d2 , GOT-d4 , GOT-d5 , GOT-d6 , GOT-d8 , GOT-d9 , GOT-d11 , GOT-d12 , GOT-d13 , GOT-d14 , GOT-d15</t>
  </si>
  <si>
    <t>GOT-d1  , GOT-d12</t>
  </si>
  <si>
    <t>GOT-d1  , GOT-d6 , GOT-d8 , GOT-d42</t>
  </si>
  <si>
    <t>GOT-d1  , GOT-d2</t>
  </si>
  <si>
    <t>GOT-d1  , GOT-d2 , GOT-d4 , GOT-d6</t>
  </si>
  <si>
    <t>GOT-d1  , GOT-d10</t>
  </si>
  <si>
    <t>GOT-d1  , GOT-d2 , GOT-d3 , GOT-d4 , GOT-d4w2 , GOT-d4w3 , GOT-d4w4 , GOT-d5</t>
  </si>
  <si>
    <t>GOT-d1  , GOT-d4 , GOT-d8 , GOT-d14</t>
  </si>
  <si>
    <t>GOT-d1  , GOT-d2 , GOT-d3</t>
  </si>
  <si>
    <t>GOT-d1  , GOT-d1w2 , GOT-d2 , GOT-d2w2 , GOT-d3 , GOT-d4 , GOT-d6</t>
  </si>
  <si>
    <t>GOT-d1  , GOT-m4d6 , GOT-m5d21 , GOT-m5d26 , GOT-m5d29 , GOT-m6d7 , GOT-m6d4 , GOT-m7d6 , GOT-m10d6 , GOT-m11d10 , GOT-m11d30</t>
  </si>
  <si>
    <t>GOT-d1  , GOT-d2 , GOT-d2w2 , GOT-d3 , GOT-d4</t>
  </si>
  <si>
    <t>GOT-d2 , GOT-d3</t>
  </si>
  <si>
    <t>GOT-d1  , GOT-d3</t>
  </si>
  <si>
    <t>Got</t>
  </si>
  <si>
    <t>GOT-d1  , GOT-m2d2</t>
  </si>
  <si>
    <t>GOT-d1  , GOT-d6 , GOT-d14 , GOT-d21 , GOT-d28</t>
  </si>
  <si>
    <t>GOT-d1  , GOT-d2 , GOT-d6</t>
  </si>
  <si>
    <t>GOT-m21/d5</t>
  </si>
  <si>
    <t>GOT-m21/d9</t>
  </si>
  <si>
    <t>GOT-d1  , GOT-m20d28 , GOT-m21d1 , GOT-m21d2 , GOT-m21/d5 , GOT-m21/d9</t>
  </si>
  <si>
    <t>GOT-d6w3</t>
  </si>
  <si>
    <t>GOT-d1  , GOT-d2 , GOT-d2w2 , GOT-d2w3 , GOT-d3 , GOT-d4 , GOT-d5 , GOT-d5w2 , GOT-d6 , GOT-d6w2 , GOT-d6w3 , GOT-d7</t>
  </si>
  <si>
    <t>GPT-Therapie ende</t>
  </si>
  <si>
    <t>GPT-d1</t>
  </si>
  <si>
    <t>GPT-d2w3</t>
  </si>
  <si>
    <t>GPT-m21d2</t>
  </si>
  <si>
    <t>GPT-m21d5</t>
  </si>
  <si>
    <t>GPT-m21d9</t>
  </si>
  <si>
    <t>GPT</t>
  </si>
  <si>
    <t>GPT-d1 , GPT-d3 , GPT-d5 , GPT-d7 , GPT-d8 , GPT-d15 , GPT-d27 , GPT-d28</t>
  </si>
  <si>
    <t>GPT-d1 , GPT-d11</t>
  </si>
  <si>
    <t>GPT-d1 , GPT-d12 , GPT-d21 , GPT-d26 , GPT-d40 , GPT-d54</t>
  </si>
  <si>
    <t>GPT-d1 , GPT-d3 , GPT-d18</t>
  </si>
  <si>
    <t>GPT-d1 , GPT-d8</t>
  </si>
  <si>
    <t>GPT-d1 , GPT-d1w2 , GPT-d1w3</t>
  </si>
  <si>
    <t>GPT-d1 , GPT-d13 , GPT-d14</t>
  </si>
  <si>
    <t>GPT-d1 , GPT-d2 , GPT-d3 , GPT-d14</t>
  </si>
  <si>
    <t>GPT-d1 , GPT-d5</t>
  </si>
  <si>
    <t>GPT-d1 , GPT-d31 , GPT-d32 , GPT-d35 , GPT-d37 , GPT-d38 , GPT-d39 , GPT-d40</t>
  </si>
  <si>
    <t>GPT-d1 , GPT-d2 , GPT-d5 , GPT-d8</t>
  </si>
  <si>
    <t>GPT-d1 , GPT-d15</t>
  </si>
  <si>
    <t>GPT-d1 , GPT-d2 , GPT-d6 , GPT-d9</t>
  </si>
  <si>
    <t>GPT-d1 , GPT-d2 , GPT-d8 , GPT-d12 , GPT-d19</t>
  </si>
  <si>
    <t>GPT-d1 , GPT-m20d28 , GPT-m21/d1 , GPT-m21d2 , GPT-m21d5 , GPT-m21d9</t>
  </si>
  <si>
    <t>GPT-d1 , GPT-d3 , GPT-d4</t>
  </si>
  <si>
    <t>GPT-d1 , GPT-d2 , GPT-d3 , GPT-d7</t>
  </si>
  <si>
    <t>GPT-d4 , GPT-d5 , GPT-d6 , GPT-d8 , GPT-d9 , GPT-d11 , GPT-d12 , GPT-d13 , GPT-d14 , GPT-d15</t>
  </si>
  <si>
    <t>GPT-d1 , GPT-d12</t>
  </si>
  <si>
    <t>GPT-d1 , GPT-d6 , GPT-d9 , GPT-d42</t>
  </si>
  <si>
    <t>GPT-d1 , GPT-d2 , GPT-d16</t>
  </si>
  <si>
    <t>GPT-d1 , GPT-d2 , GPT-d4 , GPT-d6</t>
  </si>
  <si>
    <t>GPT-d1 , GPT-d10</t>
  </si>
  <si>
    <t>GPT-d1 , GPT-d2 , GPT-d3 , GPT-d4 , GPT-d4w2 , GPT-d4w3 , GPT-d4w4 , GPT-d5</t>
  </si>
  <si>
    <t>GPT-d1 , GPT-d4 , GPT-d8 , GPT-d14</t>
  </si>
  <si>
    <t>GPT-d1 , GPT-d2 , GPT-d3 , GPT-d4 , GPT-d5 , GPT-d5w2 , GPT-d6 , GPT-d6w2 , GPT-d6w3 , GPT-d7</t>
  </si>
  <si>
    <t>GPT-d1 , GPT-d2 , GPT-d3</t>
  </si>
  <si>
    <t>GPT-d1 , GPT-d2 , GPT-d3 , GPT-d4 , GPT-d6</t>
  </si>
  <si>
    <t>GPT-d1 , GPT-d2 , GPT-d2w2 , GPT-d3 , GPT-d4</t>
  </si>
  <si>
    <t>GPT-d2 , GPT-d2w2 , GPT-d3</t>
  </si>
  <si>
    <t>GPT-d1 , GPT-d3</t>
  </si>
  <si>
    <t>GPT-d2 , GPT-d2w2 , GPT-d15</t>
  </si>
  <si>
    <t>GPT-d1 , GPT-d27 , GPT-d32 , GPT-d33</t>
  </si>
  <si>
    <t>GPT-d1 , GPT-m2d2</t>
  </si>
  <si>
    <t>GPT-d1 , GPT-d6 , GPT-d14 , GPT-d21 , GPT-d28</t>
  </si>
  <si>
    <t>GPT-d1 , GPT-d2 , GPT-d6</t>
  </si>
  <si>
    <t xml:space="preserve">GGT-d1 </t>
  </si>
  <si>
    <t>GGT-m21d1</t>
  </si>
  <si>
    <t>GGT-m21d2</t>
  </si>
  <si>
    <t>GGT-m21d5</t>
  </si>
  <si>
    <t>GGT-m21d9</t>
  </si>
  <si>
    <t>GGT-Therapieende</t>
  </si>
  <si>
    <t>GGT</t>
  </si>
  <si>
    <t>GGT-d1  , GGT-d1w2</t>
  </si>
  <si>
    <t>GGT-d1  , GGT-d3 , GGT-d5 , GGT-d7 , GGT-d8 , GGT-d15 , GGT-d27 , GGT-d28</t>
  </si>
  <si>
    <t>GGT-d1  , GGT-d12 , GGT-d21 , GGT-d26 , GGT-d40 , GGT-d54</t>
  </si>
  <si>
    <t>GGT-d1  , GGT-Therapieende</t>
  </si>
  <si>
    <t>GGT-d3 , GGT-d18</t>
  </si>
  <si>
    <t>GGT-d1  , GGT-d13 , GGT-d14 , GGT-d20</t>
  </si>
  <si>
    <t>GGT-d1  , GGT-m7</t>
  </si>
  <si>
    <t>GGT-d1  , GGT-d2 , GGT-d3 , GGT-d7 , GGT-d14</t>
  </si>
  <si>
    <t>GGT-d32 , GGT-d35 , GGT-d37 , GGT-d38 , GGT-d39 , GGT-d40 , GGT-d42</t>
  </si>
  <si>
    <t>GGT-d1  , GGT-d8</t>
  </si>
  <si>
    <t>GGT-d1  , GGT-d2 , GGT-d6 , GGT-d9</t>
  </si>
  <si>
    <t>GGT-d1  , GGT-d2 , GGT-d5 , GGT-d8 , GGT-d12 , GGT-d19</t>
  </si>
  <si>
    <t>GGT-m20d28 , GGT-m21d1 , GGT-m21d2 , GGT-m21d5 , GGT-m21d9</t>
  </si>
  <si>
    <t>GGT-d1  , GGT-d2 , GGT-d3 , GGT-d7</t>
  </si>
  <si>
    <t>GGT-d4 , GGT-d5 , GGT-d6 , GGT-d8 , GGT-d9 , GGT-d11 , GGT-d12 , GGT-d13 , GGT-d14 , GGT-d15</t>
  </si>
  <si>
    <t>GGT-d1  , GGT-d12</t>
  </si>
  <si>
    <t>GGT-d1  , GGT-d6 , GGT-d8</t>
  </si>
  <si>
    <t>GGT-d1  , GGT-d2 , GGT-d16</t>
  </si>
  <si>
    <t>GGT-d1  , GGT-d2 , GGT-d4 , GGT-d6</t>
  </si>
  <si>
    <t>GGT-d1  , GGT-d2 , GGT-d3 , GGT-d4 , GGT-d4w2 , GGT-d4w3 , GGT-d4w4 , GGT-d5</t>
  </si>
  <si>
    <t>GGT-d1  , GGT-d4 , GGT-d8 , GGT-d14</t>
  </si>
  <si>
    <t>GGT-d1  , GGT-d2 , GGT-d3 , GGT-d4 , GGT-d5 , GGT-d5w2 , GGT-d6 , GGT-d6w2 , GGT-d6w3 , GGT-d7</t>
  </si>
  <si>
    <t>GGT-d1  , GGT-d2 , GGT-d3</t>
  </si>
  <si>
    <t>GGT-d1  , GGT-d1w2 , GGT-d2 , GGT-d2w2 , GGT-d3 , GGT-d4 , GGT-d6</t>
  </si>
  <si>
    <t>GGT-d1  , GGT-m4d6 , GGT-m5d21 , GGT-m5d26 , GGT-m5d29 , GGT-m6d7 , GGT-m6d14 , GGT-m7d16 , GGT-m10d6 , GGT-m11d10 , GGT-m11d30</t>
  </si>
  <si>
    <t>GGT-d2 , GGT-d4</t>
  </si>
  <si>
    <t>GGT-d1  , GGT-d7</t>
  </si>
  <si>
    <t>GGT-d2 , GGT-d3 , GGT-d4 , GGT-d6 , GGT-d12 , GGT-d13</t>
  </si>
  <si>
    <t>GGT-d1  , GGT-d3</t>
  </si>
  <si>
    <t>GGT-d1  , GGT-d32 , GGT-d33</t>
  </si>
  <si>
    <t>GGT-d1  , GGT-m2d2</t>
  </si>
  <si>
    <t>GGT-d1  , GGT-d6 , GGT-d14 , GGT-d21 , GGT-d28</t>
  </si>
  <si>
    <t xml:space="preserve">LDH-d1 </t>
  </si>
  <si>
    <t>LDH-d28</t>
  </si>
  <si>
    <t>LDH</t>
  </si>
  <si>
    <t>LDH-d1  , LDH-d14 , LDH-d15 , LDH-d16 , LDH-d17 , LDH-d18 , LDH-d19 , LDH-d20 , LDH-d21 , LDH-23 , LDH-25 , LDH-d29</t>
  </si>
  <si>
    <t>LDH-d1  , LDH-d11</t>
  </si>
  <si>
    <t>LDH-d1  , LDH-d1w2</t>
  </si>
  <si>
    <t>LDH-d1  , LDH-d13 , LDH-d14</t>
  </si>
  <si>
    <t>LDH-d1  , LDH-d2 , LDH-d3 , LDH-d7</t>
  </si>
  <si>
    <t>LDH-d35 , LDH-d38 , LDH-d39 , LDH-d40</t>
  </si>
  <si>
    <t>LDH-d2 , LDH-d5 , LDH-d8</t>
  </si>
  <si>
    <t>LDH-d1  , LDH-d2</t>
  </si>
  <si>
    <t>LDH-d1  , LDH-m20d28 , LDH-m21d2 , LDH-m21d9</t>
  </si>
  <si>
    <t>LDH-d3 , LDH-d4</t>
  </si>
  <si>
    <t>LDH-d1  , LDH-d1w2 , LDH-d1w3</t>
  </si>
  <si>
    <t>LDH-d1  , LDH-d2 , LDH-d3 , LDH-d4 , LDH-d4w2 , LDH-d4w3 , LDH-d4w4 , LDH-d5</t>
  </si>
  <si>
    <t>LDH-d1  , LDH-d2 , LDH-d2w2 , LDH-d2w3 , LDH-d3 , LDH-d4 , LDH-d5 , LDH-d5w2 , LDH-d6 , LDH-d6w2 , LDH-d6w3 , LDH-d7</t>
  </si>
  <si>
    <t>LDH-d1  , LDH-d2 , LDH-d3</t>
  </si>
  <si>
    <t>LDH-d1  , LDH-d1w2 , LDH-d2 , LDH-d2w2 , LDH-d3 , LDH-d4 , LDH-d6</t>
  </si>
  <si>
    <t>LDH-d2 , LDH-d3 , LDH-d4</t>
  </si>
  <si>
    <t>LDH-d1  , LDH-d3</t>
  </si>
  <si>
    <t>LDH-d27 , LDH-d32 , LDH-d33</t>
  </si>
  <si>
    <t>LDH-d1  , LDH-d6 , LDH-d14 , LDH-d21 , LDH-d28</t>
  </si>
  <si>
    <t>Bilirubin-d22</t>
  </si>
  <si>
    <t xml:space="preserve">Bilirubin-d1 </t>
  </si>
  <si>
    <t>Bilirubin-m4d6</t>
  </si>
  <si>
    <t>Bilirubin-m5d21</t>
  </si>
  <si>
    <t>Bilirubin-m5d26</t>
  </si>
  <si>
    <t>Bilirubin-m5d29</t>
  </si>
  <si>
    <t>Bilirubin-m6d7</t>
  </si>
  <si>
    <t>Bilirubin-m6d14</t>
  </si>
  <si>
    <t>Bilirubin-m7d16</t>
  </si>
  <si>
    <t>Bilirubin-m10d6</t>
  </si>
  <si>
    <t>Bilirubin-m11d10</t>
  </si>
  <si>
    <t>Bilirubin-m11d30</t>
  </si>
  <si>
    <t>Bilirubin</t>
  </si>
  <si>
    <t>Bilirubin-d1  , Bilirubin-m7</t>
  </si>
  <si>
    <t>Bilirubin-d1  , Bilirubin-d12</t>
  </si>
  <si>
    <t>Bilirubin-m21d1 , Bilirubin-m21d2 , Bilirubin-m21d5</t>
  </si>
  <si>
    <t>Bilirubin-d1  , Bilirubin-d1w2</t>
  </si>
  <si>
    <t xml:space="preserve">GLDH-d1 </t>
  </si>
  <si>
    <t>GLDH</t>
  </si>
  <si>
    <t>GLDH-d1  , GLDH- Verlauf</t>
  </si>
  <si>
    <t>GLDH-d1  , GLDH-d1w2 , GLDH-d1w3</t>
  </si>
  <si>
    <t>GLDH-d2 , GLDH-d3 , GLDH-d14</t>
  </si>
  <si>
    <t>GLDH-d1  , GLDH-d14</t>
  </si>
  <si>
    <t>GLDH-d1  , GLDH-d13</t>
  </si>
  <si>
    <t>GLDH-d1  , GLDH-d1w2 , GLDH-d2 , GLDH-d2w2 , GLDH-d3 , GLDH-d4 , GLDH-d6</t>
  </si>
  <si>
    <t>GLDH-m6d7 , GLDH-m6d14 , GLDH-m7d16 , GLDH-m11d10 , GLDH-m11d30</t>
  </si>
  <si>
    <t xml:space="preserve">AP-d1 </t>
  </si>
  <si>
    <t>AP-d1w3</t>
  </si>
  <si>
    <t>AP-d2w3</t>
  </si>
  <si>
    <t>AP-d4</t>
  </si>
  <si>
    <t>AP-d4w4</t>
  </si>
  <si>
    <t>AP-d6</t>
  </si>
  <si>
    <t>AP-d6w3</t>
  </si>
  <si>
    <t>AP-d11</t>
  </si>
  <si>
    <t>AP-d12</t>
  </si>
  <si>
    <t>AP-d25</t>
  </si>
  <si>
    <t>AP-d32</t>
  </si>
  <si>
    <t>AP-d35</t>
  </si>
  <si>
    <t>AP-d36</t>
  </si>
  <si>
    <t>AP-d38</t>
  </si>
  <si>
    <t>AP-d40</t>
  </si>
  <si>
    <t>AP-m5d21</t>
  </si>
  <si>
    <t>AP-m5d26</t>
  </si>
  <si>
    <t>AP-m5d29</t>
  </si>
  <si>
    <t>AP-m10d6</t>
  </si>
  <si>
    <t>AP-m11d10</t>
  </si>
  <si>
    <t>AP-m11d30</t>
  </si>
  <si>
    <t>AP-m20d28</t>
  </si>
  <si>
    <t>AP-m21d1</t>
  </si>
  <si>
    <t>AP-m21d2</t>
  </si>
  <si>
    <t>AP-m21d5</t>
  </si>
  <si>
    <t>AP-m21d9</t>
  </si>
  <si>
    <t>AP</t>
  </si>
  <si>
    <t>AP-d1  , AP-d3 , AP-d5 , AP-d7 , AP-d8 , AP-d15 , AP-d27 , AP-d28</t>
  </si>
  <si>
    <t>AP-d3 , AP-d18</t>
  </si>
  <si>
    <t>AP-d1  , AP-d1w2 , AP-d1w3</t>
  </si>
  <si>
    <t>AP-d1  , AP-d13 , AP-d14</t>
  </si>
  <si>
    <t>AP-d1  , AP-d2 , AP-d3 , AP-d7</t>
  </si>
  <si>
    <t>AP-d1  , AP-d32 , AP-d35 , AP-d38 , AP-d39 , AP-d40</t>
  </si>
  <si>
    <t>AP-d1  , AP-d2 , AP-d5 , AP-d8</t>
  </si>
  <si>
    <t>AP-d1  , AP-d8</t>
  </si>
  <si>
    <t>AP-d1  , AP-d2 , AP-d6 , AP-d9</t>
  </si>
  <si>
    <t>AP-d1  , AP-d2 , AP-d8 , AP-d12 , AP-d19</t>
  </si>
  <si>
    <t>AP-d1  , AP-m20d28 , AP-m21d1 , AP-m21d2 , AP-m21d5 , AP-m21d9</t>
  </si>
  <si>
    <t>AP-d1  , AP-d4</t>
  </si>
  <si>
    <t>AP-d1  , AP-d3 , AP-d7</t>
  </si>
  <si>
    <t>AP-d5 , AP-d6 , AP-d8 , AP-d9 , AP-d11 , AP-d12 , AP-d13 , AP-d14 , AP-d15</t>
  </si>
  <si>
    <t>AP-d1  , AP-d12</t>
  </si>
  <si>
    <t>AP-d1  , AP-d6 , AP-d29</t>
  </si>
  <si>
    <t>AP-d1  , AP-d2 , AP-d4 , AP-d6</t>
  </si>
  <si>
    <t>AP-d1  , AP-d14</t>
  </si>
  <si>
    <t>AP-d1  , AP-d13</t>
  </si>
  <si>
    <t>AP-d1  , AP-d1w2</t>
  </si>
  <si>
    <t>AP-d1  , AP-d2 , AP-d3 , AP-d4 , AP-d4w2 , AP-d4w3 , AP-d4w4 , AP-d5</t>
  </si>
  <si>
    <t>AP-d1  , AP-d2 , AP-d2w2 , AP-d2w3 , AP-d3 , AP-d4 , AP-d5 , AP-d5w2 , AP-d6 , AP-d6w2 , AP-d6w3 , AP-d7</t>
  </si>
  <si>
    <t>AP-d1  , AP-d2 , AP-d3</t>
  </si>
  <si>
    <t>AP-d1  , AP-d1w2 , AP-d2 , AP-d3 , AP-d4</t>
  </si>
  <si>
    <t>AP-m5d21 , AP-m5d26 , AP-m5d29 , AP-m6d7 , AP-m6d14 , AP-m7d16 , AP-m10d6 , AP-m11d10 , AP-m11d30</t>
  </si>
  <si>
    <t>AP-d2 , AP-d3 , AP-d4</t>
  </si>
  <si>
    <t>AP-d2 , AP-d3 , AP-d4 , AP-d6 , AP-d12 , AP-d14</t>
  </si>
  <si>
    <t>AP-d1  , AP-d3</t>
  </si>
  <si>
    <t>AP-d1  , AP-m2d2</t>
  </si>
  <si>
    <t>AP-d1  , AP-d6 , AP-d14 , AP-d21 , AP-d28</t>
  </si>
  <si>
    <t>AP-Therapie ende</t>
  </si>
  <si>
    <t>AP-d1  , AP-d2 , AP-d9 , AP-d10 , AP-d14 , AP-d16 , AP-d17 , AP-d18 , AP-d19 , AP-d20 , AP-d21 , AP-d23 , AP-d25 , AP-d29 , AP-d31 , AP-d36 , AP-d39 , AP-Therapie ende</t>
  </si>
  <si>
    <t>GOT-Therapie ende</t>
  </si>
  <si>
    <t>GOT-d1  , GOT-d9 , GOT-d10 , GOT-d14 , GOT-d15 , GOT-d16 , GOT-d17 , GOT-d18 , GOT-d19 , GOT-d20 , GOT-d21 , GOT-d23 , GOT-d25 , GOT-d29 , GOT-d31 , GOT-d32 , GOT-d36 , GOT-d39 , GOT-Therapie ende</t>
  </si>
  <si>
    <t>Cholinesterase-d62</t>
  </si>
  <si>
    <t xml:space="preserve">Cholinesterase-d1 </t>
  </si>
  <si>
    <t>CE</t>
  </si>
  <si>
    <t>Cholinesterase-d15 , Cholinesterase-d18 , Cholinesterase-19 , Cholinesterase-d20 , Cholinesterase-d23 , Cholinesterase-25 , Cholinesterase-29</t>
  </si>
  <si>
    <t>Cholinesterase-d1  , Cholinesterase-d1w2</t>
  </si>
  <si>
    <t>Cholinesterase-d2 , Cholinesterase-d3 , Cholinesterase-d7</t>
  </si>
  <si>
    <t>Cholinesterase-d1  , Cholinesterase-d1w2 , Cholinesterase-d2 , Cholinesterase-d2w2 , Cholinesterase-d3 , Cholinesterase-d4 , Cholinesterase-d62</t>
  </si>
  <si>
    <t>Cholinesterase-m5d26 , Cholinesterase-m6d7 , Cholinesterase-m6d14 , Cholinesterase-m7d16 , Cholinesterase-m10d6 , Cholinesterase-m11d30</t>
  </si>
  <si>
    <t>Cholinesterase-d1  , Cholinesterase-d3</t>
  </si>
  <si>
    <t xml:space="preserve">Kreatinin-d1 </t>
  </si>
  <si>
    <t>Kreatinin-d19</t>
  </si>
  <si>
    <t>Keratinin</t>
  </si>
  <si>
    <t>Kreatinin-d1  , Kreatinin-d5 , Kreatinin-d7 , Kreatinin-d8 , Kreatinin-d27</t>
  </si>
  <si>
    <t>Kreatinin-d1  , Kreatinin-d1w2</t>
  </si>
  <si>
    <t>Kreatinin-d1  , Kreatinin-d3 , Kreatinin-d4 , Kreatinin-d5 , Kreatinin-d7 , Kreatinin-d11 , Kreatinin-d13 , Kreatinin-d14</t>
  </si>
  <si>
    <t>Kreatinin-d1  , Kreatinin-d3</t>
  </si>
  <si>
    <t>Kreatinin-d1  , Kreatinin-d5</t>
  </si>
  <si>
    <t>Kreatinin-d1  , Kreatinin-d2 , Kreatinin-d9</t>
  </si>
  <si>
    <t>Kreatinin-d1  , Kreatinin-d2 , Kreatinin-d8 , Kreatinin-d19</t>
  </si>
  <si>
    <t>Kreatinin-d1  , Kreatinin-m20d28</t>
  </si>
  <si>
    <t>Kreatinin-d1  , Kreatinin-d4</t>
  </si>
  <si>
    <t>Kreatinin-d1  , Kreatinin-d3 , Kreatinin-d7</t>
  </si>
  <si>
    <t>Kreatinin-d1  , Kreatinin-d2 , Kreatinin-d4 , Kreatinin-d5 , Kreatinin-d6 , Kreatinin-d8 , Kreatinin-d9 , Kreatinin-d11 , Kreatinin-d13 , Kreatinin-d14</t>
  </si>
  <si>
    <t>Kreatinin-d1  , Kreatinin-d2 , Kreatinin-d2w2 , Kreatinin-d3 , Kreatinin-d4 , Kreatinin-d4w2 , Kreatinin-d4w3 , Kreatinin-d4w4 , Kreatinin-d5</t>
  </si>
  <si>
    <t>Kreatinin-d1  , Kreatinin-d4 , Kreatinin-d8 , Kreatinin-d14</t>
  </si>
  <si>
    <t>Kreatinin-d1  , Kreatinin-d2 , Kreatinin-d2w2 , Kreatinin-d2w3 , Kreatinin-d3 , Kreatinin-d4 , Kreatinin-d5 , Kreatinin-d5w2 , Kreatinin-d6 , Kreatinin-d6w2 , Kreatinin-d6w3 , Kreatinin-d7</t>
  </si>
  <si>
    <t>Kreatinin-d1  , Kreatinin-d2 , Kreatinin-d3 , Kreatinin-d4</t>
  </si>
  <si>
    <t>Kreatinin-d1  , Kreatinin-d2 , Kreatinin-d3</t>
  </si>
  <si>
    <t>Kreatinin-d1  , Kreatinin-d1w2 , Kreatinin-d2 , Kreatinin-d2w2 , Kreatinin-d3 , Kreatinin-d4 , Kreatinin-d6</t>
  </si>
  <si>
    <t>Kreatinin-d27 , Kreatinin-d32 , Kreatinin-d33</t>
  </si>
  <si>
    <t>Kreatinin-d1  , Kreatinin-d6 , Kreatinin-d14 , Kreatinin-d21</t>
  </si>
  <si>
    <t>INR</t>
  </si>
  <si>
    <t>Total Number of Observation</t>
  </si>
  <si>
    <t>INR-d1  , INR-d3</t>
  </si>
  <si>
    <t>INR-d1  , INR-d3 , INR-d4 , INR-d12 , INR-d13 , INR-d14 , INR-d20</t>
  </si>
  <si>
    <t>INR-d2 , INR-d6</t>
  </si>
  <si>
    <t>INR-d1  , INR-d3 , INR-d7</t>
  </si>
  <si>
    <t>INR-d9 , INR-d13 , INR-d14</t>
  </si>
  <si>
    <t>INR-d4 , INR-d15</t>
  </si>
  <si>
    <t>INR-d1  , INR-d10</t>
  </si>
  <si>
    <t>INR-d1  , INR-d1w2</t>
  </si>
  <si>
    <t>INR-d1  , INR-d2 , INR-d2w2 , INR-d3 , INR-d4 , INR-d4w2 , INR-d4w3 , INR-d4w4 , INR-d5</t>
  </si>
  <si>
    <t>INR-d1  , INR-d1w2 , INR-d2 , INR-d2w2 , INR-d3 , INR-d4 , INR-d6</t>
  </si>
  <si>
    <t>Amylase-d1</t>
  </si>
  <si>
    <t>Amylase-d4w4</t>
  </si>
  <si>
    <t>Amy</t>
  </si>
  <si>
    <t>Amylase-d1 , Amylase-d2 , Amylase-d2w2 , Amylase-d2w3 , Amylase-d3 , Amylase-d4 , Amylase-d5 , Amylase-d5w2 , Amylase-d6 , Amylase-d6w2 , Amylase-d6w3 , Amylase-d7</t>
  </si>
  <si>
    <t>Amylase-d2 , Amylase-d2w2 , Amylase-d2w3 , Amylase-d3 , Amylase-d4 , Amylase-d6 , Amylase-d9 , Amylase-d12 , Amylase-d14</t>
  </si>
  <si>
    <t>Amylase-d1 , Amylase-d2 , Amylase-d3 , Amylase-d4 , Amylase-d4w2 , Amylase-d4w3 , Amylase-d4w4 , Amylase-d5</t>
  </si>
  <si>
    <t>Amylase-d1 , Amylase-d3 , Amylase-d7</t>
  </si>
  <si>
    <t>Amylase-d1 , Amylase-d28</t>
  </si>
  <si>
    <t>Amylase-d2 , Amylase-d4</t>
  </si>
  <si>
    <t>Amylase-d2 , Amylase-d2w2</t>
  </si>
  <si>
    <t>Amylase-d1 , Amylase-d37</t>
  </si>
  <si>
    <t>Amylase-d14 , Amylase-d20</t>
  </si>
  <si>
    <t xml:space="preserve">Lipase-d1  </t>
  </si>
  <si>
    <t xml:space="preserve">0,84 </t>
  </si>
  <si>
    <t>Lipase</t>
  </si>
  <si>
    <t>Lipase-d1   , Lipase-d28</t>
  </si>
  <si>
    <t>Lipase-d1   , Lipase-d1w2</t>
  </si>
  <si>
    <t>Lipase-d14 , Lipase-d20</t>
  </si>
  <si>
    <t>Lipase-d1   , Lipase-d3 , Lipase-d7 , Lipase-d14</t>
  </si>
  <si>
    <t>Lipase-d2 , Lipase-d2w2</t>
  </si>
  <si>
    <t>Lipase-d1   , Lipase-d3 , Lipase-d7</t>
  </si>
  <si>
    <t>Lipase-d1   , Lipase-d2 , Lipase-d3 , Lipase-d4 , Lipase-d4w2 , Lipase-d4w3 , Lipase-d4w5 , Lipase-d5</t>
  </si>
  <si>
    <t>Lipase-d1   , Lipase-d2 , Lipase-d2w2 , Lipase-d2w3 , Lipase-d3 , Lipase-d4 , Lipase-d5 , Lipase-d5w2 , Lipase-d6 , Lipase-d6w2 , Lipase-d6w3 , Lipase-d7</t>
  </si>
  <si>
    <t>Lipase-d2 , Lipase-d3 , Lipase-d4 , Lipase-d6</t>
  </si>
  <si>
    <t>Lipase-d1   , Lipase-d3</t>
  </si>
  <si>
    <t xml:space="preserve">CRP-d1 </t>
  </si>
  <si>
    <t>CRP-d2</t>
  </si>
  <si>
    <t>CRP-d3</t>
  </si>
  <si>
    <t>CRP-d4</t>
  </si>
  <si>
    <t>CRP-d5</t>
  </si>
  <si>
    <t>CRP-d6</t>
  </si>
  <si>
    <t>CRP-d7</t>
  </si>
  <si>
    <t>CRP-d8</t>
  </si>
  <si>
    <t>CRP-d9</t>
  </si>
  <si>
    <t>CRP</t>
  </si>
  <si>
    <t>CRP-d1 , CRP-d5, CRP-d7, CRP-d13, CRP-d14</t>
  </si>
  <si>
    <t>CRP-d1 , CRP-d1w2</t>
  </si>
  <si>
    <t>CRP-d1 , CRP-d5</t>
  </si>
  <si>
    <t>CRP-d1 , CRP-d2, CRP-d6, CRP-d9</t>
  </si>
  <si>
    <t>CRP-d1 , CRP-d3, CRP-d8</t>
  </si>
  <si>
    <t>CRP-d1 , CRP-m20d28, CRP-m21d1, CRP-m21d2</t>
  </si>
  <si>
    <t>CRP-d1 , CRP-d3, CRP-d7</t>
  </si>
  <si>
    <t>CRP-d1 , CRP-d2</t>
  </si>
  <si>
    <t>CRP-d2, CRP-d16</t>
  </si>
  <si>
    <t>CRP-d1 , CRP-d2, CRP-d3, CRP-d4, CRP-d4w2, CRP-d4w3, CRP-d4w4, CRP-d5</t>
  </si>
  <si>
    <t>CRP-d1 , CRP-d2, CRP-d3, CRP-d4</t>
  </si>
  <si>
    <t>CRP-d1 , CRP-d2, CRP-d3</t>
  </si>
  <si>
    <t>CRP-d1 , CRP-d3</t>
  </si>
  <si>
    <t xml:space="preserve">Harnstoff-d1 </t>
  </si>
  <si>
    <t>Harnstoff-d5w2</t>
  </si>
  <si>
    <t>Harnstoff</t>
  </si>
  <si>
    <t>Harnstoff-d1  , Harnstoff-d3 , Harnstoff-d4 , Harnstoff-d5 , Harnstoff-d7 , Harnstoff-d13 , Harnstoff-d14</t>
  </si>
  <si>
    <t>Harnstoff-d1  , Harnstoff-d3 , Harnstoff-d14</t>
  </si>
  <si>
    <t>Harnstoff-d1  , Harnstoff-d4</t>
  </si>
  <si>
    <t>Harnstoff-d1  , Harnstoff-d3 , Harnstoff-d7</t>
  </si>
  <si>
    <t>Harnstoff-d4 , Harnstoff-d11</t>
  </si>
  <si>
    <t>Harnstoff-d1  , Harnstoff-d2 , Harnstoff-d3 , Harnstoff-d4 , Harnstoff-d4w2 , Harnstoff-d4w3 , Harnstoff-d4w4 , Harnstoff-d5</t>
  </si>
  <si>
    <t>Harnstoff-d1  , Harnstoff-d2 , Harnstoff-d2w2 , Harnstoff-d2w3 , Harnstoff-d3 , Harnstoff-d4 , Harnstoff-d5 , Harnstoff-d5w2 , Harnstoff-d6 , Harnstoff-d6w2 , Harnstoff-d6w3 , Harnstoff-d7</t>
  </si>
  <si>
    <t>Harnstoff-d1  , Harnstoff-d2</t>
  </si>
  <si>
    <t>Harnstoff-d1  , Harnstoff-d2 , Harnstoff-d3</t>
  </si>
  <si>
    <t>Harnstoff-d1  , Harnstoff-d2 , Harnstoff-d2w2 , Harnstoff-d3 , Harnstoff-d4 , Harnstoff-d6</t>
  </si>
  <si>
    <t>Harnstoff-d1  , Harnstoff-d6 , Harnstoff-d14 , Harnstoff-d21 , Harnstoff-d28</t>
  </si>
  <si>
    <t>t</t>
  </si>
  <si>
    <t>Thrombozyten-d1</t>
  </si>
  <si>
    <t>Thrombozyten</t>
  </si>
  <si>
    <t>Thrombozyten-d1 , Thrombozyten-d3 , Thrombozyten-d4 , Thrombozyten-d5 , Thrombozyten-d7 , Thrombozyten-d13 , Thrombozyten-d14 , Thrombozyten-d20</t>
  </si>
  <si>
    <t>Thrombozyten-d1 , Thrombozyten-d2 , Thrombozyten-d9</t>
  </si>
  <si>
    <t>Thrombozyten-d1 , Thrombozyten-d2 , Thrombozyten-d8</t>
  </si>
  <si>
    <t>Thrombozyten-d2 , Thrombozyten-d3 , Thrombozyten-d4</t>
  </si>
  <si>
    <t>Thrombozyten-d1 , Thrombozyten-d3 , Thrombozyten-d7</t>
  </si>
  <si>
    <t>Thrombozyten-d1 , Thrombozyten-d2 , Thrombozyten-d4 , Thrombozyten-d5 , Thrombozyten-d6 , Thrombozyten-d8 , Thrombozyten-d9 , Thrombozyten-d13 , Thrombozyten-d14 , Thrombozyten-d15</t>
  </si>
  <si>
    <t>Thrombozyten-d1 , Thrombozyten-d2</t>
  </si>
  <si>
    <t>Thrombozyten-d1 , Thrombozyten-d2 , Thrombozyten-d3</t>
  </si>
  <si>
    <t>Thrombozyten-d1 , Thrombozyten-d3</t>
  </si>
  <si>
    <t>Thrombozyten-d2w2</t>
  </si>
  <si>
    <t>Thrombozyten-d6w3</t>
  </si>
  <si>
    <t>Thrombozyten-d1 , Thrombozyten-d2 , Thrombozyten-d2w2 , Thrombozyten-d2w3 , Thrombozyten-d3 , Thrombozyten-d4 , Thrombozyten-d5 , Thrombozyten-d5w2 , Thrombozyten-d6 , Thrombozyten-d6w2 , Thrombozyten-d6w3 , Thrombozyten-d7</t>
  </si>
  <si>
    <t>Thrombozyten-d1 , Thrombozyten-d2 , Thrombozyten-d2w2 , Thrombozyten-d3 , Thrombozyten-d4 , Thrombozyten-d6</t>
  </si>
  <si>
    <t>Thrombozyten-d1 , Thrombozyten-d2 , Thrombozyten-d2w2 , Thrombozyten-d3 , Thrombozyten-d4 , Thrombozyten-d6 , Thrombozyten-d9 , Thrombozyten-d12 , Thrombozyten-d13 , Thrombozyten-d15</t>
  </si>
  <si>
    <t>Thrombozyten-d3w2</t>
  </si>
  <si>
    <t>Thrombozyten-d1 , Thrombozyten-d1w2 , Thrombozyten-d2 , Thrombozyten-d2w2 , Thrombozyten-d3 , Thrombozyten-d3w2 , Thrombozyten-d4</t>
  </si>
  <si>
    <t xml:space="preserve">PLT-d1 </t>
  </si>
  <si>
    <t xml:space="preserve">BSG-d1 </t>
  </si>
  <si>
    <t xml:space="preserve">Monozyten </t>
  </si>
  <si>
    <t xml:space="preserve">Eosinophile Granuloyzten </t>
  </si>
  <si>
    <t xml:space="preserve">Albumin-d1 </t>
  </si>
  <si>
    <t>Albumin</t>
  </si>
  <si>
    <t>Total Number of Obervations</t>
  </si>
  <si>
    <t>Alb</t>
  </si>
  <si>
    <t xml:space="preserve">PLT-d1  , BSG-d1  , Monozyten  , Eosinophile Granuloyzten </t>
  </si>
  <si>
    <t>Albumin-d1  , Albumin-d3 , Albumin-d4</t>
  </si>
  <si>
    <t>Albumin-d1  , Albumin-d14</t>
  </si>
  <si>
    <t>Albumin-d1  , Albumin-d13</t>
  </si>
  <si>
    <t>Albumin-d4 , Albumin-d4w2 , Albumin-d4w3</t>
  </si>
  <si>
    <t>Albumin-d1  , Albumin-d1w2 , Albumin-d2 , Albumin-d3 , Albumin-d4</t>
  </si>
  <si>
    <t xml:space="preserve">alpha-1-G-d1 </t>
  </si>
  <si>
    <t xml:space="preserve">alpha-2-G-d1 </t>
  </si>
  <si>
    <t xml:space="preserve">beta-G-d1 </t>
  </si>
  <si>
    <t>gamma-G-d1</t>
  </si>
  <si>
    <t xml:space="preserve">Harnsaure-d1 </t>
  </si>
  <si>
    <t>Cholesterin-d1</t>
  </si>
  <si>
    <t>Triacyglyceride-d1</t>
  </si>
  <si>
    <t>Triacylglyceride-m4d6</t>
  </si>
  <si>
    <t>Triacylglyceride-m7d16</t>
  </si>
  <si>
    <t>Triacylglyceride-m10d6</t>
  </si>
  <si>
    <t>Triacylglyceride-m11d10</t>
  </si>
  <si>
    <t>Triacylglyceride-m11d30</t>
  </si>
  <si>
    <t>ABHCTAG</t>
  </si>
  <si>
    <t>alpha-1-G-d1  , alpha-2-G-d1  , beta-G-d1  , gamma-G-d1</t>
  </si>
  <si>
    <t>Harnsaure-d1  , Harnsaure-d5 , Harnsaure-d7 , Harnsaure-d13 , Harnsaure-d14</t>
  </si>
  <si>
    <t>Cholesterin-d1 , Cholesterin-d3 , Cholesterin-d7 , Triacyglyceride-d1 , Triacylgylceride-d7</t>
  </si>
  <si>
    <t>Cholesterin-d4 , Triacylglyceride-d4</t>
  </si>
  <si>
    <t>Triacylglyceride-d2 , Triacylglyceride-d3 , Triacylglyceride-d4 , Triacylglyceride-d4w2 , Triacylglyceride-d4w3 , Triacylglyceride-d4w4 , Triacylglyceride-d5</t>
  </si>
  <si>
    <t>Cholesterin-d4 , Cholesterin-d8 , Cholesterin-d14</t>
  </si>
  <si>
    <t>Triacyglyceride-d1 , Triacylglyceride-d2 , Triacylglyceride-d2w2 , Triacylglyceride-d2w3 , Triacylglyceride-d3 , Triacylglyceride-d4 , Triacylglyceride-d5 , Triacylglyceride-d5w2 , Triacylglyceride-d6 , Triacylglyceride-d6w2 , Triacylglyceride-d6w3 , Triacylgylceride-d7</t>
  </si>
  <si>
    <t>Cholesterin-d1 , Cholesterin-m4d6 , Cholesterin-m7d16 , Cholesterin-m10d6 , Cholesterin-m11d10 , Cholesterin-m11d30 , Triacyglyceride-d1 , Triacylglyceride-m4d6 , Triacylglyceride-m7d16 , Triacylglyceride-m10d6 , Triacylglyceride-m11d10 , Triacylglyceride-m11d30</t>
  </si>
  <si>
    <t>Cholesterin-d1 , Cholesterin-d3 , Triacyglyceride-d1 , Triacylglyceride-d3</t>
  </si>
  <si>
    <t xml:space="preserve">PTZ-d1 </t>
  </si>
  <si>
    <t xml:space="preserve">Laktat-d1 </t>
  </si>
  <si>
    <t>PTZLAKTATNH3</t>
  </si>
  <si>
    <t>PTZ-d5 , PTZ-d7 , PTZ-d8 , PTZ-d27</t>
  </si>
  <si>
    <t>Laktat-d1  , NH3-d1</t>
  </si>
  <si>
    <t>Laktat-d3 , Laktat-d4</t>
  </si>
  <si>
    <t>Laktat-d7 , NH3-d7</t>
  </si>
  <si>
    <t>NH3-d4 , NH3-d5</t>
  </si>
  <si>
    <t>NH3-d1 , NH3-d2 , NH3-d3</t>
  </si>
  <si>
    <t xml:space="preserve">Lymphozyten-d1 </t>
  </si>
  <si>
    <t>CK</t>
  </si>
  <si>
    <t>QUICK</t>
  </si>
  <si>
    <t>PTT-d1 (sec) , PTT-d3 , PTT-d6</t>
  </si>
  <si>
    <t>TZ</t>
  </si>
  <si>
    <t>LEUKOZYTEN</t>
  </si>
  <si>
    <t>LYMPHOZYTEN</t>
  </si>
  <si>
    <t>BILIRUBIN</t>
  </si>
  <si>
    <t>PTT-d1 (sec) , PTT-d7 , PTT-d8 , PTT-d9 , PTT-d10 , PTT-d18 , PTT-d20 , PTT-d23 , PTT-d25 , PTT-d29</t>
  </si>
  <si>
    <t>GPT-d1 , GPT-d9 , GPT-d10 , GPT-d14 , GPT-d15 , GPT-d16 , GPT-d17 , GPT-d18 , GPT-d19 , GPT-d20 , GPT-d21 , GPT-d23 , GPT-d25 , GPT-d29 , GPT-d31 , GPT-d32 , GPT-d36 , GPT-d39 , GPT-Therapie ende</t>
  </si>
  <si>
    <t>GGT-d2 , GGT-d9 , GGT-d10 , GGT-d14 , GGT-d15 , GGT-d16 , GGT-d17 , GGT-d18 , GGT-d19 , GGT-d20 , GGT-d21 , GGT-d23 , GGT-d25 , GGT-d29 , GGT-d31 , GGT-d36 , GGT-d39 , GGT-Therapieende</t>
  </si>
  <si>
    <t>Bilirubin-d2 , Bilirubin-d22 , Bilirubin-d15 , Bilirubin-d16 , Bilirubin-d18 , Bilirubin-d19 , Bilirubin-d20 , Bilirubin-d21 , Bilirubin-d23 , Bilirubin-25 , Bilirubin-d31 , Bilirubin-d39</t>
  </si>
  <si>
    <t>CHOLINESTERASE</t>
  </si>
  <si>
    <t>PTT-d1 (sec) , PTT-d3 , PTT-d7 , PTT-d8 , PTT-d27</t>
  </si>
  <si>
    <t>FIBRINOGEN</t>
  </si>
  <si>
    <t>Fibrinogen-d7 , Fibrinogen-d8</t>
  </si>
  <si>
    <t>AT III</t>
  </si>
  <si>
    <t>KREATININ</t>
  </si>
  <si>
    <t>AMYLASE</t>
  </si>
  <si>
    <t>LIPASE</t>
  </si>
  <si>
    <t>PTZ</t>
  </si>
  <si>
    <t>HARNSTOFF</t>
  </si>
  <si>
    <t>THROMBOZYTEN</t>
  </si>
  <si>
    <t>GOT-d1  , GOT-d11 , GOT-Missing day</t>
  </si>
  <si>
    <t>LAKTAT</t>
  </si>
  <si>
    <t>PLT</t>
  </si>
  <si>
    <t>BSG</t>
  </si>
  <si>
    <t xml:space="preserve">MONOZYTEN </t>
  </si>
  <si>
    <t xml:space="preserve">EOSINOPHILE GRANULOYZTEN </t>
  </si>
  <si>
    <t>ALBUMIN</t>
  </si>
  <si>
    <t>ALPHA</t>
  </si>
  <si>
    <t xml:space="preserve">alpha-1-G-d1  , alpha-2-G-d1 </t>
  </si>
  <si>
    <t>BETA</t>
  </si>
  <si>
    <t>GAMMA</t>
  </si>
  <si>
    <t>NH3</t>
  </si>
  <si>
    <t>HARNSAURE</t>
  </si>
  <si>
    <t>PTT-d1 (sec) , PTT-d1w2</t>
  </si>
  <si>
    <t xml:space="preserve">AT III </t>
  </si>
  <si>
    <t>PTT-d1 (sec) , PTT-d3 , PTT-d4 , PTT-d12 , PTT-d13 , PTT-d14</t>
  </si>
  <si>
    <t>Leukozyten-d1  , Leukozyten-d3 , Leukozyten-d4 , Leukozyten-d5 , Leukozyten-d7 , Leukozyten-d13 , Leukozyten-d14 , Leukozyten-d20</t>
  </si>
  <si>
    <t>CRP-d1  , CRP-d5 , CRP-d7 , CRP-d13 , CRP-d14</t>
  </si>
  <si>
    <t>CRP-d1  , CRP-d1w2</t>
  </si>
  <si>
    <t>PTT-d1 (sec) , PTT-d3</t>
  </si>
  <si>
    <t>TRIACYLGLYCERIDE</t>
  </si>
  <si>
    <t>CRP-d1  , CRP-d5</t>
  </si>
  <si>
    <t>PTT-d2 , PTT-d6</t>
  </si>
  <si>
    <t>ATIII</t>
  </si>
  <si>
    <t>CRP-d1  , CRP-d2 , CRP-d6 , CRP-d9</t>
  </si>
  <si>
    <t>PTT-d1 (sec) , PTT-d15</t>
  </si>
  <si>
    <t>CRP-d1  , CRP-d3 , CRP-d8</t>
  </si>
  <si>
    <t>PTT-d1 (sec) , PTT-m20d28</t>
  </si>
  <si>
    <t>Lymphozyten-d1  , Lymphozyten-m20d28 , Lymphozyten-m21d2</t>
  </si>
  <si>
    <t>CRP-d1  , CRP-m20d28 , CRP-m21d1 , CRP-m21d2</t>
  </si>
  <si>
    <t>PTT-d1 (sec) , PTT-d3 , PTT-d7</t>
  </si>
  <si>
    <t>CRP-d1  , CRP-d3 , CRP-d7</t>
  </si>
  <si>
    <t>CHOLESTERIN</t>
  </si>
  <si>
    <t>Cholesterin-d1 , Cholesterin-d3 , Cholesterin-d7</t>
  </si>
  <si>
    <t>TRIACYGLYCERIDE</t>
  </si>
  <si>
    <t>TRIACYLGYLCERIDE</t>
  </si>
  <si>
    <t>PTT-d1 (sec) , PTT-d2 , PTT-d4 , PTT-d5 , PTT-d6 , PTT-d8 , PTT-d9 , PTT-d11 , PTT-d14 , PTT-d15</t>
  </si>
  <si>
    <t>ATII</t>
  </si>
  <si>
    <t>Leukozyten-d1  , Leukozyten-d2 , Leukozyten-d4 , Leukozyten-d5 , Leukozyten-d6 , Leukozyten-d8 , Leukozyten-d9 , Leukozyten-d11 , Leukozyten-d12 , Leukozyten-d13 , Leukozyten-d14</t>
  </si>
  <si>
    <t>CRP-d1  , CRP-d2</t>
  </si>
  <si>
    <t>CRP-d2 , CRP-d16</t>
  </si>
  <si>
    <t>Bilirubin-d3</t>
  </si>
  <si>
    <t>Bilirubin-d4</t>
  </si>
  <si>
    <t>Bilirubin-d4w2</t>
  </si>
  <si>
    <t>Bilirubin-d4w3</t>
  </si>
  <si>
    <t>Bilirubin-d5</t>
  </si>
  <si>
    <t>Bilirubin-d5w2</t>
  </si>
  <si>
    <t>Bilirubin-d6</t>
  </si>
  <si>
    <t>Bilirubin-d6w3</t>
  </si>
  <si>
    <t>Bilirubin-d8</t>
  </si>
  <si>
    <t>Bilirubin-d9</t>
  </si>
  <si>
    <t>Bilirubin-d10</t>
  </si>
  <si>
    <t>Bilirubin-d11</t>
  </si>
  <si>
    <t>Bilirubin-d27</t>
  </si>
  <si>
    <t>Bilirubin-d28</t>
  </si>
  <si>
    <t>Bilirubin-d32</t>
  </si>
  <si>
    <t>Bilirubin-d35</t>
  </si>
  <si>
    <t>Bilirubin-d37</t>
  </si>
  <si>
    <t>Bilirubin-d38</t>
  </si>
  <si>
    <t>Bilirubin-d40</t>
  </si>
  <si>
    <t>Bilirubin-d5 , Bilirubin-d7 , Bilirubin-d8 , Bilirubin-d21 , Bilirubin-d27 , Bilirubin-d28</t>
  </si>
  <si>
    <t>Bilirubin-d1  , Bilirubin-d3 , Bilirubin-d18</t>
  </si>
  <si>
    <t>Bilirubin-d1  , Bilirubin-d2 , Bilirubin-d3 , Bilirubin-d4 , Bilirubin-d13 , Bilirubin-d14</t>
  </si>
  <si>
    <t>Bilirubin-d22 , Bilirubin-d3 , Bilirubin-d14</t>
  </si>
  <si>
    <t>Bilirubin-d1  , Bilirubin-d32 , Bilirubin-d35 , Bilirubin-d37 , Bilirubin-d38 , Bilirubin-d39 , Bilirubin-d40 , Bilirubin-d42</t>
  </si>
  <si>
    <t>Bilirubin-d1  , Bilirubin-d22 , Bilirubin-d5 , Bilirubin-d7</t>
  </si>
  <si>
    <t>Bilirubin-d1  , Bilirubin-d6 , Bilirubin-d9</t>
  </si>
  <si>
    <t>Bilirubin-d1  , Bilirubin-d4</t>
  </si>
  <si>
    <t>Bilirubin-d1  , Bilirubin-d3 , Bilirubin-d7</t>
  </si>
  <si>
    <t>Bilirubin-d22 , Bilirubin-d4 , Bilirubin-d5 , Bilirubin-d6 , Bilirubin-d8 , Bilirubin-d9 , Bilirubin-d11 , Bilirubin-d12 , Bilirubin-d13 , Bilirubin-d14 , Bilirubin-d15</t>
  </si>
  <si>
    <t>Bilirubin-d1  , Bilirubin-d6</t>
  </si>
  <si>
    <t>Bilirubin-d1  , Bilirubin-d6 , Bilirubin-d13</t>
  </si>
  <si>
    <t>Parameter</t>
  </si>
  <si>
    <t>Leukozyten-d1  , Leukozyten-d2 , Leukozyten-d2w2 , Leukozyten-d3 , Leukozyten-d4 , Leukozyten-d4w2 , Leukozyten-d4w3 , Leukozyten-d4w4 , Leukozyten-d5</t>
  </si>
  <si>
    <t>Leukozyten-d1  , Leukozyten-d2 , Leukozyten-d2w2 , Leukozyten-d2w3 , Leukozyten-d3 , Leukozyten-d4 , Leukozyten-d5 , Leukozyten-d5w2 , Leukozyten-d6 , Leukozyten-d6w2 , Leukozyten-d6w3 , Leukozyten-d7</t>
  </si>
  <si>
    <t>GPT-d1 , GPT-m4d6 , GPT-m5d21 , GPT-m5d26 , GPT-m5d29 , GPT-m6d7 , GPT-m6d14 , GPT-m7d16 , GPT-m10d6 , GPT-m11d10 , GPT-m11d30</t>
  </si>
  <si>
    <t>Cholinesterase-d1  , Cholinesterase-d2 , Cholinesterase-d2w2 , Cholinesterase-d2w3 , Cholinesterase-d3 , Cholinesterase-d5 , Cholinesterase-d5w2 , Cholinesterase-d62 , Cholinesterase-d6w2 , Cholinesterase-d6w3</t>
  </si>
  <si>
    <t>Bilirubin-d1  , Bilirubin-d10</t>
  </si>
  <si>
    <t>Bilirubin-d1  , Bilirubin-d22 , Bilirubin-d3 , Bilirubin-d4 , Bilirubin-d4w2 , Bilirubin-d4w3 , Bilirubin-d4w4 , Bilirubin-d5</t>
  </si>
  <si>
    <t>Bilirubin-d1  , Bilirubin-d22 , Bilirubin-d2w2 , Bilirubin-d2w3 , Bilirubin-d3 , Bilirubin-d4 , Bilirubin-d5 , Bilirubin-d5w2 , Bilirubin-d6 , Bilirubin-d6w2 , Bilirubin-d6w3 , Bilirubin-d7</t>
  </si>
  <si>
    <t>Bilirubin-d1  , Bilirubin-d22 , Bilirubin-d3</t>
  </si>
  <si>
    <t>Bilirubin-d1  , Bilirubin-d1w2 , Bilirubin-d22 , Bilirubin-d2w2 , Bilirubin-d2w3 , Bilirubin-d3 , Bilirubin-d4 , Bilirubin-d6</t>
  </si>
  <si>
    <t>Bilirubin-d1  , Bilirubin-m4d6 , Bilirubin-m5d21 , Bilirubin-m5d26 , Bilirubin-m5d29 , Bilirubin-m6d7 , Bilirubin-m6d14 , Bilirubin-m7d16 , Bilirubin-m10d6 , Bilirubin-m11d10 , Bilirubin-m11d30</t>
  </si>
  <si>
    <t>Bilirubin-d22 , Bilirubin-d3 , Bilirubin-d4 , Bilirubin-d7</t>
  </si>
  <si>
    <t>Bilirubin-d1  , Bilirubin-d3</t>
  </si>
  <si>
    <t>Bilirubin-d1  , Bilirubin-d6 , Bilirubin-d14 , Bilirubin-d21 , Bilirubin-d28</t>
  </si>
  <si>
    <t>PTT-d1 (sec) , PTT-d2 , PTT-d2w2 , PTT-d3 , PTT-d4 , PTT-d4w1 , PTT-d4w2 , PTT-d4w3 , PTT-d5</t>
  </si>
  <si>
    <t>CRP-d1  , CRP-d2 , CRP-d3 , CRP-d4 , CRP-d4w2 , CRP-d4w3 , CRP-d4w4 , CRP-d5</t>
  </si>
  <si>
    <t>Triacylglyceride-d2 , Triacylglyceride-d2w2 , Triacylglyceride-d2w3 , Triacylglyceride-d3 , Triacylglyceride-d4 , Triacylglyceride-d5 , Triacylglyceride-d5w2 , Triacylglyceride-d6 , Triacylglyceride-d6w2 , Triacylglyceride-d6w3</t>
  </si>
  <si>
    <t>PTT-d1 (sec) , PTT-d2</t>
  </si>
  <si>
    <t>CRP-d1  , CRP-d2 , CRP-d3 , CRP-d4</t>
  </si>
  <si>
    <t>CRP-d1  , CRP-d2 , CRP-d3</t>
  </si>
  <si>
    <t>PTT-d2 , PTT-d2w2 , PTT-d3</t>
  </si>
  <si>
    <t>Cholesterin-d1 , Cholesterin-m4d6 , Cholesterin-m7d16 , Cholesterin-m10d6 , Cholesterin-m11d10 , Cholesterin-m11d30</t>
  </si>
  <si>
    <t>Triacylglyceride-m4d6 , Triacylglyceride-m7d16 , Triacylglyceride-m10d6 , Triacylglyceride-m11d10 , Triacylglyceride-m11d30</t>
  </si>
  <si>
    <t>CRP-d1  , CRP-d3</t>
  </si>
  <si>
    <t>Cholesterin-d1 , Cholesterin-d3</t>
  </si>
  <si>
    <t>PTT-d27 , PTT-d32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</si>
</sst>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scheme val="minor"/>
    </font>
    <font>
      <b/>
      <sz val="11"/>
      <color theme="1"/>
      <name val="Calibri"/>
      <scheme val="minor"/>
    </font>
    <font>
      <b/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/>
      <bottom/>
      <diagonal/>
    </border>
  </borders>
  <cellStyleXfs count="2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5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6" borderId="0" xfId="0" applyNumberFormat="1" applyFill="1"/>
    <xf numFmtId="9" fontId="0" fillId="0" borderId="0" xfId="0" applyNumberFormat="1"/>
    <xf numFmtId="2" fontId="0" fillId="0" borderId="0" xfId="0" applyNumberFormat="1"/>
    <xf numFmtId="10" fontId="0" fillId="0" borderId="0" xfId="0" applyNumberFormat="1"/>
    <xf numFmtId="14" fontId="0" fillId="0" borderId="0" xfId="0" applyNumberFormat="1"/>
    <xf numFmtId="3" fontId="0" fillId="0" borderId="0" xfId="0" applyNumberFormat="1"/>
    <xf numFmtId="16" fontId="0" fillId="0" borderId="0" xfId="0" applyNumberFormat="1"/>
    <xf numFmtId="17" fontId="0" fillId="0" borderId="0" xfId="0" applyNumberFormat="1"/>
    <xf numFmtId="0" fontId="4" fillId="0" borderId="0" xfId="0" applyFont="1"/>
    <xf numFmtId="0" fontId="5" fillId="0" borderId="0" xfId="0" applyFont="1"/>
    <xf numFmtId="49" fontId="6" fillId="0" borderId="0" xfId="0" applyNumberFormat="1" applyFont="1" applyAlignment="1">
      <alignment wrapText="1"/>
    </xf>
    <xf numFmtId="49" fontId="0" fillId="7" borderId="0" xfId="0" applyNumberFormat="1" applyFill="1"/>
    <xf numFmtId="0" fontId="0" fillId="7" borderId="0" xfId="0" applyFill="1"/>
    <xf numFmtId="0" fontId="5" fillId="7" borderId="0" xfId="0" applyFont="1" applyFill="1"/>
    <xf numFmtId="0" fontId="0" fillId="8" borderId="0" xfId="0" applyFill="1"/>
    <xf numFmtId="0" fontId="0" fillId="0" borderId="0" xfId="0" applyAlignment="1">
      <alignment wrapText="1"/>
    </xf>
    <xf numFmtId="0" fontId="8" fillId="9" borderId="2" xfId="0" applyFont="1" applyFill="1" applyBorder="1"/>
    <xf numFmtId="0" fontId="0" fillId="10" borderId="2" xfId="0" applyFill="1" applyBorder="1"/>
    <xf numFmtId="0" fontId="0" fillId="0" borderId="2" xfId="0" applyBorder="1"/>
    <xf numFmtId="0" fontId="0" fillId="11" borderId="0" xfId="0" applyFill="1"/>
    <xf numFmtId="0" fontId="9" fillId="0" borderId="0" xfId="0" applyFont="1"/>
    <xf numFmtId="0" fontId="0" fillId="0" borderId="0" xfId="0" applyAlignment="1">
      <alignment horizontal="left" vertical="center"/>
    </xf>
    <xf numFmtId="0" fontId="5" fillId="11" borderId="0" xfId="0" applyFont="1" applyFill="1"/>
    <xf numFmtId="0" fontId="10" fillId="11" borderId="0" xfId="0" applyFont="1" applyFill="1" applyAlignment="1">
      <alignment horizontal="center"/>
    </xf>
    <xf numFmtId="0" fontId="0" fillId="10" borderId="1" xfId="0" applyFont="1" applyFill="1" applyBorder="1"/>
    <xf numFmtId="0" fontId="0" fillId="10" borderId="2" xfId="0" applyFont="1" applyFill="1" applyBorder="1"/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12" fillId="11" borderId="0" xfId="0" applyFont="1" applyFill="1" applyAlignment="1">
      <alignment horizontal="center"/>
    </xf>
    <xf numFmtId="0" fontId="0" fillId="10" borderId="4" xfId="0" applyFont="1" applyFill="1" applyBorder="1"/>
    <xf numFmtId="0" fontId="11" fillId="11" borderId="0" xfId="0" applyFont="1" applyFill="1" applyAlignment="1">
      <alignment horizontal="center"/>
    </xf>
    <xf numFmtId="10" fontId="0" fillId="11" borderId="0" xfId="0" applyNumberFormat="1" applyFill="1"/>
    <xf numFmtId="0" fontId="12" fillId="0" borderId="0" xfId="0" applyFont="1"/>
    <xf numFmtId="0" fontId="10" fillId="11" borderId="0" xfId="0" applyFont="1" applyFill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0" fillId="10" borderId="5" xfId="0" applyFont="1" applyFill="1" applyBorder="1"/>
    <xf numFmtId="0" fontId="0" fillId="10" borderId="6" xfId="0" applyFont="1" applyFill="1" applyBorder="1"/>
    <xf numFmtId="0" fontId="0" fillId="11" borderId="6" xfId="0" applyFont="1" applyFill="1" applyBorder="1"/>
    <xf numFmtId="0" fontId="0" fillId="10" borderId="7" xfId="0" applyFont="1" applyFill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9" fontId="0" fillId="10" borderId="6" xfId="0" applyNumberFormat="1" applyFont="1" applyFill="1" applyBorder="1"/>
    <xf numFmtId="10" fontId="0" fillId="0" borderId="6" xfId="0" applyNumberFormat="1" applyFont="1" applyBorder="1"/>
    <xf numFmtId="9" fontId="0" fillId="0" borderId="6" xfId="0" applyNumberFormat="1" applyFont="1" applyBorder="1"/>
    <xf numFmtId="10" fontId="0" fillId="10" borderId="6" xfId="0" applyNumberFormat="1" applyFont="1" applyFill="1" applyBorder="1"/>
    <xf numFmtId="2" fontId="0" fillId="10" borderId="6" xfId="0" applyNumberFormat="1" applyFont="1" applyFill="1" applyBorder="1"/>
    <xf numFmtId="10" fontId="0" fillId="11" borderId="6" xfId="0" applyNumberFormat="1" applyFont="1" applyFill="1" applyBorder="1"/>
    <xf numFmtId="2" fontId="0" fillId="0" borderId="6" xfId="0" applyNumberFormat="1" applyFont="1" applyBorder="1"/>
    <xf numFmtId="0" fontId="0" fillId="11" borderId="2" xfId="0" applyFont="1" applyFill="1" applyBorder="1"/>
    <xf numFmtId="0" fontId="8" fillId="9" borderId="3" xfId="0" applyFont="1" applyFill="1" applyBorder="1"/>
    <xf numFmtId="0" fontId="8" fillId="9" borderId="0" xfId="0" applyFont="1" applyFill="1" applyBorder="1"/>
    <xf numFmtId="0" fontId="8" fillId="7" borderId="0" xfId="0" applyFont="1" applyFill="1" applyBorder="1"/>
    <xf numFmtId="0" fontId="8" fillId="11" borderId="3" xfId="0" applyFont="1" applyFill="1" applyBorder="1"/>
    <xf numFmtId="0" fontId="8" fillId="11" borderId="0" xfId="0" applyFont="1" applyFill="1" applyBorder="1"/>
    <xf numFmtId="0" fontId="8" fillId="7" borderId="3" xfId="0" applyFont="1" applyFill="1" applyBorder="1"/>
    <xf numFmtId="0" fontId="8" fillId="7" borderId="8" xfId="0" applyFont="1" applyFill="1" applyBorder="1"/>
    <xf numFmtId="0" fontId="0" fillId="4" borderId="0" xfId="0" applyFill="1"/>
  </cellXfs>
  <cellStyles count="2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Normal" xfId="0" builtinId="0"/>
  </cellStyles>
  <dxfs count="134"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9" tint="0.79998168889431442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9" tint="0.79998168889431442"/>
        </patternFill>
      </fill>
    </dxf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9" tint="0.79998168889431442"/>
        </patternFill>
      </fill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</dxf>
    <dxf>
      <numFmt numFmtId="0" formatCode="General"/>
    </dxf>
    <dxf>
      <numFmt numFmtId="0" formatCode="General"/>
    </dxf>
    <dxf>
      <font>
        <b/>
      </font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</dxf>
    <dxf>
      <numFmt numFmtId="0" formatCode="General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</dxf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</dxf>
    <dxf>
      <numFmt numFmtId="0" formatCode="General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  <dxf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  <dxf>
      <numFmt numFmtId="0" formatCode="General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queryTables/queryTable1.xml><?xml version="1.0" encoding="utf-8"?>
<queryTable xmlns="http://schemas.openxmlformats.org/spreadsheetml/2006/main" name="ExternalData_1" removeDataOnSave="1" connectionId="9" autoFormatId="16" applyNumberFormats="0" applyBorderFormats="0" applyFontFormats="1" applyPatternFormats="1" applyAlignmentFormats="0" applyWidthHeightFormats="0">
  <queryTableRefresh preserveSortFilterLayout="0" nextId="5">
    <queryTableFields count="4">
      <queryTableField id="1" name="Patienten-ID" tableColumnId="1"/>
      <queryTableField id="2" name="Cretaine Kinase" tableColumnId="2"/>
      <queryTableField id="3" name="Day of Observation" tableColumnId="3"/>
      <queryTableField id="4" name="Total Number of Observations" tableColumnId="4"/>
    </queryTableFields>
  </queryTableRefresh>
</queryTable>
</file>

<file path=xl/queryTables/queryTable2.xml><?xml version="1.0" encoding="utf-8"?>
<queryTable xmlns="http://schemas.openxmlformats.org/spreadsheetml/2006/main" name="ExternalData_1" connectionId="24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Patienten-ID" tableColumnId="1"/>
      <queryTableField id="2" name="Qucik" tableColumnId="2"/>
      <queryTableField id="3" name="Day of Observation" tableColumnId="3"/>
      <queryTableField id="4" name="Total Number of Observations" tableColumnId="4"/>
    </queryTableFields>
  </queryTableRefresh>
</queryTable>
</file>

<file path=xl/queryTables/queryTable3.xml><?xml version="1.0" encoding="utf-8"?>
<queryTable xmlns="http://schemas.openxmlformats.org/spreadsheetml/2006/main" name="ExternalData_1" connectionId="22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Patienten-ID" tableColumnId="1"/>
      <queryTableField id="2" name="PTT" tableColumnId="2"/>
      <queryTableField id="3" name="Day of Observation" tableColumnId="3"/>
      <queryTableField id="4" name="Total Count of Obervations" tableColumnId="4"/>
    </queryTableFields>
  </queryTableRefresh>
</queryTable>
</file>

<file path=xl/queryTables/queryTable4.xml><?xml version="1.0" encoding="utf-8"?>
<queryTable xmlns="http://schemas.openxmlformats.org/spreadsheetml/2006/main" name="ExternalData_1" connectionId="11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Patienten-ID" tableColumnId="1"/>
      <queryTableField id="2" name="Fibrinogen" tableColumnId="2"/>
      <queryTableField id="3" name="Day of Observation" tableColumnId="3"/>
      <queryTableField id="4" name="Total Number of Observations" tableColumnId="4"/>
    </queryTableFields>
  </queryTableRefresh>
</queryTable>
</file>

<file path=xl/queryTables/queryTable5.xml><?xml version="1.0" encoding="utf-8"?>
<queryTable xmlns="http://schemas.openxmlformats.org/spreadsheetml/2006/main" name="ExternalData_1" connectionId="6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Patienten-ID" tableColumnId="1"/>
      <queryTableField id="2" name="AT" tableColumnId="2"/>
      <queryTableField id="3" name="Day of Observation" tableColumnId="3"/>
      <queryTableField id="4" name="Total Number of Observations" tableColumnId="4"/>
    </queryTableFields>
  </queryTableRefresh>
</queryTable>
</file>

<file path=xl/queryTables/queryTable6.xml><?xml version="1.0" encoding="utf-8"?>
<queryTable xmlns="http://schemas.openxmlformats.org/spreadsheetml/2006/main" name="ExternalData_1" connectionId="20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Patienten-ID" tableColumnId="1"/>
      <queryTableField id="2" name="Leukozyten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7.xml><?xml version="1.0" encoding="utf-8"?>
<queryTable xmlns="http://schemas.openxmlformats.org/spreadsheetml/2006/main" name="ExternalData_1" connectionId="14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Patienten-ID" tableColumnId="1"/>
      <queryTableField id="2" name="GOT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8.xml><?xml version="1.0" encoding="utf-8"?>
<queryTable xmlns="http://schemas.openxmlformats.org/spreadsheetml/2006/main" name="ExternalData_1" connectionId="15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Patienten-ID" tableColumnId="1"/>
      <queryTableField id="2" name="GPT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9.xml><?xml version="1.0" encoding="utf-8"?>
<queryTable xmlns="http://schemas.openxmlformats.org/spreadsheetml/2006/main" name="ExternalData_1" connectionId="12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Patienten-ID" tableColumnId="1"/>
      <queryTableField id="2" name="GGT" tableColumnId="2"/>
      <queryTableField id="3" name="Day of Observation" tableColumnId="3"/>
      <queryTableField id="4" name="Total Number of Observations" tableColumnId="4"/>
    </queryTableFields>
  </queryTableRefresh>
</queryTable>
</file>

<file path=xl/queryTables/queryTable10.xml><?xml version="1.0" encoding="utf-8"?>
<queryTable xmlns="http://schemas.openxmlformats.org/spreadsheetml/2006/main" name="ExternalData_1" connectionId="19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Patienten-ID" tableColumnId="1"/>
      <queryTableField id="2" name="LDH" tableColumnId="2"/>
      <queryTableField id="3" name="Day of Observation" tableColumnId="3"/>
      <queryTableField id="4" name="Total Number of Observations" tableColumnId="4"/>
    </queryTableFields>
  </queryTableRefresh>
</queryTable>
</file>

<file path=xl/queryTables/queryTable11.xml><?xml version="1.0" encoding="utf-8"?>
<queryTable xmlns="http://schemas.openxmlformats.org/spreadsheetml/2006/main" name="ExternalData_1" connectionId="7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Patienten-ID" tableColumnId="1"/>
      <queryTableField id="2" name="Bilirubin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12.xml><?xml version="1.0" encoding="utf-8"?>
<queryTable xmlns="http://schemas.openxmlformats.org/spreadsheetml/2006/main" name="ExternalData_1" connectionId="13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Patienten-ID" tableColumnId="1"/>
      <queryTableField id="2" name="GLDH" tableColumnId="2"/>
      <queryTableField id="3" name="Day of Observation" tableColumnId="3"/>
      <queryTableField id="4" name="Total Number of Observations" tableColumnId="4"/>
    </queryTableFields>
  </queryTableRefresh>
</queryTable>
</file>

<file path=xl/queryTables/queryTable13.xml><?xml version="1.0" encoding="utf-8"?>
<queryTable xmlns="http://schemas.openxmlformats.org/spreadsheetml/2006/main" name="ExternalData_1" connectionId="5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Patienten-ID" tableColumnId="1"/>
      <queryTableField id="2" name="AP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14.xml><?xml version="1.0" encoding="utf-8"?>
<queryTable xmlns="http://schemas.openxmlformats.org/spreadsheetml/2006/main" name="ExternalData_1" connectionId="8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Patienten-ID" tableColumnId="1"/>
      <queryTableField id="2" name="CE" tableColumnId="2"/>
      <queryTableField id="3" name="Day of Observation" tableColumnId="3"/>
      <queryTableField id="4" name="Total Number of Observations" tableColumnId="4"/>
    </queryTableFields>
  </queryTableRefresh>
</queryTable>
</file>

<file path=xl/queryTables/queryTable15.xml><?xml version="1.0" encoding="utf-8"?>
<queryTable xmlns="http://schemas.openxmlformats.org/spreadsheetml/2006/main" name="ExternalData_1" connectionId="18" autoFormatId="16" applyNumberFormats="0" applyBorderFormats="0" applyFontFormats="0" applyPatternFormats="0" applyAlignmentFormats="0" applyWidthHeightFormats="0">
  <queryTableRefresh nextId="5">
    <queryTableFields count="4">
      <queryTableField id="1" name="Patienten-ID" tableColumnId="1"/>
      <queryTableField id="2" name="Keratinin" tableColumnId="2"/>
      <queryTableField id="3" name="Day of Observation" tableColumnId="3"/>
      <queryTableField id="4" name="Total Number of Observations" tableColumnId="4"/>
    </queryTableFields>
  </queryTableRefresh>
</queryTable>
</file>

<file path=xl/queryTables/queryTable16.xml><?xml version="1.0" encoding="utf-8"?>
<queryTable xmlns="http://schemas.openxmlformats.org/spreadsheetml/2006/main" name="ExternalData_1" connectionId="17" autoFormatId="16" applyNumberFormats="0" applyBorderFormats="0" applyFontFormats="0" applyPatternFormats="0" applyAlignmentFormats="0" applyWidthHeightFormats="0">
  <queryTableRefresh nextId="5">
    <queryTableFields count="4">
      <queryTableField id="1" name="Patienten-ID" tableColumnId="1"/>
      <queryTableField id="2" name="INR" tableColumnId="2"/>
      <queryTableField id="3" name="Day of Observations" tableColumnId="3"/>
      <queryTableField id="4" name="Total Number of Observation" tableColumnId="4"/>
    </queryTableFields>
  </queryTableRefresh>
</queryTable>
</file>

<file path=xl/queryTables/queryTable17.xml><?xml version="1.0" encoding="utf-8"?>
<queryTable xmlns="http://schemas.openxmlformats.org/spreadsheetml/2006/main" name="ExternalData_1" connectionId="4" autoFormatId="16" applyNumberFormats="0" applyBorderFormats="0" applyFontFormats="0" applyPatternFormats="0" applyAlignmentFormats="0" applyWidthHeightFormats="0">
  <queryTableRefresh nextId="5">
    <queryTableFields count="4">
      <queryTableField id="1" name="Patienten-ID" tableColumnId="1"/>
      <queryTableField id="2" name="Amy" tableColumnId="2"/>
      <queryTableField id="3" name="Day of Observation" tableColumnId="3"/>
      <queryTableField id="4" name="Total Number of Observations" tableColumnId="4"/>
    </queryTableFields>
  </queryTableRefresh>
</queryTable>
</file>

<file path=xl/queryTables/queryTable18.xml><?xml version="1.0" encoding="utf-8"?>
<queryTable xmlns="http://schemas.openxmlformats.org/spreadsheetml/2006/main" name="ExternalData_1" connectionId="21" autoFormatId="16" applyNumberFormats="0" applyBorderFormats="0" applyFontFormats="0" applyPatternFormats="0" applyAlignmentFormats="0" applyWidthHeightFormats="0">
  <queryTableRefresh nextId="5">
    <queryTableFields count="4">
      <queryTableField id="1" name="Patienten-ID" tableColumnId="1"/>
      <queryTableField id="2" name="Lipase" tableColumnId="2"/>
      <queryTableField id="3" name="Day of Observations" tableColumnId="3"/>
      <queryTableField id="4" name="Total Number of Observation" tableColumnId="4"/>
    </queryTableFields>
  </queryTableRefresh>
</queryTable>
</file>

<file path=xl/queryTables/queryTable19.xml><?xml version="1.0" encoding="utf-8"?>
<queryTable xmlns="http://schemas.openxmlformats.org/spreadsheetml/2006/main" name="ExternalData_1" connectionId="10" autoFormatId="16" applyNumberFormats="0" applyBorderFormats="0" applyFontFormats="0" applyPatternFormats="0" applyAlignmentFormats="0" applyWidthHeightFormats="0">
  <queryTableRefresh nextId="5">
    <queryTableFields count="4">
      <queryTableField id="1" name="Patienten-ID" tableColumnId="1"/>
      <queryTableField id="2" name="CRP" tableColumnId="2"/>
      <queryTableField id="3" name="Day of Observation" tableColumnId="3"/>
      <queryTableField id="4" name="Total Number of Observations" tableColumnId="4"/>
    </queryTableFields>
  </queryTableRefresh>
</queryTable>
</file>

<file path=xl/queryTables/queryTable20.xml><?xml version="1.0" encoding="utf-8"?>
<queryTable xmlns="http://schemas.openxmlformats.org/spreadsheetml/2006/main" name="ExternalData_1" connectionId="16" autoFormatId="16" applyNumberFormats="0" applyBorderFormats="0" applyFontFormats="0" applyPatternFormats="0" applyAlignmentFormats="0" applyWidthHeightFormats="0">
  <queryTableRefresh nextId="5">
    <queryTableFields count="4">
      <queryTableField id="1" name="Patienten-ID" tableColumnId="1"/>
      <queryTableField id="2" name="Harnstoff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21.xml><?xml version="1.0" encoding="utf-8"?>
<queryTable xmlns="http://schemas.openxmlformats.org/spreadsheetml/2006/main" name="ExternalData_1" connectionId="25" autoFormatId="16" applyNumberFormats="0" applyBorderFormats="0" applyFontFormats="0" applyPatternFormats="0" applyAlignmentFormats="0" applyWidthHeightFormats="0">
  <queryTableRefresh nextId="5">
    <queryTableFields count="4">
      <queryTableField id="1" name="Patienten-ID" tableColumnId="1"/>
      <queryTableField id="2" name="Thrombozyten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22.xml><?xml version="1.0" encoding="utf-8"?>
<queryTable xmlns="http://schemas.openxmlformats.org/spreadsheetml/2006/main" name="ExternalData_1" connectionId="2" autoFormatId="16" applyNumberFormats="0" applyBorderFormats="0" applyFontFormats="0" applyPatternFormats="0" applyAlignmentFormats="0" applyWidthHeightFormats="0">
  <queryTableRefresh nextId="5">
    <queryTableFields count="4">
      <queryTableField id="1" name="Patienten-ID" tableColumnId="1"/>
      <queryTableField id="2" name="Albumin" tableColumnId="2"/>
      <queryTableField id="3" name="Day of Observation" tableColumnId="3"/>
      <queryTableField id="4" name="Total Number of Obervations" tableColumnId="4"/>
    </queryTableFields>
  </queryTableRefresh>
</queryTable>
</file>

<file path=xl/queryTables/queryTable23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5">
    <queryTableFields count="4">
      <queryTableField id="1" name="Patienten-ID" tableColumnId="1"/>
      <queryTableField id="2" name="ABHCTAG" tableColumnId="2"/>
      <queryTableField id="3" name="Day of Observation" tableColumnId="3"/>
      <queryTableField id="4" name="Total Number of Observations" tableColumnId="4"/>
    </queryTableFields>
  </queryTableRefresh>
</queryTable>
</file>

<file path=xl/queryTables/queryTable24.xml><?xml version="1.0" encoding="utf-8"?>
<queryTable xmlns="http://schemas.openxmlformats.org/spreadsheetml/2006/main" name="ExternalData_1" connectionId="23" autoFormatId="16" applyNumberFormats="0" applyBorderFormats="0" applyFontFormats="0" applyPatternFormats="0" applyAlignmentFormats="0" applyWidthHeightFormats="0">
  <queryTableRefresh nextId="5">
    <queryTableFields count="4">
      <queryTableField id="1" name="Patienten-ID" tableColumnId="1"/>
      <queryTableField id="2" name="PTZLAKTATNH3" tableColumnId="2"/>
      <queryTableField id="3" name="Day of Observation" tableColumnId="3"/>
      <queryTableField id="4" name="Total Number of Observations" tableColumnId="4"/>
    </queryTableFields>
  </queryTableRefresh>
</queryTable>
</file>

<file path=xl/queryTables/queryTable25.xml><?xml version="1.0" encoding="utf-8"?>
<queryTable xmlns="http://schemas.openxmlformats.org/spreadsheetml/2006/main" name="ExternalData_1" connectionId="3" autoFormatId="16" applyNumberFormats="0" applyBorderFormats="0" applyFontFormats="0" applyPatternFormats="0" applyAlignmentFormats="0" applyWidthHeightFormats="0">
  <queryTableRefresh nextId="5">
    <queryTableFields count="4">
      <queryTableField id="1" name="Patienten-ID" tableColumnId="1"/>
      <queryTableField id="2" name="Parameter" tableColumnId="2"/>
      <queryTableField id="3" name="Day of Observation" tableColumnId="3"/>
      <queryTableField id="4" name="Total Number of Observations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3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3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4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4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4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4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4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5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table1.xml><?xml version="1.0" encoding="utf-8"?>
<table xmlns="http://schemas.openxmlformats.org/spreadsheetml/2006/main" id="1" name="Table1" displayName="Table1" ref="A1:AB153" totalsRowShown="0">
  <autoFilter ref="A1:AB153"/>
  <tableColumns count="28">
    <tableColumn id="1" name="Patienten-ID"/>
    <tableColumn id="2" name="Ck-d1 "/>
    <tableColumn id="3" name="Ck-d2"/>
    <tableColumn id="4" name="Ck-d2w2"/>
    <tableColumn id="5" name="Ck-d2w3"/>
    <tableColumn id="6" name="Ck-d3"/>
    <tableColumn id="7" name="Ck-d4"/>
    <tableColumn id="8" name="Ck-d4w2"/>
    <tableColumn id="9" name="Ck-d4w3"/>
    <tableColumn id="10" name="Ck-d4w4"/>
    <tableColumn id="11" name="Ck-d5"/>
    <tableColumn id="12" name="Ck-d5w2"/>
    <tableColumn id="13" name="Ck-d6"/>
    <tableColumn id="14" name="Ck-d6w2"/>
    <tableColumn id="15" name="Ck-d6w3"/>
    <tableColumn id="16" name="Ck-d7"/>
    <tableColumn id="17" name="Ck-d8"/>
    <tableColumn id="18" name="Ck-d10"/>
    <tableColumn id="19" name="Ck-d13"/>
    <tableColumn id="20" name="Ck-d14"/>
    <tableColumn id="21" name="Ck-d15"/>
    <tableColumn id="22" name="Ck-d19"/>
    <tableColumn id="23" name="Ck-d20"/>
    <tableColumn id="24" name="Ck-d21"/>
    <tableColumn id="25" name="Ck-d23"/>
    <tableColumn id="26" name="Ck-d28"/>
    <tableColumn id="27" name="Ck-m20d28"/>
    <tableColumn id="28" name="Ck-m21/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CK_Observations" displayName="CK_Observations" ref="A1:D20" tableType="queryTable" totalsRowShown="0" headerRowDxfId="133">
  <autoFilter ref="A1:D20"/>
  <sortState ref="A2:D20">
    <sortCondition ref="C1:C20"/>
  </sortState>
  <tableColumns count="4">
    <tableColumn id="1" uniqueName="1" name="Patienten-ID" queryTableFieldId="1"/>
    <tableColumn id="2" uniqueName="2" name="Cretaine Kinase" queryTableFieldId="2"/>
    <tableColumn id="3" uniqueName="3" name="Day of Observation" queryTableFieldId="3"/>
    <tableColumn id="4" uniqueName="4" name="Total Number of Observations" queryTableFieldId="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AA153" totalsRowShown="0">
  <autoFilter ref="A1:AA153"/>
  <tableColumns count="27">
    <tableColumn id="1" name="Patienten-ID"/>
    <tableColumn id="2" name="Quick-d1 "/>
    <tableColumn id="3" name="Quick-d1w2"/>
    <tableColumn id="4" name="Quick-d2 "/>
    <tableColumn id="5" name="Quick-d2w2"/>
    <tableColumn id="6" name="Quick-d3"/>
    <tableColumn id="7" name="Quick-d4"/>
    <tableColumn id="8" name="Quick-d4w2"/>
    <tableColumn id="9" name="Quick-d4w3"/>
    <tableColumn id="10" name="Quick-d5"/>
    <tableColumn id="11" name="Quick-d6"/>
    <tableColumn id="12" name="Quick-d7"/>
    <tableColumn id="13" name="Quick-d8"/>
    <tableColumn id="14" name="Quick-d9"/>
    <tableColumn id="15" name="Quick-d11"/>
    <tableColumn id="16" name="Quick-d12"/>
    <tableColumn id="17" name="Quick-d13"/>
    <tableColumn id="18" name="Quick-d14"/>
    <tableColumn id="19" name="Quick-d15"/>
    <tableColumn id="20" name="Quick-d18"/>
    <tableColumn id="21" name="Quick-d20"/>
    <tableColumn id="22" name="Quick-23"/>
    <tableColumn id="23" name="Quick-25"/>
    <tableColumn id="24" name="Quick-d27"/>
    <tableColumn id="25" name="Quick-29"/>
    <tableColumn id="26" name="Quick-d32"/>
    <tableColumn id="27" name="Quick-m20d2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Quick" displayName="Quick" ref="A1:D34" tableType="queryTable" totalsRowShown="0" headerRowDxfId="132">
  <autoFilter ref="A1:D34"/>
  <tableColumns count="4">
    <tableColumn id="1" uniqueName="1" name="Patienten-ID" queryTableFieldId="1"/>
    <tableColumn id="2" uniqueName="2" name="Qucik" queryTableFieldId="2"/>
    <tableColumn id="3" uniqueName="3" name="Day of Observation" queryTableFieldId="3"/>
    <tableColumn id="4" uniqueName="4" name="Total Number of Observations" queryTableFieldId="4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AC153" totalsRowShown="0" headerRowDxfId="131">
  <autoFilter ref="A1:AC153"/>
  <tableColumns count="29">
    <tableColumn id="1" name="Patienten-ID"/>
    <tableColumn id="2" name="PTT-d1 (sec)" dataDxfId="130"/>
    <tableColumn id="3" name="PTT-d1w2" dataDxfId="129"/>
    <tableColumn id="4" name="PTT-d2" dataDxfId="128"/>
    <tableColumn id="5" name="PTT-d2w2" dataDxfId="127"/>
    <tableColumn id="6" name="PTT-d3" dataDxfId="126"/>
    <tableColumn id="7" name="PTT-d4" dataDxfId="125"/>
    <tableColumn id="8" name="PTT-d4w1" dataDxfId="124"/>
    <tableColumn id="9" name="PTT-d4w2" dataDxfId="123"/>
    <tableColumn id="10" name="PTT-d4w3" dataDxfId="122"/>
    <tableColumn id="11" name="PTT-d5" dataDxfId="121"/>
    <tableColumn id="12" name="PTT-d6" dataDxfId="120"/>
    <tableColumn id="13" name="PTT-d7" dataDxfId="119"/>
    <tableColumn id="14" name="PTT-d8" dataDxfId="118"/>
    <tableColumn id="15" name="PTT-d9" dataDxfId="117"/>
    <tableColumn id="16" name="PTT-d10" dataDxfId="116"/>
    <tableColumn id="17" name="PTT-d11" dataDxfId="115"/>
    <tableColumn id="18" name="PTT-d12" dataDxfId="114"/>
    <tableColumn id="19" name="PTT-d13" dataDxfId="113"/>
    <tableColumn id="20" name="PTT-d14" dataDxfId="112"/>
    <tableColumn id="21" name="PTT-d15" dataDxfId="111"/>
    <tableColumn id="22" name="PTT-d18" dataDxfId="110"/>
    <tableColumn id="23" name="PTT-d20" dataDxfId="109"/>
    <tableColumn id="24" name="PTT-d23" dataDxfId="108"/>
    <tableColumn id="25" name="PTT-d25" dataDxfId="107"/>
    <tableColumn id="26" name="PTT-d27" dataDxfId="106"/>
    <tableColumn id="27" name="PTT-d29" dataDxfId="105"/>
    <tableColumn id="28" name="PTT-d32" dataDxfId="104"/>
    <tableColumn id="29" name="PTT-m20d28" dataDxfId="103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PTT" displayName="PTT" ref="A1:D25" tableType="queryTable" totalsRowShown="0" headerRowDxfId="102">
  <autoFilter ref="A1:D25"/>
  <tableColumns count="4">
    <tableColumn id="1" uniqueName="1" name="Patienten-ID" queryTableFieldId="1"/>
    <tableColumn id="2" uniqueName="2" name="PTT" queryTableFieldId="2"/>
    <tableColumn id="3" uniqueName="3" name="Day of Observation" queryTableFieldId="3"/>
    <tableColumn id="4" uniqueName="4" name="Total Count of Obervations" queryTableFieldId="4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N153" totalsRowShown="0">
  <autoFilter ref="A1:N153"/>
  <tableColumns count="14">
    <tableColumn id="1" name="Patienten-ID"/>
    <tableColumn id="2" name="TZ-d1"/>
    <tableColumn id="3" name="Fibrinogen-d1"/>
    <tableColumn id="4" name="Fibrinogen-d2"/>
    <tableColumn id="5" name="Fibrinogen-d3"/>
    <tableColumn id="6" name="Fibrinogen-d4"/>
    <tableColumn id="7" name="Fibrinogen-d4w1"/>
    <tableColumn id="8" name="Fibrinogen-d4w2"/>
    <tableColumn id="9" name="Fibrinogen-d5"/>
    <tableColumn id="10" name="Fibrinogen-d7"/>
    <tableColumn id="11" name="Fibrinogen-d8"/>
    <tableColumn id="12" name="Fibrinogen-d12"/>
    <tableColumn id="13" name="Fibrinogen-d13"/>
    <tableColumn id="14" name="Fibrinogen-d1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Fibrinogen" displayName="Fibrinogen" ref="A1:D12" tableType="queryTable" totalsRowShown="0" headerRowDxfId="101">
  <autoFilter ref="A1:D12"/>
  <tableColumns count="4">
    <tableColumn id="1" uniqueName="1" name="Patienten-ID" queryTableFieldId="1"/>
    <tableColumn id="2" uniqueName="2" name="Fibrinogen" queryTableFieldId="2"/>
    <tableColumn id="3" uniqueName="3" name="Day of Observation" queryTableFieldId="3"/>
    <tableColumn id="4" uniqueName="4" name="Total Number of Observations" queryTableFieldId="4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M154" totalsRowShown="0">
  <autoFilter ref="A1:M154"/>
  <tableColumns count="13">
    <tableColumn id="1" name="Patienten-ID"/>
    <tableColumn id="2" name="AT III -d1"/>
    <tableColumn id="3" name="Column1"/>
    <tableColumn id="4" name="Column2"/>
    <tableColumn id="5" name="AT III-d1w2"/>
    <tableColumn id="6" name="ATIII-d2"/>
    <tableColumn id="7" name="ATIII-d3"/>
    <tableColumn id="8" name="ATII-d5"/>
    <tableColumn id="9" name="ATIII-d6"/>
    <tableColumn id="10" name="AT III-d7"/>
    <tableColumn id="11" name="At III-d13"/>
    <tableColumn id="12" name="AT III-d32"/>
    <tableColumn id="13" name="AT III-d33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0" name="AT_Table" displayName="AT_Table" ref="A1:D10" tableType="queryTable" totalsRowShown="0" headerRowDxfId="100">
  <autoFilter ref="A1:D10"/>
  <tableColumns count="4">
    <tableColumn id="1" uniqueName="1" name="Patienten-ID" queryTableFieldId="1"/>
    <tableColumn id="2" uniqueName="2" name="AT" queryTableFieldId="2"/>
    <tableColumn id="3" uniqueName="3" name="Day of Observation" queryTableFieldId="3"/>
    <tableColumn id="4" uniqueName="4" name="Total Number of Observations" queryTableFieldId="4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AC153" totalsRowShown="0">
  <autoFilter ref="A1:AC153"/>
  <tableColumns count="29">
    <tableColumn id="1" name="Patienten-ID"/>
    <tableColumn id="2" name="Leukozyten-d1 "/>
    <tableColumn id="3" name="Leukozyten-d1w2"/>
    <tableColumn id="4" name="Leukozyten-d2"/>
    <tableColumn id="5" name="Leukozyten-d2w2"/>
    <tableColumn id="6" name="Leukozyten-d2w3"/>
    <tableColumn id="7" name="Leukozyten-d3"/>
    <tableColumn id="8" name="Leukozyten-d3w2"/>
    <tableColumn id="9" name="Leukozyten-d4"/>
    <tableColumn id="10" name="Leukozyten-d4w2"/>
    <tableColumn id="11" name="Leukozyten-d4w3"/>
    <tableColumn id="12" name="Leukozyten-d4w4"/>
    <tableColumn id="13" name="Leukozyten-d5"/>
    <tableColumn id="14" name="Leukozyten-d5w2"/>
    <tableColumn id="15" name="Leukozyten-d6"/>
    <tableColumn id="16" name="Leukozyten-d6w2"/>
    <tableColumn id="17" name="Leukozyten-d6w3"/>
    <tableColumn id="18" name="Leukozyten-d7"/>
    <tableColumn id="19" name="Leukozyten-d8"/>
    <tableColumn id="20" name="Leukozyten-d9"/>
    <tableColumn id="21" name="Leukozyten-d11"/>
    <tableColumn id="22" name="Leukozyten-d12"/>
    <tableColumn id="23" name="Leukozyten-d13"/>
    <tableColumn id="24" name="Leukozyten-d14"/>
    <tableColumn id="25" name="Leukozyten-d15"/>
    <tableColumn id="26" name="Leukozyten-d16"/>
    <tableColumn id="27" name="Leukozyten-d17"/>
    <tableColumn id="28" name="Leukozyten-d19"/>
    <tableColumn id="29" name="Leukozyten-d2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Leukozyten" displayName="Leukozyten" ref="A1:D39" tableType="queryTable" totalsRowShown="0" headerRowDxfId="99">
  <autoFilter ref="A1:D39"/>
  <sortState ref="A2:D39">
    <sortCondition descending="1" ref="D1:D39"/>
  </sortState>
  <tableColumns count="4">
    <tableColumn id="1" uniqueName="1" name="Patienten-ID" queryTableFieldId="1"/>
    <tableColumn id="2" uniqueName="2" name="Leukozyten" queryTableFieldId="2"/>
    <tableColumn id="3" uniqueName="3" name="Day of Observations" queryTableFieldId="3"/>
    <tableColumn id="4" uniqueName="4" name="Total Number of Observations" queryTableFieldId="4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1:BP153" totalsRowShown="0">
  <autoFilter ref="A1:BP153"/>
  <tableColumns count="68">
    <tableColumn id="1" name="Patienten-ID"/>
    <tableColumn id="2" name="GOT-d1 "/>
    <tableColumn id="3" name="GOT-d1w2"/>
    <tableColumn id="4" name="GOT-d1w3"/>
    <tableColumn id="5" name="GOT-d1w4"/>
    <tableColumn id="6" name="GOT-d2"/>
    <tableColumn id="7" name="GOT-d2w2"/>
    <tableColumn id="8" name="GOT-d2w3"/>
    <tableColumn id="9" name="GOT-d3"/>
    <tableColumn id="10" name="GOT-d4"/>
    <tableColumn id="11" name="GOT-d4w2"/>
    <tableColumn id="12" name="GOT-d4w3"/>
    <tableColumn id="13" name="GOT-d4w4"/>
    <tableColumn id="14" name="GOT-d5"/>
    <tableColumn id="15" name="GOT-d5w2"/>
    <tableColumn id="16" name="GOT-d6"/>
    <tableColumn id="17" name="GOT-d6w2"/>
    <tableColumn id="18" name="GOT-d6w3"/>
    <tableColumn id="19" name="GOT-d7"/>
    <tableColumn id="20" name="GOT-d8"/>
    <tableColumn id="21" name="GOT-d9"/>
    <tableColumn id="22" name="GOT-d10"/>
    <tableColumn id="23" name="GOT-d11"/>
    <tableColumn id="24" name="GOT-d12"/>
    <tableColumn id="25" name="GOT-d13"/>
    <tableColumn id="26" name="GOT-d14"/>
    <tableColumn id="27" name="GOT-d15"/>
    <tableColumn id="28" name="GOT-d16"/>
    <tableColumn id="29" name="GOT-d17"/>
    <tableColumn id="30" name="GOT-d18"/>
    <tableColumn id="31" name="GOT-d19"/>
    <tableColumn id="32" name="GOT-d20"/>
    <tableColumn id="33" name="GOT-d21"/>
    <tableColumn id="34" name="GOT-d23"/>
    <tableColumn id="35" name="GOT-d25"/>
    <tableColumn id="36" name="GOT-d26"/>
    <tableColumn id="37" name="GOT-d27"/>
    <tableColumn id="38" name="GOT-d28"/>
    <tableColumn id="39" name="GOT-d29"/>
    <tableColumn id="40" name="GOT-d31"/>
    <tableColumn id="41" name="GOT-d32"/>
    <tableColumn id="42" name="Got-d33"/>
    <tableColumn id="43" name="GOT-d35"/>
    <tableColumn id="44" name="GOT-d36"/>
    <tableColumn id="45" name="GOT-d37"/>
    <tableColumn id="46" name="GOT-d38"/>
    <tableColumn id="47" name="GOT-d39"/>
    <tableColumn id="48" name="GOT-Missing day"/>
    <tableColumn id="49" name="GOT-d40"/>
    <tableColumn id="50" name="GOT-d42"/>
    <tableColumn id="51" name="GOT-d54"/>
    <tableColumn id="52" name="GOT-m2d2"/>
    <tableColumn id="53" name="GOT-m4d6"/>
    <tableColumn id="54" name="GOT-m5d21"/>
    <tableColumn id="55" name="GOT-m5d26"/>
    <tableColumn id="56" name="GOT-m5d29"/>
    <tableColumn id="57" name="GOT-m6d7"/>
    <tableColumn id="58" name="GOT-m6d4"/>
    <tableColumn id="59" name="GOT-m7d6"/>
    <tableColumn id="60" name="GOT-m10d6"/>
    <tableColumn id="61" name="GOT-m11d10"/>
    <tableColumn id="62" name="GOT-m11d30"/>
    <tableColumn id="63" name="GOT-m20d28"/>
    <tableColumn id="64" name="GOT-m21d1"/>
    <tableColumn id="65" name="GOT-m21d2"/>
    <tableColumn id="66" name="GOT-m21/d5"/>
    <tableColumn id="67" name="GOT-m21/d9"/>
    <tableColumn id="68" name="GOT-Therapie end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GOT" displayName="GOT" ref="A1:D75" tableType="queryTable" totalsRowShown="0" headerRowDxfId="98">
  <autoFilter ref="A1:D75"/>
  <tableColumns count="4">
    <tableColumn id="1" uniqueName="1" name="Patienten-ID" queryTableFieldId="1"/>
    <tableColumn id="2" uniqueName="2" name="GOT" queryTableFieldId="2"/>
    <tableColumn id="3" uniqueName="3" name="Day of Observations" queryTableFieldId="3"/>
    <tableColumn id="4" uniqueName="4" name="Total Number of Observations" queryTableFieldId="4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id="15" name="Table15" displayName="Table15" ref="A1:BN154" totalsRowShown="0">
  <autoFilter ref="A1:BN154"/>
  <tableColumns count="66">
    <tableColumn id="1" name="Patienten-ID"/>
    <tableColumn id="2" name="GPT-d1"/>
    <tableColumn id="3" name="GPT-d1w2"/>
    <tableColumn id="4" name="GPT-d1w3"/>
    <tableColumn id="5" name="GPT-d2"/>
    <tableColumn id="6" name="GPT-d2w2"/>
    <tableColumn id="7" name="GPT-d2w3"/>
    <tableColumn id="8" name="GPT-d3"/>
    <tableColumn id="9" name="GPT-d4"/>
    <tableColumn id="10" name="GPT-d4w2"/>
    <tableColumn id="11" name="GPT-d4w3"/>
    <tableColumn id="12" name="GPT-d4w4"/>
    <tableColumn id="13" name="GPT-d5"/>
    <tableColumn id="14" name="GPT-d5w2"/>
    <tableColumn id="15" name="GPT-d6"/>
    <tableColumn id="16" name="GPT-d6w2"/>
    <tableColumn id="17" name="GPT-d6w3"/>
    <tableColumn id="18" name="GPT-d7"/>
    <tableColumn id="19" name="GPT-d8"/>
    <tableColumn id="20" name="GPT-d9"/>
    <tableColumn id="21" name="GPT-d10"/>
    <tableColumn id="22" name="GPT-d11"/>
    <tableColumn id="23" name="GPT-d12"/>
    <tableColumn id="24" name="GPT-d13"/>
    <tableColumn id="25" name="GPT-d14"/>
    <tableColumn id="26" name="GPT-d15"/>
    <tableColumn id="27" name="GPT-d16"/>
    <tableColumn id="28" name="GPT-d17"/>
    <tableColumn id="29" name="GPT-d18"/>
    <tableColumn id="30" name="GPT-d19"/>
    <tableColumn id="31" name="GPT-d20"/>
    <tableColumn id="32" name="GPT-d21"/>
    <tableColumn id="33" name="GPT-d23"/>
    <tableColumn id="34" name="GPT-d25"/>
    <tableColumn id="35" name="GPT-d26"/>
    <tableColumn id="36" name="GPT-d27"/>
    <tableColumn id="37" name="GPT-d28"/>
    <tableColumn id="38" name="GPT-d29"/>
    <tableColumn id="39" name="GPT-d31"/>
    <tableColumn id="40" name="GPT-d32"/>
    <tableColumn id="41" name="GPT-d33"/>
    <tableColumn id="42" name="GPT-d35"/>
    <tableColumn id="43" name="GPT-d36"/>
    <tableColumn id="44" name="GPT-d37"/>
    <tableColumn id="45" name="GPT-d38"/>
    <tableColumn id="46" name="GPT-d39"/>
    <tableColumn id="47" name="GPT-d40"/>
    <tableColumn id="48" name="GPT-d42"/>
    <tableColumn id="49" name="GPT-d54"/>
    <tableColumn id="50" name="GPT-m2d2"/>
    <tableColumn id="51" name="GPT-m4d6"/>
    <tableColumn id="52" name="GPT-m5d21"/>
    <tableColumn id="53" name="GPT-m5d26"/>
    <tableColumn id="54" name="GPT-m5d29"/>
    <tableColumn id="55" name="GPT-m6d7"/>
    <tableColumn id="56" name="GPT-m6d14"/>
    <tableColumn id="57" name="GPT-m7d16"/>
    <tableColumn id="58" name="GPT-m10d6"/>
    <tableColumn id="59" name="GPT-m11d10"/>
    <tableColumn id="60" name="GPT-m11d30"/>
    <tableColumn id="61" name="GPT-m20d28"/>
    <tableColumn id="62" name="GPT-m21/d1"/>
    <tableColumn id="63" name="GPT-m21d2"/>
    <tableColumn id="64" name="GPT-m21d5"/>
    <tableColumn id="65" name="GPT-m21d9"/>
    <tableColumn id="66" name="GPT-Therapie end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GPT" displayName="GPT" ref="A1:D76" tableType="queryTable" totalsRowShown="0" headerRowDxfId="97">
  <autoFilter ref="A1:D76"/>
  <sortState ref="A2:D76">
    <sortCondition descending="1" ref="D1:D76"/>
  </sortState>
  <tableColumns count="4">
    <tableColumn id="1" uniqueName="1" name="Patienten-ID" queryTableFieldId="1"/>
    <tableColumn id="2" uniqueName="2" name="GPT" queryTableFieldId="2"/>
    <tableColumn id="3" uniqueName="3" name="Day of Observations" queryTableFieldId="3"/>
    <tableColumn id="4" uniqueName="4" name="Total Number of Observations" queryTableFieldId="4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id="17" name="Table17" displayName="Table17" ref="A1:BM154" totalsRowShown="0">
  <autoFilter ref="A1:BM154"/>
  <tableColumns count="65">
    <tableColumn id="1" name="Patienten-ID"/>
    <tableColumn id="2" name="GGT-d1 "/>
    <tableColumn id="3" name="GGT-d1w2"/>
    <tableColumn id="4" name="GGT-d2"/>
    <tableColumn id="5" name="GGT-d2w2"/>
    <tableColumn id="6" name="GGT-d3"/>
    <tableColumn id="7" name="GGT-d4"/>
    <tableColumn id="8" name="GGT-d4w2"/>
    <tableColumn id="9" name="GGT-d4w3"/>
    <tableColumn id="10" name="GGT-d4w4"/>
    <tableColumn id="11" name="GGT-d5"/>
    <tableColumn id="12" name="GGT-d5w2"/>
    <tableColumn id="13" name="GGT-d6"/>
    <tableColumn id="14" name="GGT-d6w2"/>
    <tableColumn id="15" name="GGT-d6w3"/>
    <tableColumn id="16" name="GGT-d7"/>
    <tableColumn id="17" name="GGT-d8"/>
    <tableColumn id="18" name="GGT-d9"/>
    <tableColumn id="19" name="GGT-d10"/>
    <tableColumn id="20" name="GGT-d11"/>
    <tableColumn id="21" name="GGT-d12"/>
    <tableColumn id="22" name="GGT-d13"/>
    <tableColumn id="23" name="GGT-d14"/>
    <tableColumn id="24" name="GGT-d15"/>
    <tableColumn id="25" name="GGT-d16"/>
    <tableColumn id="26" name="GGT-d17"/>
    <tableColumn id="27" name="GGT-d18"/>
    <tableColumn id="28" name="GGT-d19"/>
    <tableColumn id="29" name="GGT-d20"/>
    <tableColumn id="30" name="GGT-d21"/>
    <tableColumn id="31" name="GGT-d23"/>
    <tableColumn id="32" name="GGT-d25"/>
    <tableColumn id="33" name="GGT-d26"/>
    <tableColumn id="34" name="GGT-d27"/>
    <tableColumn id="35" name="GGT-d28"/>
    <tableColumn id="36" name="GGT-d29"/>
    <tableColumn id="37" name="GGT-d31"/>
    <tableColumn id="38" name="GGT-d32"/>
    <tableColumn id="39" name="GGT-d33"/>
    <tableColumn id="40" name="GGT-d35"/>
    <tableColumn id="41" name="GGT-d36"/>
    <tableColumn id="42" name="GGT-d37"/>
    <tableColumn id="43" name="GGT-d38"/>
    <tableColumn id="44" name="GGT-d39"/>
    <tableColumn id="45" name="GGT-d40"/>
    <tableColumn id="46" name="GGT-d42"/>
    <tableColumn id="47" name="GGT-d54"/>
    <tableColumn id="48" name="GGT-m2d2"/>
    <tableColumn id="49" name="GGT-m4d6"/>
    <tableColumn id="50" name="GGT-m5d21"/>
    <tableColumn id="51" name="GGT-m5d26"/>
    <tableColumn id="52" name="GGT-m5d29"/>
    <tableColumn id="53" name="GGT-m6d7"/>
    <tableColumn id="54" name="GGT-m6d14"/>
    <tableColumn id="55" name="GGT-m7d16"/>
    <tableColumn id="56" name="GGT-m10d6"/>
    <tableColumn id="57" name="GGT-m11d10"/>
    <tableColumn id="58" name="GGT-m11d30"/>
    <tableColumn id="59" name="GGT-m7"/>
    <tableColumn id="60" name="GGT-m20d28"/>
    <tableColumn id="61" name="GGT-m21d1"/>
    <tableColumn id="62" name="GGT-m21d2"/>
    <tableColumn id="63" name="GGT-m21d5"/>
    <tableColumn id="64" name="GGT-m21d9"/>
    <tableColumn id="65" name="GGT-Therapieend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GGT" displayName="GGT" ref="A1:D67" tableType="queryTable" totalsRowShown="0" headerRowDxfId="96">
  <autoFilter ref="A1:D67"/>
  <tableColumns count="4">
    <tableColumn id="1" uniqueName="1" name="Patienten-ID" queryTableFieldId="1"/>
    <tableColumn id="2" uniqueName="2" name="GGT" queryTableFieldId="2"/>
    <tableColumn id="3" uniqueName="3" name="Day of Observation" queryTableFieldId="3"/>
    <tableColumn id="4" uniqueName="4" name="Total Number of Observations" queryTableFieldId="4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id="19" name="Table19" displayName="Table19" ref="A1:AQ154" totalsRowShown="0">
  <autoFilter ref="A1:AQ154"/>
  <tableColumns count="43">
    <tableColumn id="1" name="Patienten-ID"/>
    <tableColumn id="2" name="LDH-d1 "/>
    <tableColumn id="3" name="LDH-d1w2"/>
    <tableColumn id="4" name="LDH-d1w3"/>
    <tableColumn id="5" name="LDH-d2"/>
    <tableColumn id="6" name="LDH-d2w2"/>
    <tableColumn id="7" name="LDH-d2w3"/>
    <tableColumn id="8" name="LDH-d3"/>
    <tableColumn id="9" name="LDH-d4"/>
    <tableColumn id="10" name="LDH-d4w2"/>
    <tableColumn id="11" name="LDH-d4w3"/>
    <tableColumn id="12" name="LDH-d4w4"/>
    <tableColumn id="13" name="LDH-d5"/>
    <tableColumn id="14" name="LDH-d5w2"/>
    <tableColumn id="15" name="LDH-d6"/>
    <tableColumn id="16" name="LDH-d6w2"/>
    <tableColumn id="17" name="LDH-d6w3"/>
    <tableColumn id="18" name="LDH-d7"/>
    <tableColumn id="19" name="LDH-d8"/>
    <tableColumn id="20" name="LDH-d11"/>
    <tableColumn id="21" name="LDH-d13"/>
    <tableColumn id="22" name="LDH-d14"/>
    <tableColumn id="23" name="LDH-d15"/>
    <tableColumn id="24" name="LDH-d16"/>
    <tableColumn id="25" name="LDH-d17"/>
    <tableColumn id="26" name="LDH-d18"/>
    <tableColumn id="27" name="LDH-d19"/>
    <tableColumn id="28" name="LDH-d20"/>
    <tableColumn id="29" name="LDH-d21"/>
    <tableColumn id="30" name="LDH-23"/>
    <tableColumn id="31" name="LDH-25"/>
    <tableColumn id="32" name="LDH-d27"/>
    <tableColumn id="33" name="LDH-d28"/>
    <tableColumn id="34" name="LDH-d29"/>
    <tableColumn id="35" name="LDH-d32"/>
    <tableColumn id="36" name="LDH-d33"/>
    <tableColumn id="37" name="LDH-d35"/>
    <tableColumn id="38" name="LDH-d38"/>
    <tableColumn id="39" name="LDH-d39"/>
    <tableColumn id="40" name="LDH-d40"/>
    <tableColumn id="41" name="LDH-m20d28"/>
    <tableColumn id="42" name="LDH-m21d2"/>
    <tableColumn id="43" name="LDH-m21d9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LDH" displayName="LDH" ref="A1:D44" tableType="queryTable" totalsRowShown="0" headerRowDxfId="95">
  <autoFilter ref="A1:D44"/>
  <sortState ref="A2:D44">
    <sortCondition descending="1" ref="D1:D44"/>
  </sortState>
  <tableColumns count="4">
    <tableColumn id="1" uniqueName="1" name="Patienten-ID" queryTableFieldId="1"/>
    <tableColumn id="2" uniqueName="2" name="LDH" queryTableFieldId="2"/>
    <tableColumn id="3" uniqueName="3" name="Day of Observation" queryTableFieldId="3"/>
    <tableColumn id="4" uniqueName="4" name="Total Number of Observations" queryTableFieldId="4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id="21" name="Table21" displayName="Table21" ref="A1:BG154" totalsRowShown="0">
  <autoFilter ref="A1:BG154"/>
  <tableColumns count="59">
    <tableColumn id="1" name="Patienten-ID"/>
    <tableColumn id="2" name="Bilirubin-d1 "/>
    <tableColumn id="3" name="Bilirubin-d2"/>
    <tableColumn id="4" name="Bilirubin-d1w2"/>
    <tableColumn id="5" name="Bilirubin-d22"/>
    <tableColumn id="6" name="Bilirubin-d2w2"/>
    <tableColumn id="7" name="Bilirubin-d2w3"/>
    <tableColumn id="8" name="Bilirubin-d3"/>
    <tableColumn id="9" name="Bilirubin-d3w2"/>
    <tableColumn id="10" name="Bilirubin-d4"/>
    <tableColumn id="11" name="Bilirubin-d4w2"/>
    <tableColumn id="12" name="Bilirubin-d4w3"/>
    <tableColumn id="13" name="Bilirubin-d4w4"/>
    <tableColumn id="14" name="Bilirubin-d5"/>
    <tableColumn id="15" name="Bilirubin-d5w2"/>
    <tableColumn id="16" name="Bilirubin-d6"/>
    <tableColumn id="17" name="Bilirubin-d6w2"/>
    <tableColumn id="18" name="Bilirubin-d6w3"/>
    <tableColumn id="19" name="Bilirubin-d7"/>
    <tableColumn id="20" name="Bilirubin-d8"/>
    <tableColumn id="21" name="Bilirubin-d9"/>
    <tableColumn id="22" name="Bilirubin-d10"/>
    <tableColumn id="23" name="Bilirubin-d11"/>
    <tableColumn id="24" name="Bilirubin-d12"/>
    <tableColumn id="25" name="Bilirubin-d13"/>
    <tableColumn id="26" name="Bilirubin-d14"/>
    <tableColumn id="27" name="Bilirubin-d15"/>
    <tableColumn id="28" name="Bilirubin-d16"/>
    <tableColumn id="29" name="Bilirubin-d17"/>
    <tableColumn id="30" name="Bilirubin-d18"/>
    <tableColumn id="31" name="Bilirubin-d19"/>
    <tableColumn id="32" name="Bilirubin-d20"/>
    <tableColumn id="33" name="Bilirubin-d21"/>
    <tableColumn id="34" name="Bilirubin-d23"/>
    <tableColumn id="35" name="Bilirubin-25"/>
    <tableColumn id="36" name="Bilirubin-d27"/>
    <tableColumn id="37" name="Bilirubin-d28"/>
    <tableColumn id="38" name="Bilirubin-d31"/>
    <tableColumn id="39" name="Bilirubin-d32"/>
    <tableColumn id="40" name="Bilirubin-d35"/>
    <tableColumn id="41" name="Bilirubin-d37"/>
    <tableColumn id="42" name="Bilirubin-d38"/>
    <tableColumn id="43" name="Bilirubin-d39"/>
    <tableColumn id="44" name="Bilirubin-d40"/>
    <tableColumn id="45" name="Bilirubin-d42"/>
    <tableColumn id="46" name="Bilirubin-m4d6"/>
    <tableColumn id="47" name="Bilirubin-m5d21"/>
    <tableColumn id="48" name="Bilirubin-m5d26"/>
    <tableColumn id="49" name="Bilirubin-m5d29"/>
    <tableColumn id="50" name="Bilirubin-m6d7"/>
    <tableColumn id="51" name="Bilirubin-m6d14"/>
    <tableColumn id="52" name="Bilirubin-m7d16"/>
    <tableColumn id="53" name="Bilirubin-m10d6"/>
    <tableColumn id="54" name="Bilirubin-m11d10"/>
    <tableColumn id="55" name="Bilirubin-m11d30"/>
    <tableColumn id="56" name="Bilirubin-m7"/>
    <tableColumn id="57" name="Bilirubin-m21d1"/>
    <tableColumn id="58" name="Bilirubin-m21d2"/>
    <tableColumn id="59" name="Bilirubin-m21d5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Bilirubin" displayName="Bilirubin" ref="A1:D45" tableType="queryTable" totalsRowShown="0" headerRowDxfId="94">
  <autoFilter ref="A1:D45"/>
  <sortState ref="A2:D45">
    <sortCondition descending="1" ref="D1:D45"/>
  </sortState>
  <tableColumns count="4">
    <tableColumn id="1" uniqueName="1" name="Patienten-ID" queryTableFieldId="1" dataDxfId="93"/>
    <tableColumn id="2" uniqueName="2" name="Bilirubin" queryTableFieldId="2"/>
    <tableColumn id="3" uniqueName="3" name="Day of Observations" queryTableFieldId="3"/>
    <tableColumn id="4" uniqueName="4" name="Total Number of Observations" queryTableFieldId="4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id="23" name="Table23" displayName="Table23" ref="A1:Q154" totalsRowShown="0">
  <autoFilter ref="A1:Q154"/>
  <tableColumns count="17">
    <tableColumn id="1" name="Patienten-ID"/>
    <tableColumn id="2" name="GLDH-d1 "/>
    <tableColumn id="3" name="GLDH-d1w2"/>
    <tableColumn id="4" name="GLDH-d1w3"/>
    <tableColumn id="5" name="GLDH-d2"/>
    <tableColumn id="6" name="GLDH-d2w2"/>
    <tableColumn id="7" name="GLDH-d3"/>
    <tableColumn id="8" name="GLDH-d4"/>
    <tableColumn id="9" name="GLDH-d6"/>
    <tableColumn id="10" name="GLDH-d13"/>
    <tableColumn id="11" name="GLDH-d14"/>
    <tableColumn id="12" name="GLDH-m6d7"/>
    <tableColumn id="13" name="GLDH-m6d14"/>
    <tableColumn id="14" name="GLDH-m7d16"/>
    <tableColumn id="15" name="GLDH-m11d10"/>
    <tableColumn id="16" name="GLDH-m11d30"/>
    <tableColumn id="17" name="GLDH- Verlauf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GLDH" displayName="GLDH" ref="A1:D11" tableType="queryTable" totalsRowShown="0">
  <autoFilter ref="A1:D11"/>
  <tableColumns count="4">
    <tableColumn id="1" uniqueName="1" name="Patienten-ID" queryTableFieldId="1"/>
    <tableColumn id="2" uniqueName="2" name="GLDH" queryTableFieldId="2"/>
    <tableColumn id="3" uniqueName="3" name="Day of Observation" queryTableFieldId="3"/>
    <tableColumn id="4" uniqueName="4" name="Total Number of Observations" queryTableFieldId="4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id="25" name="Table25" displayName="Table25" ref="A1:BJ154" totalsRowShown="0" tableBorderDxfId="92">
  <autoFilter ref="A1:BJ154"/>
  <tableColumns count="62">
    <tableColumn id="1" name="Patienten-ID" dataDxfId="91"/>
    <tableColumn id="2" name="AP-d1 "/>
    <tableColumn id="3" name="AP-d1w2"/>
    <tableColumn id="4" name="AP-d1w3"/>
    <tableColumn id="5" name="AP-d2"/>
    <tableColumn id="6" name="AP-d2w2"/>
    <tableColumn id="7" name="AP-d2w3"/>
    <tableColumn id="8" name="AP-d3"/>
    <tableColumn id="9" name="AP-d4"/>
    <tableColumn id="10" name="AP-d4w2"/>
    <tableColumn id="11" name="AP-d4w3"/>
    <tableColumn id="12" name="AP-d4w4"/>
    <tableColumn id="13" name="AP-d5"/>
    <tableColumn id="14" name="AP-d5w2"/>
    <tableColumn id="15" name="AP-d6"/>
    <tableColumn id="16" name="AP-d6w2"/>
    <tableColumn id="17" name="AP-d6w3"/>
    <tableColumn id="18" name="AP-d7"/>
    <tableColumn id="19" name="AP-d8"/>
    <tableColumn id="20" name="AP-d9"/>
    <tableColumn id="21" name="AP-d10"/>
    <tableColumn id="22" name="AP-d11"/>
    <tableColumn id="23" name="AP-d12"/>
    <tableColumn id="24" name="AP-d13"/>
    <tableColumn id="25" name="AP-d14"/>
    <tableColumn id="26" name="AP-d15"/>
    <tableColumn id="27" name="AP-d16"/>
    <tableColumn id="28" name="AP-d17"/>
    <tableColumn id="29" name="AP-d18"/>
    <tableColumn id="30" name="AP-d19"/>
    <tableColumn id="31" name="AP-d20"/>
    <tableColumn id="32" name="AP-d21"/>
    <tableColumn id="33" name="AP-d22"/>
    <tableColumn id="34" name="AP-d23"/>
    <tableColumn id="35" name="AP-d25"/>
    <tableColumn id="36" name="AP-d27"/>
    <tableColumn id="37" name="AP-d28"/>
    <tableColumn id="38" name="AP-d29"/>
    <tableColumn id="39" name="AP-d30"/>
    <tableColumn id="40" name="AP-d31"/>
    <tableColumn id="41" name="AP-d32"/>
    <tableColumn id="42" name="AP-d35"/>
    <tableColumn id="43" name="AP-d36"/>
    <tableColumn id="44" name="AP-d38"/>
    <tableColumn id="45" name="AP-d39"/>
    <tableColumn id="46" name="AP-d40"/>
    <tableColumn id="47" name="AP-m2d2"/>
    <tableColumn id="48" name="AP-m5d21"/>
    <tableColumn id="49" name="AP-m5d26"/>
    <tableColumn id="50" name="AP-m5d29"/>
    <tableColumn id="51" name="AP-m6d7"/>
    <tableColumn id="52" name="AP-m6d14"/>
    <tableColumn id="53" name="AP-m7d16"/>
    <tableColumn id="54" name="AP-m10d6"/>
    <tableColumn id="55" name="AP-m11d10"/>
    <tableColumn id="56" name="AP-m11d30"/>
    <tableColumn id="57" name="AP-m20d28"/>
    <tableColumn id="58" name="AP-m21d1"/>
    <tableColumn id="59" name="AP-m21d2"/>
    <tableColumn id="60" name="AP-m21d5"/>
    <tableColumn id="61" name="AP-m21d9"/>
    <tableColumn id="62" name="AP-Therapie end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AP" displayName="AP" ref="A1:D42" tableType="queryTable" totalsRowShown="0" headerRowDxfId="89">
  <autoFilter ref="A1:D42"/>
  <sortState ref="A2:D43">
    <sortCondition descending="1" ref="D1:D43"/>
  </sortState>
  <tableColumns count="4">
    <tableColumn id="1" uniqueName="1" name="Patienten-ID" queryTableFieldId="1"/>
    <tableColumn id="2" uniqueName="2" name="AP" queryTableFieldId="2"/>
    <tableColumn id="3" uniqueName="3" name="Day of Observations" queryTableFieldId="3" dataDxfId="88"/>
    <tableColumn id="4" uniqueName="4" name="Total Number of Observations" queryTableFieldId="4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id="27" name="Table27" displayName="Table27" ref="A1:AE154" totalsRowShown="0" tableBorderDxfId="87">
  <autoFilter ref="A1:AE154"/>
  <tableColumns count="31">
    <tableColumn id="1" name="Patienten-ID" dataDxfId="86"/>
    <tableColumn id="2" name="Cholinesterase-d1 "/>
    <tableColumn id="3" name="Cholinesterase-d1w2"/>
    <tableColumn id="4" name="Cholinesterase-d2"/>
    <tableColumn id="5" name="Cholinesterase-d2w2"/>
    <tableColumn id="6" name="Cholinesterase-d2w3"/>
    <tableColumn id="7" name="Cholinesterase-d3"/>
    <tableColumn id="8" name="Cholinesterase-d4"/>
    <tableColumn id="9" name="Cholinesterase-d5"/>
    <tableColumn id="10" name="Cholinesterase-d6"/>
    <tableColumn id="11" name="Cholinesterase-d5w2"/>
    <tableColumn id="12" name="Cholinesterase-d62"/>
    <tableColumn id="13" name="Cholinesterase-d6w2"/>
    <tableColumn id="14" name="Cholinesterase-d6w3"/>
    <tableColumn id="15" name="Cholinesterase-d7"/>
    <tableColumn id="16" name="Cholinesterase-d9"/>
    <tableColumn id="17" name="Cholinesterase-d11"/>
    <tableColumn id="18" name="Cholinesterase-d13"/>
    <tableColumn id="19" name="Cholinesterase-d15"/>
    <tableColumn id="20" name="Cholinesterase-d18"/>
    <tableColumn id="21" name="Cholinesterase-19"/>
    <tableColumn id="22" name="Cholinesterase-d20"/>
    <tableColumn id="23" name="Cholinesterase-d23"/>
    <tableColumn id="24" name="Cholinesterase-25"/>
    <tableColumn id="25" name="Cholinesterase-29"/>
    <tableColumn id="26" name="Cholinesterase-m5d26"/>
    <tableColumn id="27" name="Cholinesterase-m6d7"/>
    <tableColumn id="28" name="Cholinesterase-m6d14"/>
    <tableColumn id="29" name="Cholinesterase-m7d16"/>
    <tableColumn id="30" name="Cholinesterase-m10d6"/>
    <tableColumn id="31" name="Cholinesterase-m11d30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Choline_estrase" displayName="Choline_estrase" ref="A1:D16" tableType="queryTable" totalsRowShown="0">
  <autoFilter ref="A1:D16"/>
  <sortState ref="A2:D16">
    <sortCondition descending="1" ref="D1:D16"/>
  </sortState>
  <tableColumns count="4">
    <tableColumn id="1" uniqueName="1" name="Patienten-ID" queryTableFieldId="1"/>
    <tableColumn id="2" uniqueName="2" name="CE" queryTableFieldId="2"/>
    <tableColumn id="3" uniqueName="3" name="Day of Observation" queryTableFieldId="3"/>
    <tableColumn id="4" uniqueName="4" name="Total Number of Observations" queryTableFieldId="4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id="29" name="Table29" displayName="Table29" ref="A1:AC154" totalsRowShown="0" headerRowDxfId="85">
  <autoFilter ref="A1:AC154"/>
  <tableColumns count="29">
    <tableColumn id="1" name="Patienten-ID" dataDxfId="84"/>
    <tableColumn id="2" name="Kreatinin-d1 "/>
    <tableColumn id="3" name="Kreatinin-d1w2"/>
    <tableColumn id="4" name="Kreatinin-d2"/>
    <tableColumn id="5" name="Kreatinin-d2w2"/>
    <tableColumn id="6" name="Kreatinin-d2w3"/>
    <tableColumn id="7" name="Kreatinin-d3"/>
    <tableColumn id="8" name="Kreatinin-d4"/>
    <tableColumn id="9" name="Kreatinin-d4w2"/>
    <tableColumn id="10" name="Kreatinin-d4w3"/>
    <tableColumn id="11" name="Kreatinin-d4w4"/>
    <tableColumn id="12" name="Kreatinin-d5"/>
    <tableColumn id="13" name="Kreatinin-d5w2"/>
    <tableColumn id="14" name="Kreatinin-d6"/>
    <tableColumn id="15" name="Kreatinin-d6w2"/>
    <tableColumn id="16" name="Kreatinin-d6w3"/>
    <tableColumn id="17" name="Kreatinin-d7"/>
    <tableColumn id="18" name="Kreatinin-d8"/>
    <tableColumn id="19" name="Kreatinin-d9"/>
    <tableColumn id="20" name="Kreatinin-d11"/>
    <tableColumn id="21" name="Kreatinin-d13"/>
    <tableColumn id="22" name="Kreatinin-d14"/>
    <tableColumn id="23" name="Kreatinin-d19"/>
    <tableColumn id="24" name="Kreatinin-d21"/>
    <tableColumn id="25" name="Kreatinin-d27"/>
    <tableColumn id="26" name="Kreatinin-d32"/>
    <tableColumn id="27" name="Kreatinin-d33"/>
    <tableColumn id="28" name="Kreatinin-d40"/>
    <tableColumn id="29" name="Kreatinin-m20d28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id="30" name="Table_Keratinin" displayName="Table_Keratinin" ref="A1:D49" tableType="queryTable" totalsRowShown="0" headerRowDxfId="82">
  <autoFilter ref="A1:D49"/>
  <sortState ref="A2:D49">
    <sortCondition descending="1" ref="D1:D49"/>
  </sortState>
  <tableColumns count="4">
    <tableColumn id="1" uniqueName="1" name="Patienten-ID" queryTableFieldId="1"/>
    <tableColumn id="2" uniqueName="2" name="Keratinin" queryTableFieldId="2" dataDxfId="81"/>
    <tableColumn id="3" uniqueName="3" name="Day of Observation" queryTableFieldId="3"/>
    <tableColumn id="4" uniqueName="4" name="Total Number of Observations" queryTableFieldId="4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id="31" name="Table31" displayName="Table31" ref="A1:U154" totalsRowShown="0" headerRowDxfId="80">
  <autoFilter ref="A1:U154"/>
  <tableColumns count="21">
    <tableColumn id="1" name="Patienten-ID" dataDxfId="79"/>
    <tableColumn id="2" name="INR-d1 "/>
    <tableColumn id="3" name="INR-d1w2"/>
    <tableColumn id="4" name="INR-d2"/>
    <tableColumn id="5" name="INR-d2w2"/>
    <tableColumn id="6" name="INR-d3"/>
    <tableColumn id="7" name="INR-d4"/>
    <tableColumn id="8" name="INR-d4w2"/>
    <tableColumn id="9" name="INR-d4w3"/>
    <tableColumn id="10" name="INR-d4w4"/>
    <tableColumn id="11" name="INR-d5"/>
    <tableColumn id="12" name="INR-d6"/>
    <tableColumn id="13" name="INR-d7"/>
    <tableColumn id="14" name="INR-d9"/>
    <tableColumn id="15" name="INR-d10"/>
    <tableColumn id="16" name="INR-d12"/>
    <tableColumn id="17" name="INR-d13"/>
    <tableColumn id="18" name="INR-d14"/>
    <tableColumn id="19" name="INR-d15"/>
    <tableColumn id="20" name="INR-d20"/>
    <tableColumn id="21" name="INR-d38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id="32" name="Table_INR" displayName="Table_INR" ref="A1:D17" tableType="queryTable" totalsRowShown="0" headerRowDxfId="77">
  <autoFilter ref="A1:D17"/>
  <sortState ref="A2:D17">
    <sortCondition descending="1" ref="D1:D17"/>
  </sortState>
  <tableColumns count="4">
    <tableColumn id="1" uniqueName="1" name="Patienten-ID" queryTableFieldId="1" dataDxfId="76"/>
    <tableColumn id="2" uniqueName="2" name="INR" queryTableFieldId="2" dataDxfId="75"/>
    <tableColumn id="3" uniqueName="3" name="Day of Observations" queryTableFieldId="3"/>
    <tableColumn id="4" uniqueName="4" name="Total Number of Observation" queryTableFieldId="4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id="33" name="Table33" displayName="Table33" ref="A1:V154" totalsRowShown="0" headerRowDxfId="74">
  <autoFilter ref="A1:V154"/>
  <tableColumns count="22">
    <tableColumn id="1" name="Patienten-ID" dataDxfId="73"/>
    <tableColumn id="2" name="Amylase-d1"/>
    <tableColumn id="3" name="Amylase-d2"/>
    <tableColumn id="4" name="Amylase-d2w2"/>
    <tableColumn id="5" name="Amylase-d2w3"/>
    <tableColumn id="6" name="Amylase-d3"/>
    <tableColumn id="7" name="Amylase-d4"/>
    <tableColumn id="8" name="Amylase-d4w2"/>
    <tableColumn id="9" name="Amylase-d4w3"/>
    <tableColumn id="10" name="Amylase-d4w4"/>
    <tableColumn id="11" name="Amylase-d5"/>
    <tableColumn id="12" name="Amylase-d5w2"/>
    <tableColumn id="13" name="Amylase-d6"/>
    <tableColumn id="14" name="Amylase-d6w2"/>
    <tableColumn id="15" name="Amylase-d6w3"/>
    <tableColumn id="16" name="Amylase-d7"/>
    <tableColumn id="17" name="Amylase-d9"/>
    <tableColumn id="18" name="Amylase-d12"/>
    <tableColumn id="19" name="Amylase-d14"/>
    <tableColumn id="20" name="Amylase-d20"/>
    <tableColumn id="21" name="Amylase-d28"/>
    <tableColumn id="22" name="Amylase-d37"/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id="34" name="Table_Amylase" displayName="Table_Amylase" ref="A1:D16" tableType="queryTable" totalsRowShown="0" headerRowDxfId="72">
  <autoFilter ref="A1:D16"/>
  <tableColumns count="4">
    <tableColumn id="1" uniqueName="1" name="Patienten-ID" queryTableFieldId="1"/>
    <tableColumn id="2" uniqueName="2" name="Amy" queryTableFieldId="2" dataDxfId="71"/>
    <tableColumn id="3" uniqueName="3" name="Day of Observation" queryTableFieldId="3"/>
    <tableColumn id="4" uniqueName="4" name="Total Number of Observations" queryTableFieldId="4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id="35" name="Table35" displayName="Table35" ref="A1:T154" totalsRowShown="0" headerRowDxfId="70">
  <autoFilter ref="A1:T154"/>
  <tableColumns count="20">
    <tableColumn id="1" name="Patienten-ID" dataDxfId="69"/>
    <tableColumn id="2" name="Lipase-d1  "/>
    <tableColumn id="3" name="Lipase-d1w2"/>
    <tableColumn id="4" name="Lipase-d2"/>
    <tableColumn id="5" name="Lipase-d2w2"/>
    <tableColumn id="6" name="Lipase-d2w3"/>
    <tableColumn id="7" name="Lipase-d3"/>
    <tableColumn id="8" name="Lipase-d4"/>
    <tableColumn id="9" name="Lipase-d4w2"/>
    <tableColumn id="10" name="Lipase-d4w3"/>
    <tableColumn id="11" name="Lipase-d4w5"/>
    <tableColumn id="12" name="Lipase-d5"/>
    <tableColumn id="13" name="Lipase-d5w2"/>
    <tableColumn id="14" name="Lipase-d6"/>
    <tableColumn id="15" name="Lipase-d6w2"/>
    <tableColumn id="16" name="Lipase-d6w3"/>
    <tableColumn id="17" name="Lipase-d7"/>
    <tableColumn id="18" name="Lipase-d14"/>
    <tableColumn id="19" name="Lipase-d20"/>
    <tableColumn id="20" name="Lipase-d28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id="36" name="Table_Lipase" displayName="Table_Lipase" ref="A1:D17" tableType="queryTable" totalsRowShown="0" headerRowDxfId="68">
  <autoFilter ref="A1:D17"/>
  <tableColumns count="4">
    <tableColumn id="1" uniqueName="1" name="Patienten-ID" queryTableFieldId="1" dataDxfId="67"/>
    <tableColumn id="2" uniqueName="2" name="Lipase" queryTableFieldId="2" dataDxfId="66"/>
    <tableColumn id="3" uniqueName="3" name="Day of Observations" queryTableFieldId="3"/>
    <tableColumn id="4" uniqueName="4" name="Total Number of Observation" queryTableFieldId="4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id="37" name="Table37" displayName="Table37" ref="A1:T154" totalsRowShown="0" headerRowDxfId="65">
  <autoFilter ref="A1:T154"/>
  <tableColumns count="20">
    <tableColumn id="1" name="Patienten-ID" dataDxfId="64"/>
    <tableColumn id="2" name="CRP-d1 "/>
    <tableColumn id="3" name="CRP-d1w2"/>
    <tableColumn id="4" name="CRP-d2"/>
    <tableColumn id="5" name="CRP-d3"/>
    <tableColumn id="6" name="CRP-d4"/>
    <tableColumn id="7" name="CRP-d4w2"/>
    <tableColumn id="8" name="CRP-d4w3"/>
    <tableColumn id="9" name="CRP-d4w4"/>
    <tableColumn id="10" name="CRP-d5"/>
    <tableColumn id="11" name="CRP-d6"/>
    <tableColumn id="12" name="CRP-d7"/>
    <tableColumn id="13" name="CRP-d8"/>
    <tableColumn id="14" name="CRP-d9"/>
    <tableColumn id="15" name="CRP-d13"/>
    <tableColumn id="16" name="CRP-d14"/>
    <tableColumn id="17" name="CRP-d16"/>
    <tableColumn id="18" name="CRP-m20d28"/>
    <tableColumn id="19" name="CRP-m21d1"/>
    <tableColumn id="20" name="CRP-m21d2"/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id="38" name="Table_CRP" displayName="Table_CRP" ref="A1:D29" tableType="queryTable" totalsRowShown="0" headerRowDxfId="62">
  <autoFilter ref="A1:D29"/>
  <sortState ref="A2:D29">
    <sortCondition descending="1" ref="D1:D29"/>
  </sortState>
  <tableColumns count="4">
    <tableColumn id="1" uniqueName="1" name="Patienten-ID" queryTableFieldId="1"/>
    <tableColumn id="2" uniqueName="2" name="CRP" queryTableFieldId="2" dataDxfId="61"/>
    <tableColumn id="3" uniqueName="3" name="Day of Observation" queryTableFieldId="3"/>
    <tableColumn id="4" uniqueName="4" name="Total Number of Observations" queryTableFieldId="4"/>
  </tableColumns>
  <tableStyleInfo showFirstColumn="0" showLastColumn="0" showRowStripes="1" showColumnStripes="0"/>
</table>
</file>

<file path=xl/tables/table39.xml><?xml version="1.0" encoding="utf-8"?>
<table xmlns="http://schemas.openxmlformats.org/spreadsheetml/2006/main" id="39" name="Table39" displayName="Table39" ref="A1:V154" totalsRowShown="0">
  <autoFilter ref="A1:V154"/>
  <tableColumns count="22">
    <tableColumn id="1" name="Patienten-ID"/>
    <tableColumn id="2" name="Harnstoff-d1 "/>
    <tableColumn id="3" name="Harnstoff-d2"/>
    <tableColumn id="4" name="Harnstoff-d2w2"/>
    <tableColumn id="5" name="Harnstoff-d2w3"/>
    <tableColumn id="6" name="Harnstoff-d3"/>
    <tableColumn id="7" name="Harnstoff-d4"/>
    <tableColumn id="8" name="Harnstoff-d4w2"/>
    <tableColumn id="9" name="Harnstoff-d4w3"/>
    <tableColumn id="10" name="Harnstoff-d4w4"/>
    <tableColumn id="11" name="Harnstoff-d5"/>
    <tableColumn id="12" name="Harnstoff-d5w2"/>
    <tableColumn id="13" name="Harnstoff-d6"/>
    <tableColumn id="14" name="Harnstoff-d6w2"/>
    <tableColumn id="15" name="Harnstoff-d6w3"/>
    <tableColumn id="16" name="Harnstoff-d7"/>
    <tableColumn id="17" name="Harnstoff-d11"/>
    <tableColumn id="18" name="Harnstoff-d13"/>
    <tableColumn id="19" name="Harnstoff-d14"/>
    <tableColumn id="20" name="Harnstoff-d21"/>
    <tableColumn id="21" name="Harnstoff-d27"/>
    <tableColumn id="22" name="Harnstoff-d28"/>
  </tableColumns>
  <tableStyleInfo showFirstColumn="0" showLastColumn="0" showRowStripes="1" showColumnStripes="0"/>
</table>
</file>

<file path=xl/tables/table40.xml><?xml version="1.0" encoding="utf-8"?>
<table xmlns="http://schemas.openxmlformats.org/spreadsheetml/2006/main" id="40" name="Table_Harnstoff" displayName="Table_Harnstoff" ref="A1:D20" tableType="queryTable" totalsRowShown="0" headerRowDxfId="60">
  <autoFilter ref="A1:D20"/>
  <sortState ref="A2:D20">
    <sortCondition descending="1" ref="D1:D20"/>
  </sortState>
  <tableColumns count="4">
    <tableColumn id="1" uniqueName="1" name="Patienten-ID" queryTableFieldId="1"/>
    <tableColumn id="2" uniqueName="2" name="Harnstoff" queryTableFieldId="2" dataDxfId="59"/>
    <tableColumn id="3" uniqueName="3" name="Day of Observations" queryTableFieldId="3"/>
    <tableColumn id="4" uniqueName="4" name="Total Number of Observations" queryTableFieldId="4"/>
  </tableColumns>
  <tableStyleInfo showFirstColumn="0" showLastColumn="0" showRowStripes="1" showColumnStripes="0"/>
</table>
</file>

<file path=xl/tables/table41.xml><?xml version="1.0" encoding="utf-8"?>
<table xmlns="http://schemas.openxmlformats.org/spreadsheetml/2006/main" id="41" name="Table41" displayName="Table41" ref="A1:W154" totalsRowShown="0">
  <autoFilter ref="A1:W154"/>
  <tableColumns count="23">
    <tableColumn id="1" name="Patienten-ID"/>
    <tableColumn id="2" name="Thrombozyten-d1"/>
    <tableColumn id="3" name="Thrombozyten-d1w2"/>
    <tableColumn id="4" name="Thrombozyten-d2"/>
    <tableColumn id="5" name="Thrombozyten-d2w2"/>
    <tableColumn id="6" name="Thrombozyten-d2w3"/>
    <tableColumn id="7" name="Thrombozyten-d3"/>
    <tableColumn id="8" name="Thrombozyten-d3w2"/>
    <tableColumn id="9" name="Thrombozyten-d4"/>
    <tableColumn id="10" name="Thrombozyten-d5"/>
    <tableColumn id="11" name="Thrombozyten-d5w2"/>
    <tableColumn id="12" name="Thrombozyten-d6"/>
    <tableColumn id="13" name="Thrombozyten-d6w2"/>
    <tableColumn id="14" name="Thrombozyten-d6w3"/>
    <tableColumn id="15" name="Thrombozyten-d7"/>
    <tableColumn id="16" name="Thrombozyten-d8"/>
    <tableColumn id="17" name="Thrombozyten-d9"/>
    <tableColumn id="18" name="Thrombozyten-d12"/>
    <tableColumn id="19" name="Thrombozyten-d13"/>
    <tableColumn id="20" name="Thrombozyten-d14"/>
    <tableColumn id="21" name="Thrombozyten-d15"/>
    <tableColumn id="22" name="Thrombozyten-d17"/>
    <tableColumn id="23" name="Thrombozyten-d20"/>
  </tableColumns>
  <tableStyleInfo showFirstColumn="0" showLastColumn="0" showRowStripes="1" showColumnStripes="0"/>
</table>
</file>

<file path=xl/tables/table42.xml><?xml version="1.0" encoding="utf-8"?>
<table xmlns="http://schemas.openxmlformats.org/spreadsheetml/2006/main" id="42" name="Table_Thrombozyten" displayName="Table_Thrombozyten" ref="A1:D24" tableType="queryTable" totalsRowShown="0" headerRowDxfId="56">
  <autoFilter ref="A1:D24"/>
  <sortState ref="A2:D24">
    <sortCondition descending="1" ref="D1:D24"/>
  </sortState>
  <tableColumns count="4">
    <tableColumn id="1" uniqueName="1" name="Patienten-ID" queryTableFieldId="1"/>
    <tableColumn id="2" uniqueName="2" name="Thrombozyten" queryTableFieldId="2" dataDxfId="55"/>
    <tableColumn id="3" uniqueName="3" name="Day of Observations" queryTableFieldId="3"/>
    <tableColumn id="4" uniqueName="4" name="Total Number of Observations" queryTableFieldId="4"/>
  </tableColumns>
  <tableStyleInfo showFirstColumn="0" showLastColumn="0" showRowStripes="1" showColumnStripes="0"/>
</table>
</file>

<file path=xl/tables/table43.xml><?xml version="1.0" encoding="utf-8"?>
<table xmlns="http://schemas.openxmlformats.org/spreadsheetml/2006/main" id="43" name="Table43" displayName="Table43" ref="A1:N154" totalsRowShown="0" headerRowDxfId="54">
  <autoFilter ref="A1:N154"/>
  <tableColumns count="14">
    <tableColumn id="1" name="Patienten-ID"/>
    <tableColumn id="2" name="PLT-d1 "/>
    <tableColumn id="3" name="BSG-d1 "/>
    <tableColumn id="4" name="Monozyten "/>
    <tableColumn id="5" name="Eosinophile Granuloyzten "/>
    <tableColumn id="6" name="Albumin-d1 "/>
    <tableColumn id="7" name="Albumin-d1w2"/>
    <tableColumn id="8" name="Albumin-d2"/>
    <tableColumn id="9" name="Albumin-d3"/>
    <tableColumn id="10" name="Albumin-d4"/>
    <tableColumn id="11" name="Albumin-d4w2"/>
    <tableColumn id="12" name="Albumin-d4w3"/>
    <tableColumn id="13" name="Albumin-d13"/>
    <tableColumn id="14" name="Albumin-d14"/>
  </tableColumns>
  <tableStyleInfo showFirstColumn="0" showLastColumn="0" showRowStripes="1" showColumnStripes="0"/>
</table>
</file>

<file path=xl/tables/table44.xml><?xml version="1.0" encoding="utf-8"?>
<table xmlns="http://schemas.openxmlformats.org/spreadsheetml/2006/main" id="44" name="Table_Albumin" displayName="Table_Albumin" ref="A1:D13" tableType="queryTable" totalsRowShown="0" headerRowDxfId="52">
  <autoFilter ref="A1:D13"/>
  <sortState ref="A2:D13">
    <sortCondition descending="1" ref="D1:D13"/>
  </sortState>
  <tableColumns count="4">
    <tableColumn id="1" uniqueName="1" name="Patienten-ID" queryTableFieldId="1" dataDxfId="51"/>
    <tableColumn id="2" uniqueName="2" name="Albumin" queryTableFieldId="2" dataDxfId="50"/>
    <tableColumn id="3" uniqueName="3" name="Day of Observation" queryTableFieldId="3"/>
    <tableColumn id="4" uniqueName="4" name="Total Number of Obervations" queryTableFieldId="4"/>
  </tableColumns>
  <tableStyleInfo showFirstColumn="0" showLastColumn="0" showRowStripes="1" showColumnStripes="0"/>
</table>
</file>

<file path=xl/tables/table45.xml><?xml version="1.0" encoding="utf-8"?>
<table xmlns="http://schemas.openxmlformats.org/spreadsheetml/2006/main" id="45" name="Table45" displayName="Table45" ref="A1:AP154" totalsRowShown="0" headerRowDxfId="49">
  <autoFilter ref="A1:AP154"/>
  <tableColumns count="42">
    <tableColumn id="1" name="Patienten-ID"/>
    <tableColumn id="2" name="alpha-1-G-d1 "/>
    <tableColumn id="3" name="alpha-2-G-d1 "/>
    <tableColumn id="4" name="beta-G-d1 "/>
    <tableColumn id="5" name="gamma-G-d1"/>
    <tableColumn id="6" name="Harnsaure-d1 "/>
    <tableColumn id="7" name="Harnsaure-d5"/>
    <tableColumn id="8" name="Harnsaure-d7"/>
    <tableColumn id="9" name="Harnsaure-d13"/>
    <tableColumn id="10" name="Harnsaure-d14"/>
    <tableColumn id="11" name="Cholesterin-d1"/>
    <tableColumn id="12" name="Cholesterin-d3"/>
    <tableColumn id="13" name="Cholesterin-d4"/>
    <tableColumn id="14" name="Cholesterin-d7"/>
    <tableColumn id="15" name="Cholesterin-d8"/>
    <tableColumn id="16" name="Cholesterin-d14"/>
    <tableColumn id="17" name="Cholesterin-m4d6"/>
    <tableColumn id="18" name="Cholesterin-m7d16"/>
    <tableColumn id="19" name="Cholesterin-m10d6"/>
    <tableColumn id="20" name="Cholesterin-m11d10"/>
    <tableColumn id="21" name="Cholesterin-m11d30"/>
    <tableColumn id="22" name="Triacyglyceride-d1"/>
    <tableColumn id="23" name="Triacylglyceride-d2"/>
    <tableColumn id="24" name="Triacylglyceride-d2w2"/>
    <tableColumn id="25" name="Triacylglyceride-d2w3"/>
    <tableColumn id="26" name="Triacylglyceride-d3"/>
    <tableColumn id="27" name="Triacylglyceride-d4"/>
    <tableColumn id="28" name="Triacylglyceride-d4w2"/>
    <tableColumn id="29" name="Triacylglyceride-d4w3"/>
    <tableColumn id="30" name="Triacylglyceride-d4w4"/>
    <tableColumn id="31" name="Triacylglyceride-d5"/>
    <tableColumn id="32" name="Triacylglyceride-d5w2"/>
    <tableColumn id="33" name="Triacylglyceride-d6"/>
    <tableColumn id="34" name="Triacylglyceride-d6w2"/>
    <tableColumn id="35" name="Triacylglyceride-d6w3"/>
    <tableColumn id="36" name="Triacylgylceride-d7"/>
    <tableColumn id="37" name="Triacylglyceride-d14 (mmol/l)"/>
    <tableColumn id="38" name="Triacylglyceride-m4d6"/>
    <tableColumn id="39" name="Triacylglyceride-m7d16"/>
    <tableColumn id="40" name="Triacylglyceride-m10d6"/>
    <tableColumn id="41" name="Triacylglyceride-m11d10"/>
    <tableColumn id="42" name="Triacylglyceride-m11d30"/>
  </tableColumns>
  <tableStyleInfo showFirstColumn="0" showLastColumn="0" showRowStripes="1" showColumnStripes="0"/>
</table>
</file>

<file path=xl/tables/table46.xml><?xml version="1.0" encoding="utf-8"?>
<table xmlns="http://schemas.openxmlformats.org/spreadsheetml/2006/main" id="46" name="Table_ABHCTAG" displayName="Table_ABHCTAG" ref="A1:D15" tableType="queryTable" totalsRowShown="0" headerRowDxfId="47">
  <autoFilter ref="A1:D15"/>
  <sortState ref="A2:D15">
    <sortCondition descending="1" ref="D1:D15"/>
  </sortState>
  <tableColumns count="4">
    <tableColumn id="1" uniqueName="1" name="Patienten-ID" queryTableFieldId="1" dataDxfId="46"/>
    <tableColumn id="2" uniqueName="2" name="ABHCTAG" queryTableFieldId="2" dataDxfId="45"/>
    <tableColumn id="3" uniqueName="3" name="Day of Observation" queryTableFieldId="3"/>
    <tableColumn id="4" uniqueName="4" name="Total Number of Observations" queryTableFieldId="4"/>
  </tableColumns>
  <tableStyleInfo showFirstColumn="0" showLastColumn="0" showRowStripes="1" showColumnStripes="0"/>
</table>
</file>

<file path=xl/tables/table47.xml><?xml version="1.0" encoding="utf-8"?>
<table xmlns="http://schemas.openxmlformats.org/spreadsheetml/2006/main" id="47" name="Table47" displayName="Table47" ref="A1:P154" totalsRowShown="0" headerRowDxfId="44" dataDxfId="43">
  <autoFilter ref="A1:P154"/>
  <tableColumns count="16">
    <tableColumn id="1" name="Patienten-ID"/>
    <tableColumn id="2" name="PTZ-d1 " dataDxfId="42"/>
    <tableColumn id="3" name="PTZ-d5" dataDxfId="41"/>
    <tableColumn id="4" name="PTZ-d7" dataDxfId="40"/>
    <tableColumn id="5" name="PTZ-d8" dataDxfId="39"/>
    <tableColumn id="6" name="PTZ-d27" dataDxfId="38"/>
    <tableColumn id="7" name="Laktat-d1 " dataDxfId="37"/>
    <tableColumn id="8" name="Laktat-d3" dataDxfId="36"/>
    <tableColumn id="9" name="Laktat-d4" dataDxfId="35"/>
    <tableColumn id="10" name="Laktat-d7" dataDxfId="34"/>
    <tableColumn id="11" name="NH3-d1" dataDxfId="33"/>
    <tableColumn id="12" name="NH3-d2" dataDxfId="32"/>
    <tableColumn id="13" name="NH3-d3" dataDxfId="31"/>
    <tableColumn id="14" name="NH3-d4" dataDxfId="30"/>
    <tableColumn id="15" name="NH3-d5" dataDxfId="29"/>
    <tableColumn id="16" name="NH3-d7" dataDxfId="28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48" name="Table_PTZLAKTATNH3" displayName="Table_PTZLAKTATNH3" ref="A1:D15" tableType="queryTable" totalsRowShown="0" headerRowDxfId="27">
  <autoFilter ref="A1:D15"/>
  <sortState ref="A2:D15">
    <sortCondition ref="C1:C15"/>
  </sortState>
  <tableColumns count="4">
    <tableColumn id="1" uniqueName="1" name="Patienten-ID" queryTableFieldId="1" dataDxfId="26"/>
    <tableColumn id="2" uniqueName="2" name="PTZLAKTATNH3" queryTableFieldId="2" dataDxfId="25"/>
    <tableColumn id="3" uniqueName="3" name="Day of Observation" queryTableFieldId="3"/>
    <tableColumn id="4" uniqueName="4" name="Total Number of Observations" queryTableFieldId="4"/>
  </tableColumns>
  <tableStyleInfo showFirstColumn="0" showLastColumn="0" showRowStripes="1" showColumnStripes="0"/>
</table>
</file>

<file path=xl/tables/table49.xml><?xml version="1.0" encoding="utf-8"?>
<table xmlns="http://schemas.openxmlformats.org/spreadsheetml/2006/main" id="51" name="Table51" displayName="Table51" ref="A1:ACH153" totalsRowShown="0" headerRowDxfId="24" tableBorderDxfId="23">
  <autoFilter ref="A1:ACH153"/>
  <tableColumns count="762">
    <tableColumn id="1" name="Patienten-ID"/>
    <tableColumn id="2" name="Ck-d1 "/>
    <tableColumn id="3" name="Ck-d2"/>
    <tableColumn id="4" name="Ck-d2w2"/>
    <tableColumn id="5" name="Ck-d2w3"/>
    <tableColumn id="6" name="Ck-d3"/>
    <tableColumn id="7" name="Ck-d4"/>
    <tableColumn id="8" name="Ck-d4w2"/>
    <tableColumn id="9" name="Ck-d4w3"/>
    <tableColumn id="10" name="Ck-d4w4"/>
    <tableColumn id="11" name="Ck-d5"/>
    <tableColumn id="12" name="Ck-d5w2"/>
    <tableColumn id="13" name="Ck-d6"/>
    <tableColumn id="14" name="Ck-d6w2"/>
    <tableColumn id="15" name="Ck-d6w3"/>
    <tableColumn id="16" name="Ck-d7"/>
    <tableColumn id="17" name="Ck-d8"/>
    <tableColumn id="18" name="Ck-d10"/>
    <tableColumn id="19" name="Ck-d13"/>
    <tableColumn id="20" name="Ck-d14"/>
    <tableColumn id="21" name="Ck-d15"/>
    <tableColumn id="22" name="Ck-d19"/>
    <tableColumn id="23" name="Ck-d20"/>
    <tableColumn id="24" name="Ck-d21"/>
    <tableColumn id="25" name="Ck-d23"/>
    <tableColumn id="26" name="Ck-d28"/>
    <tableColumn id="27" name="Ck-m20d28"/>
    <tableColumn id="28" name="Ck-m21/2"/>
    <tableColumn id="29" name="Quick-d1 "/>
    <tableColumn id="30" name="Quick-d1w2"/>
    <tableColumn id="31" name="Quick-d2 "/>
    <tableColumn id="32" name="Quick-d2w2"/>
    <tableColumn id="33" name="Quick-d3"/>
    <tableColumn id="34" name="Quick-d4"/>
    <tableColumn id="35" name="Quick-d4w2"/>
    <tableColumn id="36" name="Quick-d4w3"/>
    <tableColumn id="37" name="Quick-d5"/>
    <tableColumn id="38" name="Quick-d6"/>
    <tableColumn id="39" name="Quick-d7"/>
    <tableColumn id="40" name="Quick-d8"/>
    <tableColumn id="41" name="Quick-d9"/>
    <tableColumn id="42" name="Quick-d11"/>
    <tableColumn id="43" name="Quick-d12"/>
    <tableColumn id="44" name="Quick-d13"/>
    <tableColumn id="45" name="Quick-d14"/>
    <tableColumn id="46" name="Quick-d15"/>
    <tableColumn id="47" name="Quick-d18"/>
    <tableColumn id="48" name="Quick-d20"/>
    <tableColumn id="49" name="Quick-23"/>
    <tableColumn id="50" name="Quick-25"/>
    <tableColumn id="51" name="Quick-d27"/>
    <tableColumn id="52" name="Quick-29"/>
    <tableColumn id="53" name="Quick-d32"/>
    <tableColumn id="54" name="Quick-m20d28"/>
    <tableColumn id="55" name="PTT-d1 (sec)"/>
    <tableColumn id="56" name="PTT-d1w2"/>
    <tableColumn id="57" name="PTT-d2"/>
    <tableColumn id="58" name="PTT-d2w2"/>
    <tableColumn id="59" name="PTT-d3"/>
    <tableColumn id="60" name="PTT-d4"/>
    <tableColumn id="61" name="PTT-d4w1"/>
    <tableColumn id="62" name="PTT-d4w2"/>
    <tableColumn id="63" name="PTT-d4w3"/>
    <tableColumn id="64" name="PTT-d5"/>
    <tableColumn id="65" name="PTT-d6"/>
    <tableColumn id="66" name="PTT-d7"/>
    <tableColumn id="67" name="PTT-d8"/>
    <tableColumn id="68" name="PTT-d9"/>
    <tableColumn id="69" name="PTT-d10"/>
    <tableColumn id="70" name="PTT-d11"/>
    <tableColumn id="71" name="PTT-d12"/>
    <tableColumn id="72" name="PTT-d13"/>
    <tableColumn id="73" name="PTT-d14"/>
    <tableColumn id="74" name="PTT-d15"/>
    <tableColumn id="75" name="PTT-d18"/>
    <tableColumn id="76" name="PTT-d20"/>
    <tableColumn id="77" name="PTT-d23"/>
    <tableColumn id="78" name="PTT-d25"/>
    <tableColumn id="79" name="PTT-d27"/>
    <tableColumn id="80" name="PTT-d29"/>
    <tableColumn id="81" name="PTT-d32"/>
    <tableColumn id="82" name="PTT-m20d28"/>
    <tableColumn id="83" name="TZ-d1"/>
    <tableColumn id="84" name="Fibrinogen-d1"/>
    <tableColumn id="85" name="Fibrinogen-d2"/>
    <tableColumn id="86" name="Fibrinogen-d3"/>
    <tableColumn id="87" name="Fibrinogen-d4"/>
    <tableColumn id="88" name="Fibrinogen-d4w1"/>
    <tableColumn id="89" name="Fibrinogen-d4w2"/>
    <tableColumn id="90" name="Fibrinogen-d5"/>
    <tableColumn id="91" name="Fibrinogen-d7"/>
    <tableColumn id="92" name="Fibrinogen-d8"/>
    <tableColumn id="93" name="Fibrinogen-d12"/>
    <tableColumn id="94" name="Fibrinogen-d13"/>
    <tableColumn id="95" name="Fibrinogen-d14"/>
    <tableColumn id="96" name="AT III -d1"/>
    <tableColumn id="97" name="Column1"/>
    <tableColumn id="98" name="Column2"/>
    <tableColumn id="99" name="AT III-d1w2"/>
    <tableColumn id="100" name="ATIII-d2"/>
    <tableColumn id="101" name="ATIII-d3"/>
    <tableColumn id="102" name="ATII-d5"/>
    <tableColumn id="103" name="ATIII-d6"/>
    <tableColumn id="104" name="AT III-d7"/>
    <tableColumn id="105" name="At III-d13"/>
    <tableColumn id="106" name="AT III-d32"/>
    <tableColumn id="107" name="AT III-d33"/>
    <tableColumn id="108" name="Leukozyten-d1 "/>
    <tableColumn id="109" name="Leukozyten-d1w2"/>
    <tableColumn id="110" name="Leukozyten-d2"/>
    <tableColumn id="111" name="Leukozyten-d2w2"/>
    <tableColumn id="112" name="Leukozyten-d2w3"/>
    <tableColumn id="113" name="Leukozyten-d3"/>
    <tableColumn id="114" name="Leukozyten-d3w2"/>
    <tableColumn id="115" name="Leukozyten-d4"/>
    <tableColumn id="116" name="Leukozyten-d4w2"/>
    <tableColumn id="117" name="Leukozyten-d4w3"/>
    <tableColumn id="118" name="Leukozyten-d4w4"/>
    <tableColumn id="119" name="Leukozyten-d5"/>
    <tableColumn id="120" name="Leukozyten-d5w2"/>
    <tableColumn id="121" name="Leukozyten-d6"/>
    <tableColumn id="122" name="Leukozyten-d6w2"/>
    <tableColumn id="123" name="Leukozyten-d6w3"/>
    <tableColumn id="124" name="Leukozyten-d7"/>
    <tableColumn id="125" name="Leukozyten-d8"/>
    <tableColumn id="126" name="Leukozyten-d9"/>
    <tableColumn id="127" name="Leukozyten-d11"/>
    <tableColumn id="128" name="Leukozyten-d12"/>
    <tableColumn id="129" name="Leukozyten-d13"/>
    <tableColumn id="130" name="Leukozyten-d14"/>
    <tableColumn id="131" name="Leukozyten-d15"/>
    <tableColumn id="132" name="Leukozyten-d16"/>
    <tableColumn id="133" name="Leukozyten-d17"/>
    <tableColumn id="134" name="Leukozyten-d19"/>
    <tableColumn id="135" name="Leukozyten-d20"/>
    <tableColumn id="136" name="GOT-d1 "/>
    <tableColumn id="137" name="GOT-d1w2"/>
    <tableColumn id="138" name="GOT-d1w3"/>
    <tableColumn id="139" name="GOT-d1w4"/>
    <tableColumn id="140" name="GOT-d2"/>
    <tableColumn id="141" name="GOT-d2w2"/>
    <tableColumn id="142" name="GOT-d2w3"/>
    <tableColumn id="143" name="GOT-d3"/>
    <tableColumn id="144" name="GOT-d4"/>
    <tableColumn id="145" name="GOT-d4w2"/>
    <tableColumn id="146" name="GOT-d4w3"/>
    <tableColumn id="147" name="GOT-d4w4"/>
    <tableColumn id="148" name="GOT-d5"/>
    <tableColumn id="149" name="GOT-d5w2"/>
    <tableColumn id="150" name="GOT-d6"/>
    <tableColumn id="151" name="GOT-d6w2"/>
    <tableColumn id="152" name="GOT-d6w3"/>
    <tableColumn id="153" name="GOT-d7"/>
    <tableColumn id="154" name="GOT-d8"/>
    <tableColumn id="155" name="GOT-d9"/>
    <tableColumn id="156" name="GOT-d10"/>
    <tableColumn id="157" name="GOT-d11"/>
    <tableColumn id="158" name="GOT-d12"/>
    <tableColumn id="159" name="GOT-d13"/>
    <tableColumn id="160" name="GOT-d14"/>
    <tableColumn id="161" name="GOT-d15"/>
    <tableColumn id="162" name="GOT-d16"/>
    <tableColumn id="163" name="GOT-d17"/>
    <tableColumn id="164" name="GOT-d18"/>
    <tableColumn id="165" name="GOT-d19"/>
    <tableColumn id="166" name="GOT-d20"/>
    <tableColumn id="167" name="GOT-d21"/>
    <tableColumn id="168" name="GOT-d23"/>
    <tableColumn id="169" name="GOT-d25"/>
    <tableColumn id="170" name="GOT-d26"/>
    <tableColumn id="171" name="GOT-d27"/>
    <tableColumn id="172" name="GOT-d28"/>
    <tableColumn id="173" name="GOT-d29"/>
    <tableColumn id="174" name="GOT-d31"/>
    <tableColumn id="175" name="GOT-d32"/>
    <tableColumn id="176" name="Got-d33"/>
    <tableColumn id="177" name="GOT-d35"/>
    <tableColumn id="178" name="GOT-d36"/>
    <tableColumn id="179" name="GOT-d37"/>
    <tableColumn id="180" name="GOT-d38"/>
    <tableColumn id="181" name="GOT-d39"/>
    <tableColumn id="182" name="GOT-Missing day"/>
    <tableColumn id="183" name="GOT-d40"/>
    <tableColumn id="184" name="GOT-d42"/>
    <tableColumn id="185" name="GOT-d54"/>
    <tableColumn id="186" name="GOT-m2d2"/>
    <tableColumn id="187" name="GOT-m4d6"/>
    <tableColumn id="188" name="GOT-m5d21"/>
    <tableColumn id="189" name="GOT-m5d26"/>
    <tableColumn id="190" name="GOT-m5d29"/>
    <tableColumn id="191" name="GOT-m6d7"/>
    <tableColumn id="192" name="GOT-m6d4"/>
    <tableColumn id="193" name="GOT-m7d6"/>
    <tableColumn id="194" name="GOT-m10d6"/>
    <tableColumn id="195" name="GOT-m11d10"/>
    <tableColumn id="196" name="GOT-m11d30"/>
    <tableColumn id="197" name="GOT-m20d28"/>
    <tableColumn id="198" name="GOT-m21d1"/>
    <tableColumn id="199" name="GOT-m21d2"/>
    <tableColumn id="200" name="GOT-m21/d5"/>
    <tableColumn id="201" name="GOT-m21/d9"/>
    <tableColumn id="202" name="GOT-Therapie ende"/>
    <tableColumn id="203" name="GPT-d1"/>
    <tableColumn id="204" name="GPT-d1w2"/>
    <tableColumn id="205" name="GPT-d1w3"/>
    <tableColumn id="206" name="GPT-d2"/>
    <tableColumn id="207" name="GPT-d2w2"/>
    <tableColumn id="208" name="GPT-d2w3"/>
    <tableColumn id="209" name="GPT-d3"/>
    <tableColumn id="210" name="GPT-d4"/>
    <tableColumn id="211" name="GPT-d4w2"/>
    <tableColumn id="212" name="GPT-d4w3"/>
    <tableColumn id="213" name="GPT-d4w4"/>
    <tableColumn id="214" name="GPT-d5"/>
    <tableColumn id="215" name="GPT-d5w2"/>
    <tableColumn id="216" name="GPT-d6"/>
    <tableColumn id="217" name="GPT-d6w2"/>
    <tableColumn id="218" name="GPT-d6w3"/>
    <tableColumn id="219" name="GPT-d7"/>
    <tableColumn id="220" name="GPT-d8"/>
    <tableColumn id="221" name="GPT-d9"/>
    <tableColumn id="222" name="GPT-d10"/>
    <tableColumn id="223" name="GPT-d11"/>
    <tableColumn id="224" name="GPT-d12"/>
    <tableColumn id="225" name="GPT-d13"/>
    <tableColumn id="226" name="GPT-d14"/>
    <tableColumn id="227" name="GPT-d15"/>
    <tableColumn id="228" name="GPT-d16"/>
    <tableColumn id="229" name="GPT-d17"/>
    <tableColumn id="230" name="GPT-d18"/>
    <tableColumn id="231" name="GPT-d19"/>
    <tableColumn id="232" name="GPT-d20"/>
    <tableColumn id="233" name="GPT-d21"/>
    <tableColumn id="234" name="GPT-d23"/>
    <tableColumn id="235" name="GPT-d25"/>
    <tableColumn id="236" name="GPT-d26"/>
    <tableColumn id="237" name="GPT-d27"/>
    <tableColumn id="238" name="GPT-d28"/>
    <tableColumn id="239" name="GPT-d29"/>
    <tableColumn id="240" name="GPT-d31"/>
    <tableColumn id="241" name="GPT-d32"/>
    <tableColumn id="242" name="GPT-d33"/>
    <tableColumn id="243" name="GPT-d35"/>
    <tableColumn id="244" name="GPT-d36"/>
    <tableColumn id="245" name="GPT-d37"/>
    <tableColumn id="246" name="GPT-d38"/>
    <tableColumn id="247" name="GPT-d39"/>
    <tableColumn id="248" name="GPT-d40"/>
    <tableColumn id="249" name="GPT-d42"/>
    <tableColumn id="250" name="GPT-d54"/>
    <tableColumn id="251" name="GPT-m2d2"/>
    <tableColumn id="252" name="GPT-m4d6"/>
    <tableColumn id="253" name="GPT-m5d21"/>
    <tableColumn id="254" name="GPT-m5d26"/>
    <tableColumn id="255" name="GPT-m5d29"/>
    <tableColumn id="256" name="GPT-m6d7"/>
    <tableColumn id="257" name="GPT-m6d14"/>
    <tableColumn id="258" name="GPT-m7d16"/>
    <tableColumn id="259" name="GPT-m10d6"/>
    <tableColumn id="260" name="GPT-m11d10"/>
    <tableColumn id="261" name="GPT-m11d30"/>
    <tableColumn id="262" name="GPT-m20d28"/>
    <tableColumn id="263" name="GPT-m21/d1"/>
    <tableColumn id="264" name="GPT-m21d2"/>
    <tableColumn id="265" name="GPT-m21d5"/>
    <tableColumn id="266" name="GPT-m21d9"/>
    <tableColumn id="267" name="GPT-Therapie ende"/>
    <tableColumn id="268" name="GGT-d1 "/>
    <tableColumn id="269" name="GGT-d1w2"/>
    <tableColumn id="270" name="GGT-d2"/>
    <tableColumn id="271" name="GGT-d2w2"/>
    <tableColumn id="272" name="GGT-d3"/>
    <tableColumn id="273" name="GGT-d4"/>
    <tableColumn id="274" name="GGT-d4w2"/>
    <tableColumn id="275" name="GGT-d4w3"/>
    <tableColumn id="276" name="GGT-d4w4"/>
    <tableColumn id="277" name="GGT-d5"/>
    <tableColumn id="278" name="GGT-d5w2"/>
    <tableColumn id="279" name="GGT-d6"/>
    <tableColumn id="280" name="GGT-d6w2"/>
    <tableColumn id="281" name="GGT-d6w3"/>
    <tableColumn id="282" name="GGT-d7"/>
    <tableColumn id="283" name="GGT-d8"/>
    <tableColumn id="284" name="GGT-d9"/>
    <tableColumn id="285" name="GGT-d10"/>
    <tableColumn id="286" name="GGT-d11"/>
    <tableColumn id="287" name="GGT-d12"/>
    <tableColumn id="288" name="GGT-d13"/>
    <tableColumn id="289" name="GGT-d14"/>
    <tableColumn id="290" name="GGT-d15"/>
    <tableColumn id="291" name="GGT-d16"/>
    <tableColumn id="292" name="GGT-d17"/>
    <tableColumn id="293" name="GGT-d18"/>
    <tableColumn id="294" name="GGT-d19"/>
    <tableColumn id="295" name="GGT-d20"/>
    <tableColumn id="296" name="GGT-d21"/>
    <tableColumn id="297" name="GGT-d23"/>
    <tableColumn id="298" name="GGT-d25"/>
    <tableColumn id="299" name="GGT-d26"/>
    <tableColumn id="300" name="GGT-d27"/>
    <tableColumn id="301" name="GGT-d28"/>
    <tableColumn id="302" name="GGT-d29"/>
    <tableColumn id="303" name="GGT-d31"/>
    <tableColumn id="304" name="GGT-d32"/>
    <tableColumn id="305" name="GGT-d33"/>
    <tableColumn id="306" name="GGT-d35"/>
    <tableColumn id="307" name="GGT-d36"/>
    <tableColumn id="308" name="GGT-d37"/>
    <tableColumn id="309" name="GGT-d38"/>
    <tableColumn id="310" name="GGT-d39"/>
    <tableColumn id="311" name="GGT-d40"/>
    <tableColumn id="312" name="GGT-d42"/>
    <tableColumn id="313" name="GGT-d54"/>
    <tableColumn id="314" name="GGT-m2d2"/>
    <tableColumn id="315" name="GGT-m4d6"/>
    <tableColumn id="316" name="GGT-m5d21"/>
    <tableColumn id="317" name="GGT-m5d26"/>
    <tableColumn id="318" name="GGT-m5d29"/>
    <tableColumn id="319" name="GGT-m6d7"/>
    <tableColumn id="320" name="GGT-m6d14"/>
    <tableColumn id="321" name="GGT-m7d16"/>
    <tableColumn id="322" name="GGT-m10d6"/>
    <tableColumn id="323" name="GGT-m11d10"/>
    <tableColumn id="324" name="GGT-m11d30"/>
    <tableColumn id="325" name="GGT-m7"/>
    <tableColumn id="326" name="GGT-m20d28"/>
    <tableColumn id="327" name="GGT-m21d1"/>
    <tableColumn id="328" name="GGT-m21d2"/>
    <tableColumn id="329" name="GGT-m21d5"/>
    <tableColumn id="330" name="GGT-m21d9"/>
    <tableColumn id="331" name="GGT-Therapieende"/>
    <tableColumn id="332" name="LDH-d1 "/>
    <tableColumn id="333" name="LDH-d1w2"/>
    <tableColumn id="334" name="LDH-d1w3"/>
    <tableColumn id="335" name="LDH-d2"/>
    <tableColumn id="336" name="LDH-d2w2"/>
    <tableColumn id="337" name="LDH-d2w3"/>
    <tableColumn id="338" name="LDH-d3"/>
    <tableColumn id="339" name="LDH-d4"/>
    <tableColumn id="340" name="LDH-d4w2"/>
    <tableColumn id="341" name="LDH-d4w3"/>
    <tableColumn id="342" name="LDH-d4w4"/>
    <tableColumn id="343" name="LDH-d5"/>
    <tableColumn id="344" name="LDH-d5w2"/>
    <tableColumn id="345" name="LDH-d6"/>
    <tableColumn id="346" name="LDH-d6w2"/>
    <tableColumn id="347" name="LDH-d6w3"/>
    <tableColumn id="348" name="LDH-d7"/>
    <tableColumn id="349" name="LDH-d8"/>
    <tableColumn id="350" name="LDH-d11"/>
    <tableColumn id="351" name="LDH-d13"/>
    <tableColumn id="352" name="LDH-d14"/>
    <tableColumn id="353" name="LDH-d15"/>
    <tableColumn id="354" name="LDH-d16"/>
    <tableColumn id="355" name="LDH-d17"/>
    <tableColumn id="356" name="LDH-d18"/>
    <tableColumn id="357" name="LDH-d19"/>
    <tableColumn id="358" name="LDH-d20"/>
    <tableColumn id="359" name="LDH-d21"/>
    <tableColumn id="360" name="LDH-23"/>
    <tableColumn id="361" name="LDH-25"/>
    <tableColumn id="362" name="LDH-d27"/>
    <tableColumn id="363" name="LDH-d28"/>
    <tableColumn id="364" name="LDH-d29"/>
    <tableColumn id="365" name="LDH-d32"/>
    <tableColumn id="366" name="LDH-d33"/>
    <tableColumn id="367" name="LDH-d35"/>
    <tableColumn id="368" name="LDH-d38"/>
    <tableColumn id="369" name="LDH-d39"/>
    <tableColumn id="370" name="LDH-d40"/>
    <tableColumn id="371" name="LDH-m20d28"/>
    <tableColumn id="372" name="LDH-m21d2"/>
    <tableColumn id="373" name="LDH-m21d9"/>
    <tableColumn id="374" name="Lymphozyten-d1 " dataDxfId="22"/>
    <tableColumn id="375" name="Lymphozyten-d2" dataDxfId="21"/>
    <tableColumn id="376" name="Lymphozyten-d8" dataDxfId="20"/>
    <tableColumn id="377" name="Lymphozyten-m20d28" dataDxfId="19"/>
    <tableColumn id="378" name="Lymphozyten-m21d2" dataDxfId="18"/>
    <tableColumn id="379" name="Bilirubin-d1 "/>
    <tableColumn id="380" name="Bilirubin-d2"/>
    <tableColumn id="381" name="Bilirubin-d1w2"/>
    <tableColumn id="382" name="Bilirubin-d22"/>
    <tableColumn id="383" name="Bilirubin-d2w2"/>
    <tableColumn id="384" name="Bilirubin-d2w3"/>
    <tableColumn id="385" name="Bilirubin-d3"/>
    <tableColumn id="386" name="Bilirubin-d3w2"/>
    <tableColumn id="387" name="Bilirubin-d4"/>
    <tableColumn id="388" name="Bilirubin-d4w2"/>
    <tableColumn id="389" name="Bilirubin-d4w3"/>
    <tableColumn id="390" name="Bilirubin-d4w4"/>
    <tableColumn id="391" name="Bilirubin-d5"/>
    <tableColumn id="392" name="Bilirubin-d5w2"/>
    <tableColumn id="393" name="Bilirubin-d6"/>
    <tableColumn id="394" name="Bilirubin-d6w2"/>
    <tableColumn id="395" name="Bilirubin-d6w3"/>
    <tableColumn id="396" name="Bilirubin-d7"/>
    <tableColumn id="397" name="Bilirubin-d8"/>
    <tableColumn id="398" name="Bilirubin-d9"/>
    <tableColumn id="399" name="Bilirubin-d10"/>
    <tableColumn id="400" name="Bilirubin-d11"/>
    <tableColumn id="401" name="Bilirubin-d12"/>
    <tableColumn id="402" name="Bilirubin-d13"/>
    <tableColumn id="403" name="Bilirubin-d14"/>
    <tableColumn id="404" name="Bilirubin-d15"/>
    <tableColumn id="405" name="Bilirubin-d16"/>
    <tableColumn id="406" name="Bilirubin-d17"/>
    <tableColumn id="407" name="Bilirubin-d18"/>
    <tableColumn id="408" name="Bilirubin-d19"/>
    <tableColumn id="409" name="Bilirubin-d20"/>
    <tableColumn id="410" name="Bilirubin-d21"/>
    <tableColumn id="411" name="Bilirubin-d23"/>
    <tableColumn id="412" name="Bilirubin-25"/>
    <tableColumn id="413" name="Bilirubin-d27"/>
    <tableColumn id="414" name="Bilirubin-d28"/>
    <tableColumn id="415" name="Bilirubin-d31"/>
    <tableColumn id="416" name="Bilirubin-d32"/>
    <tableColumn id="417" name="Bilirubin-d35"/>
    <tableColumn id="418" name="Bilirubin-d37"/>
    <tableColumn id="419" name="Bilirubin-d38"/>
    <tableColumn id="420" name="Bilirubin-d39"/>
    <tableColumn id="421" name="Bilirubin-d40"/>
    <tableColumn id="422" name="Bilirubin-d42"/>
    <tableColumn id="423" name="Bilirubin-m4d6"/>
    <tableColumn id="424" name="Bilirubin-m5d21"/>
    <tableColumn id="425" name="Bilirubin-m5d26"/>
    <tableColumn id="426" name="Bilirubin-m5d29"/>
    <tableColumn id="427" name="Bilirubin-m6d7"/>
    <tableColumn id="428" name="Bilirubin-m6d14"/>
    <tableColumn id="429" name="Bilirubin-m7d16"/>
    <tableColumn id="430" name="Bilirubin-m10d6"/>
    <tableColumn id="431" name="Bilirubin-m11d10"/>
    <tableColumn id="432" name="Bilirubin-m11d30"/>
    <tableColumn id="433" name="Bilirubin-m7"/>
    <tableColumn id="434" name="Bilirubin-m21d1"/>
    <tableColumn id="435" name="Bilirubin-m21d2"/>
    <tableColumn id="436" name="Bilirubin-m21d5"/>
    <tableColumn id="437" name="GLDH-d1 "/>
    <tableColumn id="438" name="GLDH-d1w2"/>
    <tableColumn id="439" name="GLDH-d1w3"/>
    <tableColumn id="440" name="GLDH-d2"/>
    <tableColumn id="441" name="GLDH-d2w2"/>
    <tableColumn id="442" name="GLDH-d3"/>
    <tableColumn id="443" name="GLDH-d4"/>
    <tableColumn id="444" name="GLDH-d6"/>
    <tableColumn id="445" name="GLDH-d13"/>
    <tableColumn id="446" name="GLDH-d14"/>
    <tableColumn id="447" name="GLDH-m6d7"/>
    <tableColumn id="448" name="GLDH-m6d14"/>
    <tableColumn id="449" name="GLDH-m7d16"/>
    <tableColumn id="450" name="GLDH-m11d10"/>
    <tableColumn id="451" name="GLDH-m11d30"/>
    <tableColumn id="452" name="GLDH- Verlauf"/>
    <tableColumn id="453" name="AP-d1 "/>
    <tableColumn id="454" name="AP-d1w2"/>
    <tableColumn id="455" name="AP-d1w3"/>
    <tableColumn id="456" name="AP-d2"/>
    <tableColumn id="457" name="AP-d2w2"/>
    <tableColumn id="458" name="AP-d2w3"/>
    <tableColumn id="459" name="AP-d3"/>
    <tableColumn id="460" name="AP-d4"/>
    <tableColumn id="461" name="AP-d4w2"/>
    <tableColumn id="462" name="AP-d4w3"/>
    <tableColumn id="463" name="AP-d4w4"/>
    <tableColumn id="464" name="AP-d5"/>
    <tableColumn id="465" name="AP-d5w2"/>
    <tableColumn id="466" name="AP-d6"/>
    <tableColumn id="467" name="AP-d6w2"/>
    <tableColumn id="468" name="AP-d6w3"/>
    <tableColumn id="469" name="AP-d7"/>
    <tableColumn id="470" name="AP-d8"/>
    <tableColumn id="471" name="AP-d9"/>
    <tableColumn id="472" name="AP-d10"/>
    <tableColumn id="473" name="AP-d11"/>
    <tableColumn id="474" name="AP-d12"/>
    <tableColumn id="475" name="AP-d13"/>
    <tableColumn id="476" name="AP-d14"/>
    <tableColumn id="477" name="AP-d15"/>
    <tableColumn id="478" name="AP-d16"/>
    <tableColumn id="479" name="AP-d17"/>
    <tableColumn id="480" name="AP-d18"/>
    <tableColumn id="481" name="AP-d19"/>
    <tableColumn id="482" name="AP-d20"/>
    <tableColumn id="483" name="AP-d21"/>
    <tableColumn id="484" name="AP-d22"/>
    <tableColumn id="485" name="AP-d23"/>
    <tableColumn id="486" name="AP-d25"/>
    <tableColumn id="487" name="AP-d27"/>
    <tableColumn id="488" name="AP-d28"/>
    <tableColumn id="489" name="AP-d29"/>
    <tableColumn id="490" name="AP-d30"/>
    <tableColumn id="491" name="AP-d31"/>
    <tableColumn id="492" name="AP-d32"/>
    <tableColumn id="493" name="AP-d35"/>
    <tableColumn id="494" name="AP-d36"/>
    <tableColumn id="495" name="AP-d38"/>
    <tableColumn id="496" name="AP-d39"/>
    <tableColumn id="497" name="AP-d40"/>
    <tableColumn id="498" name="AP-m2d2"/>
    <tableColumn id="499" name="AP-m5d21"/>
    <tableColumn id="500" name="AP-m5d26"/>
    <tableColumn id="501" name="AP-m5d29"/>
    <tableColumn id="502" name="AP-m6d7"/>
    <tableColumn id="503" name="AP-m6d14"/>
    <tableColumn id="504" name="AP-m7d16"/>
    <tableColumn id="505" name="AP-m10d6"/>
    <tableColumn id="506" name="AP-m11d10"/>
    <tableColumn id="507" name="AP-m11d30"/>
    <tableColumn id="508" name="AP-m20d28"/>
    <tableColumn id="509" name="AP-m21d1"/>
    <tableColumn id="510" name="AP-m21d2"/>
    <tableColumn id="511" name="AP-m21d5"/>
    <tableColumn id="512" name="AP-m21d9"/>
    <tableColumn id="513" name="AP-Therapie ende"/>
    <tableColumn id="514" name="Cholinesterase-d1 "/>
    <tableColumn id="515" name="Cholinesterase-d1w2"/>
    <tableColumn id="516" name="Cholinesterase-d2"/>
    <tableColumn id="517" name="Cholinesterase-d2w2"/>
    <tableColumn id="518" name="Cholinesterase-d2w3"/>
    <tableColumn id="519" name="Cholinesterase-d3"/>
    <tableColumn id="520" name="Cholinesterase-d4"/>
    <tableColumn id="521" name="Cholinesterase-d5"/>
    <tableColumn id="522" name="Cholinesterase-d6"/>
    <tableColumn id="523" name="Cholinesterase-d5w2"/>
    <tableColumn id="524" name="Cholinesterase-d62"/>
    <tableColumn id="525" name="Cholinesterase-d6w2"/>
    <tableColumn id="526" name="Cholinesterase-d6w3"/>
    <tableColumn id="527" name="Cholinesterase-d7"/>
    <tableColumn id="528" name="Cholinesterase-d9"/>
    <tableColumn id="529" name="Cholinesterase-d11"/>
    <tableColumn id="530" name="Cholinesterase-d13"/>
    <tableColumn id="531" name="Cholinesterase-d15"/>
    <tableColumn id="532" name="Cholinesterase-d18"/>
    <tableColumn id="533" name="Cholinesterase-19"/>
    <tableColumn id="534" name="Cholinesterase-d20"/>
    <tableColumn id="535" name="Cholinesterase-d23"/>
    <tableColumn id="536" name="Cholinesterase-25"/>
    <tableColumn id="537" name="Cholinesterase-29"/>
    <tableColumn id="538" name="Cholinesterase-m5d26"/>
    <tableColumn id="539" name="Cholinesterase-m6d7"/>
    <tableColumn id="540" name="Cholinesterase-m6d14"/>
    <tableColumn id="541" name="Cholinesterase-m7d16"/>
    <tableColumn id="542" name="Cholinesterase-m10d6"/>
    <tableColumn id="543" name="Cholinesterase-m11d30"/>
    <tableColumn id="544" name="Kreatinin-d1 "/>
    <tableColumn id="545" name="Kreatinin-d1w2"/>
    <tableColumn id="546" name="Kreatinin-d2"/>
    <tableColumn id="547" name="Kreatinin-d2w2"/>
    <tableColumn id="548" name="Kreatinin-d2w3"/>
    <tableColumn id="549" name="Kreatinin-d3"/>
    <tableColumn id="550" name="Kreatinin-d4"/>
    <tableColumn id="551" name="Kreatinin-d4w2"/>
    <tableColumn id="552" name="Kreatinin-d4w3"/>
    <tableColumn id="553" name="Kreatinin-d4w4"/>
    <tableColumn id="554" name="Kreatinin-d5"/>
    <tableColumn id="555" name="Kreatinin-d5w2"/>
    <tableColumn id="556" name="Kreatinin-d6"/>
    <tableColumn id="557" name="Kreatinin-d6w2"/>
    <tableColumn id="558" name="Kreatinin-d6w3"/>
    <tableColumn id="559" name="Kreatinin-d7"/>
    <tableColumn id="560" name="Kreatinin-d8"/>
    <tableColumn id="561" name="Kreatinin-d9"/>
    <tableColumn id="562" name="Kreatinin-d11"/>
    <tableColumn id="563" name="Kreatinin-d13"/>
    <tableColumn id="564" name="Kreatinin-d14"/>
    <tableColumn id="565" name="Kreatinin-d19"/>
    <tableColumn id="566" name="Kreatinin-d21"/>
    <tableColumn id="567" name="Kreatinin-d27"/>
    <tableColumn id="568" name="Kreatinin-d32"/>
    <tableColumn id="569" name="Kreatinin-d33"/>
    <tableColumn id="570" name="Kreatinin-d40"/>
    <tableColumn id="571" name="Kreatinin-m20d28"/>
    <tableColumn id="572" name="INR-d1 "/>
    <tableColumn id="573" name="INR-d1w2"/>
    <tableColumn id="574" name="INR-d2"/>
    <tableColumn id="575" name="INR-d2w2"/>
    <tableColumn id="576" name="INR-d3"/>
    <tableColumn id="577" name="INR-d4"/>
    <tableColumn id="578" name="INR-d4w2"/>
    <tableColumn id="579" name="INR-d4w3"/>
    <tableColumn id="580" name="INR-d4w4"/>
    <tableColumn id="581" name="INR-d5"/>
    <tableColumn id="582" name="INR-d6"/>
    <tableColumn id="583" name="INR-d7"/>
    <tableColumn id="584" name="INR-d9"/>
    <tableColumn id="585" name="INR-d10"/>
    <tableColumn id="586" name="INR-d12"/>
    <tableColumn id="587" name="INR-d13"/>
    <tableColumn id="588" name="INR-d14"/>
    <tableColumn id="589" name="INR-d15"/>
    <tableColumn id="590" name="INR-d20"/>
    <tableColumn id="591" name="INR-d38"/>
    <tableColumn id="592" name="Amylase-d1"/>
    <tableColumn id="593" name="Amylase-d2"/>
    <tableColumn id="594" name="Amylase-d2w2"/>
    <tableColumn id="595" name="Amylase-d2w3"/>
    <tableColumn id="596" name="Amylase-d3"/>
    <tableColumn id="597" name="Amylase-d4"/>
    <tableColumn id="598" name="Amylase-d4w2"/>
    <tableColumn id="599" name="Amylase-d4w3"/>
    <tableColumn id="600" name="Amylase-d4w4"/>
    <tableColumn id="601" name="Amylase-d5"/>
    <tableColumn id="602" name="Amylase-d5w2"/>
    <tableColumn id="603" name="Amylase-d6"/>
    <tableColumn id="604" name="Amylase-d6w2"/>
    <tableColumn id="605" name="Amylase-d6w3"/>
    <tableColumn id="606" name="Amylase-d7"/>
    <tableColumn id="607" name="Amylase-d9"/>
    <tableColumn id="608" name="Amylase-d12"/>
    <tableColumn id="609" name="Amylase-d14"/>
    <tableColumn id="610" name="Amylase-d20"/>
    <tableColumn id="611" name="Amylase-d28"/>
    <tableColumn id="612" name="Amylase-d37"/>
    <tableColumn id="613" name="Lipase-d1  "/>
    <tableColumn id="614" name="Lipase-d1w2"/>
    <tableColumn id="615" name="Lipase-d2"/>
    <tableColumn id="616" name="Lipase-d2w2"/>
    <tableColumn id="617" name="Lipase-d2w3"/>
    <tableColumn id="618" name="Lipase-d3"/>
    <tableColumn id="619" name="Lipase-d4"/>
    <tableColumn id="620" name="Lipase-d4w2"/>
    <tableColumn id="621" name="Lipase-d4w3"/>
    <tableColumn id="622" name="Lipase-d4w5"/>
    <tableColumn id="623" name="Lipase-d5"/>
    <tableColumn id="624" name="Lipase-d5w2"/>
    <tableColumn id="625" name="Lipase-d6"/>
    <tableColumn id="626" name="Lipase-d6w2"/>
    <tableColumn id="627" name="Lipase-d6w3"/>
    <tableColumn id="628" name="Lipase-d7"/>
    <tableColumn id="629" name="Lipase-d14"/>
    <tableColumn id="630" name="Lipase-d20"/>
    <tableColumn id="631" name="Lipase-d28"/>
    <tableColumn id="632" name="CRP-d1 "/>
    <tableColumn id="633" name="CRP-d1w2"/>
    <tableColumn id="634" name="CRP-d2"/>
    <tableColumn id="635" name="CRP-d3"/>
    <tableColumn id="636" name="CRP-d4"/>
    <tableColumn id="637" name="CRP-d4w2"/>
    <tableColumn id="638" name="CRP-d4w3"/>
    <tableColumn id="639" name="CRP-d4w4"/>
    <tableColumn id="640" name="CRP-d5"/>
    <tableColumn id="641" name="CRP-d6"/>
    <tableColumn id="642" name="CRP-d7"/>
    <tableColumn id="643" name="CRP-d8"/>
    <tableColumn id="644" name="CRP-d9"/>
    <tableColumn id="645" name="CRP-d13"/>
    <tableColumn id="646" name="CRP-d14"/>
    <tableColumn id="647" name="CRP-d16"/>
    <tableColumn id="648" name="CRP-m20d28"/>
    <tableColumn id="649" name="CRP-m21d1"/>
    <tableColumn id="650" name="CRP-m21d2"/>
    <tableColumn id="651" name="PTZ-d1 " dataDxfId="17"/>
    <tableColumn id="652" name="PTZ-d5" dataDxfId="16"/>
    <tableColumn id="653" name="PTZ-d7" dataDxfId="15"/>
    <tableColumn id="654" name="PTZ-d8" dataDxfId="14"/>
    <tableColumn id="655" name="PTZ-d27" dataDxfId="13"/>
    <tableColumn id="656" name="Harnstoff-d1 "/>
    <tableColumn id="657" name="Harnstoff-d2"/>
    <tableColumn id="658" name="Harnstoff-d2w2"/>
    <tableColumn id="659" name="Harnstoff-d2w3"/>
    <tableColumn id="660" name="Harnstoff-d3"/>
    <tableColumn id="661" name="Harnstoff-d4"/>
    <tableColumn id="662" name="Harnstoff-d4w2"/>
    <tableColumn id="663" name="Harnstoff-d4w3"/>
    <tableColumn id="664" name="Harnstoff-d4w4"/>
    <tableColumn id="665" name="Harnstoff-d5"/>
    <tableColumn id="666" name="Harnstoff-d5w2"/>
    <tableColumn id="667" name="Harnstoff-d6"/>
    <tableColumn id="668" name="Harnstoff-d6w2"/>
    <tableColumn id="669" name="Harnstoff-d6w3"/>
    <tableColumn id="670" name="Harnstoff-d7"/>
    <tableColumn id="671" name="Harnstoff-d11"/>
    <tableColumn id="672" name="Harnstoff-d13"/>
    <tableColumn id="673" name="Harnstoff-d14"/>
    <tableColumn id="674" name="Harnstoff-d21"/>
    <tableColumn id="675" name="Harnstoff-d27"/>
    <tableColumn id="676" name="Harnstoff-d28"/>
    <tableColumn id="677" name="Thrombozyten-d1"/>
    <tableColumn id="678" name="Thrombozyten-d1w2"/>
    <tableColumn id="679" name="Thrombozyten-d2"/>
    <tableColumn id="680" name="Thrombozyten-d2w2"/>
    <tableColumn id="681" name="Thrombozyten-d2w3"/>
    <tableColumn id="682" name="Thrombozyten-d3"/>
    <tableColumn id="683" name="Thrombozyten-d3w2"/>
    <tableColumn id="684" name="Thrombozyten-d4"/>
    <tableColumn id="685" name="Thrombozyten-d5"/>
    <tableColumn id="686" name="Thrombozyten-d5w2"/>
    <tableColumn id="687" name="Thrombozyten-d6"/>
    <tableColumn id="688" name="Thrombozyten-d6w2"/>
    <tableColumn id="689" name="Thrombozyten-d6w3"/>
    <tableColumn id="690" name="Thrombozyten-d7"/>
    <tableColumn id="691" name="Thrombozyten-d8"/>
    <tableColumn id="692" name="Thrombozyten-d9"/>
    <tableColumn id="693" name="Thrombozyten-d12"/>
    <tableColumn id="694" name="Thrombozyten-d13"/>
    <tableColumn id="695" name="Thrombozyten-d14"/>
    <tableColumn id="696" name="Thrombozyten-d15"/>
    <tableColumn id="697" name="Thrombozyten-d17"/>
    <tableColumn id="698" name="Thrombozyten-d20"/>
    <tableColumn id="699" name="Laktat-d1 " dataDxfId="12"/>
    <tableColumn id="700" name="Laktat-d3" dataDxfId="11"/>
    <tableColumn id="701" name="Laktat-d4" dataDxfId="10"/>
    <tableColumn id="702" name="Laktat-d7" dataDxfId="9"/>
    <tableColumn id="703" name="NH3-d1" dataDxfId="8"/>
    <tableColumn id="704" name="NH3-d2" dataDxfId="7"/>
    <tableColumn id="705" name="NH3-d3" dataDxfId="6"/>
    <tableColumn id="706" name="NH3-d4" dataDxfId="5"/>
    <tableColumn id="707" name="NH3-d5" dataDxfId="4"/>
    <tableColumn id="708" name="NH3-d7" dataDxfId="3"/>
    <tableColumn id="709" name="PLT-d1 "/>
    <tableColumn id="710" name="BSG-d1 "/>
    <tableColumn id="711" name="Monozyten "/>
    <tableColumn id="712" name="Eosinophile Granuloyzten "/>
    <tableColumn id="713" name="Albumin-d1 "/>
    <tableColumn id="714" name="Albumin-d1w2"/>
    <tableColumn id="715" name="Albumin-d2"/>
    <tableColumn id="716" name="Albumin-d3"/>
    <tableColumn id="717" name="Albumin-d4"/>
    <tableColumn id="718" name="Albumin-d4w2"/>
    <tableColumn id="719" name="Albumin-d4w3"/>
    <tableColumn id="720" name="Albumin-d13"/>
    <tableColumn id="721" name="Albumin-d14"/>
    <tableColumn id="722" name="alpha-1-G-d1 "/>
    <tableColumn id="723" name="alpha-2-G-d1 "/>
    <tableColumn id="724" name="beta-G-d1 "/>
    <tableColumn id="725" name="gamma-G-d1"/>
    <tableColumn id="726" name="Harnsaure-d1 "/>
    <tableColumn id="727" name="Harnsaure-d5"/>
    <tableColumn id="728" name="Harnsaure-d7"/>
    <tableColumn id="729" name="Harnsaure-d13"/>
    <tableColumn id="730" name="Harnsaure-d14"/>
    <tableColumn id="731" name="Cholesterin-d1"/>
    <tableColumn id="732" name="Cholesterin-d3"/>
    <tableColumn id="733" name="Cholesterin-d4"/>
    <tableColumn id="734" name="Cholesterin-d7"/>
    <tableColumn id="735" name="Cholesterin-d8"/>
    <tableColumn id="736" name="Cholesterin-d14"/>
    <tableColumn id="737" name="Cholesterin-m4d6"/>
    <tableColumn id="738" name="Cholesterin-m7d16"/>
    <tableColumn id="739" name="Cholesterin-m10d6"/>
    <tableColumn id="740" name="Cholesterin-m11d10"/>
    <tableColumn id="741" name="Cholesterin-m11d30"/>
    <tableColumn id="742" name="Triacyglyceride-d1"/>
    <tableColumn id="743" name="Triacylglyceride-d2"/>
    <tableColumn id="744" name="Triacylglyceride-d2w2"/>
    <tableColumn id="745" name="Triacylglyceride-d2w3"/>
    <tableColumn id="746" name="Triacylglyceride-d3"/>
    <tableColumn id="747" name="Triacylglyceride-d4"/>
    <tableColumn id="748" name="Triacylglyceride-d4w2"/>
    <tableColumn id="749" name="Triacylglyceride-d4w3"/>
    <tableColumn id="750" name="Triacylglyceride-d4w4"/>
    <tableColumn id="751" name="Triacylglyceride-d5"/>
    <tableColumn id="752" name="Triacylglyceride-d5w2"/>
    <tableColumn id="753" name="Triacylglyceride-d6"/>
    <tableColumn id="754" name="Triacylglyceride-d6w2"/>
    <tableColumn id="755" name="Triacylglyceride-d6w3"/>
    <tableColumn id="756" name="Triacylgylceride-d7"/>
    <tableColumn id="757" name="Triacylglyceride-d14 (mmol/l)"/>
    <tableColumn id="758" name="Triacylglyceride-m4d6"/>
    <tableColumn id="759" name="Triacylglyceride-m7d16"/>
    <tableColumn id="760" name="Triacylglyceride-m10d6"/>
    <tableColumn id="761" name="Triacylglyceride-m11d10"/>
    <tableColumn id="762" name="Triacylglyceride-m11d30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id="52" name="Table_All_in_one_1" displayName="Table_All_in_one_1" ref="A1:D742" tableType="queryTable" totalsRowShown="0" headerRowDxfId="2">
  <autoFilter ref="A1:D742"/>
  <sortState ref="A526:D568">
    <sortCondition ref="C1:C742"/>
  </sortState>
  <tableColumns count="4">
    <tableColumn id="1" uniqueName="1" name="Patienten-ID" queryTableFieldId="1" dataDxfId="1"/>
    <tableColumn id="2" uniqueName="2" name="Parameter" queryTableFieldId="2" dataDxfId="0"/>
    <tableColumn id="3" uniqueName="3" name="Day of Observation" queryTableFieldId="3"/>
    <tableColumn id="4" uniqueName="4" name="Total Number of Observations" queryTableField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8CB6CB5-EC6D-4386-91F2-05BCE3C3F2D5}">
  <we:reference id="wa200003696" version="1.0.0.0" store="en-US" storeType="OMEX"/>
  <we:alternateReferences>
    <we:reference id="WA200003696" version="1.0.0.0" store="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I155"/>
  <sheetViews>
    <sheetView zoomScale="85" zoomScaleNormal="85" workbookViewId="0">
      <pane xSplit="2" ySplit="1" topLeftCell="X110" activePane="bottomRight" state="frozen"/>
      <selection pane="topRight" activeCell="B1" sqref="B1"/>
      <selection pane="bottomLeft" activeCell="A2" sqref="A2"/>
      <selection pane="bottomRight" activeCell="Z1" sqref="Z1:AEH154"/>
    </sheetView>
  </sheetViews>
  <sheetFormatPr defaultColWidth="8.85546875" defaultRowHeight="15" x14ac:dyDescent="0.25"/>
  <cols>
    <col min="2" max="2" width="18.140625" style="1" bestFit="1" customWidth="1"/>
    <col min="3" max="3" width="9" bestFit="1" customWidth="1"/>
    <col min="4" max="4" width="5.85546875" bestFit="1" customWidth="1"/>
    <col min="5" max="5" width="10.7109375" bestFit="1" customWidth="1"/>
    <col min="6" max="6" width="8.85546875" bestFit="1" customWidth="1"/>
    <col min="7" max="7" width="11.140625" bestFit="1" customWidth="1"/>
    <col min="8" max="8" width="39.28515625" bestFit="1" customWidth="1"/>
    <col min="9" max="9" width="9.85546875" bestFit="1" customWidth="1"/>
    <col min="10" max="10" width="6.42578125" customWidth="1"/>
    <col min="11" max="11" width="106.85546875" bestFit="1" customWidth="1"/>
    <col min="12" max="12" width="85.42578125" bestFit="1" customWidth="1"/>
    <col min="13" max="13" width="10.7109375" bestFit="1" customWidth="1"/>
    <col min="14" max="14" width="12.42578125" bestFit="1" customWidth="1"/>
    <col min="15" max="15" width="4.42578125" bestFit="1" customWidth="1"/>
    <col min="16" max="16" width="25.7109375" bestFit="1" customWidth="1"/>
    <col min="17" max="17" width="24.42578125" bestFit="1" customWidth="1"/>
    <col min="18" max="18" width="31.140625" bestFit="1" customWidth="1"/>
    <col min="19" max="19" width="25.85546875" bestFit="1" customWidth="1"/>
    <col min="20" max="20" width="103.7109375" bestFit="1" customWidth="1"/>
    <col min="21" max="21" width="115.85546875" bestFit="1" customWidth="1"/>
    <col min="22" max="22" width="67.85546875" bestFit="1" customWidth="1"/>
    <col min="23" max="23" width="239.28515625" bestFit="1" customWidth="1"/>
    <col min="24" max="24" width="53.28515625" bestFit="1" customWidth="1"/>
    <col min="25" max="25" width="27.85546875" bestFit="1" customWidth="1"/>
    <col min="26" max="26" width="10.7109375" bestFit="1" customWidth="1"/>
    <col min="27" max="27" width="16.42578125" bestFit="1" customWidth="1"/>
    <col min="28" max="29" width="8.42578125" bestFit="1" customWidth="1"/>
    <col min="30" max="30" width="9.7109375" bestFit="1" customWidth="1"/>
    <col min="31" max="31" width="13.7109375" bestFit="1" customWidth="1"/>
    <col min="32" max="34" width="13.7109375" customWidth="1"/>
    <col min="35" max="35" width="7.42578125" bestFit="1" customWidth="1"/>
    <col min="36" max="36" width="7.42578125" customWidth="1"/>
    <col min="37" max="37" width="11" bestFit="1" customWidth="1"/>
    <col min="38" max="39" width="11" customWidth="1"/>
    <col min="40" max="41" width="6" customWidth="1"/>
    <col min="42" max="42" width="16" bestFit="1" customWidth="1"/>
    <col min="43" max="50" width="7" customWidth="1"/>
    <col min="51" max="51" width="10.7109375" bestFit="1" customWidth="1"/>
    <col min="52" max="52" width="9.42578125" bestFit="1" customWidth="1"/>
    <col min="53" max="53" width="14" customWidth="1"/>
    <col min="54" max="54" width="12.28515625" bestFit="1" customWidth="1"/>
    <col min="55" max="55" width="12.28515625" customWidth="1"/>
    <col min="56" max="56" width="9.28515625" bestFit="1" customWidth="1"/>
    <col min="57" max="57" width="9.28515625" customWidth="1"/>
    <col min="58" max="58" width="8.85546875" bestFit="1" customWidth="1"/>
    <col min="59" max="62" width="8.85546875" customWidth="1"/>
    <col min="63" max="63" width="8.85546875" bestFit="1" customWidth="1"/>
    <col min="64" max="66" width="8.85546875" customWidth="1"/>
    <col min="67" max="73" width="9.85546875" bestFit="1" customWidth="1"/>
    <col min="74" max="75" width="8.85546875" customWidth="1"/>
    <col min="76" max="76" width="9.85546875" bestFit="1" customWidth="1"/>
    <col min="77" max="77" width="8.85546875" customWidth="1"/>
    <col min="78" max="78" width="9.85546875" bestFit="1" customWidth="1"/>
    <col min="79" max="79" width="13.7109375" bestFit="1" customWidth="1"/>
    <col min="80" max="80" width="13.7109375" customWidth="1"/>
    <col min="81" max="81" width="11.7109375" bestFit="1" customWidth="1"/>
    <col min="82" max="82" width="11.7109375" customWidth="1"/>
    <col min="83" max="83" width="7" bestFit="1" customWidth="1"/>
    <col min="84" max="84" width="9.42578125" bestFit="1" customWidth="1"/>
    <col min="85" max="85" width="7" bestFit="1" customWidth="1"/>
    <col min="86" max="86" width="12.42578125" bestFit="1" customWidth="1"/>
    <col min="87" max="89" width="12.42578125" customWidth="1"/>
    <col min="90" max="90" width="7" customWidth="1"/>
    <col min="91" max="91" width="7" bestFit="1" customWidth="1"/>
    <col min="92" max="94" width="7" customWidth="1"/>
    <col min="95" max="95" width="8" bestFit="1" customWidth="1"/>
    <col min="96" max="100" width="8" customWidth="1"/>
    <col min="101" max="104" width="8" bestFit="1" customWidth="1"/>
    <col min="105" max="105" width="8" customWidth="1"/>
    <col min="106" max="106" width="8" bestFit="1" customWidth="1"/>
    <col min="107" max="107" width="8" customWidth="1"/>
    <col min="108" max="108" width="11.7109375" bestFit="1" customWidth="1"/>
    <col min="109" max="109" width="15" customWidth="1"/>
    <col min="110" max="110" width="5.85546875" bestFit="1" customWidth="1"/>
    <col min="111" max="111" width="13.42578125" bestFit="1" customWidth="1"/>
    <col min="112" max="122" width="13.42578125" customWidth="1"/>
    <col min="123" max="123" width="22.28515625" customWidth="1"/>
    <col min="124" max="124" width="12.140625" bestFit="1" customWidth="1"/>
    <col min="125" max="126" width="8.7109375" hidden="1" customWidth="1"/>
    <col min="127" max="127" width="10.85546875" bestFit="1" customWidth="1"/>
    <col min="128" max="135" width="8.7109375" customWidth="1"/>
    <col min="136" max="136" width="15.7109375" customWidth="1"/>
    <col min="137" max="137" width="25.85546875" bestFit="1" customWidth="1"/>
    <col min="138" max="138" width="25.85546875" customWidth="1"/>
    <col min="139" max="139" width="14.140625" bestFit="1" customWidth="1"/>
    <col min="140" max="143" width="14.140625" customWidth="1"/>
    <col min="144" max="144" width="14.42578125" bestFit="1" customWidth="1"/>
    <col min="145" max="147" width="14.42578125" customWidth="1"/>
    <col min="148" max="148" width="14.140625" bestFit="1" customWidth="1"/>
    <col min="149" max="155" width="14.140625" customWidth="1"/>
    <col min="156" max="157" width="15.140625" bestFit="1" customWidth="1"/>
    <col min="158" max="158" width="18.140625" bestFit="1" customWidth="1"/>
    <col min="159" max="161" width="15.140625" bestFit="1" customWidth="1"/>
    <col min="162" max="162" width="15.28515625" bestFit="1" customWidth="1"/>
    <col min="163" max="164" width="15.140625" bestFit="1" customWidth="1"/>
    <col min="165" max="165" width="22.140625" customWidth="1"/>
    <col min="166" max="166" width="18.140625" bestFit="1" customWidth="1"/>
    <col min="167" max="169" width="10.140625" bestFit="1" customWidth="1"/>
    <col min="170" max="170" width="16" bestFit="1" customWidth="1"/>
    <col min="171" max="211" width="12" customWidth="1"/>
    <col min="212" max="212" width="12" hidden="1" customWidth="1"/>
    <col min="213" max="230" width="12" customWidth="1"/>
    <col min="231" max="231" width="11.42578125" bestFit="1" customWidth="1"/>
    <col min="232" max="232" width="17.85546875" bestFit="1" customWidth="1"/>
    <col min="233" max="233" width="17.85546875" customWidth="1"/>
    <col min="234" max="234" width="18.140625" bestFit="1" customWidth="1"/>
    <col min="235" max="236" width="9.85546875" bestFit="1" customWidth="1"/>
    <col min="237" max="237" width="16" bestFit="1" customWidth="1"/>
    <col min="238" max="238" width="15.42578125" bestFit="1" customWidth="1"/>
    <col min="239" max="239" width="9.42578125" bestFit="1" customWidth="1"/>
    <col min="240" max="241" width="7.28515625" bestFit="1" customWidth="1"/>
    <col min="242" max="297" width="11.7109375" customWidth="1"/>
    <col min="298" max="298" width="17.85546875" bestFit="1" customWidth="1"/>
    <col min="299" max="299" width="17.85546875" customWidth="1"/>
    <col min="300" max="300" width="18.140625" bestFit="1" customWidth="1"/>
    <col min="301" max="301" width="10" bestFit="1" customWidth="1"/>
    <col min="302" max="302" width="16" bestFit="1" customWidth="1"/>
    <col min="303" max="303" width="10" bestFit="1" customWidth="1"/>
    <col min="304" max="362" width="17.28515625" customWidth="1"/>
    <col min="363" max="363" width="25.7109375" bestFit="1" customWidth="1"/>
    <col min="364" max="364" width="25.7109375" customWidth="1"/>
    <col min="365" max="365" width="18.140625" bestFit="1" customWidth="1"/>
    <col min="366" max="366" width="9.85546875" bestFit="1" customWidth="1"/>
    <col min="367" max="407" width="11.7109375" customWidth="1"/>
    <col min="408" max="408" width="19.42578125" style="25" bestFit="1" customWidth="1"/>
    <col min="409" max="413" width="19.42578125" style="25" customWidth="1"/>
    <col min="414" max="414" width="23.7109375" bestFit="1" customWidth="1"/>
    <col min="415" max="415" width="11.42578125" hidden="1" customWidth="1"/>
    <col min="416" max="435" width="11.42578125" customWidth="1"/>
    <col min="436" max="437" width="12.42578125" bestFit="1" customWidth="1"/>
    <col min="438" max="438" width="12.42578125" customWidth="1"/>
    <col min="439" max="442" width="12.42578125" bestFit="1" customWidth="1"/>
    <col min="443" max="443" width="12.42578125" customWidth="1"/>
    <col min="444" max="444" width="12.42578125" bestFit="1" customWidth="1"/>
    <col min="445" max="445" width="12.42578125" customWidth="1"/>
    <col min="446" max="446" width="12.42578125" bestFit="1" customWidth="1"/>
    <col min="447" max="449" width="12.42578125" customWidth="1"/>
    <col min="450" max="450" width="12.42578125" bestFit="1" customWidth="1"/>
    <col min="451" max="461" width="12.42578125" customWidth="1"/>
    <col min="462" max="462" width="9.42578125" bestFit="1" customWidth="1"/>
    <col min="463" max="465" width="10.42578125" bestFit="1" customWidth="1"/>
    <col min="466" max="467" width="11.42578125" bestFit="1" customWidth="1"/>
    <col min="468" max="468" width="12" bestFit="1" customWidth="1"/>
    <col min="469" max="471" width="15.28515625" bestFit="1" customWidth="1"/>
    <col min="472" max="472" width="15.28515625" customWidth="1"/>
    <col min="473" max="473" width="14.140625" bestFit="1" customWidth="1"/>
    <col min="474" max="475" width="14.140625" customWidth="1"/>
    <col min="476" max="489" width="13.140625" customWidth="1"/>
    <col min="490" max="490" width="16" bestFit="1" customWidth="1"/>
    <col min="491" max="492" width="16" customWidth="1"/>
    <col min="493" max="493" width="16" bestFit="1" customWidth="1"/>
    <col min="494" max="495" width="16" customWidth="1"/>
    <col min="531" max="534" width="7.28515625" bestFit="1" customWidth="1"/>
    <col min="535" max="535" width="9" bestFit="1" customWidth="1"/>
    <col min="536" max="538" width="10" bestFit="1" customWidth="1"/>
    <col min="539" max="539" width="9" bestFit="1" customWidth="1"/>
    <col min="540" max="542" width="10" bestFit="1" customWidth="1"/>
    <col min="543" max="545" width="11" bestFit="1" customWidth="1"/>
    <col min="546" max="549" width="10" bestFit="1" customWidth="1"/>
    <col min="550" max="550" width="16.42578125" bestFit="1" customWidth="1"/>
    <col min="551" max="551" width="16.42578125" customWidth="1"/>
    <col min="552" max="552" width="18.7109375" bestFit="1" customWidth="1"/>
    <col min="553" max="556" width="18.7109375" customWidth="1"/>
    <col min="557" max="557" width="22.140625" customWidth="1"/>
    <col min="558" max="559" width="17.42578125" bestFit="1" customWidth="1"/>
    <col min="560" max="560" width="17.42578125" hidden="1" customWidth="1"/>
    <col min="561" max="561" width="17.42578125" customWidth="1"/>
    <col min="562" max="562" width="17.42578125" bestFit="1" customWidth="1"/>
    <col min="563" max="565" width="17.42578125" customWidth="1"/>
    <col min="566" max="566" width="17.42578125" bestFit="1" customWidth="1"/>
    <col min="567" max="567" width="18.42578125" bestFit="1" customWidth="1"/>
    <col min="568" max="573" width="18.42578125" customWidth="1"/>
    <col min="574" max="575" width="17.28515625" bestFit="1" customWidth="1"/>
    <col min="576" max="576" width="21.140625" bestFit="1" customWidth="1"/>
    <col min="577" max="577" width="20.140625" bestFit="1" customWidth="1"/>
    <col min="578" max="580" width="21.140625" bestFit="1" customWidth="1"/>
    <col min="581" max="582" width="18.42578125" customWidth="1"/>
    <col min="583" max="583" width="24.28515625" bestFit="1" customWidth="1"/>
    <col min="584" max="587" width="24.28515625" customWidth="1"/>
    <col min="588" max="589" width="12" bestFit="1" customWidth="1"/>
    <col min="590" max="592" width="12" customWidth="1"/>
    <col min="593" max="593" width="12" bestFit="1" customWidth="1"/>
    <col min="594" max="597" width="12" customWidth="1"/>
    <col min="598" max="599" width="12" bestFit="1" customWidth="1"/>
    <col min="600" max="605" width="12" customWidth="1"/>
    <col min="606" max="606" width="13.140625" bestFit="1" customWidth="1"/>
    <col min="607" max="610" width="13.140625" customWidth="1"/>
    <col min="611" max="611" width="16.7109375" customWidth="1"/>
    <col min="612" max="612" width="10" bestFit="1" customWidth="1"/>
    <col min="613" max="631" width="10" customWidth="1"/>
    <col min="632" max="632" width="15.7109375" customWidth="1"/>
    <col min="633" max="633" width="16.140625" bestFit="1" customWidth="1"/>
    <col min="634" max="634" width="11.42578125" bestFit="1" customWidth="1"/>
    <col min="635" max="648" width="11.42578125" customWidth="1"/>
    <col min="649" max="649" width="12.42578125" bestFit="1" customWidth="1"/>
    <col min="650" max="650" width="16" bestFit="1" customWidth="1"/>
    <col min="651" max="653" width="12.42578125" bestFit="1" customWidth="1"/>
    <col min="654" max="654" width="17.85546875" customWidth="1"/>
    <col min="655" max="655" width="16" bestFit="1" customWidth="1"/>
    <col min="656" max="656" width="16" customWidth="1"/>
    <col min="657" max="674" width="15.140625" customWidth="1"/>
    <col min="675" max="675" width="12.85546875" bestFit="1" customWidth="1"/>
    <col min="676" max="694" width="12.85546875" customWidth="1"/>
    <col min="695" max="695" width="10.42578125" style="25" bestFit="1" customWidth="1"/>
    <col min="696" max="696" width="10.42578125" style="25" customWidth="1"/>
    <col min="697" max="699" width="8.85546875" style="25"/>
    <col min="701" max="701" width="20.85546875" bestFit="1" customWidth="1"/>
    <col min="702" max="722" width="20.85546875" customWidth="1"/>
    <col min="723" max="723" width="24.28515625" bestFit="1" customWidth="1"/>
    <col min="724" max="745" width="24.28515625" customWidth="1"/>
    <col min="746" max="746" width="11" style="25" bestFit="1" customWidth="1"/>
    <col min="747" max="747" width="11" style="25" customWidth="1"/>
    <col min="748" max="748" width="10.42578125" style="25" bestFit="1" customWidth="1"/>
    <col min="749" max="749" width="14.7109375" style="25" bestFit="1" customWidth="1"/>
    <col min="750" max="750" width="14.7109375" style="25" customWidth="1"/>
    <col min="751" max="751" width="15.140625" style="25" bestFit="1" customWidth="1"/>
    <col min="752" max="752" width="7.42578125" style="25" bestFit="1" customWidth="1"/>
    <col min="753" max="757" width="11.42578125" style="25" customWidth="1"/>
    <col min="758" max="758" width="14" bestFit="1" customWidth="1"/>
    <col min="759" max="759" width="14.7109375" bestFit="1" customWidth="1"/>
    <col min="760" max="760" width="14.42578125" bestFit="1" customWidth="1"/>
    <col min="761" max="761" width="27.7109375" bestFit="1" customWidth="1"/>
    <col min="762" max="762" width="15" bestFit="1" customWidth="1"/>
    <col min="763" max="771" width="15" customWidth="1"/>
    <col min="772" max="773" width="16" bestFit="1" customWidth="1"/>
    <col min="774" max="774" width="13.42578125" bestFit="1" customWidth="1"/>
    <col min="775" max="775" width="15.85546875" bestFit="1" customWidth="1"/>
    <col min="776" max="776" width="20.28515625" bestFit="1" customWidth="1"/>
    <col min="777" max="779" width="20.28515625" customWidth="1"/>
    <col min="780" max="780" width="14" bestFit="1" customWidth="1"/>
    <col min="781" max="781" width="14" customWidth="1"/>
    <col min="782" max="782" width="22" bestFit="1" customWidth="1"/>
    <col min="783" max="786" width="14.28515625" bestFit="1" customWidth="1"/>
    <col min="787" max="787" width="15.28515625" bestFit="1" customWidth="1"/>
    <col min="788" max="788" width="17" bestFit="1" customWidth="1"/>
    <col min="789" max="790" width="18.140625" bestFit="1" customWidth="1"/>
    <col min="791" max="792" width="19.140625" bestFit="1" customWidth="1"/>
    <col min="793" max="793" width="19.140625" customWidth="1"/>
    <col min="794" max="794" width="25" bestFit="1" customWidth="1"/>
    <col min="795" max="795" width="18" bestFit="1" customWidth="1"/>
    <col min="796" max="796" width="20.42578125" bestFit="1" customWidth="1"/>
    <col min="797" max="797" width="18" customWidth="1"/>
    <col min="798" max="799" width="18" bestFit="1" customWidth="1"/>
    <col min="800" max="802" width="18" customWidth="1"/>
    <col min="803" max="803" width="18" bestFit="1" customWidth="1"/>
    <col min="804" max="804" width="18" customWidth="1"/>
    <col min="805" max="805" width="18" bestFit="1" customWidth="1"/>
    <col min="806" max="807" width="18" customWidth="1"/>
    <col min="808" max="808" width="18" bestFit="1" customWidth="1"/>
    <col min="809" max="809" width="27.7109375" bestFit="1" customWidth="1"/>
    <col min="810" max="810" width="9.85546875" bestFit="1" customWidth="1"/>
    <col min="811" max="813" width="20" customWidth="1"/>
    <col min="814" max="814" width="11.85546875" bestFit="1" customWidth="1"/>
    <col min="815" max="815" width="14" customWidth="1"/>
  </cols>
  <sheetData>
    <row r="1" spans="1:815" x14ac:dyDescent="0.25">
      <c r="A1" t="s">
        <v>2063</v>
      </c>
      <c r="B1" s="17" t="s">
        <v>0</v>
      </c>
      <c r="C1" s="18" t="s">
        <v>3</v>
      </c>
      <c r="D1" s="18" t="s">
        <v>1</v>
      </c>
      <c r="E1" s="18" t="s">
        <v>2</v>
      </c>
      <c r="F1" s="18" t="s">
        <v>4</v>
      </c>
      <c r="G1" s="18" t="s">
        <v>5</v>
      </c>
      <c r="H1" s="18" t="s">
        <v>239</v>
      </c>
      <c r="I1" s="18" t="s">
        <v>238</v>
      </c>
      <c r="J1" s="18" t="s">
        <v>240</v>
      </c>
      <c r="K1" s="18" t="s">
        <v>241</v>
      </c>
      <c r="L1" s="18" t="s">
        <v>300</v>
      </c>
      <c r="M1" s="18" t="s">
        <v>327</v>
      </c>
      <c r="N1" s="18" t="s">
        <v>328</v>
      </c>
      <c r="O1" s="18" t="s">
        <v>1068</v>
      </c>
      <c r="P1" s="18" t="s">
        <v>1109</v>
      </c>
      <c r="Q1" s="18" t="s">
        <v>1110</v>
      </c>
      <c r="R1" s="18" t="s">
        <v>1108</v>
      </c>
      <c r="S1" s="18" t="s">
        <v>1107</v>
      </c>
      <c r="T1" s="18" t="s">
        <v>1118</v>
      </c>
      <c r="U1" s="18" t="s">
        <v>1103</v>
      </c>
      <c r="V1" s="18" t="s">
        <v>1104</v>
      </c>
      <c r="W1" s="18" t="s">
        <v>1159</v>
      </c>
      <c r="X1" s="18" t="s">
        <v>1105</v>
      </c>
      <c r="Y1" s="18" t="s">
        <v>1106</v>
      </c>
      <c r="Z1" s="18" t="s">
        <v>337</v>
      </c>
      <c r="AA1" s="18" t="s">
        <v>389</v>
      </c>
      <c r="AB1" s="18" t="s">
        <v>1752</v>
      </c>
      <c r="AC1" s="18" t="s">
        <v>1751</v>
      </c>
      <c r="AD1" s="18" t="s">
        <v>336</v>
      </c>
      <c r="AE1" s="18" t="s">
        <v>838</v>
      </c>
      <c r="AF1" s="18" t="s">
        <v>1753</v>
      </c>
      <c r="AG1" s="18" t="s">
        <v>1754</v>
      </c>
      <c r="AH1" s="18" t="s">
        <v>1755</v>
      </c>
      <c r="AI1" s="18" t="s">
        <v>904</v>
      </c>
      <c r="AJ1" s="18" t="s">
        <v>1756</v>
      </c>
      <c r="AK1" s="18" t="s">
        <v>390</v>
      </c>
      <c r="AL1" s="18" t="s">
        <v>1757</v>
      </c>
      <c r="AM1" s="18" t="s">
        <v>1758</v>
      </c>
      <c r="AN1" s="18" t="s">
        <v>391</v>
      </c>
      <c r="AO1" s="18" t="s">
        <v>392</v>
      </c>
      <c r="AP1" s="18" t="s">
        <v>393</v>
      </c>
      <c r="AQ1" s="18" t="s">
        <v>601</v>
      </c>
      <c r="AR1" s="18" t="s">
        <v>620</v>
      </c>
      <c r="AS1" s="18" t="s">
        <v>677</v>
      </c>
      <c r="AT1" s="18" t="s">
        <v>678</v>
      </c>
      <c r="AU1" s="18" t="s">
        <v>679</v>
      </c>
      <c r="AV1" s="18" t="s">
        <v>680</v>
      </c>
      <c r="AW1" s="18" t="s">
        <v>681</v>
      </c>
      <c r="AX1" s="18" t="s">
        <v>1055</v>
      </c>
      <c r="AY1" s="18" t="s">
        <v>797</v>
      </c>
      <c r="AZ1" s="18" t="s">
        <v>798</v>
      </c>
      <c r="BA1" s="19" t="s">
        <v>2032</v>
      </c>
      <c r="BB1" s="18" t="s">
        <v>338</v>
      </c>
      <c r="BC1" s="18" t="s">
        <v>1759</v>
      </c>
      <c r="BD1" s="18" t="s">
        <v>766</v>
      </c>
      <c r="BE1" s="18" t="s">
        <v>1761</v>
      </c>
      <c r="BF1" s="18" t="s">
        <v>339</v>
      </c>
      <c r="BG1" s="18" t="s">
        <v>565</v>
      </c>
      <c r="BH1" s="18" t="s">
        <v>1762</v>
      </c>
      <c r="BI1" s="18" t="s">
        <v>1763</v>
      </c>
      <c r="BJ1" s="18" t="s">
        <v>860</v>
      </c>
      <c r="BK1" s="18" t="s">
        <v>340</v>
      </c>
      <c r="BL1" s="18" t="s">
        <v>846</v>
      </c>
      <c r="BM1" s="18" t="s">
        <v>655</v>
      </c>
      <c r="BN1" s="18" t="s">
        <v>872</v>
      </c>
      <c r="BO1" s="18" t="s">
        <v>873</v>
      </c>
      <c r="BP1" s="18" t="s">
        <v>588</v>
      </c>
      <c r="BQ1" s="18" t="s">
        <v>603</v>
      </c>
      <c r="BR1" s="18" t="s">
        <v>622</v>
      </c>
      <c r="BS1" s="18" t="s">
        <v>874</v>
      </c>
      <c r="BT1" s="18" t="s">
        <v>697</v>
      </c>
      <c r="BU1" s="18" t="s">
        <v>629</v>
      </c>
      <c r="BV1" s="18" t="s">
        <v>698</v>
      </c>
      <c r="BW1" s="18" t="s">
        <v>699</v>
      </c>
      <c r="BX1" s="18" t="s">
        <v>1037</v>
      </c>
      <c r="BY1" s="18" t="s">
        <v>700</v>
      </c>
      <c r="BZ1" s="18" t="s">
        <v>1038</v>
      </c>
      <c r="CA1" s="18" t="s">
        <v>800</v>
      </c>
      <c r="CB1" s="19" t="s">
        <v>2033</v>
      </c>
      <c r="CC1" s="18" t="s">
        <v>344</v>
      </c>
      <c r="CD1" s="18" t="s">
        <v>1742</v>
      </c>
      <c r="CE1" s="18" t="s">
        <v>767</v>
      </c>
      <c r="CF1" s="18" t="s">
        <v>1745</v>
      </c>
      <c r="CG1" s="18" t="s">
        <v>342</v>
      </c>
      <c r="CH1" s="18" t="s">
        <v>568</v>
      </c>
      <c r="CI1" s="18" t="s">
        <v>1746</v>
      </c>
      <c r="CJ1" s="18" t="s">
        <v>1747</v>
      </c>
      <c r="CK1" s="18" t="s">
        <v>1748</v>
      </c>
      <c r="CL1" s="18" t="s">
        <v>861</v>
      </c>
      <c r="CM1" s="18" t="s">
        <v>343</v>
      </c>
      <c r="CN1" s="18" t="s">
        <v>418</v>
      </c>
      <c r="CO1" s="18" t="s">
        <v>419</v>
      </c>
      <c r="CP1" s="18" t="s">
        <v>420</v>
      </c>
      <c r="CQ1" s="18" t="s">
        <v>421</v>
      </c>
      <c r="CR1" s="18" t="s">
        <v>875</v>
      </c>
      <c r="CS1" s="18" t="s">
        <v>589</v>
      </c>
      <c r="CT1" s="18" t="s">
        <v>604</v>
      </c>
      <c r="CU1" s="18" t="s">
        <v>625</v>
      </c>
      <c r="CV1" s="18" t="s">
        <v>788</v>
      </c>
      <c r="CW1" s="18" t="s">
        <v>690</v>
      </c>
      <c r="CX1" s="18" t="s">
        <v>691</v>
      </c>
      <c r="CY1" s="18" t="s">
        <v>692</v>
      </c>
      <c r="CZ1" s="18" t="s">
        <v>693</v>
      </c>
      <c r="DA1" s="18" t="s">
        <v>701</v>
      </c>
      <c r="DB1" s="18" t="s">
        <v>694</v>
      </c>
      <c r="DC1" s="18" t="s">
        <v>1039</v>
      </c>
      <c r="DD1" s="18" t="s">
        <v>801</v>
      </c>
      <c r="DE1" s="19" t="s">
        <v>2034</v>
      </c>
      <c r="DF1" s="18" t="s">
        <v>347</v>
      </c>
      <c r="DG1" s="18" t="s">
        <v>1955</v>
      </c>
      <c r="DH1" s="18" t="s">
        <v>768</v>
      </c>
      <c r="DI1" s="18" t="s">
        <v>569</v>
      </c>
      <c r="DJ1" s="18" t="s">
        <v>570</v>
      </c>
      <c r="DK1" s="18" t="s">
        <v>1749</v>
      </c>
      <c r="DL1" s="18" t="s">
        <v>1750</v>
      </c>
      <c r="DM1" s="18" t="s">
        <v>905</v>
      </c>
      <c r="DN1" s="18" t="s">
        <v>710</v>
      </c>
      <c r="DO1" s="18" t="s">
        <v>484</v>
      </c>
      <c r="DP1" s="18" t="s">
        <v>592</v>
      </c>
      <c r="DQ1" s="18" t="s">
        <v>605</v>
      </c>
      <c r="DR1" s="18" t="s">
        <v>624</v>
      </c>
      <c r="DS1" s="19" t="s">
        <v>2035</v>
      </c>
      <c r="DT1" s="18" t="s">
        <v>348</v>
      </c>
      <c r="DU1" s="18"/>
      <c r="DV1" s="18"/>
      <c r="DW1" s="18" t="s">
        <v>1765</v>
      </c>
      <c r="DX1" s="18" t="s">
        <v>769</v>
      </c>
      <c r="DY1" s="18" t="s">
        <v>1024</v>
      </c>
      <c r="DZ1" s="18" t="s">
        <v>862</v>
      </c>
      <c r="EA1" s="18" t="s">
        <v>863</v>
      </c>
      <c r="EB1" s="18" t="s">
        <v>702</v>
      </c>
      <c r="EC1" s="18" t="s">
        <v>717</v>
      </c>
      <c r="ED1" s="18" t="s">
        <v>1040</v>
      </c>
      <c r="EE1" s="18" t="s">
        <v>1041</v>
      </c>
      <c r="EF1" s="19" t="s">
        <v>2036</v>
      </c>
      <c r="EG1" s="18" t="s">
        <v>2025</v>
      </c>
      <c r="EH1" s="18" t="s">
        <v>1766</v>
      </c>
      <c r="EI1" s="18" t="s">
        <v>499</v>
      </c>
      <c r="EJ1" s="18" t="s">
        <v>1767</v>
      </c>
      <c r="EK1" s="18" t="s">
        <v>1768</v>
      </c>
      <c r="EL1" s="18" t="s">
        <v>560</v>
      </c>
      <c r="EM1" s="18" t="s">
        <v>1769</v>
      </c>
      <c r="EN1" s="18" t="s">
        <v>571</v>
      </c>
      <c r="EO1" s="18" t="s">
        <v>1770</v>
      </c>
      <c r="EP1" s="18" t="s">
        <v>1771</v>
      </c>
      <c r="EQ1" s="18" t="s">
        <v>1772</v>
      </c>
      <c r="ER1" s="18" t="s">
        <v>352</v>
      </c>
      <c r="ES1" s="18" t="s">
        <v>1773</v>
      </c>
      <c r="ET1" s="18" t="s">
        <v>770</v>
      </c>
      <c r="EU1" s="18" t="s">
        <v>1774</v>
      </c>
      <c r="EV1" s="18" t="s">
        <v>1775</v>
      </c>
      <c r="EW1" s="18" t="s">
        <v>586</v>
      </c>
      <c r="EX1" s="18" t="s">
        <v>789</v>
      </c>
      <c r="EY1" s="18" t="s">
        <v>876</v>
      </c>
      <c r="EZ1" s="18" t="s">
        <v>877</v>
      </c>
      <c r="FA1" s="18" t="s">
        <v>878</v>
      </c>
      <c r="FB1" s="18" t="s">
        <v>611</v>
      </c>
      <c r="FC1" s="18" t="s">
        <v>626</v>
      </c>
      <c r="FD1" s="18" t="s">
        <v>1060</v>
      </c>
      <c r="FE1" s="18" t="s">
        <v>1062</v>
      </c>
      <c r="FF1" s="18" t="s">
        <v>1025</v>
      </c>
      <c r="FG1" s="18" t="s">
        <v>790</v>
      </c>
      <c r="FH1" s="18" t="s">
        <v>724</v>
      </c>
      <c r="FI1" s="19" t="s">
        <v>2037</v>
      </c>
      <c r="FJ1" s="18" t="s">
        <v>349</v>
      </c>
      <c r="FK1" s="18" t="s">
        <v>1776</v>
      </c>
      <c r="FL1" s="18" t="s">
        <v>1777</v>
      </c>
      <c r="FM1" s="18" t="s">
        <v>1778</v>
      </c>
      <c r="FN1" s="18" t="s">
        <v>656</v>
      </c>
      <c r="FO1" s="18" t="s">
        <v>1781</v>
      </c>
      <c r="FP1" s="18" t="s">
        <v>1782</v>
      </c>
      <c r="FQ1" s="18" t="s">
        <v>462</v>
      </c>
      <c r="FR1" s="18" t="s">
        <v>839</v>
      </c>
      <c r="FS1" s="18" t="s">
        <v>1783</v>
      </c>
      <c r="FT1" s="18" t="s">
        <v>1784</v>
      </c>
      <c r="FU1" s="18" t="s">
        <v>1785</v>
      </c>
      <c r="FV1" s="18" t="s">
        <v>468</v>
      </c>
      <c r="FW1" s="18" t="s">
        <v>1786</v>
      </c>
      <c r="FX1" s="18" t="s">
        <v>864</v>
      </c>
      <c r="FY1" s="18" t="s">
        <v>1787</v>
      </c>
      <c r="FZ1" s="18" t="s">
        <v>1788</v>
      </c>
      <c r="GA1" s="18" t="s">
        <v>473</v>
      </c>
      <c r="GB1" s="18" t="s">
        <v>481</v>
      </c>
      <c r="GC1" s="18" t="s">
        <v>422</v>
      </c>
      <c r="GD1" s="18" t="s">
        <v>423</v>
      </c>
      <c r="GE1" s="18" t="s">
        <v>505</v>
      </c>
      <c r="GF1" s="18" t="s">
        <v>511</v>
      </c>
      <c r="GG1" s="18" t="s">
        <v>598</v>
      </c>
      <c r="GH1" s="18" t="s">
        <v>424</v>
      </c>
      <c r="GI1" s="18" t="s">
        <v>425</v>
      </c>
      <c r="GJ1" s="18" t="s">
        <v>426</v>
      </c>
      <c r="GK1" s="18" t="s">
        <v>427</v>
      </c>
      <c r="GL1" s="18" t="s">
        <v>428</v>
      </c>
      <c r="GM1" s="18" t="s">
        <v>429</v>
      </c>
      <c r="GN1" s="18" t="s">
        <v>430</v>
      </c>
      <c r="GO1" s="18" t="s">
        <v>431</v>
      </c>
      <c r="GP1" s="18" t="s">
        <v>432</v>
      </c>
      <c r="GQ1" s="18" t="s">
        <v>433</v>
      </c>
      <c r="GR1" s="18" t="s">
        <v>512</v>
      </c>
      <c r="GS1" s="18" t="s">
        <v>487</v>
      </c>
      <c r="GT1" s="18" t="s">
        <v>495</v>
      </c>
      <c r="GU1" s="18" t="s">
        <v>434</v>
      </c>
      <c r="GV1" s="18" t="s">
        <v>435</v>
      </c>
      <c r="GW1" s="18" t="s">
        <v>438</v>
      </c>
      <c r="GX1" s="18" t="s">
        <v>1042</v>
      </c>
      <c r="GY1" s="18" t="s">
        <v>738</v>
      </c>
      <c r="GZ1" s="18" t="s">
        <v>436</v>
      </c>
      <c r="HA1" s="18" t="s">
        <v>742</v>
      </c>
      <c r="HB1" s="18" t="s">
        <v>750</v>
      </c>
      <c r="HC1" s="18" t="s">
        <v>437</v>
      </c>
      <c r="HD1" s="18"/>
      <c r="HE1" s="18" t="s">
        <v>517</v>
      </c>
      <c r="HF1" s="18" t="s">
        <v>888</v>
      </c>
      <c r="HG1" s="18" t="s">
        <v>518</v>
      </c>
      <c r="HH1" s="18" t="s">
        <v>1051</v>
      </c>
      <c r="HI1" s="18" t="s">
        <v>947</v>
      </c>
      <c r="HJ1" s="18" t="s">
        <v>948</v>
      </c>
      <c r="HK1" s="18" t="s">
        <v>949</v>
      </c>
      <c r="HL1" s="18" t="s">
        <v>950</v>
      </c>
      <c r="HM1" s="18" t="s">
        <v>951</v>
      </c>
      <c r="HN1" s="18" t="s">
        <v>952</v>
      </c>
      <c r="HO1" s="18" t="s">
        <v>953</v>
      </c>
      <c r="HP1" s="18" t="s">
        <v>954</v>
      </c>
      <c r="HQ1" s="18" t="s">
        <v>955</v>
      </c>
      <c r="HR1" s="18" t="s">
        <v>956</v>
      </c>
      <c r="HS1" s="18" t="s">
        <v>802</v>
      </c>
      <c r="HT1" s="18" t="s">
        <v>803</v>
      </c>
      <c r="HU1" s="18" t="s">
        <v>804</v>
      </c>
      <c r="HV1" s="18" t="s">
        <v>805</v>
      </c>
      <c r="HW1" s="18" t="s">
        <v>806</v>
      </c>
      <c r="HX1" s="18" t="s">
        <v>695</v>
      </c>
      <c r="HY1" s="19" t="s">
        <v>2038</v>
      </c>
      <c r="HZ1" s="18" t="s">
        <v>350</v>
      </c>
      <c r="IA1" s="18" t="s">
        <v>1789</v>
      </c>
      <c r="IB1" s="18" t="s">
        <v>1790</v>
      </c>
      <c r="IC1" s="18" t="s">
        <v>637</v>
      </c>
      <c r="ID1" s="18" t="s">
        <v>1794</v>
      </c>
      <c r="IE1" s="18" t="s">
        <v>1795</v>
      </c>
      <c r="IF1" s="18" t="s">
        <v>463</v>
      </c>
      <c r="IG1" s="18" t="s">
        <v>840</v>
      </c>
      <c r="IH1" s="18" t="s">
        <v>1796</v>
      </c>
      <c r="II1" s="18" t="s">
        <v>1797</v>
      </c>
      <c r="IJ1" s="18" t="s">
        <v>1798</v>
      </c>
      <c r="IK1" s="18" t="s">
        <v>469</v>
      </c>
      <c r="IL1" s="18" t="s">
        <v>1799</v>
      </c>
      <c r="IM1" s="18" t="s">
        <v>771</v>
      </c>
      <c r="IN1" s="18" t="s">
        <v>1800</v>
      </c>
      <c r="IO1" s="18" t="s">
        <v>1801</v>
      </c>
      <c r="IP1" s="18" t="s">
        <v>474</v>
      </c>
      <c r="IQ1" s="18" t="s">
        <v>482</v>
      </c>
      <c r="IR1" s="18" t="s">
        <v>439</v>
      </c>
      <c r="IS1" s="18" t="s">
        <v>440</v>
      </c>
      <c r="IT1" s="18" t="s">
        <v>506</v>
      </c>
      <c r="IU1" s="18" t="s">
        <v>513</v>
      </c>
      <c r="IV1" s="18" t="s">
        <v>599</v>
      </c>
      <c r="IW1" s="18" t="s">
        <v>441</v>
      </c>
      <c r="IX1" s="18" t="s">
        <v>442</v>
      </c>
      <c r="IY1" s="18" t="s">
        <v>443</v>
      </c>
      <c r="IZ1" s="18" t="s">
        <v>444</v>
      </c>
      <c r="JA1" s="18" t="s">
        <v>445</v>
      </c>
      <c r="JB1" s="18" t="s">
        <v>446</v>
      </c>
      <c r="JC1" s="18" t="s">
        <v>447</v>
      </c>
      <c r="JD1" s="18" t="s">
        <v>448</v>
      </c>
      <c r="JE1" s="18" t="s">
        <v>449</v>
      </c>
      <c r="JF1" s="18" t="s">
        <v>450</v>
      </c>
      <c r="JG1" s="18" t="s">
        <v>514</v>
      </c>
      <c r="JH1" s="18" t="s">
        <v>488</v>
      </c>
      <c r="JI1" s="18" t="s">
        <v>496</v>
      </c>
      <c r="JJ1" s="18" t="s">
        <v>451</v>
      </c>
      <c r="JK1" s="18" t="s">
        <v>452</v>
      </c>
      <c r="JL1" s="18" t="s">
        <v>453</v>
      </c>
      <c r="JM1" s="18" t="s">
        <v>1043</v>
      </c>
      <c r="JN1" s="18" t="s">
        <v>739</v>
      </c>
      <c r="JO1" s="18" t="s">
        <v>454</v>
      </c>
      <c r="JP1" s="18" t="s">
        <v>743</v>
      </c>
      <c r="JQ1" s="18" t="s">
        <v>751</v>
      </c>
      <c r="JR1" s="18" t="s">
        <v>455</v>
      </c>
      <c r="JS1" s="18" t="s">
        <v>519</v>
      </c>
      <c r="JT1" s="18" t="s">
        <v>889</v>
      </c>
      <c r="JU1" s="18" t="s">
        <v>520</v>
      </c>
      <c r="JV1" s="18" t="s">
        <v>1052</v>
      </c>
      <c r="JW1" s="18" t="s">
        <v>957</v>
      </c>
      <c r="JX1" s="18" t="s">
        <v>958</v>
      </c>
      <c r="JY1" s="18" t="s">
        <v>959</v>
      </c>
      <c r="JZ1" s="18" t="s">
        <v>960</v>
      </c>
      <c r="KA1" s="18" t="s">
        <v>961</v>
      </c>
      <c r="KB1" s="18" t="s">
        <v>962</v>
      </c>
      <c r="KC1" s="18" t="s">
        <v>963</v>
      </c>
      <c r="KD1" s="18" t="s">
        <v>964</v>
      </c>
      <c r="KE1" s="18" t="s">
        <v>965</v>
      </c>
      <c r="KF1" s="18" t="s">
        <v>966</v>
      </c>
      <c r="KG1" s="18" t="s">
        <v>807</v>
      </c>
      <c r="KH1" s="18" t="s">
        <v>808</v>
      </c>
      <c r="KI1" s="18" t="s">
        <v>809</v>
      </c>
      <c r="KJ1" s="18" t="s">
        <v>811</v>
      </c>
      <c r="KK1" s="18" t="s">
        <v>810</v>
      </c>
      <c r="KL1" s="18" t="s">
        <v>696</v>
      </c>
      <c r="KM1" s="19" t="s">
        <v>2039</v>
      </c>
      <c r="KN1" s="18" t="s">
        <v>394</v>
      </c>
      <c r="KO1" s="18" t="s">
        <v>1802</v>
      </c>
      <c r="KP1" s="18" t="s">
        <v>638</v>
      </c>
      <c r="KQ1" s="18" t="s">
        <v>1804</v>
      </c>
      <c r="KR1" s="18" t="s">
        <v>465</v>
      </c>
      <c r="KS1" s="18" t="s">
        <v>841</v>
      </c>
      <c r="KT1" s="18" t="s">
        <v>1805</v>
      </c>
      <c r="KU1" s="18" t="s">
        <v>1806</v>
      </c>
      <c r="KV1" s="18" t="s">
        <v>1807</v>
      </c>
      <c r="KW1" s="18" t="s">
        <v>471</v>
      </c>
      <c r="KX1" s="18" t="s">
        <v>1808</v>
      </c>
      <c r="KY1" s="18" t="s">
        <v>772</v>
      </c>
      <c r="KZ1" s="18" t="s">
        <v>1809</v>
      </c>
      <c r="LA1" s="18" t="s">
        <v>1810</v>
      </c>
      <c r="LB1" s="18" t="s">
        <v>478</v>
      </c>
      <c r="LC1" s="18" t="s">
        <v>395</v>
      </c>
      <c r="LD1" s="18" t="s">
        <v>396</v>
      </c>
      <c r="LE1" s="18" t="s">
        <v>682</v>
      </c>
      <c r="LF1" s="18" t="s">
        <v>879</v>
      </c>
      <c r="LG1" s="18" t="s">
        <v>508</v>
      </c>
      <c r="LH1" s="18" t="s">
        <v>405</v>
      </c>
      <c r="LI1" s="18" t="s">
        <v>397</v>
      </c>
      <c r="LJ1" s="18" t="s">
        <v>398</v>
      </c>
      <c r="LK1" s="18" t="s">
        <v>399</v>
      </c>
      <c r="LL1" s="18" t="s">
        <v>400</v>
      </c>
      <c r="LM1" s="18" t="s">
        <v>401</v>
      </c>
      <c r="LN1" s="18" t="s">
        <v>403</v>
      </c>
      <c r="LO1" s="18" t="s">
        <v>402</v>
      </c>
      <c r="LP1" s="18" t="s">
        <v>509</v>
      </c>
      <c r="LQ1" s="18" t="s">
        <v>683</v>
      </c>
      <c r="LR1" s="18" t="s">
        <v>684</v>
      </c>
      <c r="LS1" s="18" t="s">
        <v>510</v>
      </c>
      <c r="LT1" s="18" t="s">
        <v>492</v>
      </c>
      <c r="LU1" s="18" t="s">
        <v>404</v>
      </c>
      <c r="LV1" s="18" t="s">
        <v>685</v>
      </c>
      <c r="LW1" s="18" t="s">
        <v>686</v>
      </c>
      <c r="LX1" s="18" t="s">
        <v>732</v>
      </c>
      <c r="LY1" s="18" t="s">
        <v>1044</v>
      </c>
      <c r="LZ1" s="18" t="s">
        <v>406</v>
      </c>
      <c r="MA1" s="18" t="s">
        <v>687</v>
      </c>
      <c r="MB1" s="18" t="s">
        <v>744</v>
      </c>
      <c r="MC1" s="18" t="s">
        <v>752</v>
      </c>
      <c r="MD1" s="18" t="s">
        <v>688</v>
      </c>
      <c r="ME1" s="18" t="s">
        <v>515</v>
      </c>
      <c r="MF1" s="18" t="s">
        <v>761</v>
      </c>
      <c r="MG1" s="18" t="s">
        <v>516</v>
      </c>
      <c r="MH1" s="18" t="s">
        <v>1053</v>
      </c>
      <c r="MI1" s="18" t="s">
        <v>967</v>
      </c>
      <c r="MJ1" s="18" t="s">
        <v>968</v>
      </c>
      <c r="MK1" s="18" t="s">
        <v>969</v>
      </c>
      <c r="ML1" s="18" t="s">
        <v>970</v>
      </c>
      <c r="MM1" s="18" t="s">
        <v>971</v>
      </c>
      <c r="MN1" s="18" t="s">
        <v>976</v>
      </c>
      <c r="MO1" s="18" t="s">
        <v>972</v>
      </c>
      <c r="MP1" s="18" t="s">
        <v>973</v>
      </c>
      <c r="MQ1" s="18" t="s">
        <v>974</v>
      </c>
      <c r="MR1" s="18" t="s">
        <v>975</v>
      </c>
      <c r="MS1" s="18" t="s">
        <v>725</v>
      </c>
      <c r="MT1" s="18" t="s">
        <v>812</v>
      </c>
      <c r="MU1" s="18" t="s">
        <v>813</v>
      </c>
      <c r="MV1" s="18" t="s">
        <v>814</v>
      </c>
      <c r="MW1" s="18" t="s">
        <v>815</v>
      </c>
      <c r="MX1" s="18" t="s">
        <v>816</v>
      </c>
      <c r="MY1" s="18" t="s">
        <v>689</v>
      </c>
      <c r="MZ1" s="19" t="s">
        <v>2040</v>
      </c>
      <c r="NA1" s="18" t="s">
        <v>351</v>
      </c>
      <c r="NB1" s="18" t="s">
        <v>1811</v>
      </c>
      <c r="NC1" s="18" t="s">
        <v>1813</v>
      </c>
      <c r="ND1" s="18" t="s">
        <v>639</v>
      </c>
      <c r="NE1" s="18" t="s">
        <v>1814</v>
      </c>
      <c r="NF1" s="18" t="s">
        <v>1815</v>
      </c>
      <c r="NG1" s="18" t="s">
        <v>645</v>
      </c>
      <c r="NH1" s="18" t="s">
        <v>842</v>
      </c>
      <c r="NI1" s="18" t="s">
        <v>1816</v>
      </c>
      <c r="NJ1" s="18" t="s">
        <v>1817</v>
      </c>
      <c r="NK1" s="18" t="s">
        <v>1818</v>
      </c>
      <c r="NL1" s="18" t="s">
        <v>764</v>
      </c>
      <c r="NM1" s="18" t="s">
        <v>1819</v>
      </c>
      <c r="NN1" s="18" t="s">
        <v>924</v>
      </c>
      <c r="NO1" s="18" t="s">
        <v>1820</v>
      </c>
      <c r="NP1" s="18" t="s">
        <v>1821</v>
      </c>
      <c r="NQ1" s="18" t="s">
        <v>648</v>
      </c>
      <c r="NR1" s="18" t="s">
        <v>765</v>
      </c>
      <c r="NS1" s="18" t="s">
        <v>507</v>
      </c>
      <c r="NT1" s="18" t="s">
        <v>600</v>
      </c>
      <c r="NU1" s="18" t="s">
        <v>407</v>
      </c>
      <c r="NV1" s="18" t="s">
        <v>408</v>
      </c>
      <c r="NW1" s="18" t="s">
        <v>409</v>
      </c>
      <c r="NX1" s="18" t="s">
        <v>410</v>
      </c>
      <c r="NY1" s="18" t="s">
        <v>411</v>
      </c>
      <c r="NZ1" s="18" t="s">
        <v>412</v>
      </c>
      <c r="OA1" s="18" t="s">
        <v>413</v>
      </c>
      <c r="OB1" s="18" t="s">
        <v>414</v>
      </c>
      <c r="OC1" s="18" t="s">
        <v>415</v>
      </c>
      <c r="OD1" s="18" t="s">
        <v>416</v>
      </c>
      <c r="OE1" s="18" t="s">
        <v>1045</v>
      </c>
      <c r="OF1" s="18" t="s">
        <v>1056</v>
      </c>
      <c r="OG1" s="18" t="s">
        <v>417</v>
      </c>
      <c r="OH1" s="18" t="s">
        <v>1047</v>
      </c>
      <c r="OI1" s="18" t="s">
        <v>1046</v>
      </c>
      <c r="OJ1" s="18" t="s">
        <v>740</v>
      </c>
      <c r="OK1" s="18" t="s">
        <v>749</v>
      </c>
      <c r="OL1" s="18" t="s">
        <v>755</v>
      </c>
      <c r="OM1" s="18" t="s">
        <v>756</v>
      </c>
      <c r="ON1" s="18" t="s">
        <v>817</v>
      </c>
      <c r="OO1" s="18" t="s">
        <v>818</v>
      </c>
      <c r="OP1" s="18" t="s">
        <v>819</v>
      </c>
      <c r="OQ1" s="19" t="s">
        <v>2041</v>
      </c>
      <c r="OR1" s="25" t="s">
        <v>354</v>
      </c>
      <c r="OS1" s="25" t="s">
        <v>657</v>
      </c>
      <c r="OT1" s="25" t="s">
        <v>1061</v>
      </c>
      <c r="OU1" s="25" t="s">
        <v>820</v>
      </c>
      <c r="OV1" s="25" t="s">
        <v>821</v>
      </c>
      <c r="OW1" s="28" t="s">
        <v>2042</v>
      </c>
      <c r="OX1" s="18" t="s">
        <v>356</v>
      </c>
      <c r="OY1" s="18" t="s">
        <v>372</v>
      </c>
      <c r="OZ1" s="18" t="s">
        <v>1822</v>
      </c>
      <c r="PA1" s="18" t="s">
        <v>372</v>
      </c>
      <c r="PB1" s="18" t="s">
        <v>1825</v>
      </c>
      <c r="PC1" s="18" t="s">
        <v>1826</v>
      </c>
      <c r="PD1" s="18" t="s">
        <v>490</v>
      </c>
      <c r="PE1" s="18" t="s">
        <v>1829</v>
      </c>
      <c r="PF1" s="18" t="s">
        <v>564</v>
      </c>
      <c r="PG1" s="18" t="s">
        <v>1830</v>
      </c>
      <c r="PH1" s="18" t="s">
        <v>1831</v>
      </c>
      <c r="PI1" s="18" t="s">
        <v>1832</v>
      </c>
      <c r="PJ1" s="18" t="s">
        <v>541</v>
      </c>
      <c r="PK1" s="18" t="s">
        <v>1836</v>
      </c>
      <c r="PL1" s="18" t="s">
        <v>773</v>
      </c>
      <c r="PM1" s="18" t="s">
        <v>1838</v>
      </c>
      <c r="PN1" s="18" t="s">
        <v>1839</v>
      </c>
      <c r="PO1" s="18" t="s">
        <v>703</v>
      </c>
      <c r="PP1" s="18" t="s">
        <v>483</v>
      </c>
      <c r="PQ1" s="18" t="s">
        <v>774</v>
      </c>
      <c r="PR1" s="18" t="s">
        <v>901</v>
      </c>
      <c r="PS1" s="18" t="s">
        <v>880</v>
      </c>
      <c r="PT1" s="18" t="s">
        <v>379</v>
      </c>
      <c r="PU1" s="18" t="s">
        <v>373</v>
      </c>
      <c r="PV1" s="18" t="s">
        <v>619</v>
      </c>
      <c r="PW1" s="18" t="s">
        <v>380</v>
      </c>
      <c r="PX1" s="18" t="s">
        <v>374</v>
      </c>
      <c r="PY1" s="18" t="s">
        <v>375</v>
      </c>
      <c r="PZ1" s="18" t="s">
        <v>376</v>
      </c>
      <c r="QA1" s="18" t="s">
        <v>667</v>
      </c>
      <c r="QB1" s="18" t="s">
        <v>381</v>
      </c>
      <c r="QC1" s="18" t="s">
        <v>377</v>
      </c>
      <c r="QD1" s="18" t="s">
        <v>668</v>
      </c>
      <c r="QE1" s="18" t="s">
        <v>669</v>
      </c>
      <c r="QF1" s="18" t="s">
        <v>489</v>
      </c>
      <c r="QG1" s="18" t="s">
        <v>494</v>
      </c>
      <c r="QH1" s="18" t="s">
        <v>670</v>
      </c>
      <c r="QI1" s="18" t="s">
        <v>733</v>
      </c>
      <c r="QJ1" s="18" t="s">
        <v>741</v>
      </c>
      <c r="QK1" s="18" t="s">
        <v>745</v>
      </c>
      <c r="QL1" s="18" t="s">
        <v>748</v>
      </c>
      <c r="QM1" s="18" t="s">
        <v>498</v>
      </c>
      <c r="QN1" s="18" t="s">
        <v>757</v>
      </c>
      <c r="QO1" s="18" t="s">
        <v>762</v>
      </c>
      <c r="QP1" s="18" t="s">
        <v>977</v>
      </c>
      <c r="QQ1" s="18" t="s">
        <v>978</v>
      </c>
      <c r="QR1" s="18" t="s">
        <v>979</v>
      </c>
      <c r="QS1" s="18" t="s">
        <v>980</v>
      </c>
      <c r="QT1" s="18" t="s">
        <v>981</v>
      </c>
      <c r="QU1" s="18" t="s">
        <v>982</v>
      </c>
      <c r="QV1" s="18" t="s">
        <v>983</v>
      </c>
      <c r="QW1" s="18" t="s">
        <v>984</v>
      </c>
      <c r="QX1" s="18" t="s">
        <v>985</v>
      </c>
      <c r="QY1" s="18" t="s">
        <v>986</v>
      </c>
      <c r="QZ1" s="18" t="s">
        <v>726</v>
      </c>
      <c r="RA1" s="18" t="s">
        <v>822</v>
      </c>
      <c r="RB1" s="18" t="s">
        <v>823</v>
      </c>
      <c r="RC1" s="18" t="s">
        <v>824</v>
      </c>
      <c r="RD1" s="19" t="s">
        <v>2043</v>
      </c>
      <c r="RE1" s="18" t="s">
        <v>357</v>
      </c>
      <c r="RF1" s="18" t="s">
        <v>1841</v>
      </c>
      <c r="RG1" s="18" t="s">
        <v>1842</v>
      </c>
      <c r="RH1" s="18" t="s">
        <v>727</v>
      </c>
      <c r="RI1" s="18" t="s">
        <v>1844</v>
      </c>
      <c r="RJ1" s="18" t="s">
        <v>642</v>
      </c>
      <c r="RK1" s="18" t="s">
        <v>934</v>
      </c>
      <c r="RL1" s="18" t="s">
        <v>935</v>
      </c>
      <c r="RM1" s="18" t="s">
        <v>898</v>
      </c>
      <c r="RN1" s="18" t="s">
        <v>652</v>
      </c>
      <c r="RO1" s="18" t="s">
        <v>987</v>
      </c>
      <c r="RP1" s="18" t="s">
        <v>988</v>
      </c>
      <c r="RQ1" s="18" t="s">
        <v>989</v>
      </c>
      <c r="RR1" s="18" t="s">
        <v>990</v>
      </c>
      <c r="RS1" s="18" t="s">
        <v>991</v>
      </c>
      <c r="RT1" s="18" t="s">
        <v>527</v>
      </c>
      <c r="RU1" s="19" t="s">
        <v>2044</v>
      </c>
      <c r="RV1" s="18" t="s">
        <v>358</v>
      </c>
      <c r="RW1" s="18" t="s">
        <v>1846</v>
      </c>
      <c r="RX1" s="18" t="s">
        <v>1847</v>
      </c>
      <c r="RY1" s="18" t="s">
        <v>359</v>
      </c>
      <c r="RZ1" s="18" t="s">
        <v>1851</v>
      </c>
      <c r="SA1" s="18" t="s">
        <v>1852</v>
      </c>
      <c r="SB1" s="18" t="s">
        <v>464</v>
      </c>
      <c r="SC1" s="18" t="s">
        <v>843</v>
      </c>
      <c r="SD1" s="18" t="s">
        <v>1853</v>
      </c>
      <c r="SE1" s="18" t="s">
        <v>1854</v>
      </c>
      <c r="SF1" s="18" t="s">
        <v>1855</v>
      </c>
      <c r="SG1" s="18" t="s">
        <v>470</v>
      </c>
      <c r="SH1" s="18" t="s">
        <v>1856</v>
      </c>
      <c r="SI1" s="18" t="s">
        <v>775</v>
      </c>
      <c r="SJ1" s="18" t="s">
        <v>1857</v>
      </c>
      <c r="SK1" s="18" t="s">
        <v>1858</v>
      </c>
      <c r="SL1" s="18" t="s">
        <v>477</v>
      </c>
      <c r="SM1" s="18" t="s">
        <v>360</v>
      </c>
      <c r="SN1" s="18" t="s">
        <v>361</v>
      </c>
      <c r="SO1" s="18" t="s">
        <v>658</v>
      </c>
      <c r="SP1" s="18" t="s">
        <v>881</v>
      </c>
      <c r="SQ1" s="18" t="s">
        <v>791</v>
      </c>
      <c r="SR1" s="18" t="s">
        <v>362</v>
      </c>
      <c r="SS1" s="18" t="s">
        <v>621</v>
      </c>
      <c r="ST1" s="18" t="s">
        <v>363</v>
      </c>
      <c r="SU1" s="18" t="s">
        <v>364</v>
      </c>
      <c r="SV1" s="18" t="s">
        <v>365</v>
      </c>
      <c r="SW1" s="18" t="s">
        <v>366</v>
      </c>
      <c r="SX1" s="18" t="s">
        <v>367</v>
      </c>
      <c r="SY1" s="18" t="s">
        <v>368</v>
      </c>
      <c r="SZ1" s="18" t="s">
        <v>659</v>
      </c>
      <c r="TA1" s="18" t="s">
        <v>369</v>
      </c>
      <c r="TB1" s="18" t="s">
        <v>660</v>
      </c>
      <c r="TC1" s="18" t="s">
        <v>661</v>
      </c>
      <c r="TD1" s="18" t="s">
        <v>491</v>
      </c>
      <c r="TE1" s="18" t="s">
        <v>370</v>
      </c>
      <c r="TF1" s="18" t="s">
        <v>662</v>
      </c>
      <c r="TG1" s="18" t="s">
        <v>371</v>
      </c>
      <c r="TH1" s="18" t="s">
        <v>663</v>
      </c>
      <c r="TI1" s="18" t="s">
        <v>734</v>
      </c>
      <c r="TJ1" s="18" t="s">
        <v>735</v>
      </c>
      <c r="TK1" s="18" t="s">
        <v>664</v>
      </c>
      <c r="TL1" s="18" t="s">
        <v>736</v>
      </c>
      <c r="TM1" s="18" t="s">
        <v>665</v>
      </c>
      <c r="TN1" s="18" t="s">
        <v>737</v>
      </c>
      <c r="TO1" s="18" t="s">
        <v>1054</v>
      </c>
      <c r="TP1" s="18" t="s">
        <v>995</v>
      </c>
      <c r="TQ1" s="18" t="s">
        <v>996</v>
      </c>
      <c r="TR1" s="18" t="s">
        <v>997</v>
      </c>
      <c r="TS1" s="18" t="s">
        <v>998</v>
      </c>
      <c r="TT1" s="18" t="s">
        <v>999</v>
      </c>
      <c r="TU1" s="18" t="s">
        <v>1000</v>
      </c>
      <c r="TV1" s="18" t="s">
        <v>1001</v>
      </c>
      <c r="TW1" s="18" t="s">
        <v>1002</v>
      </c>
      <c r="TX1" s="18" t="s">
        <v>1003</v>
      </c>
      <c r="TY1" s="18" t="s">
        <v>825</v>
      </c>
      <c r="TZ1" s="18" t="s">
        <v>826</v>
      </c>
      <c r="UA1" s="18" t="s">
        <v>827</v>
      </c>
      <c r="UB1" s="18" t="s">
        <v>828</v>
      </c>
      <c r="UC1" s="18" t="s">
        <v>829</v>
      </c>
      <c r="UD1" s="18" t="s">
        <v>666</v>
      </c>
      <c r="UE1" s="19" t="s">
        <v>2045</v>
      </c>
      <c r="UF1" s="18" t="s">
        <v>382</v>
      </c>
      <c r="UG1" s="18" t="s">
        <v>1859</v>
      </c>
      <c r="UH1" s="18" t="s">
        <v>729</v>
      </c>
      <c r="UI1" s="18" t="s">
        <v>1862</v>
      </c>
      <c r="UJ1" s="18" t="s">
        <v>2010</v>
      </c>
      <c r="UK1" s="18" t="s">
        <v>644</v>
      </c>
      <c r="UL1" s="18" t="s">
        <v>383</v>
      </c>
      <c r="UM1" s="18" t="s">
        <v>384</v>
      </c>
      <c r="UN1" s="18" t="s">
        <v>385</v>
      </c>
      <c r="UO1" s="18" t="s">
        <v>1863</v>
      </c>
      <c r="UP1" s="18" t="s">
        <v>385</v>
      </c>
      <c r="UQ1" s="18" t="s">
        <v>1864</v>
      </c>
      <c r="UR1" s="18" t="s">
        <v>1865</v>
      </c>
      <c r="US1" s="18" t="s">
        <v>647</v>
      </c>
      <c r="UT1" s="18" t="s">
        <v>386</v>
      </c>
      <c r="UU1" s="18" t="s">
        <v>387</v>
      </c>
      <c r="UV1" s="18" t="s">
        <v>618</v>
      </c>
      <c r="UW1" s="18" t="s">
        <v>388</v>
      </c>
      <c r="UX1" s="18" t="s">
        <v>671</v>
      </c>
      <c r="UY1" s="18" t="s">
        <v>672</v>
      </c>
      <c r="UZ1" s="18" t="s">
        <v>673</v>
      </c>
      <c r="VA1" s="18" t="s">
        <v>674</v>
      </c>
      <c r="VB1" s="18" t="s">
        <v>675</v>
      </c>
      <c r="VC1" s="18" t="s">
        <v>676</v>
      </c>
      <c r="VD1" s="18" t="s">
        <v>1004</v>
      </c>
      <c r="VE1" s="18" t="s">
        <v>1005</v>
      </c>
      <c r="VF1" s="18" t="s">
        <v>1006</v>
      </c>
      <c r="VG1" s="18" t="s">
        <v>1007</v>
      </c>
      <c r="VH1" s="18" t="s">
        <v>1008</v>
      </c>
      <c r="VI1" s="18" t="s">
        <v>1009</v>
      </c>
      <c r="VJ1" s="19" t="s">
        <v>2046</v>
      </c>
      <c r="VK1" s="18" t="s">
        <v>456</v>
      </c>
      <c r="VL1" s="18" t="s">
        <v>1866</v>
      </c>
      <c r="VM1" s="18" t="s">
        <v>776</v>
      </c>
      <c r="VN1" s="18" t="s">
        <v>1870</v>
      </c>
      <c r="VO1" s="18" t="s">
        <v>1871</v>
      </c>
      <c r="VP1" s="18" t="s">
        <v>557</v>
      </c>
      <c r="VQ1" s="18" t="s">
        <v>563</v>
      </c>
      <c r="VR1" s="18" t="s">
        <v>1875</v>
      </c>
      <c r="VS1" s="18" t="s">
        <v>1876</v>
      </c>
      <c r="VT1" s="18" t="s">
        <v>1880</v>
      </c>
      <c r="VU1" s="18" t="s">
        <v>467</v>
      </c>
      <c r="VV1" s="18" t="s">
        <v>1881</v>
      </c>
      <c r="VW1" s="18" t="s">
        <v>865</v>
      </c>
      <c r="VX1" s="18" t="s">
        <v>1883</v>
      </c>
      <c r="VY1" s="18" t="s">
        <v>1884</v>
      </c>
      <c r="VZ1" s="18" t="s">
        <v>472</v>
      </c>
      <c r="WA1" s="18" t="s">
        <v>480</v>
      </c>
      <c r="WB1" s="18" t="s">
        <v>777</v>
      </c>
      <c r="WC1" s="18" t="s">
        <v>587</v>
      </c>
      <c r="WD1" s="18" t="s">
        <v>594</v>
      </c>
      <c r="WE1" s="18" t="s">
        <v>615</v>
      </c>
      <c r="WF1" s="18" t="s">
        <v>792</v>
      </c>
      <c r="WG1" s="18" t="s">
        <v>1057</v>
      </c>
      <c r="WH1" s="18" t="s">
        <v>485</v>
      </c>
      <c r="WI1" s="18" t="s">
        <v>1048</v>
      </c>
      <c r="WJ1" s="18" t="s">
        <v>1049</v>
      </c>
      <c r="WK1" s="18" t="s">
        <v>759</v>
      </c>
      <c r="WL1" s="18" t="s">
        <v>830</v>
      </c>
      <c r="WM1" s="19" t="s">
        <v>2047</v>
      </c>
      <c r="WN1" s="18" t="s">
        <v>460</v>
      </c>
      <c r="WO1" s="18" t="s">
        <v>1887</v>
      </c>
      <c r="WP1" s="18" t="s">
        <v>784</v>
      </c>
      <c r="WQ1" s="18" t="s">
        <v>1890</v>
      </c>
      <c r="WR1" s="18" t="s">
        <v>466</v>
      </c>
      <c r="WS1" s="18" t="s">
        <v>566</v>
      </c>
      <c r="WT1" s="18" t="s">
        <v>1893</v>
      </c>
      <c r="WU1" s="18" t="s">
        <v>1894</v>
      </c>
      <c r="WV1" s="18" t="s">
        <v>1895</v>
      </c>
      <c r="WW1" s="18" t="s">
        <v>906</v>
      </c>
      <c r="WX1" s="18" t="s">
        <v>785</v>
      </c>
      <c r="WY1" s="18" t="s">
        <v>847</v>
      </c>
      <c r="WZ1" s="18" t="s">
        <v>882</v>
      </c>
      <c r="XA1" s="18" t="s">
        <v>902</v>
      </c>
      <c r="XB1" s="18" t="s">
        <v>590</v>
      </c>
      <c r="XC1" s="18" t="s">
        <v>606</v>
      </c>
      <c r="XD1" s="18" t="s">
        <v>623</v>
      </c>
      <c r="XE1" s="18" t="s">
        <v>885</v>
      </c>
      <c r="XF1" s="18" t="s">
        <v>718</v>
      </c>
      <c r="XG1" s="18" t="s">
        <v>753</v>
      </c>
      <c r="XH1" s="19" t="s">
        <v>2048</v>
      </c>
      <c r="XI1" s="18" t="s">
        <v>461</v>
      </c>
      <c r="XJ1" s="18" t="s">
        <v>497</v>
      </c>
      <c r="XK1" s="18" t="s">
        <v>1898</v>
      </c>
      <c r="XL1" s="18" t="s">
        <v>1899</v>
      </c>
      <c r="XM1" s="18" t="s">
        <v>848</v>
      </c>
      <c r="XN1" s="18" t="s">
        <v>866</v>
      </c>
      <c r="XO1" s="18" t="s">
        <v>1903</v>
      </c>
      <c r="XP1" s="18" t="s">
        <v>1904</v>
      </c>
      <c r="XQ1" s="18" t="s">
        <v>1905</v>
      </c>
      <c r="XR1" s="18" t="s">
        <v>909</v>
      </c>
      <c r="XS1" s="18" t="s">
        <v>1906</v>
      </c>
      <c r="XT1" s="18" t="s">
        <v>925</v>
      </c>
      <c r="XU1" s="18" t="s">
        <v>1907</v>
      </c>
      <c r="XV1" s="18" t="s">
        <v>1908</v>
      </c>
      <c r="XW1" s="18" t="s">
        <v>849</v>
      </c>
      <c r="XX1" s="18" t="s">
        <v>1028</v>
      </c>
      <c r="XY1" s="18" t="s">
        <v>1029</v>
      </c>
      <c r="XZ1" s="18" t="s">
        <v>650</v>
      </c>
      <c r="YA1" s="18" t="s">
        <v>719</v>
      </c>
      <c r="YB1" s="18" t="s">
        <v>704</v>
      </c>
      <c r="YC1" s="18" t="s">
        <v>746</v>
      </c>
      <c r="YD1" s="19" t="s">
        <v>2049</v>
      </c>
      <c r="YE1" s="18" t="s">
        <v>2012</v>
      </c>
      <c r="YF1" s="18" t="s">
        <v>1909</v>
      </c>
      <c r="YG1" s="18" t="s">
        <v>793</v>
      </c>
      <c r="YH1" s="18" t="s">
        <v>1912</v>
      </c>
      <c r="YI1" s="18" t="s">
        <v>1913</v>
      </c>
      <c r="YJ1" s="18" t="s">
        <v>641</v>
      </c>
      <c r="YK1" s="18" t="s">
        <v>910</v>
      </c>
      <c r="YL1" s="18" t="s">
        <v>1914</v>
      </c>
      <c r="YM1" s="18" t="s">
        <v>1915</v>
      </c>
      <c r="YN1" s="18" t="s">
        <v>1916</v>
      </c>
      <c r="YO1" s="18" t="s">
        <v>911</v>
      </c>
      <c r="YP1" s="18" t="s">
        <v>1917</v>
      </c>
      <c r="YQ1" s="18" t="s">
        <v>926</v>
      </c>
      <c r="YR1" s="18" t="s">
        <v>1918</v>
      </c>
      <c r="YS1" s="18" t="s">
        <v>1919</v>
      </c>
      <c r="YT1" s="18" t="s">
        <v>646</v>
      </c>
      <c r="YU1" s="18" t="s">
        <v>651</v>
      </c>
      <c r="YV1" s="18" t="s">
        <v>720</v>
      </c>
      <c r="YW1" s="18" t="s">
        <v>705</v>
      </c>
      <c r="YX1" s="19" t="s">
        <v>2050</v>
      </c>
      <c r="YY1" s="18" t="s">
        <v>475</v>
      </c>
      <c r="YZ1" s="18" t="s">
        <v>1920</v>
      </c>
      <c r="ZA1" s="18" t="s">
        <v>778</v>
      </c>
      <c r="ZB1" s="18" t="s">
        <v>707</v>
      </c>
      <c r="ZC1" s="18" t="s">
        <v>913</v>
      </c>
      <c r="ZD1" s="18" t="s">
        <v>1921</v>
      </c>
      <c r="ZE1" s="18" t="s">
        <v>1922</v>
      </c>
      <c r="ZF1" s="18" t="s">
        <v>1923</v>
      </c>
      <c r="ZG1" s="18" t="s">
        <v>578</v>
      </c>
      <c r="ZH1" s="18" t="s">
        <v>779</v>
      </c>
      <c r="ZI1" s="18" t="s">
        <v>584</v>
      </c>
      <c r="ZJ1" s="18" t="s">
        <v>794</v>
      </c>
      <c r="ZK1" s="18" t="s">
        <v>780</v>
      </c>
      <c r="ZL1" s="18" t="s">
        <v>609</v>
      </c>
      <c r="ZM1" s="18" t="s">
        <v>627</v>
      </c>
      <c r="ZN1" s="18" t="s">
        <v>891</v>
      </c>
      <c r="ZO1" s="18" t="s">
        <v>831</v>
      </c>
      <c r="ZP1" s="18" t="s">
        <v>832</v>
      </c>
      <c r="ZQ1" s="18" t="s">
        <v>833</v>
      </c>
      <c r="ZR1" s="19" t="s">
        <v>2051</v>
      </c>
      <c r="ZS1" s="25" t="s">
        <v>476</v>
      </c>
      <c r="ZT1" s="25" t="s">
        <v>708</v>
      </c>
      <c r="ZU1" s="25" t="s">
        <v>479</v>
      </c>
      <c r="ZV1" s="25" t="s">
        <v>709</v>
      </c>
      <c r="ZW1" s="25" t="s">
        <v>493</v>
      </c>
      <c r="ZX1" s="19" t="s">
        <v>2052</v>
      </c>
      <c r="ZY1" s="18" t="s">
        <v>486</v>
      </c>
      <c r="ZZ1" s="18" t="s">
        <v>914</v>
      </c>
      <c r="AAA1" s="18" t="s">
        <v>1924</v>
      </c>
      <c r="AAB1" s="18" t="s">
        <v>1925</v>
      </c>
      <c r="AAC1" s="18" t="s">
        <v>556</v>
      </c>
      <c r="AAD1" s="18" t="s">
        <v>562</v>
      </c>
      <c r="AAE1" s="18" t="s">
        <v>1926</v>
      </c>
      <c r="AAF1" s="18" t="s">
        <v>1927</v>
      </c>
      <c r="AAG1" s="18" t="s">
        <v>1928</v>
      </c>
      <c r="AAH1" s="18" t="s">
        <v>574</v>
      </c>
      <c r="AAI1" s="18" t="s">
        <v>1929</v>
      </c>
      <c r="AAJ1" s="18" t="s">
        <v>927</v>
      </c>
      <c r="AAK1" s="18" t="s">
        <v>1930</v>
      </c>
      <c r="AAL1" s="18" t="s">
        <v>1931</v>
      </c>
      <c r="AAM1" s="18" t="s">
        <v>581</v>
      </c>
      <c r="AAN1" s="18" t="s">
        <v>883</v>
      </c>
      <c r="AAO1" s="18" t="s">
        <v>593</v>
      </c>
      <c r="AAP1" s="18" t="s">
        <v>612</v>
      </c>
      <c r="AAQ1" s="18" t="s">
        <v>1058</v>
      </c>
      <c r="AAR1" s="18" t="s">
        <v>711</v>
      </c>
      <c r="AAS1" s="18" t="s">
        <v>1059</v>
      </c>
      <c r="AAT1" s="19" t="s">
        <v>2053</v>
      </c>
      <c r="AAU1" s="18" t="s">
        <v>500</v>
      </c>
      <c r="AAV1" s="18" t="s">
        <v>1932</v>
      </c>
      <c r="AAW1" s="18" t="s">
        <v>781</v>
      </c>
      <c r="AAX1" s="18" t="s">
        <v>1933</v>
      </c>
      <c r="AAY1" s="18" t="s">
        <v>1934</v>
      </c>
      <c r="AAZ1" s="18" t="s">
        <v>572</v>
      </c>
      <c r="ABA1" s="18" t="s">
        <v>1935</v>
      </c>
      <c r="ABB1" s="18" t="s">
        <v>573</v>
      </c>
      <c r="ABC1" s="18" t="s">
        <v>580</v>
      </c>
      <c r="ABD1" s="18" t="s">
        <v>1936</v>
      </c>
      <c r="ABE1" s="18" t="s">
        <v>867</v>
      </c>
      <c r="ABF1" s="18" t="s">
        <v>1937</v>
      </c>
      <c r="ABG1" s="18" t="s">
        <v>1938</v>
      </c>
      <c r="ABH1" s="18" t="s">
        <v>583</v>
      </c>
      <c r="ABI1" s="18" t="s">
        <v>795</v>
      </c>
      <c r="ABJ1" s="18" t="s">
        <v>782</v>
      </c>
      <c r="ABK1" s="18" t="s">
        <v>1034</v>
      </c>
      <c r="ABL1" s="18" t="s">
        <v>608</v>
      </c>
      <c r="ABM1" s="18" t="s">
        <v>614</v>
      </c>
      <c r="ABN1" s="18" t="s">
        <v>884</v>
      </c>
      <c r="ABO1" s="18" t="s">
        <v>1033</v>
      </c>
      <c r="ABP1" s="18" t="s">
        <v>721</v>
      </c>
      <c r="ABQ1" s="19" t="s">
        <v>2054</v>
      </c>
      <c r="ABR1" s="25" t="s">
        <v>2016</v>
      </c>
      <c r="ABS1" s="25" t="s">
        <v>722</v>
      </c>
      <c r="ABT1" s="25" t="s">
        <v>723</v>
      </c>
      <c r="ABU1" s="25" t="s">
        <v>856</v>
      </c>
      <c r="ABV1" s="28" t="s">
        <v>2055</v>
      </c>
      <c r="ABW1" s="25" t="s">
        <v>502</v>
      </c>
      <c r="ABX1" s="25" t="s">
        <v>931</v>
      </c>
      <c r="ABY1" s="25" t="s">
        <v>932</v>
      </c>
      <c r="ABZ1" s="25" t="s">
        <v>919</v>
      </c>
      <c r="ACA1" s="25" t="s">
        <v>920</v>
      </c>
      <c r="ACB1" s="25" t="s">
        <v>858</v>
      </c>
      <c r="ACC1" s="28" t="s">
        <v>2056</v>
      </c>
      <c r="ACD1" s="18" t="s">
        <v>521</v>
      </c>
      <c r="ACE1" s="18" t="s">
        <v>523</v>
      </c>
      <c r="ACF1" s="18" t="s">
        <v>524</v>
      </c>
      <c r="ACG1" s="18" t="s">
        <v>525</v>
      </c>
      <c r="ACH1" s="18" t="s">
        <v>2030</v>
      </c>
      <c r="ACI1" s="18" t="s">
        <v>1940</v>
      </c>
      <c r="ACJ1" s="18" t="s">
        <v>943</v>
      </c>
      <c r="ACK1" s="18" t="s">
        <v>555</v>
      </c>
      <c r="ACL1" s="18" t="s">
        <v>561</v>
      </c>
      <c r="ACM1" s="18" t="s">
        <v>1942</v>
      </c>
      <c r="ACN1" s="18" t="s">
        <v>1943</v>
      </c>
      <c r="ACO1" s="18" t="s">
        <v>900</v>
      </c>
      <c r="ACP1" s="18" t="s">
        <v>896</v>
      </c>
      <c r="ACQ1" s="19" t="s">
        <v>2057</v>
      </c>
      <c r="ACR1" s="18" t="s">
        <v>530</v>
      </c>
      <c r="ACS1" s="18" t="s">
        <v>531</v>
      </c>
      <c r="ACT1" s="18" t="s">
        <v>532</v>
      </c>
      <c r="ACU1" s="18" t="s">
        <v>536</v>
      </c>
      <c r="ACV1" s="18" t="s">
        <v>545</v>
      </c>
      <c r="ACW1" s="18" t="s">
        <v>577</v>
      </c>
      <c r="ACX1" s="18" t="s">
        <v>582</v>
      </c>
      <c r="ACY1" s="18" t="s">
        <v>616</v>
      </c>
      <c r="ACZ1" s="18" t="s">
        <v>596</v>
      </c>
      <c r="ADA1" s="19" t="s">
        <v>2058</v>
      </c>
      <c r="ADB1" s="18" t="s">
        <v>2021</v>
      </c>
      <c r="ADC1" s="18" t="s">
        <v>850</v>
      </c>
      <c r="ADD1" s="18" t="s">
        <v>869</v>
      </c>
      <c r="ADE1" s="18" t="s">
        <v>851</v>
      </c>
      <c r="ADF1" s="18" t="s">
        <v>921</v>
      </c>
      <c r="ADG1" s="18" t="s">
        <v>922</v>
      </c>
      <c r="ADH1" s="18" t="s">
        <v>1015</v>
      </c>
      <c r="ADI1" s="18" t="s">
        <v>1016</v>
      </c>
      <c r="ADJ1" s="18" t="s">
        <v>1017</v>
      </c>
      <c r="ADK1" s="18" t="s">
        <v>1018</v>
      </c>
      <c r="ADL1" s="18" t="s">
        <v>1019</v>
      </c>
      <c r="ADM1" s="19" t="s">
        <v>2059</v>
      </c>
      <c r="ADN1" s="18" t="s">
        <v>2022</v>
      </c>
      <c r="ADO1" s="18" t="s">
        <v>916</v>
      </c>
      <c r="ADP1" s="18" t="s">
        <v>1944</v>
      </c>
      <c r="ADQ1" s="18" t="s">
        <v>1945</v>
      </c>
      <c r="ADR1" s="18" t="s">
        <v>917</v>
      </c>
      <c r="ADS1" s="18" t="s">
        <v>871</v>
      </c>
      <c r="ADT1" s="18" t="s">
        <v>1946</v>
      </c>
      <c r="ADU1" s="18" t="s">
        <v>1947</v>
      </c>
      <c r="ADV1" s="18" t="s">
        <v>1948</v>
      </c>
      <c r="ADW1" s="18" t="s">
        <v>918</v>
      </c>
      <c r="ADX1" s="18" t="s">
        <v>1949</v>
      </c>
      <c r="ADY1" s="18" t="s">
        <v>929</v>
      </c>
      <c r="ADZ1" s="18" t="s">
        <v>1950</v>
      </c>
      <c r="AEA1" s="18" t="s">
        <v>1951</v>
      </c>
      <c r="AEB1" s="18" t="s">
        <v>853</v>
      </c>
      <c r="AEC1" s="18" t="s">
        <v>852</v>
      </c>
      <c r="AED1" s="18" t="s">
        <v>1010</v>
      </c>
      <c r="AEE1" s="18" t="s">
        <v>1011</v>
      </c>
      <c r="AEF1" s="18" t="s">
        <v>1012</v>
      </c>
      <c r="AEG1" s="18" t="s">
        <v>1013</v>
      </c>
      <c r="AEH1" s="18" t="s">
        <v>1014</v>
      </c>
      <c r="AEI1" s="19" t="s">
        <v>2060</v>
      </c>
    </row>
    <row r="2" spans="1:815" x14ac:dyDescent="0.25">
      <c r="A2" s="20" t="s">
        <v>2065</v>
      </c>
      <c r="B2" s="2" t="s">
        <v>6</v>
      </c>
      <c r="C2" t="s">
        <v>7</v>
      </c>
      <c r="D2">
        <v>70</v>
      </c>
      <c r="E2" t="s">
        <v>8</v>
      </c>
      <c r="F2" t="s">
        <v>9</v>
      </c>
      <c r="G2" t="s">
        <v>9</v>
      </c>
      <c r="I2" t="s">
        <v>243</v>
      </c>
      <c r="J2" t="s">
        <v>9</v>
      </c>
      <c r="K2" t="s">
        <v>242</v>
      </c>
      <c r="L2" t="s">
        <v>301</v>
      </c>
      <c r="M2">
        <v>47</v>
      </c>
      <c r="N2">
        <v>168</v>
      </c>
      <c r="O2" t="s">
        <v>1069</v>
      </c>
      <c r="P2" s="12">
        <v>36615</v>
      </c>
      <c r="Q2" s="12">
        <v>36622</v>
      </c>
      <c r="R2" t="s">
        <v>1203</v>
      </c>
      <c r="S2" t="s">
        <v>1114</v>
      </c>
      <c r="T2" t="s">
        <v>1116</v>
      </c>
      <c r="U2" t="s">
        <v>1112</v>
      </c>
      <c r="V2" t="s">
        <v>1115</v>
      </c>
      <c r="W2" t="s">
        <v>1111</v>
      </c>
      <c r="Z2">
        <v>124</v>
      </c>
      <c r="AD2">
        <v>41</v>
      </c>
      <c r="BA2" s="15">
        <f>COUNTA(Z2:AZ2)</f>
        <v>2</v>
      </c>
      <c r="BB2" t="s">
        <v>341</v>
      </c>
      <c r="BF2">
        <v>20</v>
      </c>
      <c r="BK2">
        <v>75</v>
      </c>
      <c r="BM2">
        <v>74</v>
      </c>
      <c r="CB2" s="15">
        <f>COUNTA(BB2:CA2)</f>
        <v>4</v>
      </c>
      <c r="CC2" t="s">
        <v>345</v>
      </c>
      <c r="CG2">
        <v>61</v>
      </c>
      <c r="CM2" t="s">
        <v>346</v>
      </c>
      <c r="DE2" s="15">
        <f>COUNTA(CC2:DD2)</f>
        <v>3</v>
      </c>
      <c r="DF2" t="s">
        <v>335</v>
      </c>
      <c r="DS2" s="15">
        <f>COUNTA(DG2:DR2)</f>
        <v>0</v>
      </c>
      <c r="EF2" s="15">
        <f>COUNTA(DT2:EE2)</f>
        <v>0</v>
      </c>
      <c r="FI2" s="15">
        <f>COUNTA(EG2:FH2)</f>
        <v>0</v>
      </c>
      <c r="HY2" s="15">
        <f>COUNTA(FJ2:HX2)</f>
        <v>0</v>
      </c>
      <c r="KM2" s="15">
        <f>COUNTA(HZ2:KL2)</f>
        <v>0</v>
      </c>
      <c r="MZ2" s="15">
        <f>COUNTA(KN2:MY2)</f>
        <v>0</v>
      </c>
      <c r="OQ2" s="15">
        <f>COUNTA(NA2:OP2)</f>
        <v>0</v>
      </c>
      <c r="OW2" s="28">
        <f>COUNTA(OR2:OV2)</f>
        <v>0</v>
      </c>
      <c r="RD2" s="15">
        <f>COUNTA(OX2:RC2)</f>
        <v>0</v>
      </c>
      <c r="RU2" s="15">
        <f>COUNTA(RE2:RT2)</f>
        <v>0</v>
      </c>
      <c r="UE2" s="15">
        <f>COUNTA(RV2:UD2)</f>
        <v>0</v>
      </c>
      <c r="VJ2" s="15">
        <f>COUNTA(UF2:VI2)</f>
        <v>0</v>
      </c>
      <c r="WM2" s="15">
        <f>COUNTA(VK2:WL2)</f>
        <v>0</v>
      </c>
      <c r="XH2" s="15">
        <f>COUNTA(WN2:XG2)</f>
        <v>0</v>
      </c>
      <c r="YD2" s="15">
        <f>COUNTA(XI2:YC2)</f>
        <v>0</v>
      </c>
      <c r="YX2" s="15">
        <f>COUNTA(YE2:YW2)</f>
        <v>0</v>
      </c>
      <c r="ZR2" s="15">
        <f>COUNTA(YY2:ZQ2)</f>
        <v>0</v>
      </c>
      <c r="ZX2" s="15">
        <f>COUNTA(ZS2:ZW2)</f>
        <v>0</v>
      </c>
      <c r="AAT2" s="15">
        <f>COUNTA(ZY2:AAS2)</f>
        <v>0</v>
      </c>
      <c r="ABQ2" s="15">
        <f>COUNTA(AAU2,ABP2)</f>
        <v>0</v>
      </c>
      <c r="ABV2" s="28">
        <f>COUNTA(ABR2:ABU2)</f>
        <v>0</v>
      </c>
      <c r="ACC2" s="28">
        <f>COUNTA(ABW2:ACB2)</f>
        <v>0</v>
      </c>
      <c r="ACQ2" s="15">
        <f>COUNTA(ACH2:ACP2)</f>
        <v>0</v>
      </c>
      <c r="ADA2" s="15">
        <f>COUNTA(ACV2:ACZ2)</f>
        <v>0</v>
      </c>
      <c r="ADM2" s="15">
        <f>COUNTA(ADB2:ADL2)</f>
        <v>0</v>
      </c>
      <c r="AEI2" s="15">
        <f>COUNTA(ADN2:AEH2)</f>
        <v>0</v>
      </c>
    </row>
    <row r="3" spans="1:815" x14ac:dyDescent="0.25">
      <c r="A3" s="20" t="s">
        <v>2065</v>
      </c>
      <c r="B3" s="2" t="s">
        <v>11</v>
      </c>
      <c r="C3" t="s">
        <v>10</v>
      </c>
      <c r="D3">
        <v>58</v>
      </c>
      <c r="E3" t="s">
        <v>8</v>
      </c>
      <c r="F3" t="s">
        <v>15</v>
      </c>
      <c r="G3" t="s">
        <v>9</v>
      </c>
      <c r="H3" t="s">
        <v>244</v>
      </c>
      <c r="I3" t="s">
        <v>243</v>
      </c>
      <c r="J3" t="s">
        <v>9</v>
      </c>
      <c r="L3" t="s">
        <v>301</v>
      </c>
      <c r="M3">
        <v>65</v>
      </c>
      <c r="N3">
        <v>150</v>
      </c>
      <c r="O3" t="s">
        <v>1070</v>
      </c>
      <c r="T3" t="s">
        <v>1119</v>
      </c>
      <c r="U3" t="s">
        <v>1117</v>
      </c>
      <c r="V3" t="s">
        <v>1125</v>
      </c>
      <c r="W3" t="s">
        <v>1126</v>
      </c>
      <c r="BA3" s="15">
        <f t="shared" ref="BA3:BA66" si="0">COUNTA(Z3:AZ3)</f>
        <v>0</v>
      </c>
      <c r="CB3" s="15">
        <f t="shared" ref="CB3:CB66" si="1">COUNTA(BB3:CA3)</f>
        <v>0</v>
      </c>
      <c r="DE3" s="15">
        <f t="shared" ref="DE3:DE66" si="2">COUNTA(CC3:DD3)</f>
        <v>0</v>
      </c>
      <c r="DS3" s="15">
        <f t="shared" ref="DS3:DS66" si="3">COUNTA(DG3:DR3)</f>
        <v>0</v>
      </c>
      <c r="EF3" s="15">
        <f t="shared" ref="EF3:EF66" si="4">COUNTA(DT3:EE3)</f>
        <v>0</v>
      </c>
      <c r="FI3" s="15">
        <f t="shared" ref="FI3:FI66" si="5">COUNTA(EG3:FH3)</f>
        <v>0</v>
      </c>
      <c r="FJ3">
        <v>13</v>
      </c>
      <c r="HY3" s="15">
        <f t="shared" ref="HY3:HY66" si="6">COUNTA(FJ3:HX3)</f>
        <v>1</v>
      </c>
      <c r="HZ3">
        <v>24</v>
      </c>
      <c r="KM3" s="15">
        <f t="shared" ref="KM3:KM66" si="7">COUNTA(HZ3:KL3)</f>
        <v>1</v>
      </c>
      <c r="KN3">
        <v>49</v>
      </c>
      <c r="MZ3" s="15">
        <f t="shared" ref="MZ3:MZ66" si="8">COUNTA(KN3:MY3)</f>
        <v>1</v>
      </c>
      <c r="NA3">
        <v>222</v>
      </c>
      <c r="OQ3" s="15">
        <f t="shared" ref="OQ3:OQ66" si="9">COUNTA(NA3:OP3)</f>
        <v>1</v>
      </c>
      <c r="OW3" s="28">
        <f t="shared" ref="OW3:OW66" si="10">COUNTA(OR3:OV3)</f>
        <v>0</v>
      </c>
      <c r="RD3" s="15">
        <f t="shared" ref="RD3:RD66" si="11">COUNTA(OX3:RC3)</f>
        <v>0</v>
      </c>
      <c r="RU3" s="15">
        <f t="shared" ref="RU3:RU66" si="12">COUNTA(RE3:RT3)</f>
        <v>0</v>
      </c>
      <c r="UE3" s="15">
        <f t="shared" ref="UE3:UE66" si="13">COUNTA(RV3:UD3)</f>
        <v>0</v>
      </c>
      <c r="VJ3" s="15">
        <f t="shared" ref="VJ3:VJ66" si="14">COUNTA(UF3:VI3)</f>
        <v>0</v>
      </c>
      <c r="WM3" s="15">
        <f t="shared" ref="WM3:WM66" si="15">COUNTA(VK3:WL3)</f>
        <v>0</v>
      </c>
      <c r="XH3" s="15">
        <f t="shared" ref="XH3:XH66" si="16">COUNTA(WN3:XG3)</f>
        <v>0</v>
      </c>
      <c r="YD3" s="15">
        <f t="shared" ref="YD3:YD66" si="17">COUNTA(XI3:YC3)</f>
        <v>0</v>
      </c>
      <c r="YX3" s="15">
        <f t="shared" ref="YX3:YX66" si="18">COUNTA(YE3:YW3)</f>
        <v>0</v>
      </c>
      <c r="ZR3" s="15">
        <f t="shared" ref="ZR3:ZR66" si="19">COUNTA(YY3:ZQ3)</f>
        <v>0</v>
      </c>
      <c r="ZX3" s="15">
        <f t="shared" ref="ZX3:ZX66" si="20">COUNTA(ZS3:ZW3)</f>
        <v>0</v>
      </c>
      <c r="AAT3" s="15">
        <f t="shared" ref="AAT3:AAT66" si="21">COUNTA(ZY3:AAS3)</f>
        <v>0</v>
      </c>
      <c r="ABQ3" s="15">
        <f t="shared" ref="ABQ3:ABQ66" si="22">COUNTA(AAU3,ABP3)</f>
        <v>0</v>
      </c>
      <c r="ABV3" s="28">
        <f t="shared" ref="ABV3:ABV66" si="23">COUNTA(ABR3:ABU3)</f>
        <v>0</v>
      </c>
      <c r="ACC3" s="28">
        <f t="shared" ref="ACC3:ACC66" si="24">COUNTA(ABW3:ACB3)</f>
        <v>0</v>
      </c>
      <c r="ACQ3" s="15">
        <f t="shared" ref="ACQ3:ACQ66" si="25">COUNTA(ACH3:ACP3)</f>
        <v>0</v>
      </c>
      <c r="ADA3" s="15">
        <f t="shared" ref="ADA3:ADA66" si="26">COUNTA(ACV3:ACZ3)</f>
        <v>0</v>
      </c>
      <c r="ADM3" s="15">
        <f t="shared" ref="ADM3:ADM66" si="27">COUNTA(ADB3:ADL3)</f>
        <v>0</v>
      </c>
      <c r="AEI3" s="15">
        <f t="shared" ref="AEI3:AEI66" si="28">COUNTA(ADN3:AEH3)</f>
        <v>0</v>
      </c>
    </row>
    <row r="4" spans="1:815" x14ac:dyDescent="0.25">
      <c r="A4" s="20" t="s">
        <v>2065</v>
      </c>
      <c r="B4" s="2" t="s">
        <v>12</v>
      </c>
      <c r="C4" t="s">
        <v>13</v>
      </c>
      <c r="D4">
        <v>15</v>
      </c>
      <c r="E4" t="s">
        <v>14</v>
      </c>
      <c r="F4" t="s">
        <v>9</v>
      </c>
      <c r="G4" t="s">
        <v>9</v>
      </c>
      <c r="H4" t="s">
        <v>245</v>
      </c>
      <c r="I4" t="s">
        <v>243</v>
      </c>
      <c r="J4" t="s">
        <v>9</v>
      </c>
      <c r="L4" t="s">
        <v>301</v>
      </c>
      <c r="M4">
        <v>78</v>
      </c>
      <c r="N4">
        <v>173</v>
      </c>
      <c r="O4" t="s">
        <v>1071</v>
      </c>
      <c r="T4" t="s">
        <v>1120</v>
      </c>
      <c r="V4" t="s">
        <v>1124</v>
      </c>
      <c r="W4" t="s">
        <v>1127</v>
      </c>
      <c r="BA4" s="15">
        <f t="shared" si="0"/>
        <v>0</v>
      </c>
      <c r="CB4" s="15">
        <f t="shared" si="1"/>
        <v>0</v>
      </c>
      <c r="DE4" s="15">
        <f t="shared" si="2"/>
        <v>0</v>
      </c>
      <c r="DS4" s="15">
        <f t="shared" si="3"/>
        <v>0</v>
      </c>
      <c r="EF4" s="15">
        <f t="shared" si="4"/>
        <v>0</v>
      </c>
      <c r="ER4">
        <v>200</v>
      </c>
      <c r="FI4" s="15">
        <f t="shared" si="5"/>
        <v>1</v>
      </c>
      <c r="FN4">
        <v>28</v>
      </c>
      <c r="HY4" s="15">
        <f t="shared" si="6"/>
        <v>1</v>
      </c>
      <c r="IC4">
        <v>32</v>
      </c>
      <c r="KM4" s="15">
        <f t="shared" si="7"/>
        <v>1</v>
      </c>
      <c r="MZ4" s="15">
        <f t="shared" si="8"/>
        <v>0</v>
      </c>
      <c r="ND4">
        <v>249</v>
      </c>
      <c r="OQ4" s="15">
        <f t="shared" si="9"/>
        <v>1</v>
      </c>
      <c r="OR4" s="25" t="s">
        <v>355</v>
      </c>
      <c r="OW4" s="28">
        <f t="shared" si="10"/>
        <v>1</v>
      </c>
      <c r="RD4" s="15">
        <f t="shared" si="11"/>
        <v>0</v>
      </c>
      <c r="RU4" s="15">
        <f t="shared" si="12"/>
        <v>0</v>
      </c>
      <c r="UE4" s="15">
        <f t="shared" si="13"/>
        <v>0</v>
      </c>
      <c r="VJ4" s="15">
        <f t="shared" si="14"/>
        <v>0</v>
      </c>
      <c r="WM4" s="15">
        <f t="shared" si="15"/>
        <v>0</v>
      </c>
      <c r="XH4" s="15">
        <f t="shared" si="16"/>
        <v>0</v>
      </c>
      <c r="YD4" s="15">
        <f t="shared" si="17"/>
        <v>0</v>
      </c>
      <c r="YX4" s="15">
        <f t="shared" si="18"/>
        <v>0</v>
      </c>
      <c r="ZR4" s="15">
        <f t="shared" si="19"/>
        <v>0</v>
      </c>
      <c r="ZX4" s="15">
        <f t="shared" si="20"/>
        <v>0</v>
      </c>
      <c r="AAT4" s="15">
        <f t="shared" si="21"/>
        <v>0</v>
      </c>
      <c r="ABQ4" s="15">
        <f t="shared" si="22"/>
        <v>0</v>
      </c>
      <c r="ABV4" s="28">
        <f t="shared" si="23"/>
        <v>0</v>
      </c>
      <c r="ACC4" s="28">
        <f t="shared" si="24"/>
        <v>0</v>
      </c>
      <c r="ACQ4" s="15">
        <f t="shared" si="25"/>
        <v>0</v>
      </c>
      <c r="ADA4" s="15">
        <f t="shared" si="26"/>
        <v>0</v>
      </c>
      <c r="ADM4" s="15">
        <f t="shared" si="27"/>
        <v>0</v>
      </c>
      <c r="AEI4" s="15">
        <f t="shared" si="28"/>
        <v>0</v>
      </c>
    </row>
    <row r="5" spans="1:815" x14ac:dyDescent="0.25">
      <c r="A5" s="20" t="s">
        <v>2065</v>
      </c>
      <c r="B5" s="2" t="s">
        <v>16</v>
      </c>
      <c r="C5" t="s">
        <v>17</v>
      </c>
      <c r="D5">
        <v>36</v>
      </c>
      <c r="E5" t="s">
        <v>8</v>
      </c>
      <c r="F5" t="s">
        <v>15</v>
      </c>
      <c r="G5" t="s">
        <v>9</v>
      </c>
      <c r="H5" t="s">
        <v>246</v>
      </c>
      <c r="I5" t="s">
        <v>243</v>
      </c>
      <c r="J5" t="s">
        <v>9</v>
      </c>
      <c r="L5" t="s">
        <v>301</v>
      </c>
      <c r="M5">
        <v>62</v>
      </c>
      <c r="N5">
        <v>155</v>
      </c>
      <c r="O5" t="s">
        <v>1072</v>
      </c>
      <c r="T5" t="s">
        <v>1121</v>
      </c>
      <c r="U5" t="s">
        <v>1122</v>
      </c>
      <c r="V5" t="s">
        <v>1123</v>
      </c>
      <c r="W5" t="s">
        <v>1128</v>
      </c>
      <c r="BA5" s="15">
        <f t="shared" si="0"/>
        <v>0</v>
      </c>
      <c r="CB5" s="15">
        <f t="shared" si="1"/>
        <v>0</v>
      </c>
      <c r="DE5" s="15">
        <f t="shared" si="2"/>
        <v>0</v>
      </c>
      <c r="DS5" s="15">
        <f t="shared" si="3"/>
        <v>0</v>
      </c>
      <c r="EF5" s="15">
        <f t="shared" si="4"/>
        <v>0</v>
      </c>
      <c r="EI5">
        <v>11.64</v>
      </c>
      <c r="FI5" s="15">
        <f t="shared" si="5"/>
        <v>1</v>
      </c>
      <c r="FJ5">
        <v>15</v>
      </c>
      <c r="HY5" s="15">
        <f t="shared" si="6"/>
        <v>1</v>
      </c>
      <c r="HZ5">
        <v>28</v>
      </c>
      <c r="KM5" s="15">
        <f t="shared" si="7"/>
        <v>1</v>
      </c>
      <c r="KN5">
        <v>45</v>
      </c>
      <c r="MZ5" s="15">
        <f t="shared" si="8"/>
        <v>1</v>
      </c>
      <c r="NA5">
        <v>144</v>
      </c>
      <c r="OQ5" s="15">
        <f t="shared" si="9"/>
        <v>1</v>
      </c>
      <c r="OS5" s="25">
        <v>6.8</v>
      </c>
      <c r="OW5" s="28">
        <f t="shared" si="10"/>
        <v>1</v>
      </c>
      <c r="RD5" s="15">
        <f t="shared" si="11"/>
        <v>0</v>
      </c>
      <c r="RU5" s="15">
        <f t="shared" si="12"/>
        <v>0</v>
      </c>
      <c r="UE5" s="15">
        <f t="shared" si="13"/>
        <v>0</v>
      </c>
      <c r="VJ5" s="15">
        <f t="shared" si="14"/>
        <v>0</v>
      </c>
      <c r="WM5" s="15">
        <f t="shared" si="15"/>
        <v>0</v>
      </c>
      <c r="XH5" s="15">
        <f t="shared" si="16"/>
        <v>0</v>
      </c>
      <c r="YD5" s="15">
        <f t="shared" si="17"/>
        <v>0</v>
      </c>
      <c r="YX5" s="15">
        <f t="shared" si="18"/>
        <v>0</v>
      </c>
      <c r="ZR5" s="15">
        <f t="shared" si="19"/>
        <v>0</v>
      </c>
      <c r="ZX5" s="15">
        <f t="shared" si="20"/>
        <v>0</v>
      </c>
      <c r="AAT5" s="15">
        <f t="shared" si="21"/>
        <v>0</v>
      </c>
      <c r="ABQ5" s="15">
        <f t="shared" si="22"/>
        <v>0</v>
      </c>
      <c r="ABV5" s="28">
        <f t="shared" si="23"/>
        <v>0</v>
      </c>
      <c r="ACC5" s="28">
        <f t="shared" si="24"/>
        <v>0</v>
      </c>
      <c r="ACQ5" s="15">
        <f t="shared" si="25"/>
        <v>0</v>
      </c>
      <c r="ADA5" s="15">
        <f t="shared" si="26"/>
        <v>0</v>
      </c>
      <c r="ADM5" s="15">
        <f t="shared" si="27"/>
        <v>0</v>
      </c>
      <c r="AEI5" s="15">
        <f t="shared" si="28"/>
        <v>0</v>
      </c>
    </row>
    <row r="6" spans="1:815" x14ac:dyDescent="0.25">
      <c r="B6" s="2" t="s">
        <v>18</v>
      </c>
      <c r="C6" t="s">
        <v>19</v>
      </c>
      <c r="D6">
        <v>69</v>
      </c>
      <c r="E6" t="s">
        <v>8</v>
      </c>
      <c r="F6" t="s">
        <v>9</v>
      </c>
      <c r="G6" t="s">
        <v>9</v>
      </c>
      <c r="I6" t="s">
        <v>243</v>
      </c>
      <c r="J6" t="s">
        <v>9</v>
      </c>
      <c r="L6" t="s">
        <v>302</v>
      </c>
      <c r="S6" t="s">
        <v>1129</v>
      </c>
      <c r="W6" t="s">
        <v>1130</v>
      </c>
      <c r="BA6" s="15">
        <f t="shared" si="0"/>
        <v>0</v>
      </c>
      <c r="BB6">
        <v>7</v>
      </c>
      <c r="CB6" s="15">
        <f t="shared" si="1"/>
        <v>1</v>
      </c>
      <c r="DE6" s="15">
        <f t="shared" si="2"/>
        <v>0</v>
      </c>
      <c r="DS6" s="15">
        <f t="shared" si="3"/>
        <v>0</v>
      </c>
      <c r="EF6" s="15">
        <f t="shared" si="4"/>
        <v>0</v>
      </c>
      <c r="FI6" s="15">
        <f t="shared" si="5"/>
        <v>0</v>
      </c>
      <c r="HY6" s="15">
        <f t="shared" si="6"/>
        <v>0</v>
      </c>
      <c r="KM6" s="15">
        <f t="shared" si="7"/>
        <v>0</v>
      </c>
      <c r="MZ6" s="15">
        <f t="shared" si="8"/>
        <v>0</v>
      </c>
      <c r="OQ6" s="15">
        <f t="shared" si="9"/>
        <v>0</v>
      </c>
      <c r="OW6" s="28">
        <f t="shared" si="10"/>
        <v>0</v>
      </c>
      <c r="RD6" s="15">
        <f t="shared" si="11"/>
        <v>0</v>
      </c>
      <c r="RU6" s="15">
        <f t="shared" si="12"/>
        <v>0</v>
      </c>
      <c r="UE6" s="15">
        <f t="shared" si="13"/>
        <v>0</v>
      </c>
      <c r="VJ6" s="15">
        <f t="shared" si="14"/>
        <v>0</v>
      </c>
      <c r="WM6" s="15">
        <f t="shared" si="15"/>
        <v>0</v>
      </c>
      <c r="XH6" s="15">
        <f t="shared" si="16"/>
        <v>0</v>
      </c>
      <c r="YD6" s="15">
        <f t="shared" si="17"/>
        <v>0</v>
      </c>
      <c r="YX6" s="15">
        <f t="shared" si="18"/>
        <v>0</v>
      </c>
      <c r="ZR6" s="15">
        <f t="shared" si="19"/>
        <v>0</v>
      </c>
      <c r="ZX6" s="15">
        <f t="shared" si="20"/>
        <v>0</v>
      </c>
      <c r="AAT6" s="15">
        <f t="shared" si="21"/>
        <v>0</v>
      </c>
      <c r="ABQ6" s="15">
        <f t="shared" si="22"/>
        <v>0</v>
      </c>
      <c r="ABV6" s="28">
        <f t="shared" si="23"/>
        <v>0</v>
      </c>
      <c r="ACC6" s="28">
        <f t="shared" si="24"/>
        <v>0</v>
      </c>
      <c r="ACQ6" s="15">
        <f t="shared" si="25"/>
        <v>0</v>
      </c>
      <c r="ADA6" s="15">
        <f t="shared" si="26"/>
        <v>0</v>
      </c>
      <c r="ADM6" s="15">
        <f t="shared" si="27"/>
        <v>0</v>
      </c>
      <c r="AEI6" s="15">
        <f t="shared" si="28"/>
        <v>0</v>
      </c>
    </row>
    <row r="7" spans="1:815" x14ac:dyDescent="0.25">
      <c r="B7" s="4" t="s">
        <v>20</v>
      </c>
      <c r="C7" t="s">
        <v>21</v>
      </c>
      <c r="D7">
        <v>24</v>
      </c>
      <c r="E7" t="s">
        <v>8</v>
      </c>
      <c r="F7" t="s">
        <v>9</v>
      </c>
      <c r="G7" t="s">
        <v>9</v>
      </c>
      <c r="I7" t="s">
        <v>9</v>
      </c>
      <c r="J7" t="s">
        <v>9</v>
      </c>
      <c r="K7" t="s">
        <v>1134</v>
      </c>
      <c r="L7" t="s">
        <v>1136</v>
      </c>
      <c r="M7">
        <v>50</v>
      </c>
      <c r="N7">
        <v>163</v>
      </c>
      <c r="O7" t="s">
        <v>1073</v>
      </c>
      <c r="P7" s="10">
        <v>36619</v>
      </c>
      <c r="Q7" s="10">
        <v>36619</v>
      </c>
      <c r="R7" t="s">
        <v>1133</v>
      </c>
      <c r="S7" t="s">
        <v>1131</v>
      </c>
      <c r="V7" t="s">
        <v>1132</v>
      </c>
      <c r="W7" t="s">
        <v>1135</v>
      </c>
      <c r="BA7" s="15">
        <f t="shared" si="0"/>
        <v>0</v>
      </c>
      <c r="BB7">
        <v>18</v>
      </c>
      <c r="CB7" s="15">
        <f t="shared" si="1"/>
        <v>1</v>
      </c>
      <c r="DE7" s="15">
        <f t="shared" si="2"/>
        <v>0</v>
      </c>
      <c r="DS7" s="15">
        <f t="shared" si="3"/>
        <v>0</v>
      </c>
      <c r="EF7" s="15">
        <f t="shared" si="4"/>
        <v>0</v>
      </c>
      <c r="FI7" s="15">
        <f t="shared" si="5"/>
        <v>0</v>
      </c>
      <c r="FJ7">
        <v>5300</v>
      </c>
      <c r="FK7">
        <v>136</v>
      </c>
      <c r="HY7" s="15">
        <f t="shared" si="6"/>
        <v>2</v>
      </c>
      <c r="HZ7">
        <v>849</v>
      </c>
      <c r="KM7" s="15">
        <f t="shared" si="7"/>
        <v>1</v>
      </c>
      <c r="MZ7" s="15">
        <f t="shared" si="8"/>
        <v>0</v>
      </c>
      <c r="OQ7" s="15">
        <f t="shared" si="9"/>
        <v>0</v>
      </c>
      <c r="OW7" s="28">
        <f t="shared" si="10"/>
        <v>0</v>
      </c>
      <c r="OX7">
        <v>100</v>
      </c>
      <c r="RD7" s="15">
        <f t="shared" si="11"/>
        <v>1</v>
      </c>
      <c r="RE7">
        <v>128</v>
      </c>
      <c r="RU7" s="15">
        <f t="shared" si="12"/>
        <v>1</v>
      </c>
      <c r="UE7" s="15">
        <f t="shared" si="13"/>
        <v>0</v>
      </c>
      <c r="VJ7" s="15">
        <f t="shared" si="14"/>
        <v>0</v>
      </c>
      <c r="WM7" s="15">
        <f t="shared" si="15"/>
        <v>0</v>
      </c>
      <c r="XH7" s="15">
        <f t="shared" si="16"/>
        <v>0</v>
      </c>
      <c r="YD7" s="15">
        <f t="shared" si="17"/>
        <v>0</v>
      </c>
      <c r="YX7" s="15">
        <f t="shared" si="18"/>
        <v>0</v>
      </c>
      <c r="ZR7" s="15">
        <f t="shared" si="19"/>
        <v>0</v>
      </c>
      <c r="ZX7" s="15">
        <f t="shared" si="20"/>
        <v>0</v>
      </c>
      <c r="AAT7" s="15">
        <f t="shared" si="21"/>
        <v>0</v>
      </c>
      <c r="ABQ7" s="15">
        <f t="shared" si="22"/>
        <v>0</v>
      </c>
      <c r="ABV7" s="28">
        <f t="shared" si="23"/>
        <v>0</v>
      </c>
      <c r="ACC7" s="28">
        <f t="shared" si="24"/>
        <v>0</v>
      </c>
      <c r="ACQ7" s="15">
        <f t="shared" si="25"/>
        <v>0</v>
      </c>
      <c r="ADA7" s="15">
        <f t="shared" si="26"/>
        <v>0</v>
      </c>
      <c r="ADM7" s="15">
        <f t="shared" si="27"/>
        <v>0</v>
      </c>
      <c r="AEI7" s="15">
        <f t="shared" si="28"/>
        <v>0</v>
      </c>
    </row>
    <row r="8" spans="1:815" x14ac:dyDescent="0.25">
      <c r="B8" s="2" t="s">
        <v>22</v>
      </c>
      <c r="C8" t="s">
        <v>23</v>
      </c>
      <c r="D8">
        <v>59</v>
      </c>
      <c r="E8" t="s">
        <v>8</v>
      </c>
      <c r="F8" t="s">
        <v>9</v>
      </c>
      <c r="G8" t="s">
        <v>9</v>
      </c>
      <c r="H8" t="s">
        <v>1141</v>
      </c>
      <c r="I8" t="s">
        <v>15</v>
      </c>
      <c r="J8" t="s">
        <v>9</v>
      </c>
      <c r="L8" t="s">
        <v>1139</v>
      </c>
      <c r="M8">
        <v>95</v>
      </c>
      <c r="P8" s="10">
        <v>36573</v>
      </c>
      <c r="Q8" s="10">
        <v>36585</v>
      </c>
      <c r="R8" t="s">
        <v>1525</v>
      </c>
      <c r="S8" t="s">
        <v>1138</v>
      </c>
      <c r="T8" t="s">
        <v>1140</v>
      </c>
      <c r="U8" t="s">
        <v>1143</v>
      </c>
      <c r="W8" t="s">
        <v>1144</v>
      </c>
      <c r="AR8">
        <v>20</v>
      </c>
      <c r="AS8">
        <v>12</v>
      </c>
      <c r="AT8">
        <v>8</v>
      </c>
      <c r="AU8">
        <v>8</v>
      </c>
      <c r="AV8">
        <v>8</v>
      </c>
      <c r="AW8">
        <v>9</v>
      </c>
      <c r="BA8" s="15">
        <f t="shared" si="0"/>
        <v>6</v>
      </c>
      <c r="BB8">
        <v>100</v>
      </c>
      <c r="BT8">
        <v>100</v>
      </c>
      <c r="BU8">
        <v>100</v>
      </c>
      <c r="BV8">
        <v>100</v>
      </c>
      <c r="BW8">
        <v>100</v>
      </c>
      <c r="BY8">
        <v>100</v>
      </c>
      <c r="CB8" s="15">
        <f t="shared" si="1"/>
        <v>6</v>
      </c>
      <c r="CC8">
        <v>25</v>
      </c>
      <c r="CN8">
        <v>43</v>
      </c>
      <c r="CO8">
        <v>37</v>
      </c>
      <c r="CP8">
        <v>25</v>
      </c>
      <c r="CQ8">
        <v>26</v>
      </c>
      <c r="CW8">
        <v>29</v>
      </c>
      <c r="CX8">
        <v>26</v>
      </c>
      <c r="CY8">
        <v>23</v>
      </c>
      <c r="CZ8">
        <v>23</v>
      </c>
      <c r="DB8">
        <v>23</v>
      </c>
      <c r="DE8" s="15">
        <f t="shared" si="2"/>
        <v>10</v>
      </c>
      <c r="DS8" s="15">
        <f t="shared" si="3"/>
        <v>0</v>
      </c>
      <c r="EF8" s="15">
        <f t="shared" si="4"/>
        <v>0</v>
      </c>
      <c r="FI8" s="15">
        <f t="shared" si="5"/>
        <v>0</v>
      </c>
      <c r="FJ8">
        <v>14</v>
      </c>
      <c r="GC8">
        <v>13</v>
      </c>
      <c r="GD8">
        <v>26</v>
      </c>
      <c r="GH8">
        <v>42</v>
      </c>
      <c r="GI8">
        <v>88</v>
      </c>
      <c r="GJ8">
        <v>104</v>
      </c>
      <c r="GK8">
        <v>125</v>
      </c>
      <c r="GL8">
        <v>105</v>
      </c>
      <c r="GM8">
        <v>70</v>
      </c>
      <c r="GN8">
        <v>51</v>
      </c>
      <c r="GO8">
        <v>41</v>
      </c>
      <c r="GP8">
        <v>36</v>
      </c>
      <c r="GQ8">
        <v>21</v>
      </c>
      <c r="GU8">
        <v>17</v>
      </c>
      <c r="GV8">
        <v>14</v>
      </c>
      <c r="GW8">
        <v>12</v>
      </c>
      <c r="GZ8">
        <v>13</v>
      </c>
      <c r="HC8">
        <v>13</v>
      </c>
      <c r="HX8">
        <v>125</v>
      </c>
      <c r="HY8" s="15">
        <f t="shared" si="6"/>
        <v>19</v>
      </c>
      <c r="HZ8">
        <v>27</v>
      </c>
      <c r="IR8">
        <v>36</v>
      </c>
      <c r="IS8">
        <v>58</v>
      </c>
      <c r="IW8">
        <v>110</v>
      </c>
      <c r="IX8">
        <v>205</v>
      </c>
      <c r="IY8">
        <v>277</v>
      </c>
      <c r="IZ8">
        <v>343</v>
      </c>
      <c r="JA8">
        <v>302</v>
      </c>
      <c r="JB8">
        <v>278</v>
      </c>
      <c r="JC8">
        <v>241</v>
      </c>
      <c r="JD8">
        <v>195</v>
      </c>
      <c r="JE8">
        <v>145</v>
      </c>
      <c r="JF8">
        <v>102</v>
      </c>
      <c r="JJ8">
        <v>48</v>
      </c>
      <c r="JK8">
        <v>29</v>
      </c>
      <c r="JL8">
        <v>23</v>
      </c>
      <c r="JO8">
        <v>22</v>
      </c>
      <c r="JR8">
        <v>21</v>
      </c>
      <c r="KL8">
        <v>343</v>
      </c>
      <c r="KM8" s="15">
        <f t="shared" si="7"/>
        <v>19</v>
      </c>
      <c r="KP8">
        <v>42</v>
      </c>
      <c r="LD8">
        <v>33</v>
      </c>
      <c r="LE8">
        <v>38</v>
      </c>
      <c r="LI8">
        <v>82</v>
      </c>
      <c r="LJ8">
        <v>174</v>
      </c>
      <c r="LK8">
        <v>216</v>
      </c>
      <c r="LL8">
        <v>242</v>
      </c>
      <c r="LM8">
        <v>221</v>
      </c>
      <c r="LN8">
        <v>215</v>
      </c>
      <c r="LO8">
        <v>216</v>
      </c>
      <c r="LP8">
        <v>191</v>
      </c>
      <c r="LQ8">
        <v>192</v>
      </c>
      <c r="LR8">
        <v>168</v>
      </c>
      <c r="LV8">
        <v>135</v>
      </c>
      <c r="LW8">
        <v>42</v>
      </c>
      <c r="MA8">
        <v>78</v>
      </c>
      <c r="MD8">
        <v>56</v>
      </c>
      <c r="MY8">
        <v>240</v>
      </c>
      <c r="MZ8" s="15">
        <f t="shared" si="8"/>
        <v>18</v>
      </c>
      <c r="NA8">
        <v>166</v>
      </c>
      <c r="NU8">
        <v>170</v>
      </c>
      <c r="NV8">
        <v>222</v>
      </c>
      <c r="NW8">
        <v>248</v>
      </c>
      <c r="NX8">
        <v>257</v>
      </c>
      <c r="NY8">
        <v>245</v>
      </c>
      <c r="NZ8">
        <v>193</v>
      </c>
      <c r="OA8">
        <v>182</v>
      </c>
      <c r="OB8">
        <v>169</v>
      </c>
      <c r="OC8">
        <v>157</v>
      </c>
      <c r="OD8">
        <v>147</v>
      </c>
      <c r="OG8">
        <v>156</v>
      </c>
      <c r="OQ8" s="15">
        <f t="shared" si="9"/>
        <v>12</v>
      </c>
      <c r="OW8" s="28">
        <f t="shared" si="10"/>
        <v>0</v>
      </c>
      <c r="OY8">
        <v>7.14</v>
      </c>
      <c r="PA8">
        <v>7.14</v>
      </c>
      <c r="PW8">
        <v>12.41</v>
      </c>
      <c r="PX8">
        <v>11.9</v>
      </c>
      <c r="PZ8">
        <v>9.86</v>
      </c>
      <c r="QA8">
        <v>9.35</v>
      </c>
      <c r="QB8">
        <v>10.3</v>
      </c>
      <c r="QC8">
        <v>7.65</v>
      </c>
      <c r="QD8">
        <v>9.18</v>
      </c>
      <c r="QE8">
        <v>8.16</v>
      </c>
      <c r="QH8">
        <v>7.14</v>
      </c>
      <c r="QM8">
        <v>8.67</v>
      </c>
      <c r="RD8" s="15">
        <f t="shared" si="11"/>
        <v>12</v>
      </c>
      <c r="RU8" s="15">
        <f t="shared" si="12"/>
        <v>0</v>
      </c>
      <c r="RV8">
        <v>203</v>
      </c>
      <c r="RY8">
        <v>203</v>
      </c>
      <c r="SN8">
        <v>164</v>
      </c>
      <c r="SO8">
        <v>156</v>
      </c>
      <c r="SS8">
        <v>152</v>
      </c>
      <c r="SU8">
        <v>188</v>
      </c>
      <c r="SV8">
        <v>206</v>
      </c>
      <c r="SW8">
        <v>198</v>
      </c>
      <c r="SX8">
        <v>185</v>
      </c>
      <c r="SY8">
        <v>199</v>
      </c>
      <c r="SZ8">
        <v>241</v>
      </c>
      <c r="TB8">
        <v>221</v>
      </c>
      <c r="TC8">
        <v>212</v>
      </c>
      <c r="TF8">
        <v>198</v>
      </c>
      <c r="TH8">
        <v>184</v>
      </c>
      <c r="TK8">
        <v>174</v>
      </c>
      <c r="TM8">
        <v>159</v>
      </c>
      <c r="UD8">
        <v>240</v>
      </c>
      <c r="UE8" s="15">
        <f t="shared" si="13"/>
        <v>18</v>
      </c>
      <c r="UW8">
        <v>8.74</v>
      </c>
      <c r="UX8">
        <v>5.89</v>
      </c>
      <c r="UY8">
        <v>4.67</v>
      </c>
      <c r="UZ8">
        <v>5.54</v>
      </c>
      <c r="VA8">
        <v>6.33</v>
      </c>
      <c r="VB8">
        <v>6.55</v>
      </c>
      <c r="VC8">
        <v>7.66</v>
      </c>
      <c r="VJ8" s="15">
        <f t="shared" si="14"/>
        <v>7</v>
      </c>
      <c r="WM8" s="15">
        <f t="shared" si="15"/>
        <v>0</v>
      </c>
      <c r="XH8" s="15">
        <f t="shared" si="16"/>
        <v>0</v>
      </c>
      <c r="YD8" s="15">
        <f t="shared" si="17"/>
        <v>0</v>
      </c>
      <c r="YX8" s="15">
        <f t="shared" si="18"/>
        <v>0</v>
      </c>
      <c r="ZR8" s="15">
        <f t="shared" si="19"/>
        <v>0</v>
      </c>
      <c r="ZX8" s="15">
        <f t="shared" si="20"/>
        <v>0</v>
      </c>
      <c r="AAT8" s="15">
        <f t="shared" si="21"/>
        <v>0</v>
      </c>
      <c r="ABQ8" s="15">
        <f t="shared" si="22"/>
        <v>0</v>
      </c>
      <c r="ABV8" s="28">
        <f t="shared" si="23"/>
        <v>0</v>
      </c>
      <c r="ACC8" s="28">
        <f t="shared" si="24"/>
        <v>0</v>
      </c>
      <c r="ACQ8" s="15">
        <f t="shared" si="25"/>
        <v>0</v>
      </c>
      <c r="ADA8" s="15">
        <f t="shared" si="26"/>
        <v>0</v>
      </c>
      <c r="ADM8" s="15">
        <f t="shared" si="27"/>
        <v>0</v>
      </c>
      <c r="AEI8" s="15">
        <f t="shared" si="28"/>
        <v>0</v>
      </c>
    </row>
    <row r="9" spans="1:815" x14ac:dyDescent="0.25">
      <c r="B9" s="2" t="s">
        <v>24</v>
      </c>
      <c r="C9" t="s">
        <v>25</v>
      </c>
      <c r="D9">
        <v>54</v>
      </c>
      <c r="E9" t="s">
        <v>8</v>
      </c>
      <c r="F9" t="s">
        <v>9</v>
      </c>
      <c r="G9" t="s">
        <v>9</v>
      </c>
      <c r="H9" t="s">
        <v>247</v>
      </c>
      <c r="I9" t="s">
        <v>15</v>
      </c>
      <c r="J9" t="s">
        <v>9</v>
      </c>
      <c r="L9" t="s">
        <v>1147</v>
      </c>
      <c r="P9" s="10" t="s">
        <v>1149</v>
      </c>
      <c r="Q9" t="s">
        <v>1150</v>
      </c>
      <c r="R9" t="s">
        <v>1151</v>
      </c>
      <c r="S9" t="s">
        <v>1152</v>
      </c>
      <c r="T9" t="s">
        <v>1145</v>
      </c>
      <c r="W9" t="s">
        <v>1148</v>
      </c>
      <c r="BA9" s="15">
        <f t="shared" si="0"/>
        <v>0</v>
      </c>
      <c r="CB9" s="15">
        <f t="shared" si="1"/>
        <v>0</v>
      </c>
      <c r="DE9" s="15">
        <f t="shared" si="2"/>
        <v>0</v>
      </c>
      <c r="DS9" s="15">
        <f t="shared" si="3"/>
        <v>0</v>
      </c>
      <c r="EF9" s="15">
        <f t="shared" si="4"/>
        <v>0</v>
      </c>
      <c r="FI9" s="15">
        <f t="shared" si="5"/>
        <v>0</v>
      </c>
      <c r="FJ9">
        <v>40</v>
      </c>
      <c r="HY9" s="15">
        <f t="shared" si="6"/>
        <v>1</v>
      </c>
      <c r="HZ9">
        <v>128</v>
      </c>
      <c r="KM9" s="15">
        <f t="shared" si="7"/>
        <v>1</v>
      </c>
      <c r="KN9">
        <v>35</v>
      </c>
      <c r="KO9">
        <v>168</v>
      </c>
      <c r="MZ9" s="15">
        <f t="shared" si="8"/>
        <v>2</v>
      </c>
      <c r="OQ9" s="15">
        <f t="shared" si="9"/>
        <v>0</v>
      </c>
      <c r="OW9" s="28">
        <f t="shared" si="10"/>
        <v>0</v>
      </c>
      <c r="RD9" s="15">
        <f t="shared" si="11"/>
        <v>0</v>
      </c>
      <c r="RU9" s="15">
        <f t="shared" si="12"/>
        <v>0</v>
      </c>
      <c r="RV9">
        <v>446</v>
      </c>
      <c r="UE9" s="15">
        <f t="shared" si="13"/>
        <v>1</v>
      </c>
      <c r="VJ9" s="15">
        <f t="shared" si="14"/>
        <v>0</v>
      </c>
      <c r="WM9" s="15">
        <f t="shared" si="15"/>
        <v>0</v>
      </c>
      <c r="XH9" s="15">
        <f t="shared" si="16"/>
        <v>0</v>
      </c>
      <c r="YD9" s="15">
        <f t="shared" si="17"/>
        <v>0</v>
      </c>
      <c r="YX9" s="15">
        <f t="shared" si="18"/>
        <v>0</v>
      </c>
      <c r="ZR9" s="15">
        <f t="shared" si="19"/>
        <v>0</v>
      </c>
      <c r="ZX9" s="15">
        <f t="shared" si="20"/>
        <v>0</v>
      </c>
      <c r="AAT9" s="15">
        <f t="shared" si="21"/>
        <v>0</v>
      </c>
      <c r="ABQ9" s="15">
        <f t="shared" si="22"/>
        <v>0</v>
      </c>
      <c r="ABV9" s="28">
        <f t="shared" si="23"/>
        <v>0</v>
      </c>
      <c r="ACC9" s="28">
        <f t="shared" si="24"/>
        <v>0</v>
      </c>
      <c r="ACQ9" s="15">
        <f t="shared" si="25"/>
        <v>0</v>
      </c>
      <c r="ADA9" s="15">
        <f t="shared" si="26"/>
        <v>0</v>
      </c>
      <c r="ADM9" s="15">
        <f t="shared" si="27"/>
        <v>0</v>
      </c>
      <c r="AEI9" s="15">
        <f t="shared" si="28"/>
        <v>0</v>
      </c>
    </row>
    <row r="10" spans="1:815" x14ac:dyDescent="0.25">
      <c r="B10" s="4" t="s">
        <v>26</v>
      </c>
      <c r="C10" t="s">
        <v>27</v>
      </c>
      <c r="D10">
        <v>72</v>
      </c>
      <c r="E10" t="s">
        <v>8</v>
      </c>
      <c r="F10" t="s">
        <v>9</v>
      </c>
      <c r="G10" t="s">
        <v>9</v>
      </c>
      <c r="H10" t="s">
        <v>250</v>
      </c>
      <c r="I10" t="s">
        <v>15</v>
      </c>
      <c r="J10" t="s">
        <v>9</v>
      </c>
      <c r="K10" t="s">
        <v>248</v>
      </c>
      <c r="L10" t="s">
        <v>1155</v>
      </c>
      <c r="N10">
        <v>152</v>
      </c>
      <c r="P10" s="10"/>
      <c r="Q10" s="10">
        <v>36433</v>
      </c>
      <c r="S10" t="s">
        <v>1153</v>
      </c>
      <c r="T10" t="s">
        <v>1158</v>
      </c>
      <c r="U10" t="s">
        <v>1157</v>
      </c>
      <c r="V10" t="s">
        <v>1156</v>
      </c>
      <c r="W10" t="s">
        <v>1154</v>
      </c>
      <c r="BA10" s="15">
        <f t="shared" si="0"/>
        <v>0</v>
      </c>
      <c r="CB10" s="15">
        <f t="shared" si="1"/>
        <v>0</v>
      </c>
      <c r="CC10">
        <v>31</v>
      </c>
      <c r="CG10">
        <v>36</v>
      </c>
      <c r="CN10">
        <v>30.9</v>
      </c>
      <c r="CO10">
        <v>47.8</v>
      </c>
      <c r="DA10">
        <v>28</v>
      </c>
      <c r="DE10" s="15">
        <f t="shared" si="2"/>
        <v>5</v>
      </c>
      <c r="DN10">
        <v>240</v>
      </c>
      <c r="DO10">
        <v>250</v>
      </c>
      <c r="DS10" s="15">
        <f t="shared" si="3"/>
        <v>2</v>
      </c>
      <c r="DT10" s="7"/>
      <c r="EB10" s="7">
        <v>0.25</v>
      </c>
      <c r="EC10" s="7"/>
      <c r="ED10" s="7"/>
      <c r="EE10" s="7"/>
      <c r="EF10" s="15">
        <f t="shared" si="4"/>
        <v>1</v>
      </c>
      <c r="FI10" s="15">
        <f t="shared" si="5"/>
        <v>0</v>
      </c>
      <c r="FJ10" t="s">
        <v>457</v>
      </c>
      <c r="FQ10">
        <v>52</v>
      </c>
      <c r="FV10">
        <v>4125</v>
      </c>
      <c r="GA10">
        <v>2577</v>
      </c>
      <c r="GB10">
        <v>1223</v>
      </c>
      <c r="GI10">
        <v>132</v>
      </c>
      <c r="GS10">
        <v>269</v>
      </c>
      <c r="GT10">
        <v>125</v>
      </c>
      <c r="HY10" s="15">
        <f t="shared" si="6"/>
        <v>8</v>
      </c>
      <c r="HZ10">
        <v>24.6</v>
      </c>
      <c r="IF10">
        <v>8.6</v>
      </c>
      <c r="IK10">
        <v>4298</v>
      </c>
      <c r="IP10">
        <v>3607</v>
      </c>
      <c r="IQ10">
        <v>2361</v>
      </c>
      <c r="IX10">
        <v>274</v>
      </c>
      <c r="JH10">
        <v>186</v>
      </c>
      <c r="JI10">
        <v>76</v>
      </c>
      <c r="KM10" s="15">
        <f t="shared" si="7"/>
        <v>8</v>
      </c>
      <c r="KN10" t="s">
        <v>459</v>
      </c>
      <c r="KR10">
        <v>9.1199999999999992</v>
      </c>
      <c r="KW10">
        <v>526</v>
      </c>
      <c r="LB10">
        <v>399</v>
      </c>
      <c r="LC10">
        <v>362</v>
      </c>
      <c r="LJ10">
        <v>399</v>
      </c>
      <c r="LT10">
        <v>619</v>
      </c>
      <c r="LU10">
        <v>900</v>
      </c>
      <c r="MZ10" s="15">
        <f t="shared" si="8"/>
        <v>8</v>
      </c>
      <c r="OQ10" s="15">
        <f t="shared" si="9"/>
        <v>0</v>
      </c>
      <c r="OW10" s="28">
        <f t="shared" si="10"/>
        <v>0</v>
      </c>
      <c r="PJ10">
        <v>311.8</v>
      </c>
      <c r="PO10">
        <v>356.1</v>
      </c>
      <c r="PP10">
        <v>356.2</v>
      </c>
      <c r="QC10">
        <v>427</v>
      </c>
      <c r="QF10">
        <v>427</v>
      </c>
      <c r="QG10">
        <v>210</v>
      </c>
      <c r="RD10" s="15">
        <f t="shared" si="11"/>
        <v>6</v>
      </c>
      <c r="RU10" s="15">
        <f t="shared" si="12"/>
        <v>0</v>
      </c>
      <c r="RV10" t="s">
        <v>458</v>
      </c>
      <c r="SB10">
        <v>4.9400000000000004</v>
      </c>
      <c r="SG10">
        <v>144</v>
      </c>
      <c r="SL10">
        <v>135</v>
      </c>
      <c r="SM10">
        <v>129</v>
      </c>
      <c r="ST10">
        <v>211</v>
      </c>
      <c r="TD10">
        <v>437</v>
      </c>
      <c r="TE10">
        <v>440</v>
      </c>
      <c r="UE10" s="15">
        <f t="shared" si="13"/>
        <v>8</v>
      </c>
      <c r="VJ10" s="15">
        <f t="shared" si="14"/>
        <v>0</v>
      </c>
      <c r="VK10">
        <v>78</v>
      </c>
      <c r="VU10">
        <v>71.2</v>
      </c>
      <c r="VZ10">
        <v>58.9</v>
      </c>
      <c r="WA10">
        <v>51.3</v>
      </c>
      <c r="WH10">
        <v>61</v>
      </c>
      <c r="WM10" s="15">
        <f t="shared" si="15"/>
        <v>5</v>
      </c>
      <c r="WN10">
        <v>1.2</v>
      </c>
      <c r="WR10">
        <v>1.73</v>
      </c>
      <c r="XH10" s="15">
        <f t="shared" si="16"/>
        <v>2</v>
      </c>
      <c r="XI10">
        <v>152</v>
      </c>
      <c r="YB10">
        <v>142</v>
      </c>
      <c r="YD10" s="15">
        <f t="shared" si="17"/>
        <v>2</v>
      </c>
      <c r="YE10" t="s">
        <v>706</v>
      </c>
      <c r="YW10">
        <v>200</v>
      </c>
      <c r="YX10" s="15">
        <f t="shared" si="18"/>
        <v>2</v>
      </c>
      <c r="ZB10">
        <v>54</v>
      </c>
      <c r="ZR10" s="15">
        <f t="shared" si="19"/>
        <v>1</v>
      </c>
      <c r="ZT10" s="25">
        <v>39</v>
      </c>
      <c r="ZU10" s="25">
        <v>62</v>
      </c>
      <c r="ZV10" s="25">
        <v>48</v>
      </c>
      <c r="ZW10" s="25">
        <v>88</v>
      </c>
      <c r="ZX10" s="15">
        <f t="shared" si="20"/>
        <v>4</v>
      </c>
      <c r="AAR10">
        <v>4.6500000000000004</v>
      </c>
      <c r="AAT10" s="15">
        <f t="shared" si="21"/>
        <v>1</v>
      </c>
      <c r="AAU10">
        <v>156</v>
      </c>
      <c r="ABQ10" s="15">
        <f t="shared" si="22"/>
        <v>1</v>
      </c>
      <c r="ABV10" s="28">
        <f t="shared" si="23"/>
        <v>0</v>
      </c>
      <c r="ACC10" s="28">
        <f t="shared" si="24"/>
        <v>0</v>
      </c>
      <c r="ACQ10" s="15">
        <f t="shared" si="25"/>
        <v>0</v>
      </c>
      <c r="ADA10" s="15">
        <f t="shared" si="26"/>
        <v>0</v>
      </c>
      <c r="ADM10" s="15">
        <f t="shared" si="27"/>
        <v>0</v>
      </c>
      <c r="AEI10" s="15">
        <f t="shared" si="28"/>
        <v>0</v>
      </c>
    </row>
    <row r="11" spans="1:815" x14ac:dyDescent="0.25">
      <c r="A11" s="20" t="s">
        <v>2065</v>
      </c>
      <c r="B11" s="2" t="s">
        <v>28</v>
      </c>
      <c r="C11" t="s">
        <v>29</v>
      </c>
      <c r="D11">
        <v>59</v>
      </c>
      <c r="E11" t="s">
        <v>8</v>
      </c>
      <c r="F11" t="s">
        <v>9</v>
      </c>
      <c r="G11" t="s">
        <v>9</v>
      </c>
      <c r="H11" t="s">
        <v>251</v>
      </c>
      <c r="I11" t="s">
        <v>15</v>
      </c>
      <c r="J11" t="s">
        <v>9</v>
      </c>
      <c r="L11" t="s">
        <v>301</v>
      </c>
      <c r="M11">
        <v>77</v>
      </c>
      <c r="N11">
        <v>170</v>
      </c>
      <c r="O11" t="s">
        <v>1074</v>
      </c>
      <c r="P11" s="10" t="s">
        <v>1163</v>
      </c>
      <c r="Q11" s="10" t="s">
        <v>1163</v>
      </c>
      <c r="R11" t="s">
        <v>1164</v>
      </c>
      <c r="S11" t="s">
        <v>1165</v>
      </c>
      <c r="T11" t="s">
        <v>1160</v>
      </c>
      <c r="U11" t="s">
        <v>1162</v>
      </c>
      <c r="V11" t="s">
        <v>1161</v>
      </c>
      <c r="W11" t="s">
        <v>1166</v>
      </c>
      <c r="BA11" s="15">
        <f t="shared" si="0"/>
        <v>0</v>
      </c>
      <c r="CB11" s="15">
        <f t="shared" si="1"/>
        <v>0</v>
      </c>
      <c r="DE11" s="15">
        <f t="shared" si="2"/>
        <v>0</v>
      </c>
      <c r="DS11" s="15">
        <f t="shared" si="3"/>
        <v>0</v>
      </c>
      <c r="EF11" s="15">
        <f t="shared" si="4"/>
        <v>0</v>
      </c>
      <c r="EG11">
        <v>4000</v>
      </c>
      <c r="FI11" s="15">
        <f t="shared" si="5"/>
        <v>1</v>
      </c>
      <c r="HY11" s="15">
        <f t="shared" si="6"/>
        <v>0</v>
      </c>
      <c r="KM11" s="15">
        <f t="shared" si="7"/>
        <v>0</v>
      </c>
      <c r="KN11">
        <v>240</v>
      </c>
      <c r="MZ11" s="15">
        <f t="shared" si="8"/>
        <v>1</v>
      </c>
      <c r="OQ11" s="15">
        <f t="shared" si="9"/>
        <v>0</v>
      </c>
      <c r="OR11" s="25" t="s">
        <v>712</v>
      </c>
      <c r="OW11" s="28">
        <f t="shared" si="10"/>
        <v>1</v>
      </c>
      <c r="RD11" s="15">
        <f t="shared" si="11"/>
        <v>0</v>
      </c>
      <c r="RU11" s="15">
        <f t="shared" si="12"/>
        <v>0</v>
      </c>
      <c r="UE11" s="15">
        <f t="shared" si="13"/>
        <v>0</v>
      </c>
      <c r="VJ11" s="15">
        <f t="shared" si="14"/>
        <v>0</v>
      </c>
      <c r="WM11" s="15">
        <f t="shared" si="15"/>
        <v>0</v>
      </c>
      <c r="XH11" s="15">
        <f t="shared" si="16"/>
        <v>0</v>
      </c>
      <c r="YD11" s="15">
        <f t="shared" si="17"/>
        <v>0</v>
      </c>
      <c r="YX11" s="15">
        <f t="shared" si="18"/>
        <v>0</v>
      </c>
      <c r="YY11">
        <v>11</v>
      </c>
      <c r="ZR11" s="15">
        <f t="shared" si="19"/>
        <v>1</v>
      </c>
      <c r="ZX11" s="15">
        <f t="shared" si="20"/>
        <v>0</v>
      </c>
      <c r="AAT11" s="15">
        <f t="shared" si="21"/>
        <v>0</v>
      </c>
      <c r="ABQ11" s="15">
        <f t="shared" si="22"/>
        <v>0</v>
      </c>
      <c r="ABV11" s="28">
        <f t="shared" si="23"/>
        <v>0</v>
      </c>
      <c r="ACC11" s="28">
        <f t="shared" si="24"/>
        <v>0</v>
      </c>
      <c r="ACQ11" s="15">
        <f t="shared" si="25"/>
        <v>0</v>
      </c>
      <c r="ADA11" s="15">
        <f t="shared" si="26"/>
        <v>0</v>
      </c>
      <c r="ADM11" s="15">
        <f t="shared" si="27"/>
        <v>0</v>
      </c>
      <c r="AEI11" s="15">
        <f t="shared" si="28"/>
        <v>0</v>
      </c>
    </row>
    <row r="12" spans="1:815" x14ac:dyDescent="0.25">
      <c r="A12" s="20" t="s">
        <v>2065</v>
      </c>
      <c r="B12" s="2" t="s">
        <v>30</v>
      </c>
      <c r="C12" t="s">
        <v>31</v>
      </c>
      <c r="D12">
        <v>53</v>
      </c>
      <c r="E12" t="s">
        <v>8</v>
      </c>
      <c r="F12" t="s">
        <v>9</v>
      </c>
      <c r="G12" t="s">
        <v>9</v>
      </c>
      <c r="H12" t="s">
        <v>252</v>
      </c>
      <c r="I12" t="s">
        <v>15</v>
      </c>
      <c r="J12" t="s">
        <v>15</v>
      </c>
      <c r="L12" t="s">
        <v>301</v>
      </c>
      <c r="M12">
        <v>78</v>
      </c>
      <c r="N12">
        <v>158</v>
      </c>
      <c r="O12" t="s">
        <v>1075</v>
      </c>
      <c r="P12" s="10">
        <v>36536</v>
      </c>
      <c r="Q12" s="10">
        <v>36537</v>
      </c>
      <c r="R12" t="s">
        <v>1171</v>
      </c>
      <c r="S12" t="s">
        <v>1172</v>
      </c>
      <c r="T12" t="s">
        <v>1167</v>
      </c>
      <c r="U12" t="s">
        <v>1169</v>
      </c>
      <c r="V12" t="s">
        <v>1168</v>
      </c>
      <c r="W12" t="s">
        <v>1170</v>
      </c>
      <c r="BA12" s="15">
        <f t="shared" si="0"/>
        <v>0</v>
      </c>
      <c r="CB12" s="15">
        <f t="shared" si="1"/>
        <v>0</v>
      </c>
      <c r="DE12" s="15">
        <f t="shared" si="2"/>
        <v>0</v>
      </c>
      <c r="DS12" s="15">
        <f t="shared" si="3"/>
        <v>0</v>
      </c>
      <c r="EF12" s="15">
        <f t="shared" si="4"/>
        <v>0</v>
      </c>
      <c r="EI12">
        <v>8900</v>
      </c>
      <c r="EL12">
        <v>10600</v>
      </c>
      <c r="FI12" s="15">
        <f t="shared" si="5"/>
        <v>2</v>
      </c>
      <c r="FV12">
        <v>25</v>
      </c>
      <c r="HY12" s="15">
        <f t="shared" si="6"/>
        <v>1</v>
      </c>
      <c r="IK12">
        <v>64</v>
      </c>
      <c r="KM12" s="15">
        <f t="shared" si="7"/>
        <v>1</v>
      </c>
      <c r="KR12">
        <v>51</v>
      </c>
      <c r="MZ12" s="15">
        <f t="shared" si="8"/>
        <v>1</v>
      </c>
      <c r="OQ12" s="15">
        <f t="shared" si="9"/>
        <v>0</v>
      </c>
      <c r="OR12" s="25" t="s">
        <v>713</v>
      </c>
      <c r="OW12" s="28">
        <f t="shared" si="10"/>
        <v>1</v>
      </c>
      <c r="RD12" s="15">
        <f t="shared" si="11"/>
        <v>0</v>
      </c>
      <c r="RU12" s="15">
        <f t="shared" si="12"/>
        <v>0</v>
      </c>
      <c r="UE12" s="15">
        <f t="shared" si="13"/>
        <v>0</v>
      </c>
      <c r="VJ12" s="15">
        <f t="shared" si="14"/>
        <v>0</v>
      </c>
      <c r="WM12" s="15">
        <f t="shared" si="15"/>
        <v>0</v>
      </c>
      <c r="XH12" s="15">
        <f t="shared" si="16"/>
        <v>0</v>
      </c>
      <c r="YD12" s="15">
        <f t="shared" si="17"/>
        <v>0</v>
      </c>
      <c r="YX12" s="15">
        <f t="shared" si="18"/>
        <v>0</v>
      </c>
      <c r="ZR12" s="15">
        <f t="shared" si="19"/>
        <v>0</v>
      </c>
      <c r="ZX12" s="15">
        <f t="shared" si="20"/>
        <v>0</v>
      </c>
      <c r="AAT12" s="15">
        <f t="shared" si="21"/>
        <v>0</v>
      </c>
      <c r="ABQ12" s="15">
        <f t="shared" si="22"/>
        <v>0</v>
      </c>
      <c r="ABV12" s="28">
        <f t="shared" si="23"/>
        <v>0</v>
      </c>
      <c r="ACC12" s="28">
        <f t="shared" si="24"/>
        <v>0</v>
      </c>
      <c r="ACQ12" s="15">
        <f t="shared" si="25"/>
        <v>0</v>
      </c>
      <c r="ADA12" s="15">
        <f t="shared" si="26"/>
        <v>0</v>
      </c>
      <c r="ADM12" s="15">
        <f t="shared" si="27"/>
        <v>0</v>
      </c>
      <c r="AEI12" s="15">
        <f t="shared" si="28"/>
        <v>0</v>
      </c>
    </row>
    <row r="13" spans="1:815" x14ac:dyDescent="0.25">
      <c r="B13" s="2" t="s">
        <v>32</v>
      </c>
      <c r="C13" t="s">
        <v>33</v>
      </c>
      <c r="D13">
        <v>1</v>
      </c>
      <c r="E13" t="s">
        <v>14</v>
      </c>
      <c r="F13" t="s">
        <v>9</v>
      </c>
      <c r="G13" t="s">
        <v>9</v>
      </c>
      <c r="H13" t="s">
        <v>253</v>
      </c>
      <c r="I13" t="s">
        <v>15</v>
      </c>
      <c r="J13" t="s">
        <v>9</v>
      </c>
      <c r="K13" t="s">
        <v>1176</v>
      </c>
      <c r="L13" t="s">
        <v>304</v>
      </c>
      <c r="M13" t="s">
        <v>1076</v>
      </c>
      <c r="N13">
        <v>61</v>
      </c>
      <c r="P13" s="10">
        <v>36912</v>
      </c>
      <c r="Q13" s="10">
        <v>36913</v>
      </c>
      <c r="R13" t="s">
        <v>1171</v>
      </c>
      <c r="S13" t="s">
        <v>1173</v>
      </c>
      <c r="T13" t="s">
        <v>1174</v>
      </c>
      <c r="U13" t="s">
        <v>1175</v>
      </c>
      <c r="V13" t="s">
        <v>1177</v>
      </c>
      <c r="BA13" s="15">
        <f t="shared" si="0"/>
        <v>0</v>
      </c>
      <c r="BB13">
        <v>17</v>
      </c>
      <c r="CB13" s="15">
        <f t="shared" si="1"/>
        <v>1</v>
      </c>
      <c r="CC13" t="s">
        <v>503</v>
      </c>
      <c r="DE13" s="15">
        <f t="shared" si="2"/>
        <v>1</v>
      </c>
      <c r="DS13" s="15">
        <f t="shared" si="3"/>
        <v>0</v>
      </c>
      <c r="EF13" s="15">
        <f t="shared" si="4"/>
        <v>0</v>
      </c>
      <c r="EG13">
        <v>17700</v>
      </c>
      <c r="FI13" s="15">
        <f t="shared" si="5"/>
        <v>1</v>
      </c>
      <c r="FJ13">
        <v>6600</v>
      </c>
      <c r="GE13">
        <v>23</v>
      </c>
      <c r="HD13">
        <v>23</v>
      </c>
      <c r="HY13" s="15">
        <f t="shared" si="6"/>
        <v>3</v>
      </c>
      <c r="HZ13">
        <v>6200</v>
      </c>
      <c r="IT13">
        <v>281</v>
      </c>
      <c r="KM13" s="15">
        <f t="shared" si="7"/>
        <v>2</v>
      </c>
      <c r="KN13">
        <v>35</v>
      </c>
      <c r="MZ13" s="15">
        <f t="shared" si="8"/>
        <v>1</v>
      </c>
      <c r="NA13">
        <v>14800</v>
      </c>
      <c r="NS13">
        <v>2496</v>
      </c>
      <c r="OQ13" s="15">
        <f t="shared" si="9"/>
        <v>2</v>
      </c>
      <c r="OW13" s="28">
        <f t="shared" si="10"/>
        <v>0</v>
      </c>
      <c r="OX13" t="s">
        <v>378</v>
      </c>
      <c r="RD13" s="15">
        <f t="shared" si="11"/>
        <v>1</v>
      </c>
      <c r="RU13" s="15">
        <f t="shared" si="12"/>
        <v>0</v>
      </c>
      <c r="UE13" s="15">
        <f t="shared" si="13"/>
        <v>0</v>
      </c>
      <c r="UF13">
        <v>3300</v>
      </c>
      <c r="VJ13" s="15">
        <f t="shared" si="14"/>
        <v>1</v>
      </c>
      <c r="WM13" s="15">
        <f t="shared" si="15"/>
        <v>0</v>
      </c>
      <c r="XH13" s="15">
        <f t="shared" si="16"/>
        <v>0</v>
      </c>
      <c r="YD13" s="15">
        <f t="shared" si="17"/>
        <v>0</v>
      </c>
      <c r="YX13" s="15">
        <f t="shared" si="18"/>
        <v>0</v>
      </c>
      <c r="YY13" t="s">
        <v>504</v>
      </c>
      <c r="ZR13" s="15">
        <f t="shared" si="19"/>
        <v>1</v>
      </c>
      <c r="ZX13" s="15">
        <f t="shared" si="20"/>
        <v>0</v>
      </c>
      <c r="AAT13" s="15">
        <f t="shared" si="21"/>
        <v>0</v>
      </c>
      <c r="AAU13">
        <v>288</v>
      </c>
      <c r="ABQ13" s="15">
        <f t="shared" si="22"/>
        <v>1</v>
      </c>
      <c r="ABR13" s="25" t="s">
        <v>501</v>
      </c>
      <c r="ABV13" s="28">
        <f t="shared" si="23"/>
        <v>1</v>
      </c>
      <c r="ACC13" s="28">
        <f t="shared" si="24"/>
        <v>0</v>
      </c>
      <c r="ACQ13" s="15">
        <f t="shared" si="25"/>
        <v>0</v>
      </c>
      <c r="ADA13" s="15">
        <f t="shared" si="26"/>
        <v>0</v>
      </c>
      <c r="ADM13" s="15">
        <f t="shared" si="27"/>
        <v>0</v>
      </c>
      <c r="AEI13" s="15">
        <f t="shared" si="28"/>
        <v>0</v>
      </c>
    </row>
    <row r="14" spans="1:815" x14ac:dyDescent="0.25">
      <c r="B14" s="2" t="s">
        <v>34</v>
      </c>
      <c r="C14" t="s">
        <v>35</v>
      </c>
      <c r="D14">
        <v>28</v>
      </c>
      <c r="E14" t="s">
        <v>8</v>
      </c>
      <c r="F14" t="s">
        <v>9</v>
      </c>
      <c r="G14" t="s">
        <v>9</v>
      </c>
      <c r="I14" t="s">
        <v>15</v>
      </c>
      <c r="J14" t="s">
        <v>9</v>
      </c>
      <c r="K14" t="s">
        <v>1184</v>
      </c>
      <c r="L14" t="s">
        <v>1183</v>
      </c>
      <c r="P14" s="10" t="s">
        <v>1180</v>
      </c>
      <c r="Q14" s="10" t="s">
        <v>1181</v>
      </c>
      <c r="R14" t="s">
        <v>1164</v>
      </c>
      <c r="S14" t="s">
        <v>1182</v>
      </c>
      <c r="T14" t="s">
        <v>1179</v>
      </c>
      <c r="U14" t="s">
        <v>1185</v>
      </c>
      <c r="W14" t="s">
        <v>1178</v>
      </c>
      <c r="BA14" s="15">
        <f t="shared" si="0"/>
        <v>0</v>
      </c>
      <c r="CB14" s="15">
        <f t="shared" si="1"/>
        <v>0</v>
      </c>
      <c r="DE14" s="15">
        <f t="shared" si="2"/>
        <v>0</v>
      </c>
      <c r="DS14" s="15">
        <f t="shared" si="3"/>
        <v>0</v>
      </c>
      <c r="EF14" s="15">
        <f t="shared" si="4"/>
        <v>0</v>
      </c>
      <c r="FI14" s="15">
        <f t="shared" si="5"/>
        <v>0</v>
      </c>
      <c r="FJ14">
        <v>9</v>
      </c>
      <c r="GF14">
        <v>22</v>
      </c>
      <c r="GO14">
        <v>47</v>
      </c>
      <c r="GR14">
        <v>18</v>
      </c>
      <c r="HE14">
        <v>13</v>
      </c>
      <c r="HG14">
        <v>17</v>
      </c>
      <c r="HY14" s="15">
        <f t="shared" si="6"/>
        <v>6</v>
      </c>
      <c r="HZ14">
        <v>34</v>
      </c>
      <c r="IU14">
        <v>49</v>
      </c>
      <c r="JD14">
        <v>190</v>
      </c>
      <c r="JG14">
        <v>111</v>
      </c>
      <c r="JS14">
        <v>30</v>
      </c>
      <c r="JU14">
        <v>50</v>
      </c>
      <c r="KM14" s="15">
        <f t="shared" si="7"/>
        <v>6</v>
      </c>
      <c r="KN14">
        <v>17</v>
      </c>
      <c r="LG14">
        <v>20</v>
      </c>
      <c r="LP14">
        <v>57</v>
      </c>
      <c r="LS14">
        <v>45</v>
      </c>
      <c r="ME14">
        <v>20</v>
      </c>
      <c r="MG14">
        <v>30</v>
      </c>
      <c r="MZ14" s="15">
        <f t="shared" si="8"/>
        <v>6</v>
      </c>
      <c r="OQ14" s="15">
        <f t="shared" si="9"/>
        <v>0</v>
      </c>
      <c r="OW14" s="28">
        <f t="shared" si="10"/>
        <v>0</v>
      </c>
      <c r="RD14" s="15">
        <f t="shared" si="11"/>
        <v>0</v>
      </c>
      <c r="RU14" s="15">
        <f t="shared" si="12"/>
        <v>0</v>
      </c>
      <c r="UE14" s="15">
        <f t="shared" si="13"/>
        <v>0</v>
      </c>
      <c r="VJ14" s="15">
        <f t="shared" si="14"/>
        <v>0</v>
      </c>
      <c r="WM14" s="15">
        <f t="shared" si="15"/>
        <v>0</v>
      </c>
      <c r="XH14" s="15">
        <f t="shared" si="16"/>
        <v>0</v>
      </c>
      <c r="YD14" s="15">
        <f t="shared" si="17"/>
        <v>0</v>
      </c>
      <c r="YX14" s="15">
        <f t="shared" si="18"/>
        <v>0</v>
      </c>
      <c r="ZR14" s="15">
        <f t="shared" si="19"/>
        <v>0</v>
      </c>
      <c r="ZX14" s="15">
        <f t="shared" si="20"/>
        <v>0</v>
      </c>
      <c r="AAT14" s="15">
        <f t="shared" si="21"/>
        <v>0</v>
      </c>
      <c r="ABQ14" s="15">
        <f t="shared" si="22"/>
        <v>0</v>
      </c>
      <c r="ABV14" s="28">
        <f t="shared" si="23"/>
        <v>0</v>
      </c>
      <c r="ACC14" s="28">
        <f t="shared" si="24"/>
        <v>0</v>
      </c>
      <c r="ACQ14" s="15">
        <f t="shared" si="25"/>
        <v>0</v>
      </c>
      <c r="ADA14" s="15">
        <f t="shared" si="26"/>
        <v>0</v>
      </c>
      <c r="ADM14" s="15">
        <f t="shared" si="27"/>
        <v>0</v>
      </c>
      <c r="AEI14" s="15">
        <f t="shared" si="28"/>
        <v>0</v>
      </c>
    </row>
    <row r="15" spans="1:815" x14ac:dyDescent="0.25">
      <c r="B15" s="2" t="s">
        <v>36</v>
      </c>
      <c r="C15" t="s">
        <v>39</v>
      </c>
      <c r="D15">
        <v>45</v>
      </c>
      <c r="E15" t="s">
        <v>14</v>
      </c>
      <c r="F15" t="s">
        <v>9</v>
      </c>
      <c r="G15" t="s">
        <v>15</v>
      </c>
      <c r="H15" t="s">
        <v>254</v>
      </c>
      <c r="I15" t="s">
        <v>15</v>
      </c>
      <c r="J15" t="s">
        <v>9</v>
      </c>
      <c r="K15" t="s">
        <v>1189</v>
      </c>
      <c r="L15" t="s">
        <v>305</v>
      </c>
      <c r="M15">
        <v>135</v>
      </c>
      <c r="N15">
        <v>184</v>
      </c>
      <c r="O15" t="s">
        <v>1077</v>
      </c>
      <c r="T15" t="s">
        <v>1186</v>
      </c>
      <c r="U15" t="s">
        <v>1188</v>
      </c>
      <c r="V15" t="s">
        <v>1187</v>
      </c>
      <c r="BA15" s="15">
        <f t="shared" si="0"/>
        <v>0</v>
      </c>
      <c r="CB15" s="15">
        <f t="shared" si="1"/>
        <v>0</v>
      </c>
      <c r="DE15" s="15">
        <f t="shared" si="2"/>
        <v>0</v>
      </c>
      <c r="DS15" s="15">
        <f t="shared" si="3"/>
        <v>0</v>
      </c>
      <c r="EF15" s="15">
        <f t="shared" si="4"/>
        <v>0</v>
      </c>
      <c r="FI15" s="15">
        <f t="shared" si="5"/>
        <v>0</v>
      </c>
      <c r="HY15" s="15">
        <f t="shared" si="6"/>
        <v>0</v>
      </c>
      <c r="KM15" s="15">
        <f t="shared" si="7"/>
        <v>0</v>
      </c>
      <c r="MZ15" s="15">
        <f t="shared" si="8"/>
        <v>0</v>
      </c>
      <c r="OQ15" s="15">
        <f t="shared" si="9"/>
        <v>0</v>
      </c>
      <c r="OW15" s="28">
        <f t="shared" si="10"/>
        <v>0</v>
      </c>
      <c r="RD15" s="15">
        <f t="shared" si="11"/>
        <v>0</v>
      </c>
      <c r="RU15" s="15">
        <f t="shared" si="12"/>
        <v>0</v>
      </c>
      <c r="UE15" s="15">
        <f t="shared" si="13"/>
        <v>0</v>
      </c>
      <c r="VJ15" s="15">
        <f t="shared" si="14"/>
        <v>0</v>
      </c>
      <c r="WM15" s="15">
        <f t="shared" si="15"/>
        <v>0</v>
      </c>
      <c r="XH15" s="15">
        <f t="shared" si="16"/>
        <v>0</v>
      </c>
      <c r="YD15" s="15">
        <f t="shared" si="17"/>
        <v>0</v>
      </c>
      <c r="YX15" s="15">
        <f t="shared" si="18"/>
        <v>0</v>
      </c>
      <c r="ZR15" s="15">
        <f t="shared" si="19"/>
        <v>0</v>
      </c>
      <c r="ZX15" s="15">
        <f t="shared" si="20"/>
        <v>0</v>
      </c>
      <c r="AAT15" s="15">
        <f t="shared" si="21"/>
        <v>0</v>
      </c>
      <c r="ABQ15" s="15">
        <f t="shared" si="22"/>
        <v>0</v>
      </c>
      <c r="ABV15" s="28">
        <f t="shared" si="23"/>
        <v>0</v>
      </c>
      <c r="ACC15" s="28">
        <f t="shared" si="24"/>
        <v>0</v>
      </c>
      <c r="ACQ15" s="15">
        <f t="shared" si="25"/>
        <v>0</v>
      </c>
      <c r="ADA15" s="15">
        <f t="shared" si="26"/>
        <v>0</v>
      </c>
      <c r="ADM15" s="15">
        <f t="shared" si="27"/>
        <v>0</v>
      </c>
      <c r="AEI15" s="15">
        <f t="shared" si="28"/>
        <v>0</v>
      </c>
    </row>
    <row r="16" spans="1:815" x14ac:dyDescent="0.25">
      <c r="A16" s="20" t="s">
        <v>2065</v>
      </c>
      <c r="B16" s="3" t="s">
        <v>37</v>
      </c>
      <c r="C16" t="s">
        <v>38</v>
      </c>
      <c r="D16">
        <v>28</v>
      </c>
      <c r="E16" t="s">
        <v>8</v>
      </c>
      <c r="F16" t="s">
        <v>9</v>
      </c>
      <c r="G16" t="s">
        <v>9</v>
      </c>
      <c r="H16" t="s">
        <v>255</v>
      </c>
      <c r="I16" t="s">
        <v>15</v>
      </c>
      <c r="J16" t="s">
        <v>9</v>
      </c>
      <c r="K16" t="s">
        <v>1192</v>
      </c>
      <c r="L16" t="s">
        <v>301</v>
      </c>
      <c r="Q16" s="10">
        <v>36958</v>
      </c>
      <c r="T16" t="s">
        <v>1193</v>
      </c>
      <c r="V16" t="s">
        <v>1190</v>
      </c>
      <c r="W16" t="s">
        <v>1191</v>
      </c>
      <c r="BA16" s="15">
        <f t="shared" si="0"/>
        <v>0</v>
      </c>
      <c r="CB16" s="15">
        <f t="shared" si="1"/>
        <v>0</v>
      </c>
      <c r="DE16" s="15">
        <f t="shared" si="2"/>
        <v>0</v>
      </c>
      <c r="DS16" s="15">
        <f t="shared" si="3"/>
        <v>0</v>
      </c>
      <c r="EF16" s="15">
        <f t="shared" si="4"/>
        <v>0</v>
      </c>
      <c r="FI16" s="15">
        <f t="shared" si="5"/>
        <v>0</v>
      </c>
      <c r="FJ16">
        <v>20</v>
      </c>
      <c r="HY16" s="15">
        <f t="shared" si="6"/>
        <v>1</v>
      </c>
      <c r="HZ16">
        <v>27</v>
      </c>
      <c r="KM16" s="15">
        <f t="shared" si="7"/>
        <v>1</v>
      </c>
      <c r="MZ16" s="15">
        <f t="shared" si="8"/>
        <v>0</v>
      </c>
      <c r="NA16">
        <v>248</v>
      </c>
      <c r="OQ16" s="15">
        <f t="shared" si="9"/>
        <v>1</v>
      </c>
      <c r="OW16" s="28">
        <f t="shared" si="10"/>
        <v>0</v>
      </c>
      <c r="RD16" s="15">
        <f t="shared" si="11"/>
        <v>0</v>
      </c>
      <c r="RU16" s="15">
        <f t="shared" si="12"/>
        <v>0</v>
      </c>
      <c r="UE16" s="15">
        <f t="shared" si="13"/>
        <v>0</v>
      </c>
      <c r="UF16">
        <v>2.9</v>
      </c>
      <c r="VJ16" s="15">
        <f t="shared" si="14"/>
        <v>1</v>
      </c>
      <c r="WM16" s="15">
        <f t="shared" si="15"/>
        <v>0</v>
      </c>
      <c r="XH16" s="15">
        <f t="shared" si="16"/>
        <v>0</v>
      </c>
      <c r="XI16">
        <v>196</v>
      </c>
      <c r="YD16" s="15">
        <f t="shared" si="17"/>
        <v>1</v>
      </c>
      <c r="YX16" s="15">
        <f t="shared" si="18"/>
        <v>0</v>
      </c>
      <c r="YY16">
        <v>22.5</v>
      </c>
      <c r="ZR16" s="15">
        <f t="shared" si="19"/>
        <v>1</v>
      </c>
      <c r="ZX16" s="15">
        <f t="shared" si="20"/>
        <v>0</v>
      </c>
      <c r="AAT16" s="15">
        <f t="shared" si="21"/>
        <v>0</v>
      </c>
      <c r="ABQ16" s="15">
        <f t="shared" si="22"/>
        <v>0</v>
      </c>
      <c r="ABV16" s="28">
        <f t="shared" si="23"/>
        <v>0</v>
      </c>
      <c r="ACC16" s="28">
        <f t="shared" si="24"/>
        <v>0</v>
      </c>
      <c r="ACD16" t="s">
        <v>522</v>
      </c>
      <c r="ACE16">
        <v>61</v>
      </c>
      <c r="ACF16">
        <v>22.4</v>
      </c>
      <c r="ACG16">
        <v>8.1999999999999993</v>
      </c>
      <c r="ACQ16" s="15">
        <f t="shared" si="25"/>
        <v>0</v>
      </c>
      <c r="ADA16" s="15">
        <f t="shared" si="26"/>
        <v>0</v>
      </c>
      <c r="ADM16" s="15">
        <f t="shared" si="27"/>
        <v>0</v>
      </c>
      <c r="AEI16" s="15">
        <f t="shared" si="28"/>
        <v>0</v>
      </c>
    </row>
    <row r="17" spans="2:815" x14ac:dyDescent="0.25">
      <c r="B17" s="2" t="s">
        <v>40</v>
      </c>
      <c r="C17" t="s">
        <v>41</v>
      </c>
      <c r="D17">
        <v>48</v>
      </c>
      <c r="E17" t="s">
        <v>8</v>
      </c>
      <c r="F17" t="s">
        <v>9</v>
      </c>
      <c r="G17" t="s">
        <v>9</v>
      </c>
      <c r="H17" t="s">
        <v>249</v>
      </c>
      <c r="I17" t="s">
        <v>15</v>
      </c>
      <c r="J17" t="s">
        <v>9</v>
      </c>
      <c r="K17" t="s">
        <v>1198</v>
      </c>
      <c r="L17" t="s">
        <v>303</v>
      </c>
      <c r="P17" s="10">
        <v>36862</v>
      </c>
      <c r="Q17" s="10">
        <v>36862</v>
      </c>
      <c r="R17" t="s">
        <v>1133</v>
      </c>
      <c r="S17" t="s">
        <v>1197</v>
      </c>
      <c r="T17" t="s">
        <v>1195</v>
      </c>
      <c r="V17" t="s">
        <v>1194</v>
      </c>
      <c r="W17" t="s">
        <v>1196</v>
      </c>
      <c r="BA17" s="15">
        <f t="shared" si="0"/>
        <v>0</v>
      </c>
      <c r="CB17" s="15">
        <f t="shared" si="1"/>
        <v>0</v>
      </c>
      <c r="DE17" s="15">
        <f t="shared" si="2"/>
        <v>0</v>
      </c>
      <c r="DS17" s="15">
        <f t="shared" si="3"/>
        <v>0</v>
      </c>
      <c r="EF17" s="15">
        <f t="shared" si="4"/>
        <v>0</v>
      </c>
      <c r="FI17" s="15">
        <f t="shared" si="5"/>
        <v>0</v>
      </c>
      <c r="FJ17">
        <v>75</v>
      </c>
      <c r="HY17" s="15">
        <f t="shared" si="6"/>
        <v>1</v>
      </c>
      <c r="HZ17">
        <v>193</v>
      </c>
      <c r="KM17" s="15">
        <f t="shared" si="7"/>
        <v>1</v>
      </c>
      <c r="LZ17">
        <v>158</v>
      </c>
      <c r="MZ17" s="15">
        <f t="shared" si="8"/>
        <v>1</v>
      </c>
      <c r="OQ17" s="15">
        <f t="shared" si="9"/>
        <v>0</v>
      </c>
      <c r="OW17" s="28">
        <f t="shared" si="10"/>
        <v>0</v>
      </c>
      <c r="RD17" s="15">
        <f t="shared" si="11"/>
        <v>0</v>
      </c>
      <c r="RU17" s="15">
        <f t="shared" si="12"/>
        <v>0</v>
      </c>
      <c r="UE17" s="15">
        <f t="shared" si="13"/>
        <v>0</v>
      </c>
      <c r="VJ17" s="15">
        <f t="shared" si="14"/>
        <v>0</v>
      </c>
      <c r="WM17" s="15">
        <f t="shared" si="15"/>
        <v>0</v>
      </c>
      <c r="XH17" s="15">
        <f t="shared" si="16"/>
        <v>0</v>
      </c>
      <c r="YD17" s="15">
        <f t="shared" si="17"/>
        <v>0</v>
      </c>
      <c r="YX17" s="15">
        <f t="shared" si="18"/>
        <v>0</v>
      </c>
      <c r="ZR17" s="15">
        <f t="shared" si="19"/>
        <v>0</v>
      </c>
      <c r="ZX17" s="15">
        <f t="shared" si="20"/>
        <v>0</v>
      </c>
      <c r="AAT17" s="15">
        <f t="shared" si="21"/>
        <v>0</v>
      </c>
      <c r="ABQ17" s="15">
        <f t="shared" si="22"/>
        <v>0</v>
      </c>
      <c r="ABV17" s="28">
        <f t="shared" si="23"/>
        <v>0</v>
      </c>
      <c r="ACC17" s="28">
        <f t="shared" si="24"/>
        <v>0</v>
      </c>
      <c r="ACQ17" s="15">
        <f t="shared" si="25"/>
        <v>0</v>
      </c>
      <c r="ADA17" s="15">
        <f t="shared" si="26"/>
        <v>0</v>
      </c>
      <c r="ADM17" s="15">
        <f t="shared" si="27"/>
        <v>0</v>
      </c>
      <c r="AEI17" s="15">
        <f t="shared" si="28"/>
        <v>0</v>
      </c>
    </row>
    <row r="18" spans="2:815" x14ac:dyDescent="0.25">
      <c r="B18" s="4" t="s">
        <v>42</v>
      </c>
      <c r="D18">
        <v>14</v>
      </c>
      <c r="E18" t="s">
        <v>8</v>
      </c>
      <c r="F18" t="s">
        <v>15</v>
      </c>
      <c r="G18" t="s">
        <v>15</v>
      </c>
      <c r="I18" t="s">
        <v>15</v>
      </c>
      <c r="J18" t="s">
        <v>9</v>
      </c>
      <c r="L18" t="s">
        <v>303</v>
      </c>
      <c r="P18" s="10">
        <v>37005</v>
      </c>
      <c r="Q18" s="10">
        <v>37005</v>
      </c>
      <c r="R18" t="s">
        <v>1133</v>
      </c>
      <c r="S18" t="s">
        <v>1199</v>
      </c>
      <c r="BA18" s="15">
        <f t="shared" si="0"/>
        <v>0</v>
      </c>
      <c r="CB18" s="15">
        <f t="shared" si="1"/>
        <v>0</v>
      </c>
      <c r="DE18" s="15">
        <f t="shared" si="2"/>
        <v>0</v>
      </c>
      <c r="DS18" s="15">
        <f t="shared" si="3"/>
        <v>0</v>
      </c>
      <c r="EF18" s="15">
        <f t="shared" si="4"/>
        <v>0</v>
      </c>
      <c r="FI18" s="15">
        <f t="shared" si="5"/>
        <v>0</v>
      </c>
      <c r="HY18" s="15">
        <f t="shared" si="6"/>
        <v>0</v>
      </c>
      <c r="KM18" s="15">
        <f t="shared" si="7"/>
        <v>0</v>
      </c>
      <c r="MZ18" s="15">
        <f t="shared" si="8"/>
        <v>0</v>
      </c>
      <c r="OQ18" s="15">
        <f t="shared" si="9"/>
        <v>0</v>
      </c>
      <c r="OW18" s="28">
        <f t="shared" si="10"/>
        <v>0</v>
      </c>
      <c r="RD18" s="15">
        <f t="shared" si="11"/>
        <v>0</v>
      </c>
      <c r="RU18" s="15">
        <f t="shared" si="12"/>
        <v>0</v>
      </c>
      <c r="UE18" s="15">
        <f t="shared" si="13"/>
        <v>0</v>
      </c>
      <c r="VJ18" s="15">
        <f t="shared" si="14"/>
        <v>0</v>
      </c>
      <c r="WM18" s="15">
        <f t="shared" si="15"/>
        <v>0</v>
      </c>
      <c r="XH18" s="15">
        <f t="shared" si="16"/>
        <v>0</v>
      </c>
      <c r="YD18" s="15">
        <f t="shared" si="17"/>
        <v>0</v>
      </c>
      <c r="YX18" s="15">
        <f t="shared" si="18"/>
        <v>0</v>
      </c>
      <c r="ZR18" s="15">
        <f t="shared" si="19"/>
        <v>0</v>
      </c>
      <c r="ZX18" s="15">
        <f t="shared" si="20"/>
        <v>0</v>
      </c>
      <c r="AAT18" s="15">
        <f t="shared" si="21"/>
        <v>0</v>
      </c>
      <c r="ABQ18" s="15">
        <f t="shared" si="22"/>
        <v>0</v>
      </c>
      <c r="ABV18" s="28">
        <f t="shared" si="23"/>
        <v>0</v>
      </c>
      <c r="ACC18" s="28">
        <f t="shared" si="24"/>
        <v>0</v>
      </c>
      <c r="ACQ18" s="15">
        <f t="shared" si="25"/>
        <v>0</v>
      </c>
      <c r="ADA18" s="15">
        <f t="shared" si="26"/>
        <v>0</v>
      </c>
      <c r="ADM18" s="15">
        <f t="shared" si="27"/>
        <v>0</v>
      </c>
      <c r="AEI18" s="15">
        <f t="shared" si="28"/>
        <v>0</v>
      </c>
    </row>
    <row r="19" spans="2:815" x14ac:dyDescent="0.25">
      <c r="B19" s="2" t="s">
        <v>43</v>
      </c>
      <c r="D19">
        <v>12</v>
      </c>
      <c r="E19" t="s">
        <v>8</v>
      </c>
      <c r="F19" t="s">
        <v>9</v>
      </c>
      <c r="G19" t="s">
        <v>15</v>
      </c>
      <c r="H19" t="s">
        <v>1202</v>
      </c>
      <c r="I19" t="s">
        <v>15</v>
      </c>
      <c r="J19" t="s">
        <v>9</v>
      </c>
      <c r="L19" t="s">
        <v>1200</v>
      </c>
      <c r="M19">
        <v>20</v>
      </c>
      <c r="R19" t="s">
        <v>1133</v>
      </c>
      <c r="S19" t="s">
        <v>1153</v>
      </c>
      <c r="W19" t="s">
        <v>1201</v>
      </c>
      <c r="BA19" s="15">
        <f t="shared" si="0"/>
        <v>0</v>
      </c>
      <c r="CB19" s="15">
        <f t="shared" si="1"/>
        <v>0</v>
      </c>
      <c r="DE19" s="15">
        <f t="shared" si="2"/>
        <v>0</v>
      </c>
      <c r="DS19" s="15">
        <f t="shared" si="3"/>
        <v>0</v>
      </c>
      <c r="EF19" s="15">
        <f t="shared" si="4"/>
        <v>0</v>
      </c>
      <c r="FI19" s="15">
        <f t="shared" si="5"/>
        <v>0</v>
      </c>
      <c r="HY19" s="15">
        <f t="shared" si="6"/>
        <v>0</v>
      </c>
      <c r="KM19" s="15">
        <f t="shared" si="7"/>
        <v>0</v>
      </c>
      <c r="MZ19" s="15">
        <f t="shared" si="8"/>
        <v>0</v>
      </c>
      <c r="OQ19" s="15">
        <f t="shared" si="9"/>
        <v>0</v>
      </c>
      <c r="OW19" s="28">
        <f t="shared" si="10"/>
        <v>0</v>
      </c>
      <c r="RD19" s="15">
        <f t="shared" si="11"/>
        <v>0</v>
      </c>
      <c r="RU19" s="15">
        <f t="shared" si="12"/>
        <v>0</v>
      </c>
      <c r="UE19" s="15">
        <f t="shared" si="13"/>
        <v>0</v>
      </c>
      <c r="VJ19" s="15">
        <f t="shared" si="14"/>
        <v>0</v>
      </c>
      <c r="WM19" s="15">
        <f t="shared" si="15"/>
        <v>0</v>
      </c>
      <c r="XH19" s="15">
        <f t="shared" si="16"/>
        <v>0</v>
      </c>
      <c r="YD19" s="15">
        <f t="shared" si="17"/>
        <v>0</v>
      </c>
      <c r="YX19" s="15">
        <f t="shared" si="18"/>
        <v>0</v>
      </c>
      <c r="ZR19" s="15">
        <f t="shared" si="19"/>
        <v>0</v>
      </c>
      <c r="ZX19" s="15">
        <f t="shared" si="20"/>
        <v>0</v>
      </c>
      <c r="AAT19" s="15">
        <f t="shared" si="21"/>
        <v>0</v>
      </c>
      <c r="ABQ19" s="15">
        <f t="shared" si="22"/>
        <v>0</v>
      </c>
      <c r="ABV19" s="28">
        <f t="shared" si="23"/>
        <v>0</v>
      </c>
      <c r="ACC19" s="28">
        <f t="shared" si="24"/>
        <v>0</v>
      </c>
      <c r="ACQ19" s="15">
        <f t="shared" si="25"/>
        <v>0</v>
      </c>
      <c r="ADA19" s="15">
        <f t="shared" si="26"/>
        <v>0</v>
      </c>
      <c r="ADM19" s="15">
        <f t="shared" si="27"/>
        <v>0</v>
      </c>
      <c r="AEI19" s="15">
        <f t="shared" si="28"/>
        <v>0</v>
      </c>
    </row>
    <row r="20" spans="2:815" x14ac:dyDescent="0.25">
      <c r="B20" s="2" t="s">
        <v>44</v>
      </c>
      <c r="C20" t="s">
        <v>45</v>
      </c>
      <c r="D20">
        <v>61</v>
      </c>
      <c r="E20" t="s">
        <v>8</v>
      </c>
      <c r="F20" t="s">
        <v>15</v>
      </c>
      <c r="G20" t="s">
        <v>9</v>
      </c>
      <c r="H20" t="s">
        <v>253</v>
      </c>
      <c r="I20" t="s">
        <v>15</v>
      </c>
      <c r="J20" t="s">
        <v>9</v>
      </c>
      <c r="L20" t="s">
        <v>303</v>
      </c>
      <c r="M20">
        <v>52</v>
      </c>
      <c r="N20">
        <v>170</v>
      </c>
      <c r="O20">
        <v>18</v>
      </c>
      <c r="R20" t="s">
        <v>1203</v>
      </c>
      <c r="S20" t="s">
        <v>1204</v>
      </c>
      <c r="T20" t="s">
        <v>1205</v>
      </c>
      <c r="V20" t="s">
        <v>1206</v>
      </c>
      <c r="BA20" s="15">
        <f t="shared" si="0"/>
        <v>0</v>
      </c>
      <c r="CB20" s="15">
        <f t="shared" si="1"/>
        <v>0</v>
      </c>
      <c r="DE20" s="15">
        <f t="shared" si="2"/>
        <v>0</v>
      </c>
      <c r="DS20" s="15">
        <f t="shared" si="3"/>
        <v>0</v>
      </c>
      <c r="EF20" s="15">
        <f t="shared" si="4"/>
        <v>0</v>
      </c>
      <c r="FI20" s="15">
        <f t="shared" si="5"/>
        <v>0</v>
      </c>
      <c r="FJ20">
        <v>25</v>
      </c>
      <c r="HY20" s="15">
        <f t="shared" si="6"/>
        <v>1</v>
      </c>
      <c r="HZ20">
        <v>44</v>
      </c>
      <c r="KM20" s="15">
        <f t="shared" si="7"/>
        <v>1</v>
      </c>
      <c r="KN20">
        <v>129</v>
      </c>
      <c r="MY20">
        <v>39</v>
      </c>
      <c r="MZ20" s="15">
        <f t="shared" si="8"/>
        <v>2</v>
      </c>
      <c r="OQ20" s="15">
        <f t="shared" si="9"/>
        <v>0</v>
      </c>
      <c r="OW20" s="28">
        <f t="shared" si="10"/>
        <v>0</v>
      </c>
      <c r="RD20" s="15">
        <f t="shared" si="11"/>
        <v>0</v>
      </c>
      <c r="RE20" t="s">
        <v>526</v>
      </c>
      <c r="RT20" t="s">
        <v>528</v>
      </c>
      <c r="RU20" s="15">
        <f t="shared" si="12"/>
        <v>2</v>
      </c>
      <c r="UE20" s="15">
        <f t="shared" si="13"/>
        <v>0</v>
      </c>
      <c r="VJ20" s="15">
        <f t="shared" si="14"/>
        <v>0</v>
      </c>
      <c r="WM20" s="15">
        <f t="shared" si="15"/>
        <v>0</v>
      </c>
      <c r="XH20" s="15">
        <f t="shared" si="16"/>
        <v>0</v>
      </c>
      <c r="YD20" s="15">
        <f t="shared" si="17"/>
        <v>0</v>
      </c>
      <c r="YX20" s="15">
        <f t="shared" si="18"/>
        <v>0</v>
      </c>
      <c r="ZR20" s="15">
        <f t="shared" si="19"/>
        <v>0</v>
      </c>
      <c r="ZX20" s="15">
        <f t="shared" si="20"/>
        <v>0</v>
      </c>
      <c r="AAT20" s="15">
        <f t="shared" si="21"/>
        <v>0</v>
      </c>
      <c r="ABQ20" s="15">
        <f t="shared" si="22"/>
        <v>0</v>
      </c>
      <c r="ABV20" s="28">
        <f t="shared" si="23"/>
        <v>0</v>
      </c>
      <c r="ACC20" s="28">
        <f t="shared" si="24"/>
        <v>0</v>
      </c>
      <c r="ACQ20" s="15">
        <f t="shared" si="25"/>
        <v>0</v>
      </c>
      <c r="ADA20" s="15">
        <f t="shared" si="26"/>
        <v>0</v>
      </c>
      <c r="ADM20" s="15">
        <f t="shared" si="27"/>
        <v>0</v>
      </c>
      <c r="AEI20" s="15">
        <f t="shared" si="28"/>
        <v>0</v>
      </c>
    </row>
    <row r="21" spans="2:815" x14ac:dyDescent="0.25">
      <c r="B21" s="2" t="s">
        <v>46</v>
      </c>
      <c r="C21" t="s">
        <v>47</v>
      </c>
      <c r="D21">
        <v>41</v>
      </c>
      <c r="E21" t="s">
        <v>14</v>
      </c>
      <c r="F21" t="s">
        <v>9</v>
      </c>
      <c r="G21" t="s">
        <v>9</v>
      </c>
      <c r="H21" t="s">
        <v>255</v>
      </c>
      <c r="I21" t="s">
        <v>243</v>
      </c>
      <c r="J21" t="s">
        <v>9</v>
      </c>
      <c r="K21" t="s">
        <v>256</v>
      </c>
      <c r="L21" t="s">
        <v>1211</v>
      </c>
      <c r="M21">
        <v>60</v>
      </c>
      <c r="N21">
        <v>177</v>
      </c>
      <c r="O21" t="s">
        <v>1078</v>
      </c>
      <c r="P21" t="s">
        <v>1208</v>
      </c>
      <c r="Q21" t="s">
        <v>1209</v>
      </c>
      <c r="R21" t="s">
        <v>1207</v>
      </c>
      <c r="S21" t="s">
        <v>1210</v>
      </c>
      <c r="T21" t="s">
        <v>1212</v>
      </c>
      <c r="U21" t="s">
        <v>1213</v>
      </c>
      <c r="BA21" s="15">
        <f t="shared" si="0"/>
        <v>0</v>
      </c>
      <c r="CB21" s="15">
        <f t="shared" si="1"/>
        <v>0</v>
      </c>
      <c r="DE21" s="15">
        <f t="shared" si="2"/>
        <v>0</v>
      </c>
      <c r="DS21" s="15">
        <f t="shared" si="3"/>
        <v>0</v>
      </c>
      <c r="EF21" s="15">
        <f t="shared" si="4"/>
        <v>0</v>
      </c>
      <c r="FI21" s="15">
        <f t="shared" si="5"/>
        <v>0</v>
      </c>
      <c r="FJ21">
        <v>20</v>
      </c>
      <c r="FK21">
        <v>29</v>
      </c>
      <c r="HY21" s="15">
        <f t="shared" si="6"/>
        <v>2</v>
      </c>
      <c r="HZ21" t="s">
        <v>714</v>
      </c>
      <c r="KM21" s="15">
        <f t="shared" si="7"/>
        <v>1</v>
      </c>
      <c r="KN21">
        <v>41</v>
      </c>
      <c r="KO21">
        <v>38</v>
      </c>
      <c r="MZ21" s="15">
        <f t="shared" si="8"/>
        <v>2</v>
      </c>
      <c r="OQ21" s="15">
        <f t="shared" si="9"/>
        <v>0</v>
      </c>
      <c r="OW21" s="28">
        <f t="shared" si="10"/>
        <v>0</v>
      </c>
      <c r="RD21" s="15">
        <f t="shared" si="11"/>
        <v>0</v>
      </c>
      <c r="RU21" s="15">
        <f t="shared" si="12"/>
        <v>0</v>
      </c>
      <c r="UE21" s="15">
        <f t="shared" si="13"/>
        <v>0</v>
      </c>
      <c r="VJ21" s="15">
        <f t="shared" si="14"/>
        <v>0</v>
      </c>
      <c r="VK21" t="s">
        <v>529</v>
      </c>
      <c r="WM21" s="15">
        <f t="shared" si="15"/>
        <v>1</v>
      </c>
      <c r="XH21" s="15">
        <f t="shared" si="16"/>
        <v>0</v>
      </c>
      <c r="YD21" s="15">
        <f t="shared" si="17"/>
        <v>0</v>
      </c>
      <c r="YX21" s="15">
        <f t="shared" si="18"/>
        <v>0</v>
      </c>
      <c r="ZR21" s="15">
        <f t="shared" si="19"/>
        <v>0</v>
      </c>
      <c r="ZX21" s="15">
        <f t="shared" si="20"/>
        <v>0</v>
      </c>
      <c r="AAT21" s="15">
        <f t="shared" si="21"/>
        <v>0</v>
      </c>
      <c r="ABQ21" s="15">
        <f t="shared" si="22"/>
        <v>0</v>
      </c>
      <c r="ABV21" s="28">
        <f t="shared" si="23"/>
        <v>0</v>
      </c>
      <c r="ACC21" s="28">
        <f t="shared" si="24"/>
        <v>0</v>
      </c>
      <c r="ACH21" s="9">
        <v>0.72299999999999998</v>
      </c>
      <c r="ACQ21" s="15">
        <f t="shared" si="25"/>
        <v>1</v>
      </c>
      <c r="ACR21" t="s">
        <v>533</v>
      </c>
      <c r="ACS21" t="s">
        <v>534</v>
      </c>
      <c r="ACT21" t="s">
        <v>535</v>
      </c>
      <c r="ACU21" t="s">
        <v>537</v>
      </c>
      <c r="ADA21" s="15">
        <f t="shared" si="26"/>
        <v>0</v>
      </c>
      <c r="ADM21" s="15">
        <f t="shared" si="27"/>
        <v>0</v>
      </c>
      <c r="AEI21" s="15">
        <f t="shared" si="28"/>
        <v>0</v>
      </c>
    </row>
    <row r="22" spans="2:815" x14ac:dyDescent="0.25">
      <c r="B22" s="3" t="s">
        <v>48</v>
      </c>
      <c r="C22" t="s">
        <v>49</v>
      </c>
      <c r="D22">
        <v>61</v>
      </c>
      <c r="E22" t="s">
        <v>8</v>
      </c>
      <c r="F22" t="s">
        <v>9</v>
      </c>
      <c r="G22" t="s">
        <v>15</v>
      </c>
      <c r="H22" t="s">
        <v>249</v>
      </c>
      <c r="I22" t="s">
        <v>243</v>
      </c>
      <c r="J22" t="s">
        <v>9</v>
      </c>
      <c r="L22" t="s">
        <v>1215</v>
      </c>
      <c r="S22" t="s">
        <v>1216</v>
      </c>
      <c r="W22" t="s">
        <v>1214</v>
      </c>
      <c r="BA22" s="15">
        <f t="shared" si="0"/>
        <v>0</v>
      </c>
      <c r="CB22" s="15">
        <f t="shared" si="1"/>
        <v>0</v>
      </c>
      <c r="DE22" s="15">
        <f t="shared" si="2"/>
        <v>0</v>
      </c>
      <c r="DS22" s="15">
        <f t="shared" si="3"/>
        <v>0</v>
      </c>
      <c r="EF22" s="15">
        <f t="shared" si="4"/>
        <v>0</v>
      </c>
      <c r="FI22" s="15">
        <f t="shared" si="5"/>
        <v>0</v>
      </c>
      <c r="HY22" s="15">
        <f t="shared" si="6"/>
        <v>0</v>
      </c>
      <c r="KM22" s="15">
        <f t="shared" si="7"/>
        <v>0</v>
      </c>
      <c r="MZ22" s="15">
        <f t="shared" si="8"/>
        <v>0</v>
      </c>
      <c r="OQ22" s="15">
        <f t="shared" si="9"/>
        <v>0</v>
      </c>
      <c r="OW22" s="28">
        <f t="shared" si="10"/>
        <v>0</v>
      </c>
      <c r="RD22" s="15">
        <f t="shared" si="11"/>
        <v>0</v>
      </c>
      <c r="RU22" s="15">
        <f t="shared" si="12"/>
        <v>0</v>
      </c>
      <c r="UE22" s="15">
        <f t="shared" si="13"/>
        <v>0</v>
      </c>
      <c r="VJ22" s="15">
        <f t="shared" si="14"/>
        <v>0</v>
      </c>
      <c r="WM22" s="15">
        <f t="shared" si="15"/>
        <v>0</v>
      </c>
      <c r="XH22" s="15">
        <f t="shared" si="16"/>
        <v>0</v>
      </c>
      <c r="YD22" s="15">
        <f t="shared" si="17"/>
        <v>0</v>
      </c>
      <c r="YX22" s="15">
        <f t="shared" si="18"/>
        <v>0</v>
      </c>
      <c r="ZR22" s="15">
        <f t="shared" si="19"/>
        <v>0</v>
      </c>
      <c r="ZX22" s="15">
        <f t="shared" si="20"/>
        <v>0</v>
      </c>
      <c r="AAT22" s="15">
        <f t="shared" si="21"/>
        <v>0</v>
      </c>
      <c r="ABQ22" s="15">
        <f t="shared" si="22"/>
        <v>0</v>
      </c>
      <c r="ABV22" s="28">
        <f t="shared" si="23"/>
        <v>0</v>
      </c>
      <c r="ACC22" s="28">
        <f t="shared" si="24"/>
        <v>0</v>
      </c>
      <c r="ACQ22" s="15">
        <f t="shared" si="25"/>
        <v>0</v>
      </c>
      <c r="ADA22" s="15">
        <f t="shared" si="26"/>
        <v>0</v>
      </c>
      <c r="ADM22" s="15">
        <f t="shared" si="27"/>
        <v>0</v>
      </c>
      <c r="AEI22" s="15">
        <f t="shared" si="28"/>
        <v>0</v>
      </c>
    </row>
    <row r="23" spans="2:815" x14ac:dyDescent="0.25">
      <c r="B23" s="2" t="s">
        <v>50</v>
      </c>
      <c r="C23" t="s">
        <v>51</v>
      </c>
      <c r="D23">
        <v>40</v>
      </c>
      <c r="E23" t="s">
        <v>14</v>
      </c>
      <c r="F23" t="s">
        <v>9</v>
      </c>
      <c r="G23" t="s">
        <v>9</v>
      </c>
      <c r="H23" t="s">
        <v>249</v>
      </c>
      <c r="I23" t="s">
        <v>243</v>
      </c>
      <c r="J23" t="s">
        <v>257</v>
      </c>
      <c r="K23" t="s">
        <v>1222</v>
      </c>
      <c r="L23" t="s">
        <v>307</v>
      </c>
      <c r="P23" s="10">
        <v>37333</v>
      </c>
      <c r="Q23" s="10">
        <v>37337</v>
      </c>
      <c r="R23" t="s">
        <v>1375</v>
      </c>
      <c r="S23" t="s">
        <v>1219</v>
      </c>
      <c r="V23" t="s">
        <v>1221</v>
      </c>
      <c r="W23" t="s">
        <v>1220</v>
      </c>
      <c r="BA23" s="15">
        <f t="shared" si="0"/>
        <v>0</v>
      </c>
      <c r="CB23" s="15">
        <f t="shared" si="1"/>
        <v>0</v>
      </c>
      <c r="DE23" s="15">
        <f t="shared" si="2"/>
        <v>0</v>
      </c>
      <c r="DS23" s="15">
        <f t="shared" si="3"/>
        <v>0</v>
      </c>
      <c r="EF23" s="15">
        <f t="shared" si="4"/>
        <v>0</v>
      </c>
      <c r="EG23" t="s">
        <v>538</v>
      </c>
      <c r="FI23" s="15">
        <f t="shared" si="5"/>
        <v>1</v>
      </c>
      <c r="FJ23" t="s">
        <v>539</v>
      </c>
      <c r="FQ23">
        <v>1.85</v>
      </c>
      <c r="GL23">
        <v>1.6</v>
      </c>
      <c r="HY23" s="15">
        <f t="shared" si="6"/>
        <v>3</v>
      </c>
      <c r="HZ23">
        <v>2.89</v>
      </c>
      <c r="IF23">
        <v>2.83</v>
      </c>
      <c r="JA23">
        <v>4.2</v>
      </c>
      <c r="KM23" s="15">
        <f t="shared" si="7"/>
        <v>3</v>
      </c>
      <c r="KR23">
        <v>7.24</v>
      </c>
      <c r="LM23">
        <v>13.9</v>
      </c>
      <c r="MZ23" s="15">
        <f t="shared" si="8"/>
        <v>2</v>
      </c>
      <c r="OQ23" s="15">
        <f t="shared" si="9"/>
        <v>0</v>
      </c>
      <c r="OW23" s="28">
        <f t="shared" si="10"/>
        <v>0</v>
      </c>
      <c r="OX23" t="s">
        <v>540</v>
      </c>
      <c r="PD23">
        <v>96.5</v>
      </c>
      <c r="PZ23">
        <v>28.6</v>
      </c>
      <c r="RD23" s="15">
        <f t="shared" si="11"/>
        <v>3</v>
      </c>
      <c r="RU23" s="15">
        <f t="shared" si="12"/>
        <v>0</v>
      </c>
      <c r="SB23">
        <v>10.9</v>
      </c>
      <c r="SW23">
        <v>21.4</v>
      </c>
      <c r="UE23" s="15">
        <f t="shared" si="13"/>
        <v>2</v>
      </c>
      <c r="VJ23" s="15">
        <f t="shared" si="14"/>
        <v>0</v>
      </c>
      <c r="WM23" s="15">
        <f t="shared" si="15"/>
        <v>0</v>
      </c>
      <c r="XH23" s="15">
        <f t="shared" si="16"/>
        <v>0</v>
      </c>
      <c r="YD23" s="15">
        <f t="shared" si="17"/>
        <v>0</v>
      </c>
      <c r="YX23" s="15">
        <f t="shared" si="18"/>
        <v>0</v>
      </c>
      <c r="YY23">
        <v>237.3</v>
      </c>
      <c r="ZR23" s="15">
        <f t="shared" si="19"/>
        <v>1</v>
      </c>
      <c r="ZX23" s="15">
        <f t="shared" si="20"/>
        <v>0</v>
      </c>
      <c r="AAT23" s="15">
        <f t="shared" si="21"/>
        <v>0</v>
      </c>
      <c r="ABQ23" s="15">
        <f t="shared" si="22"/>
        <v>0</v>
      </c>
      <c r="ABV23" s="28">
        <f t="shared" si="23"/>
        <v>0</v>
      </c>
      <c r="ACC23" s="28">
        <f t="shared" si="24"/>
        <v>0</v>
      </c>
      <c r="ACQ23" s="15">
        <f t="shared" si="25"/>
        <v>0</v>
      </c>
      <c r="ADA23" s="15">
        <f t="shared" si="26"/>
        <v>0</v>
      </c>
      <c r="ADM23" s="15">
        <f t="shared" si="27"/>
        <v>0</v>
      </c>
      <c r="AEI23" s="15">
        <f t="shared" si="28"/>
        <v>0</v>
      </c>
    </row>
    <row r="24" spans="2:815" x14ac:dyDescent="0.25">
      <c r="B24" s="4" t="s">
        <v>52</v>
      </c>
      <c r="D24">
        <v>12</v>
      </c>
      <c r="E24" t="s">
        <v>8</v>
      </c>
      <c r="F24" t="s">
        <v>9</v>
      </c>
      <c r="G24" t="s">
        <v>15</v>
      </c>
      <c r="H24" t="s">
        <v>1226</v>
      </c>
      <c r="J24" t="s">
        <v>257</v>
      </c>
      <c r="K24" t="s">
        <v>258</v>
      </c>
      <c r="L24" t="s">
        <v>1224</v>
      </c>
      <c r="S24" t="s">
        <v>1225</v>
      </c>
      <c r="W24" t="s">
        <v>1223</v>
      </c>
      <c r="BA24" s="15">
        <f t="shared" si="0"/>
        <v>0</v>
      </c>
      <c r="CB24" s="15">
        <f t="shared" si="1"/>
        <v>0</v>
      </c>
      <c r="DE24" s="15">
        <f t="shared" si="2"/>
        <v>0</v>
      </c>
      <c r="DS24" s="15">
        <f t="shared" si="3"/>
        <v>0</v>
      </c>
      <c r="EF24" s="15">
        <f t="shared" si="4"/>
        <v>0</v>
      </c>
      <c r="FI24" s="15">
        <f t="shared" si="5"/>
        <v>0</v>
      </c>
      <c r="HY24" s="15">
        <f t="shared" si="6"/>
        <v>0</v>
      </c>
      <c r="KM24" s="15">
        <f t="shared" si="7"/>
        <v>0</v>
      </c>
      <c r="MZ24" s="15">
        <f t="shared" si="8"/>
        <v>0</v>
      </c>
      <c r="OQ24" s="15">
        <f t="shared" si="9"/>
        <v>0</v>
      </c>
      <c r="OW24" s="28">
        <f t="shared" si="10"/>
        <v>0</v>
      </c>
      <c r="RD24" s="15">
        <f t="shared" si="11"/>
        <v>0</v>
      </c>
      <c r="RU24" s="15">
        <f t="shared" si="12"/>
        <v>0</v>
      </c>
      <c r="UE24" s="15">
        <f t="shared" si="13"/>
        <v>0</v>
      </c>
      <c r="VJ24" s="15">
        <f t="shared" si="14"/>
        <v>0</v>
      </c>
      <c r="WM24" s="15">
        <f t="shared" si="15"/>
        <v>0</v>
      </c>
      <c r="XH24" s="15">
        <f t="shared" si="16"/>
        <v>0</v>
      </c>
      <c r="YD24" s="15">
        <f t="shared" si="17"/>
        <v>0</v>
      </c>
      <c r="YX24" s="15">
        <f t="shared" si="18"/>
        <v>0</v>
      </c>
      <c r="ZR24" s="15">
        <f t="shared" si="19"/>
        <v>0</v>
      </c>
      <c r="ZX24" s="15">
        <f t="shared" si="20"/>
        <v>0</v>
      </c>
      <c r="AAT24" s="15">
        <f t="shared" si="21"/>
        <v>0</v>
      </c>
      <c r="ABQ24" s="15">
        <f t="shared" si="22"/>
        <v>0</v>
      </c>
      <c r="ABV24" s="28">
        <f t="shared" si="23"/>
        <v>0</v>
      </c>
      <c r="ACC24" s="28">
        <f t="shared" si="24"/>
        <v>0</v>
      </c>
      <c r="ACQ24" s="15">
        <f t="shared" si="25"/>
        <v>0</v>
      </c>
      <c r="ADA24" s="15">
        <f t="shared" si="26"/>
        <v>0</v>
      </c>
      <c r="ADM24" s="15">
        <f t="shared" si="27"/>
        <v>0</v>
      </c>
      <c r="AEI24" s="15">
        <f t="shared" si="28"/>
        <v>0</v>
      </c>
    </row>
    <row r="25" spans="2:815" x14ac:dyDescent="0.25">
      <c r="B25" s="2" t="s">
        <v>53</v>
      </c>
      <c r="C25" t="s">
        <v>54</v>
      </c>
      <c r="D25">
        <v>15</v>
      </c>
      <c r="E25" t="s">
        <v>8</v>
      </c>
      <c r="F25" t="s">
        <v>15</v>
      </c>
      <c r="G25" t="s">
        <v>9</v>
      </c>
      <c r="H25" t="s">
        <v>255</v>
      </c>
      <c r="I25" t="s">
        <v>243</v>
      </c>
      <c r="J25" t="s">
        <v>257</v>
      </c>
      <c r="K25" t="s">
        <v>1229</v>
      </c>
      <c r="L25" t="s">
        <v>308</v>
      </c>
      <c r="N25">
        <v>165</v>
      </c>
      <c r="P25" s="10">
        <v>37360</v>
      </c>
      <c r="Q25" s="10">
        <v>37360</v>
      </c>
      <c r="R25" t="s">
        <v>1133</v>
      </c>
      <c r="S25" t="s">
        <v>1227</v>
      </c>
      <c r="W25" t="s">
        <v>1228</v>
      </c>
      <c r="BA25" s="15">
        <f t="shared" si="0"/>
        <v>0</v>
      </c>
      <c r="CB25" s="15">
        <f t="shared" si="1"/>
        <v>0</v>
      </c>
      <c r="DE25" s="15">
        <f t="shared" si="2"/>
        <v>0</v>
      </c>
      <c r="DS25" s="15">
        <f t="shared" si="3"/>
        <v>0</v>
      </c>
      <c r="EF25" s="15">
        <f t="shared" si="4"/>
        <v>0</v>
      </c>
      <c r="FI25" s="15">
        <f t="shared" si="5"/>
        <v>0</v>
      </c>
      <c r="FJ25">
        <v>302</v>
      </c>
      <c r="HY25" s="15">
        <f t="shared" si="6"/>
        <v>1</v>
      </c>
      <c r="HZ25">
        <v>523</v>
      </c>
      <c r="IQ25">
        <v>77</v>
      </c>
      <c r="KM25" s="15">
        <f t="shared" si="7"/>
        <v>2</v>
      </c>
      <c r="KN25">
        <v>128</v>
      </c>
      <c r="MZ25" s="15">
        <f t="shared" si="8"/>
        <v>1</v>
      </c>
      <c r="NA25">
        <v>346</v>
      </c>
      <c r="OQ25" s="15">
        <f t="shared" si="9"/>
        <v>1</v>
      </c>
      <c r="OW25" s="28">
        <f t="shared" si="10"/>
        <v>0</v>
      </c>
      <c r="OX25" t="s">
        <v>542</v>
      </c>
      <c r="RD25" s="15">
        <f t="shared" si="11"/>
        <v>1</v>
      </c>
      <c r="RU25" s="15">
        <f t="shared" si="12"/>
        <v>0</v>
      </c>
      <c r="RV25">
        <v>328</v>
      </c>
      <c r="UE25" s="15">
        <f t="shared" si="13"/>
        <v>1</v>
      </c>
      <c r="VJ25" s="15">
        <f t="shared" si="14"/>
        <v>0</v>
      </c>
      <c r="WM25" s="15">
        <f t="shared" si="15"/>
        <v>0</v>
      </c>
      <c r="XH25" s="15">
        <f t="shared" si="16"/>
        <v>0</v>
      </c>
      <c r="YD25" s="15">
        <f t="shared" si="17"/>
        <v>0</v>
      </c>
      <c r="YX25" s="15">
        <f t="shared" si="18"/>
        <v>0</v>
      </c>
      <c r="ZR25" s="15">
        <f t="shared" si="19"/>
        <v>0</v>
      </c>
      <c r="ZX25" s="15">
        <f t="shared" si="20"/>
        <v>0</v>
      </c>
      <c r="AAT25" s="15">
        <f t="shared" si="21"/>
        <v>0</v>
      </c>
      <c r="ABQ25" s="15">
        <f t="shared" si="22"/>
        <v>0</v>
      </c>
      <c r="ABV25" s="28">
        <f t="shared" si="23"/>
        <v>0</v>
      </c>
      <c r="ACC25" s="28">
        <f t="shared" si="24"/>
        <v>0</v>
      </c>
      <c r="ACQ25" s="15">
        <f t="shared" si="25"/>
        <v>0</v>
      </c>
      <c r="ADA25" s="15">
        <f t="shared" si="26"/>
        <v>0</v>
      </c>
      <c r="ADM25" s="15">
        <f t="shared" si="27"/>
        <v>0</v>
      </c>
      <c r="AEI25" s="15">
        <f t="shared" si="28"/>
        <v>0</v>
      </c>
    </row>
    <row r="26" spans="2:815" x14ac:dyDescent="0.25">
      <c r="B26" s="6" t="s">
        <v>55</v>
      </c>
      <c r="C26" t="s">
        <v>56</v>
      </c>
      <c r="D26">
        <v>18</v>
      </c>
      <c r="E26" t="s">
        <v>14</v>
      </c>
      <c r="F26" t="s">
        <v>15</v>
      </c>
      <c r="G26" t="s">
        <v>15</v>
      </c>
      <c r="H26" t="s">
        <v>259</v>
      </c>
      <c r="I26" t="s">
        <v>243</v>
      </c>
      <c r="J26" t="s">
        <v>15</v>
      </c>
      <c r="L26" t="s">
        <v>309</v>
      </c>
      <c r="M26">
        <v>92</v>
      </c>
      <c r="N26">
        <v>171</v>
      </c>
      <c r="O26" t="s">
        <v>635</v>
      </c>
      <c r="R26" t="s">
        <v>1231</v>
      </c>
      <c r="S26" t="s">
        <v>1230</v>
      </c>
      <c r="BA26" s="15">
        <f t="shared" si="0"/>
        <v>0</v>
      </c>
      <c r="CB26" s="15">
        <f t="shared" si="1"/>
        <v>0</v>
      </c>
      <c r="DE26" s="15">
        <f t="shared" si="2"/>
        <v>0</v>
      </c>
      <c r="DS26" s="15">
        <f t="shared" si="3"/>
        <v>0</v>
      </c>
      <c r="EF26" s="15">
        <f t="shared" si="4"/>
        <v>0</v>
      </c>
      <c r="FI26" s="15">
        <f t="shared" si="5"/>
        <v>0</v>
      </c>
      <c r="HY26" s="15">
        <f t="shared" si="6"/>
        <v>0</v>
      </c>
      <c r="KM26" s="15">
        <f t="shared" si="7"/>
        <v>0</v>
      </c>
      <c r="MZ26" s="15">
        <f t="shared" si="8"/>
        <v>0</v>
      </c>
      <c r="OQ26" s="15">
        <f t="shared" si="9"/>
        <v>0</v>
      </c>
      <c r="OW26" s="28">
        <f t="shared" si="10"/>
        <v>0</v>
      </c>
      <c r="RD26" s="15">
        <f t="shared" si="11"/>
        <v>0</v>
      </c>
      <c r="RU26" s="15">
        <f t="shared" si="12"/>
        <v>0</v>
      </c>
      <c r="UE26" s="15">
        <f t="shared" si="13"/>
        <v>0</v>
      </c>
      <c r="VJ26" s="15">
        <f t="shared" si="14"/>
        <v>0</v>
      </c>
      <c r="WM26" s="15">
        <f t="shared" si="15"/>
        <v>0</v>
      </c>
      <c r="XH26" s="15">
        <f t="shared" si="16"/>
        <v>0</v>
      </c>
      <c r="YD26" s="15">
        <f t="shared" si="17"/>
        <v>0</v>
      </c>
      <c r="YX26" s="15">
        <f t="shared" si="18"/>
        <v>0</v>
      </c>
      <c r="ZR26" s="15">
        <f t="shared" si="19"/>
        <v>0</v>
      </c>
      <c r="ZX26" s="15">
        <f t="shared" si="20"/>
        <v>0</v>
      </c>
      <c r="AAT26" s="15">
        <f t="shared" si="21"/>
        <v>0</v>
      </c>
      <c r="ABQ26" s="15">
        <f t="shared" si="22"/>
        <v>0</v>
      </c>
      <c r="ABV26" s="28">
        <f t="shared" si="23"/>
        <v>0</v>
      </c>
      <c r="ACC26" s="28">
        <f t="shared" si="24"/>
        <v>0</v>
      </c>
      <c r="ACQ26" s="15">
        <f t="shared" si="25"/>
        <v>0</v>
      </c>
      <c r="ADA26" s="15">
        <f t="shared" si="26"/>
        <v>0</v>
      </c>
      <c r="ADM26" s="15">
        <f t="shared" si="27"/>
        <v>0</v>
      </c>
      <c r="AEI26" s="15">
        <f t="shared" si="28"/>
        <v>0</v>
      </c>
    </row>
    <row r="27" spans="2:815" x14ac:dyDescent="0.25">
      <c r="B27" s="2" t="s">
        <v>57</v>
      </c>
      <c r="C27" t="s">
        <v>58</v>
      </c>
      <c r="D27">
        <v>24</v>
      </c>
      <c r="E27" t="s">
        <v>8</v>
      </c>
      <c r="F27" t="s">
        <v>9</v>
      </c>
      <c r="G27" t="s">
        <v>9</v>
      </c>
      <c r="H27" t="s">
        <v>260</v>
      </c>
      <c r="I27" t="s">
        <v>15</v>
      </c>
      <c r="J27" t="s">
        <v>15</v>
      </c>
      <c r="L27" t="s">
        <v>1235</v>
      </c>
      <c r="M27">
        <v>33.5</v>
      </c>
      <c r="P27" t="s">
        <v>1237</v>
      </c>
      <c r="Q27" s="10" t="s">
        <v>1239</v>
      </c>
      <c r="R27" t="s">
        <v>1238</v>
      </c>
      <c r="S27" t="s">
        <v>1236</v>
      </c>
      <c r="T27" t="s">
        <v>1233</v>
      </c>
      <c r="U27" t="s">
        <v>1234</v>
      </c>
      <c r="V27" t="s">
        <v>1240</v>
      </c>
      <c r="W27" t="s">
        <v>1241</v>
      </c>
      <c r="Y27" t="s">
        <v>1232</v>
      </c>
      <c r="BA27" s="15">
        <f t="shared" si="0"/>
        <v>0</v>
      </c>
      <c r="CB27" s="15">
        <f t="shared" si="1"/>
        <v>0</v>
      </c>
      <c r="DE27" s="15">
        <f t="shared" si="2"/>
        <v>0</v>
      </c>
      <c r="DS27" s="15">
        <f t="shared" si="3"/>
        <v>0</v>
      </c>
      <c r="EF27" s="15">
        <f t="shared" si="4"/>
        <v>0</v>
      </c>
      <c r="FI27" s="15">
        <f t="shared" si="5"/>
        <v>0</v>
      </c>
      <c r="HY27" s="15">
        <f t="shared" si="6"/>
        <v>0</v>
      </c>
      <c r="KM27" s="15">
        <f t="shared" si="7"/>
        <v>0</v>
      </c>
      <c r="MZ27" s="15">
        <f t="shared" si="8"/>
        <v>0</v>
      </c>
      <c r="OQ27" s="15">
        <f t="shared" si="9"/>
        <v>0</v>
      </c>
      <c r="OW27" s="28">
        <f t="shared" si="10"/>
        <v>0</v>
      </c>
      <c r="RD27" s="15">
        <f t="shared" si="11"/>
        <v>0</v>
      </c>
      <c r="RU27" s="15">
        <f t="shared" si="12"/>
        <v>0</v>
      </c>
      <c r="UE27" s="15">
        <f t="shared" si="13"/>
        <v>0</v>
      </c>
      <c r="VJ27" s="15">
        <f t="shared" si="14"/>
        <v>0</v>
      </c>
      <c r="WM27" s="15">
        <f t="shared" si="15"/>
        <v>0</v>
      </c>
      <c r="XH27" s="15">
        <f t="shared" si="16"/>
        <v>0</v>
      </c>
      <c r="YD27" s="15">
        <f t="shared" si="17"/>
        <v>0</v>
      </c>
      <c r="YX27" s="15">
        <f t="shared" si="18"/>
        <v>0</v>
      </c>
      <c r="ZR27" s="15">
        <f t="shared" si="19"/>
        <v>0</v>
      </c>
      <c r="ZX27" s="15">
        <f t="shared" si="20"/>
        <v>0</v>
      </c>
      <c r="AAT27" s="15">
        <f t="shared" si="21"/>
        <v>0</v>
      </c>
      <c r="ABQ27" s="15">
        <f t="shared" si="22"/>
        <v>0</v>
      </c>
      <c r="ABR27" s="25" t="s">
        <v>2017</v>
      </c>
      <c r="ABV27" s="28">
        <f t="shared" si="23"/>
        <v>1</v>
      </c>
      <c r="ABW27" s="25" t="s">
        <v>715</v>
      </c>
      <c r="ACC27" s="28">
        <f t="shared" si="24"/>
        <v>1</v>
      </c>
      <c r="ACQ27" s="15">
        <f t="shared" si="25"/>
        <v>0</v>
      </c>
      <c r="ADA27" s="15">
        <f t="shared" si="26"/>
        <v>0</v>
      </c>
      <c r="ADM27" s="15">
        <f t="shared" si="27"/>
        <v>0</v>
      </c>
      <c r="AEI27" s="15">
        <f t="shared" si="28"/>
        <v>0</v>
      </c>
    </row>
    <row r="28" spans="2:815" x14ac:dyDescent="0.25">
      <c r="B28" s="3" t="s">
        <v>59</v>
      </c>
      <c r="E28" t="s">
        <v>14</v>
      </c>
      <c r="F28" t="s">
        <v>9</v>
      </c>
      <c r="G28" t="s">
        <v>9</v>
      </c>
      <c r="H28" t="s">
        <v>1246</v>
      </c>
      <c r="I28" t="s">
        <v>15</v>
      </c>
      <c r="J28" t="s">
        <v>9</v>
      </c>
      <c r="L28" t="s">
        <v>1200</v>
      </c>
      <c r="Q28" s="13">
        <v>37500</v>
      </c>
      <c r="R28" t="s">
        <v>1244</v>
      </c>
      <c r="S28" t="s">
        <v>1243</v>
      </c>
      <c r="V28" t="s">
        <v>1245</v>
      </c>
      <c r="W28" t="s">
        <v>1242</v>
      </c>
      <c r="BA28" s="15">
        <f t="shared" si="0"/>
        <v>0</v>
      </c>
      <c r="CB28" s="15">
        <f t="shared" si="1"/>
        <v>0</v>
      </c>
      <c r="DE28" s="15">
        <f t="shared" si="2"/>
        <v>0</v>
      </c>
      <c r="DS28" s="15">
        <f t="shared" si="3"/>
        <v>0</v>
      </c>
      <c r="EF28" s="15">
        <f t="shared" si="4"/>
        <v>0</v>
      </c>
      <c r="FI28" s="15">
        <f t="shared" si="5"/>
        <v>0</v>
      </c>
      <c r="HY28" s="15">
        <f t="shared" si="6"/>
        <v>0</v>
      </c>
      <c r="HZ28" t="s">
        <v>716</v>
      </c>
      <c r="KM28" s="15">
        <f t="shared" si="7"/>
        <v>1</v>
      </c>
      <c r="MZ28" s="15">
        <f t="shared" si="8"/>
        <v>0</v>
      </c>
      <c r="OQ28" s="15">
        <f t="shared" si="9"/>
        <v>0</v>
      </c>
      <c r="OW28" s="28">
        <f t="shared" si="10"/>
        <v>0</v>
      </c>
      <c r="OX28">
        <v>102</v>
      </c>
      <c r="RD28" s="15">
        <f t="shared" si="11"/>
        <v>1</v>
      </c>
      <c r="RU28" s="15">
        <f t="shared" si="12"/>
        <v>0</v>
      </c>
      <c r="UE28" s="15">
        <f t="shared" si="13"/>
        <v>0</v>
      </c>
      <c r="VJ28" s="15">
        <f t="shared" si="14"/>
        <v>0</v>
      </c>
      <c r="WM28" s="15">
        <f t="shared" si="15"/>
        <v>0</v>
      </c>
      <c r="XH28" s="15">
        <f t="shared" si="16"/>
        <v>0</v>
      </c>
      <c r="YD28" s="15">
        <f t="shared" si="17"/>
        <v>0</v>
      </c>
      <c r="YX28" s="15">
        <f t="shared" si="18"/>
        <v>0</v>
      </c>
      <c r="ZR28" s="15">
        <f t="shared" si="19"/>
        <v>0</v>
      </c>
      <c r="ZX28" s="15">
        <f t="shared" si="20"/>
        <v>0</v>
      </c>
      <c r="AAT28" s="15">
        <f t="shared" si="21"/>
        <v>0</v>
      </c>
      <c r="ABQ28" s="15">
        <f t="shared" si="22"/>
        <v>0</v>
      </c>
      <c r="ABV28" s="28">
        <f t="shared" si="23"/>
        <v>0</v>
      </c>
      <c r="ACC28" s="28">
        <f t="shared" si="24"/>
        <v>0</v>
      </c>
      <c r="ACQ28" s="15">
        <f t="shared" si="25"/>
        <v>0</v>
      </c>
      <c r="ADA28" s="15">
        <f t="shared" si="26"/>
        <v>0</v>
      </c>
      <c r="ADM28" s="15">
        <f t="shared" si="27"/>
        <v>0</v>
      </c>
      <c r="AEI28" s="15">
        <f t="shared" si="28"/>
        <v>0</v>
      </c>
    </row>
    <row r="29" spans="2:815" x14ac:dyDescent="0.25">
      <c r="B29" s="2" t="s">
        <v>60</v>
      </c>
      <c r="C29" t="s">
        <v>61</v>
      </c>
      <c r="D29">
        <v>36</v>
      </c>
      <c r="E29" t="s">
        <v>8</v>
      </c>
      <c r="F29" t="s">
        <v>9</v>
      </c>
      <c r="G29" t="s">
        <v>9</v>
      </c>
      <c r="H29" t="s">
        <v>261</v>
      </c>
      <c r="I29" t="s">
        <v>15</v>
      </c>
      <c r="J29" t="s">
        <v>9</v>
      </c>
      <c r="K29" t="s">
        <v>1249</v>
      </c>
      <c r="L29" t="s">
        <v>312</v>
      </c>
      <c r="M29">
        <v>74</v>
      </c>
      <c r="N29">
        <v>175</v>
      </c>
      <c r="O29" t="s">
        <v>1036</v>
      </c>
      <c r="P29" s="10">
        <v>37329</v>
      </c>
      <c r="Q29" s="10">
        <v>37333</v>
      </c>
      <c r="R29" t="s">
        <v>1218</v>
      </c>
      <c r="S29" t="s">
        <v>1153</v>
      </c>
      <c r="T29" t="s">
        <v>1247</v>
      </c>
      <c r="W29" t="s">
        <v>1248</v>
      </c>
      <c r="BA29" s="15">
        <f t="shared" si="0"/>
        <v>0</v>
      </c>
      <c r="BB29">
        <v>114</v>
      </c>
      <c r="CB29" s="15">
        <f t="shared" si="1"/>
        <v>1</v>
      </c>
      <c r="CC29">
        <v>31</v>
      </c>
      <c r="DE29" s="15">
        <f t="shared" si="2"/>
        <v>1</v>
      </c>
      <c r="DG29">
        <v>441</v>
      </c>
      <c r="DS29" s="15">
        <f t="shared" si="3"/>
        <v>1</v>
      </c>
      <c r="EF29" s="15">
        <f t="shared" si="4"/>
        <v>0</v>
      </c>
      <c r="FI29" s="15">
        <f t="shared" si="5"/>
        <v>0</v>
      </c>
      <c r="FJ29">
        <v>7</v>
      </c>
      <c r="HY29" s="15">
        <f t="shared" si="6"/>
        <v>1</v>
      </c>
      <c r="HZ29">
        <v>8</v>
      </c>
      <c r="KM29" s="15">
        <f t="shared" si="7"/>
        <v>1</v>
      </c>
      <c r="KN29">
        <v>5</v>
      </c>
      <c r="MZ29" s="15">
        <f t="shared" si="8"/>
        <v>1</v>
      </c>
      <c r="NA29">
        <v>153</v>
      </c>
      <c r="OQ29" s="15">
        <f t="shared" si="9"/>
        <v>1</v>
      </c>
      <c r="OR29" s="25" t="s">
        <v>548</v>
      </c>
      <c r="OW29" s="28">
        <f t="shared" si="10"/>
        <v>1</v>
      </c>
      <c r="OX29" t="s">
        <v>1674</v>
      </c>
      <c r="RD29" s="15">
        <f t="shared" si="11"/>
        <v>1</v>
      </c>
      <c r="RU29" s="15">
        <f t="shared" si="12"/>
        <v>0</v>
      </c>
      <c r="UE29" s="15">
        <f t="shared" si="13"/>
        <v>0</v>
      </c>
      <c r="UF29">
        <v>5100</v>
      </c>
      <c r="VJ29" s="15">
        <f t="shared" si="14"/>
        <v>1</v>
      </c>
      <c r="VK29" t="s">
        <v>543</v>
      </c>
      <c r="WM29" s="15">
        <f t="shared" si="15"/>
        <v>1</v>
      </c>
      <c r="XH29" s="15">
        <f t="shared" si="16"/>
        <v>0</v>
      </c>
      <c r="YD29" s="15">
        <f t="shared" si="17"/>
        <v>0</v>
      </c>
      <c r="YX29" s="15">
        <f t="shared" si="18"/>
        <v>0</v>
      </c>
      <c r="ZR29" s="15">
        <f t="shared" si="19"/>
        <v>0</v>
      </c>
      <c r="ZW29" s="25" t="s">
        <v>547</v>
      </c>
      <c r="ZX29" s="15">
        <f t="shared" si="20"/>
        <v>1</v>
      </c>
      <c r="AAT29" s="15">
        <f t="shared" si="21"/>
        <v>0</v>
      </c>
      <c r="AAU29">
        <v>340</v>
      </c>
      <c r="ABQ29" s="15">
        <f t="shared" si="22"/>
        <v>1</v>
      </c>
      <c r="ABV29" s="28">
        <f t="shared" si="23"/>
        <v>0</v>
      </c>
      <c r="ACC29" s="28">
        <f t="shared" si="24"/>
        <v>0</v>
      </c>
      <c r="ACQ29" s="15">
        <f t="shared" si="25"/>
        <v>0</v>
      </c>
      <c r="ACV29" t="s">
        <v>546</v>
      </c>
      <c r="ADA29" s="15">
        <f t="shared" si="26"/>
        <v>1</v>
      </c>
      <c r="ADM29" s="15">
        <f t="shared" si="27"/>
        <v>0</v>
      </c>
      <c r="AEI29" s="15">
        <f t="shared" si="28"/>
        <v>0</v>
      </c>
    </row>
    <row r="30" spans="2:815" x14ac:dyDescent="0.25">
      <c r="B30" s="2" t="s">
        <v>62</v>
      </c>
      <c r="C30" t="s">
        <v>63</v>
      </c>
      <c r="D30">
        <v>48</v>
      </c>
      <c r="E30" t="s">
        <v>14</v>
      </c>
      <c r="F30" t="s">
        <v>9</v>
      </c>
      <c r="G30" t="s">
        <v>9</v>
      </c>
      <c r="H30" t="s">
        <v>262</v>
      </c>
      <c r="I30" t="s">
        <v>15</v>
      </c>
      <c r="J30" t="s">
        <v>9</v>
      </c>
      <c r="K30" t="s">
        <v>263</v>
      </c>
      <c r="L30" t="s">
        <v>1253</v>
      </c>
      <c r="M30">
        <v>87</v>
      </c>
      <c r="N30">
        <v>185</v>
      </c>
      <c r="O30" t="s">
        <v>1079</v>
      </c>
      <c r="P30" s="10">
        <v>37515</v>
      </c>
      <c r="Q30" s="10">
        <v>37517</v>
      </c>
      <c r="R30" t="s">
        <v>1299</v>
      </c>
      <c r="S30" t="s">
        <v>1250</v>
      </c>
      <c r="U30" t="s">
        <v>1251</v>
      </c>
      <c r="W30" t="s">
        <v>1252</v>
      </c>
      <c r="Z30">
        <v>1.0900000000000001</v>
      </c>
      <c r="BA30" s="15">
        <f t="shared" si="0"/>
        <v>1</v>
      </c>
      <c r="BB30">
        <v>74</v>
      </c>
      <c r="BC30">
        <v>110</v>
      </c>
      <c r="CB30" s="15">
        <f t="shared" si="1"/>
        <v>2</v>
      </c>
      <c r="CC30" t="s">
        <v>1741</v>
      </c>
      <c r="CD30" t="s">
        <v>346</v>
      </c>
      <c r="DE30" s="15">
        <f t="shared" si="2"/>
        <v>2</v>
      </c>
      <c r="DS30" s="15">
        <f t="shared" si="3"/>
        <v>0</v>
      </c>
      <c r="DT30">
        <v>105</v>
      </c>
      <c r="DW30">
        <v>139</v>
      </c>
      <c r="EF30" s="15">
        <f t="shared" si="4"/>
        <v>2</v>
      </c>
      <c r="FI30" s="15">
        <f t="shared" si="5"/>
        <v>0</v>
      </c>
      <c r="FJ30" t="s">
        <v>1780</v>
      </c>
      <c r="FK30" t="s">
        <v>1779</v>
      </c>
      <c r="HY30" s="15">
        <f t="shared" si="6"/>
        <v>2</v>
      </c>
      <c r="HZ30" t="s">
        <v>1792</v>
      </c>
      <c r="IA30" t="s">
        <v>1793</v>
      </c>
      <c r="IB30" t="s">
        <v>1791</v>
      </c>
      <c r="KM30" s="15">
        <f t="shared" si="7"/>
        <v>3</v>
      </c>
      <c r="KN30" t="s">
        <v>459</v>
      </c>
      <c r="KO30" t="s">
        <v>1803</v>
      </c>
      <c r="MZ30" s="15">
        <f t="shared" si="8"/>
        <v>2</v>
      </c>
      <c r="NA30" t="s">
        <v>526</v>
      </c>
      <c r="NB30" t="s">
        <v>1812</v>
      </c>
      <c r="OQ30" s="15">
        <f t="shared" si="9"/>
        <v>2</v>
      </c>
      <c r="OW30" s="28">
        <f t="shared" si="10"/>
        <v>0</v>
      </c>
      <c r="OX30">
        <v>135</v>
      </c>
      <c r="RD30" s="15">
        <f t="shared" si="11"/>
        <v>1</v>
      </c>
      <c r="RE30">
        <v>1833</v>
      </c>
      <c r="RF30">
        <v>1950</v>
      </c>
      <c r="RG30">
        <v>481</v>
      </c>
      <c r="RU30" s="15">
        <f t="shared" si="12"/>
        <v>3</v>
      </c>
      <c r="RV30" t="s">
        <v>1850</v>
      </c>
      <c r="RW30" t="s">
        <v>1848</v>
      </c>
      <c r="RX30" t="s">
        <v>1849</v>
      </c>
      <c r="UE30" s="15">
        <f t="shared" si="13"/>
        <v>3</v>
      </c>
      <c r="UF30" t="s">
        <v>1861</v>
      </c>
      <c r="UG30" t="s">
        <v>1860</v>
      </c>
      <c r="VJ30" s="15">
        <f t="shared" si="14"/>
        <v>2</v>
      </c>
      <c r="VK30">
        <v>74</v>
      </c>
      <c r="VL30">
        <v>90</v>
      </c>
      <c r="WM30" s="15">
        <f t="shared" si="15"/>
        <v>2</v>
      </c>
      <c r="XH30" s="15">
        <f t="shared" si="16"/>
        <v>0</v>
      </c>
      <c r="XJ30" t="s">
        <v>1901</v>
      </c>
      <c r="XK30" t="s">
        <v>1900</v>
      </c>
      <c r="YD30" s="15">
        <f t="shared" si="17"/>
        <v>2</v>
      </c>
      <c r="YE30" t="s">
        <v>1911</v>
      </c>
      <c r="YF30" t="s">
        <v>1910</v>
      </c>
      <c r="YX30" s="15">
        <f t="shared" si="18"/>
        <v>2</v>
      </c>
      <c r="ZR30" s="15">
        <f t="shared" si="19"/>
        <v>0</v>
      </c>
      <c r="ZX30" s="15">
        <f t="shared" si="20"/>
        <v>0</v>
      </c>
      <c r="AAT30" s="15">
        <f t="shared" si="21"/>
        <v>0</v>
      </c>
      <c r="ABQ30" s="15">
        <f t="shared" si="22"/>
        <v>0</v>
      </c>
      <c r="ABV30" s="28">
        <f t="shared" si="23"/>
        <v>0</v>
      </c>
      <c r="ACC30" s="28">
        <f t="shared" si="24"/>
        <v>0</v>
      </c>
      <c r="ACQ30" s="15">
        <f t="shared" si="25"/>
        <v>0</v>
      </c>
      <c r="ADA30" s="15">
        <f t="shared" si="26"/>
        <v>0</v>
      </c>
      <c r="ADM30" s="15">
        <f t="shared" si="27"/>
        <v>0</v>
      </c>
      <c r="AEI30" s="15">
        <f t="shared" si="28"/>
        <v>0</v>
      </c>
    </row>
    <row r="31" spans="2:815" x14ac:dyDescent="0.25">
      <c r="B31" s="3" t="s">
        <v>64</v>
      </c>
      <c r="E31" t="s">
        <v>8</v>
      </c>
      <c r="F31" t="s">
        <v>9</v>
      </c>
      <c r="G31" t="s">
        <v>15</v>
      </c>
      <c r="I31" t="s">
        <v>9</v>
      </c>
      <c r="J31" t="s">
        <v>9</v>
      </c>
      <c r="L31" t="s">
        <v>311</v>
      </c>
      <c r="W31" t="s">
        <v>1254</v>
      </c>
      <c r="Y31" s="14"/>
      <c r="BA31" s="15">
        <f t="shared" si="0"/>
        <v>0</v>
      </c>
      <c r="CB31" s="15">
        <f t="shared" si="1"/>
        <v>0</v>
      </c>
      <c r="DE31" s="15">
        <f t="shared" si="2"/>
        <v>0</v>
      </c>
      <c r="DS31" s="15">
        <f t="shared" si="3"/>
        <v>0</v>
      </c>
      <c r="EF31" s="15">
        <f t="shared" si="4"/>
        <v>0</v>
      </c>
      <c r="FI31" s="15">
        <f t="shared" si="5"/>
        <v>0</v>
      </c>
      <c r="HY31" s="15">
        <f t="shared" si="6"/>
        <v>0</v>
      </c>
      <c r="KM31" s="15">
        <f t="shared" si="7"/>
        <v>0</v>
      </c>
      <c r="MZ31" s="15">
        <f t="shared" si="8"/>
        <v>0</v>
      </c>
      <c r="OQ31" s="15">
        <f t="shared" si="9"/>
        <v>0</v>
      </c>
      <c r="OW31" s="28">
        <f t="shared" si="10"/>
        <v>0</v>
      </c>
      <c r="RD31" s="15">
        <f t="shared" si="11"/>
        <v>0</v>
      </c>
      <c r="RU31" s="15">
        <f t="shared" si="12"/>
        <v>0</v>
      </c>
      <c r="UE31" s="15">
        <f t="shared" si="13"/>
        <v>0</v>
      </c>
      <c r="VJ31" s="15">
        <f t="shared" si="14"/>
        <v>0</v>
      </c>
      <c r="WM31" s="15">
        <f t="shared" si="15"/>
        <v>0</v>
      </c>
      <c r="XH31" s="15">
        <f t="shared" si="16"/>
        <v>0</v>
      </c>
      <c r="YD31" s="15">
        <f t="shared" si="17"/>
        <v>0</v>
      </c>
      <c r="YX31" s="15">
        <f t="shared" si="18"/>
        <v>0</v>
      </c>
      <c r="ZR31" s="15">
        <f t="shared" si="19"/>
        <v>0</v>
      </c>
      <c r="ZX31" s="15">
        <f t="shared" si="20"/>
        <v>0</v>
      </c>
      <c r="AAT31" s="15">
        <f t="shared" si="21"/>
        <v>0</v>
      </c>
      <c r="ABQ31" s="15">
        <f t="shared" si="22"/>
        <v>0</v>
      </c>
      <c r="ABV31" s="28">
        <f t="shared" si="23"/>
        <v>0</v>
      </c>
      <c r="ACC31" s="28">
        <f t="shared" si="24"/>
        <v>0</v>
      </c>
      <c r="ACQ31" s="15">
        <f t="shared" si="25"/>
        <v>0</v>
      </c>
      <c r="ADA31" s="15">
        <f t="shared" si="26"/>
        <v>0</v>
      </c>
      <c r="ADM31" s="15">
        <f t="shared" si="27"/>
        <v>0</v>
      </c>
      <c r="AEI31" s="15">
        <f t="shared" si="28"/>
        <v>0</v>
      </c>
    </row>
    <row r="32" spans="2:815" x14ac:dyDescent="0.25">
      <c r="B32" s="3" t="s">
        <v>65</v>
      </c>
      <c r="D32">
        <v>8</v>
      </c>
      <c r="E32" t="s">
        <v>14</v>
      </c>
      <c r="F32" t="s">
        <v>9</v>
      </c>
      <c r="G32" t="s">
        <v>9</v>
      </c>
      <c r="I32" t="s">
        <v>15</v>
      </c>
      <c r="J32" t="s">
        <v>9</v>
      </c>
      <c r="L32" t="s">
        <v>550</v>
      </c>
      <c r="U32" t="s">
        <v>1255</v>
      </c>
      <c r="Z32" t="s">
        <v>549</v>
      </c>
      <c r="BA32" s="15">
        <f t="shared" si="0"/>
        <v>1</v>
      </c>
      <c r="CB32" s="15">
        <f t="shared" si="1"/>
        <v>0</v>
      </c>
      <c r="DE32" s="15">
        <f t="shared" si="2"/>
        <v>0</v>
      </c>
      <c r="DS32" s="15">
        <f t="shared" si="3"/>
        <v>0</v>
      </c>
      <c r="EF32" s="15">
        <f t="shared" si="4"/>
        <v>0</v>
      </c>
      <c r="FI32" s="15">
        <f t="shared" si="5"/>
        <v>0</v>
      </c>
      <c r="HY32" s="15">
        <f t="shared" si="6"/>
        <v>0</v>
      </c>
      <c r="KM32" s="15">
        <f t="shared" si="7"/>
        <v>0</v>
      </c>
      <c r="MZ32" s="15">
        <f t="shared" si="8"/>
        <v>0</v>
      </c>
      <c r="OQ32" s="15">
        <f t="shared" si="9"/>
        <v>0</v>
      </c>
      <c r="OW32" s="28">
        <f t="shared" si="10"/>
        <v>0</v>
      </c>
      <c r="RD32" s="15">
        <f t="shared" si="11"/>
        <v>0</v>
      </c>
      <c r="RU32" s="15">
        <f t="shared" si="12"/>
        <v>0</v>
      </c>
      <c r="UE32" s="15">
        <f t="shared" si="13"/>
        <v>0</v>
      </c>
      <c r="VJ32" s="15">
        <f t="shared" si="14"/>
        <v>0</v>
      </c>
      <c r="WM32" s="15">
        <f t="shared" si="15"/>
        <v>0</v>
      </c>
      <c r="XH32" s="15">
        <f t="shared" si="16"/>
        <v>0</v>
      </c>
      <c r="YD32" s="15">
        <f t="shared" si="17"/>
        <v>0</v>
      </c>
      <c r="YX32" s="15">
        <f t="shared" si="18"/>
        <v>0</v>
      </c>
      <c r="ZR32" s="15">
        <f t="shared" si="19"/>
        <v>0</v>
      </c>
      <c r="ZX32" s="15">
        <f t="shared" si="20"/>
        <v>0</v>
      </c>
      <c r="AAT32" s="15">
        <f t="shared" si="21"/>
        <v>0</v>
      </c>
      <c r="ABQ32" s="15">
        <f t="shared" si="22"/>
        <v>0</v>
      </c>
      <c r="ABV32" s="28">
        <f t="shared" si="23"/>
        <v>0</v>
      </c>
      <c r="ACC32" s="28">
        <f t="shared" si="24"/>
        <v>0</v>
      </c>
      <c r="ACQ32" s="15">
        <f t="shared" si="25"/>
        <v>0</v>
      </c>
      <c r="ADA32" s="15">
        <f t="shared" si="26"/>
        <v>0</v>
      </c>
      <c r="ADM32" s="15">
        <f t="shared" si="27"/>
        <v>0</v>
      </c>
      <c r="AEI32" s="15">
        <f t="shared" si="28"/>
        <v>0</v>
      </c>
    </row>
    <row r="33" spans="1:815" x14ac:dyDescent="0.25">
      <c r="B33" s="2" t="s">
        <v>66</v>
      </c>
      <c r="C33" t="s">
        <v>67</v>
      </c>
      <c r="D33">
        <v>23</v>
      </c>
      <c r="E33" t="s">
        <v>14</v>
      </c>
      <c r="F33" t="s">
        <v>9</v>
      </c>
      <c r="G33" t="s">
        <v>9</v>
      </c>
      <c r="H33" t="s">
        <v>264</v>
      </c>
      <c r="I33" t="s">
        <v>15</v>
      </c>
      <c r="J33" t="s">
        <v>9</v>
      </c>
      <c r="K33" t="s">
        <v>256</v>
      </c>
      <c r="L33" t="s">
        <v>303</v>
      </c>
      <c r="M33">
        <v>68</v>
      </c>
      <c r="N33">
        <v>172</v>
      </c>
      <c r="O33">
        <v>23</v>
      </c>
      <c r="R33" t="s">
        <v>1218</v>
      </c>
      <c r="S33" t="s">
        <v>1258</v>
      </c>
      <c r="T33" t="s">
        <v>1257</v>
      </c>
      <c r="U33" t="s">
        <v>1260</v>
      </c>
      <c r="W33" t="s">
        <v>1259</v>
      </c>
      <c r="Z33">
        <v>105</v>
      </c>
      <c r="AQ33">
        <v>56</v>
      </c>
      <c r="AR33">
        <v>37</v>
      </c>
      <c r="BA33" s="15">
        <f t="shared" si="0"/>
        <v>3</v>
      </c>
      <c r="BB33">
        <v>105</v>
      </c>
      <c r="BF33">
        <v>73</v>
      </c>
      <c r="BG33">
        <v>82</v>
      </c>
      <c r="BP33">
        <v>23</v>
      </c>
      <c r="BQ33">
        <v>64</v>
      </c>
      <c r="BR33">
        <v>91</v>
      </c>
      <c r="BU33">
        <v>93</v>
      </c>
      <c r="CB33" s="15">
        <f t="shared" si="1"/>
        <v>7</v>
      </c>
      <c r="CC33">
        <v>28</v>
      </c>
      <c r="CG33">
        <v>26</v>
      </c>
      <c r="CH33">
        <v>27</v>
      </c>
      <c r="CS33">
        <v>36</v>
      </c>
      <c r="CT33">
        <v>27</v>
      </c>
      <c r="CU33">
        <v>24</v>
      </c>
      <c r="DE33" s="15">
        <f t="shared" si="2"/>
        <v>6</v>
      </c>
      <c r="DG33">
        <v>493</v>
      </c>
      <c r="DI33">
        <v>325</v>
      </c>
      <c r="DJ33">
        <v>517</v>
      </c>
      <c r="DP33">
        <v>604</v>
      </c>
      <c r="DQ33">
        <v>547</v>
      </c>
      <c r="DR33">
        <v>524</v>
      </c>
      <c r="DS33" s="15">
        <f t="shared" si="3"/>
        <v>6</v>
      </c>
      <c r="DT33" s="7"/>
      <c r="EC33" s="7">
        <v>1.03</v>
      </c>
      <c r="ED33" s="7"/>
      <c r="EE33" s="7"/>
      <c r="EF33" s="15">
        <f t="shared" si="4"/>
        <v>1</v>
      </c>
      <c r="EG33">
        <v>7100</v>
      </c>
      <c r="EL33">
        <v>10000</v>
      </c>
      <c r="EN33">
        <v>16600</v>
      </c>
      <c r="ER33">
        <v>11300</v>
      </c>
      <c r="EW33">
        <v>10200</v>
      </c>
      <c r="FB33">
        <v>11500</v>
      </c>
      <c r="FC33">
        <v>13300</v>
      </c>
      <c r="FH33">
        <v>11000</v>
      </c>
      <c r="FI33" s="15">
        <f t="shared" si="5"/>
        <v>8</v>
      </c>
      <c r="FJ33">
        <v>19</v>
      </c>
      <c r="GG33">
        <v>127</v>
      </c>
      <c r="GH33">
        <v>66</v>
      </c>
      <c r="HY33" s="15">
        <f t="shared" si="6"/>
        <v>3</v>
      </c>
      <c r="HZ33">
        <v>7</v>
      </c>
      <c r="IV33">
        <v>138</v>
      </c>
      <c r="IW33">
        <v>110</v>
      </c>
      <c r="KM33" s="15">
        <f t="shared" si="7"/>
        <v>3</v>
      </c>
      <c r="KN33">
        <v>17</v>
      </c>
      <c r="LH33">
        <v>298</v>
      </c>
      <c r="LI33">
        <v>269</v>
      </c>
      <c r="LO33">
        <v>153</v>
      </c>
      <c r="MZ33" s="15">
        <f t="shared" si="8"/>
        <v>4</v>
      </c>
      <c r="NA33">
        <v>193</v>
      </c>
      <c r="NT33">
        <v>269</v>
      </c>
      <c r="NU33">
        <v>188</v>
      </c>
      <c r="OQ33" s="15">
        <f t="shared" si="9"/>
        <v>3</v>
      </c>
      <c r="OW33" s="28">
        <f t="shared" si="10"/>
        <v>0</v>
      </c>
      <c r="OX33" t="s">
        <v>1674</v>
      </c>
      <c r="OY33" t="s">
        <v>553</v>
      </c>
      <c r="PD33" t="s">
        <v>378</v>
      </c>
      <c r="PF33" t="s">
        <v>1675</v>
      </c>
      <c r="PU33" t="s">
        <v>1674</v>
      </c>
      <c r="PV33" t="s">
        <v>353</v>
      </c>
      <c r="RD33" s="15">
        <f t="shared" si="11"/>
        <v>6</v>
      </c>
      <c r="RU33" s="15">
        <f t="shared" si="12"/>
        <v>0</v>
      </c>
      <c r="RV33">
        <v>75</v>
      </c>
      <c r="SR33">
        <v>111</v>
      </c>
      <c r="SS33">
        <v>106</v>
      </c>
      <c r="UE33" s="15">
        <f t="shared" si="13"/>
        <v>3</v>
      </c>
      <c r="UV33" t="s">
        <v>602</v>
      </c>
      <c r="VJ33" s="15">
        <f t="shared" si="14"/>
        <v>1</v>
      </c>
      <c r="VK33" t="s">
        <v>551</v>
      </c>
      <c r="VP33" t="s">
        <v>558</v>
      </c>
      <c r="VQ33" t="s">
        <v>551</v>
      </c>
      <c r="VU33" t="s">
        <v>575</v>
      </c>
      <c r="VZ33">
        <v>132</v>
      </c>
      <c r="WC33">
        <v>88</v>
      </c>
      <c r="WD33" t="s">
        <v>595</v>
      </c>
      <c r="WE33" t="s">
        <v>595</v>
      </c>
      <c r="WM33" s="15">
        <f t="shared" si="15"/>
        <v>8</v>
      </c>
      <c r="WN33">
        <v>1</v>
      </c>
      <c r="WR33" t="s">
        <v>559</v>
      </c>
      <c r="WS33" t="s">
        <v>567</v>
      </c>
      <c r="XB33" t="s">
        <v>591</v>
      </c>
      <c r="XC33" t="s">
        <v>607</v>
      </c>
      <c r="XD33" t="s">
        <v>567</v>
      </c>
      <c r="XF33">
        <v>1</v>
      </c>
      <c r="XH33" s="15">
        <f t="shared" si="16"/>
        <v>7</v>
      </c>
      <c r="XZ33">
        <v>71</v>
      </c>
      <c r="YA33">
        <v>51</v>
      </c>
      <c r="YD33" s="15">
        <f t="shared" si="17"/>
        <v>2</v>
      </c>
      <c r="YU33">
        <v>483</v>
      </c>
      <c r="YV33">
        <v>184</v>
      </c>
      <c r="YX33" s="15">
        <f t="shared" si="18"/>
        <v>2</v>
      </c>
      <c r="YY33" t="s">
        <v>554</v>
      </c>
      <c r="ZG33" t="s">
        <v>579</v>
      </c>
      <c r="ZI33" t="s">
        <v>585</v>
      </c>
      <c r="ZL33" t="s">
        <v>610</v>
      </c>
      <c r="ZM33" t="s">
        <v>628</v>
      </c>
      <c r="ZR33" s="15">
        <f t="shared" si="19"/>
        <v>5</v>
      </c>
      <c r="ZX33" s="15">
        <f t="shared" si="20"/>
        <v>0</v>
      </c>
      <c r="ZY33">
        <v>0.53</v>
      </c>
      <c r="AAC33">
        <v>0.33</v>
      </c>
      <c r="AAD33">
        <v>0.31</v>
      </c>
      <c r="AAH33" t="s">
        <v>613</v>
      </c>
      <c r="AAM33">
        <v>0.26</v>
      </c>
      <c r="AAO33">
        <v>0.08</v>
      </c>
      <c r="AAP33">
        <v>0.11</v>
      </c>
      <c r="AAT33" s="15">
        <f t="shared" si="21"/>
        <v>7</v>
      </c>
      <c r="AAU33">
        <v>236</v>
      </c>
      <c r="AAZ33">
        <v>200</v>
      </c>
      <c r="ABB33">
        <v>288</v>
      </c>
      <c r="ABC33">
        <v>178</v>
      </c>
      <c r="ABH33">
        <v>232</v>
      </c>
      <c r="ABL33">
        <v>411</v>
      </c>
      <c r="ABM33">
        <v>553</v>
      </c>
      <c r="ABP33">
        <v>853</v>
      </c>
      <c r="ABQ33" s="15">
        <f t="shared" si="22"/>
        <v>2</v>
      </c>
      <c r="ABS33" s="25" t="s">
        <v>2018</v>
      </c>
      <c r="ABT33" s="25" t="s">
        <v>2019</v>
      </c>
      <c r="ABV33" s="28">
        <f t="shared" si="23"/>
        <v>2</v>
      </c>
      <c r="ACC33" s="28">
        <f t="shared" si="24"/>
        <v>0</v>
      </c>
      <c r="ACH33">
        <v>44</v>
      </c>
      <c r="ACK33">
        <v>24</v>
      </c>
      <c r="ACL33">
        <v>32</v>
      </c>
      <c r="ACQ33" s="15">
        <f t="shared" si="25"/>
        <v>3</v>
      </c>
      <c r="ACV33" t="s">
        <v>552</v>
      </c>
      <c r="ACW33" t="s">
        <v>576</v>
      </c>
      <c r="ACX33" t="s">
        <v>353</v>
      </c>
      <c r="ACY33" t="s">
        <v>597</v>
      </c>
      <c r="ACZ33" t="s">
        <v>617</v>
      </c>
      <c r="ADA33" s="15">
        <f t="shared" si="26"/>
        <v>5</v>
      </c>
      <c r="ADM33" s="15">
        <f t="shared" si="27"/>
        <v>0</v>
      </c>
      <c r="AEI33" s="15">
        <f t="shared" si="28"/>
        <v>0</v>
      </c>
    </row>
    <row r="34" spans="1:815" x14ac:dyDescent="0.25">
      <c r="B34" s="3" t="s">
        <v>68</v>
      </c>
      <c r="C34" t="s">
        <v>31</v>
      </c>
      <c r="D34">
        <v>31</v>
      </c>
      <c r="E34" t="s">
        <v>8</v>
      </c>
      <c r="F34" t="s">
        <v>9</v>
      </c>
      <c r="G34" t="s">
        <v>9</v>
      </c>
      <c r="H34" t="s">
        <v>249</v>
      </c>
      <c r="I34" t="s">
        <v>15</v>
      </c>
      <c r="J34" t="s">
        <v>9</v>
      </c>
      <c r="K34" t="s">
        <v>1265</v>
      </c>
      <c r="L34" t="s">
        <v>313</v>
      </c>
      <c r="R34" t="s">
        <v>1262</v>
      </c>
      <c r="T34" t="s">
        <v>1261</v>
      </c>
      <c r="U34" t="s">
        <v>1264</v>
      </c>
      <c r="V34" t="s">
        <v>1263</v>
      </c>
      <c r="W34" t="s">
        <v>1268</v>
      </c>
      <c r="BA34" s="15">
        <f t="shared" si="0"/>
        <v>0</v>
      </c>
      <c r="CB34" s="15">
        <f t="shared" si="1"/>
        <v>0</v>
      </c>
      <c r="DE34" s="15">
        <f t="shared" si="2"/>
        <v>0</v>
      </c>
      <c r="DS34" s="15">
        <f t="shared" si="3"/>
        <v>0</v>
      </c>
      <c r="EF34" s="15">
        <f t="shared" si="4"/>
        <v>0</v>
      </c>
      <c r="FI34" s="15">
        <f t="shared" si="5"/>
        <v>0</v>
      </c>
      <c r="FJ34">
        <v>360</v>
      </c>
      <c r="HY34" s="15">
        <f t="shared" si="6"/>
        <v>1</v>
      </c>
      <c r="HZ34">
        <v>552</v>
      </c>
      <c r="KM34" s="15">
        <f t="shared" si="7"/>
        <v>1</v>
      </c>
      <c r="KN34">
        <v>88</v>
      </c>
      <c r="MS34">
        <v>128</v>
      </c>
      <c r="MZ34" s="15">
        <f t="shared" si="8"/>
        <v>2</v>
      </c>
      <c r="OQ34" s="15">
        <f t="shared" si="9"/>
        <v>0</v>
      </c>
      <c r="OW34" s="28">
        <f t="shared" si="10"/>
        <v>0</v>
      </c>
      <c r="OX34" t="s">
        <v>1676</v>
      </c>
      <c r="QZ34">
        <v>151</v>
      </c>
      <c r="RD34" s="15">
        <f t="shared" si="11"/>
        <v>2</v>
      </c>
      <c r="RU34" s="15">
        <f t="shared" si="12"/>
        <v>0</v>
      </c>
      <c r="RV34">
        <v>808</v>
      </c>
      <c r="UE34" s="15">
        <f t="shared" si="13"/>
        <v>1</v>
      </c>
      <c r="VJ34" s="15">
        <f t="shared" si="14"/>
        <v>0</v>
      </c>
      <c r="WM34" s="15">
        <f t="shared" si="15"/>
        <v>0</v>
      </c>
      <c r="XH34" s="15">
        <f t="shared" si="16"/>
        <v>0</v>
      </c>
      <c r="YD34" s="15">
        <f t="shared" si="17"/>
        <v>0</v>
      </c>
      <c r="YX34" s="15">
        <f t="shared" si="18"/>
        <v>0</v>
      </c>
      <c r="ZR34" s="15">
        <f t="shared" si="19"/>
        <v>0</v>
      </c>
      <c r="ZX34" s="15">
        <f t="shared" si="20"/>
        <v>0</v>
      </c>
      <c r="AAT34" s="15">
        <f t="shared" si="21"/>
        <v>0</v>
      </c>
      <c r="ABQ34" s="15">
        <f t="shared" si="22"/>
        <v>0</v>
      </c>
      <c r="ABV34" s="28">
        <f t="shared" si="23"/>
        <v>0</v>
      </c>
      <c r="ACC34" s="28">
        <f t="shared" si="24"/>
        <v>0</v>
      </c>
      <c r="ACH34" s="9">
        <v>0.56299999999999994</v>
      </c>
      <c r="ACQ34" s="15">
        <f t="shared" si="25"/>
        <v>1</v>
      </c>
      <c r="ACR34" t="s">
        <v>630</v>
      </c>
      <c r="ACS34" t="s">
        <v>631</v>
      </c>
      <c r="ACT34" t="s">
        <v>632</v>
      </c>
      <c r="ACU34" t="s">
        <v>633</v>
      </c>
      <c r="ADA34" s="15">
        <f t="shared" si="26"/>
        <v>0</v>
      </c>
      <c r="ADM34" s="15">
        <f t="shared" si="27"/>
        <v>0</v>
      </c>
      <c r="AEI34" s="15">
        <f t="shared" si="28"/>
        <v>0</v>
      </c>
    </row>
    <row r="35" spans="1:815" x14ac:dyDescent="0.25">
      <c r="B35" s="2" t="s">
        <v>69</v>
      </c>
      <c r="C35" t="s">
        <v>70</v>
      </c>
      <c r="D35">
        <v>24</v>
      </c>
      <c r="E35" t="s">
        <v>8</v>
      </c>
      <c r="F35" t="s">
        <v>9</v>
      </c>
      <c r="G35" t="s">
        <v>15</v>
      </c>
      <c r="I35" t="s">
        <v>15</v>
      </c>
      <c r="J35" t="s">
        <v>9</v>
      </c>
      <c r="K35" t="s">
        <v>1267</v>
      </c>
      <c r="L35" t="s">
        <v>315</v>
      </c>
      <c r="P35" s="10">
        <v>37908</v>
      </c>
      <c r="Q35" s="10">
        <v>37908</v>
      </c>
      <c r="R35" t="s">
        <v>1133</v>
      </c>
      <c r="S35" t="s">
        <v>1250</v>
      </c>
      <c r="T35" t="s">
        <v>1266</v>
      </c>
      <c r="W35" t="s">
        <v>1271</v>
      </c>
      <c r="BA35" s="15">
        <f t="shared" si="0"/>
        <v>0</v>
      </c>
      <c r="CB35" s="15">
        <f t="shared" si="1"/>
        <v>0</v>
      </c>
      <c r="DE35" s="15">
        <f t="shared" si="2"/>
        <v>0</v>
      </c>
      <c r="DS35" s="15">
        <f t="shared" si="3"/>
        <v>0</v>
      </c>
      <c r="EF35" s="15">
        <f t="shared" si="4"/>
        <v>0</v>
      </c>
      <c r="FI35" s="15">
        <f t="shared" si="5"/>
        <v>0</v>
      </c>
      <c r="HY35" s="15">
        <f t="shared" si="6"/>
        <v>0</v>
      </c>
      <c r="KM35" s="15">
        <f t="shared" si="7"/>
        <v>0</v>
      </c>
      <c r="KN35">
        <v>176</v>
      </c>
      <c r="MZ35" s="15">
        <f t="shared" si="8"/>
        <v>1</v>
      </c>
      <c r="OQ35" s="15">
        <f t="shared" si="9"/>
        <v>0</v>
      </c>
      <c r="OW35" s="28">
        <f t="shared" si="10"/>
        <v>0</v>
      </c>
      <c r="RD35" s="15">
        <f t="shared" si="11"/>
        <v>0</v>
      </c>
      <c r="RU35" s="15">
        <f t="shared" si="12"/>
        <v>0</v>
      </c>
      <c r="UE35" s="15">
        <f t="shared" si="13"/>
        <v>0</v>
      </c>
      <c r="VJ35" s="15">
        <f t="shared" si="14"/>
        <v>0</v>
      </c>
      <c r="WM35" s="15">
        <f t="shared" si="15"/>
        <v>0</v>
      </c>
      <c r="XH35" s="15">
        <f t="shared" si="16"/>
        <v>0</v>
      </c>
      <c r="YD35" s="15">
        <f t="shared" si="17"/>
        <v>0</v>
      </c>
      <c r="YX35" s="15">
        <f t="shared" si="18"/>
        <v>0</v>
      </c>
      <c r="ZR35" s="15">
        <f t="shared" si="19"/>
        <v>0</v>
      </c>
      <c r="ZX35" s="15">
        <f t="shared" si="20"/>
        <v>0</v>
      </c>
      <c r="AAT35" s="15">
        <f t="shared" si="21"/>
        <v>0</v>
      </c>
      <c r="ABQ35" s="15">
        <f t="shared" si="22"/>
        <v>0</v>
      </c>
      <c r="ABV35" s="28">
        <f t="shared" si="23"/>
        <v>0</v>
      </c>
      <c r="ACC35" s="28">
        <f t="shared" si="24"/>
        <v>0</v>
      </c>
      <c r="ACQ35" s="15">
        <f t="shared" si="25"/>
        <v>0</v>
      </c>
      <c r="ADA35" s="15">
        <f t="shared" si="26"/>
        <v>0</v>
      </c>
      <c r="ADM35" s="15">
        <f t="shared" si="27"/>
        <v>0</v>
      </c>
      <c r="AEI35" s="15">
        <f t="shared" si="28"/>
        <v>0</v>
      </c>
    </row>
    <row r="36" spans="1:815" x14ac:dyDescent="0.25">
      <c r="B36" s="2" t="s">
        <v>71</v>
      </c>
      <c r="C36" t="s">
        <v>72</v>
      </c>
      <c r="D36">
        <v>24</v>
      </c>
      <c r="E36" t="s">
        <v>8</v>
      </c>
      <c r="F36" t="s">
        <v>9</v>
      </c>
      <c r="G36" t="s">
        <v>9</v>
      </c>
      <c r="H36" t="s">
        <v>253</v>
      </c>
      <c r="I36" t="s">
        <v>243</v>
      </c>
      <c r="J36" t="s">
        <v>9</v>
      </c>
      <c r="K36" t="s">
        <v>1270</v>
      </c>
      <c r="L36" t="s">
        <v>1245</v>
      </c>
      <c r="P36" s="10">
        <v>37935</v>
      </c>
      <c r="Q36" s="10">
        <v>37958</v>
      </c>
      <c r="R36" t="s">
        <v>1526</v>
      </c>
      <c r="S36" t="s">
        <v>1269</v>
      </c>
      <c r="T36" t="s">
        <v>1266</v>
      </c>
      <c r="W36" t="s">
        <v>1272</v>
      </c>
      <c r="BA36" s="15">
        <f t="shared" si="0"/>
        <v>0</v>
      </c>
      <c r="CB36" s="15">
        <f t="shared" si="1"/>
        <v>0</v>
      </c>
      <c r="DE36" s="15">
        <f t="shared" si="2"/>
        <v>0</v>
      </c>
      <c r="DS36" s="15">
        <f t="shared" si="3"/>
        <v>0</v>
      </c>
      <c r="EF36" s="15">
        <f t="shared" si="4"/>
        <v>0</v>
      </c>
      <c r="FI36" s="15">
        <f t="shared" si="5"/>
        <v>0</v>
      </c>
      <c r="FJ36">
        <v>1260</v>
      </c>
      <c r="HY36" s="15">
        <f t="shared" si="6"/>
        <v>1</v>
      </c>
      <c r="HZ36">
        <v>1200</v>
      </c>
      <c r="KM36" s="15">
        <f t="shared" si="7"/>
        <v>1</v>
      </c>
      <c r="KN36">
        <v>55</v>
      </c>
      <c r="MZ36" s="15">
        <f t="shared" si="8"/>
        <v>1</v>
      </c>
      <c r="OQ36" s="15">
        <f t="shared" si="9"/>
        <v>0</v>
      </c>
      <c r="OW36" s="28">
        <f t="shared" si="10"/>
        <v>0</v>
      </c>
      <c r="OX36">
        <v>617</v>
      </c>
      <c r="RD36" s="15">
        <f t="shared" si="11"/>
        <v>1</v>
      </c>
      <c r="RU36" s="15">
        <f t="shared" si="12"/>
        <v>0</v>
      </c>
      <c r="UE36" s="15">
        <f t="shared" si="13"/>
        <v>0</v>
      </c>
      <c r="VJ36" s="15">
        <f t="shared" si="14"/>
        <v>0</v>
      </c>
      <c r="WM36" s="15">
        <f t="shared" si="15"/>
        <v>0</v>
      </c>
      <c r="XH36" s="15">
        <f t="shared" si="16"/>
        <v>0</v>
      </c>
      <c r="YD36" s="15">
        <f t="shared" si="17"/>
        <v>0</v>
      </c>
      <c r="YX36" s="15">
        <f t="shared" si="18"/>
        <v>0</v>
      </c>
      <c r="ZR36" s="15">
        <f t="shared" si="19"/>
        <v>0</v>
      </c>
      <c r="ZX36" s="15">
        <f t="shared" si="20"/>
        <v>0</v>
      </c>
      <c r="AAT36" s="15">
        <f t="shared" si="21"/>
        <v>0</v>
      </c>
      <c r="ABQ36" s="15">
        <f t="shared" si="22"/>
        <v>0</v>
      </c>
      <c r="ABV36" s="28">
        <f t="shared" si="23"/>
        <v>0</v>
      </c>
      <c r="ACC36" s="28">
        <f t="shared" si="24"/>
        <v>0</v>
      </c>
      <c r="ACQ36" s="15">
        <f t="shared" si="25"/>
        <v>0</v>
      </c>
      <c r="ADA36" s="15">
        <f t="shared" si="26"/>
        <v>0</v>
      </c>
      <c r="ADM36" s="15">
        <f t="shared" si="27"/>
        <v>0</v>
      </c>
      <c r="AEI36" s="15">
        <f t="shared" si="28"/>
        <v>0</v>
      </c>
    </row>
    <row r="37" spans="1:815" x14ac:dyDescent="0.25">
      <c r="B37" s="2" t="s">
        <v>73</v>
      </c>
      <c r="C37" t="s">
        <v>265</v>
      </c>
      <c r="D37">
        <v>69</v>
      </c>
      <c r="E37" t="s">
        <v>14</v>
      </c>
      <c r="F37" t="s">
        <v>9</v>
      </c>
      <c r="G37" t="s">
        <v>9</v>
      </c>
      <c r="I37" t="s">
        <v>243</v>
      </c>
      <c r="J37" t="s">
        <v>9</v>
      </c>
      <c r="K37" t="s">
        <v>256</v>
      </c>
      <c r="L37" t="s">
        <v>1275</v>
      </c>
      <c r="Q37" s="10">
        <v>37497</v>
      </c>
      <c r="S37" t="s">
        <v>1273</v>
      </c>
      <c r="T37" t="s">
        <v>1276</v>
      </c>
      <c r="U37" t="s">
        <v>1277</v>
      </c>
      <c r="W37" t="s">
        <v>1274</v>
      </c>
      <c r="BA37" s="15">
        <f t="shared" si="0"/>
        <v>0</v>
      </c>
      <c r="CB37" s="15">
        <f t="shared" si="1"/>
        <v>0</v>
      </c>
      <c r="DE37" s="15">
        <f t="shared" si="2"/>
        <v>0</v>
      </c>
      <c r="DS37" s="15">
        <f t="shared" si="3"/>
        <v>0</v>
      </c>
      <c r="EF37" s="15">
        <f t="shared" si="4"/>
        <v>0</v>
      </c>
      <c r="FI37" s="15">
        <f t="shared" si="5"/>
        <v>0</v>
      </c>
      <c r="HY37" s="15">
        <f t="shared" si="6"/>
        <v>0</v>
      </c>
      <c r="KM37" s="15">
        <f t="shared" si="7"/>
        <v>0</v>
      </c>
      <c r="MZ37" s="15">
        <f t="shared" si="8"/>
        <v>0</v>
      </c>
      <c r="NA37">
        <v>233</v>
      </c>
      <c r="NB37">
        <v>377</v>
      </c>
      <c r="OQ37" s="15">
        <f t="shared" si="9"/>
        <v>2</v>
      </c>
      <c r="OW37" s="28">
        <f t="shared" si="10"/>
        <v>0</v>
      </c>
      <c r="RD37" s="15">
        <f t="shared" si="11"/>
        <v>0</v>
      </c>
      <c r="RU37" s="15">
        <f t="shared" si="12"/>
        <v>0</v>
      </c>
      <c r="UE37" s="15">
        <f t="shared" si="13"/>
        <v>0</v>
      </c>
      <c r="VJ37" s="15">
        <f t="shared" si="14"/>
        <v>0</v>
      </c>
      <c r="VK37">
        <v>132</v>
      </c>
      <c r="VL37" t="s">
        <v>1867</v>
      </c>
      <c r="WM37" s="15">
        <f t="shared" si="15"/>
        <v>2</v>
      </c>
      <c r="XH37" s="15">
        <f t="shared" si="16"/>
        <v>0</v>
      </c>
      <c r="YD37" s="15">
        <f t="shared" si="17"/>
        <v>0</v>
      </c>
      <c r="YX37" s="15">
        <f t="shared" si="18"/>
        <v>0</v>
      </c>
      <c r="YY37">
        <v>13</v>
      </c>
      <c r="YZ37">
        <v>28</v>
      </c>
      <c r="ZR37" s="15">
        <f t="shared" si="19"/>
        <v>2</v>
      </c>
      <c r="ZX37" s="15">
        <f t="shared" si="20"/>
        <v>0</v>
      </c>
      <c r="AAT37" s="15">
        <f t="shared" si="21"/>
        <v>0</v>
      </c>
      <c r="ABQ37" s="15">
        <f t="shared" si="22"/>
        <v>0</v>
      </c>
      <c r="ABV37" s="28">
        <f t="shared" si="23"/>
        <v>0</v>
      </c>
      <c r="ACC37" s="28">
        <f t="shared" si="24"/>
        <v>0</v>
      </c>
      <c r="ACQ37" s="15">
        <f t="shared" si="25"/>
        <v>0</v>
      </c>
      <c r="ADA37" s="15">
        <f t="shared" si="26"/>
        <v>0</v>
      </c>
      <c r="ADM37" s="15">
        <f t="shared" si="27"/>
        <v>0</v>
      </c>
      <c r="AEI37" s="15">
        <f t="shared" si="28"/>
        <v>0</v>
      </c>
    </row>
    <row r="38" spans="1:815" x14ac:dyDescent="0.25">
      <c r="B38" s="2" t="s">
        <v>74</v>
      </c>
      <c r="C38" t="s">
        <v>75</v>
      </c>
      <c r="D38">
        <v>64</v>
      </c>
      <c r="E38" t="s">
        <v>8</v>
      </c>
      <c r="F38" t="s">
        <v>9</v>
      </c>
      <c r="G38" t="s">
        <v>9</v>
      </c>
      <c r="H38" t="s">
        <v>245</v>
      </c>
      <c r="I38" t="s">
        <v>243</v>
      </c>
      <c r="K38" t="s">
        <v>1278</v>
      </c>
      <c r="L38" t="s">
        <v>303</v>
      </c>
      <c r="M38">
        <v>64</v>
      </c>
      <c r="N38">
        <v>159</v>
      </c>
      <c r="O38" t="s">
        <v>1080</v>
      </c>
      <c r="P38" s="12">
        <v>37899</v>
      </c>
      <c r="Q38" s="12">
        <v>37904</v>
      </c>
      <c r="R38" t="s">
        <v>1262</v>
      </c>
      <c r="S38" t="s">
        <v>1250</v>
      </c>
      <c r="V38" t="s">
        <v>245</v>
      </c>
      <c r="W38" t="s">
        <v>1279</v>
      </c>
      <c r="AP38" t="s">
        <v>554</v>
      </c>
      <c r="BA38" s="15">
        <f t="shared" si="0"/>
        <v>1</v>
      </c>
      <c r="CB38" s="15">
        <f t="shared" si="1"/>
        <v>0</v>
      </c>
      <c r="CC38" t="s">
        <v>635</v>
      </c>
      <c r="CG38">
        <v>32</v>
      </c>
      <c r="DE38" s="15">
        <f t="shared" si="2"/>
        <v>2</v>
      </c>
      <c r="DS38" s="15">
        <f t="shared" si="3"/>
        <v>0</v>
      </c>
      <c r="EF38" s="15">
        <f t="shared" si="4"/>
        <v>0</v>
      </c>
      <c r="EG38">
        <v>3500</v>
      </c>
      <c r="EI38">
        <v>25000</v>
      </c>
      <c r="FI38" s="15">
        <f t="shared" si="5"/>
        <v>2</v>
      </c>
      <c r="FN38" t="s">
        <v>2023</v>
      </c>
      <c r="FQ38" t="s">
        <v>2015</v>
      </c>
      <c r="GA38" t="s">
        <v>1869</v>
      </c>
      <c r="GH38" t="s">
        <v>1078</v>
      </c>
      <c r="HY38" s="15">
        <f t="shared" si="6"/>
        <v>4</v>
      </c>
      <c r="HZ38" t="s">
        <v>1968</v>
      </c>
      <c r="IC38">
        <v>129</v>
      </c>
      <c r="IF38" t="s">
        <v>1969</v>
      </c>
      <c r="IW38" t="s">
        <v>1970</v>
      </c>
      <c r="KM38" s="15">
        <f t="shared" si="7"/>
        <v>4</v>
      </c>
      <c r="KN38">
        <v>69</v>
      </c>
      <c r="KP38" t="s">
        <v>1979</v>
      </c>
      <c r="KR38">
        <v>75</v>
      </c>
      <c r="LB38" t="s">
        <v>1980</v>
      </c>
      <c r="LI38" t="s">
        <v>1981</v>
      </c>
      <c r="MZ38" s="15">
        <f t="shared" si="8"/>
        <v>5</v>
      </c>
      <c r="NA38" t="s">
        <v>1991</v>
      </c>
      <c r="ND38" t="s">
        <v>1992</v>
      </c>
      <c r="NG38" t="s">
        <v>1993</v>
      </c>
      <c r="NQ38" t="s">
        <v>1994</v>
      </c>
      <c r="OQ38" s="15">
        <f t="shared" si="9"/>
        <v>4</v>
      </c>
      <c r="OW38" s="28">
        <f t="shared" si="10"/>
        <v>0</v>
      </c>
      <c r="PA38">
        <v>10.6</v>
      </c>
      <c r="PD38" t="s">
        <v>640</v>
      </c>
      <c r="PV38" t="s">
        <v>355</v>
      </c>
      <c r="RD38" s="15">
        <f t="shared" si="11"/>
        <v>3</v>
      </c>
      <c r="RH38" t="s">
        <v>728</v>
      </c>
      <c r="RJ38">
        <v>258</v>
      </c>
      <c r="RN38" t="s">
        <v>653</v>
      </c>
      <c r="RU38" s="15">
        <f t="shared" si="12"/>
        <v>3</v>
      </c>
      <c r="RV38" t="s">
        <v>1966</v>
      </c>
      <c r="RY38" t="s">
        <v>1998</v>
      </c>
      <c r="SB38">
        <v>54</v>
      </c>
      <c r="SL38" t="s">
        <v>1999</v>
      </c>
      <c r="UE38" s="15">
        <f t="shared" si="13"/>
        <v>4</v>
      </c>
      <c r="UH38">
        <v>4020</v>
      </c>
      <c r="UK38">
        <v>4200</v>
      </c>
      <c r="US38">
        <v>4380</v>
      </c>
      <c r="VJ38" s="15">
        <f t="shared" si="14"/>
        <v>3</v>
      </c>
      <c r="VK38">
        <v>53</v>
      </c>
      <c r="VP38">
        <v>61</v>
      </c>
      <c r="WM38" s="15">
        <f t="shared" si="15"/>
        <v>2</v>
      </c>
      <c r="WN38" t="s">
        <v>636</v>
      </c>
      <c r="WR38" t="s">
        <v>567</v>
      </c>
      <c r="XH38" s="15">
        <f t="shared" si="16"/>
        <v>2</v>
      </c>
      <c r="XZ38">
        <v>15</v>
      </c>
      <c r="YD38" s="15">
        <f t="shared" si="17"/>
        <v>1</v>
      </c>
      <c r="YE38" t="s">
        <v>1828</v>
      </c>
      <c r="YJ38" t="s">
        <v>2014</v>
      </c>
      <c r="YT38">
        <v>33</v>
      </c>
      <c r="YU38" t="s">
        <v>1078</v>
      </c>
      <c r="YX38" s="15">
        <f t="shared" si="18"/>
        <v>4</v>
      </c>
      <c r="ZI38">
        <v>71.599999999999994</v>
      </c>
      <c r="ZR38" s="15">
        <f t="shared" si="19"/>
        <v>1</v>
      </c>
      <c r="ZS38" s="25">
        <v>98</v>
      </c>
      <c r="ZX38" s="15">
        <f t="shared" si="20"/>
        <v>1</v>
      </c>
      <c r="ZY38" t="s">
        <v>634</v>
      </c>
      <c r="AAC38" t="s">
        <v>533</v>
      </c>
      <c r="AAP38" t="s">
        <v>649</v>
      </c>
      <c r="AAT38" s="15">
        <f t="shared" si="21"/>
        <v>3</v>
      </c>
      <c r="AAU38">
        <v>222</v>
      </c>
      <c r="ABQ38" s="15">
        <f t="shared" si="22"/>
        <v>1</v>
      </c>
      <c r="ABV38" s="28">
        <f t="shared" si="23"/>
        <v>0</v>
      </c>
      <c r="ACC38" s="28">
        <f t="shared" si="24"/>
        <v>0</v>
      </c>
      <c r="ACK38" s="9">
        <v>0.28299999999999997</v>
      </c>
      <c r="ACQ38" s="15">
        <f t="shared" si="25"/>
        <v>1</v>
      </c>
      <c r="ADA38" s="15">
        <f t="shared" si="26"/>
        <v>0</v>
      </c>
      <c r="ADM38" s="15">
        <f t="shared" si="27"/>
        <v>0</v>
      </c>
      <c r="AEC38" t="s">
        <v>654</v>
      </c>
      <c r="AEI38" s="15">
        <f t="shared" si="28"/>
        <v>1</v>
      </c>
    </row>
    <row r="39" spans="1:815" x14ac:dyDescent="0.25">
      <c r="A39" s="20" t="s">
        <v>2065</v>
      </c>
      <c r="B39" s="2" t="s">
        <v>76</v>
      </c>
      <c r="C39" t="s">
        <v>77</v>
      </c>
      <c r="D39">
        <v>62</v>
      </c>
      <c r="E39" t="s">
        <v>8</v>
      </c>
      <c r="F39" t="s">
        <v>9</v>
      </c>
      <c r="G39" t="s">
        <v>9</v>
      </c>
      <c r="H39" t="s">
        <v>253</v>
      </c>
      <c r="I39" t="s">
        <v>243</v>
      </c>
      <c r="J39" t="s">
        <v>257</v>
      </c>
      <c r="L39" t="s">
        <v>1282</v>
      </c>
      <c r="M39">
        <v>94</v>
      </c>
      <c r="T39" t="s">
        <v>1283</v>
      </c>
      <c r="V39" t="s">
        <v>1281</v>
      </c>
      <c r="W39" t="s">
        <v>1280</v>
      </c>
      <c r="BA39" s="15">
        <f t="shared" si="0"/>
        <v>0</v>
      </c>
      <c r="CB39" s="15">
        <f t="shared" si="1"/>
        <v>0</v>
      </c>
      <c r="DE39" s="15">
        <f t="shared" si="2"/>
        <v>0</v>
      </c>
      <c r="DS39" s="15">
        <f t="shared" si="3"/>
        <v>0</v>
      </c>
      <c r="EF39" s="15">
        <f t="shared" si="4"/>
        <v>0</v>
      </c>
      <c r="FI39" s="15">
        <f t="shared" si="5"/>
        <v>0</v>
      </c>
      <c r="FJ39">
        <v>39</v>
      </c>
      <c r="FV39">
        <v>25</v>
      </c>
      <c r="HY39" s="15">
        <f t="shared" si="6"/>
        <v>2</v>
      </c>
      <c r="HZ39">
        <v>53</v>
      </c>
      <c r="IK39">
        <v>38</v>
      </c>
      <c r="KM39" s="15">
        <f t="shared" si="7"/>
        <v>2</v>
      </c>
      <c r="MZ39" s="15">
        <f t="shared" si="8"/>
        <v>0</v>
      </c>
      <c r="OQ39" s="15">
        <f t="shared" si="9"/>
        <v>0</v>
      </c>
      <c r="OW39" s="28">
        <f t="shared" si="10"/>
        <v>0</v>
      </c>
      <c r="RD39" s="15">
        <f t="shared" si="11"/>
        <v>0</v>
      </c>
      <c r="RU39" s="15">
        <f t="shared" si="12"/>
        <v>0</v>
      </c>
      <c r="UE39" s="15">
        <f t="shared" si="13"/>
        <v>0</v>
      </c>
      <c r="VJ39" s="15">
        <f t="shared" si="14"/>
        <v>0</v>
      </c>
      <c r="VK39" t="s">
        <v>730</v>
      </c>
      <c r="VU39" t="s">
        <v>731</v>
      </c>
      <c r="WM39" s="15">
        <f t="shared" si="15"/>
        <v>2</v>
      </c>
      <c r="XH39" s="15">
        <f t="shared" si="16"/>
        <v>0</v>
      </c>
      <c r="YD39" s="15">
        <f t="shared" si="17"/>
        <v>0</v>
      </c>
      <c r="YX39" s="15">
        <f t="shared" si="18"/>
        <v>0</v>
      </c>
      <c r="YY39">
        <v>71.2</v>
      </c>
      <c r="ZG39">
        <v>10.3</v>
      </c>
      <c r="ZR39" s="15">
        <f t="shared" si="19"/>
        <v>2</v>
      </c>
      <c r="ZX39" s="15">
        <f t="shared" si="20"/>
        <v>0</v>
      </c>
      <c r="AAT39" s="15">
        <f t="shared" si="21"/>
        <v>0</v>
      </c>
      <c r="ABQ39" s="15">
        <f t="shared" si="22"/>
        <v>0</v>
      </c>
      <c r="ABV39" s="28">
        <f t="shared" si="23"/>
        <v>0</v>
      </c>
      <c r="ACC39" s="28">
        <f t="shared" si="24"/>
        <v>0</v>
      </c>
      <c r="ACQ39" s="15">
        <f t="shared" si="25"/>
        <v>0</v>
      </c>
      <c r="ADA39" s="15">
        <f t="shared" si="26"/>
        <v>0</v>
      </c>
      <c r="ADM39" s="15">
        <f t="shared" si="27"/>
        <v>0</v>
      </c>
      <c r="AEI39" s="15">
        <f t="shared" si="28"/>
        <v>0</v>
      </c>
    </row>
    <row r="40" spans="1:815" x14ac:dyDescent="0.25">
      <c r="B40" s="2" t="s">
        <v>78</v>
      </c>
      <c r="C40" t="s">
        <v>79</v>
      </c>
      <c r="D40">
        <v>64</v>
      </c>
      <c r="E40" t="s">
        <v>8</v>
      </c>
      <c r="F40" t="s">
        <v>9</v>
      </c>
      <c r="G40" t="s">
        <v>9</v>
      </c>
      <c r="I40" t="s">
        <v>243</v>
      </c>
      <c r="J40" t="s">
        <v>257</v>
      </c>
      <c r="K40" t="s">
        <v>1287</v>
      </c>
      <c r="L40" t="s">
        <v>1288</v>
      </c>
      <c r="P40" s="10">
        <v>38050</v>
      </c>
      <c r="Q40" s="10">
        <v>38053</v>
      </c>
      <c r="R40" t="s">
        <v>1218</v>
      </c>
      <c r="S40" t="s">
        <v>1256</v>
      </c>
      <c r="T40" s="14" t="s">
        <v>1284</v>
      </c>
      <c r="U40" t="s">
        <v>1285</v>
      </c>
      <c r="V40" t="s">
        <v>306</v>
      </c>
      <c r="W40" t="s">
        <v>1289</v>
      </c>
      <c r="BA40" s="15">
        <f t="shared" si="0"/>
        <v>0</v>
      </c>
      <c r="CB40" s="15">
        <f t="shared" si="1"/>
        <v>0</v>
      </c>
      <c r="DE40" s="15">
        <f t="shared" si="2"/>
        <v>0</v>
      </c>
      <c r="DS40" s="15">
        <f t="shared" si="3"/>
        <v>0</v>
      </c>
      <c r="EF40" s="15">
        <f t="shared" si="4"/>
        <v>0</v>
      </c>
      <c r="FI40" s="15">
        <f t="shared" si="5"/>
        <v>0</v>
      </c>
      <c r="FJ40">
        <v>15</v>
      </c>
      <c r="GW40">
        <v>15</v>
      </c>
      <c r="GY40">
        <v>18</v>
      </c>
      <c r="HA40">
        <v>506</v>
      </c>
      <c r="HB40">
        <v>4563</v>
      </c>
      <c r="HC40">
        <v>4396</v>
      </c>
      <c r="HE40">
        <v>1897</v>
      </c>
      <c r="HY40" s="15">
        <f t="shared" si="6"/>
        <v>7</v>
      </c>
      <c r="HZ40">
        <v>12</v>
      </c>
      <c r="JK40">
        <v>21</v>
      </c>
      <c r="JL40">
        <v>12</v>
      </c>
      <c r="JN40">
        <v>14</v>
      </c>
      <c r="JP40">
        <v>390</v>
      </c>
      <c r="JQ40">
        <v>3135</v>
      </c>
      <c r="JR40">
        <v>4112</v>
      </c>
      <c r="JS40">
        <v>2774</v>
      </c>
      <c r="KM40" s="15">
        <f t="shared" si="7"/>
        <v>8</v>
      </c>
      <c r="LX40">
        <v>12</v>
      </c>
      <c r="LZ40">
        <v>7</v>
      </c>
      <c r="MB40">
        <v>23</v>
      </c>
      <c r="MC40">
        <v>47</v>
      </c>
      <c r="MD40">
        <v>55</v>
      </c>
      <c r="ME40">
        <v>82</v>
      </c>
      <c r="MF40">
        <v>148</v>
      </c>
      <c r="MZ40" s="15">
        <f t="shared" si="8"/>
        <v>7</v>
      </c>
      <c r="OJ40">
        <v>110</v>
      </c>
      <c r="OK40">
        <v>6331</v>
      </c>
      <c r="OL40">
        <v>6436</v>
      </c>
      <c r="OM40">
        <v>3313</v>
      </c>
      <c r="OQ40" s="15">
        <f t="shared" si="9"/>
        <v>4</v>
      </c>
      <c r="OW40" s="28">
        <f t="shared" si="10"/>
        <v>0</v>
      </c>
      <c r="OX40" t="s">
        <v>1677</v>
      </c>
      <c r="QI40">
        <v>6.97</v>
      </c>
      <c r="QJ40" s="8">
        <v>8.84</v>
      </c>
      <c r="QK40">
        <v>63.58</v>
      </c>
      <c r="QL40">
        <v>176.97</v>
      </c>
      <c r="QM40" t="s">
        <v>754</v>
      </c>
      <c r="QN40" t="s">
        <v>758</v>
      </c>
      <c r="QO40" t="s">
        <v>763</v>
      </c>
      <c r="RD40" s="15">
        <f t="shared" si="11"/>
        <v>8</v>
      </c>
      <c r="RU40" s="15">
        <f t="shared" si="12"/>
        <v>0</v>
      </c>
      <c r="RV40">
        <v>60</v>
      </c>
      <c r="TI40">
        <v>60</v>
      </c>
      <c r="TJ40">
        <v>31</v>
      </c>
      <c r="TL40">
        <v>131</v>
      </c>
      <c r="TM40">
        <v>163</v>
      </c>
      <c r="TN40">
        <v>153</v>
      </c>
      <c r="UE40" s="15">
        <f t="shared" si="13"/>
        <v>6</v>
      </c>
      <c r="VJ40" s="15">
        <f t="shared" si="14"/>
        <v>0</v>
      </c>
      <c r="WK40" t="s">
        <v>760</v>
      </c>
      <c r="WM40" s="15">
        <f t="shared" si="15"/>
        <v>1</v>
      </c>
      <c r="WN40">
        <v>1</v>
      </c>
      <c r="XH40" s="15">
        <f t="shared" si="16"/>
        <v>1</v>
      </c>
      <c r="XI40">
        <v>5.77</v>
      </c>
      <c r="YC40" t="s">
        <v>747</v>
      </c>
      <c r="YD40" s="15">
        <f t="shared" si="17"/>
        <v>2</v>
      </c>
      <c r="YX40" s="15">
        <f t="shared" si="18"/>
        <v>0</v>
      </c>
      <c r="ZR40" s="15">
        <f t="shared" si="19"/>
        <v>0</v>
      </c>
      <c r="ZX40" s="15">
        <f t="shared" si="20"/>
        <v>0</v>
      </c>
      <c r="AAT40" s="15">
        <f t="shared" si="21"/>
        <v>0</v>
      </c>
      <c r="ABQ40" s="15">
        <f t="shared" si="22"/>
        <v>0</v>
      </c>
      <c r="ABV40" s="28">
        <f t="shared" si="23"/>
        <v>0</v>
      </c>
      <c r="ACC40" s="28">
        <f t="shared" si="24"/>
        <v>0</v>
      </c>
      <c r="ACQ40" s="15">
        <f t="shared" si="25"/>
        <v>0</v>
      </c>
      <c r="ADA40" s="15">
        <f t="shared" si="26"/>
        <v>0</v>
      </c>
      <c r="ADM40" s="15">
        <f t="shared" si="27"/>
        <v>0</v>
      </c>
      <c r="AEI40" s="15">
        <f t="shared" si="28"/>
        <v>0</v>
      </c>
    </row>
    <row r="41" spans="1:815" x14ac:dyDescent="0.25">
      <c r="B41" s="4" t="s">
        <v>80</v>
      </c>
      <c r="C41" t="s">
        <v>81</v>
      </c>
      <c r="D41">
        <v>39</v>
      </c>
      <c r="E41" t="s">
        <v>14</v>
      </c>
      <c r="F41" t="s">
        <v>9</v>
      </c>
      <c r="G41" t="s">
        <v>9</v>
      </c>
      <c r="H41" t="s">
        <v>266</v>
      </c>
      <c r="I41" t="s">
        <v>243</v>
      </c>
      <c r="J41" t="s">
        <v>257</v>
      </c>
      <c r="K41" t="s">
        <v>1290</v>
      </c>
      <c r="L41" t="s">
        <v>311</v>
      </c>
      <c r="M41">
        <v>81</v>
      </c>
      <c r="N41">
        <v>176</v>
      </c>
      <c r="O41" t="s">
        <v>1071</v>
      </c>
      <c r="P41" s="10">
        <v>38051</v>
      </c>
      <c r="Q41" s="10">
        <v>38070</v>
      </c>
      <c r="R41" t="s">
        <v>1527</v>
      </c>
      <c r="S41" t="s">
        <v>1137</v>
      </c>
      <c r="U41" t="s">
        <v>1291</v>
      </c>
      <c r="V41" t="s">
        <v>1292</v>
      </c>
      <c r="W41" t="s">
        <v>1293</v>
      </c>
      <c r="BA41" s="15">
        <f t="shared" si="0"/>
        <v>0</v>
      </c>
      <c r="BB41" s="7">
        <v>0.96</v>
      </c>
      <c r="BC41" s="7"/>
      <c r="BD41" s="7"/>
      <c r="BE41" s="7"/>
      <c r="CB41" s="15">
        <f t="shared" si="1"/>
        <v>1</v>
      </c>
      <c r="CC41">
        <v>32.799999999999997</v>
      </c>
      <c r="DE41" s="15">
        <f t="shared" si="2"/>
        <v>1</v>
      </c>
      <c r="DS41" s="15">
        <f t="shared" si="3"/>
        <v>0</v>
      </c>
      <c r="EF41" s="15">
        <f t="shared" si="4"/>
        <v>0</v>
      </c>
      <c r="EG41">
        <v>9400</v>
      </c>
      <c r="EI41">
        <v>10000</v>
      </c>
      <c r="FI41" s="15">
        <f t="shared" si="5"/>
        <v>2</v>
      </c>
      <c r="FJ41">
        <v>1485</v>
      </c>
      <c r="FN41">
        <v>1614</v>
      </c>
      <c r="FV41">
        <v>1728</v>
      </c>
      <c r="GB41">
        <v>912</v>
      </c>
      <c r="HY41" s="15">
        <f t="shared" si="6"/>
        <v>4</v>
      </c>
      <c r="HZ41">
        <v>2376</v>
      </c>
      <c r="IC41">
        <v>2262</v>
      </c>
      <c r="IK41">
        <v>1722</v>
      </c>
      <c r="IQ41">
        <v>1548</v>
      </c>
      <c r="KM41" s="15">
        <f t="shared" si="7"/>
        <v>4</v>
      </c>
      <c r="KN41">
        <v>243</v>
      </c>
      <c r="MZ41" s="15">
        <f t="shared" si="8"/>
        <v>1</v>
      </c>
      <c r="ND41">
        <v>414</v>
      </c>
      <c r="NL41">
        <v>288</v>
      </c>
      <c r="NR41">
        <v>258</v>
      </c>
      <c r="OQ41" s="15">
        <f t="shared" si="9"/>
        <v>3</v>
      </c>
      <c r="OW41" s="28">
        <f t="shared" si="10"/>
        <v>0</v>
      </c>
      <c r="OX41">
        <v>208</v>
      </c>
      <c r="PA41">
        <v>22.7</v>
      </c>
      <c r="PJ41">
        <v>154</v>
      </c>
      <c r="PO41">
        <v>115</v>
      </c>
      <c r="RD41" s="15">
        <f t="shared" si="11"/>
        <v>4</v>
      </c>
      <c r="RU41" s="15">
        <f t="shared" si="12"/>
        <v>0</v>
      </c>
      <c r="RV41" t="s">
        <v>2000</v>
      </c>
      <c r="RY41">
        <v>219</v>
      </c>
      <c r="SG41" t="s">
        <v>2001</v>
      </c>
      <c r="SM41" t="s">
        <v>2002</v>
      </c>
      <c r="UE41" s="15">
        <f t="shared" si="13"/>
        <v>4</v>
      </c>
      <c r="VJ41" s="15">
        <f t="shared" si="14"/>
        <v>0</v>
      </c>
      <c r="VK41">
        <v>98</v>
      </c>
      <c r="WM41" s="15">
        <f t="shared" si="15"/>
        <v>1</v>
      </c>
      <c r="XH41" s="15">
        <f t="shared" si="16"/>
        <v>0</v>
      </c>
      <c r="YD41" s="15">
        <f t="shared" si="17"/>
        <v>0</v>
      </c>
      <c r="YE41" t="s">
        <v>2015</v>
      </c>
      <c r="YX41" s="15">
        <f t="shared" si="18"/>
        <v>1</v>
      </c>
      <c r="YY41">
        <v>5</v>
      </c>
      <c r="ZR41" s="15">
        <f t="shared" si="19"/>
        <v>1</v>
      </c>
      <c r="ZX41" s="15">
        <f t="shared" si="20"/>
        <v>0</v>
      </c>
      <c r="AAT41" s="15">
        <f t="shared" si="21"/>
        <v>0</v>
      </c>
      <c r="ABQ41" s="15">
        <f t="shared" si="22"/>
        <v>0</v>
      </c>
      <c r="ABV41" s="28">
        <f t="shared" si="23"/>
        <v>0</v>
      </c>
      <c r="ACC41" s="28">
        <f t="shared" si="24"/>
        <v>0</v>
      </c>
      <c r="ACQ41" s="15">
        <f t="shared" si="25"/>
        <v>0</v>
      </c>
      <c r="ADA41" s="15">
        <f t="shared" si="26"/>
        <v>0</v>
      </c>
      <c r="ADM41" s="15">
        <f t="shared" si="27"/>
        <v>0</v>
      </c>
      <c r="AEI41" s="15">
        <f t="shared" si="28"/>
        <v>0</v>
      </c>
    </row>
    <row r="42" spans="1:815" x14ac:dyDescent="0.25">
      <c r="B42" s="4" t="s">
        <v>82</v>
      </c>
      <c r="C42" t="s">
        <v>83</v>
      </c>
      <c r="D42">
        <v>45</v>
      </c>
      <c r="E42" t="s">
        <v>14</v>
      </c>
      <c r="F42" t="s">
        <v>15</v>
      </c>
      <c r="G42" t="s">
        <v>15</v>
      </c>
      <c r="H42" t="s">
        <v>267</v>
      </c>
      <c r="I42" t="s">
        <v>243</v>
      </c>
      <c r="J42" t="s">
        <v>257</v>
      </c>
      <c r="K42" t="s">
        <v>1294</v>
      </c>
      <c r="L42" t="s">
        <v>303</v>
      </c>
      <c r="M42">
        <v>58</v>
      </c>
      <c r="N42">
        <v>161</v>
      </c>
      <c r="O42" t="s">
        <v>1081</v>
      </c>
      <c r="P42" s="10">
        <v>37998</v>
      </c>
      <c r="Q42" s="10">
        <v>38001</v>
      </c>
      <c r="R42" t="s">
        <v>1218</v>
      </c>
      <c r="S42" t="s">
        <v>1300</v>
      </c>
      <c r="T42" t="s">
        <v>1295</v>
      </c>
      <c r="U42" t="s">
        <v>1296</v>
      </c>
      <c r="V42" t="s">
        <v>1297</v>
      </c>
      <c r="W42" t="s">
        <v>1298</v>
      </c>
      <c r="BA42" s="15">
        <f t="shared" si="0"/>
        <v>0</v>
      </c>
      <c r="CB42" s="15">
        <f t="shared" si="1"/>
        <v>0</v>
      </c>
      <c r="DE42" s="15">
        <f t="shared" si="2"/>
        <v>0</v>
      </c>
      <c r="DS42" s="15">
        <f t="shared" si="3"/>
        <v>0</v>
      </c>
      <c r="EF42" s="15">
        <f t="shared" si="4"/>
        <v>0</v>
      </c>
      <c r="EG42">
        <v>8300</v>
      </c>
      <c r="FI42" s="15">
        <f t="shared" si="5"/>
        <v>1</v>
      </c>
      <c r="FJ42">
        <v>161</v>
      </c>
      <c r="GI42">
        <v>20.5</v>
      </c>
      <c r="HY42" s="15">
        <f t="shared" si="6"/>
        <v>2</v>
      </c>
      <c r="HZ42">
        <v>920</v>
      </c>
      <c r="IX42">
        <v>45.8</v>
      </c>
      <c r="KM42" s="15">
        <f t="shared" si="7"/>
        <v>2</v>
      </c>
      <c r="MZ42" s="15">
        <f t="shared" si="8"/>
        <v>0</v>
      </c>
      <c r="NA42">
        <v>255</v>
      </c>
      <c r="OQ42" s="15">
        <f t="shared" si="9"/>
        <v>1</v>
      </c>
      <c r="OW42" s="28">
        <f t="shared" si="10"/>
        <v>0</v>
      </c>
      <c r="OX42">
        <v>33.200000000000003</v>
      </c>
      <c r="PT42">
        <v>14.8</v>
      </c>
      <c r="RD42" s="15">
        <f t="shared" si="11"/>
        <v>2</v>
      </c>
      <c r="RU42" s="15">
        <f t="shared" si="12"/>
        <v>0</v>
      </c>
      <c r="UE42" s="15">
        <f t="shared" si="13"/>
        <v>0</v>
      </c>
      <c r="VJ42" s="15">
        <f t="shared" si="14"/>
        <v>0</v>
      </c>
      <c r="VK42">
        <v>52.3</v>
      </c>
      <c r="WM42" s="15">
        <f t="shared" si="15"/>
        <v>1</v>
      </c>
      <c r="XH42" s="15">
        <f t="shared" si="16"/>
        <v>0</v>
      </c>
      <c r="YD42" s="15">
        <f t="shared" si="17"/>
        <v>0</v>
      </c>
      <c r="YE42">
        <v>48</v>
      </c>
      <c r="YX42" s="15">
        <f t="shared" si="18"/>
        <v>1</v>
      </c>
      <c r="ZR42" s="15">
        <f t="shared" si="19"/>
        <v>0</v>
      </c>
      <c r="ZX42" s="15">
        <f t="shared" si="20"/>
        <v>0</v>
      </c>
      <c r="AAT42" s="15">
        <f t="shared" si="21"/>
        <v>0</v>
      </c>
      <c r="ABQ42" s="15">
        <f t="shared" si="22"/>
        <v>0</v>
      </c>
      <c r="ABR42" s="25" t="s">
        <v>2020</v>
      </c>
      <c r="ABV42" s="28">
        <f t="shared" si="23"/>
        <v>1</v>
      </c>
      <c r="ACC42" s="28">
        <f t="shared" si="24"/>
        <v>0</v>
      </c>
      <c r="ACQ42" s="15">
        <f t="shared" si="25"/>
        <v>0</v>
      </c>
      <c r="ADA42" s="15">
        <f t="shared" si="26"/>
        <v>0</v>
      </c>
      <c r="ADM42" s="15">
        <f t="shared" si="27"/>
        <v>0</v>
      </c>
      <c r="AEI42" s="15">
        <f t="shared" si="28"/>
        <v>0</v>
      </c>
    </row>
    <row r="43" spans="1:815" x14ac:dyDescent="0.25">
      <c r="B43" s="6" t="s">
        <v>84</v>
      </c>
      <c r="D43">
        <v>44</v>
      </c>
      <c r="E43" t="s">
        <v>14</v>
      </c>
      <c r="F43" t="s">
        <v>9</v>
      </c>
      <c r="G43" t="s">
        <v>15</v>
      </c>
      <c r="I43" t="s">
        <v>257</v>
      </c>
      <c r="J43" t="s">
        <v>257</v>
      </c>
      <c r="K43" t="s">
        <v>1307</v>
      </c>
      <c r="L43" t="s">
        <v>1301</v>
      </c>
      <c r="M43">
        <v>75</v>
      </c>
      <c r="S43" t="s">
        <v>1304</v>
      </c>
      <c r="U43" t="s">
        <v>1303</v>
      </c>
      <c r="V43" t="s">
        <v>1306</v>
      </c>
      <c r="W43" t="s">
        <v>1302</v>
      </c>
      <c r="BA43" s="15">
        <f t="shared" si="0"/>
        <v>0</v>
      </c>
      <c r="CB43" s="15">
        <f t="shared" si="1"/>
        <v>0</v>
      </c>
      <c r="DE43" s="15">
        <f t="shared" si="2"/>
        <v>0</v>
      </c>
      <c r="DS43" s="15">
        <f t="shared" si="3"/>
        <v>0</v>
      </c>
      <c r="EF43" s="15">
        <f t="shared" si="4"/>
        <v>0</v>
      </c>
      <c r="FI43" s="15">
        <f t="shared" si="5"/>
        <v>0</v>
      </c>
      <c r="HY43" s="15">
        <f t="shared" si="6"/>
        <v>0</v>
      </c>
      <c r="KM43" s="15">
        <f t="shared" si="7"/>
        <v>0</v>
      </c>
      <c r="MZ43" s="15">
        <f t="shared" si="8"/>
        <v>0</v>
      </c>
      <c r="OQ43" s="15">
        <f t="shared" si="9"/>
        <v>0</v>
      </c>
      <c r="OW43" s="28">
        <f t="shared" si="10"/>
        <v>0</v>
      </c>
      <c r="RD43" s="15">
        <f t="shared" si="11"/>
        <v>0</v>
      </c>
      <c r="RU43" s="15">
        <f t="shared" si="12"/>
        <v>0</v>
      </c>
      <c r="UE43" s="15">
        <f t="shared" si="13"/>
        <v>0</v>
      </c>
      <c r="VJ43" s="15">
        <f t="shared" si="14"/>
        <v>0</v>
      </c>
      <c r="WM43" s="15">
        <f t="shared" si="15"/>
        <v>0</v>
      </c>
      <c r="XH43" s="15">
        <f t="shared" si="16"/>
        <v>0</v>
      </c>
      <c r="YD43" s="15">
        <f t="shared" si="17"/>
        <v>0</v>
      </c>
      <c r="YX43" s="15">
        <f t="shared" si="18"/>
        <v>0</v>
      </c>
      <c r="ZR43" s="15">
        <f t="shared" si="19"/>
        <v>0</v>
      </c>
      <c r="ZX43" s="15">
        <f t="shared" si="20"/>
        <v>0</v>
      </c>
      <c r="AAT43" s="15">
        <f t="shared" si="21"/>
        <v>0</v>
      </c>
      <c r="ABQ43" s="15">
        <f t="shared" si="22"/>
        <v>0</v>
      </c>
      <c r="ABV43" s="28">
        <f t="shared" si="23"/>
        <v>0</v>
      </c>
      <c r="ACC43" s="28">
        <f t="shared" si="24"/>
        <v>0</v>
      </c>
      <c r="ACQ43" s="15">
        <f t="shared" si="25"/>
        <v>0</v>
      </c>
      <c r="ADA43" s="15">
        <f t="shared" si="26"/>
        <v>0</v>
      </c>
      <c r="ADM43" s="15">
        <f t="shared" si="27"/>
        <v>0</v>
      </c>
      <c r="AEI43" s="15">
        <f t="shared" si="28"/>
        <v>0</v>
      </c>
    </row>
    <row r="44" spans="1:815" x14ac:dyDescent="0.25">
      <c r="B44" s="2" t="s">
        <v>85</v>
      </c>
      <c r="C44" t="s">
        <v>86</v>
      </c>
      <c r="D44">
        <v>50</v>
      </c>
      <c r="E44" t="s">
        <v>8</v>
      </c>
      <c r="F44" t="s">
        <v>9</v>
      </c>
      <c r="G44" t="s">
        <v>9</v>
      </c>
      <c r="H44" t="s">
        <v>255</v>
      </c>
      <c r="I44" t="s">
        <v>243</v>
      </c>
      <c r="J44" t="s">
        <v>257</v>
      </c>
      <c r="K44" t="s">
        <v>1311</v>
      </c>
      <c r="L44" t="s">
        <v>316</v>
      </c>
      <c r="M44">
        <v>69.8</v>
      </c>
      <c r="N44">
        <v>166</v>
      </c>
      <c r="O44">
        <v>25</v>
      </c>
      <c r="P44" s="10">
        <v>38046</v>
      </c>
      <c r="Q44" s="10">
        <v>38046</v>
      </c>
      <c r="R44" t="s">
        <v>1133</v>
      </c>
      <c r="S44" t="s">
        <v>1308</v>
      </c>
      <c r="T44" t="s">
        <v>254</v>
      </c>
      <c r="U44" t="s">
        <v>1309</v>
      </c>
      <c r="V44" t="s">
        <v>1310</v>
      </c>
      <c r="X44" t="s">
        <v>1312</v>
      </c>
      <c r="BA44" s="15">
        <f t="shared" si="0"/>
        <v>0</v>
      </c>
      <c r="CB44" s="15">
        <f t="shared" si="1"/>
        <v>0</v>
      </c>
      <c r="DE44" s="15">
        <f t="shared" si="2"/>
        <v>0</v>
      </c>
      <c r="DS44" s="15">
        <f t="shared" si="3"/>
        <v>0</v>
      </c>
      <c r="EF44" s="15">
        <f t="shared" si="4"/>
        <v>0</v>
      </c>
      <c r="EG44">
        <v>6900</v>
      </c>
      <c r="FI44" s="15">
        <f t="shared" si="5"/>
        <v>1</v>
      </c>
      <c r="FJ44">
        <v>258</v>
      </c>
      <c r="GB44">
        <v>71</v>
      </c>
      <c r="HY44" s="15">
        <f t="shared" si="6"/>
        <v>2</v>
      </c>
      <c r="HZ44">
        <v>358</v>
      </c>
      <c r="IQ44">
        <v>45</v>
      </c>
      <c r="KM44" s="15">
        <f t="shared" si="7"/>
        <v>2</v>
      </c>
      <c r="KN44">
        <v>90</v>
      </c>
      <c r="LC44">
        <v>21</v>
      </c>
      <c r="MZ44" s="15">
        <f t="shared" si="8"/>
        <v>2</v>
      </c>
      <c r="OQ44" s="15">
        <f t="shared" si="9"/>
        <v>0</v>
      </c>
      <c r="OW44" s="28">
        <f t="shared" si="10"/>
        <v>0</v>
      </c>
      <c r="OX44" s="8">
        <v>11.9</v>
      </c>
      <c r="RD44" s="15">
        <f t="shared" si="11"/>
        <v>1</v>
      </c>
      <c r="RU44" s="15">
        <f t="shared" si="12"/>
        <v>0</v>
      </c>
      <c r="RV44">
        <v>83</v>
      </c>
      <c r="SM44">
        <v>60</v>
      </c>
      <c r="UE44" s="15">
        <f t="shared" si="13"/>
        <v>2</v>
      </c>
      <c r="VJ44" s="15">
        <f t="shared" si="14"/>
        <v>0</v>
      </c>
      <c r="WM44" s="15">
        <f t="shared" si="15"/>
        <v>0</v>
      </c>
      <c r="XH44" s="15">
        <f t="shared" si="16"/>
        <v>0</v>
      </c>
      <c r="YD44" s="15">
        <f t="shared" si="17"/>
        <v>0</v>
      </c>
      <c r="YE44">
        <v>33</v>
      </c>
      <c r="YX44" s="15">
        <f t="shared" si="18"/>
        <v>1</v>
      </c>
      <c r="YY44" t="s">
        <v>2026</v>
      </c>
      <c r="ZR44" s="15">
        <f t="shared" si="19"/>
        <v>1</v>
      </c>
      <c r="ZX44" s="15">
        <f t="shared" si="20"/>
        <v>0</v>
      </c>
      <c r="AAT44" s="15">
        <f t="shared" si="21"/>
        <v>0</v>
      </c>
      <c r="ABQ44" s="15">
        <f t="shared" si="22"/>
        <v>0</v>
      </c>
      <c r="ABV44" s="28">
        <f t="shared" si="23"/>
        <v>0</v>
      </c>
      <c r="ACC44" s="28">
        <f t="shared" si="24"/>
        <v>0</v>
      </c>
      <c r="ACQ44" s="15">
        <f t="shared" si="25"/>
        <v>0</v>
      </c>
      <c r="ADA44" s="15">
        <f t="shared" si="26"/>
        <v>0</v>
      </c>
      <c r="ADM44" s="15">
        <f t="shared" si="27"/>
        <v>0</v>
      </c>
      <c r="AEI44" s="15">
        <f t="shared" si="28"/>
        <v>0</v>
      </c>
    </row>
    <row r="45" spans="1:815" x14ac:dyDescent="0.25">
      <c r="B45" s="2" t="s">
        <v>87</v>
      </c>
      <c r="C45" t="s">
        <v>88</v>
      </c>
      <c r="D45">
        <v>38</v>
      </c>
      <c r="E45" t="s">
        <v>14</v>
      </c>
      <c r="F45" t="s">
        <v>9</v>
      </c>
      <c r="G45" t="s">
        <v>9</v>
      </c>
      <c r="H45" t="s">
        <v>268</v>
      </c>
      <c r="I45" t="s">
        <v>243</v>
      </c>
      <c r="J45" t="s">
        <v>257</v>
      </c>
      <c r="K45" t="s">
        <v>1313</v>
      </c>
      <c r="L45" t="s">
        <v>303</v>
      </c>
      <c r="M45">
        <v>80</v>
      </c>
      <c r="N45">
        <v>180</v>
      </c>
      <c r="O45" t="s">
        <v>1063</v>
      </c>
      <c r="P45" s="10">
        <v>38134</v>
      </c>
      <c r="Q45" s="10">
        <v>38140</v>
      </c>
      <c r="R45" t="s">
        <v>1113</v>
      </c>
      <c r="S45" t="s">
        <v>1137</v>
      </c>
      <c r="T45" t="s">
        <v>1316</v>
      </c>
      <c r="U45" t="s">
        <v>1315</v>
      </c>
      <c r="W45" t="s">
        <v>1314</v>
      </c>
      <c r="BA45" s="15">
        <f t="shared" si="0"/>
        <v>0</v>
      </c>
      <c r="BD45">
        <v>70</v>
      </c>
      <c r="BK45">
        <v>67</v>
      </c>
      <c r="CB45" s="15">
        <f t="shared" si="1"/>
        <v>2</v>
      </c>
      <c r="CE45">
        <v>44.5</v>
      </c>
      <c r="CM45">
        <v>42.3</v>
      </c>
      <c r="DE45" s="15">
        <f t="shared" si="2"/>
        <v>2</v>
      </c>
      <c r="DH45">
        <v>790</v>
      </c>
      <c r="DS45" s="15">
        <f t="shared" si="3"/>
        <v>1</v>
      </c>
      <c r="DX45" s="7">
        <v>1.08</v>
      </c>
      <c r="DY45" s="7"/>
      <c r="DZ45" s="7"/>
      <c r="EA45" s="7"/>
      <c r="EF45" s="15">
        <f t="shared" si="4"/>
        <v>1</v>
      </c>
      <c r="EG45">
        <v>4200</v>
      </c>
      <c r="EI45">
        <v>4000</v>
      </c>
      <c r="ET45">
        <v>285000</v>
      </c>
      <c r="FI45" s="15">
        <f t="shared" si="5"/>
        <v>3</v>
      </c>
      <c r="FJ45" t="s">
        <v>1956</v>
      </c>
      <c r="FN45" t="s">
        <v>1957</v>
      </c>
      <c r="GA45" t="s">
        <v>1958</v>
      </c>
      <c r="GC45" t="s">
        <v>1959</v>
      </c>
      <c r="HY45" s="15">
        <f t="shared" si="6"/>
        <v>4</v>
      </c>
      <c r="HZ45" t="s">
        <v>1971</v>
      </c>
      <c r="IC45" t="s">
        <v>1972</v>
      </c>
      <c r="IM45">
        <v>321</v>
      </c>
      <c r="IR45" t="s">
        <v>1973</v>
      </c>
      <c r="KM45" s="15">
        <f t="shared" si="7"/>
        <v>4</v>
      </c>
      <c r="KN45" t="s">
        <v>1982</v>
      </c>
      <c r="KP45" t="s">
        <v>1982</v>
      </c>
      <c r="KY45" t="s">
        <v>1983</v>
      </c>
      <c r="LD45" t="s">
        <v>1984</v>
      </c>
      <c r="MZ45" s="15">
        <f t="shared" si="8"/>
        <v>4</v>
      </c>
      <c r="OQ45" s="15">
        <f t="shared" si="9"/>
        <v>0</v>
      </c>
      <c r="OW45" s="28">
        <f t="shared" si="10"/>
        <v>0</v>
      </c>
      <c r="OX45">
        <v>11.5</v>
      </c>
      <c r="PL45">
        <v>9</v>
      </c>
      <c r="PQ45">
        <v>11</v>
      </c>
      <c r="RD45" s="15">
        <f t="shared" si="11"/>
        <v>3</v>
      </c>
      <c r="RU45" s="15">
        <f t="shared" si="12"/>
        <v>0</v>
      </c>
      <c r="RV45" t="s">
        <v>2003</v>
      </c>
      <c r="RY45">
        <v>189</v>
      </c>
      <c r="SI45" t="s">
        <v>2004</v>
      </c>
      <c r="SN45">
        <v>294</v>
      </c>
      <c r="UE45" s="15">
        <f t="shared" si="13"/>
        <v>4</v>
      </c>
      <c r="VJ45" s="15">
        <f t="shared" si="14"/>
        <v>0</v>
      </c>
      <c r="VK45">
        <v>109</v>
      </c>
      <c r="VM45">
        <v>92</v>
      </c>
      <c r="WB45">
        <v>86</v>
      </c>
      <c r="WM45" s="15">
        <f t="shared" si="15"/>
        <v>3</v>
      </c>
      <c r="WP45">
        <v>1.3</v>
      </c>
      <c r="WX45">
        <v>1.3</v>
      </c>
      <c r="XH45" s="15">
        <f t="shared" si="16"/>
        <v>2</v>
      </c>
      <c r="YD45" s="15">
        <f t="shared" si="17"/>
        <v>0</v>
      </c>
      <c r="YX45" s="15">
        <f t="shared" si="18"/>
        <v>0</v>
      </c>
      <c r="YY45">
        <v>241</v>
      </c>
      <c r="ZA45">
        <v>180</v>
      </c>
      <c r="ZH45">
        <v>49</v>
      </c>
      <c r="ZK45">
        <v>12.9</v>
      </c>
      <c r="ZR45" s="15">
        <f t="shared" si="19"/>
        <v>4</v>
      </c>
      <c r="ZX45" s="15">
        <f t="shared" si="20"/>
        <v>0</v>
      </c>
      <c r="AAT45" s="15">
        <f t="shared" si="21"/>
        <v>0</v>
      </c>
      <c r="AAU45">
        <v>113</v>
      </c>
      <c r="AAW45">
        <v>108</v>
      </c>
      <c r="ABJ45" t="s">
        <v>783</v>
      </c>
      <c r="ABQ45" s="15">
        <f t="shared" si="22"/>
        <v>1</v>
      </c>
      <c r="ABV45" s="28">
        <f t="shared" si="23"/>
        <v>0</v>
      </c>
      <c r="ACC45" s="28">
        <f t="shared" si="24"/>
        <v>0</v>
      </c>
      <c r="ACQ45" s="15">
        <f t="shared" si="25"/>
        <v>0</v>
      </c>
      <c r="ADA45" s="15">
        <f t="shared" si="26"/>
        <v>0</v>
      </c>
      <c r="ADM45" s="15">
        <f t="shared" si="27"/>
        <v>0</v>
      </c>
      <c r="AEI45" s="15">
        <f t="shared" si="28"/>
        <v>0</v>
      </c>
    </row>
    <row r="46" spans="1:815" x14ac:dyDescent="0.25">
      <c r="B46" s="2" t="s">
        <v>89</v>
      </c>
      <c r="C46" t="s">
        <v>90</v>
      </c>
      <c r="D46">
        <v>39</v>
      </c>
      <c r="E46" t="s">
        <v>8</v>
      </c>
      <c r="F46" t="s">
        <v>9</v>
      </c>
      <c r="G46" t="s">
        <v>9</v>
      </c>
      <c r="I46" t="s">
        <v>243</v>
      </c>
      <c r="K46" t="s">
        <v>1319</v>
      </c>
      <c r="L46" t="s">
        <v>317</v>
      </c>
      <c r="S46" t="s">
        <v>1317</v>
      </c>
      <c r="W46" t="s">
        <v>1318</v>
      </c>
      <c r="Z46">
        <v>8000</v>
      </c>
      <c r="BA46" s="15">
        <f t="shared" si="0"/>
        <v>1</v>
      </c>
      <c r="BB46">
        <v>13</v>
      </c>
      <c r="BC46">
        <v>39</v>
      </c>
      <c r="CB46" s="15">
        <f t="shared" si="1"/>
        <v>2</v>
      </c>
      <c r="DE46" s="15">
        <f t="shared" si="2"/>
        <v>0</v>
      </c>
      <c r="DS46" s="15">
        <f t="shared" si="3"/>
        <v>0</v>
      </c>
      <c r="EF46" s="15">
        <f t="shared" si="4"/>
        <v>0</v>
      </c>
      <c r="FI46" s="15">
        <f t="shared" si="5"/>
        <v>0</v>
      </c>
      <c r="FJ46">
        <v>10499</v>
      </c>
      <c r="FK46">
        <v>7931</v>
      </c>
      <c r="FL46">
        <v>3657</v>
      </c>
      <c r="HY46" s="15">
        <f t="shared" si="6"/>
        <v>3</v>
      </c>
      <c r="HZ46">
        <v>11047</v>
      </c>
      <c r="IA46">
        <v>8688</v>
      </c>
      <c r="IB46">
        <v>4612</v>
      </c>
      <c r="KM46" s="15">
        <f t="shared" si="7"/>
        <v>3</v>
      </c>
      <c r="MZ46" s="15">
        <f t="shared" si="8"/>
        <v>0</v>
      </c>
      <c r="OQ46" s="15">
        <f t="shared" si="9"/>
        <v>0</v>
      </c>
      <c r="OW46" s="28">
        <f t="shared" si="10"/>
        <v>0</v>
      </c>
      <c r="RD46" s="15">
        <f t="shared" si="11"/>
        <v>0</v>
      </c>
      <c r="RU46" s="15">
        <f t="shared" si="12"/>
        <v>0</v>
      </c>
      <c r="UE46" s="15">
        <f t="shared" si="13"/>
        <v>0</v>
      </c>
      <c r="VJ46" s="15">
        <f t="shared" si="14"/>
        <v>0</v>
      </c>
      <c r="WM46" s="15">
        <f t="shared" si="15"/>
        <v>0</v>
      </c>
      <c r="XH46" s="15">
        <f t="shared" si="16"/>
        <v>0</v>
      </c>
      <c r="YD46" s="15">
        <f t="shared" si="17"/>
        <v>0</v>
      </c>
      <c r="YX46" s="15">
        <f t="shared" si="18"/>
        <v>0</v>
      </c>
      <c r="ZR46" s="15">
        <f t="shared" si="19"/>
        <v>0</v>
      </c>
      <c r="ZX46" s="15">
        <f t="shared" si="20"/>
        <v>0</v>
      </c>
      <c r="AAT46" s="15">
        <f t="shared" si="21"/>
        <v>0</v>
      </c>
      <c r="ABQ46" s="15">
        <f t="shared" si="22"/>
        <v>0</v>
      </c>
      <c r="ABR46" s="37">
        <v>0.4839</v>
      </c>
      <c r="ABV46" s="28">
        <f t="shared" si="23"/>
        <v>1</v>
      </c>
      <c r="ACC46" s="28">
        <f t="shared" si="24"/>
        <v>0</v>
      </c>
      <c r="ACQ46" s="15">
        <f t="shared" si="25"/>
        <v>0</v>
      </c>
      <c r="ADA46" s="15">
        <f t="shared" si="26"/>
        <v>0</v>
      </c>
      <c r="ADM46" s="15">
        <f t="shared" si="27"/>
        <v>0</v>
      </c>
      <c r="AEI46" s="15">
        <f t="shared" si="28"/>
        <v>0</v>
      </c>
    </row>
    <row r="47" spans="1:815" x14ac:dyDescent="0.25">
      <c r="B47" s="3" t="s">
        <v>91</v>
      </c>
      <c r="F47" t="s">
        <v>9</v>
      </c>
      <c r="G47" t="s">
        <v>15</v>
      </c>
      <c r="L47" t="s">
        <v>1321</v>
      </c>
      <c r="BA47" s="15">
        <f t="shared" si="0"/>
        <v>0</v>
      </c>
      <c r="CB47" s="15">
        <f t="shared" si="1"/>
        <v>0</v>
      </c>
      <c r="DE47" s="15">
        <f t="shared" si="2"/>
        <v>0</v>
      </c>
      <c r="DS47" s="15">
        <f t="shared" si="3"/>
        <v>0</v>
      </c>
      <c r="EF47" s="15">
        <f t="shared" si="4"/>
        <v>0</v>
      </c>
      <c r="FI47" s="15">
        <f t="shared" si="5"/>
        <v>0</v>
      </c>
      <c r="HY47" s="15">
        <f t="shared" si="6"/>
        <v>0</v>
      </c>
      <c r="KM47" s="15">
        <f t="shared" si="7"/>
        <v>0</v>
      </c>
      <c r="MZ47" s="15">
        <f t="shared" si="8"/>
        <v>0</v>
      </c>
      <c r="OQ47" s="15">
        <f t="shared" si="9"/>
        <v>0</v>
      </c>
      <c r="OW47" s="28">
        <f t="shared" si="10"/>
        <v>0</v>
      </c>
      <c r="RD47" s="15">
        <f t="shared" si="11"/>
        <v>0</v>
      </c>
      <c r="RU47" s="15">
        <f t="shared" si="12"/>
        <v>0</v>
      </c>
      <c r="UE47" s="15">
        <f t="shared" si="13"/>
        <v>0</v>
      </c>
      <c r="VJ47" s="15">
        <f t="shared" si="14"/>
        <v>0</v>
      </c>
      <c r="WM47" s="15">
        <f t="shared" si="15"/>
        <v>0</v>
      </c>
      <c r="XH47" s="15">
        <f t="shared" si="16"/>
        <v>0</v>
      </c>
      <c r="YD47" s="15">
        <f t="shared" si="17"/>
        <v>0</v>
      </c>
      <c r="YX47" s="15">
        <f t="shared" si="18"/>
        <v>0</v>
      </c>
      <c r="ZR47" s="15">
        <f t="shared" si="19"/>
        <v>0</v>
      </c>
      <c r="ZX47" s="15">
        <f t="shared" si="20"/>
        <v>0</v>
      </c>
      <c r="AAT47" s="15">
        <f t="shared" si="21"/>
        <v>0</v>
      </c>
      <c r="ABQ47" s="15">
        <f t="shared" si="22"/>
        <v>0</v>
      </c>
      <c r="ABV47" s="28">
        <f t="shared" si="23"/>
        <v>0</v>
      </c>
      <c r="ACC47" s="28">
        <f t="shared" si="24"/>
        <v>0</v>
      </c>
      <c r="ACQ47" s="15">
        <f t="shared" si="25"/>
        <v>0</v>
      </c>
      <c r="ADA47" s="15">
        <f t="shared" si="26"/>
        <v>0</v>
      </c>
      <c r="ADM47" s="15">
        <f t="shared" si="27"/>
        <v>0</v>
      </c>
      <c r="AEI47" s="15">
        <f t="shared" si="28"/>
        <v>0</v>
      </c>
    </row>
    <row r="48" spans="1:815" x14ac:dyDescent="0.25">
      <c r="B48" s="6" t="s">
        <v>92</v>
      </c>
      <c r="F48" t="s">
        <v>9</v>
      </c>
      <c r="G48" t="s">
        <v>15</v>
      </c>
      <c r="L48" t="s">
        <v>1320</v>
      </c>
      <c r="M48">
        <v>45</v>
      </c>
      <c r="BA48" s="15">
        <f t="shared" si="0"/>
        <v>0</v>
      </c>
      <c r="CB48" s="15">
        <f t="shared" si="1"/>
        <v>0</v>
      </c>
      <c r="DE48" s="15">
        <f t="shared" si="2"/>
        <v>0</v>
      </c>
      <c r="DS48" s="15">
        <f t="shared" si="3"/>
        <v>0</v>
      </c>
      <c r="EF48" s="15">
        <f t="shared" si="4"/>
        <v>0</v>
      </c>
      <c r="FI48" s="15">
        <f t="shared" si="5"/>
        <v>0</v>
      </c>
      <c r="HY48" s="15">
        <f t="shared" si="6"/>
        <v>0</v>
      </c>
      <c r="KM48" s="15">
        <f t="shared" si="7"/>
        <v>0</v>
      </c>
      <c r="MZ48" s="15">
        <f t="shared" si="8"/>
        <v>0</v>
      </c>
      <c r="OQ48" s="15">
        <f t="shared" si="9"/>
        <v>0</v>
      </c>
      <c r="OW48" s="28">
        <f t="shared" si="10"/>
        <v>0</v>
      </c>
      <c r="RD48" s="15">
        <f t="shared" si="11"/>
        <v>0</v>
      </c>
      <c r="RU48" s="15">
        <f t="shared" si="12"/>
        <v>0</v>
      </c>
      <c r="UE48" s="15">
        <f t="shared" si="13"/>
        <v>0</v>
      </c>
      <c r="VJ48" s="15">
        <f t="shared" si="14"/>
        <v>0</v>
      </c>
      <c r="WM48" s="15">
        <f t="shared" si="15"/>
        <v>0</v>
      </c>
      <c r="XH48" s="15">
        <f t="shared" si="16"/>
        <v>0</v>
      </c>
      <c r="YD48" s="15">
        <f t="shared" si="17"/>
        <v>0</v>
      </c>
      <c r="YX48" s="15">
        <f t="shared" si="18"/>
        <v>0</v>
      </c>
      <c r="ZR48" s="15">
        <f t="shared" si="19"/>
        <v>0</v>
      </c>
      <c r="ZX48" s="15">
        <f t="shared" si="20"/>
        <v>0</v>
      </c>
      <c r="AAT48" s="15">
        <f t="shared" si="21"/>
        <v>0</v>
      </c>
      <c r="ABQ48" s="15">
        <f t="shared" si="22"/>
        <v>0</v>
      </c>
      <c r="ABV48" s="28">
        <f t="shared" si="23"/>
        <v>0</v>
      </c>
      <c r="ACC48" s="28">
        <f t="shared" si="24"/>
        <v>0</v>
      </c>
      <c r="ACQ48" s="15">
        <f t="shared" si="25"/>
        <v>0</v>
      </c>
      <c r="ADA48" s="15">
        <f t="shared" si="26"/>
        <v>0</v>
      </c>
      <c r="ADM48" s="15">
        <f t="shared" si="27"/>
        <v>0</v>
      </c>
      <c r="AEI48" s="15">
        <f t="shared" si="28"/>
        <v>0</v>
      </c>
    </row>
    <row r="49" spans="2:815" x14ac:dyDescent="0.25">
      <c r="B49" s="2" t="s">
        <v>93</v>
      </c>
      <c r="C49" t="s">
        <v>94</v>
      </c>
      <c r="D49">
        <v>78</v>
      </c>
      <c r="E49" t="s">
        <v>8</v>
      </c>
      <c r="F49" t="s">
        <v>15</v>
      </c>
      <c r="G49" t="s">
        <v>9</v>
      </c>
      <c r="H49" t="s">
        <v>249</v>
      </c>
      <c r="I49" t="s">
        <v>243</v>
      </c>
      <c r="J49" t="s">
        <v>257</v>
      </c>
      <c r="K49" t="s">
        <v>256</v>
      </c>
      <c r="L49" t="s">
        <v>303</v>
      </c>
      <c r="M49">
        <v>63</v>
      </c>
      <c r="N49">
        <v>162</v>
      </c>
      <c r="O49">
        <v>24</v>
      </c>
      <c r="P49" s="10">
        <v>38275</v>
      </c>
      <c r="Q49" s="10">
        <v>38281</v>
      </c>
      <c r="R49" t="s">
        <v>1113</v>
      </c>
      <c r="S49" t="s">
        <v>1219</v>
      </c>
      <c r="T49" t="s">
        <v>1329</v>
      </c>
      <c r="W49" t="s">
        <v>1328</v>
      </c>
      <c r="Z49">
        <v>63</v>
      </c>
      <c r="AA49">
        <v>42</v>
      </c>
      <c r="BA49" s="15">
        <f t="shared" si="0"/>
        <v>2</v>
      </c>
      <c r="BB49" t="s">
        <v>786</v>
      </c>
      <c r="CB49" s="15">
        <f t="shared" si="1"/>
        <v>1</v>
      </c>
      <c r="CC49" t="s">
        <v>787</v>
      </c>
      <c r="CV49">
        <v>21</v>
      </c>
      <c r="DE49" s="15">
        <f t="shared" si="2"/>
        <v>2</v>
      </c>
      <c r="DS49" s="15">
        <f t="shared" si="3"/>
        <v>0</v>
      </c>
      <c r="EF49" s="15">
        <f t="shared" si="4"/>
        <v>0</v>
      </c>
      <c r="EG49">
        <v>12600</v>
      </c>
      <c r="EI49">
        <v>11500</v>
      </c>
      <c r="EX49">
        <v>12410</v>
      </c>
      <c r="FG49">
        <v>12610</v>
      </c>
      <c r="FI49" s="15">
        <f t="shared" si="5"/>
        <v>4</v>
      </c>
      <c r="FJ49">
        <v>22</v>
      </c>
      <c r="FN49">
        <v>22</v>
      </c>
      <c r="GB49">
        <v>36</v>
      </c>
      <c r="GF49">
        <v>18</v>
      </c>
      <c r="GM49">
        <v>17</v>
      </c>
      <c r="HY49" s="15">
        <f t="shared" si="6"/>
        <v>5</v>
      </c>
      <c r="HZ49">
        <v>23</v>
      </c>
      <c r="IC49">
        <v>22</v>
      </c>
      <c r="IQ49">
        <v>58</v>
      </c>
      <c r="IU49">
        <v>34</v>
      </c>
      <c r="JB49">
        <v>33</v>
      </c>
      <c r="KM49" s="15">
        <f t="shared" si="7"/>
        <v>5</v>
      </c>
      <c r="KN49">
        <v>95</v>
      </c>
      <c r="KP49">
        <v>90</v>
      </c>
      <c r="KW49">
        <v>91</v>
      </c>
      <c r="LC49">
        <v>159</v>
      </c>
      <c r="LG49">
        <v>136</v>
      </c>
      <c r="LN49">
        <v>116</v>
      </c>
      <c r="MZ49" s="15">
        <f t="shared" si="8"/>
        <v>6</v>
      </c>
      <c r="NA49">
        <v>236</v>
      </c>
      <c r="ND49">
        <v>235</v>
      </c>
      <c r="OQ49" s="15">
        <f t="shared" si="9"/>
        <v>2</v>
      </c>
      <c r="OW49" s="28">
        <f t="shared" si="10"/>
        <v>0</v>
      </c>
      <c r="RD49" s="15">
        <f t="shared" si="11"/>
        <v>0</v>
      </c>
      <c r="RU49" s="15">
        <f t="shared" si="12"/>
        <v>0</v>
      </c>
      <c r="RV49">
        <v>93</v>
      </c>
      <c r="RY49">
        <v>84</v>
      </c>
      <c r="SM49">
        <v>94</v>
      </c>
      <c r="SQ49">
        <v>89</v>
      </c>
      <c r="SX49">
        <v>98</v>
      </c>
      <c r="UE49" s="15">
        <f t="shared" si="13"/>
        <v>5</v>
      </c>
      <c r="VJ49" s="15">
        <f t="shared" si="14"/>
        <v>0</v>
      </c>
      <c r="VK49">
        <v>88</v>
      </c>
      <c r="VM49">
        <v>88</v>
      </c>
      <c r="WA49" t="s">
        <v>731</v>
      </c>
      <c r="WF49" t="s">
        <v>731</v>
      </c>
      <c r="WM49" s="15">
        <f t="shared" si="15"/>
        <v>4</v>
      </c>
      <c r="XH49" s="15">
        <f t="shared" si="16"/>
        <v>0</v>
      </c>
      <c r="YD49" s="15">
        <f t="shared" si="17"/>
        <v>0</v>
      </c>
      <c r="YG49">
        <v>155</v>
      </c>
      <c r="YH49">
        <v>188</v>
      </c>
      <c r="YX49" s="15">
        <f t="shared" si="18"/>
        <v>2</v>
      </c>
      <c r="YY49">
        <v>11</v>
      </c>
      <c r="ZB49">
        <v>3</v>
      </c>
      <c r="ZJ49">
        <v>2</v>
      </c>
      <c r="ZR49" s="15">
        <f t="shared" si="19"/>
        <v>3</v>
      </c>
      <c r="ZX49" s="15">
        <f t="shared" si="20"/>
        <v>0</v>
      </c>
      <c r="ZY49">
        <v>0.63</v>
      </c>
      <c r="AAT49" s="15">
        <f t="shared" si="21"/>
        <v>1</v>
      </c>
      <c r="AAU49" t="s">
        <v>835</v>
      </c>
      <c r="AAW49" t="s">
        <v>836</v>
      </c>
      <c r="ABI49" t="s">
        <v>796</v>
      </c>
      <c r="ABQ49" s="15">
        <f t="shared" si="22"/>
        <v>1</v>
      </c>
      <c r="ABV49" s="28">
        <f t="shared" si="23"/>
        <v>0</v>
      </c>
      <c r="ACC49" s="28">
        <f t="shared" si="24"/>
        <v>0</v>
      </c>
      <c r="ACQ49" s="15">
        <f t="shared" si="25"/>
        <v>0</v>
      </c>
      <c r="ADA49" s="15">
        <f t="shared" si="26"/>
        <v>0</v>
      </c>
      <c r="ADM49" s="15">
        <f t="shared" si="27"/>
        <v>0</v>
      </c>
      <c r="AEI49" s="15">
        <f t="shared" si="28"/>
        <v>0</v>
      </c>
    </row>
    <row r="50" spans="2:815" x14ac:dyDescent="0.25">
      <c r="B50" s="2" t="s">
        <v>95</v>
      </c>
      <c r="C50" t="s">
        <v>96</v>
      </c>
      <c r="D50">
        <v>54</v>
      </c>
      <c r="E50" t="s">
        <v>8</v>
      </c>
      <c r="F50" t="s">
        <v>15</v>
      </c>
      <c r="G50" t="s">
        <v>9</v>
      </c>
      <c r="H50" t="s">
        <v>249</v>
      </c>
      <c r="I50" t="s">
        <v>243</v>
      </c>
      <c r="K50" t="s">
        <v>1332</v>
      </c>
      <c r="L50" t="s">
        <v>303</v>
      </c>
      <c r="M50">
        <v>87</v>
      </c>
      <c r="N50">
        <v>169</v>
      </c>
      <c r="O50" t="s">
        <v>1082</v>
      </c>
      <c r="P50" s="10">
        <v>38274</v>
      </c>
      <c r="Q50" s="10">
        <v>38285</v>
      </c>
      <c r="R50" t="s">
        <v>1142</v>
      </c>
      <c r="S50" t="s">
        <v>1219</v>
      </c>
      <c r="T50" t="s">
        <v>1331</v>
      </c>
      <c r="W50" t="s">
        <v>1330</v>
      </c>
      <c r="Z50">
        <v>29</v>
      </c>
      <c r="AY50">
        <v>24</v>
      </c>
      <c r="AZ50">
        <v>16</v>
      </c>
      <c r="BA50" s="15">
        <f t="shared" si="0"/>
        <v>3</v>
      </c>
      <c r="BB50" t="s">
        <v>799</v>
      </c>
      <c r="CA50" t="s">
        <v>799</v>
      </c>
      <c r="CB50" s="15">
        <f t="shared" si="1"/>
        <v>2</v>
      </c>
      <c r="CC50">
        <v>25</v>
      </c>
      <c r="DD50">
        <v>22</v>
      </c>
      <c r="DE50" s="15">
        <f t="shared" si="2"/>
        <v>2</v>
      </c>
      <c r="DS50" s="15">
        <f t="shared" si="3"/>
        <v>0</v>
      </c>
      <c r="EF50" s="15">
        <f t="shared" si="4"/>
        <v>0</v>
      </c>
      <c r="EG50">
        <v>14100</v>
      </c>
      <c r="FI50" s="15">
        <f t="shared" si="5"/>
        <v>1</v>
      </c>
      <c r="FJ50">
        <v>38</v>
      </c>
      <c r="HS50">
        <v>64</v>
      </c>
      <c r="HT50">
        <v>53</v>
      </c>
      <c r="HU50">
        <v>54</v>
      </c>
      <c r="HV50">
        <v>57</v>
      </c>
      <c r="HW50">
        <v>57</v>
      </c>
      <c r="HY50" s="15">
        <f t="shared" si="6"/>
        <v>6</v>
      </c>
      <c r="HZ50">
        <v>51</v>
      </c>
      <c r="KG50">
        <v>73</v>
      </c>
      <c r="KH50">
        <v>69</v>
      </c>
      <c r="KI50">
        <v>72</v>
      </c>
      <c r="KJ50">
        <v>82</v>
      </c>
      <c r="KK50">
        <v>86</v>
      </c>
      <c r="KM50" s="15">
        <f t="shared" si="7"/>
        <v>6</v>
      </c>
      <c r="MT50">
        <v>224</v>
      </c>
      <c r="MU50">
        <v>231</v>
      </c>
      <c r="MV50">
        <v>249</v>
      </c>
      <c r="MW50">
        <v>301</v>
      </c>
      <c r="MX50">
        <v>378</v>
      </c>
      <c r="MZ50" s="15">
        <f t="shared" si="8"/>
        <v>5</v>
      </c>
      <c r="NA50">
        <v>196</v>
      </c>
      <c r="ON50">
        <v>195</v>
      </c>
      <c r="OO50">
        <v>267</v>
      </c>
      <c r="OP50">
        <v>252</v>
      </c>
      <c r="OQ50" s="15">
        <f t="shared" si="9"/>
        <v>4</v>
      </c>
      <c r="OR50" s="25">
        <v>13.5</v>
      </c>
      <c r="OU50" s="25">
        <v>12.5</v>
      </c>
      <c r="OV50" s="25">
        <v>22</v>
      </c>
      <c r="OW50" s="28">
        <f t="shared" si="10"/>
        <v>3</v>
      </c>
      <c r="RA50" t="s">
        <v>1713</v>
      </c>
      <c r="RB50" t="s">
        <v>1714</v>
      </c>
      <c r="RC50" t="s">
        <v>1715</v>
      </c>
      <c r="RD50" s="15">
        <f t="shared" si="11"/>
        <v>3</v>
      </c>
      <c r="RU50" s="15">
        <f t="shared" si="12"/>
        <v>0</v>
      </c>
      <c r="RV50">
        <v>139</v>
      </c>
      <c r="TY50">
        <v>159</v>
      </c>
      <c r="TZ50">
        <v>142</v>
      </c>
      <c r="UA50">
        <v>138</v>
      </c>
      <c r="UB50">
        <v>137</v>
      </c>
      <c r="UC50">
        <v>131</v>
      </c>
      <c r="UE50" s="15">
        <f t="shared" si="13"/>
        <v>6</v>
      </c>
      <c r="VJ50" s="15">
        <f t="shared" si="14"/>
        <v>0</v>
      </c>
      <c r="VK50">
        <v>88</v>
      </c>
      <c r="WL50">
        <v>88</v>
      </c>
      <c r="WM50" s="15">
        <f t="shared" si="15"/>
        <v>2</v>
      </c>
      <c r="WN50">
        <v>0.93</v>
      </c>
      <c r="XH50" s="15">
        <f t="shared" si="16"/>
        <v>1</v>
      </c>
      <c r="YD50" s="15">
        <f t="shared" si="17"/>
        <v>0</v>
      </c>
      <c r="YX50" s="15">
        <f t="shared" si="18"/>
        <v>0</v>
      </c>
      <c r="YY50">
        <v>33</v>
      </c>
      <c r="ZO50">
        <v>4.5</v>
      </c>
      <c r="ZP50">
        <v>1</v>
      </c>
      <c r="ZQ50">
        <v>0.5</v>
      </c>
      <c r="ZR50" s="15">
        <f t="shared" si="19"/>
        <v>4</v>
      </c>
      <c r="ZX50" s="15">
        <f t="shared" si="20"/>
        <v>0</v>
      </c>
      <c r="AAT50" s="15">
        <f t="shared" si="21"/>
        <v>0</v>
      </c>
      <c r="AAU50" t="s">
        <v>834</v>
      </c>
      <c r="ABQ50" s="15">
        <f t="shared" si="22"/>
        <v>1</v>
      </c>
      <c r="ABV50" s="28">
        <f t="shared" si="23"/>
        <v>0</v>
      </c>
      <c r="ACC50" s="28">
        <f t="shared" si="24"/>
        <v>0</v>
      </c>
      <c r="ACQ50" s="15">
        <f t="shared" si="25"/>
        <v>0</v>
      </c>
      <c r="ADA50" s="15">
        <f t="shared" si="26"/>
        <v>0</v>
      </c>
      <c r="ADM50" s="15">
        <f t="shared" si="27"/>
        <v>0</v>
      </c>
      <c r="AEI50" s="15">
        <f t="shared" si="28"/>
        <v>0</v>
      </c>
    </row>
    <row r="51" spans="2:815" x14ac:dyDescent="0.25">
      <c r="B51" s="4" t="s">
        <v>97</v>
      </c>
      <c r="C51" t="s">
        <v>98</v>
      </c>
      <c r="D51">
        <v>64</v>
      </c>
      <c r="E51" t="s">
        <v>8</v>
      </c>
      <c r="F51" t="s">
        <v>9</v>
      </c>
      <c r="G51" t="s">
        <v>15</v>
      </c>
      <c r="V51" t="s">
        <v>1334</v>
      </c>
      <c r="W51" t="s">
        <v>1333</v>
      </c>
      <c r="BA51" s="15">
        <f t="shared" si="0"/>
        <v>0</v>
      </c>
      <c r="CB51" s="15">
        <f t="shared" si="1"/>
        <v>0</v>
      </c>
      <c r="DE51" s="15">
        <f t="shared" si="2"/>
        <v>0</v>
      </c>
      <c r="DS51" s="15">
        <f t="shared" si="3"/>
        <v>0</v>
      </c>
      <c r="EF51" s="15">
        <f t="shared" si="4"/>
        <v>0</v>
      </c>
      <c r="FI51" s="15">
        <f t="shared" si="5"/>
        <v>0</v>
      </c>
      <c r="HY51" s="15">
        <f t="shared" si="6"/>
        <v>0</v>
      </c>
      <c r="KM51" s="15">
        <f t="shared" si="7"/>
        <v>0</v>
      </c>
      <c r="MZ51" s="15">
        <f t="shared" si="8"/>
        <v>0</v>
      </c>
      <c r="OQ51" s="15">
        <f t="shared" si="9"/>
        <v>0</v>
      </c>
      <c r="OW51" s="28">
        <f t="shared" si="10"/>
        <v>0</v>
      </c>
      <c r="RD51" s="15">
        <f t="shared" si="11"/>
        <v>0</v>
      </c>
      <c r="RU51" s="15">
        <f t="shared" si="12"/>
        <v>0</v>
      </c>
      <c r="UE51" s="15">
        <f t="shared" si="13"/>
        <v>0</v>
      </c>
      <c r="VJ51" s="15">
        <f t="shared" si="14"/>
        <v>0</v>
      </c>
      <c r="WM51" s="15">
        <f t="shared" si="15"/>
        <v>0</v>
      </c>
      <c r="XH51" s="15">
        <f t="shared" si="16"/>
        <v>0</v>
      </c>
      <c r="YD51" s="15">
        <f t="shared" si="17"/>
        <v>0</v>
      </c>
      <c r="YX51" s="15">
        <f t="shared" si="18"/>
        <v>0</v>
      </c>
      <c r="ZR51" s="15">
        <f t="shared" si="19"/>
        <v>0</v>
      </c>
      <c r="ZX51" s="15">
        <f t="shared" si="20"/>
        <v>0</v>
      </c>
      <c r="AAT51" s="15">
        <f t="shared" si="21"/>
        <v>0</v>
      </c>
      <c r="ABQ51" s="15">
        <f t="shared" si="22"/>
        <v>0</v>
      </c>
      <c r="ABV51" s="28">
        <f t="shared" si="23"/>
        <v>0</v>
      </c>
      <c r="ACC51" s="28">
        <f t="shared" si="24"/>
        <v>0</v>
      </c>
      <c r="ACQ51" s="15">
        <f t="shared" si="25"/>
        <v>0</v>
      </c>
      <c r="ADA51" s="15">
        <f t="shared" si="26"/>
        <v>0</v>
      </c>
      <c r="ADM51" s="15">
        <f t="shared" si="27"/>
        <v>0</v>
      </c>
      <c r="AEI51" s="15">
        <f t="shared" si="28"/>
        <v>0</v>
      </c>
    </row>
    <row r="52" spans="2:815" x14ac:dyDescent="0.25">
      <c r="B52" s="4" t="s">
        <v>99</v>
      </c>
      <c r="D52">
        <v>28</v>
      </c>
      <c r="E52" t="s">
        <v>14</v>
      </c>
      <c r="F52" t="s">
        <v>9</v>
      </c>
      <c r="G52" t="s">
        <v>9</v>
      </c>
      <c r="J52" t="s">
        <v>257</v>
      </c>
      <c r="L52" t="s">
        <v>1337</v>
      </c>
      <c r="S52" t="s">
        <v>1335</v>
      </c>
      <c r="U52" t="s">
        <v>1336</v>
      </c>
      <c r="BA52" s="15">
        <f t="shared" si="0"/>
        <v>0</v>
      </c>
      <c r="CB52" s="15">
        <f t="shared" si="1"/>
        <v>0</v>
      </c>
      <c r="DE52" s="15">
        <f t="shared" si="2"/>
        <v>0</v>
      </c>
      <c r="DS52" s="15">
        <f t="shared" si="3"/>
        <v>0</v>
      </c>
      <c r="EF52" s="15">
        <f t="shared" si="4"/>
        <v>0</v>
      </c>
      <c r="FI52" s="15">
        <f t="shared" si="5"/>
        <v>0</v>
      </c>
      <c r="HY52" s="15">
        <f t="shared" si="6"/>
        <v>0</v>
      </c>
      <c r="KM52" s="15">
        <f t="shared" si="7"/>
        <v>0</v>
      </c>
      <c r="MZ52" s="15">
        <f t="shared" si="8"/>
        <v>0</v>
      </c>
      <c r="OQ52" s="15">
        <f t="shared" si="9"/>
        <v>0</v>
      </c>
      <c r="OW52" s="28">
        <f t="shared" si="10"/>
        <v>0</v>
      </c>
      <c r="RD52" s="15">
        <f t="shared" si="11"/>
        <v>0</v>
      </c>
      <c r="RU52" s="15">
        <f t="shared" si="12"/>
        <v>0</v>
      </c>
      <c r="UE52" s="15">
        <f t="shared" si="13"/>
        <v>0</v>
      </c>
      <c r="VJ52" s="15">
        <f t="shared" si="14"/>
        <v>0</v>
      </c>
      <c r="VK52" t="s">
        <v>1868</v>
      </c>
      <c r="VL52">
        <v>440</v>
      </c>
      <c r="WM52" s="15">
        <f t="shared" si="15"/>
        <v>2</v>
      </c>
      <c r="XH52" s="15">
        <f t="shared" si="16"/>
        <v>0</v>
      </c>
      <c r="YD52" s="15">
        <f t="shared" si="17"/>
        <v>0</v>
      </c>
      <c r="YX52" s="15">
        <f t="shared" si="18"/>
        <v>0</v>
      </c>
      <c r="ZR52" s="15">
        <f t="shared" si="19"/>
        <v>0</v>
      </c>
      <c r="ZX52" s="15">
        <f t="shared" si="20"/>
        <v>0</v>
      </c>
      <c r="AAT52" s="15">
        <f t="shared" si="21"/>
        <v>0</v>
      </c>
      <c r="ABQ52" s="15">
        <f t="shared" si="22"/>
        <v>0</v>
      </c>
      <c r="ABV52" s="28">
        <f t="shared" si="23"/>
        <v>0</v>
      </c>
      <c r="ACC52" s="28">
        <f t="shared" si="24"/>
        <v>0</v>
      </c>
      <c r="ACQ52" s="15">
        <f t="shared" si="25"/>
        <v>0</v>
      </c>
      <c r="ADA52" s="15">
        <f t="shared" si="26"/>
        <v>0</v>
      </c>
      <c r="ADM52" s="15">
        <f t="shared" si="27"/>
        <v>0</v>
      </c>
      <c r="AEI52" s="15">
        <f t="shared" si="28"/>
        <v>0</v>
      </c>
    </row>
    <row r="53" spans="2:815" x14ac:dyDescent="0.25">
      <c r="B53" s="4" t="s">
        <v>100</v>
      </c>
      <c r="D53">
        <v>23</v>
      </c>
      <c r="E53" t="s">
        <v>14</v>
      </c>
      <c r="F53" t="s">
        <v>9</v>
      </c>
      <c r="G53" t="s">
        <v>9</v>
      </c>
      <c r="K53" t="s">
        <v>1338</v>
      </c>
      <c r="L53" t="s">
        <v>318</v>
      </c>
      <c r="S53" t="s">
        <v>1342</v>
      </c>
      <c r="U53" t="s">
        <v>1336</v>
      </c>
      <c r="BA53" s="15">
        <f t="shared" si="0"/>
        <v>0</v>
      </c>
      <c r="CB53" s="15">
        <f t="shared" si="1"/>
        <v>0</v>
      </c>
      <c r="DE53" s="15">
        <f t="shared" si="2"/>
        <v>0</v>
      </c>
      <c r="DS53" s="15">
        <f t="shared" si="3"/>
        <v>0</v>
      </c>
      <c r="EF53" s="15">
        <f t="shared" si="4"/>
        <v>0</v>
      </c>
      <c r="FI53" s="15">
        <f t="shared" si="5"/>
        <v>0</v>
      </c>
      <c r="HY53" s="15">
        <f t="shared" si="6"/>
        <v>0</v>
      </c>
      <c r="KM53" s="15">
        <f t="shared" si="7"/>
        <v>0</v>
      </c>
      <c r="MZ53" s="15">
        <f t="shared" si="8"/>
        <v>0</v>
      </c>
      <c r="OQ53" s="15">
        <f t="shared" si="9"/>
        <v>0</v>
      </c>
      <c r="OW53" s="28">
        <f t="shared" si="10"/>
        <v>0</v>
      </c>
      <c r="RD53" s="15">
        <f t="shared" si="11"/>
        <v>0</v>
      </c>
      <c r="RU53" s="15">
        <f t="shared" si="12"/>
        <v>0</v>
      </c>
      <c r="UE53" s="15">
        <f t="shared" si="13"/>
        <v>0</v>
      </c>
      <c r="VJ53" s="15">
        <f t="shared" si="14"/>
        <v>0</v>
      </c>
      <c r="VK53" t="s">
        <v>1868</v>
      </c>
      <c r="VL53">
        <v>440</v>
      </c>
      <c r="WM53" s="15">
        <f t="shared" si="15"/>
        <v>2</v>
      </c>
      <c r="XH53" s="15">
        <f t="shared" si="16"/>
        <v>0</v>
      </c>
      <c r="YD53" s="15">
        <f t="shared" si="17"/>
        <v>0</v>
      </c>
      <c r="YX53" s="15">
        <f t="shared" si="18"/>
        <v>0</v>
      </c>
      <c r="ZR53" s="15">
        <f t="shared" si="19"/>
        <v>0</v>
      </c>
      <c r="ZX53" s="15">
        <f t="shared" si="20"/>
        <v>0</v>
      </c>
      <c r="AAT53" s="15">
        <f t="shared" si="21"/>
        <v>0</v>
      </c>
      <c r="ABQ53" s="15">
        <f t="shared" si="22"/>
        <v>0</v>
      </c>
      <c r="ABV53" s="28">
        <f t="shared" si="23"/>
        <v>0</v>
      </c>
      <c r="ACC53" s="28">
        <f t="shared" si="24"/>
        <v>0</v>
      </c>
      <c r="ACQ53" s="15">
        <f t="shared" si="25"/>
        <v>0</v>
      </c>
      <c r="ADA53" s="15">
        <f t="shared" si="26"/>
        <v>0</v>
      </c>
      <c r="ADM53" s="15">
        <f t="shared" si="27"/>
        <v>0</v>
      </c>
      <c r="AEI53" s="15">
        <f t="shared" si="28"/>
        <v>0</v>
      </c>
    </row>
    <row r="54" spans="2:815" x14ac:dyDescent="0.25">
      <c r="B54" s="4" t="s">
        <v>101</v>
      </c>
      <c r="D54">
        <v>35</v>
      </c>
      <c r="E54" t="s">
        <v>8</v>
      </c>
      <c r="F54" t="s">
        <v>9</v>
      </c>
      <c r="G54" t="s">
        <v>9</v>
      </c>
      <c r="K54" t="s">
        <v>1341</v>
      </c>
      <c r="L54" t="s">
        <v>318</v>
      </c>
      <c r="S54" t="s">
        <v>1339</v>
      </c>
      <c r="U54" t="s">
        <v>1336</v>
      </c>
      <c r="W54" t="s">
        <v>1340</v>
      </c>
      <c r="BA54" s="15">
        <f t="shared" si="0"/>
        <v>0</v>
      </c>
      <c r="CB54" s="15">
        <f t="shared" si="1"/>
        <v>0</v>
      </c>
      <c r="DE54" s="15">
        <f t="shared" si="2"/>
        <v>0</v>
      </c>
      <c r="DS54" s="15">
        <f t="shared" si="3"/>
        <v>0</v>
      </c>
      <c r="EF54" s="15">
        <f t="shared" si="4"/>
        <v>0</v>
      </c>
      <c r="FI54" s="15">
        <f t="shared" si="5"/>
        <v>0</v>
      </c>
      <c r="HY54" s="15">
        <f t="shared" si="6"/>
        <v>0</v>
      </c>
      <c r="KM54" s="15">
        <f t="shared" si="7"/>
        <v>0</v>
      </c>
      <c r="MZ54" s="15">
        <f t="shared" si="8"/>
        <v>0</v>
      </c>
      <c r="OQ54" s="15">
        <f t="shared" si="9"/>
        <v>0</v>
      </c>
      <c r="OW54" s="28">
        <f t="shared" si="10"/>
        <v>0</v>
      </c>
      <c r="RD54" s="15">
        <f t="shared" si="11"/>
        <v>0</v>
      </c>
      <c r="RU54" s="15">
        <f t="shared" si="12"/>
        <v>0</v>
      </c>
      <c r="UE54" s="15">
        <f t="shared" si="13"/>
        <v>0</v>
      </c>
      <c r="VJ54" s="15">
        <f t="shared" si="14"/>
        <v>0</v>
      </c>
      <c r="VK54" t="s">
        <v>1868</v>
      </c>
      <c r="VL54">
        <v>440</v>
      </c>
      <c r="WM54" s="15">
        <f t="shared" si="15"/>
        <v>2</v>
      </c>
      <c r="XH54" s="15">
        <f t="shared" si="16"/>
        <v>0</v>
      </c>
      <c r="YD54" s="15">
        <f t="shared" si="17"/>
        <v>0</v>
      </c>
      <c r="YX54" s="15">
        <f t="shared" si="18"/>
        <v>0</v>
      </c>
      <c r="ZR54" s="15">
        <f t="shared" si="19"/>
        <v>0</v>
      </c>
      <c r="ZX54" s="15">
        <f t="shared" si="20"/>
        <v>0</v>
      </c>
      <c r="AAT54" s="15">
        <f t="shared" si="21"/>
        <v>0</v>
      </c>
      <c r="ABQ54" s="15">
        <f t="shared" si="22"/>
        <v>0</v>
      </c>
      <c r="ABV54" s="28">
        <f t="shared" si="23"/>
        <v>0</v>
      </c>
      <c r="ACC54" s="28">
        <f t="shared" si="24"/>
        <v>0</v>
      </c>
      <c r="ACQ54" s="15">
        <f t="shared" si="25"/>
        <v>0</v>
      </c>
      <c r="ADA54" s="15">
        <f t="shared" si="26"/>
        <v>0</v>
      </c>
      <c r="ADM54" s="15">
        <f t="shared" si="27"/>
        <v>0</v>
      </c>
      <c r="AEI54" s="15">
        <f t="shared" si="28"/>
        <v>0</v>
      </c>
    </row>
    <row r="55" spans="2:815" x14ac:dyDescent="0.25">
      <c r="B55" s="6" t="s">
        <v>102</v>
      </c>
      <c r="D55">
        <v>71</v>
      </c>
      <c r="E55" t="s">
        <v>14</v>
      </c>
      <c r="F55" t="s">
        <v>9</v>
      </c>
      <c r="G55" t="s">
        <v>9</v>
      </c>
      <c r="J55" t="s">
        <v>243</v>
      </c>
      <c r="K55" t="s">
        <v>1343</v>
      </c>
      <c r="L55" t="s">
        <v>318</v>
      </c>
      <c r="S55" t="s">
        <v>1335</v>
      </c>
      <c r="U55" t="s">
        <v>1336</v>
      </c>
      <c r="BA55" s="15">
        <f t="shared" si="0"/>
        <v>0</v>
      </c>
      <c r="CB55" s="15">
        <f t="shared" si="1"/>
        <v>0</v>
      </c>
      <c r="DE55" s="15">
        <f t="shared" si="2"/>
        <v>0</v>
      </c>
      <c r="DS55" s="15">
        <f t="shared" si="3"/>
        <v>0</v>
      </c>
      <c r="EF55" s="15">
        <f t="shared" si="4"/>
        <v>0</v>
      </c>
      <c r="FI55" s="15">
        <f t="shared" si="5"/>
        <v>0</v>
      </c>
      <c r="HY55" s="15">
        <f t="shared" si="6"/>
        <v>0</v>
      </c>
      <c r="KM55" s="15">
        <f t="shared" si="7"/>
        <v>0</v>
      </c>
      <c r="MZ55" s="15">
        <f t="shared" si="8"/>
        <v>0</v>
      </c>
      <c r="OQ55" s="15">
        <f t="shared" si="9"/>
        <v>0</v>
      </c>
      <c r="OW55" s="28">
        <f t="shared" si="10"/>
        <v>0</v>
      </c>
      <c r="RD55" s="15">
        <f t="shared" si="11"/>
        <v>0</v>
      </c>
      <c r="RU55" s="15">
        <f t="shared" si="12"/>
        <v>0</v>
      </c>
      <c r="UE55" s="15">
        <f t="shared" si="13"/>
        <v>0</v>
      </c>
      <c r="VJ55" s="15">
        <f t="shared" si="14"/>
        <v>0</v>
      </c>
      <c r="VK55" t="s">
        <v>837</v>
      </c>
      <c r="WM55" s="15">
        <f t="shared" si="15"/>
        <v>1</v>
      </c>
      <c r="XH55" s="15">
        <f t="shared" si="16"/>
        <v>0</v>
      </c>
      <c r="YD55" s="15">
        <f t="shared" si="17"/>
        <v>0</v>
      </c>
      <c r="YX55" s="15">
        <f t="shared" si="18"/>
        <v>0</v>
      </c>
      <c r="ZR55" s="15">
        <f t="shared" si="19"/>
        <v>0</v>
      </c>
      <c r="ZX55" s="15">
        <f t="shared" si="20"/>
        <v>0</v>
      </c>
      <c r="AAT55" s="15">
        <f t="shared" si="21"/>
        <v>0</v>
      </c>
      <c r="ABQ55" s="15">
        <f t="shared" si="22"/>
        <v>0</v>
      </c>
      <c r="ABV55" s="28">
        <f t="shared" si="23"/>
        <v>0</v>
      </c>
      <c r="ACC55" s="28">
        <f t="shared" si="24"/>
        <v>0</v>
      </c>
      <c r="ACQ55" s="15">
        <f t="shared" si="25"/>
        <v>0</v>
      </c>
      <c r="ADA55" s="15">
        <f t="shared" si="26"/>
        <v>0</v>
      </c>
      <c r="ADM55" s="15">
        <f t="shared" si="27"/>
        <v>0</v>
      </c>
      <c r="AEI55" s="15">
        <f t="shared" si="28"/>
        <v>0</v>
      </c>
    </row>
    <row r="56" spans="2:815" x14ac:dyDescent="0.25">
      <c r="B56" s="2" t="s">
        <v>103</v>
      </c>
      <c r="C56" t="s">
        <v>104</v>
      </c>
      <c r="D56">
        <v>76</v>
      </c>
      <c r="E56" t="s">
        <v>8</v>
      </c>
      <c r="F56" t="s">
        <v>9</v>
      </c>
      <c r="G56" t="s">
        <v>9</v>
      </c>
      <c r="H56" t="s">
        <v>269</v>
      </c>
      <c r="I56" t="s">
        <v>243</v>
      </c>
      <c r="J56" t="s">
        <v>243</v>
      </c>
      <c r="L56" t="s">
        <v>310</v>
      </c>
      <c r="M56">
        <v>53</v>
      </c>
      <c r="N56">
        <v>158</v>
      </c>
      <c r="O56" t="s">
        <v>1083</v>
      </c>
      <c r="P56" s="10">
        <v>38444</v>
      </c>
      <c r="Q56" s="10">
        <v>38446</v>
      </c>
      <c r="R56" t="s">
        <v>1299</v>
      </c>
      <c r="S56" t="s">
        <v>1345</v>
      </c>
      <c r="T56" t="s">
        <v>1344</v>
      </c>
      <c r="W56" t="s">
        <v>1346</v>
      </c>
      <c r="AD56" t="s">
        <v>1954</v>
      </c>
      <c r="AE56">
        <v>16.440000000000001</v>
      </c>
      <c r="BA56" s="15">
        <f t="shared" si="0"/>
        <v>2</v>
      </c>
      <c r="BB56">
        <v>1</v>
      </c>
      <c r="CB56" s="15">
        <f t="shared" si="1"/>
        <v>1</v>
      </c>
      <c r="DE56" s="15">
        <f t="shared" si="2"/>
        <v>0</v>
      </c>
      <c r="DG56">
        <v>472</v>
      </c>
      <c r="DS56" s="15">
        <f t="shared" si="3"/>
        <v>1</v>
      </c>
      <c r="EF56" s="15">
        <f t="shared" si="4"/>
        <v>0</v>
      </c>
      <c r="EG56">
        <v>16950</v>
      </c>
      <c r="EL56">
        <v>9500</v>
      </c>
      <c r="EN56">
        <v>16500</v>
      </c>
      <c r="FI56" s="15">
        <f t="shared" si="5"/>
        <v>3</v>
      </c>
      <c r="FJ56" t="s">
        <v>1960</v>
      </c>
      <c r="FQ56">
        <v>1423</v>
      </c>
      <c r="FR56" t="s">
        <v>1961</v>
      </c>
      <c r="HY56" s="15">
        <f t="shared" si="6"/>
        <v>3</v>
      </c>
      <c r="HZ56">
        <v>27</v>
      </c>
      <c r="IF56" t="s">
        <v>1974</v>
      </c>
      <c r="IG56">
        <v>4365</v>
      </c>
      <c r="KM56" s="15">
        <f t="shared" si="7"/>
        <v>3</v>
      </c>
      <c r="KS56">
        <v>138</v>
      </c>
      <c r="MZ56" s="15">
        <f t="shared" si="8"/>
        <v>1</v>
      </c>
      <c r="NG56">
        <v>2790</v>
      </c>
      <c r="NH56">
        <v>8397</v>
      </c>
      <c r="OQ56" s="15">
        <f t="shared" si="9"/>
        <v>2</v>
      </c>
      <c r="OW56" s="28">
        <f t="shared" si="10"/>
        <v>0</v>
      </c>
      <c r="OX56">
        <v>8</v>
      </c>
      <c r="PF56">
        <v>8.3000000000000007</v>
      </c>
      <c r="RD56" s="15">
        <f t="shared" si="11"/>
        <v>2</v>
      </c>
      <c r="RU56" s="15">
        <f t="shared" si="12"/>
        <v>0</v>
      </c>
      <c r="RV56">
        <v>90</v>
      </c>
      <c r="SC56" t="s">
        <v>2005</v>
      </c>
      <c r="UE56" s="15">
        <f t="shared" si="13"/>
        <v>2</v>
      </c>
      <c r="VJ56" s="15">
        <f t="shared" si="14"/>
        <v>0</v>
      </c>
      <c r="VK56">
        <v>62</v>
      </c>
      <c r="VQ56">
        <v>175</v>
      </c>
      <c r="WM56" s="15">
        <f t="shared" si="15"/>
        <v>2</v>
      </c>
      <c r="XH56" s="15">
        <f t="shared" si="16"/>
        <v>0</v>
      </c>
      <c r="XI56" t="s">
        <v>2011</v>
      </c>
      <c r="YD56" s="15">
        <f t="shared" si="17"/>
        <v>1</v>
      </c>
      <c r="YE56">
        <v>27</v>
      </c>
      <c r="YX56" s="15">
        <f t="shared" si="18"/>
        <v>1</v>
      </c>
      <c r="YY56">
        <v>24.5</v>
      </c>
      <c r="ZR56" s="15">
        <f t="shared" si="19"/>
        <v>1</v>
      </c>
      <c r="ZX56" s="15">
        <f t="shared" si="20"/>
        <v>0</v>
      </c>
      <c r="ZY56">
        <v>5.43</v>
      </c>
      <c r="AAD56">
        <v>10.54</v>
      </c>
      <c r="AAT56" s="15">
        <f t="shared" si="21"/>
        <v>2</v>
      </c>
      <c r="AAW56">
        <v>305</v>
      </c>
      <c r="AAZ56">
        <v>170</v>
      </c>
      <c r="ABB56">
        <v>86</v>
      </c>
      <c r="ABQ56" s="15">
        <f t="shared" si="22"/>
        <v>0</v>
      </c>
      <c r="ABV56" s="28">
        <f t="shared" si="23"/>
        <v>0</v>
      </c>
      <c r="ACC56" s="28">
        <f t="shared" si="24"/>
        <v>0</v>
      </c>
      <c r="ACQ56" s="15">
        <f t="shared" si="25"/>
        <v>0</v>
      </c>
      <c r="ADA56" s="15">
        <f t="shared" si="26"/>
        <v>0</v>
      </c>
      <c r="ADM56" s="15">
        <f t="shared" si="27"/>
        <v>0</v>
      </c>
      <c r="AEI56" s="15">
        <f t="shared" si="28"/>
        <v>0</v>
      </c>
    </row>
    <row r="57" spans="2:815" x14ac:dyDescent="0.25">
      <c r="B57" s="6" t="s">
        <v>105</v>
      </c>
      <c r="D57">
        <v>75</v>
      </c>
      <c r="E57" t="s">
        <v>14</v>
      </c>
      <c r="F57" t="s">
        <v>9</v>
      </c>
      <c r="G57" t="s">
        <v>9</v>
      </c>
      <c r="J57" t="s">
        <v>243</v>
      </c>
      <c r="K57" t="s">
        <v>1348</v>
      </c>
      <c r="L57" t="s">
        <v>1349</v>
      </c>
      <c r="R57" t="s">
        <v>1347</v>
      </c>
      <c r="S57" t="s">
        <v>1305</v>
      </c>
      <c r="U57" t="s">
        <v>1336</v>
      </c>
      <c r="BA57" s="15">
        <f t="shared" si="0"/>
        <v>0</v>
      </c>
      <c r="CB57" s="15">
        <f t="shared" si="1"/>
        <v>0</v>
      </c>
      <c r="DE57" s="15">
        <f t="shared" si="2"/>
        <v>0</v>
      </c>
      <c r="DS57" s="15">
        <f t="shared" si="3"/>
        <v>0</v>
      </c>
      <c r="EF57" s="15">
        <f t="shared" si="4"/>
        <v>0</v>
      </c>
      <c r="FI57" s="15">
        <f t="shared" si="5"/>
        <v>0</v>
      </c>
      <c r="HY57" s="15">
        <f t="shared" si="6"/>
        <v>0</v>
      </c>
      <c r="KM57" s="15">
        <f t="shared" si="7"/>
        <v>0</v>
      </c>
      <c r="MZ57" s="15">
        <f t="shared" si="8"/>
        <v>0</v>
      </c>
      <c r="OQ57" s="15">
        <f t="shared" si="9"/>
        <v>0</v>
      </c>
      <c r="OW57" s="28">
        <f t="shared" si="10"/>
        <v>0</v>
      </c>
      <c r="RD57" s="15">
        <f t="shared" si="11"/>
        <v>0</v>
      </c>
      <c r="RU57" s="15">
        <f t="shared" si="12"/>
        <v>0</v>
      </c>
      <c r="UE57" s="15">
        <f t="shared" si="13"/>
        <v>0</v>
      </c>
      <c r="VJ57" s="15">
        <f t="shared" si="14"/>
        <v>0</v>
      </c>
      <c r="VK57" t="s">
        <v>837</v>
      </c>
      <c r="WM57" s="15">
        <f t="shared" si="15"/>
        <v>1</v>
      </c>
      <c r="XH57" s="15">
        <f t="shared" si="16"/>
        <v>0</v>
      </c>
      <c r="YD57" s="15">
        <f t="shared" si="17"/>
        <v>0</v>
      </c>
      <c r="YX57" s="15">
        <f t="shared" si="18"/>
        <v>0</v>
      </c>
      <c r="ZR57" s="15">
        <f t="shared" si="19"/>
        <v>0</v>
      </c>
      <c r="ZX57" s="15">
        <f t="shared" si="20"/>
        <v>0</v>
      </c>
      <c r="AAT57" s="15">
        <f t="shared" si="21"/>
        <v>0</v>
      </c>
      <c r="ABQ57" s="15">
        <f t="shared" si="22"/>
        <v>0</v>
      </c>
      <c r="ABV57" s="28">
        <f t="shared" si="23"/>
        <v>0</v>
      </c>
      <c r="ACC57" s="28">
        <f t="shared" si="24"/>
        <v>0</v>
      </c>
      <c r="ACQ57" s="15">
        <f t="shared" si="25"/>
        <v>0</v>
      </c>
      <c r="ADA57" s="15">
        <f t="shared" si="26"/>
        <v>0</v>
      </c>
      <c r="ADM57" s="15">
        <f t="shared" si="27"/>
        <v>0</v>
      </c>
      <c r="AEI57" s="15">
        <f t="shared" si="28"/>
        <v>0</v>
      </c>
    </row>
    <row r="58" spans="2:815" x14ac:dyDescent="0.25">
      <c r="B58" s="4" t="s">
        <v>106</v>
      </c>
      <c r="D58">
        <v>22</v>
      </c>
      <c r="E58" t="s">
        <v>8</v>
      </c>
      <c r="F58" t="s">
        <v>9</v>
      </c>
      <c r="G58" t="s">
        <v>9</v>
      </c>
      <c r="J58" t="s">
        <v>257</v>
      </c>
      <c r="K58" t="s">
        <v>1351</v>
      </c>
      <c r="L58" t="s">
        <v>318</v>
      </c>
      <c r="S58" t="s">
        <v>1350</v>
      </c>
      <c r="U58" t="s">
        <v>1336</v>
      </c>
      <c r="BA58" s="15">
        <f t="shared" si="0"/>
        <v>0</v>
      </c>
      <c r="CB58" s="15">
        <f t="shared" si="1"/>
        <v>0</v>
      </c>
      <c r="DE58" s="15">
        <f t="shared" si="2"/>
        <v>0</v>
      </c>
      <c r="DS58" s="15">
        <f t="shared" si="3"/>
        <v>0</v>
      </c>
      <c r="EF58" s="15">
        <f t="shared" si="4"/>
        <v>0</v>
      </c>
      <c r="FI58" s="15">
        <f t="shared" si="5"/>
        <v>0</v>
      </c>
      <c r="HY58" s="15">
        <f t="shared" si="6"/>
        <v>0</v>
      </c>
      <c r="KM58" s="15">
        <f t="shared" si="7"/>
        <v>0</v>
      </c>
      <c r="MZ58" s="15">
        <f t="shared" si="8"/>
        <v>0</v>
      </c>
      <c r="OQ58" s="15">
        <f t="shared" si="9"/>
        <v>0</v>
      </c>
      <c r="OW58" s="28">
        <f t="shared" si="10"/>
        <v>0</v>
      </c>
      <c r="RD58" s="15">
        <f t="shared" si="11"/>
        <v>0</v>
      </c>
      <c r="RU58" s="15">
        <f t="shared" si="12"/>
        <v>0</v>
      </c>
      <c r="UE58" s="15">
        <f t="shared" si="13"/>
        <v>0</v>
      </c>
      <c r="VJ58" s="15">
        <f t="shared" si="14"/>
        <v>0</v>
      </c>
      <c r="VK58" t="s">
        <v>837</v>
      </c>
      <c r="WM58" s="15">
        <f t="shared" si="15"/>
        <v>1</v>
      </c>
      <c r="XH58" s="15">
        <f t="shared" si="16"/>
        <v>0</v>
      </c>
      <c r="YD58" s="15">
        <f t="shared" si="17"/>
        <v>0</v>
      </c>
      <c r="YX58" s="15">
        <f t="shared" si="18"/>
        <v>0</v>
      </c>
      <c r="ZR58" s="15">
        <f t="shared" si="19"/>
        <v>0</v>
      </c>
      <c r="ZX58" s="15">
        <f t="shared" si="20"/>
        <v>0</v>
      </c>
      <c r="AAT58" s="15">
        <f t="shared" si="21"/>
        <v>0</v>
      </c>
      <c r="ABQ58" s="15">
        <f t="shared" si="22"/>
        <v>0</v>
      </c>
      <c r="ABV58" s="28">
        <f t="shared" si="23"/>
        <v>0</v>
      </c>
      <c r="ACC58" s="28">
        <f t="shared" si="24"/>
        <v>0</v>
      </c>
      <c r="ACQ58" s="15">
        <f t="shared" si="25"/>
        <v>0</v>
      </c>
      <c r="ADA58" s="15">
        <f t="shared" si="26"/>
        <v>0</v>
      </c>
      <c r="ADM58" s="15">
        <f t="shared" si="27"/>
        <v>0</v>
      </c>
      <c r="AEI58" s="15">
        <f t="shared" si="28"/>
        <v>0</v>
      </c>
    </row>
    <row r="59" spans="2:815" x14ac:dyDescent="0.25">
      <c r="B59" s="6" t="s">
        <v>107</v>
      </c>
      <c r="D59">
        <v>19</v>
      </c>
      <c r="E59" t="s">
        <v>8</v>
      </c>
      <c r="F59" t="s">
        <v>9</v>
      </c>
      <c r="G59" t="s">
        <v>9</v>
      </c>
      <c r="J59" t="s">
        <v>257</v>
      </c>
      <c r="K59" t="s">
        <v>1354</v>
      </c>
      <c r="L59" t="s">
        <v>318</v>
      </c>
      <c r="S59" t="s">
        <v>1352</v>
      </c>
      <c r="T59" t="s">
        <v>1353</v>
      </c>
      <c r="U59" t="s">
        <v>1336</v>
      </c>
      <c r="BA59" s="15">
        <f t="shared" si="0"/>
        <v>0</v>
      </c>
      <c r="CB59" s="15">
        <f t="shared" si="1"/>
        <v>0</v>
      </c>
      <c r="DE59" s="15">
        <f t="shared" si="2"/>
        <v>0</v>
      </c>
      <c r="DS59" s="15">
        <f t="shared" si="3"/>
        <v>0</v>
      </c>
      <c r="EF59" s="15">
        <f t="shared" si="4"/>
        <v>0</v>
      </c>
      <c r="FI59" s="15">
        <f t="shared" si="5"/>
        <v>0</v>
      </c>
      <c r="HY59" s="15">
        <f t="shared" si="6"/>
        <v>0</v>
      </c>
      <c r="KM59" s="15">
        <f t="shared" si="7"/>
        <v>0</v>
      </c>
      <c r="MZ59" s="15">
        <f t="shared" si="8"/>
        <v>0</v>
      </c>
      <c r="OQ59" s="15">
        <f t="shared" si="9"/>
        <v>0</v>
      </c>
      <c r="OW59" s="28">
        <f t="shared" si="10"/>
        <v>0</v>
      </c>
      <c r="RD59" s="15">
        <f t="shared" si="11"/>
        <v>0</v>
      </c>
      <c r="RU59" s="15">
        <f t="shared" si="12"/>
        <v>0</v>
      </c>
      <c r="UE59" s="15">
        <f t="shared" si="13"/>
        <v>0</v>
      </c>
      <c r="VJ59" s="15">
        <f t="shared" si="14"/>
        <v>0</v>
      </c>
      <c r="VK59" t="s">
        <v>837</v>
      </c>
      <c r="WM59" s="15">
        <f t="shared" si="15"/>
        <v>1</v>
      </c>
      <c r="XH59" s="15">
        <f t="shared" si="16"/>
        <v>0</v>
      </c>
      <c r="YD59" s="15">
        <f t="shared" si="17"/>
        <v>0</v>
      </c>
      <c r="YX59" s="15">
        <f t="shared" si="18"/>
        <v>0</v>
      </c>
      <c r="ZR59" s="15">
        <f t="shared" si="19"/>
        <v>0</v>
      </c>
      <c r="ZX59" s="15">
        <f t="shared" si="20"/>
        <v>0</v>
      </c>
      <c r="AAT59" s="15">
        <f t="shared" si="21"/>
        <v>0</v>
      </c>
      <c r="ABQ59" s="15">
        <f t="shared" si="22"/>
        <v>0</v>
      </c>
      <c r="ABV59" s="28">
        <f t="shared" si="23"/>
        <v>0</v>
      </c>
      <c r="ACC59" s="28">
        <f t="shared" si="24"/>
        <v>0</v>
      </c>
      <c r="ACQ59" s="15">
        <f t="shared" si="25"/>
        <v>0</v>
      </c>
      <c r="ADA59" s="15">
        <f t="shared" si="26"/>
        <v>0</v>
      </c>
      <c r="ADM59" s="15">
        <f t="shared" si="27"/>
        <v>0</v>
      </c>
      <c r="AEI59" s="15">
        <f t="shared" si="28"/>
        <v>0</v>
      </c>
    </row>
    <row r="60" spans="2:815" x14ac:dyDescent="0.25">
      <c r="B60" s="4" t="s">
        <v>108</v>
      </c>
      <c r="D60">
        <v>39</v>
      </c>
      <c r="E60" t="s">
        <v>14</v>
      </c>
      <c r="F60" t="s">
        <v>9</v>
      </c>
      <c r="G60" t="s">
        <v>9</v>
      </c>
      <c r="J60" t="s">
        <v>257</v>
      </c>
      <c r="K60" t="s">
        <v>1356</v>
      </c>
      <c r="L60" t="s">
        <v>318</v>
      </c>
      <c r="S60" t="s">
        <v>1355</v>
      </c>
      <c r="U60" t="s">
        <v>1336</v>
      </c>
      <c r="BA60" s="15">
        <f t="shared" si="0"/>
        <v>0</v>
      </c>
      <c r="CB60" s="15">
        <f t="shared" si="1"/>
        <v>0</v>
      </c>
      <c r="DE60" s="15">
        <f t="shared" si="2"/>
        <v>0</v>
      </c>
      <c r="DS60" s="15">
        <f t="shared" si="3"/>
        <v>0</v>
      </c>
      <c r="EF60" s="15">
        <f t="shared" si="4"/>
        <v>0</v>
      </c>
      <c r="FI60" s="15">
        <f t="shared" si="5"/>
        <v>0</v>
      </c>
      <c r="HY60" s="15">
        <f t="shared" si="6"/>
        <v>0</v>
      </c>
      <c r="KM60" s="15">
        <f t="shared" si="7"/>
        <v>0</v>
      </c>
      <c r="MZ60" s="15">
        <f t="shared" si="8"/>
        <v>0</v>
      </c>
      <c r="OQ60" s="15">
        <f t="shared" si="9"/>
        <v>0</v>
      </c>
      <c r="OW60" s="28">
        <f t="shared" si="10"/>
        <v>0</v>
      </c>
      <c r="RD60" s="15">
        <f t="shared" si="11"/>
        <v>0</v>
      </c>
      <c r="RU60" s="15">
        <f t="shared" si="12"/>
        <v>0</v>
      </c>
      <c r="UE60" s="15">
        <f t="shared" si="13"/>
        <v>0</v>
      </c>
      <c r="VJ60" s="15">
        <f t="shared" si="14"/>
        <v>0</v>
      </c>
      <c r="VK60" t="s">
        <v>837</v>
      </c>
      <c r="WM60" s="15">
        <f t="shared" si="15"/>
        <v>1</v>
      </c>
      <c r="XH60" s="15">
        <f t="shared" si="16"/>
        <v>0</v>
      </c>
      <c r="YD60" s="15">
        <f t="shared" si="17"/>
        <v>0</v>
      </c>
      <c r="YX60" s="15">
        <f t="shared" si="18"/>
        <v>0</v>
      </c>
      <c r="ZR60" s="15">
        <f t="shared" si="19"/>
        <v>0</v>
      </c>
      <c r="ZX60" s="15">
        <f t="shared" si="20"/>
        <v>0</v>
      </c>
      <c r="AAT60" s="15">
        <f t="shared" si="21"/>
        <v>0</v>
      </c>
      <c r="ABQ60" s="15">
        <f t="shared" si="22"/>
        <v>0</v>
      </c>
      <c r="ABV60" s="28">
        <f t="shared" si="23"/>
        <v>0</v>
      </c>
      <c r="ACC60" s="28">
        <f t="shared" si="24"/>
        <v>0</v>
      </c>
      <c r="ACQ60" s="15">
        <f t="shared" si="25"/>
        <v>0</v>
      </c>
      <c r="ADA60" s="15">
        <f t="shared" si="26"/>
        <v>0</v>
      </c>
      <c r="ADM60" s="15">
        <f t="shared" si="27"/>
        <v>0</v>
      </c>
      <c r="AEI60" s="15">
        <f t="shared" si="28"/>
        <v>0</v>
      </c>
    </row>
    <row r="61" spans="2:815" x14ac:dyDescent="0.25">
      <c r="B61" s="4" t="s">
        <v>109</v>
      </c>
      <c r="D61">
        <v>18</v>
      </c>
      <c r="E61" t="s">
        <v>8</v>
      </c>
      <c r="F61" t="s">
        <v>9</v>
      </c>
      <c r="G61" t="s">
        <v>9</v>
      </c>
      <c r="J61" t="s">
        <v>257</v>
      </c>
      <c r="K61" t="s">
        <v>1357</v>
      </c>
      <c r="L61" t="s">
        <v>318</v>
      </c>
      <c r="S61" t="s">
        <v>1358</v>
      </c>
      <c r="U61" t="s">
        <v>1336</v>
      </c>
      <c r="BA61" s="15">
        <f t="shared" si="0"/>
        <v>0</v>
      </c>
      <c r="CB61" s="15">
        <f t="shared" si="1"/>
        <v>0</v>
      </c>
      <c r="DE61" s="15">
        <f t="shared" si="2"/>
        <v>0</v>
      </c>
      <c r="DS61" s="15">
        <f t="shared" si="3"/>
        <v>0</v>
      </c>
      <c r="EF61" s="15">
        <f t="shared" si="4"/>
        <v>0</v>
      </c>
      <c r="FI61" s="15">
        <f t="shared" si="5"/>
        <v>0</v>
      </c>
      <c r="HY61" s="15">
        <f t="shared" si="6"/>
        <v>0</v>
      </c>
      <c r="KM61" s="15">
        <f t="shared" si="7"/>
        <v>0</v>
      </c>
      <c r="MZ61" s="15">
        <f t="shared" si="8"/>
        <v>0</v>
      </c>
      <c r="OQ61" s="15">
        <f t="shared" si="9"/>
        <v>0</v>
      </c>
      <c r="OW61" s="28">
        <f t="shared" si="10"/>
        <v>0</v>
      </c>
      <c r="RD61" s="15">
        <f t="shared" si="11"/>
        <v>0</v>
      </c>
      <c r="RU61" s="15">
        <f t="shared" si="12"/>
        <v>0</v>
      </c>
      <c r="UE61" s="15">
        <f t="shared" si="13"/>
        <v>0</v>
      </c>
      <c r="VJ61" s="15">
        <f t="shared" si="14"/>
        <v>0</v>
      </c>
      <c r="VK61" t="s">
        <v>837</v>
      </c>
      <c r="WM61" s="15">
        <f t="shared" si="15"/>
        <v>1</v>
      </c>
      <c r="XH61" s="15">
        <f t="shared" si="16"/>
        <v>0</v>
      </c>
      <c r="YD61" s="15">
        <f t="shared" si="17"/>
        <v>0</v>
      </c>
      <c r="YX61" s="15">
        <f t="shared" si="18"/>
        <v>0</v>
      </c>
      <c r="ZR61" s="15">
        <f t="shared" si="19"/>
        <v>0</v>
      </c>
      <c r="ZX61" s="15">
        <f t="shared" si="20"/>
        <v>0</v>
      </c>
      <c r="AAT61" s="15">
        <f t="shared" si="21"/>
        <v>0</v>
      </c>
      <c r="ABQ61" s="15">
        <f t="shared" si="22"/>
        <v>0</v>
      </c>
      <c r="ABV61" s="28">
        <f t="shared" si="23"/>
        <v>0</v>
      </c>
      <c r="ACC61" s="28">
        <f t="shared" si="24"/>
        <v>0</v>
      </c>
      <c r="ACQ61" s="15">
        <f t="shared" si="25"/>
        <v>0</v>
      </c>
      <c r="ADA61" s="15">
        <f t="shared" si="26"/>
        <v>0</v>
      </c>
      <c r="ADM61" s="15">
        <f t="shared" si="27"/>
        <v>0</v>
      </c>
      <c r="AEI61" s="15">
        <f t="shared" si="28"/>
        <v>0</v>
      </c>
    </row>
    <row r="62" spans="2:815" x14ac:dyDescent="0.25">
      <c r="B62" s="4" t="s">
        <v>110</v>
      </c>
      <c r="D62">
        <v>75</v>
      </c>
      <c r="E62" t="s">
        <v>14</v>
      </c>
      <c r="F62" t="s">
        <v>9</v>
      </c>
      <c r="G62" t="s">
        <v>9</v>
      </c>
      <c r="J62" t="s">
        <v>257</v>
      </c>
      <c r="K62" t="s">
        <v>1357</v>
      </c>
      <c r="L62" t="s">
        <v>318</v>
      </c>
      <c r="S62" t="s">
        <v>1335</v>
      </c>
      <c r="U62" t="s">
        <v>1336</v>
      </c>
      <c r="W62" t="s">
        <v>1359</v>
      </c>
      <c r="BA62" s="15">
        <f t="shared" si="0"/>
        <v>0</v>
      </c>
      <c r="CB62" s="15">
        <f t="shared" si="1"/>
        <v>0</v>
      </c>
      <c r="DE62" s="15">
        <f t="shared" si="2"/>
        <v>0</v>
      </c>
      <c r="DS62" s="15">
        <f t="shared" si="3"/>
        <v>0</v>
      </c>
      <c r="EF62" s="15">
        <f t="shared" si="4"/>
        <v>0</v>
      </c>
      <c r="FI62" s="15">
        <f t="shared" si="5"/>
        <v>0</v>
      </c>
      <c r="HY62" s="15">
        <f t="shared" si="6"/>
        <v>0</v>
      </c>
      <c r="KM62" s="15">
        <f t="shared" si="7"/>
        <v>0</v>
      </c>
      <c r="MZ62" s="15">
        <f t="shared" si="8"/>
        <v>0</v>
      </c>
      <c r="OQ62" s="15">
        <f t="shared" si="9"/>
        <v>0</v>
      </c>
      <c r="OW62" s="28">
        <f t="shared" si="10"/>
        <v>0</v>
      </c>
      <c r="RD62" s="15">
        <f t="shared" si="11"/>
        <v>0</v>
      </c>
      <c r="RU62" s="15">
        <f t="shared" si="12"/>
        <v>0</v>
      </c>
      <c r="UE62" s="15">
        <f t="shared" si="13"/>
        <v>0</v>
      </c>
      <c r="VJ62" s="15">
        <f t="shared" si="14"/>
        <v>0</v>
      </c>
      <c r="VK62" t="s">
        <v>837</v>
      </c>
      <c r="WM62" s="15">
        <f t="shared" si="15"/>
        <v>1</v>
      </c>
      <c r="XH62" s="15">
        <f t="shared" si="16"/>
        <v>0</v>
      </c>
      <c r="YD62" s="15">
        <f t="shared" si="17"/>
        <v>0</v>
      </c>
      <c r="YX62" s="15">
        <f t="shared" si="18"/>
        <v>0</v>
      </c>
      <c r="ZR62" s="15">
        <f t="shared" si="19"/>
        <v>0</v>
      </c>
      <c r="ZX62" s="15">
        <f t="shared" si="20"/>
        <v>0</v>
      </c>
      <c r="AAT62" s="15">
        <f t="shared" si="21"/>
        <v>0</v>
      </c>
      <c r="ABQ62" s="15">
        <f t="shared" si="22"/>
        <v>0</v>
      </c>
      <c r="ABV62" s="28">
        <f t="shared" si="23"/>
        <v>0</v>
      </c>
      <c r="ACC62" s="28">
        <f t="shared" si="24"/>
        <v>0</v>
      </c>
      <c r="ACQ62" s="15">
        <f t="shared" si="25"/>
        <v>0</v>
      </c>
      <c r="ADA62" s="15">
        <f t="shared" si="26"/>
        <v>0</v>
      </c>
      <c r="ADM62" s="15">
        <f t="shared" si="27"/>
        <v>0</v>
      </c>
      <c r="AEI62" s="15">
        <f t="shared" si="28"/>
        <v>0</v>
      </c>
    </row>
    <row r="63" spans="2:815" x14ac:dyDescent="0.25">
      <c r="B63" s="4" t="s">
        <v>111</v>
      </c>
      <c r="D63">
        <v>27</v>
      </c>
      <c r="E63" t="s">
        <v>14</v>
      </c>
      <c r="F63" t="s">
        <v>9</v>
      </c>
      <c r="G63" t="s">
        <v>9</v>
      </c>
      <c r="J63" t="s">
        <v>257</v>
      </c>
      <c r="K63" t="s">
        <v>1343</v>
      </c>
      <c r="L63" t="s">
        <v>318</v>
      </c>
      <c r="S63" t="s">
        <v>1360</v>
      </c>
      <c r="U63" t="s">
        <v>1336</v>
      </c>
      <c r="W63" t="s">
        <v>1361</v>
      </c>
      <c r="BA63" s="15">
        <f t="shared" si="0"/>
        <v>0</v>
      </c>
      <c r="CB63" s="15">
        <f t="shared" si="1"/>
        <v>0</v>
      </c>
      <c r="DE63" s="15">
        <f t="shared" si="2"/>
        <v>0</v>
      </c>
      <c r="DS63" s="15">
        <f t="shared" si="3"/>
        <v>0</v>
      </c>
      <c r="EF63" s="15">
        <f t="shared" si="4"/>
        <v>0</v>
      </c>
      <c r="FI63" s="15">
        <f t="shared" si="5"/>
        <v>0</v>
      </c>
      <c r="HY63" s="15">
        <f t="shared" si="6"/>
        <v>0</v>
      </c>
      <c r="KM63" s="15">
        <f t="shared" si="7"/>
        <v>0</v>
      </c>
      <c r="MZ63" s="15">
        <f t="shared" si="8"/>
        <v>0</v>
      </c>
      <c r="OQ63" s="15">
        <f t="shared" si="9"/>
        <v>0</v>
      </c>
      <c r="OW63" s="28">
        <f t="shared" si="10"/>
        <v>0</v>
      </c>
      <c r="RD63" s="15">
        <f t="shared" si="11"/>
        <v>0</v>
      </c>
      <c r="RU63" s="15">
        <f t="shared" si="12"/>
        <v>0</v>
      </c>
      <c r="UE63" s="15">
        <f t="shared" si="13"/>
        <v>0</v>
      </c>
      <c r="VJ63" s="15">
        <f t="shared" si="14"/>
        <v>0</v>
      </c>
      <c r="VK63" t="s">
        <v>837</v>
      </c>
      <c r="WM63" s="15">
        <f t="shared" si="15"/>
        <v>1</v>
      </c>
      <c r="XH63" s="15">
        <f t="shared" si="16"/>
        <v>0</v>
      </c>
      <c r="YD63" s="15">
        <f t="shared" si="17"/>
        <v>0</v>
      </c>
      <c r="YX63" s="15">
        <f t="shared" si="18"/>
        <v>0</v>
      </c>
      <c r="ZR63" s="15">
        <f t="shared" si="19"/>
        <v>0</v>
      </c>
      <c r="ZX63" s="15">
        <f t="shared" si="20"/>
        <v>0</v>
      </c>
      <c r="AAT63" s="15">
        <f t="shared" si="21"/>
        <v>0</v>
      </c>
      <c r="ABQ63" s="15">
        <f t="shared" si="22"/>
        <v>0</v>
      </c>
      <c r="ABV63" s="28">
        <f t="shared" si="23"/>
        <v>0</v>
      </c>
      <c r="ACC63" s="28">
        <f t="shared" si="24"/>
        <v>0</v>
      </c>
      <c r="ACQ63" s="15">
        <f t="shared" si="25"/>
        <v>0</v>
      </c>
      <c r="ADA63" s="15">
        <f t="shared" si="26"/>
        <v>0</v>
      </c>
      <c r="ADM63" s="15">
        <f t="shared" si="27"/>
        <v>0</v>
      </c>
      <c r="AEI63" s="15">
        <f t="shared" si="28"/>
        <v>0</v>
      </c>
    </row>
    <row r="64" spans="2:815" x14ac:dyDescent="0.25">
      <c r="B64" s="4" t="s">
        <v>112</v>
      </c>
      <c r="D64">
        <v>19</v>
      </c>
      <c r="E64" t="s">
        <v>14</v>
      </c>
      <c r="F64" t="s">
        <v>9</v>
      </c>
      <c r="G64" t="s">
        <v>9</v>
      </c>
      <c r="J64" t="s">
        <v>257</v>
      </c>
      <c r="K64" t="s">
        <v>1363</v>
      </c>
      <c r="L64" t="s">
        <v>318</v>
      </c>
      <c r="S64" t="s">
        <v>1362</v>
      </c>
      <c r="U64" t="s">
        <v>1336</v>
      </c>
      <c r="W64" t="s">
        <v>1364</v>
      </c>
      <c r="BA64" s="15">
        <f t="shared" si="0"/>
        <v>0</v>
      </c>
      <c r="CB64" s="15">
        <f t="shared" si="1"/>
        <v>0</v>
      </c>
      <c r="DE64" s="15">
        <f t="shared" si="2"/>
        <v>0</v>
      </c>
      <c r="DS64" s="15">
        <f t="shared" si="3"/>
        <v>0</v>
      </c>
      <c r="EF64" s="15">
        <f t="shared" si="4"/>
        <v>0</v>
      </c>
      <c r="FI64" s="15">
        <f t="shared" si="5"/>
        <v>0</v>
      </c>
      <c r="HY64" s="15">
        <f t="shared" si="6"/>
        <v>0</v>
      </c>
      <c r="KM64" s="15">
        <f t="shared" si="7"/>
        <v>0</v>
      </c>
      <c r="MZ64" s="15">
        <f t="shared" si="8"/>
        <v>0</v>
      </c>
      <c r="OQ64" s="15">
        <f t="shared" si="9"/>
        <v>0</v>
      </c>
      <c r="OW64" s="28">
        <f t="shared" si="10"/>
        <v>0</v>
      </c>
      <c r="RD64" s="15">
        <f t="shared" si="11"/>
        <v>0</v>
      </c>
      <c r="RU64" s="15">
        <f t="shared" si="12"/>
        <v>0</v>
      </c>
      <c r="UE64" s="15">
        <f t="shared" si="13"/>
        <v>0</v>
      </c>
      <c r="VJ64" s="15">
        <f t="shared" si="14"/>
        <v>0</v>
      </c>
      <c r="VK64" t="s">
        <v>837</v>
      </c>
      <c r="WM64" s="15">
        <f t="shared" si="15"/>
        <v>1</v>
      </c>
      <c r="XH64" s="15">
        <f t="shared" si="16"/>
        <v>0</v>
      </c>
      <c r="YD64" s="15">
        <f t="shared" si="17"/>
        <v>0</v>
      </c>
      <c r="YX64" s="15">
        <f t="shared" si="18"/>
        <v>0</v>
      </c>
      <c r="ZR64" s="15">
        <f t="shared" si="19"/>
        <v>0</v>
      </c>
      <c r="ZX64" s="15">
        <f t="shared" si="20"/>
        <v>0</v>
      </c>
      <c r="AAT64" s="15">
        <f t="shared" si="21"/>
        <v>0</v>
      </c>
      <c r="ABQ64" s="15">
        <f t="shared" si="22"/>
        <v>0</v>
      </c>
      <c r="ABV64" s="28">
        <f t="shared" si="23"/>
        <v>0</v>
      </c>
      <c r="ACC64" s="28">
        <f t="shared" si="24"/>
        <v>0</v>
      </c>
      <c r="ACQ64" s="15">
        <f t="shared" si="25"/>
        <v>0</v>
      </c>
      <c r="ADA64" s="15">
        <f t="shared" si="26"/>
        <v>0</v>
      </c>
      <c r="ADM64" s="15">
        <f t="shared" si="27"/>
        <v>0</v>
      </c>
      <c r="AEI64" s="15">
        <f t="shared" si="28"/>
        <v>0</v>
      </c>
    </row>
    <row r="65" spans="2:815" x14ac:dyDescent="0.25">
      <c r="B65" s="6" t="s">
        <v>113</v>
      </c>
      <c r="C65" t="s">
        <v>114</v>
      </c>
      <c r="D65">
        <v>16</v>
      </c>
      <c r="E65" t="s">
        <v>8</v>
      </c>
      <c r="F65" t="s">
        <v>9</v>
      </c>
      <c r="G65" t="s">
        <v>15</v>
      </c>
      <c r="I65" t="s">
        <v>257</v>
      </c>
      <c r="J65" t="s">
        <v>257</v>
      </c>
      <c r="K65" t="s">
        <v>1366</v>
      </c>
      <c r="L65" t="s">
        <v>1367</v>
      </c>
      <c r="M65">
        <v>65</v>
      </c>
      <c r="N65">
        <v>168</v>
      </c>
      <c r="O65">
        <v>23</v>
      </c>
      <c r="Q65" s="10">
        <v>38447</v>
      </c>
      <c r="W65" t="s">
        <v>1365</v>
      </c>
      <c r="BA65" s="15">
        <f t="shared" si="0"/>
        <v>0</v>
      </c>
      <c r="CB65" s="15">
        <f t="shared" si="1"/>
        <v>0</v>
      </c>
      <c r="DE65" s="15">
        <f t="shared" si="2"/>
        <v>0</v>
      </c>
      <c r="DS65" s="15">
        <f t="shared" si="3"/>
        <v>0</v>
      </c>
      <c r="EF65" s="15">
        <f t="shared" si="4"/>
        <v>0</v>
      </c>
      <c r="FI65" s="15">
        <f t="shared" si="5"/>
        <v>0</v>
      </c>
      <c r="HY65" s="15">
        <f t="shared" si="6"/>
        <v>0</v>
      </c>
      <c r="KM65" s="15">
        <f t="shared" si="7"/>
        <v>0</v>
      </c>
      <c r="MZ65" s="15">
        <f t="shared" si="8"/>
        <v>0</v>
      </c>
      <c r="OQ65" s="15">
        <f t="shared" si="9"/>
        <v>0</v>
      </c>
      <c r="OW65" s="28">
        <f t="shared" si="10"/>
        <v>0</v>
      </c>
      <c r="RD65" s="15">
        <f t="shared" si="11"/>
        <v>0</v>
      </c>
      <c r="RU65" s="15">
        <f t="shared" si="12"/>
        <v>0</v>
      </c>
      <c r="UE65" s="15">
        <f t="shared" si="13"/>
        <v>0</v>
      </c>
      <c r="VJ65" s="15">
        <f t="shared" si="14"/>
        <v>0</v>
      </c>
      <c r="WM65" s="15">
        <f t="shared" si="15"/>
        <v>0</v>
      </c>
      <c r="XH65" s="15">
        <f t="shared" si="16"/>
        <v>0</v>
      </c>
      <c r="YD65" s="15">
        <f t="shared" si="17"/>
        <v>0</v>
      </c>
      <c r="YX65" s="15">
        <f t="shared" si="18"/>
        <v>0</v>
      </c>
      <c r="ZR65" s="15">
        <f t="shared" si="19"/>
        <v>0</v>
      </c>
      <c r="ZX65" s="15">
        <f t="shared" si="20"/>
        <v>0</v>
      </c>
      <c r="AAT65" s="15">
        <f t="shared" si="21"/>
        <v>0</v>
      </c>
      <c r="ABQ65" s="15">
        <f t="shared" si="22"/>
        <v>0</v>
      </c>
      <c r="ABV65" s="28">
        <f t="shared" si="23"/>
        <v>0</v>
      </c>
      <c r="ACC65" s="28">
        <f t="shared" si="24"/>
        <v>0</v>
      </c>
      <c r="ACQ65" s="15">
        <f t="shared" si="25"/>
        <v>0</v>
      </c>
      <c r="ADA65" s="15">
        <f t="shared" si="26"/>
        <v>0</v>
      </c>
      <c r="ADM65" s="15">
        <f t="shared" si="27"/>
        <v>0</v>
      </c>
      <c r="AEI65" s="15">
        <f t="shared" si="28"/>
        <v>0</v>
      </c>
    </row>
    <row r="66" spans="2:815" x14ac:dyDescent="0.25">
      <c r="B66" s="4" t="s">
        <v>115</v>
      </c>
      <c r="D66">
        <v>75</v>
      </c>
      <c r="E66" t="s">
        <v>14</v>
      </c>
      <c r="F66" t="s">
        <v>9</v>
      </c>
      <c r="G66" t="s">
        <v>9</v>
      </c>
      <c r="J66" t="s">
        <v>243</v>
      </c>
      <c r="K66" t="s">
        <v>1368</v>
      </c>
      <c r="L66" t="s">
        <v>1369</v>
      </c>
      <c r="R66" t="s">
        <v>1347</v>
      </c>
      <c r="S66" t="s">
        <v>1335</v>
      </c>
      <c r="W66" t="s">
        <v>1370</v>
      </c>
      <c r="BA66" s="15">
        <f t="shared" si="0"/>
        <v>0</v>
      </c>
      <c r="CB66" s="15">
        <f t="shared" si="1"/>
        <v>0</v>
      </c>
      <c r="DE66" s="15">
        <f t="shared" si="2"/>
        <v>0</v>
      </c>
      <c r="DS66" s="15">
        <f t="shared" si="3"/>
        <v>0</v>
      </c>
      <c r="EF66" s="15">
        <f t="shared" si="4"/>
        <v>0</v>
      </c>
      <c r="FI66" s="15">
        <f t="shared" si="5"/>
        <v>0</v>
      </c>
      <c r="HY66" s="15">
        <f t="shared" si="6"/>
        <v>0</v>
      </c>
      <c r="KM66" s="15">
        <f t="shared" si="7"/>
        <v>0</v>
      </c>
      <c r="MZ66" s="15">
        <f t="shared" si="8"/>
        <v>0</v>
      </c>
      <c r="OQ66" s="15">
        <f t="shared" si="9"/>
        <v>0</v>
      </c>
      <c r="OW66" s="28">
        <f t="shared" si="10"/>
        <v>0</v>
      </c>
      <c r="RD66" s="15">
        <f t="shared" si="11"/>
        <v>0</v>
      </c>
      <c r="RU66" s="15">
        <f t="shared" si="12"/>
        <v>0</v>
      </c>
      <c r="UE66" s="15">
        <f t="shared" si="13"/>
        <v>0</v>
      </c>
      <c r="VJ66" s="15">
        <f t="shared" si="14"/>
        <v>0</v>
      </c>
      <c r="VK66" t="s">
        <v>844</v>
      </c>
      <c r="WM66" s="15">
        <f t="shared" si="15"/>
        <v>1</v>
      </c>
      <c r="XH66" s="15">
        <f t="shared" si="16"/>
        <v>0</v>
      </c>
      <c r="YD66" s="15">
        <f t="shared" si="17"/>
        <v>0</v>
      </c>
      <c r="YX66" s="15">
        <f t="shared" si="18"/>
        <v>0</v>
      </c>
      <c r="ZR66" s="15">
        <f t="shared" si="19"/>
        <v>0</v>
      </c>
      <c r="ZX66" s="15">
        <f t="shared" si="20"/>
        <v>0</v>
      </c>
      <c r="AAT66" s="15">
        <f t="shared" si="21"/>
        <v>0</v>
      </c>
      <c r="ABQ66" s="15">
        <f t="shared" si="22"/>
        <v>0</v>
      </c>
      <c r="ABV66" s="28">
        <f t="shared" si="23"/>
        <v>0</v>
      </c>
      <c r="ACC66" s="28">
        <f t="shared" si="24"/>
        <v>0</v>
      </c>
      <c r="ACQ66" s="15">
        <f t="shared" si="25"/>
        <v>0</v>
      </c>
      <c r="ADA66" s="15">
        <f t="shared" si="26"/>
        <v>0</v>
      </c>
      <c r="ADM66" s="15">
        <f t="shared" si="27"/>
        <v>0</v>
      </c>
      <c r="AEI66" s="15">
        <f t="shared" si="28"/>
        <v>0</v>
      </c>
    </row>
    <row r="67" spans="2:815" x14ac:dyDescent="0.25">
      <c r="B67" s="4" t="s">
        <v>116</v>
      </c>
      <c r="D67">
        <v>71</v>
      </c>
      <c r="E67" t="s">
        <v>14</v>
      </c>
      <c r="F67" t="s">
        <v>9</v>
      </c>
      <c r="G67" t="s">
        <v>9</v>
      </c>
      <c r="J67" t="s">
        <v>243</v>
      </c>
      <c r="K67" t="s">
        <v>1372</v>
      </c>
      <c r="L67" t="s">
        <v>1371</v>
      </c>
      <c r="S67" t="s">
        <v>1335</v>
      </c>
      <c r="W67" t="s">
        <v>1373</v>
      </c>
      <c r="BA67" s="15">
        <f t="shared" ref="BA67:BA130" si="29">COUNTA(Z67:AZ67)</f>
        <v>0</v>
      </c>
      <c r="CB67" s="15">
        <f t="shared" ref="CB67:CB130" si="30">COUNTA(BB67:CA67)</f>
        <v>0</v>
      </c>
      <c r="DE67" s="15">
        <f t="shared" ref="DE67:DE130" si="31">COUNTA(CC67:DD67)</f>
        <v>0</v>
      </c>
      <c r="DS67" s="15">
        <f t="shared" ref="DS67:DS130" si="32">COUNTA(DG67:DR67)</f>
        <v>0</v>
      </c>
      <c r="EF67" s="15">
        <f t="shared" ref="EF67:EF130" si="33">COUNTA(DT67:EE67)</f>
        <v>0</v>
      </c>
      <c r="FI67" s="15">
        <f t="shared" ref="FI67:FI130" si="34">COUNTA(EG67:FH67)</f>
        <v>0</v>
      </c>
      <c r="HY67" s="15">
        <f t="shared" ref="HY67:HY130" si="35">COUNTA(FJ67:HX67)</f>
        <v>0</v>
      </c>
      <c r="KM67" s="15">
        <f t="shared" ref="KM67:KM130" si="36">COUNTA(HZ67:KL67)</f>
        <v>0</v>
      </c>
      <c r="MZ67" s="15">
        <f t="shared" ref="MZ67:MZ130" si="37">COUNTA(KN67:MY67)</f>
        <v>0</v>
      </c>
      <c r="OQ67" s="15">
        <f t="shared" ref="OQ67:OQ130" si="38">COUNTA(NA67:OP67)</f>
        <v>0</v>
      </c>
      <c r="OW67" s="28">
        <f t="shared" ref="OW67:OW130" si="39">COUNTA(OR67:OV67)</f>
        <v>0</v>
      </c>
      <c r="RD67" s="15">
        <f t="shared" ref="RD67:RD130" si="40">COUNTA(OX67:RC67)</f>
        <v>0</v>
      </c>
      <c r="RU67" s="15">
        <f t="shared" ref="RU67:RU130" si="41">COUNTA(RE67:RT67)</f>
        <v>0</v>
      </c>
      <c r="UE67" s="15">
        <f t="shared" ref="UE67:UE130" si="42">COUNTA(RV67:UD67)</f>
        <v>0</v>
      </c>
      <c r="VJ67" s="15">
        <f t="shared" ref="VJ67:VJ130" si="43">COUNTA(UF67:VI67)</f>
        <v>0</v>
      </c>
      <c r="VK67" t="s">
        <v>844</v>
      </c>
      <c r="WM67" s="15">
        <f t="shared" ref="WM67:WM130" si="44">COUNTA(VK67:WL67)</f>
        <v>1</v>
      </c>
      <c r="XH67" s="15">
        <f t="shared" ref="XH67:XH130" si="45">COUNTA(WN67:XG67)</f>
        <v>0</v>
      </c>
      <c r="YD67" s="15">
        <f t="shared" ref="YD67:YD130" si="46">COUNTA(XI67:YC67)</f>
        <v>0</v>
      </c>
      <c r="YX67" s="15">
        <f t="shared" ref="YX67:YX130" si="47">COUNTA(YE67:YW67)</f>
        <v>0</v>
      </c>
      <c r="ZR67" s="15">
        <f t="shared" ref="ZR67:ZR130" si="48">COUNTA(YY67:ZQ67)</f>
        <v>0</v>
      </c>
      <c r="ZX67" s="15">
        <f t="shared" ref="ZX67:ZX130" si="49">COUNTA(ZS67:ZW67)</f>
        <v>0</v>
      </c>
      <c r="AAT67" s="15">
        <f t="shared" ref="AAT67:AAT130" si="50">COUNTA(ZY67:AAS67)</f>
        <v>0</v>
      </c>
      <c r="ABQ67" s="15">
        <f t="shared" ref="ABQ67:ABQ130" si="51">COUNTA(AAU67,ABP67)</f>
        <v>0</v>
      </c>
      <c r="ABV67" s="28">
        <f t="shared" ref="ABV67:ABV130" si="52">COUNTA(ABR67:ABU67)</f>
        <v>0</v>
      </c>
      <c r="ACC67" s="28">
        <f t="shared" ref="ACC67:ACC130" si="53">COUNTA(ABW67:ACB67)</f>
        <v>0</v>
      </c>
      <c r="ACQ67" s="15">
        <f t="shared" ref="ACQ67:ACQ130" si="54">COUNTA(ACH67:ACP67)</f>
        <v>0</v>
      </c>
      <c r="ADA67" s="15">
        <f t="shared" ref="ADA67:ADA130" si="55">COUNTA(ACV67:ACZ67)</f>
        <v>0</v>
      </c>
      <c r="ADM67" s="15">
        <f t="shared" ref="ADM67:ADM130" si="56">COUNTA(ADB67:ADL67)</f>
        <v>0</v>
      </c>
      <c r="AEI67" s="15">
        <f t="shared" ref="AEI67:AEI130" si="57">COUNTA(ADN67:AEH67)</f>
        <v>0</v>
      </c>
    </row>
    <row r="68" spans="2:815" x14ac:dyDescent="0.25">
      <c r="B68" s="2" t="s">
        <v>117</v>
      </c>
      <c r="C68" t="s">
        <v>118</v>
      </c>
      <c r="D68">
        <v>39</v>
      </c>
      <c r="E68" t="s">
        <v>14</v>
      </c>
      <c r="F68" t="s">
        <v>9</v>
      </c>
      <c r="G68" t="s">
        <v>15</v>
      </c>
      <c r="H68" t="s">
        <v>255</v>
      </c>
      <c r="I68" t="s">
        <v>243</v>
      </c>
      <c r="L68" t="s">
        <v>319</v>
      </c>
      <c r="M68">
        <v>93.5</v>
      </c>
      <c r="N68">
        <v>171</v>
      </c>
      <c r="O68" t="s">
        <v>1084</v>
      </c>
      <c r="P68" s="10">
        <v>42177</v>
      </c>
      <c r="Q68" s="10">
        <v>42178</v>
      </c>
      <c r="R68" t="s">
        <v>1171</v>
      </c>
      <c r="S68" t="s">
        <v>1146</v>
      </c>
      <c r="BA68" s="15">
        <f t="shared" si="29"/>
        <v>0</v>
      </c>
      <c r="CB68" s="15">
        <f t="shared" si="30"/>
        <v>0</v>
      </c>
      <c r="DE68" s="15">
        <f t="shared" si="31"/>
        <v>0</v>
      </c>
      <c r="DS68" s="15">
        <f t="shared" si="32"/>
        <v>0</v>
      </c>
      <c r="EF68" s="15">
        <f t="shared" si="33"/>
        <v>0</v>
      </c>
      <c r="FI68" s="15">
        <f t="shared" si="34"/>
        <v>0</v>
      </c>
      <c r="HY68" s="15">
        <f t="shared" si="35"/>
        <v>0</v>
      </c>
      <c r="KM68" s="15">
        <f t="shared" si="36"/>
        <v>0</v>
      </c>
      <c r="MZ68" s="15">
        <f t="shared" si="37"/>
        <v>0</v>
      </c>
      <c r="OQ68" s="15">
        <f t="shared" si="38"/>
        <v>0</v>
      </c>
      <c r="OW68" s="28">
        <f t="shared" si="39"/>
        <v>0</v>
      </c>
      <c r="RD68" s="15">
        <f t="shared" si="40"/>
        <v>0</v>
      </c>
      <c r="RU68" s="15">
        <f t="shared" si="41"/>
        <v>0</v>
      </c>
      <c r="UE68" s="15">
        <f t="shared" si="42"/>
        <v>0</v>
      </c>
      <c r="VJ68" s="15">
        <f t="shared" si="43"/>
        <v>0</v>
      </c>
      <c r="WM68" s="15">
        <f t="shared" si="44"/>
        <v>0</v>
      </c>
      <c r="XH68" s="15">
        <f t="shared" si="45"/>
        <v>0</v>
      </c>
      <c r="YD68" s="15">
        <f t="shared" si="46"/>
        <v>0</v>
      </c>
      <c r="YX68" s="15">
        <f t="shared" si="47"/>
        <v>0</v>
      </c>
      <c r="ZR68" s="15">
        <f t="shared" si="48"/>
        <v>0</v>
      </c>
      <c r="ZX68" s="15">
        <f t="shared" si="49"/>
        <v>0</v>
      </c>
      <c r="AAT68" s="15">
        <f t="shared" si="50"/>
        <v>0</v>
      </c>
      <c r="ABQ68" s="15">
        <f t="shared" si="51"/>
        <v>0</v>
      </c>
      <c r="ABV68" s="28">
        <f t="shared" si="52"/>
        <v>0</v>
      </c>
      <c r="ACC68" s="28">
        <f t="shared" si="53"/>
        <v>0</v>
      </c>
      <c r="ACQ68" s="15">
        <f t="shared" si="54"/>
        <v>0</v>
      </c>
      <c r="ADA68" s="15">
        <f t="shared" si="55"/>
        <v>0</v>
      </c>
      <c r="ADM68" s="15">
        <f t="shared" si="56"/>
        <v>0</v>
      </c>
      <c r="AEI68" s="15">
        <f t="shared" si="57"/>
        <v>0</v>
      </c>
    </row>
    <row r="69" spans="2:815" x14ac:dyDescent="0.25">
      <c r="B69" s="2" t="s">
        <v>119</v>
      </c>
      <c r="C69" t="s">
        <v>41</v>
      </c>
      <c r="D69">
        <v>64</v>
      </c>
      <c r="E69" t="s">
        <v>8</v>
      </c>
      <c r="F69" t="s">
        <v>9</v>
      </c>
      <c r="G69" t="s">
        <v>9</v>
      </c>
      <c r="H69" t="s">
        <v>1376</v>
      </c>
      <c r="I69" t="s">
        <v>243</v>
      </c>
      <c r="J69" t="s">
        <v>257</v>
      </c>
      <c r="K69" t="s">
        <v>270</v>
      </c>
      <c r="L69" t="s">
        <v>319</v>
      </c>
      <c r="P69" s="10">
        <v>38456</v>
      </c>
      <c r="Q69" s="10">
        <v>38461</v>
      </c>
      <c r="R69" t="s">
        <v>1262</v>
      </c>
      <c r="S69" t="s">
        <v>1146</v>
      </c>
      <c r="T69" t="s">
        <v>1374</v>
      </c>
      <c r="U69" t="s">
        <v>1378</v>
      </c>
      <c r="W69" t="s">
        <v>1377</v>
      </c>
      <c r="Z69">
        <v>42</v>
      </c>
      <c r="AD69">
        <v>36</v>
      </c>
      <c r="AN69">
        <v>28</v>
      </c>
      <c r="BA69" s="15">
        <f t="shared" si="29"/>
        <v>3</v>
      </c>
      <c r="BB69" t="s">
        <v>845</v>
      </c>
      <c r="BF69">
        <v>118</v>
      </c>
      <c r="BL69" t="s">
        <v>845</v>
      </c>
      <c r="CB69" s="15">
        <f t="shared" si="30"/>
        <v>3</v>
      </c>
      <c r="CC69">
        <v>29.06</v>
      </c>
      <c r="CG69">
        <v>28.35</v>
      </c>
      <c r="CN69">
        <v>27.84</v>
      </c>
      <c r="DE69" s="15">
        <f t="shared" si="31"/>
        <v>3</v>
      </c>
      <c r="DS69" s="15">
        <f t="shared" si="32"/>
        <v>0</v>
      </c>
      <c r="EF69" s="15">
        <f t="shared" si="33"/>
        <v>0</v>
      </c>
      <c r="EG69">
        <v>6700</v>
      </c>
      <c r="EL69">
        <v>4800</v>
      </c>
      <c r="EW69">
        <v>7200</v>
      </c>
      <c r="FI69" s="15">
        <f t="shared" si="34"/>
        <v>3</v>
      </c>
      <c r="FJ69">
        <v>73</v>
      </c>
      <c r="FN69">
        <v>81</v>
      </c>
      <c r="FQ69">
        <v>57</v>
      </c>
      <c r="GA69">
        <v>15</v>
      </c>
      <c r="HY69" s="15">
        <f t="shared" si="35"/>
        <v>4</v>
      </c>
      <c r="HZ69">
        <v>93</v>
      </c>
      <c r="IC69">
        <v>117</v>
      </c>
      <c r="IF69">
        <v>96</v>
      </c>
      <c r="IP69">
        <v>61</v>
      </c>
      <c r="KM69" s="15">
        <f t="shared" si="36"/>
        <v>4</v>
      </c>
      <c r="KN69">
        <v>73</v>
      </c>
      <c r="KP69">
        <v>96</v>
      </c>
      <c r="KR69">
        <v>85</v>
      </c>
      <c r="LB69">
        <v>79</v>
      </c>
      <c r="MZ69" s="15">
        <f t="shared" si="37"/>
        <v>4</v>
      </c>
      <c r="NA69">
        <v>274</v>
      </c>
      <c r="ND69">
        <v>263</v>
      </c>
      <c r="NG69">
        <v>224</v>
      </c>
      <c r="NQ69">
        <v>199</v>
      </c>
      <c r="OQ69" s="15">
        <f t="shared" si="38"/>
        <v>4</v>
      </c>
      <c r="OW69" s="28">
        <f t="shared" si="39"/>
        <v>0</v>
      </c>
      <c r="OX69" t="s">
        <v>1677</v>
      </c>
      <c r="PD69" t="s">
        <v>1678</v>
      </c>
      <c r="PO69" t="s">
        <v>1679</v>
      </c>
      <c r="RD69" s="15">
        <f t="shared" si="40"/>
        <v>3</v>
      </c>
      <c r="RU69" s="15">
        <f t="shared" si="41"/>
        <v>0</v>
      </c>
      <c r="RV69">
        <v>101</v>
      </c>
      <c r="SB69">
        <v>109</v>
      </c>
      <c r="SL69">
        <v>101</v>
      </c>
      <c r="UE69" s="15">
        <f t="shared" si="42"/>
        <v>3</v>
      </c>
      <c r="VJ69" s="15">
        <f t="shared" si="43"/>
        <v>0</v>
      </c>
      <c r="VK69" t="s">
        <v>529</v>
      </c>
      <c r="VP69" t="s">
        <v>1716</v>
      </c>
      <c r="VZ69" t="s">
        <v>1717</v>
      </c>
      <c r="WM69" s="15">
        <f t="shared" si="44"/>
        <v>3</v>
      </c>
      <c r="WN69">
        <v>0.93</v>
      </c>
      <c r="WR69">
        <v>0.92</v>
      </c>
      <c r="WY69">
        <v>0.89</v>
      </c>
      <c r="XH69" s="15">
        <f t="shared" si="45"/>
        <v>3</v>
      </c>
      <c r="XI69">
        <v>37</v>
      </c>
      <c r="XM69">
        <v>33.1</v>
      </c>
      <c r="XW69">
        <v>77</v>
      </c>
      <c r="YD69" s="15">
        <f t="shared" si="46"/>
        <v>3</v>
      </c>
      <c r="YE69">
        <v>34</v>
      </c>
      <c r="YJ69">
        <v>36</v>
      </c>
      <c r="YT69">
        <v>75</v>
      </c>
      <c r="YX69" s="15">
        <f t="shared" si="47"/>
        <v>3</v>
      </c>
      <c r="YY69">
        <v>29</v>
      </c>
      <c r="ZB69">
        <v>15.3</v>
      </c>
      <c r="ZI69">
        <v>6.2</v>
      </c>
      <c r="ZR69" s="15">
        <f t="shared" si="48"/>
        <v>3</v>
      </c>
      <c r="ZX69" s="15">
        <f t="shared" si="49"/>
        <v>0</v>
      </c>
      <c r="ZY69">
        <v>0.49</v>
      </c>
      <c r="AAC69">
        <v>0.39</v>
      </c>
      <c r="AAM69">
        <v>0.54</v>
      </c>
      <c r="AAT69" s="15">
        <f t="shared" si="50"/>
        <v>3</v>
      </c>
      <c r="AAU69">
        <v>309</v>
      </c>
      <c r="AAZ69">
        <v>278</v>
      </c>
      <c r="ABH69">
        <v>358</v>
      </c>
      <c r="ABQ69" s="15">
        <f t="shared" si="51"/>
        <v>1</v>
      </c>
      <c r="ABV69" s="28">
        <f t="shared" si="52"/>
        <v>0</v>
      </c>
      <c r="ACC69" s="28">
        <f t="shared" si="53"/>
        <v>0</v>
      </c>
      <c r="ACQ69" s="15">
        <f t="shared" si="54"/>
        <v>0</v>
      </c>
      <c r="ADA69" s="15">
        <f t="shared" si="55"/>
        <v>0</v>
      </c>
      <c r="ADB69">
        <v>177</v>
      </c>
      <c r="ADC69">
        <v>205</v>
      </c>
      <c r="ADE69">
        <v>254</v>
      </c>
      <c r="ADM69" s="15">
        <f t="shared" si="56"/>
        <v>3</v>
      </c>
      <c r="ADN69">
        <v>241</v>
      </c>
      <c r="AEB69">
        <v>308</v>
      </c>
      <c r="AEI69" s="15">
        <f t="shared" si="57"/>
        <v>2</v>
      </c>
    </row>
    <row r="70" spans="2:815" x14ac:dyDescent="0.25">
      <c r="B70" s="2" t="s">
        <v>120</v>
      </c>
      <c r="C70" t="s">
        <v>121</v>
      </c>
      <c r="D70">
        <v>35</v>
      </c>
      <c r="E70" t="s">
        <v>8</v>
      </c>
      <c r="F70" t="s">
        <v>9</v>
      </c>
      <c r="G70" t="s">
        <v>9</v>
      </c>
      <c r="H70" t="s">
        <v>252</v>
      </c>
      <c r="I70" t="s">
        <v>243</v>
      </c>
      <c r="J70" t="s">
        <v>243</v>
      </c>
      <c r="K70" t="s">
        <v>1385</v>
      </c>
      <c r="L70" t="s">
        <v>1382</v>
      </c>
      <c r="M70">
        <v>50</v>
      </c>
      <c r="N70">
        <v>160</v>
      </c>
      <c r="O70" t="s">
        <v>1085</v>
      </c>
      <c r="R70" t="s">
        <v>1379</v>
      </c>
      <c r="S70" t="s">
        <v>1380</v>
      </c>
      <c r="T70" t="s">
        <v>1381</v>
      </c>
      <c r="U70" t="s">
        <v>1384</v>
      </c>
      <c r="W70" t="s">
        <v>1383</v>
      </c>
      <c r="BA70" s="15">
        <f t="shared" si="29"/>
        <v>0</v>
      </c>
      <c r="CB70" s="15">
        <f t="shared" si="30"/>
        <v>0</v>
      </c>
      <c r="DE70" s="15">
        <f t="shared" si="31"/>
        <v>0</v>
      </c>
      <c r="DS70" s="15">
        <f t="shared" si="32"/>
        <v>0</v>
      </c>
      <c r="EF70" s="15">
        <f t="shared" si="33"/>
        <v>0</v>
      </c>
      <c r="FI70" s="15">
        <f t="shared" si="34"/>
        <v>0</v>
      </c>
      <c r="FJ70" t="s">
        <v>854</v>
      </c>
      <c r="HY70" s="15">
        <f t="shared" si="35"/>
        <v>1</v>
      </c>
      <c r="HZ70" t="s">
        <v>855</v>
      </c>
      <c r="KM70" s="15">
        <f t="shared" si="36"/>
        <v>1</v>
      </c>
      <c r="MZ70" s="15">
        <f t="shared" si="37"/>
        <v>0</v>
      </c>
      <c r="OQ70" s="15">
        <f t="shared" si="38"/>
        <v>0</v>
      </c>
      <c r="OW70" s="28">
        <f t="shared" si="39"/>
        <v>0</v>
      </c>
      <c r="OX70">
        <v>425</v>
      </c>
      <c r="RD70" s="15">
        <f t="shared" si="40"/>
        <v>1</v>
      </c>
      <c r="RU70" s="15">
        <f t="shared" si="41"/>
        <v>0</v>
      </c>
      <c r="UE70" s="15">
        <f t="shared" si="42"/>
        <v>0</v>
      </c>
      <c r="VJ70" s="15">
        <f t="shared" si="43"/>
        <v>0</v>
      </c>
      <c r="WM70" s="15">
        <f t="shared" si="44"/>
        <v>0</v>
      </c>
      <c r="XH70" s="15">
        <f t="shared" si="45"/>
        <v>0</v>
      </c>
      <c r="YD70" s="15">
        <f t="shared" si="46"/>
        <v>0</v>
      </c>
      <c r="YX70" s="15">
        <f t="shared" si="47"/>
        <v>0</v>
      </c>
      <c r="ZR70" s="15">
        <f t="shared" si="48"/>
        <v>0</v>
      </c>
      <c r="ZX70" s="15">
        <f t="shared" si="49"/>
        <v>0</v>
      </c>
      <c r="AAT70" s="15">
        <f t="shared" si="50"/>
        <v>0</v>
      </c>
      <c r="ABQ70" s="15">
        <f t="shared" si="51"/>
        <v>0</v>
      </c>
      <c r="ABU70" s="25" t="s">
        <v>857</v>
      </c>
      <c r="ABV70" s="28">
        <f t="shared" si="52"/>
        <v>1</v>
      </c>
      <c r="ACB70" s="25" t="s">
        <v>859</v>
      </c>
      <c r="ACC70" s="28">
        <f t="shared" si="53"/>
        <v>1</v>
      </c>
      <c r="ACQ70" s="15">
        <f t="shared" si="54"/>
        <v>0</v>
      </c>
      <c r="ADA70" s="15">
        <f t="shared" si="55"/>
        <v>0</v>
      </c>
      <c r="ADM70" s="15">
        <f t="shared" si="56"/>
        <v>0</v>
      </c>
      <c r="AEI70" s="15">
        <f t="shared" si="57"/>
        <v>0</v>
      </c>
    </row>
    <row r="71" spans="2:815" x14ac:dyDescent="0.25">
      <c r="B71" s="6" t="s">
        <v>122</v>
      </c>
      <c r="E71" t="s">
        <v>14</v>
      </c>
      <c r="F71" t="s">
        <v>15</v>
      </c>
      <c r="G71" t="s">
        <v>15</v>
      </c>
      <c r="L71" t="s">
        <v>319</v>
      </c>
      <c r="BA71" s="15">
        <f t="shared" si="29"/>
        <v>0</v>
      </c>
      <c r="CB71" s="15">
        <f t="shared" si="30"/>
        <v>0</v>
      </c>
      <c r="DE71" s="15">
        <f t="shared" si="31"/>
        <v>0</v>
      </c>
      <c r="DS71" s="15">
        <f t="shared" si="32"/>
        <v>0</v>
      </c>
      <c r="EF71" s="15">
        <f t="shared" si="33"/>
        <v>0</v>
      </c>
      <c r="FI71" s="15">
        <f t="shared" si="34"/>
        <v>0</v>
      </c>
      <c r="HY71" s="15">
        <f t="shared" si="35"/>
        <v>0</v>
      </c>
      <c r="KM71" s="15">
        <f t="shared" si="36"/>
        <v>0</v>
      </c>
      <c r="MZ71" s="15">
        <f t="shared" si="37"/>
        <v>0</v>
      </c>
      <c r="OQ71" s="15">
        <f t="shared" si="38"/>
        <v>0</v>
      </c>
      <c r="OW71" s="28">
        <f t="shared" si="39"/>
        <v>0</v>
      </c>
      <c r="RD71" s="15">
        <f t="shared" si="40"/>
        <v>0</v>
      </c>
      <c r="RU71" s="15">
        <f t="shared" si="41"/>
        <v>0</v>
      </c>
      <c r="UE71" s="15">
        <f t="shared" si="42"/>
        <v>0</v>
      </c>
      <c r="VJ71" s="15">
        <f t="shared" si="43"/>
        <v>0</v>
      </c>
      <c r="WM71" s="15">
        <f t="shared" si="44"/>
        <v>0</v>
      </c>
      <c r="XH71" s="15">
        <f t="shared" si="45"/>
        <v>0</v>
      </c>
      <c r="YD71" s="15">
        <f t="shared" si="46"/>
        <v>0</v>
      </c>
      <c r="YX71" s="15">
        <f t="shared" si="47"/>
        <v>0</v>
      </c>
      <c r="ZR71" s="15">
        <f t="shared" si="48"/>
        <v>0</v>
      </c>
      <c r="ZX71" s="15">
        <f t="shared" si="49"/>
        <v>0</v>
      </c>
      <c r="AAT71" s="15">
        <f t="shared" si="50"/>
        <v>0</v>
      </c>
      <c r="ABQ71" s="15">
        <f t="shared" si="51"/>
        <v>0</v>
      </c>
      <c r="ABV71" s="28">
        <f t="shared" si="52"/>
        <v>0</v>
      </c>
      <c r="ACC71" s="28">
        <f t="shared" si="53"/>
        <v>0</v>
      </c>
      <c r="ACQ71" s="15">
        <f t="shared" si="54"/>
        <v>0</v>
      </c>
      <c r="ADA71" s="15">
        <f t="shared" si="55"/>
        <v>0</v>
      </c>
      <c r="ADM71" s="15">
        <f t="shared" si="56"/>
        <v>0</v>
      </c>
      <c r="AEI71" s="15">
        <f t="shared" si="57"/>
        <v>0</v>
      </c>
    </row>
    <row r="72" spans="2:815" x14ac:dyDescent="0.25">
      <c r="B72" s="2" t="s">
        <v>123</v>
      </c>
      <c r="C72" t="s">
        <v>124</v>
      </c>
      <c r="D72">
        <v>35</v>
      </c>
      <c r="E72" t="s">
        <v>8</v>
      </c>
      <c r="F72" t="s">
        <v>9</v>
      </c>
      <c r="G72" t="s">
        <v>15</v>
      </c>
      <c r="H72" t="s">
        <v>271</v>
      </c>
      <c r="I72" t="s">
        <v>243</v>
      </c>
      <c r="J72" t="s">
        <v>243</v>
      </c>
      <c r="K72" t="s">
        <v>1386</v>
      </c>
      <c r="L72" t="s">
        <v>1387</v>
      </c>
      <c r="M72">
        <v>50</v>
      </c>
      <c r="N72">
        <v>160</v>
      </c>
      <c r="O72" t="s">
        <v>1085</v>
      </c>
      <c r="R72" t="s">
        <v>1379</v>
      </c>
      <c r="S72" t="s">
        <v>1389</v>
      </c>
      <c r="W72" t="s">
        <v>1388</v>
      </c>
      <c r="BA72" s="15">
        <f t="shared" si="29"/>
        <v>0</v>
      </c>
      <c r="CB72" s="15">
        <f t="shared" si="30"/>
        <v>0</v>
      </c>
      <c r="DE72" s="15">
        <f t="shared" si="31"/>
        <v>0</v>
      </c>
      <c r="DS72" s="15">
        <f t="shared" si="32"/>
        <v>0</v>
      </c>
      <c r="EF72" s="15">
        <f t="shared" si="33"/>
        <v>0</v>
      </c>
      <c r="FI72" s="15">
        <f t="shared" si="34"/>
        <v>0</v>
      </c>
      <c r="HY72" s="15">
        <f t="shared" si="35"/>
        <v>0</v>
      </c>
      <c r="KM72" s="15">
        <f t="shared" si="36"/>
        <v>0</v>
      </c>
      <c r="MZ72" s="15">
        <f t="shared" si="37"/>
        <v>0</v>
      </c>
      <c r="OQ72" s="15">
        <f t="shared" si="38"/>
        <v>0</v>
      </c>
      <c r="OW72" s="28">
        <f t="shared" si="39"/>
        <v>0</v>
      </c>
      <c r="RD72" s="15">
        <f t="shared" si="40"/>
        <v>0</v>
      </c>
      <c r="RU72" s="15">
        <f t="shared" si="41"/>
        <v>0</v>
      </c>
      <c r="UE72" s="15">
        <f t="shared" si="42"/>
        <v>0</v>
      </c>
      <c r="VJ72" s="15">
        <f t="shared" si="43"/>
        <v>0</v>
      </c>
      <c r="WM72" s="15">
        <f t="shared" si="44"/>
        <v>0</v>
      </c>
      <c r="XH72" s="15">
        <f t="shared" si="45"/>
        <v>0</v>
      </c>
      <c r="YD72" s="15">
        <f t="shared" si="46"/>
        <v>0</v>
      </c>
      <c r="YX72" s="15">
        <f t="shared" si="47"/>
        <v>0</v>
      </c>
      <c r="ZR72" s="15">
        <f t="shared" si="48"/>
        <v>0</v>
      </c>
      <c r="ZX72" s="15">
        <f t="shared" si="49"/>
        <v>0</v>
      </c>
      <c r="AAT72" s="15">
        <f t="shared" si="50"/>
        <v>0</v>
      </c>
      <c r="ABQ72" s="15">
        <f t="shared" si="51"/>
        <v>0</v>
      </c>
      <c r="ABV72" s="28">
        <f t="shared" si="52"/>
        <v>0</v>
      </c>
      <c r="ACC72" s="28">
        <f t="shared" si="53"/>
        <v>0</v>
      </c>
      <c r="ACQ72" s="15">
        <f t="shared" si="54"/>
        <v>0</v>
      </c>
      <c r="ADA72" s="15">
        <f t="shared" si="55"/>
        <v>0</v>
      </c>
      <c r="ADM72" s="15">
        <f t="shared" si="56"/>
        <v>0</v>
      </c>
      <c r="AEI72" s="15">
        <f t="shared" si="57"/>
        <v>0</v>
      </c>
    </row>
    <row r="73" spans="2:815" x14ac:dyDescent="0.25">
      <c r="B73" s="2" t="s">
        <v>125</v>
      </c>
      <c r="C73" t="s">
        <v>329</v>
      </c>
      <c r="D73">
        <v>65</v>
      </c>
      <c r="E73" t="s">
        <v>8</v>
      </c>
      <c r="F73" t="s">
        <v>9</v>
      </c>
      <c r="G73" t="s">
        <v>9</v>
      </c>
      <c r="H73" t="s">
        <v>272</v>
      </c>
      <c r="I73" t="s">
        <v>243</v>
      </c>
      <c r="J73" t="s">
        <v>243</v>
      </c>
      <c r="K73" t="s">
        <v>1392</v>
      </c>
      <c r="L73" t="s">
        <v>310</v>
      </c>
      <c r="M73">
        <v>81</v>
      </c>
      <c r="N73">
        <v>161</v>
      </c>
      <c r="O73" t="s">
        <v>1075</v>
      </c>
      <c r="P73" s="10">
        <v>38657</v>
      </c>
      <c r="Q73" s="10">
        <v>38660</v>
      </c>
      <c r="R73" t="s">
        <v>1218</v>
      </c>
      <c r="S73" t="s">
        <v>1269</v>
      </c>
      <c r="T73" s="14" t="s">
        <v>1391</v>
      </c>
      <c r="U73" t="s">
        <v>1390</v>
      </c>
      <c r="W73" t="s">
        <v>1393</v>
      </c>
      <c r="BA73" s="15">
        <f t="shared" si="29"/>
        <v>0</v>
      </c>
      <c r="BB73">
        <v>102</v>
      </c>
      <c r="BD73">
        <v>54</v>
      </c>
      <c r="BG73">
        <v>39</v>
      </c>
      <c r="BJ73">
        <v>86</v>
      </c>
      <c r="BK73">
        <v>95</v>
      </c>
      <c r="BM73">
        <v>105</v>
      </c>
      <c r="BN73">
        <v>100</v>
      </c>
      <c r="BO73">
        <v>101</v>
      </c>
      <c r="BQ73">
        <v>104</v>
      </c>
      <c r="BR73">
        <v>102</v>
      </c>
      <c r="BS73">
        <v>107</v>
      </c>
      <c r="CB73" s="15">
        <f t="shared" si="30"/>
        <v>11</v>
      </c>
      <c r="CC73">
        <v>27.1</v>
      </c>
      <c r="CE73">
        <v>30.9</v>
      </c>
      <c r="CH73">
        <v>36.200000000000003</v>
      </c>
      <c r="CL73">
        <v>29.7</v>
      </c>
      <c r="CM73">
        <v>30.5</v>
      </c>
      <c r="CO73">
        <v>29.1</v>
      </c>
      <c r="CP73">
        <v>28.6</v>
      </c>
      <c r="CR73">
        <v>28.3</v>
      </c>
      <c r="CU73">
        <v>27.5</v>
      </c>
      <c r="CV73">
        <v>27.5</v>
      </c>
      <c r="DE73" s="15">
        <f t="shared" si="31"/>
        <v>10</v>
      </c>
      <c r="DS73" s="15">
        <f t="shared" si="32"/>
        <v>0</v>
      </c>
      <c r="DZ73" s="7">
        <v>0.54</v>
      </c>
      <c r="EA73" s="7">
        <v>0.57999999999999996</v>
      </c>
      <c r="EF73" s="15">
        <f t="shared" si="33"/>
        <v>2</v>
      </c>
      <c r="EG73">
        <v>15000</v>
      </c>
      <c r="EI73">
        <v>19700</v>
      </c>
      <c r="EN73">
        <v>15200</v>
      </c>
      <c r="ER73">
        <v>9600</v>
      </c>
      <c r="ET73">
        <v>9300</v>
      </c>
      <c r="EX73">
        <v>11500</v>
      </c>
      <c r="EY73">
        <v>13000</v>
      </c>
      <c r="EZ73">
        <v>12000</v>
      </c>
      <c r="FA73">
        <v>11700</v>
      </c>
      <c r="FB73">
        <v>12500</v>
      </c>
      <c r="FC73">
        <v>11000</v>
      </c>
      <c r="FI73" s="15">
        <f t="shared" si="34"/>
        <v>11</v>
      </c>
      <c r="FJ73">
        <v>30</v>
      </c>
      <c r="FN73">
        <v>167</v>
      </c>
      <c r="FR73">
        <v>1890</v>
      </c>
      <c r="FV73">
        <v>447</v>
      </c>
      <c r="FX73">
        <v>156</v>
      </c>
      <c r="GB73">
        <v>45</v>
      </c>
      <c r="GC73">
        <v>38</v>
      </c>
      <c r="GE73">
        <v>33</v>
      </c>
      <c r="GF73">
        <v>39</v>
      </c>
      <c r="GG73">
        <v>37</v>
      </c>
      <c r="GH73">
        <v>37</v>
      </c>
      <c r="GI73">
        <v>40</v>
      </c>
      <c r="HY73" s="15">
        <f t="shared" si="35"/>
        <v>12</v>
      </c>
      <c r="IG73">
        <v>2693</v>
      </c>
      <c r="IK73">
        <v>1402</v>
      </c>
      <c r="IM73">
        <v>922</v>
      </c>
      <c r="IQ73">
        <v>374</v>
      </c>
      <c r="IR73">
        <v>254</v>
      </c>
      <c r="IT73">
        <v>122</v>
      </c>
      <c r="IU73">
        <v>94</v>
      </c>
      <c r="IV73">
        <v>81</v>
      </c>
      <c r="IW73">
        <v>66</v>
      </c>
      <c r="IX73">
        <v>62</v>
      </c>
      <c r="KM73" s="15">
        <f t="shared" si="36"/>
        <v>10</v>
      </c>
      <c r="KS73">
        <v>67</v>
      </c>
      <c r="KW73">
        <v>69</v>
      </c>
      <c r="KY73">
        <v>125</v>
      </c>
      <c r="LC73">
        <v>182</v>
      </c>
      <c r="LD73">
        <v>274</v>
      </c>
      <c r="LF73">
        <v>211</v>
      </c>
      <c r="LG73">
        <v>247</v>
      </c>
      <c r="LH73">
        <v>325</v>
      </c>
      <c r="LI73">
        <v>516</v>
      </c>
      <c r="LJ73">
        <v>601</v>
      </c>
      <c r="MZ73" s="15">
        <f t="shared" si="37"/>
        <v>10</v>
      </c>
      <c r="NH73">
        <v>751</v>
      </c>
      <c r="OQ73" s="15">
        <f t="shared" si="38"/>
        <v>1</v>
      </c>
      <c r="OW73" s="28">
        <f t="shared" si="39"/>
        <v>0</v>
      </c>
      <c r="PA73" t="s">
        <v>1680</v>
      </c>
      <c r="PF73" t="s">
        <v>1681</v>
      </c>
      <c r="PJ73" t="s">
        <v>1682</v>
      </c>
      <c r="PL73" t="s">
        <v>1683</v>
      </c>
      <c r="PP73" t="s">
        <v>1684</v>
      </c>
      <c r="PQ73" t="s">
        <v>1685</v>
      </c>
      <c r="PS73">
        <v>29.24</v>
      </c>
      <c r="PT73" t="s">
        <v>1686</v>
      </c>
      <c r="PU73" t="s">
        <v>1687</v>
      </c>
      <c r="PV73" t="s">
        <v>1688</v>
      </c>
      <c r="PW73" t="s">
        <v>1689</v>
      </c>
      <c r="RD73" s="15">
        <f t="shared" si="40"/>
        <v>11</v>
      </c>
      <c r="RU73" s="15">
        <f t="shared" si="41"/>
        <v>0</v>
      </c>
      <c r="SG73">
        <v>96</v>
      </c>
      <c r="SI73">
        <v>125</v>
      </c>
      <c r="SM73">
        <v>182</v>
      </c>
      <c r="SN73">
        <v>175</v>
      </c>
      <c r="SP73">
        <v>150</v>
      </c>
      <c r="SQ73">
        <v>188</v>
      </c>
      <c r="SR73">
        <v>273</v>
      </c>
      <c r="SS73">
        <v>390</v>
      </c>
      <c r="ST73">
        <v>441</v>
      </c>
      <c r="UE73" s="15">
        <f t="shared" si="42"/>
        <v>9</v>
      </c>
      <c r="VJ73" s="15">
        <f t="shared" si="43"/>
        <v>0</v>
      </c>
      <c r="VK73" t="s">
        <v>1719</v>
      </c>
      <c r="VM73" t="s">
        <v>1720</v>
      </c>
      <c r="VQ73" t="s">
        <v>1721</v>
      </c>
      <c r="VU73" t="s">
        <v>1722</v>
      </c>
      <c r="VW73" t="s">
        <v>1723</v>
      </c>
      <c r="WA73" t="s">
        <v>1724</v>
      </c>
      <c r="WB73" t="s">
        <v>1725</v>
      </c>
      <c r="WC73" t="s">
        <v>1725</v>
      </c>
      <c r="WD73" t="s">
        <v>1724</v>
      </c>
      <c r="WE73" t="s">
        <v>1726</v>
      </c>
      <c r="WM73" s="15">
        <f t="shared" si="44"/>
        <v>10</v>
      </c>
      <c r="WZ73">
        <v>1</v>
      </c>
      <c r="XC73">
        <v>0.9</v>
      </c>
      <c r="XD73">
        <v>1</v>
      </c>
      <c r="XH73" s="15">
        <f t="shared" si="45"/>
        <v>3</v>
      </c>
      <c r="XJ73">
        <v>425</v>
      </c>
      <c r="XN73">
        <v>12</v>
      </c>
      <c r="YD73" s="15">
        <f t="shared" si="46"/>
        <v>2</v>
      </c>
      <c r="YX73" s="15">
        <f t="shared" si="47"/>
        <v>0</v>
      </c>
      <c r="YY73">
        <v>449.5</v>
      </c>
      <c r="ZA73">
        <v>906</v>
      </c>
      <c r="ZR73" s="15">
        <f t="shared" si="48"/>
        <v>2</v>
      </c>
      <c r="ZX73" s="15">
        <f t="shared" si="49"/>
        <v>0</v>
      </c>
      <c r="AAD73">
        <v>20.9</v>
      </c>
      <c r="AAN73">
        <v>11.5</v>
      </c>
      <c r="AAT73" s="15">
        <f t="shared" si="50"/>
        <v>2</v>
      </c>
      <c r="AAU73">
        <v>311</v>
      </c>
      <c r="AAW73">
        <v>252</v>
      </c>
      <c r="ABB73">
        <v>307</v>
      </c>
      <c r="ABC73">
        <v>248</v>
      </c>
      <c r="ABE73">
        <v>278</v>
      </c>
      <c r="ABI73">
        <v>317</v>
      </c>
      <c r="ABJ73">
        <v>320</v>
      </c>
      <c r="ABL73">
        <v>409</v>
      </c>
      <c r="ABM73">
        <v>477</v>
      </c>
      <c r="ABN73">
        <v>615</v>
      </c>
      <c r="ABQ73" s="15">
        <f t="shared" si="51"/>
        <v>1</v>
      </c>
      <c r="ABV73" s="28">
        <f t="shared" si="52"/>
        <v>0</v>
      </c>
      <c r="ACC73" s="28">
        <f t="shared" si="53"/>
        <v>0</v>
      </c>
      <c r="ACL73" t="s">
        <v>868</v>
      </c>
      <c r="ACQ73" s="15">
        <f t="shared" si="54"/>
        <v>1</v>
      </c>
      <c r="ADA73" s="15">
        <f t="shared" si="55"/>
        <v>0</v>
      </c>
      <c r="ADD73" t="s">
        <v>870</v>
      </c>
      <c r="ADM73" s="15">
        <f t="shared" si="56"/>
        <v>1</v>
      </c>
      <c r="ADS73">
        <v>80</v>
      </c>
      <c r="AEI73" s="15">
        <f t="shared" si="57"/>
        <v>1</v>
      </c>
    </row>
    <row r="74" spans="2:815" x14ac:dyDescent="0.25">
      <c r="B74" s="4" t="s">
        <v>126</v>
      </c>
      <c r="E74" t="s">
        <v>14</v>
      </c>
      <c r="F74" t="s">
        <v>9</v>
      </c>
      <c r="G74" t="s">
        <v>15</v>
      </c>
      <c r="I74" t="s">
        <v>243</v>
      </c>
      <c r="J74" t="s">
        <v>243</v>
      </c>
      <c r="K74" t="s">
        <v>1394</v>
      </c>
      <c r="L74" t="s">
        <v>310</v>
      </c>
      <c r="S74" t="s">
        <v>1225</v>
      </c>
      <c r="BA74" s="15">
        <f t="shared" si="29"/>
        <v>0</v>
      </c>
      <c r="CB74" s="15">
        <f t="shared" si="30"/>
        <v>0</v>
      </c>
      <c r="DE74" s="15">
        <f t="shared" si="31"/>
        <v>0</v>
      </c>
      <c r="DS74" s="15">
        <f t="shared" si="32"/>
        <v>0</v>
      </c>
      <c r="EF74" s="15">
        <f t="shared" si="33"/>
        <v>0</v>
      </c>
      <c r="FI74" s="15">
        <f t="shared" si="34"/>
        <v>0</v>
      </c>
      <c r="HY74" s="15">
        <f t="shared" si="35"/>
        <v>0</v>
      </c>
      <c r="KM74" s="15">
        <f t="shared" si="36"/>
        <v>0</v>
      </c>
      <c r="MZ74" s="15">
        <f t="shared" si="37"/>
        <v>0</v>
      </c>
      <c r="OQ74" s="15">
        <f t="shared" si="38"/>
        <v>0</v>
      </c>
      <c r="OW74" s="28">
        <f t="shared" si="39"/>
        <v>0</v>
      </c>
      <c r="RD74" s="15">
        <f t="shared" si="40"/>
        <v>0</v>
      </c>
      <c r="RU74" s="15">
        <f t="shared" si="41"/>
        <v>0</v>
      </c>
      <c r="UE74" s="15">
        <f t="shared" si="42"/>
        <v>0</v>
      </c>
      <c r="VJ74" s="15">
        <f t="shared" si="43"/>
        <v>0</v>
      </c>
      <c r="WM74" s="15">
        <f t="shared" si="44"/>
        <v>0</v>
      </c>
      <c r="XH74" s="15">
        <f t="shared" si="45"/>
        <v>0</v>
      </c>
      <c r="YD74" s="15">
        <f t="shared" si="46"/>
        <v>0</v>
      </c>
      <c r="YX74" s="15">
        <f t="shared" si="47"/>
        <v>0</v>
      </c>
      <c r="ZR74" s="15">
        <f t="shared" si="48"/>
        <v>0</v>
      </c>
      <c r="ZX74" s="15">
        <f t="shared" si="49"/>
        <v>0</v>
      </c>
      <c r="AAT74" s="15">
        <f t="shared" si="50"/>
        <v>0</v>
      </c>
      <c r="ABQ74" s="15">
        <f t="shared" si="51"/>
        <v>0</v>
      </c>
      <c r="ABV74" s="28">
        <f t="shared" si="52"/>
        <v>0</v>
      </c>
      <c r="ACC74" s="28">
        <f t="shared" si="53"/>
        <v>0</v>
      </c>
      <c r="ACQ74" s="15">
        <f t="shared" si="54"/>
        <v>0</v>
      </c>
      <c r="ADA74" s="15">
        <f t="shared" si="55"/>
        <v>0</v>
      </c>
      <c r="ADM74" s="15">
        <f t="shared" si="56"/>
        <v>0</v>
      </c>
      <c r="AEI74" s="15">
        <f t="shared" si="57"/>
        <v>0</v>
      </c>
    </row>
    <row r="75" spans="2:815" x14ac:dyDescent="0.25">
      <c r="B75" s="2" t="s">
        <v>127</v>
      </c>
      <c r="C75" t="s">
        <v>129</v>
      </c>
      <c r="D75">
        <v>51</v>
      </c>
      <c r="E75" t="s">
        <v>14</v>
      </c>
      <c r="F75" t="s">
        <v>9</v>
      </c>
      <c r="G75" t="s">
        <v>9</v>
      </c>
      <c r="H75" t="s">
        <v>273</v>
      </c>
      <c r="I75" t="s">
        <v>243</v>
      </c>
      <c r="K75" t="s">
        <v>1397</v>
      </c>
      <c r="L75" t="s">
        <v>319</v>
      </c>
      <c r="M75">
        <v>70</v>
      </c>
      <c r="N75">
        <v>170</v>
      </c>
      <c r="O75" t="s">
        <v>1036</v>
      </c>
      <c r="P75" s="10">
        <v>38282</v>
      </c>
      <c r="Q75" s="10">
        <v>38282</v>
      </c>
      <c r="R75" t="s">
        <v>1133</v>
      </c>
      <c r="S75" t="s">
        <v>1395</v>
      </c>
      <c r="T75" t="s">
        <v>1398</v>
      </c>
      <c r="V75" t="s">
        <v>1399</v>
      </c>
      <c r="W75" t="s">
        <v>1396</v>
      </c>
      <c r="BA75" s="15">
        <f t="shared" si="29"/>
        <v>0</v>
      </c>
      <c r="BM75" t="s">
        <v>886</v>
      </c>
      <c r="CB75" s="15">
        <f t="shared" si="30"/>
        <v>1</v>
      </c>
      <c r="DE75" s="15">
        <f t="shared" si="31"/>
        <v>0</v>
      </c>
      <c r="DS75" s="15">
        <f t="shared" si="32"/>
        <v>0</v>
      </c>
      <c r="EF75" s="15">
        <f t="shared" si="33"/>
        <v>0</v>
      </c>
      <c r="FI75" s="15">
        <f t="shared" si="34"/>
        <v>0</v>
      </c>
      <c r="FJ75">
        <v>11.5</v>
      </c>
      <c r="GF75">
        <v>61</v>
      </c>
      <c r="HY75" s="15">
        <f t="shared" si="35"/>
        <v>2</v>
      </c>
      <c r="HZ75">
        <v>42.7</v>
      </c>
      <c r="IU75">
        <v>206</v>
      </c>
      <c r="KM75" s="15">
        <f t="shared" si="36"/>
        <v>2</v>
      </c>
      <c r="KN75">
        <v>200</v>
      </c>
      <c r="LG75">
        <v>705</v>
      </c>
      <c r="MZ75" s="15">
        <f t="shared" si="37"/>
        <v>2</v>
      </c>
      <c r="OQ75" s="15">
        <f t="shared" si="38"/>
        <v>0</v>
      </c>
      <c r="OW75" s="28">
        <f t="shared" si="39"/>
        <v>0</v>
      </c>
      <c r="RD75" s="15">
        <f t="shared" si="40"/>
        <v>0</v>
      </c>
      <c r="RU75" s="15">
        <f t="shared" si="41"/>
        <v>0</v>
      </c>
      <c r="RV75">
        <v>87</v>
      </c>
      <c r="SQ75">
        <v>188</v>
      </c>
      <c r="UE75" s="15">
        <f t="shared" si="42"/>
        <v>2</v>
      </c>
      <c r="VJ75" s="15">
        <f t="shared" si="43"/>
        <v>0</v>
      </c>
      <c r="WM75" s="15">
        <f t="shared" si="44"/>
        <v>0</v>
      </c>
      <c r="WS75">
        <v>0.96</v>
      </c>
      <c r="XE75">
        <v>0.88</v>
      </c>
      <c r="XH75" s="15">
        <f t="shared" si="45"/>
        <v>2</v>
      </c>
      <c r="YD75" s="15">
        <f t="shared" si="46"/>
        <v>0</v>
      </c>
      <c r="YX75" s="15">
        <f t="shared" si="47"/>
        <v>0</v>
      </c>
      <c r="ZR75" s="15">
        <f t="shared" si="48"/>
        <v>0</v>
      </c>
      <c r="ZX75" s="15">
        <f t="shared" si="49"/>
        <v>0</v>
      </c>
      <c r="AAT75" s="15">
        <f t="shared" si="50"/>
        <v>0</v>
      </c>
      <c r="ABQ75" s="15">
        <f t="shared" si="51"/>
        <v>0</v>
      </c>
      <c r="ABV75" s="28">
        <f t="shared" si="52"/>
        <v>0</v>
      </c>
      <c r="ACC75" s="28">
        <f t="shared" si="53"/>
        <v>0</v>
      </c>
      <c r="ACQ75" s="15">
        <f t="shared" si="54"/>
        <v>0</v>
      </c>
      <c r="ADA75" s="15">
        <f t="shared" si="55"/>
        <v>0</v>
      </c>
      <c r="ADM75" s="15">
        <f t="shared" si="56"/>
        <v>0</v>
      </c>
      <c r="AEI75" s="15">
        <f t="shared" si="57"/>
        <v>0</v>
      </c>
    </row>
    <row r="76" spans="2:815" x14ac:dyDescent="0.25">
      <c r="B76" s="2" t="s">
        <v>128</v>
      </c>
      <c r="C76" t="s">
        <v>130</v>
      </c>
      <c r="D76">
        <v>72</v>
      </c>
      <c r="E76" t="s">
        <v>14</v>
      </c>
      <c r="F76" t="s">
        <v>9</v>
      </c>
      <c r="G76" t="s">
        <v>9</v>
      </c>
      <c r="H76" t="s">
        <v>274</v>
      </c>
      <c r="I76" t="s">
        <v>243</v>
      </c>
      <c r="K76" t="s">
        <v>256</v>
      </c>
      <c r="L76" t="s">
        <v>311</v>
      </c>
      <c r="M76">
        <v>68</v>
      </c>
      <c r="N76">
        <v>170</v>
      </c>
      <c r="O76" t="s">
        <v>1086</v>
      </c>
      <c r="P76" s="10">
        <v>38400</v>
      </c>
      <c r="Q76" s="10">
        <v>38404</v>
      </c>
      <c r="R76" t="s">
        <v>1375</v>
      </c>
      <c r="S76" t="s">
        <v>1400</v>
      </c>
      <c r="T76" t="s">
        <v>1401</v>
      </c>
      <c r="U76" t="s">
        <v>1402</v>
      </c>
      <c r="W76" t="s">
        <v>1403</v>
      </c>
      <c r="BA76" s="15">
        <f t="shared" si="29"/>
        <v>0</v>
      </c>
      <c r="CB76" s="15">
        <f t="shared" si="30"/>
        <v>0</v>
      </c>
      <c r="DE76" s="15">
        <f t="shared" si="31"/>
        <v>0</v>
      </c>
      <c r="DS76" s="15">
        <f t="shared" si="32"/>
        <v>0</v>
      </c>
      <c r="EF76" s="15">
        <f t="shared" si="33"/>
        <v>0</v>
      </c>
      <c r="ET76" t="s">
        <v>887</v>
      </c>
      <c r="FI76" s="15">
        <f t="shared" si="34"/>
        <v>1</v>
      </c>
      <c r="FJ76">
        <v>64</v>
      </c>
      <c r="FX76">
        <v>338</v>
      </c>
      <c r="GB76">
        <v>705</v>
      </c>
      <c r="HF76">
        <v>24</v>
      </c>
      <c r="HY76" s="15">
        <f t="shared" si="35"/>
        <v>4</v>
      </c>
      <c r="HZ76">
        <v>81</v>
      </c>
      <c r="IM76">
        <v>114</v>
      </c>
      <c r="IR76">
        <v>623</v>
      </c>
      <c r="JT76">
        <v>66</v>
      </c>
      <c r="KM76" s="15">
        <f t="shared" si="36"/>
        <v>4</v>
      </c>
      <c r="KN76">
        <v>109</v>
      </c>
      <c r="KY76">
        <v>492</v>
      </c>
      <c r="LC76">
        <v>1445</v>
      </c>
      <c r="MZ76" s="15">
        <f t="shared" si="37"/>
        <v>3</v>
      </c>
      <c r="OQ76" s="15">
        <f t="shared" si="38"/>
        <v>0</v>
      </c>
      <c r="OW76" s="28">
        <f t="shared" si="39"/>
        <v>0</v>
      </c>
      <c r="OX76">
        <v>52.6</v>
      </c>
      <c r="PL76">
        <v>28.2</v>
      </c>
      <c r="RD76" s="15">
        <f t="shared" si="40"/>
        <v>2</v>
      </c>
      <c r="RU76" s="15">
        <f t="shared" si="41"/>
        <v>0</v>
      </c>
      <c r="RV76">
        <v>79</v>
      </c>
      <c r="SI76">
        <v>201</v>
      </c>
      <c r="TF76">
        <v>532</v>
      </c>
      <c r="UE76" s="15">
        <f t="shared" si="42"/>
        <v>3</v>
      </c>
      <c r="VJ76" s="15">
        <f t="shared" si="43"/>
        <v>0</v>
      </c>
      <c r="WM76" s="15">
        <f t="shared" si="44"/>
        <v>0</v>
      </c>
      <c r="XH76" s="15">
        <f t="shared" si="45"/>
        <v>0</v>
      </c>
      <c r="YD76" s="15">
        <f t="shared" si="46"/>
        <v>0</v>
      </c>
      <c r="YX76" s="15">
        <f t="shared" si="47"/>
        <v>0</v>
      </c>
      <c r="ZR76" s="15">
        <f t="shared" si="48"/>
        <v>0</v>
      </c>
      <c r="ZX76" s="15">
        <f t="shared" si="49"/>
        <v>0</v>
      </c>
      <c r="AAT76" s="15">
        <f t="shared" si="50"/>
        <v>0</v>
      </c>
      <c r="ABQ76" s="15">
        <f t="shared" si="51"/>
        <v>0</v>
      </c>
      <c r="ABV76" s="28">
        <f t="shared" si="52"/>
        <v>0</v>
      </c>
      <c r="ACC76" s="28">
        <f t="shared" si="53"/>
        <v>0</v>
      </c>
      <c r="ACQ76" s="15">
        <f t="shared" si="54"/>
        <v>0</v>
      </c>
      <c r="ADA76" s="15">
        <f t="shared" si="55"/>
        <v>0</v>
      </c>
      <c r="ADM76" s="15">
        <f t="shared" si="56"/>
        <v>0</v>
      </c>
      <c r="AEI76" s="15">
        <f t="shared" si="57"/>
        <v>0</v>
      </c>
    </row>
    <row r="77" spans="2:815" x14ac:dyDescent="0.25">
      <c r="B77" s="2" t="s">
        <v>131</v>
      </c>
      <c r="C77" t="s">
        <v>132</v>
      </c>
      <c r="D77">
        <v>50</v>
      </c>
      <c r="E77" t="s">
        <v>14</v>
      </c>
      <c r="F77" t="s">
        <v>9</v>
      </c>
      <c r="G77" t="s">
        <v>9</v>
      </c>
      <c r="H77" t="s">
        <v>254</v>
      </c>
      <c r="I77" t="s">
        <v>243</v>
      </c>
      <c r="J77" t="s">
        <v>257</v>
      </c>
      <c r="K77" t="s">
        <v>1407</v>
      </c>
      <c r="L77" t="s">
        <v>306</v>
      </c>
      <c r="M77">
        <v>111</v>
      </c>
      <c r="N77">
        <v>172</v>
      </c>
      <c r="O77" t="s">
        <v>1087</v>
      </c>
      <c r="Q77" s="13">
        <v>38777</v>
      </c>
      <c r="R77" t="s">
        <v>1218</v>
      </c>
      <c r="S77" t="s">
        <v>1217</v>
      </c>
      <c r="T77" t="s">
        <v>1406</v>
      </c>
      <c r="U77" t="s">
        <v>1405</v>
      </c>
      <c r="V77" t="s">
        <v>306</v>
      </c>
      <c r="W77" t="s">
        <v>1404</v>
      </c>
      <c r="X77" t="s">
        <v>1408</v>
      </c>
      <c r="BA77" s="15">
        <f t="shared" si="29"/>
        <v>0</v>
      </c>
      <c r="CB77" s="15">
        <f t="shared" si="30"/>
        <v>0</v>
      </c>
      <c r="DE77" s="15">
        <f t="shared" si="31"/>
        <v>0</v>
      </c>
      <c r="DS77" s="15">
        <f t="shared" si="32"/>
        <v>0</v>
      </c>
      <c r="EF77" s="15">
        <f t="shared" si="33"/>
        <v>0</v>
      </c>
      <c r="FI77" s="15">
        <f t="shared" si="34"/>
        <v>0</v>
      </c>
      <c r="FJ77" t="s">
        <v>1962</v>
      </c>
      <c r="FN77">
        <v>126</v>
      </c>
      <c r="HY77" s="15">
        <f t="shared" si="35"/>
        <v>2</v>
      </c>
      <c r="HZ77">
        <v>594</v>
      </c>
      <c r="IC77">
        <v>516</v>
      </c>
      <c r="IY77">
        <v>78</v>
      </c>
      <c r="KM77" s="15">
        <f t="shared" si="36"/>
        <v>3</v>
      </c>
      <c r="KN77" t="s">
        <v>1985</v>
      </c>
      <c r="KP77" t="s">
        <v>1986</v>
      </c>
      <c r="LK77">
        <v>96</v>
      </c>
      <c r="MZ77" s="15">
        <f t="shared" si="37"/>
        <v>3</v>
      </c>
      <c r="OQ77" s="15">
        <f t="shared" si="38"/>
        <v>0</v>
      </c>
      <c r="OW77" s="28">
        <f t="shared" si="39"/>
        <v>0</v>
      </c>
      <c r="RD77" s="15">
        <f t="shared" si="40"/>
        <v>0</v>
      </c>
      <c r="RU77" s="15">
        <f t="shared" si="41"/>
        <v>0</v>
      </c>
      <c r="RV77" t="s">
        <v>893</v>
      </c>
      <c r="UE77" s="15">
        <f t="shared" si="42"/>
        <v>1</v>
      </c>
      <c r="VJ77" s="15">
        <f t="shared" si="43"/>
        <v>0</v>
      </c>
      <c r="WM77" s="15">
        <f t="shared" si="44"/>
        <v>0</v>
      </c>
      <c r="XH77" s="15">
        <f t="shared" si="45"/>
        <v>0</v>
      </c>
      <c r="YD77" s="15">
        <f t="shared" si="46"/>
        <v>0</v>
      </c>
      <c r="YX77" s="15">
        <f t="shared" si="47"/>
        <v>0</v>
      </c>
      <c r="ZA77" t="s">
        <v>890</v>
      </c>
      <c r="ZN77" t="s">
        <v>892</v>
      </c>
      <c r="ZR77" s="15">
        <f t="shared" si="48"/>
        <v>2</v>
      </c>
      <c r="ZX77" s="15">
        <f t="shared" si="49"/>
        <v>0</v>
      </c>
      <c r="AAT77" s="15">
        <f t="shared" si="50"/>
        <v>0</v>
      </c>
      <c r="ABQ77" s="15">
        <f t="shared" si="51"/>
        <v>0</v>
      </c>
      <c r="ABV77" s="28">
        <f t="shared" si="52"/>
        <v>0</v>
      </c>
      <c r="ACC77" s="28">
        <f t="shared" si="53"/>
        <v>0</v>
      </c>
      <c r="ACQ77" s="15">
        <f t="shared" si="54"/>
        <v>0</v>
      </c>
      <c r="ADA77" s="15">
        <f t="shared" si="55"/>
        <v>0</v>
      </c>
      <c r="ADM77" s="15">
        <f t="shared" si="56"/>
        <v>0</v>
      </c>
      <c r="AEI77" s="15">
        <f t="shared" si="57"/>
        <v>0</v>
      </c>
    </row>
    <row r="78" spans="2:815" x14ac:dyDescent="0.25">
      <c r="B78" s="3" t="s">
        <v>133</v>
      </c>
      <c r="D78">
        <v>55</v>
      </c>
      <c r="E78" t="s">
        <v>14</v>
      </c>
      <c r="F78" t="s">
        <v>9</v>
      </c>
      <c r="G78" t="s">
        <v>15</v>
      </c>
      <c r="K78" t="s">
        <v>1411</v>
      </c>
      <c r="L78" t="s">
        <v>1410</v>
      </c>
      <c r="W78" t="s">
        <v>1409</v>
      </c>
      <c r="BA78" s="15">
        <f t="shared" si="29"/>
        <v>0</v>
      </c>
      <c r="CB78" s="15">
        <f t="shared" si="30"/>
        <v>0</v>
      </c>
      <c r="DE78" s="15">
        <f t="shared" si="31"/>
        <v>0</v>
      </c>
      <c r="DS78" s="15">
        <f t="shared" si="32"/>
        <v>0</v>
      </c>
      <c r="EF78" s="15">
        <f t="shared" si="33"/>
        <v>0</v>
      </c>
      <c r="FI78" s="15">
        <f t="shared" si="34"/>
        <v>0</v>
      </c>
      <c r="HY78" s="15">
        <f t="shared" si="35"/>
        <v>0</v>
      </c>
      <c r="KM78" s="15">
        <f t="shared" si="36"/>
        <v>0</v>
      </c>
      <c r="MZ78" s="15">
        <f t="shared" si="37"/>
        <v>0</v>
      </c>
      <c r="OQ78" s="15">
        <f t="shared" si="38"/>
        <v>0</v>
      </c>
      <c r="OW78" s="28">
        <f t="shared" si="39"/>
        <v>0</v>
      </c>
      <c r="RD78" s="15">
        <f t="shared" si="40"/>
        <v>0</v>
      </c>
      <c r="RU78" s="15">
        <f t="shared" si="41"/>
        <v>0</v>
      </c>
      <c r="UE78" s="15">
        <f t="shared" si="42"/>
        <v>0</v>
      </c>
      <c r="VJ78" s="15">
        <f t="shared" si="43"/>
        <v>0</v>
      </c>
      <c r="WM78" s="15">
        <f t="shared" si="44"/>
        <v>0</v>
      </c>
      <c r="XH78" s="15">
        <f t="shared" si="45"/>
        <v>0</v>
      </c>
      <c r="YD78" s="15">
        <f t="shared" si="46"/>
        <v>0</v>
      </c>
      <c r="YX78" s="15">
        <f t="shared" si="47"/>
        <v>0</v>
      </c>
      <c r="ZR78" s="15">
        <f t="shared" si="48"/>
        <v>0</v>
      </c>
      <c r="ZX78" s="15">
        <f t="shared" si="49"/>
        <v>0</v>
      </c>
      <c r="AAT78" s="15">
        <f t="shared" si="50"/>
        <v>0</v>
      </c>
      <c r="ABQ78" s="15">
        <f t="shared" si="51"/>
        <v>0</v>
      </c>
      <c r="ABV78" s="28">
        <f t="shared" si="52"/>
        <v>0</v>
      </c>
      <c r="ACC78" s="28">
        <f t="shared" si="53"/>
        <v>0</v>
      </c>
      <c r="ACQ78" s="15">
        <f t="shared" si="54"/>
        <v>0</v>
      </c>
      <c r="ADA78" s="15">
        <f t="shared" si="55"/>
        <v>0</v>
      </c>
      <c r="ADM78" s="15">
        <f t="shared" si="56"/>
        <v>0</v>
      </c>
      <c r="AEI78" s="15">
        <f t="shared" si="57"/>
        <v>0</v>
      </c>
    </row>
    <row r="79" spans="2:815" x14ac:dyDescent="0.25">
      <c r="B79" s="2" t="s">
        <v>134</v>
      </c>
      <c r="C79" t="s">
        <v>135</v>
      </c>
      <c r="D79">
        <v>50</v>
      </c>
      <c r="E79" t="s">
        <v>8</v>
      </c>
      <c r="F79" t="s">
        <v>9</v>
      </c>
      <c r="G79" t="s">
        <v>9</v>
      </c>
      <c r="H79" t="s">
        <v>272</v>
      </c>
      <c r="I79" t="s">
        <v>243</v>
      </c>
      <c r="J79" t="s">
        <v>257</v>
      </c>
      <c r="K79" t="s">
        <v>256</v>
      </c>
      <c r="L79" t="s">
        <v>320</v>
      </c>
      <c r="M79">
        <v>61</v>
      </c>
      <c r="N79">
        <v>134</v>
      </c>
      <c r="O79">
        <v>34</v>
      </c>
      <c r="P79" s="10">
        <v>38953</v>
      </c>
      <c r="Q79" s="10">
        <v>38957</v>
      </c>
      <c r="R79" t="s">
        <v>1375</v>
      </c>
      <c r="S79" t="s">
        <v>1256</v>
      </c>
      <c r="T79" t="s">
        <v>1174</v>
      </c>
      <c r="U79" t="s">
        <v>1412</v>
      </c>
      <c r="BA79" s="15">
        <f t="shared" si="29"/>
        <v>0</v>
      </c>
      <c r="CB79" s="15">
        <f t="shared" si="30"/>
        <v>0</v>
      </c>
      <c r="DE79" s="15">
        <f t="shared" si="31"/>
        <v>0</v>
      </c>
      <c r="DS79" s="15">
        <f t="shared" si="32"/>
        <v>0</v>
      </c>
      <c r="EF79" s="15">
        <f t="shared" si="33"/>
        <v>0</v>
      </c>
      <c r="FI79" s="15">
        <f t="shared" si="34"/>
        <v>0</v>
      </c>
      <c r="FJ79">
        <v>3306</v>
      </c>
      <c r="HY79" s="15">
        <f t="shared" si="35"/>
        <v>1</v>
      </c>
      <c r="HZ79" t="s">
        <v>1975</v>
      </c>
      <c r="KM79" s="15">
        <f t="shared" si="36"/>
        <v>1</v>
      </c>
      <c r="KN79" t="s">
        <v>1987</v>
      </c>
      <c r="MZ79" s="15">
        <f t="shared" si="37"/>
        <v>1</v>
      </c>
      <c r="OQ79" s="15">
        <f t="shared" si="38"/>
        <v>0</v>
      </c>
      <c r="OW79" s="28">
        <f t="shared" si="39"/>
        <v>0</v>
      </c>
      <c r="RD79" s="15">
        <f t="shared" si="40"/>
        <v>0</v>
      </c>
      <c r="RU79" s="15">
        <f t="shared" si="41"/>
        <v>0</v>
      </c>
      <c r="RV79" t="s">
        <v>2006</v>
      </c>
      <c r="UE79" s="15">
        <f t="shared" si="42"/>
        <v>1</v>
      </c>
      <c r="VJ79" s="15">
        <f t="shared" si="43"/>
        <v>0</v>
      </c>
      <c r="WM79" s="15">
        <f t="shared" si="44"/>
        <v>0</v>
      </c>
      <c r="XH79" s="15">
        <f t="shared" si="45"/>
        <v>0</v>
      </c>
      <c r="YD79" s="15">
        <f t="shared" si="46"/>
        <v>0</v>
      </c>
      <c r="YX79" s="15">
        <f t="shared" si="47"/>
        <v>0</v>
      </c>
      <c r="ZR79" s="15">
        <f t="shared" si="48"/>
        <v>0</v>
      </c>
      <c r="ZX79" s="15">
        <f t="shared" si="49"/>
        <v>0</v>
      </c>
      <c r="AAT79" s="15">
        <f t="shared" si="50"/>
        <v>0</v>
      </c>
      <c r="ABQ79" s="15">
        <f t="shared" si="51"/>
        <v>0</v>
      </c>
      <c r="ABV79" s="28">
        <f t="shared" si="52"/>
        <v>0</v>
      </c>
      <c r="ACC79" s="28">
        <f t="shared" si="53"/>
        <v>0</v>
      </c>
      <c r="ACQ79" s="15">
        <f t="shared" si="54"/>
        <v>0</v>
      </c>
      <c r="ADA79" s="15">
        <f t="shared" si="55"/>
        <v>0</v>
      </c>
      <c r="ADM79" s="15">
        <f t="shared" si="56"/>
        <v>0</v>
      </c>
      <c r="AEI79" s="15">
        <f t="shared" si="57"/>
        <v>0</v>
      </c>
    </row>
    <row r="80" spans="2:815" x14ac:dyDescent="0.25">
      <c r="B80" s="3" t="s">
        <v>136</v>
      </c>
      <c r="C80" t="s">
        <v>137</v>
      </c>
      <c r="D80">
        <v>1</v>
      </c>
      <c r="E80" t="s">
        <v>14</v>
      </c>
      <c r="F80" t="s">
        <v>15</v>
      </c>
      <c r="G80" t="s">
        <v>15</v>
      </c>
      <c r="H80" t="s">
        <v>275</v>
      </c>
      <c r="I80" t="s">
        <v>243</v>
      </c>
      <c r="L80" t="s">
        <v>1413</v>
      </c>
      <c r="W80" t="s">
        <v>1414</v>
      </c>
      <c r="BA80" s="15">
        <f t="shared" si="29"/>
        <v>0</v>
      </c>
      <c r="CB80" s="15">
        <f t="shared" si="30"/>
        <v>0</v>
      </c>
      <c r="DE80" s="15">
        <f t="shared" si="31"/>
        <v>0</v>
      </c>
      <c r="DS80" s="15">
        <f t="shared" si="32"/>
        <v>0</v>
      </c>
      <c r="EF80" s="15">
        <f t="shared" si="33"/>
        <v>0</v>
      </c>
      <c r="FI80" s="15">
        <f t="shared" si="34"/>
        <v>0</v>
      </c>
      <c r="HY80" s="15">
        <f t="shared" si="35"/>
        <v>0</v>
      </c>
      <c r="KM80" s="15">
        <f t="shared" si="36"/>
        <v>0</v>
      </c>
      <c r="MZ80" s="15">
        <f t="shared" si="37"/>
        <v>0</v>
      </c>
      <c r="OQ80" s="15">
        <f t="shared" si="38"/>
        <v>0</v>
      </c>
      <c r="OW80" s="28">
        <f t="shared" si="39"/>
        <v>0</v>
      </c>
      <c r="RD80" s="15">
        <f t="shared" si="40"/>
        <v>0</v>
      </c>
      <c r="RU80" s="15">
        <f t="shared" si="41"/>
        <v>0</v>
      </c>
      <c r="UE80" s="15">
        <f t="shared" si="42"/>
        <v>0</v>
      </c>
      <c r="VJ80" s="15">
        <f t="shared" si="43"/>
        <v>0</v>
      </c>
      <c r="WM80" s="15">
        <f t="shared" si="44"/>
        <v>0</v>
      </c>
      <c r="XH80" s="15">
        <f t="shared" si="45"/>
        <v>0</v>
      </c>
      <c r="YD80" s="15">
        <f t="shared" si="46"/>
        <v>0</v>
      </c>
      <c r="YX80" s="15">
        <f t="shared" si="47"/>
        <v>0</v>
      </c>
      <c r="ZR80" s="15">
        <f t="shared" si="48"/>
        <v>0</v>
      </c>
      <c r="ZX80" s="15">
        <f t="shared" si="49"/>
        <v>0</v>
      </c>
      <c r="AAT80" s="15">
        <f t="shared" si="50"/>
        <v>0</v>
      </c>
      <c r="ABQ80" s="15">
        <f t="shared" si="51"/>
        <v>0</v>
      </c>
      <c r="ABV80" s="28">
        <f t="shared" si="52"/>
        <v>0</v>
      </c>
      <c r="ACC80" s="28">
        <f t="shared" si="53"/>
        <v>0</v>
      </c>
      <c r="ACQ80" s="15">
        <f t="shared" si="54"/>
        <v>0</v>
      </c>
      <c r="ADA80" s="15">
        <f t="shared" si="55"/>
        <v>0</v>
      </c>
      <c r="ADM80" s="15">
        <f t="shared" si="56"/>
        <v>0</v>
      </c>
      <c r="AEI80" s="15">
        <f t="shared" si="57"/>
        <v>0</v>
      </c>
    </row>
    <row r="81" spans="2:815" x14ac:dyDescent="0.25">
      <c r="B81" s="2" t="s">
        <v>138</v>
      </c>
      <c r="C81" t="s">
        <v>139</v>
      </c>
      <c r="D81">
        <v>36</v>
      </c>
      <c r="E81" t="s">
        <v>14</v>
      </c>
      <c r="F81" t="s">
        <v>15</v>
      </c>
      <c r="G81" t="s">
        <v>9</v>
      </c>
      <c r="H81" t="s">
        <v>253</v>
      </c>
      <c r="I81" t="s">
        <v>243</v>
      </c>
      <c r="J81" t="s">
        <v>257</v>
      </c>
      <c r="K81" t="s">
        <v>1415</v>
      </c>
      <c r="L81" t="s">
        <v>303</v>
      </c>
      <c r="M81">
        <v>75</v>
      </c>
      <c r="N81">
        <v>186</v>
      </c>
      <c r="O81" t="s">
        <v>1088</v>
      </c>
      <c r="P81" s="10">
        <v>38621</v>
      </c>
      <c r="Q81" s="10">
        <v>38636</v>
      </c>
      <c r="R81" t="s">
        <v>1528</v>
      </c>
      <c r="S81" t="s">
        <v>1418</v>
      </c>
      <c r="V81" t="s">
        <v>1416</v>
      </c>
      <c r="W81" t="s">
        <v>1417</v>
      </c>
      <c r="AA81">
        <v>519</v>
      </c>
      <c r="BA81" s="15">
        <f t="shared" si="29"/>
        <v>1</v>
      </c>
      <c r="BB81">
        <v>103</v>
      </c>
      <c r="CB81" s="15">
        <f t="shared" si="30"/>
        <v>1</v>
      </c>
      <c r="CC81">
        <v>34.1</v>
      </c>
      <c r="DE81" s="15">
        <f t="shared" si="31"/>
        <v>1</v>
      </c>
      <c r="DG81">
        <v>403</v>
      </c>
      <c r="DS81" s="15">
        <f t="shared" si="32"/>
        <v>1</v>
      </c>
      <c r="EF81" s="15">
        <f t="shared" si="33"/>
        <v>0</v>
      </c>
      <c r="EG81">
        <v>4800</v>
      </c>
      <c r="FI81" s="15">
        <f t="shared" si="34"/>
        <v>1</v>
      </c>
      <c r="FJ81" t="s">
        <v>1963</v>
      </c>
      <c r="FN81" t="s">
        <v>1964</v>
      </c>
      <c r="FR81" t="s">
        <v>1965</v>
      </c>
      <c r="FX81">
        <v>495</v>
      </c>
      <c r="HY81" s="15">
        <f t="shared" si="35"/>
        <v>4</v>
      </c>
      <c r="HZ81" t="s">
        <v>1976</v>
      </c>
      <c r="IC81" s="8" t="s">
        <v>1977</v>
      </c>
      <c r="ID81" s="8"/>
      <c r="IE81" s="8"/>
      <c r="IG81" t="s">
        <v>1978</v>
      </c>
      <c r="IM81">
        <v>483</v>
      </c>
      <c r="KM81" s="15">
        <f t="shared" si="36"/>
        <v>4</v>
      </c>
      <c r="KN81">
        <v>120</v>
      </c>
      <c r="KP81" t="s">
        <v>1988</v>
      </c>
      <c r="KS81" t="s">
        <v>1989</v>
      </c>
      <c r="KY81">
        <v>129</v>
      </c>
      <c r="MZ81" s="15">
        <f t="shared" si="37"/>
        <v>4</v>
      </c>
      <c r="ND81" t="s">
        <v>1995</v>
      </c>
      <c r="OQ81" s="15">
        <f t="shared" si="38"/>
        <v>1</v>
      </c>
      <c r="OW81" s="28">
        <f t="shared" si="39"/>
        <v>0</v>
      </c>
      <c r="RD81" s="15">
        <f t="shared" si="40"/>
        <v>0</v>
      </c>
      <c r="RU81" s="15">
        <f t="shared" si="41"/>
        <v>0</v>
      </c>
      <c r="RV81" t="s">
        <v>2007</v>
      </c>
      <c r="RY81" t="s">
        <v>2008</v>
      </c>
      <c r="SC81" t="s">
        <v>2009</v>
      </c>
      <c r="SI81" t="s">
        <v>2007</v>
      </c>
      <c r="UE81" s="15">
        <f t="shared" si="42"/>
        <v>4</v>
      </c>
      <c r="VJ81" s="15">
        <f t="shared" si="43"/>
        <v>0</v>
      </c>
      <c r="VK81">
        <v>78</v>
      </c>
      <c r="WM81" s="15">
        <f t="shared" si="44"/>
        <v>1</v>
      </c>
      <c r="WN81">
        <v>1.01</v>
      </c>
      <c r="XH81" s="15">
        <f t="shared" si="45"/>
        <v>1</v>
      </c>
      <c r="YD81" s="15">
        <f t="shared" si="46"/>
        <v>0</v>
      </c>
      <c r="YX81" s="15">
        <f t="shared" si="47"/>
        <v>0</v>
      </c>
      <c r="ZR81" s="15">
        <f t="shared" si="48"/>
        <v>0</v>
      </c>
      <c r="ZX81" s="15">
        <f t="shared" si="49"/>
        <v>0</v>
      </c>
      <c r="ZY81">
        <v>4.9000000000000004</v>
      </c>
      <c r="AAT81" s="15">
        <f t="shared" si="50"/>
        <v>1</v>
      </c>
      <c r="ABQ81" s="15">
        <f t="shared" si="51"/>
        <v>0</v>
      </c>
      <c r="ABV81" s="28">
        <f t="shared" si="52"/>
        <v>0</v>
      </c>
      <c r="ACC81" s="28">
        <f t="shared" si="53"/>
        <v>0</v>
      </c>
      <c r="ACQ81" s="15">
        <f t="shared" si="54"/>
        <v>0</v>
      </c>
      <c r="ADA81" s="15">
        <f t="shared" si="55"/>
        <v>0</v>
      </c>
      <c r="ADM81" s="15">
        <f t="shared" si="56"/>
        <v>0</v>
      </c>
      <c r="ADS81" t="s">
        <v>2024</v>
      </c>
      <c r="AEI81" s="15">
        <f t="shared" si="57"/>
        <v>1</v>
      </c>
    </row>
    <row r="82" spans="2:815" x14ac:dyDescent="0.25">
      <c r="B82" s="2" t="s">
        <v>140</v>
      </c>
      <c r="C82" t="s">
        <v>141</v>
      </c>
      <c r="D82">
        <v>23</v>
      </c>
      <c r="E82" t="s">
        <v>8</v>
      </c>
      <c r="F82" t="s">
        <v>15</v>
      </c>
      <c r="G82" t="s">
        <v>9</v>
      </c>
      <c r="H82" t="s">
        <v>276</v>
      </c>
      <c r="I82" t="s">
        <v>243</v>
      </c>
      <c r="K82" t="s">
        <v>1419</v>
      </c>
      <c r="L82" t="s">
        <v>310</v>
      </c>
      <c r="M82">
        <v>73</v>
      </c>
      <c r="N82">
        <v>170</v>
      </c>
      <c r="O82" t="s">
        <v>1080</v>
      </c>
      <c r="P82" s="10">
        <v>38629</v>
      </c>
      <c r="Q82" s="10">
        <v>38663</v>
      </c>
      <c r="R82" t="s">
        <v>1423</v>
      </c>
      <c r="S82" t="s">
        <v>1137</v>
      </c>
      <c r="U82" t="s">
        <v>1421</v>
      </c>
      <c r="V82" t="s">
        <v>1420</v>
      </c>
      <c r="W82" t="s">
        <v>1422</v>
      </c>
      <c r="BA82" s="15">
        <f t="shared" si="29"/>
        <v>0</v>
      </c>
      <c r="BB82">
        <v>50</v>
      </c>
      <c r="BR82">
        <v>25</v>
      </c>
      <c r="CB82" s="15">
        <f t="shared" si="30"/>
        <v>2</v>
      </c>
      <c r="DE82" s="15">
        <f t="shared" si="31"/>
        <v>0</v>
      </c>
      <c r="DS82" s="15">
        <f t="shared" si="32"/>
        <v>0</v>
      </c>
      <c r="EF82" s="15">
        <f t="shared" si="33"/>
        <v>0</v>
      </c>
      <c r="FI82" s="15">
        <f t="shared" si="34"/>
        <v>0</v>
      </c>
      <c r="HY82" s="15">
        <f t="shared" si="35"/>
        <v>0</v>
      </c>
      <c r="KM82" s="15">
        <f t="shared" si="36"/>
        <v>0</v>
      </c>
      <c r="LI82">
        <v>2.14</v>
      </c>
      <c r="MZ82" s="15">
        <f t="shared" si="37"/>
        <v>1</v>
      </c>
      <c r="OQ82" s="15">
        <f t="shared" si="38"/>
        <v>0</v>
      </c>
      <c r="OW82" s="28">
        <f t="shared" si="39"/>
        <v>0</v>
      </c>
      <c r="OX82">
        <v>345</v>
      </c>
      <c r="RD82" s="15">
        <f t="shared" si="40"/>
        <v>1</v>
      </c>
      <c r="RE82" t="s">
        <v>894</v>
      </c>
      <c r="RN82">
        <v>294</v>
      </c>
      <c r="RU82" s="15">
        <f t="shared" si="41"/>
        <v>2</v>
      </c>
      <c r="RV82" t="s">
        <v>895</v>
      </c>
      <c r="SS82">
        <v>3.28</v>
      </c>
      <c r="UE82" s="15">
        <f t="shared" si="42"/>
        <v>2</v>
      </c>
      <c r="VJ82" s="15">
        <f t="shared" si="43"/>
        <v>0</v>
      </c>
      <c r="VK82">
        <v>52</v>
      </c>
      <c r="WM82" s="15">
        <f t="shared" si="44"/>
        <v>1</v>
      </c>
      <c r="XH82" s="15">
        <f t="shared" si="45"/>
        <v>0</v>
      </c>
      <c r="YD82" s="15">
        <f t="shared" si="46"/>
        <v>0</v>
      </c>
      <c r="YX82" s="15">
        <f t="shared" si="47"/>
        <v>0</v>
      </c>
      <c r="ZR82" s="15">
        <f t="shared" si="48"/>
        <v>0</v>
      </c>
      <c r="ZX82" s="15">
        <f t="shared" si="49"/>
        <v>0</v>
      </c>
      <c r="ZY82">
        <v>2.7</v>
      </c>
      <c r="AAT82" s="15">
        <f t="shared" si="50"/>
        <v>1</v>
      </c>
      <c r="ABQ82" s="15">
        <f t="shared" si="51"/>
        <v>0</v>
      </c>
      <c r="ABV82" s="28">
        <f t="shared" si="52"/>
        <v>0</v>
      </c>
      <c r="ACC82" s="28">
        <f t="shared" si="53"/>
        <v>0</v>
      </c>
      <c r="ACH82">
        <v>32</v>
      </c>
      <c r="ACP82">
        <v>27</v>
      </c>
      <c r="ACQ82" s="15">
        <f t="shared" si="54"/>
        <v>2</v>
      </c>
      <c r="ADA82" s="15">
        <f t="shared" si="55"/>
        <v>0</v>
      </c>
      <c r="ADM82" s="15">
        <f t="shared" si="56"/>
        <v>0</v>
      </c>
      <c r="AEI82" s="15">
        <f t="shared" si="57"/>
        <v>0</v>
      </c>
    </row>
    <row r="83" spans="2:815" x14ac:dyDescent="0.25">
      <c r="B83" s="3" t="s">
        <v>142</v>
      </c>
      <c r="F83" t="s">
        <v>9</v>
      </c>
      <c r="G83" t="s">
        <v>15</v>
      </c>
      <c r="BA83" s="15">
        <f t="shared" si="29"/>
        <v>0</v>
      </c>
      <c r="CB83" s="15">
        <f t="shared" si="30"/>
        <v>0</v>
      </c>
      <c r="DE83" s="15">
        <f t="shared" si="31"/>
        <v>0</v>
      </c>
      <c r="DS83" s="15">
        <f t="shared" si="32"/>
        <v>0</v>
      </c>
      <c r="EF83" s="15">
        <f t="shared" si="33"/>
        <v>0</v>
      </c>
      <c r="FI83" s="15">
        <f t="shared" si="34"/>
        <v>0</v>
      </c>
      <c r="HY83" s="15">
        <f t="shared" si="35"/>
        <v>0</v>
      </c>
      <c r="KM83" s="15">
        <f t="shared" si="36"/>
        <v>0</v>
      </c>
      <c r="MZ83" s="15">
        <f t="shared" si="37"/>
        <v>0</v>
      </c>
      <c r="OQ83" s="15">
        <f t="shared" si="38"/>
        <v>0</v>
      </c>
      <c r="OW83" s="28">
        <f t="shared" si="39"/>
        <v>0</v>
      </c>
      <c r="RD83" s="15">
        <f t="shared" si="40"/>
        <v>0</v>
      </c>
      <c r="RU83" s="15">
        <f t="shared" si="41"/>
        <v>0</v>
      </c>
      <c r="UE83" s="15">
        <f t="shared" si="42"/>
        <v>0</v>
      </c>
      <c r="VJ83" s="15">
        <f t="shared" si="43"/>
        <v>0</v>
      </c>
      <c r="WM83" s="15">
        <f t="shared" si="44"/>
        <v>0</v>
      </c>
      <c r="XH83" s="15">
        <f t="shared" si="45"/>
        <v>0</v>
      </c>
      <c r="YD83" s="15">
        <f t="shared" si="46"/>
        <v>0</v>
      </c>
      <c r="YX83" s="15">
        <f t="shared" si="47"/>
        <v>0</v>
      </c>
      <c r="ZR83" s="15">
        <f t="shared" si="48"/>
        <v>0</v>
      </c>
      <c r="ZX83" s="15">
        <f t="shared" si="49"/>
        <v>0</v>
      </c>
      <c r="AAT83" s="15">
        <f t="shared" si="50"/>
        <v>0</v>
      </c>
      <c r="ABQ83" s="15">
        <f t="shared" si="51"/>
        <v>0</v>
      </c>
      <c r="ABV83" s="28">
        <f t="shared" si="52"/>
        <v>0</v>
      </c>
      <c r="ACC83" s="28">
        <f t="shared" si="53"/>
        <v>0</v>
      </c>
      <c r="ACQ83" s="15">
        <f t="shared" si="54"/>
        <v>0</v>
      </c>
      <c r="ADA83" s="15">
        <f t="shared" si="55"/>
        <v>0</v>
      </c>
      <c r="ADM83" s="15">
        <f t="shared" si="56"/>
        <v>0</v>
      </c>
      <c r="AEI83" s="15">
        <f t="shared" si="57"/>
        <v>0</v>
      </c>
    </row>
    <row r="84" spans="2:815" x14ac:dyDescent="0.25">
      <c r="B84" s="1" t="s">
        <v>143</v>
      </c>
      <c r="D84">
        <v>50</v>
      </c>
      <c r="E84" t="s">
        <v>8</v>
      </c>
      <c r="F84" t="s">
        <v>15</v>
      </c>
      <c r="G84" t="s">
        <v>15</v>
      </c>
      <c r="W84" t="s">
        <v>1424</v>
      </c>
      <c r="BA84" s="15">
        <f t="shared" si="29"/>
        <v>0</v>
      </c>
      <c r="CB84" s="15">
        <f t="shared" si="30"/>
        <v>0</v>
      </c>
      <c r="DE84" s="15">
        <f t="shared" si="31"/>
        <v>0</v>
      </c>
      <c r="DS84" s="15">
        <f t="shared" si="32"/>
        <v>0</v>
      </c>
      <c r="EF84" s="15">
        <f t="shared" si="33"/>
        <v>0</v>
      </c>
      <c r="FI84" s="15">
        <f t="shared" si="34"/>
        <v>0</v>
      </c>
      <c r="HY84" s="15">
        <f t="shared" si="35"/>
        <v>0</v>
      </c>
      <c r="KM84" s="15">
        <f t="shared" si="36"/>
        <v>0</v>
      </c>
      <c r="MZ84" s="15">
        <f t="shared" si="37"/>
        <v>0</v>
      </c>
      <c r="OQ84" s="15">
        <f t="shared" si="38"/>
        <v>0</v>
      </c>
      <c r="OW84" s="28">
        <f t="shared" si="39"/>
        <v>0</v>
      </c>
      <c r="RD84" s="15">
        <f t="shared" si="40"/>
        <v>0</v>
      </c>
      <c r="RU84" s="15">
        <f t="shared" si="41"/>
        <v>0</v>
      </c>
      <c r="UE84" s="15">
        <f t="shared" si="42"/>
        <v>0</v>
      </c>
      <c r="VJ84" s="15">
        <f t="shared" si="43"/>
        <v>0</v>
      </c>
      <c r="WM84" s="15">
        <f t="shared" si="44"/>
        <v>0</v>
      </c>
      <c r="XH84" s="15">
        <f t="shared" si="45"/>
        <v>0</v>
      </c>
      <c r="YD84" s="15">
        <f t="shared" si="46"/>
        <v>0</v>
      </c>
      <c r="YX84" s="15">
        <f t="shared" si="47"/>
        <v>0</v>
      </c>
      <c r="ZR84" s="15">
        <f t="shared" si="48"/>
        <v>0</v>
      </c>
      <c r="ZX84" s="15">
        <f t="shared" si="49"/>
        <v>0</v>
      </c>
      <c r="AAT84" s="15">
        <f t="shared" si="50"/>
        <v>0</v>
      </c>
      <c r="ABQ84" s="15">
        <f t="shared" si="51"/>
        <v>0</v>
      </c>
      <c r="ABV84" s="28">
        <f t="shared" si="52"/>
        <v>0</v>
      </c>
      <c r="ACC84" s="28">
        <f t="shared" si="53"/>
        <v>0</v>
      </c>
      <c r="ACQ84" s="15">
        <f t="shared" si="54"/>
        <v>0</v>
      </c>
      <c r="ADA84" s="15">
        <f t="shared" si="55"/>
        <v>0</v>
      </c>
      <c r="ADM84" s="15">
        <f t="shared" si="56"/>
        <v>0</v>
      </c>
      <c r="AEI84" s="15">
        <f t="shared" si="57"/>
        <v>0</v>
      </c>
    </row>
    <row r="85" spans="2:815" x14ac:dyDescent="0.25">
      <c r="B85" s="1" t="s">
        <v>144</v>
      </c>
      <c r="F85" t="s">
        <v>9</v>
      </c>
      <c r="G85" t="s">
        <v>15</v>
      </c>
      <c r="BA85" s="15">
        <f t="shared" si="29"/>
        <v>0</v>
      </c>
      <c r="CB85" s="15">
        <f t="shared" si="30"/>
        <v>0</v>
      </c>
      <c r="DE85" s="15">
        <f t="shared" si="31"/>
        <v>0</v>
      </c>
      <c r="DS85" s="15">
        <f t="shared" si="32"/>
        <v>0</v>
      </c>
      <c r="EF85" s="15">
        <f t="shared" si="33"/>
        <v>0</v>
      </c>
      <c r="FI85" s="15">
        <f t="shared" si="34"/>
        <v>0</v>
      </c>
      <c r="HY85" s="15">
        <f t="shared" si="35"/>
        <v>0</v>
      </c>
      <c r="KM85" s="15">
        <f t="shared" si="36"/>
        <v>0</v>
      </c>
      <c r="MZ85" s="15">
        <f t="shared" si="37"/>
        <v>0</v>
      </c>
      <c r="OQ85" s="15">
        <f t="shared" si="38"/>
        <v>0</v>
      </c>
      <c r="OW85" s="28">
        <f t="shared" si="39"/>
        <v>0</v>
      </c>
      <c r="RD85" s="15">
        <f t="shared" si="40"/>
        <v>0</v>
      </c>
      <c r="RU85" s="15">
        <f t="shared" si="41"/>
        <v>0</v>
      </c>
      <c r="UE85" s="15">
        <f t="shared" si="42"/>
        <v>0</v>
      </c>
      <c r="VJ85" s="15">
        <f t="shared" si="43"/>
        <v>0</v>
      </c>
      <c r="WM85" s="15">
        <f t="shared" si="44"/>
        <v>0</v>
      </c>
      <c r="XH85" s="15">
        <f t="shared" si="45"/>
        <v>0</v>
      </c>
      <c r="YD85" s="15">
        <f t="shared" si="46"/>
        <v>0</v>
      </c>
      <c r="YX85" s="15">
        <f t="shared" si="47"/>
        <v>0</v>
      </c>
      <c r="ZR85" s="15">
        <f t="shared" si="48"/>
        <v>0</v>
      </c>
      <c r="ZX85" s="15">
        <f t="shared" si="49"/>
        <v>0</v>
      </c>
      <c r="AAT85" s="15">
        <f t="shared" si="50"/>
        <v>0</v>
      </c>
      <c r="ABQ85" s="15">
        <f t="shared" si="51"/>
        <v>0</v>
      </c>
      <c r="ABV85" s="28">
        <f t="shared" si="52"/>
        <v>0</v>
      </c>
      <c r="ACC85" s="28">
        <f t="shared" si="53"/>
        <v>0</v>
      </c>
      <c r="ACQ85" s="15">
        <f t="shared" si="54"/>
        <v>0</v>
      </c>
      <c r="ADA85" s="15">
        <f t="shared" si="55"/>
        <v>0</v>
      </c>
      <c r="ADM85" s="15">
        <f t="shared" si="56"/>
        <v>0</v>
      </c>
      <c r="AEI85" s="15">
        <f t="shared" si="57"/>
        <v>0</v>
      </c>
    </row>
    <row r="86" spans="2:815" x14ac:dyDescent="0.25">
      <c r="B86" s="1" t="s">
        <v>145</v>
      </c>
      <c r="F86" t="s">
        <v>9</v>
      </c>
      <c r="G86" t="s">
        <v>15</v>
      </c>
      <c r="BA86" s="15">
        <f t="shared" si="29"/>
        <v>0</v>
      </c>
      <c r="CB86" s="15">
        <f t="shared" si="30"/>
        <v>0</v>
      </c>
      <c r="DE86" s="15">
        <f t="shared" si="31"/>
        <v>0</v>
      </c>
      <c r="DS86" s="15">
        <f t="shared" si="32"/>
        <v>0</v>
      </c>
      <c r="EF86" s="15">
        <f t="shared" si="33"/>
        <v>0</v>
      </c>
      <c r="FI86" s="15">
        <f t="shared" si="34"/>
        <v>0</v>
      </c>
      <c r="HY86" s="15">
        <f t="shared" si="35"/>
        <v>0</v>
      </c>
      <c r="KM86" s="15">
        <f t="shared" si="36"/>
        <v>0</v>
      </c>
      <c r="MZ86" s="15">
        <f t="shared" si="37"/>
        <v>0</v>
      </c>
      <c r="OQ86" s="15">
        <f t="shared" si="38"/>
        <v>0</v>
      </c>
      <c r="OW86" s="28">
        <f t="shared" si="39"/>
        <v>0</v>
      </c>
      <c r="RD86" s="15">
        <f t="shared" si="40"/>
        <v>0</v>
      </c>
      <c r="RU86" s="15">
        <f t="shared" si="41"/>
        <v>0</v>
      </c>
      <c r="UE86" s="15">
        <f t="shared" si="42"/>
        <v>0</v>
      </c>
      <c r="VJ86" s="15">
        <f t="shared" si="43"/>
        <v>0</v>
      </c>
      <c r="WM86" s="15">
        <f t="shared" si="44"/>
        <v>0</v>
      </c>
      <c r="XH86" s="15">
        <f t="shared" si="45"/>
        <v>0</v>
      </c>
      <c r="YD86" s="15">
        <f t="shared" si="46"/>
        <v>0</v>
      </c>
      <c r="YX86" s="15">
        <f t="shared" si="47"/>
        <v>0</v>
      </c>
      <c r="ZR86" s="15">
        <f t="shared" si="48"/>
        <v>0</v>
      </c>
      <c r="ZX86" s="15">
        <f t="shared" si="49"/>
        <v>0</v>
      </c>
      <c r="AAT86" s="15">
        <f t="shared" si="50"/>
        <v>0</v>
      </c>
      <c r="ABQ86" s="15">
        <f t="shared" si="51"/>
        <v>0</v>
      </c>
      <c r="ABV86" s="28">
        <f t="shared" si="52"/>
        <v>0</v>
      </c>
      <c r="ACC86" s="28">
        <f t="shared" si="53"/>
        <v>0</v>
      </c>
      <c r="ACQ86" s="15">
        <f t="shared" si="54"/>
        <v>0</v>
      </c>
      <c r="ADA86" s="15">
        <f t="shared" si="55"/>
        <v>0</v>
      </c>
      <c r="ADM86" s="15">
        <f t="shared" si="56"/>
        <v>0</v>
      </c>
      <c r="AEI86" s="15">
        <f t="shared" si="57"/>
        <v>0</v>
      </c>
    </row>
    <row r="87" spans="2:815" x14ac:dyDescent="0.25">
      <c r="B87" s="1" t="s">
        <v>146</v>
      </c>
      <c r="F87" t="s">
        <v>9</v>
      </c>
      <c r="G87" t="s">
        <v>15</v>
      </c>
      <c r="BA87" s="15">
        <f t="shared" si="29"/>
        <v>0</v>
      </c>
      <c r="CB87" s="15">
        <f t="shared" si="30"/>
        <v>0</v>
      </c>
      <c r="DE87" s="15">
        <f t="shared" si="31"/>
        <v>0</v>
      </c>
      <c r="DS87" s="15">
        <f t="shared" si="32"/>
        <v>0</v>
      </c>
      <c r="EF87" s="15">
        <f t="shared" si="33"/>
        <v>0</v>
      </c>
      <c r="FI87" s="15">
        <f t="shared" si="34"/>
        <v>0</v>
      </c>
      <c r="HY87" s="15">
        <f t="shared" si="35"/>
        <v>0</v>
      </c>
      <c r="KM87" s="15">
        <f t="shared" si="36"/>
        <v>0</v>
      </c>
      <c r="MZ87" s="15">
        <f t="shared" si="37"/>
        <v>0</v>
      </c>
      <c r="OQ87" s="15">
        <f t="shared" si="38"/>
        <v>0</v>
      </c>
      <c r="OW87" s="28">
        <f t="shared" si="39"/>
        <v>0</v>
      </c>
      <c r="RD87" s="15">
        <f t="shared" si="40"/>
        <v>0</v>
      </c>
      <c r="RU87" s="15">
        <f t="shared" si="41"/>
        <v>0</v>
      </c>
      <c r="UE87" s="15">
        <f t="shared" si="42"/>
        <v>0</v>
      </c>
      <c r="VJ87" s="15">
        <f t="shared" si="43"/>
        <v>0</v>
      </c>
      <c r="WM87" s="15">
        <f t="shared" si="44"/>
        <v>0</v>
      </c>
      <c r="XH87" s="15">
        <f t="shared" si="45"/>
        <v>0</v>
      </c>
      <c r="YD87" s="15">
        <f t="shared" si="46"/>
        <v>0</v>
      </c>
      <c r="YX87" s="15">
        <f t="shared" si="47"/>
        <v>0</v>
      </c>
      <c r="ZR87" s="15">
        <f t="shared" si="48"/>
        <v>0</v>
      </c>
      <c r="ZX87" s="15">
        <f t="shared" si="49"/>
        <v>0</v>
      </c>
      <c r="AAT87" s="15">
        <f t="shared" si="50"/>
        <v>0</v>
      </c>
      <c r="ABQ87" s="15">
        <f t="shared" si="51"/>
        <v>0</v>
      </c>
      <c r="ABV87" s="28">
        <f t="shared" si="52"/>
        <v>0</v>
      </c>
      <c r="ACC87" s="28">
        <f t="shared" si="53"/>
        <v>0</v>
      </c>
      <c r="ACQ87" s="15">
        <f t="shared" si="54"/>
        <v>0</v>
      </c>
      <c r="ADA87" s="15">
        <f t="shared" si="55"/>
        <v>0</v>
      </c>
      <c r="ADM87" s="15">
        <f t="shared" si="56"/>
        <v>0</v>
      </c>
      <c r="AEI87" s="15">
        <f t="shared" si="57"/>
        <v>0</v>
      </c>
    </row>
    <row r="88" spans="2:815" x14ac:dyDescent="0.25">
      <c r="B88" s="1" t="s">
        <v>147</v>
      </c>
      <c r="F88" t="s">
        <v>9</v>
      </c>
      <c r="G88" t="s">
        <v>15</v>
      </c>
      <c r="BA88" s="15">
        <f t="shared" si="29"/>
        <v>0</v>
      </c>
      <c r="CB88" s="15">
        <f t="shared" si="30"/>
        <v>0</v>
      </c>
      <c r="DE88" s="15">
        <f t="shared" si="31"/>
        <v>0</v>
      </c>
      <c r="DS88" s="15">
        <f t="shared" si="32"/>
        <v>0</v>
      </c>
      <c r="EF88" s="15">
        <f t="shared" si="33"/>
        <v>0</v>
      </c>
      <c r="FI88" s="15">
        <f t="shared" si="34"/>
        <v>0</v>
      </c>
      <c r="HY88" s="15">
        <f t="shared" si="35"/>
        <v>0</v>
      </c>
      <c r="KM88" s="15">
        <f t="shared" si="36"/>
        <v>0</v>
      </c>
      <c r="MZ88" s="15">
        <f t="shared" si="37"/>
        <v>0</v>
      </c>
      <c r="OQ88" s="15">
        <f t="shared" si="38"/>
        <v>0</v>
      </c>
      <c r="OW88" s="28">
        <f t="shared" si="39"/>
        <v>0</v>
      </c>
      <c r="RD88" s="15">
        <f t="shared" si="40"/>
        <v>0</v>
      </c>
      <c r="RU88" s="15">
        <f t="shared" si="41"/>
        <v>0</v>
      </c>
      <c r="UE88" s="15">
        <f t="shared" si="42"/>
        <v>0</v>
      </c>
      <c r="VJ88" s="15">
        <f t="shared" si="43"/>
        <v>0</v>
      </c>
      <c r="WM88" s="15">
        <f t="shared" si="44"/>
        <v>0</v>
      </c>
      <c r="XH88" s="15">
        <f t="shared" si="45"/>
        <v>0</v>
      </c>
      <c r="YD88" s="15">
        <f t="shared" si="46"/>
        <v>0</v>
      </c>
      <c r="YX88" s="15">
        <f t="shared" si="47"/>
        <v>0</v>
      </c>
      <c r="ZR88" s="15">
        <f t="shared" si="48"/>
        <v>0</v>
      </c>
      <c r="ZX88" s="15">
        <f t="shared" si="49"/>
        <v>0</v>
      </c>
      <c r="AAT88" s="15">
        <f t="shared" si="50"/>
        <v>0</v>
      </c>
      <c r="ABQ88" s="15">
        <f t="shared" si="51"/>
        <v>0</v>
      </c>
      <c r="ABV88" s="28">
        <f t="shared" si="52"/>
        <v>0</v>
      </c>
      <c r="ACC88" s="28">
        <f t="shared" si="53"/>
        <v>0</v>
      </c>
      <c r="ACQ88" s="15">
        <f t="shared" si="54"/>
        <v>0</v>
      </c>
      <c r="ADA88" s="15">
        <f t="shared" si="55"/>
        <v>0</v>
      </c>
      <c r="ADM88" s="15">
        <f t="shared" si="56"/>
        <v>0</v>
      </c>
      <c r="AEI88" s="15">
        <f t="shared" si="57"/>
        <v>0</v>
      </c>
    </row>
    <row r="89" spans="2:815" x14ac:dyDescent="0.25">
      <c r="B89" s="1" t="s">
        <v>148</v>
      </c>
      <c r="F89" t="s">
        <v>9</v>
      </c>
      <c r="G89" t="s">
        <v>15</v>
      </c>
      <c r="BA89" s="15">
        <f t="shared" si="29"/>
        <v>0</v>
      </c>
      <c r="CB89" s="15">
        <f t="shared" si="30"/>
        <v>0</v>
      </c>
      <c r="DE89" s="15">
        <f t="shared" si="31"/>
        <v>0</v>
      </c>
      <c r="DS89" s="15">
        <f t="shared" si="32"/>
        <v>0</v>
      </c>
      <c r="EF89" s="15">
        <f t="shared" si="33"/>
        <v>0</v>
      </c>
      <c r="FI89" s="15">
        <f t="shared" si="34"/>
        <v>0</v>
      </c>
      <c r="HY89" s="15">
        <f t="shared" si="35"/>
        <v>0</v>
      </c>
      <c r="KM89" s="15">
        <f t="shared" si="36"/>
        <v>0</v>
      </c>
      <c r="MZ89" s="15">
        <f t="shared" si="37"/>
        <v>0</v>
      </c>
      <c r="OQ89" s="15">
        <f t="shared" si="38"/>
        <v>0</v>
      </c>
      <c r="OW89" s="28">
        <f t="shared" si="39"/>
        <v>0</v>
      </c>
      <c r="RD89" s="15">
        <f t="shared" si="40"/>
        <v>0</v>
      </c>
      <c r="RU89" s="15">
        <f t="shared" si="41"/>
        <v>0</v>
      </c>
      <c r="UE89" s="15">
        <f t="shared" si="42"/>
        <v>0</v>
      </c>
      <c r="VJ89" s="15">
        <f t="shared" si="43"/>
        <v>0</v>
      </c>
      <c r="WM89" s="15">
        <f t="shared" si="44"/>
        <v>0</v>
      </c>
      <c r="XH89" s="15">
        <f t="shared" si="45"/>
        <v>0</v>
      </c>
      <c r="YD89" s="15">
        <f t="shared" si="46"/>
        <v>0</v>
      </c>
      <c r="YX89" s="15">
        <f t="shared" si="47"/>
        <v>0</v>
      </c>
      <c r="ZR89" s="15">
        <f t="shared" si="48"/>
        <v>0</v>
      </c>
      <c r="ZX89" s="15">
        <f t="shared" si="49"/>
        <v>0</v>
      </c>
      <c r="AAT89" s="15">
        <f t="shared" si="50"/>
        <v>0</v>
      </c>
      <c r="ABQ89" s="15">
        <f t="shared" si="51"/>
        <v>0</v>
      </c>
      <c r="ABV89" s="28">
        <f t="shared" si="52"/>
        <v>0</v>
      </c>
      <c r="ACC89" s="28">
        <f t="shared" si="53"/>
        <v>0</v>
      </c>
      <c r="ACQ89" s="15">
        <f t="shared" si="54"/>
        <v>0</v>
      </c>
      <c r="ADA89" s="15">
        <f t="shared" si="55"/>
        <v>0</v>
      </c>
      <c r="ADM89" s="15">
        <f t="shared" si="56"/>
        <v>0</v>
      </c>
      <c r="AEI89" s="15">
        <f t="shared" si="57"/>
        <v>0</v>
      </c>
    </row>
    <row r="90" spans="2:815" x14ac:dyDescent="0.25">
      <c r="B90" s="2" t="s">
        <v>149</v>
      </c>
      <c r="C90" t="s">
        <v>45</v>
      </c>
      <c r="D90">
        <v>47</v>
      </c>
      <c r="E90" t="s">
        <v>8</v>
      </c>
      <c r="F90" t="s">
        <v>15</v>
      </c>
      <c r="G90" t="s">
        <v>9</v>
      </c>
      <c r="H90" t="s">
        <v>277</v>
      </c>
      <c r="I90" t="s">
        <v>243</v>
      </c>
      <c r="J90" t="s">
        <v>257</v>
      </c>
      <c r="K90" t="s">
        <v>1425</v>
      </c>
      <c r="L90" t="s">
        <v>320</v>
      </c>
      <c r="M90">
        <v>51.6</v>
      </c>
      <c r="N90">
        <v>159</v>
      </c>
      <c r="O90" t="s">
        <v>1089</v>
      </c>
      <c r="P90" s="10">
        <v>38712</v>
      </c>
      <c r="Q90" s="10">
        <v>38729</v>
      </c>
      <c r="R90" t="s">
        <v>1529</v>
      </c>
      <c r="S90" t="s">
        <v>1430</v>
      </c>
      <c r="T90" t="s">
        <v>1427</v>
      </c>
      <c r="U90" t="s">
        <v>1428</v>
      </c>
      <c r="V90" t="s">
        <v>1426</v>
      </c>
      <c r="W90" t="s">
        <v>1429</v>
      </c>
      <c r="BA90" s="15">
        <f t="shared" si="29"/>
        <v>0</v>
      </c>
      <c r="BK90">
        <v>50</v>
      </c>
      <c r="BS90">
        <v>33</v>
      </c>
      <c r="CB90" s="15">
        <f t="shared" si="30"/>
        <v>2</v>
      </c>
      <c r="DE90" s="15">
        <f t="shared" si="31"/>
        <v>0</v>
      </c>
      <c r="DS90" s="15">
        <f t="shared" si="32"/>
        <v>0</v>
      </c>
      <c r="EF90" s="15">
        <f t="shared" si="33"/>
        <v>0</v>
      </c>
      <c r="FI90" s="15">
        <f t="shared" si="34"/>
        <v>0</v>
      </c>
      <c r="HY90" s="15">
        <f t="shared" si="35"/>
        <v>0</v>
      </c>
      <c r="KM90" s="15">
        <f t="shared" si="36"/>
        <v>0</v>
      </c>
      <c r="LH90" s="8"/>
      <c r="MZ90" s="15">
        <f t="shared" si="37"/>
        <v>0</v>
      </c>
      <c r="OQ90" s="15">
        <f t="shared" si="38"/>
        <v>0</v>
      </c>
      <c r="OW90" s="28">
        <f t="shared" si="39"/>
        <v>0</v>
      </c>
      <c r="OX90">
        <v>81</v>
      </c>
      <c r="PL90">
        <v>147</v>
      </c>
      <c r="PU90">
        <v>113</v>
      </c>
      <c r="RD90" s="15">
        <f t="shared" si="40"/>
        <v>3</v>
      </c>
      <c r="RE90" t="s">
        <v>897</v>
      </c>
      <c r="RM90">
        <v>148</v>
      </c>
      <c r="RU90" s="15">
        <f t="shared" si="41"/>
        <v>2</v>
      </c>
      <c r="RV90" t="s">
        <v>899</v>
      </c>
      <c r="SR90">
        <v>3.71</v>
      </c>
      <c r="UE90" s="15">
        <f t="shared" si="42"/>
        <v>2</v>
      </c>
      <c r="VJ90" s="15">
        <f t="shared" si="43"/>
        <v>0</v>
      </c>
      <c r="VK90">
        <v>47</v>
      </c>
      <c r="WM90" s="15">
        <f t="shared" si="44"/>
        <v>1</v>
      </c>
      <c r="XH90" s="15">
        <f t="shared" si="45"/>
        <v>0</v>
      </c>
      <c r="YD90" s="15">
        <f t="shared" si="46"/>
        <v>0</v>
      </c>
      <c r="YX90" s="15">
        <f t="shared" si="47"/>
        <v>0</v>
      </c>
      <c r="YY90">
        <v>51.9</v>
      </c>
      <c r="ZR90" s="15">
        <f t="shared" si="48"/>
        <v>1</v>
      </c>
      <c r="ZX90" s="15">
        <f t="shared" si="49"/>
        <v>0</v>
      </c>
      <c r="ZY90">
        <v>1.4</v>
      </c>
      <c r="AAT90" s="15">
        <f t="shared" si="50"/>
        <v>1</v>
      </c>
      <c r="ABQ90" s="15">
        <f t="shared" si="51"/>
        <v>0</v>
      </c>
      <c r="ABV90" s="28">
        <f t="shared" si="52"/>
        <v>0</v>
      </c>
      <c r="ACC90" s="28">
        <f t="shared" si="53"/>
        <v>0</v>
      </c>
      <c r="ACH90">
        <v>20</v>
      </c>
      <c r="ACO90">
        <v>29</v>
      </c>
      <c r="ACQ90" s="15">
        <f t="shared" si="54"/>
        <v>2</v>
      </c>
      <c r="ADA90" s="15">
        <f t="shared" si="55"/>
        <v>0</v>
      </c>
      <c r="ADM90" s="15">
        <f t="shared" si="56"/>
        <v>0</v>
      </c>
      <c r="AEI90" s="15">
        <f t="shared" si="57"/>
        <v>0</v>
      </c>
    </row>
    <row r="91" spans="2:815" x14ac:dyDescent="0.25">
      <c r="B91" s="2" t="s">
        <v>150</v>
      </c>
      <c r="D91">
        <v>39</v>
      </c>
      <c r="E91" t="s">
        <v>8</v>
      </c>
      <c r="F91" t="s">
        <v>9</v>
      </c>
      <c r="G91" t="s">
        <v>9</v>
      </c>
      <c r="I91" t="s">
        <v>243</v>
      </c>
      <c r="L91" t="s">
        <v>310</v>
      </c>
      <c r="S91" t="s">
        <v>1269</v>
      </c>
      <c r="V91" t="s">
        <v>1431</v>
      </c>
      <c r="W91" t="s">
        <v>1432</v>
      </c>
      <c r="BA91" s="15">
        <f t="shared" si="29"/>
        <v>0</v>
      </c>
      <c r="BB91">
        <v>29</v>
      </c>
      <c r="CB91" s="15">
        <f t="shared" si="30"/>
        <v>1</v>
      </c>
      <c r="DE91" s="15">
        <f t="shared" si="31"/>
        <v>0</v>
      </c>
      <c r="DS91" s="15">
        <f t="shared" si="32"/>
        <v>0</v>
      </c>
      <c r="EF91" s="15">
        <f t="shared" si="33"/>
        <v>0</v>
      </c>
      <c r="FI91" s="15">
        <f t="shared" si="34"/>
        <v>0</v>
      </c>
      <c r="FJ91">
        <v>1326</v>
      </c>
      <c r="HY91" s="15">
        <f t="shared" si="35"/>
        <v>1</v>
      </c>
      <c r="HZ91">
        <v>1827</v>
      </c>
      <c r="KM91" s="15">
        <f t="shared" si="36"/>
        <v>1</v>
      </c>
      <c r="KN91" t="s">
        <v>1990</v>
      </c>
      <c r="MZ91" s="15">
        <f t="shared" si="37"/>
        <v>1</v>
      </c>
      <c r="NA91">
        <v>1238</v>
      </c>
      <c r="OQ91" s="15">
        <f t="shared" si="38"/>
        <v>1</v>
      </c>
      <c r="OW91" s="28">
        <f t="shared" si="39"/>
        <v>0</v>
      </c>
      <c r="OX91">
        <v>313</v>
      </c>
      <c r="RD91" s="15">
        <f t="shared" si="40"/>
        <v>1</v>
      </c>
      <c r="RU91" s="15">
        <f t="shared" si="41"/>
        <v>0</v>
      </c>
      <c r="UE91" s="15">
        <f t="shared" si="42"/>
        <v>0</v>
      </c>
      <c r="VJ91" s="15">
        <f t="shared" si="43"/>
        <v>0</v>
      </c>
      <c r="WM91" s="15">
        <f t="shared" si="44"/>
        <v>0</v>
      </c>
      <c r="WN91">
        <v>2.0499999999999998</v>
      </c>
      <c r="XH91" s="15">
        <f t="shared" si="45"/>
        <v>1</v>
      </c>
      <c r="YD91" s="15">
        <f t="shared" si="46"/>
        <v>0</v>
      </c>
      <c r="YX91" s="15">
        <f t="shared" si="47"/>
        <v>0</v>
      </c>
      <c r="ZR91" s="15">
        <f t="shared" si="48"/>
        <v>0</v>
      </c>
      <c r="ZX91" s="15">
        <f t="shared" si="49"/>
        <v>0</v>
      </c>
      <c r="AAT91" s="15">
        <f t="shared" si="50"/>
        <v>0</v>
      </c>
      <c r="ABQ91" s="15">
        <f t="shared" si="51"/>
        <v>0</v>
      </c>
      <c r="ABV91" s="28">
        <f t="shared" si="52"/>
        <v>0</v>
      </c>
      <c r="ACC91" s="28">
        <f t="shared" si="53"/>
        <v>0</v>
      </c>
      <c r="ACQ91" s="15">
        <f t="shared" si="54"/>
        <v>0</v>
      </c>
      <c r="ADA91" s="15">
        <f t="shared" si="55"/>
        <v>0</v>
      </c>
      <c r="ADM91" s="15">
        <f t="shared" si="56"/>
        <v>0</v>
      </c>
      <c r="AEI91" s="15">
        <f t="shared" si="57"/>
        <v>0</v>
      </c>
    </row>
    <row r="92" spans="2:815" x14ac:dyDescent="0.25">
      <c r="B92" s="2" t="s">
        <v>151</v>
      </c>
      <c r="D92">
        <v>8</v>
      </c>
      <c r="E92" t="s">
        <v>14</v>
      </c>
      <c r="F92" t="s">
        <v>9</v>
      </c>
      <c r="G92" t="s">
        <v>15</v>
      </c>
      <c r="M92">
        <v>27</v>
      </c>
      <c r="N92">
        <v>138</v>
      </c>
      <c r="R92" t="s">
        <v>1133</v>
      </c>
      <c r="S92" t="s">
        <v>1418</v>
      </c>
      <c r="T92" t="s">
        <v>1433</v>
      </c>
      <c r="U92" t="s">
        <v>1434</v>
      </c>
      <c r="W92" t="s">
        <v>1435</v>
      </c>
      <c r="BA92" s="15">
        <f t="shared" si="29"/>
        <v>0</v>
      </c>
      <c r="CB92" s="15">
        <f t="shared" si="30"/>
        <v>0</v>
      </c>
      <c r="DE92" s="15">
        <f t="shared" si="31"/>
        <v>0</v>
      </c>
      <c r="DS92" s="15">
        <f t="shared" si="32"/>
        <v>0</v>
      </c>
      <c r="EF92" s="15">
        <f t="shared" si="33"/>
        <v>0</v>
      </c>
      <c r="FI92" s="15">
        <f t="shared" si="34"/>
        <v>0</v>
      </c>
      <c r="HY92" s="15">
        <f t="shared" si="35"/>
        <v>0</v>
      </c>
      <c r="KM92" s="15">
        <f t="shared" si="36"/>
        <v>0</v>
      </c>
      <c r="MZ92" s="15">
        <f t="shared" si="37"/>
        <v>0</v>
      </c>
      <c r="OQ92" s="15">
        <f t="shared" si="38"/>
        <v>0</v>
      </c>
      <c r="OW92" s="28">
        <f t="shared" si="39"/>
        <v>0</v>
      </c>
      <c r="RD92" s="15">
        <f t="shared" si="40"/>
        <v>0</v>
      </c>
      <c r="RU92" s="15">
        <f t="shared" si="41"/>
        <v>0</v>
      </c>
      <c r="UE92" s="15">
        <f t="shared" si="42"/>
        <v>0</v>
      </c>
      <c r="VJ92" s="15">
        <f t="shared" si="43"/>
        <v>0</v>
      </c>
      <c r="WM92" s="15">
        <f t="shared" si="44"/>
        <v>0</v>
      </c>
      <c r="XH92" s="15">
        <f t="shared" si="45"/>
        <v>0</v>
      </c>
      <c r="YD92" s="15">
        <f t="shared" si="46"/>
        <v>0</v>
      </c>
      <c r="YX92" s="15">
        <f t="shared" si="47"/>
        <v>0</v>
      </c>
      <c r="ZR92" s="15">
        <f t="shared" si="48"/>
        <v>0</v>
      </c>
      <c r="ZX92" s="15">
        <f t="shared" si="49"/>
        <v>0</v>
      </c>
      <c r="AAT92" s="15">
        <f t="shared" si="50"/>
        <v>0</v>
      </c>
      <c r="ABQ92" s="15">
        <f t="shared" si="51"/>
        <v>0</v>
      </c>
      <c r="ABV92" s="28">
        <f t="shared" si="52"/>
        <v>0</v>
      </c>
      <c r="ACC92" s="28">
        <f t="shared" si="53"/>
        <v>0</v>
      </c>
      <c r="ACQ92" s="15">
        <f t="shared" si="54"/>
        <v>0</v>
      </c>
      <c r="ADA92" s="15">
        <f t="shared" si="55"/>
        <v>0</v>
      </c>
      <c r="ADM92" s="15">
        <f t="shared" si="56"/>
        <v>0</v>
      </c>
      <c r="AEI92" s="15">
        <f t="shared" si="57"/>
        <v>0</v>
      </c>
    </row>
    <row r="93" spans="2:815" x14ac:dyDescent="0.25">
      <c r="B93" s="5"/>
      <c r="BA93" s="15">
        <f t="shared" si="29"/>
        <v>0</v>
      </c>
      <c r="CB93" s="15">
        <f t="shared" si="30"/>
        <v>0</v>
      </c>
      <c r="DE93" s="15">
        <f t="shared" si="31"/>
        <v>0</v>
      </c>
      <c r="DS93" s="15">
        <f t="shared" si="32"/>
        <v>0</v>
      </c>
      <c r="EF93" s="15">
        <f t="shared" si="33"/>
        <v>0</v>
      </c>
      <c r="FI93" s="15">
        <f t="shared" si="34"/>
        <v>0</v>
      </c>
      <c r="HY93" s="15">
        <f t="shared" si="35"/>
        <v>0</v>
      </c>
      <c r="KM93" s="15">
        <f t="shared" si="36"/>
        <v>0</v>
      </c>
      <c r="MZ93" s="15">
        <f t="shared" si="37"/>
        <v>0</v>
      </c>
      <c r="OQ93" s="15">
        <f t="shared" si="38"/>
        <v>0</v>
      </c>
      <c r="OW93" s="28">
        <f t="shared" si="39"/>
        <v>0</v>
      </c>
      <c r="RD93" s="15">
        <f t="shared" si="40"/>
        <v>0</v>
      </c>
      <c r="RU93" s="15">
        <f t="shared" si="41"/>
        <v>0</v>
      </c>
      <c r="UE93" s="15">
        <f t="shared" si="42"/>
        <v>0</v>
      </c>
      <c r="VJ93" s="15">
        <f t="shared" si="43"/>
        <v>0</v>
      </c>
      <c r="WM93" s="15">
        <f t="shared" si="44"/>
        <v>0</v>
      </c>
      <c r="XH93" s="15">
        <f t="shared" si="45"/>
        <v>0</v>
      </c>
      <c r="YD93" s="15">
        <f t="shared" si="46"/>
        <v>0</v>
      </c>
      <c r="YX93" s="15">
        <f t="shared" si="47"/>
        <v>0</v>
      </c>
      <c r="ZR93" s="15">
        <f t="shared" si="48"/>
        <v>0</v>
      </c>
      <c r="ZX93" s="15">
        <f t="shared" si="49"/>
        <v>0</v>
      </c>
      <c r="AAT93" s="15">
        <f t="shared" si="50"/>
        <v>0</v>
      </c>
      <c r="ABQ93" s="15">
        <f t="shared" si="51"/>
        <v>0</v>
      </c>
      <c r="ABV93" s="28">
        <f t="shared" si="52"/>
        <v>0</v>
      </c>
      <c r="ACC93" s="28">
        <f t="shared" si="53"/>
        <v>0</v>
      </c>
      <c r="ACQ93" s="15">
        <f t="shared" si="54"/>
        <v>0</v>
      </c>
      <c r="ADA93" s="15">
        <f t="shared" si="55"/>
        <v>0</v>
      </c>
      <c r="ADM93" s="15">
        <f t="shared" si="56"/>
        <v>0</v>
      </c>
      <c r="AEI93" s="15">
        <f t="shared" si="57"/>
        <v>0</v>
      </c>
    </row>
    <row r="94" spans="2:815" x14ac:dyDescent="0.25">
      <c r="B94" s="4" t="s">
        <v>321</v>
      </c>
      <c r="D94">
        <v>18</v>
      </c>
      <c r="E94" t="s">
        <v>14</v>
      </c>
      <c r="F94" t="s">
        <v>15</v>
      </c>
      <c r="G94" t="s">
        <v>9</v>
      </c>
      <c r="I94" t="s">
        <v>257</v>
      </c>
      <c r="L94" t="s">
        <v>310</v>
      </c>
      <c r="S94" t="s">
        <v>1436</v>
      </c>
      <c r="W94" s="14"/>
      <c r="BA94" s="15">
        <f t="shared" si="29"/>
        <v>0</v>
      </c>
      <c r="CB94" s="15">
        <f t="shared" si="30"/>
        <v>0</v>
      </c>
      <c r="DE94" s="15">
        <f t="shared" si="31"/>
        <v>0</v>
      </c>
      <c r="DS94" s="15">
        <f t="shared" si="32"/>
        <v>0</v>
      </c>
      <c r="EF94" s="15">
        <f t="shared" si="33"/>
        <v>0</v>
      </c>
      <c r="FI94" s="15">
        <f t="shared" si="34"/>
        <v>0</v>
      </c>
      <c r="FJ94">
        <v>1000</v>
      </c>
      <c r="GD94">
        <v>103</v>
      </c>
      <c r="HY94" s="15">
        <f t="shared" si="35"/>
        <v>2</v>
      </c>
      <c r="HZ94">
        <v>9000</v>
      </c>
      <c r="IS94">
        <v>175</v>
      </c>
      <c r="KM94" s="15">
        <f t="shared" si="36"/>
        <v>2</v>
      </c>
      <c r="MZ94" s="15">
        <f t="shared" si="37"/>
        <v>0</v>
      </c>
      <c r="OQ94" s="15">
        <f t="shared" si="38"/>
        <v>0</v>
      </c>
      <c r="OW94" s="28">
        <f t="shared" si="39"/>
        <v>0</v>
      </c>
      <c r="OX94" t="s">
        <v>1690</v>
      </c>
      <c r="PR94" t="s">
        <v>1674</v>
      </c>
      <c r="RD94" s="15">
        <f t="shared" si="40"/>
        <v>2</v>
      </c>
      <c r="RU94" s="15">
        <f t="shared" si="41"/>
        <v>0</v>
      </c>
      <c r="UE94" s="15">
        <f t="shared" si="42"/>
        <v>0</v>
      </c>
      <c r="VJ94" s="15">
        <f t="shared" si="43"/>
        <v>0</v>
      </c>
      <c r="WM94" s="15">
        <f t="shared" si="44"/>
        <v>0</v>
      </c>
      <c r="WN94">
        <v>1.9</v>
      </c>
      <c r="XA94">
        <v>0.93</v>
      </c>
      <c r="XH94" s="15">
        <f t="shared" si="45"/>
        <v>2</v>
      </c>
      <c r="YD94" s="15">
        <f t="shared" si="46"/>
        <v>0</v>
      </c>
      <c r="YX94" s="15">
        <f t="shared" si="47"/>
        <v>0</v>
      </c>
      <c r="ZR94" s="15">
        <f t="shared" si="48"/>
        <v>0</v>
      </c>
      <c r="ZX94" s="15">
        <f t="shared" si="49"/>
        <v>0</v>
      </c>
      <c r="AAT94" s="15">
        <f t="shared" si="50"/>
        <v>0</v>
      </c>
      <c r="ABQ94" s="15">
        <f t="shared" si="51"/>
        <v>0</v>
      </c>
      <c r="ABV94" s="28">
        <f t="shared" si="52"/>
        <v>0</v>
      </c>
      <c r="ACC94" s="28">
        <f t="shared" si="53"/>
        <v>0</v>
      </c>
      <c r="ACQ94" s="15">
        <f t="shared" si="54"/>
        <v>0</v>
      </c>
      <c r="ADA94" s="15">
        <f t="shared" si="55"/>
        <v>0</v>
      </c>
      <c r="ADM94" s="15">
        <f t="shared" si="56"/>
        <v>0</v>
      </c>
      <c r="AEI94" s="15">
        <f t="shared" si="57"/>
        <v>0</v>
      </c>
    </row>
    <row r="95" spans="2:815" x14ac:dyDescent="0.25">
      <c r="B95" s="2" t="s">
        <v>152</v>
      </c>
      <c r="C95" t="s">
        <v>141</v>
      </c>
      <c r="D95">
        <v>58</v>
      </c>
      <c r="E95" t="s">
        <v>8</v>
      </c>
      <c r="F95" t="s">
        <v>9</v>
      </c>
      <c r="G95" t="s">
        <v>9</v>
      </c>
      <c r="H95" t="s">
        <v>272</v>
      </c>
      <c r="I95" t="s">
        <v>243</v>
      </c>
      <c r="J95" t="s">
        <v>257</v>
      </c>
      <c r="K95" t="s">
        <v>278</v>
      </c>
      <c r="L95" t="s">
        <v>310</v>
      </c>
      <c r="M95">
        <v>80</v>
      </c>
      <c r="N95">
        <v>159</v>
      </c>
      <c r="O95" t="s">
        <v>1090</v>
      </c>
      <c r="P95" s="10">
        <v>39599</v>
      </c>
      <c r="Q95" s="10">
        <v>39601</v>
      </c>
      <c r="R95" t="s">
        <v>1286</v>
      </c>
      <c r="S95" t="s">
        <v>1269</v>
      </c>
      <c r="T95" t="s">
        <v>1438</v>
      </c>
      <c r="U95" t="s">
        <v>1439</v>
      </c>
      <c r="V95" t="s">
        <v>1440</v>
      </c>
      <c r="W95" s="14" t="s">
        <v>1437</v>
      </c>
      <c r="BA95" s="15">
        <f t="shared" si="29"/>
        <v>0</v>
      </c>
      <c r="BB95">
        <v>40</v>
      </c>
      <c r="BC95">
        <v>24</v>
      </c>
      <c r="CB95" s="15">
        <f t="shared" si="30"/>
        <v>2</v>
      </c>
      <c r="CC95" t="s">
        <v>1744</v>
      </c>
      <c r="CD95" t="s">
        <v>1743</v>
      </c>
      <c r="DE95" s="15">
        <f t="shared" si="31"/>
        <v>2</v>
      </c>
      <c r="DG95">
        <v>345</v>
      </c>
      <c r="DS95" s="15">
        <f t="shared" si="32"/>
        <v>1</v>
      </c>
      <c r="DT95">
        <v>31</v>
      </c>
      <c r="DW95">
        <v>25</v>
      </c>
      <c r="EF95" s="15">
        <f t="shared" si="33"/>
        <v>2</v>
      </c>
      <c r="EG95">
        <v>11780</v>
      </c>
      <c r="FI95" s="15">
        <f t="shared" si="34"/>
        <v>1</v>
      </c>
      <c r="FJ95">
        <v>2600</v>
      </c>
      <c r="FK95">
        <v>1364</v>
      </c>
      <c r="FL95">
        <v>2604</v>
      </c>
      <c r="HY95" s="15">
        <f t="shared" si="35"/>
        <v>3</v>
      </c>
      <c r="HZ95">
        <v>1400</v>
      </c>
      <c r="IA95">
        <v>762</v>
      </c>
      <c r="IB95">
        <v>1430</v>
      </c>
      <c r="KM95" s="15">
        <f t="shared" si="36"/>
        <v>3</v>
      </c>
      <c r="KN95">
        <v>64</v>
      </c>
      <c r="KO95">
        <v>61</v>
      </c>
      <c r="MZ95" s="15">
        <f t="shared" si="37"/>
        <v>2</v>
      </c>
      <c r="NA95">
        <v>3800</v>
      </c>
      <c r="NB95">
        <v>2133</v>
      </c>
      <c r="NC95">
        <v>3768</v>
      </c>
      <c r="OQ95" s="15">
        <f t="shared" si="38"/>
        <v>3</v>
      </c>
      <c r="OW95" s="28">
        <f t="shared" si="39"/>
        <v>0</v>
      </c>
      <c r="OX95" t="s">
        <v>1824</v>
      </c>
      <c r="OZ95" t="s">
        <v>1823</v>
      </c>
      <c r="RD95" s="15">
        <f t="shared" si="40"/>
        <v>2</v>
      </c>
      <c r="RU95" s="15">
        <f t="shared" si="41"/>
        <v>0</v>
      </c>
      <c r="RV95">
        <v>152</v>
      </c>
      <c r="RW95">
        <v>171</v>
      </c>
      <c r="UE95" s="15">
        <f t="shared" si="42"/>
        <v>2</v>
      </c>
      <c r="UF95">
        <v>4059</v>
      </c>
      <c r="UG95">
        <v>4098</v>
      </c>
      <c r="VJ95" s="15">
        <f t="shared" si="43"/>
        <v>2</v>
      </c>
      <c r="VK95">
        <v>66</v>
      </c>
      <c r="WM95" s="15">
        <f t="shared" si="44"/>
        <v>1</v>
      </c>
      <c r="WN95" t="s">
        <v>533</v>
      </c>
      <c r="WO95" t="s">
        <v>1026</v>
      </c>
      <c r="XH95" s="15">
        <f t="shared" si="45"/>
        <v>2</v>
      </c>
      <c r="XI95">
        <v>45</v>
      </c>
      <c r="YD95" s="15">
        <f t="shared" si="46"/>
        <v>1</v>
      </c>
      <c r="YE95">
        <v>6</v>
      </c>
      <c r="YX95" s="15">
        <f t="shared" si="47"/>
        <v>1</v>
      </c>
      <c r="YY95">
        <v>600</v>
      </c>
      <c r="ZR95" s="15">
        <f t="shared" si="48"/>
        <v>1</v>
      </c>
      <c r="ZX95" s="15">
        <f t="shared" si="49"/>
        <v>0</v>
      </c>
      <c r="AAT95" s="15">
        <f t="shared" si="50"/>
        <v>0</v>
      </c>
      <c r="AAU95">
        <v>152</v>
      </c>
      <c r="ABQ95" s="15">
        <f t="shared" si="51"/>
        <v>1</v>
      </c>
      <c r="ABV95" s="28">
        <f t="shared" si="52"/>
        <v>0</v>
      </c>
      <c r="ABW95" s="25" t="s">
        <v>903</v>
      </c>
      <c r="ACC95" s="28">
        <f t="shared" si="53"/>
        <v>1</v>
      </c>
      <c r="ACQ95" s="15">
        <f t="shared" si="54"/>
        <v>0</v>
      </c>
      <c r="ADA95" s="15">
        <f t="shared" si="55"/>
        <v>0</v>
      </c>
      <c r="ADM95" s="15">
        <f t="shared" si="56"/>
        <v>0</v>
      </c>
      <c r="AEI95" s="15">
        <f t="shared" si="57"/>
        <v>0</v>
      </c>
    </row>
    <row r="96" spans="2:815" x14ac:dyDescent="0.25">
      <c r="B96" s="2" t="s">
        <v>153</v>
      </c>
      <c r="C96" t="s">
        <v>154</v>
      </c>
      <c r="D96">
        <v>68</v>
      </c>
      <c r="E96" t="s">
        <v>8</v>
      </c>
      <c r="F96" t="s">
        <v>9</v>
      </c>
      <c r="G96" t="s">
        <v>9</v>
      </c>
      <c r="H96" t="s">
        <v>279</v>
      </c>
      <c r="I96" t="s">
        <v>243</v>
      </c>
      <c r="K96" t="s">
        <v>1441</v>
      </c>
      <c r="L96" t="s">
        <v>310</v>
      </c>
      <c r="M96">
        <v>46.8</v>
      </c>
      <c r="N96">
        <v>163</v>
      </c>
      <c r="O96" t="s">
        <v>1091</v>
      </c>
      <c r="P96" s="10">
        <v>39658</v>
      </c>
      <c r="Q96" s="10">
        <v>39659</v>
      </c>
      <c r="R96" t="s">
        <v>1171</v>
      </c>
      <c r="S96" t="s">
        <v>1269</v>
      </c>
      <c r="T96" t="s">
        <v>1442</v>
      </c>
      <c r="AA96">
        <v>6</v>
      </c>
      <c r="AB96">
        <v>105</v>
      </c>
      <c r="AD96">
        <v>45</v>
      </c>
      <c r="AE96">
        <v>31</v>
      </c>
      <c r="AF96">
        <v>115</v>
      </c>
      <c r="AG96">
        <v>123</v>
      </c>
      <c r="AH96">
        <v>141</v>
      </c>
      <c r="AI96">
        <v>147</v>
      </c>
      <c r="BA96" s="15">
        <f t="shared" si="29"/>
        <v>8</v>
      </c>
      <c r="BB96" t="s">
        <v>799</v>
      </c>
      <c r="BD96">
        <v>89</v>
      </c>
      <c r="BE96">
        <v>80</v>
      </c>
      <c r="BF96">
        <v>58</v>
      </c>
      <c r="BG96" t="s">
        <v>1764</v>
      </c>
      <c r="BH96">
        <v>10</v>
      </c>
      <c r="BI96">
        <v>13</v>
      </c>
      <c r="BJ96">
        <v>12</v>
      </c>
      <c r="CB96" s="15">
        <f t="shared" si="30"/>
        <v>8</v>
      </c>
      <c r="CC96">
        <v>30</v>
      </c>
      <c r="CE96">
        <v>37</v>
      </c>
      <c r="CF96">
        <v>36</v>
      </c>
      <c r="CG96">
        <v>63</v>
      </c>
      <c r="CH96">
        <v>137</v>
      </c>
      <c r="CI96">
        <v>82</v>
      </c>
      <c r="CJ96">
        <v>72</v>
      </c>
      <c r="CK96">
        <v>68</v>
      </c>
      <c r="CL96">
        <v>85</v>
      </c>
      <c r="DE96" s="15">
        <f t="shared" si="31"/>
        <v>9</v>
      </c>
      <c r="DH96">
        <v>480</v>
      </c>
      <c r="DJ96">
        <v>150</v>
      </c>
      <c r="DK96">
        <v>340</v>
      </c>
      <c r="DL96">
        <v>220</v>
      </c>
      <c r="DM96">
        <v>130</v>
      </c>
      <c r="DS96" s="15">
        <f t="shared" si="32"/>
        <v>5</v>
      </c>
      <c r="EF96" s="15">
        <f t="shared" si="33"/>
        <v>0</v>
      </c>
      <c r="EG96">
        <v>7330</v>
      </c>
      <c r="EI96">
        <v>5590</v>
      </c>
      <c r="EJ96">
        <v>7650</v>
      </c>
      <c r="EL96">
        <v>12100</v>
      </c>
      <c r="EN96">
        <v>12300</v>
      </c>
      <c r="EO96">
        <v>16400</v>
      </c>
      <c r="EP96">
        <v>16000</v>
      </c>
      <c r="EQ96">
        <v>22300</v>
      </c>
      <c r="ER96">
        <v>22500</v>
      </c>
      <c r="FI96" s="15">
        <f t="shared" si="34"/>
        <v>9</v>
      </c>
      <c r="FJ96">
        <v>74</v>
      </c>
      <c r="FN96">
        <v>16</v>
      </c>
      <c r="FQ96">
        <v>15</v>
      </c>
      <c r="FR96">
        <v>774</v>
      </c>
      <c r="FS96">
        <v>4458</v>
      </c>
      <c r="FT96">
        <v>5586</v>
      </c>
      <c r="FU96">
        <v>5945</v>
      </c>
      <c r="FV96">
        <v>5322</v>
      </c>
      <c r="HY96" s="15">
        <f t="shared" si="35"/>
        <v>8</v>
      </c>
      <c r="HZ96">
        <v>63</v>
      </c>
      <c r="IC96">
        <v>18</v>
      </c>
      <c r="IF96">
        <v>15</v>
      </c>
      <c r="IG96">
        <v>425</v>
      </c>
      <c r="IH96">
        <v>2027</v>
      </c>
      <c r="II96">
        <v>2384</v>
      </c>
      <c r="IJ96">
        <v>2524</v>
      </c>
      <c r="IK96">
        <v>2530</v>
      </c>
      <c r="KM96" s="15">
        <f t="shared" si="36"/>
        <v>8</v>
      </c>
      <c r="KN96">
        <v>11.8</v>
      </c>
      <c r="KP96">
        <v>26</v>
      </c>
      <c r="KR96">
        <v>24</v>
      </c>
      <c r="KS96">
        <v>23</v>
      </c>
      <c r="KT96">
        <v>32</v>
      </c>
      <c r="KU96">
        <v>36</v>
      </c>
      <c r="KV96">
        <v>42</v>
      </c>
      <c r="KW96">
        <v>43</v>
      </c>
      <c r="MZ96" s="15">
        <f t="shared" si="37"/>
        <v>8</v>
      </c>
      <c r="NA96">
        <v>203</v>
      </c>
      <c r="ND96">
        <v>150</v>
      </c>
      <c r="NG96">
        <v>110</v>
      </c>
      <c r="NH96">
        <v>1192</v>
      </c>
      <c r="NI96">
        <v>7142</v>
      </c>
      <c r="NJ96">
        <v>9091</v>
      </c>
      <c r="NK96">
        <v>9288</v>
      </c>
      <c r="NL96">
        <v>7839</v>
      </c>
      <c r="OQ96" s="15">
        <f t="shared" si="38"/>
        <v>8</v>
      </c>
      <c r="OW96" s="28">
        <f t="shared" si="39"/>
        <v>0</v>
      </c>
      <c r="OX96" t="s">
        <v>1691</v>
      </c>
      <c r="PA96" t="s">
        <v>1692</v>
      </c>
      <c r="PD96" t="s">
        <v>1693</v>
      </c>
      <c r="PF96" t="s">
        <v>1697</v>
      </c>
      <c r="PG96" t="s">
        <v>1833</v>
      </c>
      <c r="PH96" t="s">
        <v>1834</v>
      </c>
      <c r="PI96" t="s">
        <v>1835</v>
      </c>
      <c r="PJ96" t="s">
        <v>1694</v>
      </c>
      <c r="RD96" s="15">
        <f t="shared" si="40"/>
        <v>8</v>
      </c>
      <c r="RU96" s="15">
        <f t="shared" si="41"/>
        <v>0</v>
      </c>
      <c r="RV96">
        <v>278</v>
      </c>
      <c r="RY96">
        <v>76</v>
      </c>
      <c r="SB96">
        <v>73</v>
      </c>
      <c r="SC96">
        <v>77</v>
      </c>
      <c r="SD96">
        <v>184</v>
      </c>
      <c r="SE96">
        <v>198</v>
      </c>
      <c r="SF96">
        <v>224</v>
      </c>
      <c r="SG96">
        <v>277</v>
      </c>
      <c r="UE96" s="15">
        <f t="shared" si="42"/>
        <v>8</v>
      </c>
      <c r="VJ96" s="15">
        <f t="shared" si="43"/>
        <v>0</v>
      </c>
      <c r="VK96" t="s">
        <v>1727</v>
      </c>
      <c r="VM96" t="s">
        <v>1873</v>
      </c>
      <c r="VN96" t="s">
        <v>1872</v>
      </c>
      <c r="VP96" t="s">
        <v>1721</v>
      </c>
      <c r="VQ96" t="s">
        <v>1879</v>
      </c>
      <c r="VR96" t="s">
        <v>1877</v>
      </c>
      <c r="VS96" t="s">
        <v>1734</v>
      </c>
      <c r="VT96" t="s">
        <v>1878</v>
      </c>
      <c r="VU96" t="s">
        <v>1728</v>
      </c>
      <c r="WM96" s="15">
        <f t="shared" si="44"/>
        <v>9</v>
      </c>
      <c r="WN96">
        <v>0.85</v>
      </c>
      <c r="WP96" t="s">
        <v>567</v>
      </c>
      <c r="WQ96" t="s">
        <v>559</v>
      </c>
      <c r="WR96">
        <v>1.4</v>
      </c>
      <c r="WS96" t="s">
        <v>1897</v>
      </c>
      <c r="WT96" t="s">
        <v>576</v>
      </c>
      <c r="WU96" t="s">
        <v>1896</v>
      </c>
      <c r="WV96" t="s">
        <v>1674</v>
      </c>
      <c r="WW96">
        <v>5.4</v>
      </c>
      <c r="XH96" s="15">
        <f t="shared" si="45"/>
        <v>9</v>
      </c>
      <c r="XI96" t="s">
        <v>907</v>
      </c>
      <c r="XJ96" t="s">
        <v>908</v>
      </c>
      <c r="XM96">
        <v>8</v>
      </c>
      <c r="XN96" t="s">
        <v>907</v>
      </c>
      <c r="XO96">
        <v>9</v>
      </c>
      <c r="XP96">
        <v>11</v>
      </c>
      <c r="XQ96">
        <v>12</v>
      </c>
      <c r="XR96">
        <v>13</v>
      </c>
      <c r="YD96" s="15">
        <f t="shared" si="46"/>
        <v>8</v>
      </c>
      <c r="YE96">
        <v>19</v>
      </c>
      <c r="YG96">
        <v>12</v>
      </c>
      <c r="YJ96" t="s">
        <v>912</v>
      </c>
      <c r="YK96">
        <v>11</v>
      </c>
      <c r="YL96">
        <v>13</v>
      </c>
      <c r="YM96">
        <v>17</v>
      </c>
      <c r="YN96">
        <v>15</v>
      </c>
      <c r="YO96">
        <v>14</v>
      </c>
      <c r="YX96" s="15">
        <f t="shared" si="47"/>
        <v>8</v>
      </c>
      <c r="YY96">
        <v>173</v>
      </c>
      <c r="ZA96">
        <v>35</v>
      </c>
      <c r="ZB96">
        <v>120</v>
      </c>
      <c r="ZC96">
        <v>50</v>
      </c>
      <c r="ZD96">
        <v>43</v>
      </c>
      <c r="ZE96">
        <v>39</v>
      </c>
      <c r="ZF96">
        <v>41</v>
      </c>
      <c r="ZG96">
        <v>41</v>
      </c>
      <c r="ZR96" s="15">
        <f t="shared" si="48"/>
        <v>8</v>
      </c>
      <c r="ZX96" s="15">
        <f t="shared" si="49"/>
        <v>0</v>
      </c>
      <c r="ZY96">
        <v>0.46600000000000003</v>
      </c>
      <c r="ZZ96" s="8">
        <v>0.28000000000000003</v>
      </c>
      <c r="AAA96" s="8"/>
      <c r="AAB96" s="8"/>
      <c r="AAC96">
        <v>0.28000000000000003</v>
      </c>
      <c r="AAD96">
        <v>0.28999999999999998</v>
      </c>
      <c r="AAE96" t="s">
        <v>2028</v>
      </c>
      <c r="AAF96">
        <v>0.51</v>
      </c>
      <c r="AAG96">
        <v>30</v>
      </c>
      <c r="AAH96">
        <v>24</v>
      </c>
      <c r="AAT96" s="15">
        <f t="shared" si="50"/>
        <v>8</v>
      </c>
      <c r="AAU96" t="s">
        <v>915</v>
      </c>
      <c r="AAW96">
        <v>212</v>
      </c>
      <c r="ABQ96" s="15">
        <f t="shared" si="51"/>
        <v>1</v>
      </c>
      <c r="ABV96" s="28">
        <f t="shared" si="52"/>
        <v>0</v>
      </c>
      <c r="ABZ96" s="25" t="s">
        <v>1939</v>
      </c>
      <c r="ACA96" s="25">
        <v>62</v>
      </c>
      <c r="ACC96" s="28">
        <f t="shared" si="53"/>
        <v>2</v>
      </c>
      <c r="ACL96">
        <v>14</v>
      </c>
      <c r="ACM96">
        <v>16</v>
      </c>
      <c r="ACN96">
        <v>23</v>
      </c>
      <c r="ACQ96" s="15">
        <f t="shared" si="54"/>
        <v>3</v>
      </c>
      <c r="ADA96" s="15">
        <f t="shared" si="55"/>
        <v>0</v>
      </c>
      <c r="ADM96" s="15">
        <f t="shared" si="56"/>
        <v>0</v>
      </c>
      <c r="ADO96">
        <v>69</v>
      </c>
      <c r="ADR96">
        <v>36</v>
      </c>
      <c r="ADS96">
        <v>12</v>
      </c>
      <c r="ADT96">
        <v>20</v>
      </c>
      <c r="ADU96">
        <v>29</v>
      </c>
      <c r="ADV96">
        <v>91</v>
      </c>
      <c r="ADW96">
        <v>116</v>
      </c>
      <c r="AEI96" s="15">
        <f t="shared" si="57"/>
        <v>7</v>
      </c>
    </row>
    <row r="97" spans="2:815" x14ac:dyDescent="0.25">
      <c r="B97" s="2" t="s">
        <v>155</v>
      </c>
      <c r="C97" t="s">
        <v>156</v>
      </c>
      <c r="D97">
        <v>45</v>
      </c>
      <c r="E97" t="s">
        <v>8</v>
      </c>
      <c r="F97" t="s">
        <v>9</v>
      </c>
      <c r="G97" t="s">
        <v>15</v>
      </c>
      <c r="H97" t="s">
        <v>255</v>
      </c>
      <c r="I97" t="s">
        <v>243</v>
      </c>
      <c r="J97" t="s">
        <v>257</v>
      </c>
      <c r="K97" t="s">
        <v>1450</v>
      </c>
      <c r="L97" t="s">
        <v>1443</v>
      </c>
      <c r="M97">
        <v>60</v>
      </c>
      <c r="N97">
        <v>163</v>
      </c>
      <c r="O97" t="s">
        <v>1092</v>
      </c>
      <c r="Q97" t="s">
        <v>1445</v>
      </c>
      <c r="R97" t="s">
        <v>1446</v>
      </c>
      <c r="S97" t="s">
        <v>1444</v>
      </c>
      <c r="T97" t="s">
        <v>1447</v>
      </c>
      <c r="U97" t="s">
        <v>1448</v>
      </c>
      <c r="W97" t="s">
        <v>1449</v>
      </c>
      <c r="BA97" s="15">
        <f t="shared" si="29"/>
        <v>0</v>
      </c>
      <c r="CB97" s="15">
        <f t="shared" si="30"/>
        <v>0</v>
      </c>
      <c r="DE97" s="15">
        <f t="shared" si="31"/>
        <v>0</v>
      </c>
      <c r="DS97" s="15">
        <f t="shared" si="32"/>
        <v>0</v>
      </c>
      <c r="EF97" s="15">
        <f t="shared" si="33"/>
        <v>0</v>
      </c>
      <c r="FI97" s="15">
        <f t="shared" si="34"/>
        <v>0</v>
      </c>
      <c r="FJ97">
        <v>66</v>
      </c>
      <c r="HY97" s="15">
        <f t="shared" si="35"/>
        <v>1</v>
      </c>
      <c r="HZ97">
        <v>104</v>
      </c>
      <c r="KM97" s="15">
        <f t="shared" si="36"/>
        <v>1</v>
      </c>
      <c r="MZ97" s="15">
        <f t="shared" si="37"/>
        <v>0</v>
      </c>
      <c r="OQ97" s="15">
        <f t="shared" si="38"/>
        <v>0</v>
      </c>
      <c r="OW97" s="28">
        <f t="shared" si="39"/>
        <v>0</v>
      </c>
      <c r="RD97" s="15">
        <f t="shared" si="40"/>
        <v>0</v>
      </c>
      <c r="RU97" s="15">
        <f t="shared" si="41"/>
        <v>0</v>
      </c>
      <c r="UE97" s="15">
        <f t="shared" si="42"/>
        <v>0</v>
      </c>
      <c r="VJ97" s="15">
        <f t="shared" si="43"/>
        <v>0</v>
      </c>
      <c r="WM97" s="15">
        <f t="shared" si="44"/>
        <v>0</v>
      </c>
      <c r="XH97" s="15">
        <f t="shared" si="45"/>
        <v>0</v>
      </c>
      <c r="YD97" s="15">
        <f t="shared" si="46"/>
        <v>0</v>
      </c>
      <c r="YX97" s="15">
        <f t="shared" si="47"/>
        <v>0</v>
      </c>
      <c r="ZR97" s="15">
        <f t="shared" si="48"/>
        <v>0</v>
      </c>
      <c r="ZX97" s="15">
        <f t="shared" si="49"/>
        <v>0</v>
      </c>
      <c r="AAT97" s="15">
        <f t="shared" si="50"/>
        <v>0</v>
      </c>
      <c r="ABQ97" s="15">
        <f t="shared" si="51"/>
        <v>0</v>
      </c>
      <c r="ABV97" s="28">
        <f t="shared" si="52"/>
        <v>0</v>
      </c>
      <c r="ACC97" s="28">
        <f t="shared" si="53"/>
        <v>0</v>
      </c>
      <c r="ACQ97" s="15">
        <f t="shared" si="54"/>
        <v>0</v>
      </c>
      <c r="ADA97" s="15">
        <f t="shared" si="55"/>
        <v>0</v>
      </c>
      <c r="ADM97" s="15">
        <f t="shared" si="56"/>
        <v>0</v>
      </c>
      <c r="AEI97" s="15">
        <f t="shared" si="57"/>
        <v>0</v>
      </c>
    </row>
    <row r="98" spans="2:815" x14ac:dyDescent="0.25">
      <c r="B98" s="2" t="s">
        <v>157</v>
      </c>
      <c r="D98">
        <v>57</v>
      </c>
      <c r="E98" t="s">
        <v>14</v>
      </c>
      <c r="F98" t="s">
        <v>9</v>
      </c>
      <c r="G98" t="s">
        <v>9</v>
      </c>
      <c r="I98" t="s">
        <v>243</v>
      </c>
      <c r="J98" t="s">
        <v>257</v>
      </c>
      <c r="K98" t="s">
        <v>1455</v>
      </c>
      <c r="L98" t="s">
        <v>303</v>
      </c>
      <c r="P98" s="10">
        <v>39662</v>
      </c>
      <c r="Q98" s="10">
        <v>39665</v>
      </c>
      <c r="R98" t="s">
        <v>1218</v>
      </c>
      <c r="S98" t="s">
        <v>1137</v>
      </c>
      <c r="T98" t="s">
        <v>1453</v>
      </c>
      <c r="U98" t="s">
        <v>1454</v>
      </c>
      <c r="V98" t="s">
        <v>1451</v>
      </c>
      <c r="W98" t="s">
        <v>1452</v>
      </c>
      <c r="BA98" s="15">
        <f t="shared" si="29"/>
        <v>0</v>
      </c>
      <c r="CB98" s="15">
        <f t="shared" si="30"/>
        <v>0</v>
      </c>
      <c r="DE98" s="15">
        <f t="shared" si="31"/>
        <v>0</v>
      </c>
      <c r="DS98" s="15">
        <f t="shared" si="32"/>
        <v>0</v>
      </c>
      <c r="EF98" s="15">
        <f t="shared" si="33"/>
        <v>0</v>
      </c>
      <c r="EY98">
        <v>25000</v>
      </c>
      <c r="FI98" s="15">
        <f t="shared" si="34"/>
        <v>1</v>
      </c>
      <c r="FJ98">
        <v>63</v>
      </c>
      <c r="FR98">
        <v>60</v>
      </c>
      <c r="GB98">
        <v>21</v>
      </c>
      <c r="GH98">
        <v>13</v>
      </c>
      <c r="HY98" s="15">
        <f t="shared" si="35"/>
        <v>4</v>
      </c>
      <c r="HZ98">
        <v>113</v>
      </c>
      <c r="IG98">
        <v>130</v>
      </c>
      <c r="IQ98">
        <v>59</v>
      </c>
      <c r="IW98">
        <v>27</v>
      </c>
      <c r="KM98" s="15">
        <f t="shared" si="36"/>
        <v>4</v>
      </c>
      <c r="KN98">
        <v>207</v>
      </c>
      <c r="KS98">
        <v>317</v>
      </c>
      <c r="LC98">
        <v>257</v>
      </c>
      <c r="LI98">
        <v>141</v>
      </c>
      <c r="MZ98" s="15">
        <f t="shared" si="37"/>
        <v>4</v>
      </c>
      <c r="OQ98" s="15">
        <f t="shared" si="38"/>
        <v>0</v>
      </c>
      <c r="OW98" s="28">
        <f t="shared" si="39"/>
        <v>0</v>
      </c>
      <c r="PQ98">
        <v>17</v>
      </c>
      <c r="RD98" s="15">
        <f t="shared" si="40"/>
        <v>1</v>
      </c>
      <c r="RU98" s="15">
        <f t="shared" si="41"/>
        <v>0</v>
      </c>
      <c r="UE98" s="15">
        <f t="shared" si="42"/>
        <v>0</v>
      </c>
      <c r="VJ98" s="15">
        <f t="shared" si="43"/>
        <v>0</v>
      </c>
      <c r="VK98" t="s">
        <v>1729</v>
      </c>
      <c r="VQ98" t="s">
        <v>1730</v>
      </c>
      <c r="WA98" t="s">
        <v>1729</v>
      </c>
      <c r="WE98">
        <v>0.7</v>
      </c>
      <c r="WM98" s="15">
        <f t="shared" si="44"/>
        <v>4</v>
      </c>
      <c r="XH98" s="15">
        <f t="shared" si="45"/>
        <v>0</v>
      </c>
      <c r="YD98" s="15">
        <f t="shared" si="46"/>
        <v>0</v>
      </c>
      <c r="YX98" s="15">
        <f t="shared" si="47"/>
        <v>0</v>
      </c>
      <c r="ZR98" s="15">
        <f t="shared" si="48"/>
        <v>0</v>
      </c>
      <c r="ZX98" s="15">
        <f t="shared" si="49"/>
        <v>0</v>
      </c>
      <c r="AAT98" s="15">
        <f t="shared" si="50"/>
        <v>0</v>
      </c>
      <c r="ABQ98" s="15">
        <f t="shared" si="51"/>
        <v>0</v>
      </c>
      <c r="ABV98" s="28">
        <f t="shared" si="52"/>
        <v>0</v>
      </c>
      <c r="ACC98" s="28">
        <f t="shared" si="53"/>
        <v>0</v>
      </c>
      <c r="ACQ98" s="15">
        <f t="shared" si="54"/>
        <v>0</v>
      </c>
      <c r="ADA98" s="15">
        <f t="shared" si="55"/>
        <v>0</v>
      </c>
      <c r="ADD98">
        <v>200</v>
      </c>
      <c r="ADF98">
        <v>207</v>
      </c>
      <c r="ADG98">
        <v>186</v>
      </c>
      <c r="ADM98" s="15">
        <f t="shared" si="56"/>
        <v>3</v>
      </c>
      <c r="AEI98" s="15">
        <f t="shared" si="57"/>
        <v>0</v>
      </c>
    </row>
    <row r="99" spans="2:815" x14ac:dyDescent="0.25">
      <c r="B99" s="2" t="s">
        <v>158</v>
      </c>
      <c r="C99" t="s">
        <v>159</v>
      </c>
      <c r="D99">
        <v>92</v>
      </c>
      <c r="E99" t="s">
        <v>8</v>
      </c>
      <c r="F99" t="s">
        <v>9</v>
      </c>
      <c r="G99" t="s">
        <v>9</v>
      </c>
      <c r="H99" t="s">
        <v>280</v>
      </c>
      <c r="I99" t="s">
        <v>243</v>
      </c>
      <c r="J99" t="s">
        <v>257</v>
      </c>
      <c r="K99" t="s">
        <v>1459</v>
      </c>
      <c r="L99" t="s">
        <v>310</v>
      </c>
      <c r="R99" t="s">
        <v>1133</v>
      </c>
      <c r="S99" t="s">
        <v>1456</v>
      </c>
      <c r="T99" t="s">
        <v>1457</v>
      </c>
      <c r="U99" t="s">
        <v>1458</v>
      </c>
      <c r="Z99">
        <v>241</v>
      </c>
      <c r="AA99">
        <v>123</v>
      </c>
      <c r="AB99">
        <v>215</v>
      </c>
      <c r="AC99">
        <v>343</v>
      </c>
      <c r="AD99">
        <v>348</v>
      </c>
      <c r="AE99">
        <v>270</v>
      </c>
      <c r="AI99">
        <v>486</v>
      </c>
      <c r="AJ99">
        <v>534</v>
      </c>
      <c r="AK99">
        <v>409</v>
      </c>
      <c r="AL99">
        <v>439</v>
      </c>
      <c r="AM99">
        <v>346</v>
      </c>
      <c r="AN99">
        <v>216</v>
      </c>
      <c r="BA99" s="15">
        <f t="shared" si="29"/>
        <v>12</v>
      </c>
      <c r="CB99" s="15">
        <f t="shared" si="30"/>
        <v>0</v>
      </c>
      <c r="DE99" s="15">
        <f t="shared" si="31"/>
        <v>0</v>
      </c>
      <c r="DS99" s="15">
        <f t="shared" si="32"/>
        <v>0</v>
      </c>
      <c r="EF99" s="15">
        <f t="shared" si="33"/>
        <v>0</v>
      </c>
      <c r="EG99">
        <v>3880</v>
      </c>
      <c r="EI99">
        <v>8560</v>
      </c>
      <c r="EJ99">
        <v>4870</v>
      </c>
      <c r="EK99">
        <v>3960</v>
      </c>
      <c r="EL99">
        <v>4640</v>
      </c>
      <c r="EN99">
        <v>9530</v>
      </c>
      <c r="ER99">
        <v>8890</v>
      </c>
      <c r="ES99">
        <v>8450</v>
      </c>
      <c r="ET99">
        <v>6260</v>
      </c>
      <c r="EU99">
        <v>5320</v>
      </c>
      <c r="EV99">
        <v>5540</v>
      </c>
      <c r="EW99">
        <v>5030</v>
      </c>
      <c r="FI99" s="15">
        <f t="shared" si="34"/>
        <v>12</v>
      </c>
      <c r="FJ99">
        <v>20</v>
      </c>
      <c r="FN99">
        <v>13</v>
      </c>
      <c r="FO99">
        <v>21</v>
      </c>
      <c r="FP99">
        <v>30</v>
      </c>
      <c r="FQ99">
        <v>36</v>
      </c>
      <c r="FR99">
        <v>32</v>
      </c>
      <c r="FV99">
        <v>2195</v>
      </c>
      <c r="FW99">
        <v>1171</v>
      </c>
      <c r="FX99">
        <v>981</v>
      </c>
      <c r="FY99">
        <v>746</v>
      </c>
      <c r="FZ99">
        <v>490</v>
      </c>
      <c r="GA99">
        <v>288</v>
      </c>
      <c r="HY99" s="15">
        <f t="shared" si="35"/>
        <v>12</v>
      </c>
      <c r="HZ99">
        <v>12</v>
      </c>
      <c r="IC99">
        <v>10</v>
      </c>
      <c r="ID99" s="10"/>
      <c r="IE99" s="10"/>
      <c r="IF99">
        <v>15</v>
      </c>
      <c r="IG99">
        <v>17</v>
      </c>
      <c r="IK99">
        <v>1358</v>
      </c>
      <c r="IL99">
        <v>1165</v>
      </c>
      <c r="IM99">
        <v>1092</v>
      </c>
      <c r="IN99">
        <v>883</v>
      </c>
      <c r="IO99">
        <v>857</v>
      </c>
      <c r="IP99">
        <v>617</v>
      </c>
      <c r="KM99" s="15">
        <f t="shared" si="36"/>
        <v>10</v>
      </c>
      <c r="KN99" t="s">
        <v>923</v>
      </c>
      <c r="KP99" t="s">
        <v>923</v>
      </c>
      <c r="KR99" t="s">
        <v>923</v>
      </c>
      <c r="KS99" t="s">
        <v>923</v>
      </c>
      <c r="KW99">
        <v>97</v>
      </c>
      <c r="KX99">
        <v>82</v>
      </c>
      <c r="KY99">
        <v>78</v>
      </c>
      <c r="KZ99">
        <v>75</v>
      </c>
      <c r="LA99">
        <v>73</v>
      </c>
      <c r="LB99">
        <v>55</v>
      </c>
      <c r="MZ99" s="15">
        <f t="shared" si="37"/>
        <v>10</v>
      </c>
      <c r="NA99">
        <v>149</v>
      </c>
      <c r="ND99">
        <v>178</v>
      </c>
      <c r="NE99">
        <v>159</v>
      </c>
      <c r="NF99">
        <v>183</v>
      </c>
      <c r="NG99">
        <v>199</v>
      </c>
      <c r="NH99">
        <v>258</v>
      </c>
      <c r="NL99">
        <v>1539</v>
      </c>
      <c r="NM99">
        <v>685</v>
      </c>
      <c r="NN99">
        <v>572</v>
      </c>
      <c r="NO99">
        <v>479</v>
      </c>
      <c r="NP99">
        <v>375</v>
      </c>
      <c r="NQ99">
        <v>326</v>
      </c>
      <c r="OQ99" s="15">
        <f t="shared" si="38"/>
        <v>12</v>
      </c>
      <c r="OW99" s="28">
        <f t="shared" si="39"/>
        <v>0</v>
      </c>
      <c r="OX99" t="s">
        <v>1695</v>
      </c>
      <c r="PA99" t="s">
        <v>378</v>
      </c>
      <c r="PB99" t="s">
        <v>1707</v>
      </c>
      <c r="PC99" t="s">
        <v>1827</v>
      </c>
      <c r="PD99" t="s">
        <v>1692</v>
      </c>
      <c r="PF99" t="s">
        <v>1696</v>
      </c>
      <c r="PJ99" t="s">
        <v>1837</v>
      </c>
      <c r="PK99" t="s">
        <v>1697</v>
      </c>
      <c r="PL99" t="s">
        <v>1840</v>
      </c>
      <c r="PM99" t="s">
        <v>1837</v>
      </c>
      <c r="PN99" t="s">
        <v>1070</v>
      </c>
      <c r="PO99" t="s">
        <v>1697</v>
      </c>
      <c r="RD99" s="15">
        <f t="shared" si="40"/>
        <v>12</v>
      </c>
      <c r="RU99" s="15">
        <f t="shared" si="41"/>
        <v>0</v>
      </c>
      <c r="RV99">
        <v>47</v>
      </c>
      <c r="RY99">
        <v>59</v>
      </c>
      <c r="RZ99">
        <v>50</v>
      </c>
      <c r="SA99">
        <v>54</v>
      </c>
      <c r="SB99">
        <v>58</v>
      </c>
      <c r="SC99">
        <v>63</v>
      </c>
      <c r="SG99">
        <v>229</v>
      </c>
      <c r="SH99">
        <v>202</v>
      </c>
      <c r="SI99">
        <v>197</v>
      </c>
      <c r="SJ99">
        <v>185</v>
      </c>
      <c r="SK99">
        <v>182</v>
      </c>
      <c r="SL99">
        <v>155</v>
      </c>
      <c r="UE99" s="15">
        <f t="shared" si="42"/>
        <v>12</v>
      </c>
      <c r="UF99">
        <v>4338</v>
      </c>
      <c r="UH99">
        <v>5310</v>
      </c>
      <c r="UI99">
        <v>4307</v>
      </c>
      <c r="UJ99">
        <v>5466</v>
      </c>
      <c r="UK99">
        <v>5899</v>
      </c>
      <c r="UM99">
        <v>6377</v>
      </c>
      <c r="UO99">
        <v>6119</v>
      </c>
      <c r="UP99">
        <v>6016</v>
      </c>
      <c r="UQ99">
        <v>5958</v>
      </c>
      <c r="UR99">
        <v>6145</v>
      </c>
      <c r="VJ99" s="15">
        <f t="shared" si="43"/>
        <v>10</v>
      </c>
      <c r="VK99" t="s">
        <v>1731</v>
      </c>
      <c r="VM99" t="s">
        <v>1874</v>
      </c>
      <c r="VN99">
        <v>88</v>
      </c>
      <c r="VO99" t="s">
        <v>1718</v>
      </c>
      <c r="VP99" t="s">
        <v>1718</v>
      </c>
      <c r="VQ99" t="s">
        <v>1732</v>
      </c>
      <c r="VU99" t="s">
        <v>1868</v>
      </c>
      <c r="VV99" t="s">
        <v>1882</v>
      </c>
      <c r="VW99" t="s">
        <v>1882</v>
      </c>
      <c r="VX99" t="s">
        <v>1885</v>
      </c>
      <c r="VY99" t="s">
        <v>1886</v>
      </c>
      <c r="VZ99">
        <v>154</v>
      </c>
      <c r="WM99" s="15">
        <f t="shared" si="44"/>
        <v>12</v>
      </c>
      <c r="XH99" s="15">
        <f t="shared" si="45"/>
        <v>0</v>
      </c>
      <c r="XI99">
        <v>18</v>
      </c>
      <c r="XJ99">
        <v>12</v>
      </c>
      <c r="XK99">
        <v>19</v>
      </c>
      <c r="XL99">
        <v>27</v>
      </c>
      <c r="XM99">
        <v>31</v>
      </c>
      <c r="XN99">
        <v>26</v>
      </c>
      <c r="XR99">
        <v>13</v>
      </c>
      <c r="XS99">
        <v>13</v>
      </c>
      <c r="XT99">
        <v>13</v>
      </c>
      <c r="XU99">
        <v>14</v>
      </c>
      <c r="XV99">
        <v>12</v>
      </c>
      <c r="XW99">
        <v>7</v>
      </c>
      <c r="YD99" s="15">
        <f t="shared" si="46"/>
        <v>12</v>
      </c>
      <c r="YE99">
        <v>14</v>
      </c>
      <c r="YG99">
        <v>14</v>
      </c>
      <c r="YH99">
        <v>13</v>
      </c>
      <c r="YI99">
        <v>17</v>
      </c>
      <c r="YJ99">
        <v>16</v>
      </c>
      <c r="YK99">
        <v>14</v>
      </c>
      <c r="YO99">
        <v>13</v>
      </c>
      <c r="YP99">
        <v>19</v>
      </c>
      <c r="YQ99">
        <v>18</v>
      </c>
      <c r="YR99">
        <v>16</v>
      </c>
      <c r="YS99">
        <v>14</v>
      </c>
      <c r="YT99">
        <v>13</v>
      </c>
      <c r="YX99" s="15">
        <f t="shared" si="47"/>
        <v>12</v>
      </c>
      <c r="ZR99" s="15">
        <f t="shared" si="48"/>
        <v>0</v>
      </c>
      <c r="ZX99" s="15">
        <f t="shared" si="49"/>
        <v>0</v>
      </c>
      <c r="ZY99">
        <v>0.78</v>
      </c>
      <c r="ZZ99" t="s">
        <v>2029</v>
      </c>
      <c r="AAA99">
        <v>0.83</v>
      </c>
      <c r="AAB99">
        <v>0.68</v>
      </c>
      <c r="AAC99">
        <v>0.61</v>
      </c>
      <c r="AAD99">
        <v>0.68</v>
      </c>
      <c r="AAH99">
        <v>1.48</v>
      </c>
      <c r="AAI99">
        <v>1.81</v>
      </c>
      <c r="AAJ99">
        <v>1.89</v>
      </c>
      <c r="AAK99">
        <v>2.04</v>
      </c>
      <c r="AAL99">
        <v>1.98</v>
      </c>
      <c r="AAM99">
        <v>1.46</v>
      </c>
      <c r="AAT99" s="15">
        <f t="shared" si="50"/>
        <v>12</v>
      </c>
      <c r="AAU99" t="s">
        <v>928</v>
      </c>
      <c r="AAW99">
        <v>143</v>
      </c>
      <c r="AAX99">
        <v>116</v>
      </c>
      <c r="AAY99">
        <v>89</v>
      </c>
      <c r="AAZ99">
        <v>97</v>
      </c>
      <c r="ABB99">
        <v>118</v>
      </c>
      <c r="ABC99">
        <v>123</v>
      </c>
      <c r="ABD99">
        <v>101</v>
      </c>
      <c r="ABE99">
        <v>104</v>
      </c>
      <c r="ABF99">
        <v>101</v>
      </c>
      <c r="ABG99">
        <v>113</v>
      </c>
      <c r="ABH99">
        <v>129</v>
      </c>
      <c r="ABQ99" s="15">
        <f t="shared" si="51"/>
        <v>1</v>
      </c>
      <c r="ABV99" s="28">
        <f t="shared" si="52"/>
        <v>0</v>
      </c>
      <c r="ACC99" s="28">
        <f t="shared" si="53"/>
        <v>0</v>
      </c>
      <c r="ACQ99" s="15">
        <f t="shared" si="54"/>
        <v>0</v>
      </c>
      <c r="ADA99" s="15">
        <f t="shared" si="55"/>
        <v>0</v>
      </c>
      <c r="ADM99" s="15">
        <f t="shared" si="56"/>
        <v>0</v>
      </c>
      <c r="ADN99">
        <v>36</v>
      </c>
      <c r="ADO99">
        <v>36</v>
      </c>
      <c r="ADP99">
        <v>27</v>
      </c>
      <c r="ADQ99">
        <v>48</v>
      </c>
      <c r="ADR99">
        <v>48</v>
      </c>
      <c r="ADS99">
        <v>38</v>
      </c>
      <c r="ADW99">
        <v>80</v>
      </c>
      <c r="ADX99">
        <v>78</v>
      </c>
      <c r="ADY99">
        <v>62</v>
      </c>
      <c r="ADZ99">
        <v>57</v>
      </c>
      <c r="AEA99">
        <v>76</v>
      </c>
      <c r="AEB99">
        <v>100</v>
      </c>
      <c r="AEI99" s="15">
        <f t="shared" si="57"/>
        <v>12</v>
      </c>
    </row>
    <row r="100" spans="2:815" x14ac:dyDescent="0.25">
      <c r="B100" s="2" t="s">
        <v>160</v>
      </c>
      <c r="C100" t="s">
        <v>161</v>
      </c>
      <c r="D100">
        <v>67</v>
      </c>
      <c r="E100" t="s">
        <v>14</v>
      </c>
      <c r="F100" t="s">
        <v>9</v>
      </c>
      <c r="G100" t="s">
        <v>15</v>
      </c>
      <c r="H100" t="s">
        <v>253</v>
      </c>
      <c r="I100" t="s">
        <v>243</v>
      </c>
      <c r="L100" t="s">
        <v>314</v>
      </c>
      <c r="W100" t="s">
        <v>1460</v>
      </c>
      <c r="BA100" s="15">
        <f t="shared" si="29"/>
        <v>0</v>
      </c>
      <c r="CB100" s="15">
        <f t="shared" si="30"/>
        <v>0</v>
      </c>
      <c r="DE100" s="15">
        <f t="shared" si="31"/>
        <v>0</v>
      </c>
      <c r="DS100" s="15">
        <f t="shared" si="32"/>
        <v>0</v>
      </c>
      <c r="EF100" s="15">
        <f t="shared" si="33"/>
        <v>0</v>
      </c>
      <c r="FI100" s="15">
        <f t="shared" si="34"/>
        <v>0</v>
      </c>
      <c r="HY100" s="15">
        <f t="shared" si="35"/>
        <v>0</v>
      </c>
      <c r="KM100" s="15">
        <f t="shared" si="36"/>
        <v>0</v>
      </c>
      <c r="MZ100" s="15">
        <f t="shared" si="37"/>
        <v>0</v>
      </c>
      <c r="OQ100" s="15">
        <f t="shared" si="38"/>
        <v>0</v>
      </c>
      <c r="OW100" s="28">
        <f t="shared" si="39"/>
        <v>0</v>
      </c>
      <c r="RD100" s="15">
        <f t="shared" si="40"/>
        <v>0</v>
      </c>
      <c r="RU100" s="15">
        <f t="shared" si="41"/>
        <v>0</v>
      </c>
      <c r="UE100" s="15">
        <f t="shared" si="42"/>
        <v>0</v>
      </c>
      <c r="VJ100" s="15">
        <f t="shared" si="43"/>
        <v>0</v>
      </c>
      <c r="WM100" s="15">
        <f t="shared" si="44"/>
        <v>0</v>
      </c>
      <c r="XH100" s="15">
        <f t="shared" si="45"/>
        <v>0</v>
      </c>
      <c r="YD100" s="15">
        <f t="shared" si="46"/>
        <v>0</v>
      </c>
      <c r="YX100" s="15">
        <f t="shared" si="47"/>
        <v>0</v>
      </c>
      <c r="ZR100" s="15">
        <f t="shared" si="48"/>
        <v>0</v>
      </c>
      <c r="ZX100" s="15">
        <f t="shared" si="49"/>
        <v>0</v>
      </c>
      <c r="AAT100" s="15">
        <f t="shared" si="50"/>
        <v>0</v>
      </c>
      <c r="ABQ100" s="15">
        <f t="shared" si="51"/>
        <v>0</v>
      </c>
      <c r="ABV100" s="28">
        <f t="shared" si="52"/>
        <v>0</v>
      </c>
      <c r="ACC100" s="28">
        <f t="shared" si="53"/>
        <v>0</v>
      </c>
      <c r="ACQ100" s="15">
        <f t="shared" si="54"/>
        <v>0</v>
      </c>
      <c r="ADA100" s="15">
        <f t="shared" si="55"/>
        <v>0</v>
      </c>
      <c r="ADM100" s="15">
        <f t="shared" si="56"/>
        <v>0</v>
      </c>
      <c r="AEI100" s="15">
        <f t="shared" si="57"/>
        <v>0</v>
      </c>
    </row>
    <row r="101" spans="2:815" x14ac:dyDescent="0.25">
      <c r="B101" s="3" t="s">
        <v>162</v>
      </c>
      <c r="D101">
        <v>48</v>
      </c>
      <c r="E101" t="s">
        <v>14</v>
      </c>
      <c r="F101" t="s">
        <v>9</v>
      </c>
      <c r="G101" t="s">
        <v>9</v>
      </c>
      <c r="H101" t="s">
        <v>252</v>
      </c>
      <c r="I101" t="s">
        <v>243</v>
      </c>
      <c r="J101" t="s">
        <v>257</v>
      </c>
      <c r="K101" t="s">
        <v>1463</v>
      </c>
      <c r="L101" t="s">
        <v>322</v>
      </c>
      <c r="R101" t="s">
        <v>1299</v>
      </c>
      <c r="U101" t="s">
        <v>1464</v>
      </c>
      <c r="V101" t="s">
        <v>1462</v>
      </c>
      <c r="W101" t="s">
        <v>1461</v>
      </c>
      <c r="BA101" s="15">
        <f t="shared" si="29"/>
        <v>0</v>
      </c>
      <c r="CB101" s="15">
        <f t="shared" si="30"/>
        <v>0</v>
      </c>
      <c r="DE101" s="15">
        <f t="shared" si="31"/>
        <v>0</v>
      </c>
      <c r="DS101" s="15">
        <f t="shared" si="32"/>
        <v>0</v>
      </c>
      <c r="EF101" s="15">
        <f t="shared" si="33"/>
        <v>0</v>
      </c>
      <c r="FI101" s="15">
        <f t="shared" si="34"/>
        <v>0</v>
      </c>
      <c r="HY101" s="15">
        <f t="shared" si="35"/>
        <v>0</v>
      </c>
      <c r="KM101" s="15">
        <f t="shared" si="36"/>
        <v>0</v>
      </c>
      <c r="MZ101" s="15">
        <f t="shared" si="37"/>
        <v>0</v>
      </c>
      <c r="OQ101" s="15">
        <f t="shared" si="38"/>
        <v>0</v>
      </c>
      <c r="OW101" s="28">
        <f t="shared" si="39"/>
        <v>0</v>
      </c>
      <c r="RD101" s="15">
        <f t="shared" si="40"/>
        <v>0</v>
      </c>
      <c r="RU101" s="15">
        <f t="shared" si="41"/>
        <v>0</v>
      </c>
      <c r="UE101" s="15">
        <f t="shared" si="42"/>
        <v>0</v>
      </c>
      <c r="VJ101" s="15">
        <f t="shared" si="43"/>
        <v>0</v>
      </c>
      <c r="WM101" s="15">
        <f t="shared" si="44"/>
        <v>0</v>
      </c>
      <c r="XH101" s="15">
        <f t="shared" si="45"/>
        <v>0</v>
      </c>
      <c r="YD101" s="15">
        <f t="shared" si="46"/>
        <v>0</v>
      </c>
      <c r="YX101" s="15">
        <f t="shared" si="47"/>
        <v>0</v>
      </c>
      <c r="ZR101" s="15">
        <f t="shared" si="48"/>
        <v>0</v>
      </c>
      <c r="ZX101" s="15">
        <f t="shared" si="49"/>
        <v>0</v>
      </c>
      <c r="AAT101" s="15">
        <f t="shared" si="50"/>
        <v>0</v>
      </c>
      <c r="ABQ101" s="15">
        <f t="shared" si="51"/>
        <v>0</v>
      </c>
      <c r="ABV101" s="28">
        <f t="shared" si="52"/>
        <v>0</v>
      </c>
      <c r="ACC101" s="28">
        <f t="shared" si="53"/>
        <v>0</v>
      </c>
      <c r="ACQ101" s="15">
        <f t="shared" si="54"/>
        <v>0</v>
      </c>
      <c r="ADA101" s="15">
        <f t="shared" si="55"/>
        <v>0</v>
      </c>
      <c r="ADM101" s="15">
        <f t="shared" si="56"/>
        <v>0</v>
      </c>
      <c r="AEI101" s="15">
        <f t="shared" si="57"/>
        <v>0</v>
      </c>
    </row>
    <row r="102" spans="2:815" x14ac:dyDescent="0.25">
      <c r="B102" s="2" t="s">
        <v>163</v>
      </c>
      <c r="D102">
        <v>69</v>
      </c>
      <c r="E102" t="s">
        <v>8</v>
      </c>
      <c r="F102" t="s">
        <v>9</v>
      </c>
      <c r="G102" t="s">
        <v>9</v>
      </c>
      <c r="I102" t="s">
        <v>243</v>
      </c>
      <c r="K102" t="s">
        <v>1472</v>
      </c>
      <c r="L102" t="s">
        <v>323</v>
      </c>
      <c r="M102">
        <v>66</v>
      </c>
      <c r="N102">
        <v>176</v>
      </c>
      <c r="O102" t="s">
        <v>1093</v>
      </c>
      <c r="P102" t="s">
        <v>1466</v>
      </c>
      <c r="Q102" t="s">
        <v>1467</v>
      </c>
      <c r="R102" t="s">
        <v>1299</v>
      </c>
      <c r="S102" t="s">
        <v>1468</v>
      </c>
      <c r="T102" t="s">
        <v>1470</v>
      </c>
      <c r="U102" t="s">
        <v>1471</v>
      </c>
      <c r="V102" t="s">
        <v>1469</v>
      </c>
      <c r="W102" t="s">
        <v>1465</v>
      </c>
      <c r="X102" t="s">
        <v>1473</v>
      </c>
      <c r="AA102">
        <v>13</v>
      </c>
      <c r="BA102" s="15">
        <f t="shared" si="29"/>
        <v>1</v>
      </c>
      <c r="CB102" s="15">
        <f t="shared" si="30"/>
        <v>0</v>
      </c>
      <c r="CC102">
        <v>43.3</v>
      </c>
      <c r="CE102">
        <v>32.200000000000003</v>
      </c>
      <c r="DE102" s="15">
        <f t="shared" si="31"/>
        <v>2</v>
      </c>
      <c r="DS102" s="15">
        <f t="shared" si="32"/>
        <v>0</v>
      </c>
      <c r="DT102" s="7">
        <v>0.82</v>
      </c>
      <c r="EF102" s="15">
        <f t="shared" si="33"/>
        <v>1</v>
      </c>
      <c r="EG102">
        <v>4510</v>
      </c>
      <c r="EH102">
        <v>4600</v>
      </c>
      <c r="EI102">
        <v>3560</v>
      </c>
      <c r="EJ102">
        <v>3620</v>
      </c>
      <c r="EL102">
        <v>8180</v>
      </c>
      <c r="EM102">
        <v>3270</v>
      </c>
      <c r="EN102">
        <v>3550</v>
      </c>
      <c r="FI102" s="15">
        <f t="shared" si="34"/>
        <v>7</v>
      </c>
      <c r="HY102" s="15">
        <f t="shared" si="35"/>
        <v>0</v>
      </c>
      <c r="IC102">
        <v>46</v>
      </c>
      <c r="KM102" s="15">
        <f t="shared" si="36"/>
        <v>1</v>
      </c>
      <c r="KP102">
        <v>213</v>
      </c>
      <c r="MZ102" s="15">
        <f t="shared" si="37"/>
        <v>1</v>
      </c>
      <c r="ND102">
        <v>446</v>
      </c>
      <c r="OQ102" s="15">
        <f t="shared" si="38"/>
        <v>1</v>
      </c>
      <c r="OW102" s="28">
        <f t="shared" si="39"/>
        <v>0</v>
      </c>
      <c r="RD102" s="15">
        <f t="shared" si="40"/>
        <v>0</v>
      </c>
      <c r="RU102" s="15">
        <f t="shared" si="41"/>
        <v>0</v>
      </c>
      <c r="RY102">
        <v>209</v>
      </c>
      <c r="UE102" s="15">
        <f t="shared" si="42"/>
        <v>1</v>
      </c>
      <c r="UH102">
        <v>3470</v>
      </c>
      <c r="VJ102" s="15">
        <f t="shared" si="43"/>
        <v>1</v>
      </c>
      <c r="VK102" t="s">
        <v>543</v>
      </c>
      <c r="VM102" t="s">
        <v>1733</v>
      </c>
      <c r="VP102" t="s">
        <v>1734</v>
      </c>
      <c r="VQ102" t="s">
        <v>1733</v>
      </c>
      <c r="WM102" s="15">
        <f t="shared" si="44"/>
        <v>4</v>
      </c>
      <c r="XH102" s="15">
        <f t="shared" si="45"/>
        <v>0</v>
      </c>
      <c r="YD102" s="15">
        <f t="shared" si="46"/>
        <v>0</v>
      </c>
      <c r="YX102" s="15">
        <f t="shared" si="47"/>
        <v>0</v>
      </c>
      <c r="YY102">
        <v>41</v>
      </c>
      <c r="ZA102">
        <v>32.1</v>
      </c>
      <c r="ZB102">
        <v>46.1</v>
      </c>
      <c r="ZC102">
        <v>85.1</v>
      </c>
      <c r="ZR102" s="15">
        <f t="shared" si="48"/>
        <v>4</v>
      </c>
      <c r="ZX102" s="15">
        <f t="shared" si="49"/>
        <v>0</v>
      </c>
      <c r="ZY102">
        <v>0.61</v>
      </c>
      <c r="ZZ102">
        <v>0.53</v>
      </c>
      <c r="AAT102" s="15">
        <f t="shared" si="50"/>
        <v>2</v>
      </c>
      <c r="AAU102">
        <v>67</v>
      </c>
      <c r="AAV102">
        <v>64</v>
      </c>
      <c r="AAW102">
        <v>87</v>
      </c>
      <c r="AAX102">
        <v>81</v>
      </c>
      <c r="AAZ102">
        <v>116</v>
      </c>
      <c r="ABA102">
        <v>118</v>
      </c>
      <c r="ABB102">
        <v>163</v>
      </c>
      <c r="ABQ102" s="15">
        <f t="shared" si="51"/>
        <v>1</v>
      </c>
      <c r="ABV102" s="28">
        <f t="shared" si="52"/>
        <v>0</v>
      </c>
      <c r="ACC102" s="28">
        <f t="shared" si="53"/>
        <v>0</v>
      </c>
      <c r="ACK102" s="7">
        <v>0.46</v>
      </c>
      <c r="ACQ102" s="15">
        <f t="shared" si="54"/>
        <v>1</v>
      </c>
      <c r="ADA102" s="15">
        <f t="shared" si="55"/>
        <v>0</v>
      </c>
      <c r="ADM102" s="15">
        <f t="shared" si="56"/>
        <v>0</v>
      </c>
      <c r="AEI102" s="15">
        <f t="shared" si="57"/>
        <v>0</v>
      </c>
    </row>
    <row r="103" spans="2:815" x14ac:dyDescent="0.25">
      <c r="B103" s="4" t="s">
        <v>164</v>
      </c>
      <c r="D103">
        <v>28</v>
      </c>
      <c r="E103" t="s">
        <v>8</v>
      </c>
      <c r="F103" t="s">
        <v>9</v>
      </c>
      <c r="G103" t="s">
        <v>15</v>
      </c>
      <c r="H103" t="s">
        <v>281</v>
      </c>
      <c r="I103" t="s">
        <v>243</v>
      </c>
      <c r="J103" t="s">
        <v>243</v>
      </c>
      <c r="K103" t="s">
        <v>1477</v>
      </c>
      <c r="L103" t="s">
        <v>1474</v>
      </c>
      <c r="R103" t="s">
        <v>1262</v>
      </c>
      <c r="S103" t="s">
        <v>1476</v>
      </c>
      <c r="V103" t="s">
        <v>1475</v>
      </c>
      <c r="BA103" s="15">
        <f t="shared" si="29"/>
        <v>0</v>
      </c>
      <c r="CB103" s="15">
        <f t="shared" si="30"/>
        <v>0</v>
      </c>
      <c r="DE103" s="15">
        <f t="shared" si="31"/>
        <v>0</v>
      </c>
      <c r="DS103" s="15">
        <f t="shared" si="32"/>
        <v>0</v>
      </c>
      <c r="EF103" s="15">
        <f t="shared" si="33"/>
        <v>0</v>
      </c>
      <c r="FI103" s="15">
        <f t="shared" si="34"/>
        <v>0</v>
      </c>
      <c r="HY103" s="15">
        <f t="shared" si="35"/>
        <v>0</v>
      </c>
      <c r="KM103" s="15">
        <f t="shared" si="36"/>
        <v>0</v>
      </c>
      <c r="MZ103" s="15">
        <f t="shared" si="37"/>
        <v>0</v>
      </c>
      <c r="OQ103" s="15">
        <f t="shared" si="38"/>
        <v>0</v>
      </c>
      <c r="OW103" s="28">
        <f t="shared" si="39"/>
        <v>0</v>
      </c>
      <c r="RD103" s="15">
        <f t="shared" si="40"/>
        <v>0</v>
      </c>
      <c r="RU103" s="15">
        <f t="shared" si="41"/>
        <v>0</v>
      </c>
      <c r="UE103" s="15">
        <f t="shared" si="42"/>
        <v>0</v>
      </c>
      <c r="VJ103" s="15">
        <f t="shared" si="43"/>
        <v>0</v>
      </c>
      <c r="WM103" s="15">
        <f t="shared" si="44"/>
        <v>0</v>
      </c>
      <c r="XH103" s="15">
        <f t="shared" si="45"/>
        <v>0</v>
      </c>
      <c r="YD103" s="15">
        <f t="shared" si="46"/>
        <v>0</v>
      </c>
      <c r="YX103" s="15">
        <f t="shared" si="47"/>
        <v>0</v>
      </c>
      <c r="ZR103" s="15">
        <f t="shared" si="48"/>
        <v>0</v>
      </c>
      <c r="ZX103" s="15">
        <f t="shared" si="49"/>
        <v>0</v>
      </c>
      <c r="AAT103" s="15">
        <f t="shared" si="50"/>
        <v>0</v>
      </c>
      <c r="ABQ103" s="15">
        <f t="shared" si="51"/>
        <v>0</v>
      </c>
      <c r="ABV103" s="28">
        <f t="shared" si="52"/>
        <v>0</v>
      </c>
      <c r="ACC103" s="28">
        <f t="shared" si="53"/>
        <v>0</v>
      </c>
      <c r="ACQ103" s="15">
        <f t="shared" si="54"/>
        <v>0</v>
      </c>
      <c r="ADA103" s="15">
        <f t="shared" si="55"/>
        <v>0</v>
      </c>
      <c r="ADM103" s="15">
        <f t="shared" si="56"/>
        <v>0</v>
      </c>
      <c r="AEI103" s="15">
        <f t="shared" si="57"/>
        <v>0</v>
      </c>
    </row>
    <row r="104" spans="2:815" x14ac:dyDescent="0.25">
      <c r="B104" s="1" t="s">
        <v>165</v>
      </c>
      <c r="F104" t="s">
        <v>15</v>
      </c>
      <c r="G104" t="s">
        <v>15</v>
      </c>
      <c r="BA104" s="15">
        <f t="shared" si="29"/>
        <v>0</v>
      </c>
      <c r="CB104" s="15">
        <f t="shared" si="30"/>
        <v>0</v>
      </c>
      <c r="DE104" s="15">
        <f t="shared" si="31"/>
        <v>0</v>
      </c>
      <c r="DS104" s="15">
        <f t="shared" si="32"/>
        <v>0</v>
      </c>
      <c r="EF104" s="15">
        <f t="shared" si="33"/>
        <v>0</v>
      </c>
      <c r="FI104" s="15">
        <f t="shared" si="34"/>
        <v>0</v>
      </c>
      <c r="HY104" s="15">
        <f t="shared" si="35"/>
        <v>0</v>
      </c>
      <c r="KM104" s="15">
        <f t="shared" si="36"/>
        <v>0</v>
      </c>
      <c r="MZ104" s="15">
        <f t="shared" si="37"/>
        <v>0</v>
      </c>
      <c r="OQ104" s="15">
        <f t="shared" si="38"/>
        <v>0</v>
      </c>
      <c r="OW104" s="28">
        <f t="shared" si="39"/>
        <v>0</v>
      </c>
      <c r="RD104" s="15">
        <f t="shared" si="40"/>
        <v>0</v>
      </c>
      <c r="RU104" s="15">
        <f t="shared" si="41"/>
        <v>0</v>
      </c>
      <c r="UE104" s="15">
        <f t="shared" si="42"/>
        <v>0</v>
      </c>
      <c r="VJ104" s="15">
        <f t="shared" si="43"/>
        <v>0</v>
      </c>
      <c r="WM104" s="15">
        <f t="shared" si="44"/>
        <v>0</v>
      </c>
      <c r="XH104" s="15">
        <f t="shared" si="45"/>
        <v>0</v>
      </c>
      <c r="YD104" s="15">
        <f t="shared" si="46"/>
        <v>0</v>
      </c>
      <c r="YX104" s="15">
        <f t="shared" si="47"/>
        <v>0</v>
      </c>
      <c r="ZR104" s="15">
        <f t="shared" si="48"/>
        <v>0</v>
      </c>
      <c r="ZX104" s="15">
        <f t="shared" si="49"/>
        <v>0</v>
      </c>
      <c r="AAT104" s="15">
        <f t="shared" si="50"/>
        <v>0</v>
      </c>
      <c r="ABQ104" s="15">
        <f t="shared" si="51"/>
        <v>0</v>
      </c>
      <c r="ABV104" s="28">
        <f t="shared" si="52"/>
        <v>0</v>
      </c>
      <c r="ACC104" s="28">
        <f t="shared" si="53"/>
        <v>0</v>
      </c>
      <c r="ACQ104" s="15">
        <f t="shared" si="54"/>
        <v>0</v>
      </c>
      <c r="ADA104" s="15">
        <f t="shared" si="55"/>
        <v>0</v>
      </c>
      <c r="ADM104" s="15">
        <f t="shared" si="56"/>
        <v>0</v>
      </c>
      <c r="AEI104" s="15">
        <f t="shared" si="57"/>
        <v>0</v>
      </c>
    </row>
    <row r="105" spans="2:815" x14ac:dyDescent="0.25">
      <c r="B105" s="2" t="s">
        <v>166</v>
      </c>
      <c r="D105">
        <v>24</v>
      </c>
      <c r="E105" t="s">
        <v>8</v>
      </c>
      <c r="F105" t="s">
        <v>9</v>
      </c>
      <c r="G105" t="s">
        <v>9</v>
      </c>
      <c r="H105" t="s">
        <v>282</v>
      </c>
      <c r="I105" t="s">
        <v>243</v>
      </c>
      <c r="K105" t="s">
        <v>270</v>
      </c>
      <c r="L105" t="s">
        <v>1479</v>
      </c>
      <c r="Q105" s="10">
        <v>40360</v>
      </c>
      <c r="R105" s="10" t="s">
        <v>1483</v>
      </c>
      <c r="S105" t="s">
        <v>1478</v>
      </c>
      <c r="U105" t="s">
        <v>1480</v>
      </c>
      <c r="V105" t="s">
        <v>1481</v>
      </c>
      <c r="W105" t="s">
        <v>1482</v>
      </c>
      <c r="X105" t="s">
        <v>1484</v>
      </c>
      <c r="Z105">
        <v>53</v>
      </c>
      <c r="AA105">
        <v>66</v>
      </c>
      <c r="AD105">
        <v>60</v>
      </c>
      <c r="BA105" s="15">
        <f t="shared" si="29"/>
        <v>3</v>
      </c>
      <c r="CB105" s="15">
        <f t="shared" si="30"/>
        <v>0</v>
      </c>
      <c r="DE105" s="15">
        <f t="shared" si="31"/>
        <v>0</v>
      </c>
      <c r="DS105" s="15">
        <f t="shared" si="32"/>
        <v>0</v>
      </c>
      <c r="EF105" s="15">
        <f t="shared" si="33"/>
        <v>0</v>
      </c>
      <c r="EG105">
        <v>10140</v>
      </c>
      <c r="EI105">
        <v>11620</v>
      </c>
      <c r="EL105">
        <v>8550</v>
      </c>
      <c r="FI105" s="15">
        <f t="shared" si="34"/>
        <v>3</v>
      </c>
      <c r="FJ105">
        <v>83</v>
      </c>
      <c r="FN105">
        <v>96</v>
      </c>
      <c r="FQ105">
        <v>84</v>
      </c>
      <c r="HY105" s="15">
        <f t="shared" si="35"/>
        <v>3</v>
      </c>
      <c r="HZ105">
        <v>189</v>
      </c>
      <c r="IC105">
        <v>178</v>
      </c>
      <c r="IF105">
        <v>138</v>
      </c>
      <c r="KM105" s="15">
        <f t="shared" si="36"/>
        <v>3</v>
      </c>
      <c r="KN105">
        <v>89</v>
      </c>
      <c r="KP105">
        <v>105</v>
      </c>
      <c r="KR105">
        <v>86</v>
      </c>
      <c r="MZ105" s="15">
        <f t="shared" si="37"/>
        <v>3</v>
      </c>
      <c r="NA105">
        <v>203</v>
      </c>
      <c r="ND105">
        <v>235</v>
      </c>
      <c r="NG105">
        <v>216</v>
      </c>
      <c r="OQ105" s="15">
        <f t="shared" si="38"/>
        <v>3</v>
      </c>
      <c r="OW105" s="28">
        <f t="shared" si="39"/>
        <v>0</v>
      </c>
      <c r="OX105" t="s">
        <v>1698</v>
      </c>
      <c r="PA105" s="8" t="s">
        <v>1699</v>
      </c>
      <c r="PB105" s="8"/>
      <c r="PC105" s="8"/>
      <c r="PD105">
        <v>187</v>
      </c>
      <c r="RD105" s="15">
        <f t="shared" si="40"/>
        <v>3</v>
      </c>
      <c r="RU105" s="15">
        <f t="shared" si="41"/>
        <v>0</v>
      </c>
      <c r="RV105">
        <v>106</v>
      </c>
      <c r="RY105">
        <v>106</v>
      </c>
      <c r="SB105">
        <v>94</v>
      </c>
      <c r="UE105" s="15">
        <f t="shared" si="42"/>
        <v>3</v>
      </c>
      <c r="VJ105" s="15">
        <f t="shared" si="43"/>
        <v>0</v>
      </c>
      <c r="VK105" t="s">
        <v>1735</v>
      </c>
      <c r="VM105" t="s">
        <v>1736</v>
      </c>
      <c r="VP105" t="s">
        <v>529</v>
      </c>
      <c r="WM105" s="15">
        <f t="shared" si="44"/>
        <v>3</v>
      </c>
      <c r="XH105" s="15">
        <f t="shared" si="45"/>
        <v>0</v>
      </c>
      <c r="YD105" s="15">
        <f t="shared" si="46"/>
        <v>0</v>
      </c>
      <c r="YX105" s="15">
        <f t="shared" si="47"/>
        <v>0</v>
      </c>
      <c r="YY105">
        <v>12.6</v>
      </c>
      <c r="ZA105">
        <v>13.7</v>
      </c>
      <c r="ZB105">
        <v>10.6</v>
      </c>
      <c r="ZR105" s="15">
        <f t="shared" si="48"/>
        <v>3</v>
      </c>
      <c r="ZX105" s="15">
        <f t="shared" si="49"/>
        <v>0</v>
      </c>
      <c r="ZY105">
        <v>0.21</v>
      </c>
      <c r="ZZ105">
        <v>0.26</v>
      </c>
      <c r="AAC105">
        <v>0.24</v>
      </c>
      <c r="AAT105" s="15">
        <f t="shared" si="50"/>
        <v>3</v>
      </c>
      <c r="AAU105">
        <v>182</v>
      </c>
      <c r="AAW105">
        <v>235</v>
      </c>
      <c r="AAZ105">
        <v>226</v>
      </c>
      <c r="ABQ105" s="15">
        <f t="shared" si="51"/>
        <v>1</v>
      </c>
      <c r="ABV105" s="28">
        <f t="shared" si="52"/>
        <v>0</v>
      </c>
      <c r="ABW105" s="25" t="s">
        <v>930</v>
      </c>
      <c r="ABX105" s="25">
        <v>32</v>
      </c>
      <c r="ABY105" s="25">
        <v>29</v>
      </c>
      <c r="ACC105" s="28">
        <f t="shared" si="53"/>
        <v>3</v>
      </c>
      <c r="ACH105" t="s">
        <v>2031</v>
      </c>
      <c r="ACQ105" s="15">
        <f t="shared" si="54"/>
        <v>1</v>
      </c>
      <c r="ADA105" s="15">
        <f t="shared" si="55"/>
        <v>0</v>
      </c>
      <c r="ADM105" s="15">
        <f t="shared" si="56"/>
        <v>0</v>
      </c>
      <c r="AEI105" s="15">
        <f t="shared" si="57"/>
        <v>0</v>
      </c>
    </row>
    <row r="106" spans="2:815" x14ac:dyDescent="0.25">
      <c r="B106" s="2" t="s">
        <v>167</v>
      </c>
      <c r="C106" t="s">
        <v>168</v>
      </c>
      <c r="D106">
        <v>56</v>
      </c>
      <c r="E106" t="s">
        <v>8</v>
      </c>
      <c r="F106" t="s">
        <v>9</v>
      </c>
      <c r="G106" t="s">
        <v>9</v>
      </c>
      <c r="H106" t="s">
        <v>253</v>
      </c>
      <c r="I106" t="s">
        <v>243</v>
      </c>
      <c r="J106" t="s">
        <v>243</v>
      </c>
      <c r="K106" t="s">
        <v>1486</v>
      </c>
      <c r="L106" t="s">
        <v>1487</v>
      </c>
      <c r="M106">
        <v>80</v>
      </c>
      <c r="N106">
        <v>164</v>
      </c>
      <c r="O106" t="s">
        <v>1094</v>
      </c>
      <c r="T106" t="s">
        <v>1488</v>
      </c>
      <c r="W106" t="s">
        <v>1485</v>
      </c>
      <c r="BA106" s="15">
        <f t="shared" si="29"/>
        <v>0</v>
      </c>
      <c r="BB106">
        <v>35</v>
      </c>
      <c r="CB106" s="15">
        <f t="shared" si="30"/>
        <v>1</v>
      </c>
      <c r="DE106" s="15">
        <f t="shared" si="31"/>
        <v>0</v>
      </c>
      <c r="DS106" s="15">
        <f t="shared" si="32"/>
        <v>0</v>
      </c>
      <c r="EF106" s="15">
        <f t="shared" si="33"/>
        <v>0</v>
      </c>
      <c r="FI106" s="15">
        <f t="shared" si="34"/>
        <v>0</v>
      </c>
      <c r="FJ106" s="11">
        <v>2215</v>
      </c>
      <c r="FK106" s="11"/>
      <c r="FL106" s="11"/>
      <c r="FM106" s="11"/>
      <c r="HY106" s="15">
        <f t="shared" si="35"/>
        <v>1</v>
      </c>
      <c r="HZ106">
        <v>1821</v>
      </c>
      <c r="IK106" t="s">
        <v>547</v>
      </c>
      <c r="KM106" s="15">
        <f t="shared" si="36"/>
        <v>2</v>
      </c>
      <c r="MZ106" s="15">
        <f t="shared" si="37"/>
        <v>0</v>
      </c>
      <c r="OQ106" s="15">
        <f t="shared" si="38"/>
        <v>0</v>
      </c>
      <c r="OW106" s="28">
        <f t="shared" si="39"/>
        <v>0</v>
      </c>
      <c r="OX106" t="s">
        <v>1700</v>
      </c>
      <c r="RD106" s="15">
        <f t="shared" si="40"/>
        <v>1</v>
      </c>
      <c r="RU106" s="15">
        <f t="shared" si="41"/>
        <v>0</v>
      </c>
      <c r="UE106" s="15">
        <f t="shared" si="42"/>
        <v>0</v>
      </c>
      <c r="VJ106" s="15">
        <f t="shared" si="43"/>
        <v>0</v>
      </c>
      <c r="VK106" t="s">
        <v>1737</v>
      </c>
      <c r="WM106" s="15">
        <f t="shared" si="44"/>
        <v>1</v>
      </c>
      <c r="XH106" s="15">
        <f t="shared" si="45"/>
        <v>0</v>
      </c>
      <c r="YD106" s="15">
        <f t="shared" si="46"/>
        <v>0</v>
      </c>
      <c r="YX106" s="15">
        <f t="shared" si="47"/>
        <v>0</v>
      </c>
      <c r="YY106">
        <v>200</v>
      </c>
      <c r="ZR106" s="15">
        <f t="shared" si="48"/>
        <v>1</v>
      </c>
      <c r="ZX106" s="15">
        <f t="shared" si="49"/>
        <v>0</v>
      </c>
      <c r="AAT106" s="15">
        <f t="shared" si="50"/>
        <v>0</v>
      </c>
      <c r="ABQ106" s="15">
        <f t="shared" si="51"/>
        <v>0</v>
      </c>
      <c r="ABV106" s="28">
        <f t="shared" si="52"/>
        <v>0</v>
      </c>
      <c r="ACC106" s="28">
        <f t="shared" si="53"/>
        <v>0</v>
      </c>
      <c r="ACQ106" s="15">
        <f t="shared" si="54"/>
        <v>0</v>
      </c>
      <c r="ADA106" s="15">
        <f t="shared" si="55"/>
        <v>0</v>
      </c>
      <c r="ADM106" s="15">
        <f t="shared" si="56"/>
        <v>0</v>
      </c>
      <c r="AEI106" s="15">
        <f t="shared" si="57"/>
        <v>0</v>
      </c>
    </row>
    <row r="107" spans="2:815" x14ac:dyDescent="0.25">
      <c r="B107" s="1" t="s">
        <v>169</v>
      </c>
      <c r="F107" t="s">
        <v>9</v>
      </c>
      <c r="G107" t="s">
        <v>15</v>
      </c>
      <c r="W107" t="s">
        <v>1489</v>
      </c>
      <c r="BA107" s="15">
        <f t="shared" si="29"/>
        <v>0</v>
      </c>
      <c r="CB107" s="15">
        <f t="shared" si="30"/>
        <v>0</v>
      </c>
      <c r="DE107" s="15">
        <f t="shared" si="31"/>
        <v>0</v>
      </c>
      <c r="DS107" s="15">
        <f t="shared" si="32"/>
        <v>0</v>
      </c>
      <c r="EF107" s="15">
        <f t="shared" si="33"/>
        <v>0</v>
      </c>
      <c r="FI107" s="15">
        <f t="shared" si="34"/>
        <v>0</v>
      </c>
      <c r="HY107" s="15">
        <f t="shared" si="35"/>
        <v>0</v>
      </c>
      <c r="KM107" s="15">
        <f t="shared" si="36"/>
        <v>0</v>
      </c>
      <c r="MZ107" s="15">
        <f t="shared" si="37"/>
        <v>0</v>
      </c>
      <c r="OQ107" s="15">
        <f t="shared" si="38"/>
        <v>0</v>
      </c>
      <c r="OW107" s="28">
        <f t="shared" si="39"/>
        <v>0</v>
      </c>
      <c r="RD107" s="15">
        <f t="shared" si="40"/>
        <v>0</v>
      </c>
      <c r="RU107" s="15">
        <f t="shared" si="41"/>
        <v>0</v>
      </c>
      <c r="UE107" s="15">
        <f t="shared" si="42"/>
        <v>0</v>
      </c>
      <c r="VJ107" s="15">
        <f t="shared" si="43"/>
        <v>0</v>
      </c>
      <c r="WM107" s="15">
        <f t="shared" si="44"/>
        <v>0</v>
      </c>
      <c r="XH107" s="15">
        <f t="shared" si="45"/>
        <v>0</v>
      </c>
      <c r="YD107" s="15">
        <f t="shared" si="46"/>
        <v>0</v>
      </c>
      <c r="YX107" s="15">
        <f t="shared" si="47"/>
        <v>0</v>
      </c>
      <c r="ZR107" s="15">
        <f t="shared" si="48"/>
        <v>0</v>
      </c>
      <c r="ZX107" s="15">
        <f t="shared" si="49"/>
        <v>0</v>
      </c>
      <c r="AAT107" s="15">
        <f t="shared" si="50"/>
        <v>0</v>
      </c>
      <c r="ABQ107" s="15">
        <f t="shared" si="51"/>
        <v>0</v>
      </c>
      <c r="ABV107" s="28">
        <f t="shared" si="52"/>
        <v>0</v>
      </c>
      <c r="ACC107" s="28">
        <f t="shared" si="53"/>
        <v>0</v>
      </c>
      <c r="ACQ107" s="15">
        <f t="shared" si="54"/>
        <v>0</v>
      </c>
      <c r="ADA107" s="15">
        <f t="shared" si="55"/>
        <v>0</v>
      </c>
      <c r="ADM107" s="15">
        <f t="shared" si="56"/>
        <v>0</v>
      </c>
      <c r="AEI107" s="15">
        <f t="shared" si="57"/>
        <v>0</v>
      </c>
    </row>
    <row r="108" spans="2:815" x14ac:dyDescent="0.25">
      <c r="B108" s="1" t="s">
        <v>170</v>
      </c>
      <c r="C108" t="s">
        <v>171</v>
      </c>
      <c r="D108">
        <v>13</v>
      </c>
      <c r="E108" t="s">
        <v>14</v>
      </c>
      <c r="F108" t="s">
        <v>9</v>
      </c>
      <c r="G108" t="s">
        <v>9</v>
      </c>
      <c r="M108">
        <v>60</v>
      </c>
      <c r="N108">
        <v>159</v>
      </c>
      <c r="T108" t="s">
        <v>1490</v>
      </c>
      <c r="BA108" s="15">
        <f t="shared" si="29"/>
        <v>0</v>
      </c>
      <c r="CB108" s="15">
        <f t="shared" si="30"/>
        <v>0</v>
      </c>
      <c r="DE108" s="15">
        <f t="shared" si="31"/>
        <v>0</v>
      </c>
      <c r="DG108">
        <v>372</v>
      </c>
      <c r="DS108" s="15">
        <f t="shared" si="32"/>
        <v>1</v>
      </c>
      <c r="EF108" s="15">
        <f t="shared" si="33"/>
        <v>0</v>
      </c>
      <c r="EG108">
        <v>5900</v>
      </c>
      <c r="FI108" s="15">
        <f t="shared" si="34"/>
        <v>1</v>
      </c>
      <c r="HY108" s="15">
        <f t="shared" si="35"/>
        <v>0</v>
      </c>
      <c r="KM108" s="15">
        <f t="shared" si="36"/>
        <v>0</v>
      </c>
      <c r="MZ108" s="15">
        <f t="shared" si="37"/>
        <v>0</v>
      </c>
      <c r="OQ108" s="15">
        <f t="shared" si="38"/>
        <v>0</v>
      </c>
      <c r="OW108" s="28">
        <f t="shared" si="39"/>
        <v>0</v>
      </c>
      <c r="RD108" s="15">
        <f t="shared" si="40"/>
        <v>0</v>
      </c>
      <c r="RU108" s="15">
        <f t="shared" si="41"/>
        <v>0</v>
      </c>
      <c r="UE108" s="15">
        <f t="shared" si="42"/>
        <v>0</v>
      </c>
      <c r="VJ108" s="15">
        <f t="shared" si="43"/>
        <v>0</v>
      </c>
      <c r="WM108" s="15">
        <f t="shared" si="44"/>
        <v>0</v>
      </c>
      <c r="XH108" s="15">
        <f t="shared" si="45"/>
        <v>0</v>
      </c>
      <c r="YD108" s="15">
        <f t="shared" si="46"/>
        <v>0</v>
      </c>
      <c r="YX108" s="15">
        <f t="shared" si="47"/>
        <v>0</v>
      </c>
      <c r="ZR108" s="15">
        <f t="shared" si="48"/>
        <v>0</v>
      </c>
      <c r="ZX108" s="15">
        <f t="shared" si="49"/>
        <v>0</v>
      </c>
      <c r="AAT108" s="15">
        <f t="shared" si="50"/>
        <v>0</v>
      </c>
      <c r="AAU108">
        <v>270</v>
      </c>
      <c r="ABQ108" s="15">
        <f t="shared" si="51"/>
        <v>1</v>
      </c>
      <c r="ABV108" s="28">
        <f t="shared" si="52"/>
        <v>0</v>
      </c>
      <c r="ACC108" s="28">
        <f t="shared" si="53"/>
        <v>0</v>
      </c>
      <c r="ACQ108" s="15">
        <f t="shared" si="54"/>
        <v>0</v>
      </c>
      <c r="ADA108" s="15">
        <f t="shared" si="55"/>
        <v>0</v>
      </c>
      <c r="ADM108" s="15">
        <f t="shared" si="56"/>
        <v>0</v>
      </c>
      <c r="AEI108" s="15">
        <f t="shared" si="57"/>
        <v>0</v>
      </c>
    </row>
    <row r="109" spans="2:815" x14ac:dyDescent="0.25">
      <c r="B109" s="3" t="s">
        <v>172</v>
      </c>
      <c r="D109">
        <v>57</v>
      </c>
      <c r="E109" t="s">
        <v>14</v>
      </c>
      <c r="F109" t="s">
        <v>9</v>
      </c>
      <c r="G109" t="s">
        <v>15</v>
      </c>
      <c r="I109" t="s">
        <v>243</v>
      </c>
      <c r="J109" t="s">
        <v>243</v>
      </c>
      <c r="L109" t="s">
        <v>310</v>
      </c>
      <c r="U109" t="s">
        <v>1491</v>
      </c>
      <c r="BA109" s="15">
        <f t="shared" si="29"/>
        <v>0</v>
      </c>
      <c r="CB109" s="15">
        <f t="shared" si="30"/>
        <v>0</v>
      </c>
      <c r="DE109" s="15">
        <f t="shared" si="31"/>
        <v>0</v>
      </c>
      <c r="DS109" s="15">
        <f t="shared" si="32"/>
        <v>0</v>
      </c>
      <c r="EF109" s="15">
        <f t="shared" si="33"/>
        <v>0</v>
      </c>
      <c r="FI109" s="15">
        <f t="shared" si="34"/>
        <v>0</v>
      </c>
      <c r="HY109" s="15">
        <f t="shared" si="35"/>
        <v>0</v>
      </c>
      <c r="KM109" s="15">
        <f t="shared" si="36"/>
        <v>0</v>
      </c>
      <c r="MZ109" s="15">
        <f t="shared" si="37"/>
        <v>0</v>
      </c>
      <c r="OQ109" s="15">
        <f t="shared" si="38"/>
        <v>0</v>
      </c>
      <c r="OW109" s="28">
        <f t="shared" si="39"/>
        <v>0</v>
      </c>
      <c r="RD109" s="15">
        <f t="shared" si="40"/>
        <v>0</v>
      </c>
      <c r="RU109" s="15">
        <f t="shared" si="41"/>
        <v>0</v>
      </c>
      <c r="UE109" s="15">
        <f t="shared" si="42"/>
        <v>0</v>
      </c>
      <c r="VJ109" s="15">
        <f t="shared" si="43"/>
        <v>0</v>
      </c>
      <c r="WM109" s="15">
        <f t="shared" si="44"/>
        <v>0</v>
      </c>
      <c r="XH109" s="15">
        <f t="shared" si="45"/>
        <v>0</v>
      </c>
      <c r="YD109" s="15">
        <f t="shared" si="46"/>
        <v>0</v>
      </c>
      <c r="YX109" s="15">
        <f t="shared" si="47"/>
        <v>0</v>
      </c>
      <c r="ZR109" s="15">
        <f t="shared" si="48"/>
        <v>0</v>
      </c>
      <c r="ZX109" s="15">
        <f t="shared" si="49"/>
        <v>0</v>
      </c>
      <c r="AAT109" s="15">
        <f t="shared" si="50"/>
        <v>0</v>
      </c>
      <c r="ABQ109" s="15">
        <f t="shared" si="51"/>
        <v>0</v>
      </c>
      <c r="ABV109" s="28">
        <f t="shared" si="52"/>
        <v>0</v>
      </c>
      <c r="ACC109" s="28">
        <f t="shared" si="53"/>
        <v>0</v>
      </c>
      <c r="ACQ109" s="15">
        <f t="shared" si="54"/>
        <v>0</v>
      </c>
      <c r="ADA109" s="15">
        <f t="shared" si="55"/>
        <v>0</v>
      </c>
      <c r="ADM109" s="15">
        <f t="shared" si="56"/>
        <v>0</v>
      </c>
      <c r="AEI109" s="15">
        <f t="shared" si="57"/>
        <v>0</v>
      </c>
    </row>
    <row r="110" spans="2:815" x14ac:dyDescent="0.25">
      <c r="B110" s="2" t="s">
        <v>173</v>
      </c>
      <c r="C110" t="s">
        <v>174</v>
      </c>
      <c r="D110">
        <v>17</v>
      </c>
      <c r="E110" t="s">
        <v>14</v>
      </c>
      <c r="F110" t="s">
        <v>9</v>
      </c>
      <c r="G110" t="s">
        <v>9</v>
      </c>
      <c r="H110" t="s">
        <v>283</v>
      </c>
      <c r="I110" t="s">
        <v>243</v>
      </c>
      <c r="J110" t="s">
        <v>257</v>
      </c>
      <c r="K110" t="s">
        <v>1497</v>
      </c>
      <c r="L110" t="s">
        <v>310</v>
      </c>
      <c r="P110" s="10">
        <v>41017</v>
      </c>
      <c r="Q110" t="s">
        <v>1494</v>
      </c>
      <c r="R110" t="s">
        <v>1133</v>
      </c>
      <c r="S110" t="s">
        <v>1250</v>
      </c>
      <c r="T110" t="s">
        <v>1495</v>
      </c>
      <c r="U110" t="s">
        <v>1496</v>
      </c>
      <c r="V110" t="s">
        <v>1492</v>
      </c>
      <c r="W110" t="s">
        <v>1493</v>
      </c>
      <c r="Z110">
        <v>527</v>
      </c>
      <c r="AA110">
        <v>711</v>
      </c>
      <c r="AD110">
        <v>499</v>
      </c>
      <c r="BA110" s="15">
        <f t="shared" si="29"/>
        <v>3</v>
      </c>
      <c r="BB110">
        <v>85</v>
      </c>
      <c r="BC110">
        <v>30</v>
      </c>
      <c r="BD110">
        <v>29</v>
      </c>
      <c r="BE110">
        <v>37</v>
      </c>
      <c r="BF110">
        <v>49</v>
      </c>
      <c r="CB110" s="15">
        <f t="shared" si="30"/>
        <v>5</v>
      </c>
      <c r="CE110">
        <v>28</v>
      </c>
      <c r="CF110">
        <v>32</v>
      </c>
      <c r="CG110">
        <v>35</v>
      </c>
      <c r="DE110" s="15">
        <f t="shared" si="31"/>
        <v>3</v>
      </c>
      <c r="DS110" s="15">
        <f t="shared" si="32"/>
        <v>0</v>
      </c>
      <c r="EF110" s="15">
        <f t="shared" si="33"/>
        <v>0</v>
      </c>
      <c r="EG110">
        <v>2100</v>
      </c>
      <c r="EH110">
        <v>8000</v>
      </c>
      <c r="EI110">
        <v>8500</v>
      </c>
      <c r="EJ110">
        <v>7500</v>
      </c>
      <c r="EL110">
        <v>8000</v>
      </c>
      <c r="EN110">
        <v>4600</v>
      </c>
      <c r="ET110">
        <v>3400</v>
      </c>
      <c r="FI110" s="15">
        <f t="shared" si="34"/>
        <v>7</v>
      </c>
      <c r="FJ110">
        <v>1639</v>
      </c>
      <c r="FK110">
        <v>1054</v>
      </c>
      <c r="FN110">
        <v>879</v>
      </c>
      <c r="FO110">
        <v>658</v>
      </c>
      <c r="FQ110">
        <v>511</v>
      </c>
      <c r="FR110">
        <v>241</v>
      </c>
      <c r="FX110">
        <v>78</v>
      </c>
      <c r="HY110" s="15">
        <f t="shared" si="35"/>
        <v>7</v>
      </c>
      <c r="HZ110">
        <v>1835</v>
      </c>
      <c r="IC110">
        <v>1893</v>
      </c>
      <c r="IF110">
        <v>1571</v>
      </c>
      <c r="IG110">
        <v>1362</v>
      </c>
      <c r="IM110">
        <v>847</v>
      </c>
      <c r="KM110" s="15">
        <f t="shared" si="36"/>
        <v>5</v>
      </c>
      <c r="KN110">
        <v>50</v>
      </c>
      <c r="KO110">
        <v>46</v>
      </c>
      <c r="KP110">
        <v>44</v>
      </c>
      <c r="KQ110">
        <v>50</v>
      </c>
      <c r="KR110">
        <v>55</v>
      </c>
      <c r="KS110">
        <v>78</v>
      </c>
      <c r="KY110">
        <v>86</v>
      </c>
      <c r="MZ110" s="15">
        <f t="shared" si="37"/>
        <v>7</v>
      </c>
      <c r="NA110">
        <v>785</v>
      </c>
      <c r="NB110">
        <v>485</v>
      </c>
      <c r="ND110">
        <v>421</v>
      </c>
      <c r="NE110">
        <v>403</v>
      </c>
      <c r="NG110">
        <v>337</v>
      </c>
      <c r="NH110">
        <v>271</v>
      </c>
      <c r="NN110">
        <v>240</v>
      </c>
      <c r="OQ110" s="15">
        <f t="shared" si="38"/>
        <v>7</v>
      </c>
      <c r="OW110" s="28">
        <f t="shared" si="39"/>
        <v>0</v>
      </c>
      <c r="OX110" t="s">
        <v>1695</v>
      </c>
      <c r="OZ110">
        <v>17</v>
      </c>
      <c r="PA110" t="s">
        <v>1695</v>
      </c>
      <c r="PB110">
        <v>17</v>
      </c>
      <c r="PC110" t="s">
        <v>1828</v>
      </c>
      <c r="PD110">
        <v>17</v>
      </c>
      <c r="PF110" t="s">
        <v>1692</v>
      </c>
      <c r="PL110" t="s">
        <v>1696</v>
      </c>
      <c r="RD110" s="15">
        <f t="shared" si="40"/>
        <v>8</v>
      </c>
      <c r="RE110" t="s">
        <v>1996</v>
      </c>
      <c r="RF110" t="s">
        <v>1843</v>
      </c>
      <c r="RH110" t="s">
        <v>1997</v>
      </c>
      <c r="RI110" t="s">
        <v>1845</v>
      </c>
      <c r="RJ110" t="s">
        <v>936</v>
      </c>
      <c r="RK110" t="s">
        <v>937</v>
      </c>
      <c r="RL110" t="s">
        <v>938</v>
      </c>
      <c r="RU110" s="15">
        <f t="shared" si="41"/>
        <v>7</v>
      </c>
      <c r="RV110">
        <v>52</v>
      </c>
      <c r="RW110">
        <v>58</v>
      </c>
      <c r="RY110">
        <v>52</v>
      </c>
      <c r="SB110">
        <v>57</v>
      </c>
      <c r="SC110">
        <v>63</v>
      </c>
      <c r="UE110" s="15">
        <f t="shared" si="42"/>
        <v>5</v>
      </c>
      <c r="UF110">
        <v>5741</v>
      </c>
      <c r="UG110">
        <v>5153</v>
      </c>
      <c r="UH110">
        <v>4925</v>
      </c>
      <c r="UI110">
        <v>4682</v>
      </c>
      <c r="UK110">
        <v>4014</v>
      </c>
      <c r="UL110">
        <v>5770</v>
      </c>
      <c r="UP110">
        <v>8244</v>
      </c>
      <c r="VJ110" s="15">
        <f t="shared" si="43"/>
        <v>7</v>
      </c>
      <c r="VK110" t="s">
        <v>1869</v>
      </c>
      <c r="VL110" t="s">
        <v>1736</v>
      </c>
      <c r="VM110" t="s">
        <v>543</v>
      </c>
      <c r="VN110" t="s">
        <v>1729</v>
      </c>
      <c r="VP110" t="s">
        <v>1729</v>
      </c>
      <c r="VQ110" t="s">
        <v>543</v>
      </c>
      <c r="VW110" t="s">
        <v>543</v>
      </c>
      <c r="WM110" s="15">
        <f t="shared" si="44"/>
        <v>7</v>
      </c>
      <c r="WN110" t="s">
        <v>1889</v>
      </c>
      <c r="WO110" t="s">
        <v>1888</v>
      </c>
      <c r="WP110" t="s">
        <v>1892</v>
      </c>
      <c r="WQ110" t="s">
        <v>1891</v>
      </c>
      <c r="WR110" t="s">
        <v>939</v>
      </c>
      <c r="WS110" t="s">
        <v>940</v>
      </c>
      <c r="WX110" t="s">
        <v>643</v>
      </c>
      <c r="XH110" s="15">
        <f t="shared" si="45"/>
        <v>7</v>
      </c>
      <c r="YD110" s="15">
        <f t="shared" si="46"/>
        <v>0</v>
      </c>
      <c r="YX110" s="15">
        <f t="shared" si="47"/>
        <v>0</v>
      </c>
      <c r="YY110">
        <v>12</v>
      </c>
      <c r="ZA110">
        <v>12</v>
      </c>
      <c r="ZR110" s="15">
        <f t="shared" si="48"/>
        <v>2</v>
      </c>
      <c r="ZX110" s="15">
        <f t="shared" si="49"/>
        <v>0</v>
      </c>
      <c r="ZY110">
        <v>0.51</v>
      </c>
      <c r="ZZ110">
        <v>0.38</v>
      </c>
      <c r="AAA110">
        <v>0.26600000000000001</v>
      </c>
      <c r="AAC110">
        <v>0.26600000000000001</v>
      </c>
      <c r="AAD110">
        <v>0.28999999999999998</v>
      </c>
      <c r="AAJ110">
        <v>0.28999999999999998</v>
      </c>
      <c r="AAT110" s="15">
        <f t="shared" si="50"/>
        <v>6</v>
      </c>
      <c r="AAU110" t="s">
        <v>941</v>
      </c>
      <c r="AAW110">
        <v>134</v>
      </c>
      <c r="AAX110">
        <v>178</v>
      </c>
      <c r="AAZ110">
        <v>188</v>
      </c>
      <c r="ABB110">
        <v>216</v>
      </c>
      <c r="ABE110">
        <v>217</v>
      </c>
      <c r="ABQ110" s="15">
        <f t="shared" si="51"/>
        <v>1</v>
      </c>
      <c r="ABV110" s="28">
        <f t="shared" si="52"/>
        <v>0</v>
      </c>
      <c r="ABW110" s="25" t="s">
        <v>942</v>
      </c>
      <c r="ACC110" s="28">
        <f t="shared" si="53"/>
        <v>1</v>
      </c>
      <c r="ACH110">
        <v>37.799999999999997</v>
      </c>
      <c r="ACI110" t="s">
        <v>1941</v>
      </c>
      <c r="ACJ110" t="s">
        <v>944</v>
      </c>
      <c r="ACK110" t="s">
        <v>945</v>
      </c>
      <c r="ACL110" t="s">
        <v>946</v>
      </c>
      <c r="ACQ110" s="15">
        <f t="shared" si="54"/>
        <v>5</v>
      </c>
      <c r="ADA110" s="15">
        <f t="shared" si="55"/>
        <v>0</v>
      </c>
      <c r="ADM110" s="15">
        <f t="shared" si="56"/>
        <v>0</v>
      </c>
      <c r="AEI110" s="15">
        <f t="shared" si="57"/>
        <v>0</v>
      </c>
    </row>
    <row r="111" spans="2:815" x14ac:dyDescent="0.25">
      <c r="B111" s="2" t="s">
        <v>175</v>
      </c>
      <c r="C111" t="s">
        <v>180</v>
      </c>
      <c r="D111">
        <v>50</v>
      </c>
      <c r="E111" t="s">
        <v>14</v>
      </c>
      <c r="F111" t="s">
        <v>9</v>
      </c>
      <c r="G111" t="s">
        <v>9</v>
      </c>
      <c r="H111" t="s">
        <v>284</v>
      </c>
      <c r="I111" t="s">
        <v>243</v>
      </c>
      <c r="J111" t="s">
        <v>257</v>
      </c>
      <c r="L111" t="s">
        <v>1502</v>
      </c>
      <c r="P111" s="10"/>
      <c r="Q111" s="10"/>
      <c r="R111" t="s">
        <v>1299</v>
      </c>
      <c r="S111" t="s">
        <v>1498</v>
      </c>
      <c r="T111" t="s">
        <v>1501</v>
      </c>
      <c r="U111" t="s">
        <v>1500</v>
      </c>
      <c r="W111" t="s">
        <v>1499</v>
      </c>
      <c r="BA111" s="15">
        <f t="shared" si="29"/>
        <v>0</v>
      </c>
      <c r="CB111" s="15">
        <f t="shared" si="30"/>
        <v>0</v>
      </c>
      <c r="DE111" s="15">
        <f t="shared" si="31"/>
        <v>0</v>
      </c>
      <c r="DS111" s="15">
        <f t="shared" si="32"/>
        <v>0</v>
      </c>
      <c r="EF111" s="15">
        <f t="shared" si="33"/>
        <v>0</v>
      </c>
      <c r="FI111" s="15">
        <f t="shared" si="34"/>
        <v>0</v>
      </c>
      <c r="FJ111">
        <v>6</v>
      </c>
      <c r="HI111">
        <v>12</v>
      </c>
      <c r="HJ111">
        <v>150</v>
      </c>
      <c r="HK111">
        <v>57</v>
      </c>
      <c r="HL111">
        <v>42</v>
      </c>
      <c r="HM111">
        <v>97</v>
      </c>
      <c r="HN111">
        <v>90</v>
      </c>
      <c r="HO111">
        <v>15</v>
      </c>
      <c r="HP111">
        <v>12</v>
      </c>
      <c r="HQ111">
        <v>18</v>
      </c>
      <c r="HR111">
        <v>8</v>
      </c>
      <c r="HY111" s="15">
        <f t="shared" si="35"/>
        <v>11</v>
      </c>
      <c r="HZ111">
        <v>4</v>
      </c>
      <c r="JW111">
        <v>9</v>
      </c>
      <c r="JX111">
        <v>276</v>
      </c>
      <c r="JY111">
        <v>124</v>
      </c>
      <c r="JZ111">
        <v>102</v>
      </c>
      <c r="KA111">
        <v>184</v>
      </c>
      <c r="KB111">
        <v>94</v>
      </c>
      <c r="KC111">
        <v>30</v>
      </c>
      <c r="KD111">
        <v>20</v>
      </c>
      <c r="KE111">
        <v>41</v>
      </c>
      <c r="KF111">
        <v>11</v>
      </c>
      <c r="KM111" s="15">
        <f t="shared" si="36"/>
        <v>11</v>
      </c>
      <c r="KN111">
        <v>14</v>
      </c>
      <c r="MI111">
        <v>12</v>
      </c>
      <c r="MJ111">
        <v>366</v>
      </c>
      <c r="MK111">
        <v>143</v>
      </c>
      <c r="ML111">
        <v>158</v>
      </c>
      <c r="MM111">
        <v>403</v>
      </c>
      <c r="MN111">
        <v>326</v>
      </c>
      <c r="MO111">
        <v>236</v>
      </c>
      <c r="MP111">
        <v>182</v>
      </c>
      <c r="MQ111">
        <v>172</v>
      </c>
      <c r="MR111">
        <v>129</v>
      </c>
      <c r="MZ111" s="15">
        <f t="shared" si="37"/>
        <v>11</v>
      </c>
      <c r="OQ111" s="15">
        <f t="shared" si="38"/>
        <v>0</v>
      </c>
      <c r="OW111" s="28">
        <f t="shared" si="39"/>
        <v>0</v>
      </c>
      <c r="OX111" t="s">
        <v>1696</v>
      </c>
      <c r="QP111" t="s">
        <v>378</v>
      </c>
      <c r="QQ111" t="s">
        <v>1701</v>
      </c>
      <c r="QR111" t="s">
        <v>1702</v>
      </c>
      <c r="QS111">
        <v>255</v>
      </c>
      <c r="QT111" t="s">
        <v>1703</v>
      </c>
      <c r="QU111" t="s">
        <v>1704</v>
      </c>
      <c r="QV111" t="s">
        <v>1705</v>
      </c>
      <c r="QW111" t="s">
        <v>1696</v>
      </c>
      <c r="QX111" t="s">
        <v>1695</v>
      </c>
      <c r="QY111">
        <v>1</v>
      </c>
      <c r="RD111" s="15">
        <f t="shared" si="40"/>
        <v>11</v>
      </c>
      <c r="RO111">
        <v>65</v>
      </c>
      <c r="RP111" t="s">
        <v>992</v>
      </c>
      <c r="RQ111" t="s">
        <v>993</v>
      </c>
      <c r="RR111" t="s">
        <v>994</v>
      </c>
      <c r="RS111">
        <v>7</v>
      </c>
      <c r="RU111" s="15">
        <f t="shared" si="41"/>
        <v>5</v>
      </c>
      <c r="TP111">
        <v>750</v>
      </c>
      <c r="TQ111">
        <v>645</v>
      </c>
      <c r="TR111">
        <v>728</v>
      </c>
      <c r="TS111">
        <v>1227</v>
      </c>
      <c r="TT111">
        <v>793</v>
      </c>
      <c r="TU111">
        <v>371</v>
      </c>
      <c r="TV111">
        <v>212</v>
      </c>
      <c r="TW111">
        <v>257</v>
      </c>
      <c r="TX111">
        <v>190</v>
      </c>
      <c r="UE111" s="15">
        <f t="shared" si="42"/>
        <v>9</v>
      </c>
      <c r="VD111">
        <v>2346</v>
      </c>
      <c r="VE111">
        <v>5884</v>
      </c>
      <c r="VF111">
        <v>6400</v>
      </c>
      <c r="VG111">
        <v>6918</v>
      </c>
      <c r="VH111">
        <v>6963</v>
      </c>
      <c r="VI111">
        <v>6572</v>
      </c>
      <c r="VJ111" s="15">
        <f t="shared" si="43"/>
        <v>6</v>
      </c>
      <c r="WM111" s="15">
        <f t="shared" si="44"/>
        <v>0</v>
      </c>
      <c r="XH111" s="15">
        <f t="shared" si="45"/>
        <v>0</v>
      </c>
      <c r="YD111" s="15">
        <f t="shared" si="46"/>
        <v>0</v>
      </c>
      <c r="YX111" s="15">
        <f t="shared" si="47"/>
        <v>0</v>
      </c>
      <c r="ZR111" s="15">
        <f t="shared" si="48"/>
        <v>0</v>
      </c>
      <c r="ZX111" s="15">
        <f t="shared" si="49"/>
        <v>0</v>
      </c>
      <c r="AAT111" s="15">
        <f t="shared" si="50"/>
        <v>0</v>
      </c>
      <c r="ABQ111" s="15">
        <f t="shared" si="51"/>
        <v>0</v>
      </c>
      <c r="ABV111" s="28">
        <f t="shared" si="52"/>
        <v>0</v>
      </c>
      <c r="ACC111" s="28">
        <f t="shared" si="53"/>
        <v>0</v>
      </c>
      <c r="ACQ111" s="15">
        <f t="shared" si="54"/>
        <v>0</v>
      </c>
      <c r="ADA111" s="15">
        <f t="shared" si="55"/>
        <v>0</v>
      </c>
      <c r="ADB111">
        <v>242</v>
      </c>
      <c r="ADH111">
        <v>209</v>
      </c>
      <c r="ADI111">
        <v>282</v>
      </c>
      <c r="ADJ111">
        <v>279</v>
      </c>
      <c r="ADK111">
        <v>274</v>
      </c>
      <c r="ADL111">
        <v>243</v>
      </c>
      <c r="ADM111" s="15">
        <f t="shared" si="56"/>
        <v>6</v>
      </c>
      <c r="ADN111">
        <v>182</v>
      </c>
      <c r="AED111">
        <v>179</v>
      </c>
      <c r="AEE111">
        <v>162</v>
      </c>
      <c r="AEF111">
        <v>173</v>
      </c>
      <c r="AEG111">
        <v>204</v>
      </c>
      <c r="AEH111">
        <v>140</v>
      </c>
      <c r="AEI111" s="15">
        <f t="shared" si="57"/>
        <v>6</v>
      </c>
    </row>
    <row r="112" spans="2:815" x14ac:dyDescent="0.25">
      <c r="B112" s="4" t="s">
        <v>176</v>
      </c>
      <c r="D112">
        <v>15</v>
      </c>
      <c r="E112" t="s">
        <v>8</v>
      </c>
      <c r="F112" t="s">
        <v>15</v>
      </c>
      <c r="G112" t="s">
        <v>9</v>
      </c>
      <c r="I112" t="s">
        <v>257</v>
      </c>
      <c r="J112" t="s">
        <v>257</v>
      </c>
      <c r="R112" t="s">
        <v>1133</v>
      </c>
      <c r="S112" t="s">
        <v>1503</v>
      </c>
      <c r="BA112" s="15">
        <f t="shared" si="29"/>
        <v>0</v>
      </c>
      <c r="CB112" s="15">
        <f t="shared" si="30"/>
        <v>0</v>
      </c>
      <c r="DE112" s="15">
        <f t="shared" si="31"/>
        <v>0</v>
      </c>
      <c r="DS112" s="15">
        <f t="shared" si="32"/>
        <v>0</v>
      </c>
      <c r="EF112" s="15">
        <f t="shared" si="33"/>
        <v>0</v>
      </c>
      <c r="FI112" s="15">
        <f t="shared" si="34"/>
        <v>0</v>
      </c>
      <c r="FJ112">
        <v>58</v>
      </c>
      <c r="HY112" s="15">
        <f t="shared" si="35"/>
        <v>1</v>
      </c>
      <c r="HZ112">
        <v>47</v>
      </c>
      <c r="KM112" s="15">
        <f t="shared" si="36"/>
        <v>1</v>
      </c>
      <c r="MZ112" s="15">
        <f t="shared" si="37"/>
        <v>0</v>
      </c>
      <c r="OQ112" s="15">
        <f t="shared" si="38"/>
        <v>0</v>
      </c>
      <c r="OW112" s="28">
        <f t="shared" si="39"/>
        <v>0</v>
      </c>
      <c r="RD112" s="15">
        <f t="shared" si="40"/>
        <v>0</v>
      </c>
      <c r="RU112" s="15">
        <f t="shared" si="41"/>
        <v>0</v>
      </c>
      <c r="UE112" s="15">
        <f t="shared" si="42"/>
        <v>0</v>
      </c>
      <c r="VJ112" s="15">
        <f t="shared" si="43"/>
        <v>0</v>
      </c>
      <c r="WM112" s="15">
        <f t="shared" si="44"/>
        <v>0</v>
      </c>
      <c r="XH112" s="15">
        <f t="shared" si="45"/>
        <v>0</v>
      </c>
      <c r="YD112" s="15">
        <f t="shared" si="46"/>
        <v>0</v>
      </c>
      <c r="YX112" s="15">
        <f t="shared" si="47"/>
        <v>0</v>
      </c>
      <c r="ZR112" s="15">
        <f t="shared" si="48"/>
        <v>0</v>
      </c>
      <c r="ZX112" s="15">
        <f t="shared" si="49"/>
        <v>0</v>
      </c>
      <c r="AAT112" s="15">
        <f t="shared" si="50"/>
        <v>0</v>
      </c>
      <c r="ABQ112" s="15">
        <f t="shared" si="51"/>
        <v>0</v>
      </c>
      <c r="ABV112" s="28">
        <f t="shared" si="52"/>
        <v>0</v>
      </c>
      <c r="ACC112" s="28">
        <f t="shared" si="53"/>
        <v>0</v>
      </c>
      <c r="ACQ112" s="15">
        <f t="shared" si="54"/>
        <v>0</v>
      </c>
      <c r="ADA112" s="15">
        <f t="shared" si="55"/>
        <v>0</v>
      </c>
      <c r="ADM112" s="15">
        <f t="shared" si="56"/>
        <v>0</v>
      </c>
      <c r="AEI112" s="15">
        <f t="shared" si="57"/>
        <v>0</v>
      </c>
    </row>
    <row r="113" spans="2:815" x14ac:dyDescent="0.25">
      <c r="B113" s="4" t="s">
        <v>177</v>
      </c>
      <c r="C113" t="s">
        <v>181</v>
      </c>
      <c r="D113">
        <v>38</v>
      </c>
      <c r="E113" t="s">
        <v>14</v>
      </c>
      <c r="F113" t="s">
        <v>9</v>
      </c>
      <c r="G113" t="s">
        <v>15</v>
      </c>
      <c r="H113" t="s">
        <v>255</v>
      </c>
      <c r="I113" t="s">
        <v>243</v>
      </c>
      <c r="J113" t="s">
        <v>243</v>
      </c>
      <c r="K113" t="s">
        <v>1505</v>
      </c>
      <c r="L113" t="s">
        <v>1507</v>
      </c>
      <c r="P113" s="10">
        <v>34510</v>
      </c>
      <c r="Q113" s="10">
        <v>34510</v>
      </c>
      <c r="R113" t="s">
        <v>1133</v>
      </c>
      <c r="S113" t="s">
        <v>1305</v>
      </c>
      <c r="U113" t="s">
        <v>1508</v>
      </c>
      <c r="V113" t="s">
        <v>1506</v>
      </c>
      <c r="W113" t="s">
        <v>1504</v>
      </c>
      <c r="BA113" s="15">
        <f t="shared" si="29"/>
        <v>0</v>
      </c>
      <c r="BB113">
        <v>25</v>
      </c>
      <c r="CB113" s="15">
        <f t="shared" si="30"/>
        <v>1</v>
      </c>
      <c r="DE113" s="15">
        <f t="shared" si="31"/>
        <v>0</v>
      </c>
      <c r="DS113" s="15">
        <f t="shared" si="32"/>
        <v>0</v>
      </c>
      <c r="EF113" s="15">
        <f t="shared" si="33"/>
        <v>0</v>
      </c>
      <c r="EG113">
        <v>6800</v>
      </c>
      <c r="FI113" s="15">
        <f t="shared" si="34"/>
        <v>1</v>
      </c>
      <c r="HY113" s="15">
        <f t="shared" si="35"/>
        <v>0</v>
      </c>
      <c r="KM113" s="15">
        <f t="shared" si="36"/>
        <v>0</v>
      </c>
      <c r="MZ113" s="15">
        <f t="shared" si="37"/>
        <v>0</v>
      </c>
      <c r="OQ113" s="15">
        <f t="shared" si="38"/>
        <v>0</v>
      </c>
      <c r="OW113" s="28">
        <f t="shared" si="39"/>
        <v>0</v>
      </c>
      <c r="RD113" s="15">
        <f t="shared" si="40"/>
        <v>0</v>
      </c>
      <c r="RU113" s="15">
        <f t="shared" si="41"/>
        <v>0</v>
      </c>
      <c r="UE113" s="15">
        <f t="shared" si="42"/>
        <v>0</v>
      </c>
      <c r="VJ113" s="15">
        <f t="shared" si="43"/>
        <v>0</v>
      </c>
      <c r="VK113" t="s">
        <v>551</v>
      </c>
      <c r="WM113" s="15">
        <f t="shared" si="44"/>
        <v>1</v>
      </c>
      <c r="XH113" s="15">
        <f t="shared" si="45"/>
        <v>0</v>
      </c>
      <c r="YD113" s="15">
        <f t="shared" si="46"/>
        <v>0</v>
      </c>
      <c r="YX113" s="15">
        <f t="shared" si="47"/>
        <v>0</v>
      </c>
      <c r="ZR113" s="15">
        <f t="shared" si="48"/>
        <v>0</v>
      </c>
      <c r="ZX113" s="15">
        <f t="shared" si="49"/>
        <v>0</v>
      </c>
      <c r="AAT113" s="15">
        <f t="shared" si="50"/>
        <v>0</v>
      </c>
      <c r="ABQ113" s="15">
        <f t="shared" si="51"/>
        <v>0</v>
      </c>
      <c r="ABV113" s="28">
        <f t="shared" si="52"/>
        <v>0</v>
      </c>
      <c r="ACC113" s="28">
        <f t="shared" si="53"/>
        <v>0</v>
      </c>
      <c r="ACQ113" s="15">
        <f t="shared" si="54"/>
        <v>0</v>
      </c>
      <c r="ADA113" s="15">
        <f t="shared" si="55"/>
        <v>0</v>
      </c>
      <c r="ADM113" s="15">
        <f t="shared" si="56"/>
        <v>0</v>
      </c>
      <c r="AEI113" s="15">
        <f t="shared" si="57"/>
        <v>0</v>
      </c>
    </row>
    <row r="114" spans="2:815" x14ac:dyDescent="0.25">
      <c r="B114" s="2" t="s">
        <v>178</v>
      </c>
      <c r="D114">
        <v>4</v>
      </c>
      <c r="E114" t="s">
        <v>14</v>
      </c>
      <c r="F114" t="s">
        <v>15</v>
      </c>
      <c r="G114" t="s">
        <v>15</v>
      </c>
      <c r="H114" t="s">
        <v>285</v>
      </c>
      <c r="I114" t="s">
        <v>243</v>
      </c>
      <c r="J114" t="s">
        <v>257</v>
      </c>
      <c r="K114" t="s">
        <v>1514</v>
      </c>
      <c r="L114" t="s">
        <v>1509</v>
      </c>
      <c r="M114">
        <v>15.5</v>
      </c>
      <c r="N114">
        <v>107</v>
      </c>
      <c r="P114" t="s">
        <v>1511</v>
      </c>
      <c r="Q114" s="12">
        <v>42239</v>
      </c>
      <c r="R114" t="s">
        <v>1218</v>
      </c>
      <c r="S114" t="s">
        <v>1418</v>
      </c>
      <c r="T114" t="s">
        <v>1512</v>
      </c>
      <c r="U114" t="s">
        <v>1513</v>
      </c>
      <c r="W114" t="s">
        <v>1510</v>
      </c>
      <c r="BA114" s="15">
        <f t="shared" si="29"/>
        <v>0</v>
      </c>
      <c r="CB114" s="15">
        <f t="shared" si="30"/>
        <v>0</v>
      </c>
      <c r="DE114" s="15">
        <f t="shared" si="31"/>
        <v>0</v>
      </c>
      <c r="DS114" s="15">
        <f t="shared" si="32"/>
        <v>0</v>
      </c>
      <c r="EF114" s="15">
        <f t="shared" si="33"/>
        <v>0</v>
      </c>
      <c r="FI114" s="15">
        <f t="shared" si="34"/>
        <v>0</v>
      </c>
      <c r="HY114" s="15">
        <f t="shared" si="35"/>
        <v>0</v>
      </c>
      <c r="KM114" s="15">
        <f t="shared" si="36"/>
        <v>0</v>
      </c>
      <c r="MZ114" s="15">
        <f t="shared" si="37"/>
        <v>0</v>
      </c>
      <c r="OQ114" s="15">
        <f t="shared" si="38"/>
        <v>0</v>
      </c>
      <c r="OW114" s="28">
        <f t="shared" si="39"/>
        <v>0</v>
      </c>
      <c r="RD114" s="15">
        <f t="shared" si="40"/>
        <v>0</v>
      </c>
      <c r="RU114" s="15">
        <f t="shared" si="41"/>
        <v>0</v>
      </c>
      <c r="UE114" s="15">
        <f t="shared" si="42"/>
        <v>0</v>
      </c>
      <c r="VJ114" s="15">
        <f t="shared" si="43"/>
        <v>0</v>
      </c>
      <c r="WM114" s="15">
        <f t="shared" si="44"/>
        <v>0</v>
      </c>
      <c r="XH114" s="15">
        <f t="shared" si="45"/>
        <v>0</v>
      </c>
      <c r="YD114" s="15">
        <f t="shared" si="46"/>
        <v>0</v>
      </c>
      <c r="YX114" s="15">
        <f t="shared" si="47"/>
        <v>0</v>
      </c>
      <c r="ZR114" s="15">
        <f t="shared" si="48"/>
        <v>0</v>
      </c>
      <c r="ZX114" s="15">
        <f t="shared" si="49"/>
        <v>0</v>
      </c>
      <c r="AAT114" s="15">
        <f t="shared" si="50"/>
        <v>0</v>
      </c>
      <c r="ABQ114" s="15">
        <f t="shared" si="51"/>
        <v>0</v>
      </c>
      <c r="ABV114" s="28">
        <f t="shared" si="52"/>
        <v>0</v>
      </c>
      <c r="ACC114" s="28">
        <f t="shared" si="53"/>
        <v>0</v>
      </c>
      <c r="ACQ114" s="15">
        <f t="shared" si="54"/>
        <v>0</v>
      </c>
      <c r="ADA114" s="15">
        <f t="shared" si="55"/>
        <v>0</v>
      </c>
      <c r="ADM114" s="15">
        <f t="shared" si="56"/>
        <v>0</v>
      </c>
      <c r="AEI114" s="15">
        <f t="shared" si="57"/>
        <v>0</v>
      </c>
    </row>
    <row r="115" spans="2:815" x14ac:dyDescent="0.25">
      <c r="B115" s="2" t="s">
        <v>179</v>
      </c>
      <c r="C115" t="s">
        <v>51</v>
      </c>
      <c r="D115">
        <v>4</v>
      </c>
      <c r="E115" t="s">
        <v>8</v>
      </c>
      <c r="F115" t="s">
        <v>9</v>
      </c>
      <c r="G115" t="s">
        <v>15</v>
      </c>
      <c r="H115" t="s">
        <v>286</v>
      </c>
      <c r="I115" t="s">
        <v>243</v>
      </c>
      <c r="J115" t="s">
        <v>243</v>
      </c>
      <c r="L115" t="s">
        <v>1518</v>
      </c>
      <c r="N115">
        <v>100</v>
      </c>
      <c r="P115" s="10">
        <v>34767</v>
      </c>
      <c r="Q115" s="10">
        <v>34768</v>
      </c>
      <c r="R115" t="s">
        <v>1171</v>
      </c>
      <c r="S115" t="s">
        <v>1517</v>
      </c>
      <c r="T115" t="s">
        <v>1515</v>
      </c>
      <c r="W115" t="s">
        <v>1516</v>
      </c>
      <c r="BA115" s="15">
        <f t="shared" si="29"/>
        <v>0</v>
      </c>
      <c r="CB115" s="15">
        <f t="shared" si="30"/>
        <v>0</v>
      </c>
      <c r="DE115" s="15">
        <f t="shared" si="31"/>
        <v>0</v>
      </c>
      <c r="DS115" s="15">
        <f t="shared" si="32"/>
        <v>0</v>
      </c>
      <c r="EF115" s="15">
        <f t="shared" si="33"/>
        <v>0</v>
      </c>
      <c r="FI115" s="15">
        <f t="shared" si="34"/>
        <v>0</v>
      </c>
      <c r="HY115" s="15">
        <f t="shared" si="35"/>
        <v>0</v>
      </c>
      <c r="KM115" s="15">
        <f t="shared" si="36"/>
        <v>0</v>
      </c>
      <c r="MZ115" s="15">
        <f t="shared" si="37"/>
        <v>0</v>
      </c>
      <c r="OQ115" s="15">
        <f t="shared" si="38"/>
        <v>0</v>
      </c>
      <c r="OW115" s="28">
        <f t="shared" si="39"/>
        <v>0</v>
      </c>
      <c r="RD115" s="15">
        <f t="shared" si="40"/>
        <v>0</v>
      </c>
      <c r="RU115" s="15">
        <f t="shared" si="41"/>
        <v>0</v>
      </c>
      <c r="UE115" s="15">
        <f t="shared" si="42"/>
        <v>0</v>
      </c>
      <c r="VJ115" s="15">
        <f t="shared" si="43"/>
        <v>0</v>
      </c>
      <c r="WM115" s="15">
        <f t="shared" si="44"/>
        <v>0</v>
      </c>
      <c r="XH115" s="15">
        <f t="shared" si="45"/>
        <v>0</v>
      </c>
      <c r="YD115" s="15">
        <f t="shared" si="46"/>
        <v>0</v>
      </c>
      <c r="YX115" s="15">
        <f t="shared" si="47"/>
        <v>0</v>
      </c>
      <c r="ZR115" s="15">
        <f t="shared" si="48"/>
        <v>0</v>
      </c>
      <c r="ZX115" s="15">
        <f t="shared" si="49"/>
        <v>0</v>
      </c>
      <c r="AAT115" s="15">
        <f t="shared" si="50"/>
        <v>0</v>
      </c>
      <c r="ABQ115" s="15">
        <f t="shared" si="51"/>
        <v>0</v>
      </c>
      <c r="ABV115" s="28">
        <f t="shared" si="52"/>
        <v>0</v>
      </c>
      <c r="ACC115" s="28">
        <f t="shared" si="53"/>
        <v>0</v>
      </c>
      <c r="ACQ115" s="15">
        <f t="shared" si="54"/>
        <v>0</v>
      </c>
      <c r="ADA115" s="15">
        <f t="shared" si="55"/>
        <v>0</v>
      </c>
      <c r="ADM115" s="15">
        <f t="shared" si="56"/>
        <v>0</v>
      </c>
      <c r="AEI115" s="15">
        <f t="shared" si="57"/>
        <v>0</v>
      </c>
    </row>
    <row r="116" spans="2:815" x14ac:dyDescent="0.25">
      <c r="B116" s="4" t="s">
        <v>182</v>
      </c>
      <c r="D116">
        <v>17</v>
      </c>
      <c r="E116" t="s">
        <v>14</v>
      </c>
      <c r="F116" t="s">
        <v>9</v>
      </c>
      <c r="G116" t="s">
        <v>15</v>
      </c>
      <c r="I116" t="s">
        <v>257</v>
      </c>
      <c r="J116" t="s">
        <v>257</v>
      </c>
      <c r="K116" t="s">
        <v>1521</v>
      </c>
      <c r="L116" t="s">
        <v>1519</v>
      </c>
      <c r="M116">
        <v>65</v>
      </c>
      <c r="N116">
        <v>172</v>
      </c>
      <c r="P116" s="10">
        <v>34917</v>
      </c>
      <c r="Q116" s="10">
        <v>34917</v>
      </c>
      <c r="R116" t="s">
        <v>1133</v>
      </c>
      <c r="S116" t="s">
        <v>1520</v>
      </c>
      <c r="BA116" s="15">
        <f t="shared" si="29"/>
        <v>0</v>
      </c>
      <c r="CB116" s="15">
        <f t="shared" si="30"/>
        <v>0</v>
      </c>
      <c r="DE116" s="15">
        <f t="shared" si="31"/>
        <v>0</v>
      </c>
      <c r="DS116" s="15">
        <f t="shared" si="32"/>
        <v>0</v>
      </c>
      <c r="EF116" s="15">
        <f t="shared" si="33"/>
        <v>0</v>
      </c>
      <c r="FI116" s="15">
        <f t="shared" si="34"/>
        <v>0</v>
      </c>
      <c r="HY116" s="15">
        <f t="shared" si="35"/>
        <v>0</v>
      </c>
      <c r="KM116" s="15">
        <f t="shared" si="36"/>
        <v>0</v>
      </c>
      <c r="MZ116" s="15">
        <f t="shared" si="37"/>
        <v>0</v>
      </c>
      <c r="OQ116" s="15">
        <f t="shared" si="38"/>
        <v>0</v>
      </c>
      <c r="OW116" s="28">
        <f t="shared" si="39"/>
        <v>0</v>
      </c>
      <c r="RD116" s="15">
        <f t="shared" si="40"/>
        <v>0</v>
      </c>
      <c r="RU116" s="15">
        <f t="shared" si="41"/>
        <v>0</v>
      </c>
      <c r="UE116" s="15">
        <f t="shared" si="42"/>
        <v>0</v>
      </c>
      <c r="VJ116" s="15">
        <f t="shared" si="43"/>
        <v>0</v>
      </c>
      <c r="WM116" s="15">
        <f t="shared" si="44"/>
        <v>0</v>
      </c>
      <c r="XH116" s="15">
        <f t="shared" si="45"/>
        <v>0</v>
      </c>
      <c r="YD116" s="15">
        <f t="shared" si="46"/>
        <v>0</v>
      </c>
      <c r="YX116" s="15">
        <f t="shared" si="47"/>
        <v>0</v>
      </c>
      <c r="ZR116" s="15">
        <f t="shared" si="48"/>
        <v>0</v>
      </c>
      <c r="ZX116" s="15">
        <f t="shared" si="49"/>
        <v>0</v>
      </c>
      <c r="AAT116" s="15">
        <f t="shared" si="50"/>
        <v>0</v>
      </c>
      <c r="ABQ116" s="15">
        <f t="shared" si="51"/>
        <v>0</v>
      </c>
      <c r="ABV116" s="28">
        <f t="shared" si="52"/>
        <v>0</v>
      </c>
      <c r="ACC116" s="28">
        <f t="shared" si="53"/>
        <v>0</v>
      </c>
      <c r="ACQ116" s="15">
        <f t="shared" si="54"/>
        <v>0</v>
      </c>
      <c r="ADA116" s="15">
        <f t="shared" si="55"/>
        <v>0</v>
      </c>
      <c r="ADM116" s="15">
        <f t="shared" si="56"/>
        <v>0</v>
      </c>
      <c r="AEI116" s="15">
        <f t="shared" si="57"/>
        <v>0</v>
      </c>
    </row>
    <row r="117" spans="2:815" x14ac:dyDescent="0.25">
      <c r="B117" s="3" t="s">
        <v>183</v>
      </c>
      <c r="C117" t="s">
        <v>184</v>
      </c>
      <c r="D117">
        <v>22</v>
      </c>
      <c r="E117" t="s">
        <v>8</v>
      </c>
      <c r="F117" t="s">
        <v>9</v>
      </c>
      <c r="G117" t="s">
        <v>9</v>
      </c>
      <c r="I117" t="s">
        <v>243</v>
      </c>
      <c r="J117" t="s">
        <v>257</v>
      </c>
      <c r="K117" t="s">
        <v>256</v>
      </c>
      <c r="L117" t="s">
        <v>311</v>
      </c>
      <c r="Q117" s="10">
        <v>34983</v>
      </c>
      <c r="T117" t="s">
        <v>1523</v>
      </c>
      <c r="V117" t="s">
        <v>1522</v>
      </c>
      <c r="W117" t="s">
        <v>1524</v>
      </c>
      <c r="BA117" s="15">
        <f t="shared" si="29"/>
        <v>0</v>
      </c>
      <c r="CB117" s="15">
        <f t="shared" si="30"/>
        <v>0</v>
      </c>
      <c r="DE117" s="15">
        <f t="shared" si="31"/>
        <v>0</v>
      </c>
      <c r="DS117" s="15">
        <f t="shared" si="32"/>
        <v>0</v>
      </c>
      <c r="EF117" s="15">
        <f t="shared" si="33"/>
        <v>0</v>
      </c>
      <c r="FI117" s="15">
        <f t="shared" si="34"/>
        <v>0</v>
      </c>
      <c r="FJ117">
        <v>26</v>
      </c>
      <c r="FN117">
        <v>310</v>
      </c>
      <c r="FO117">
        <v>420</v>
      </c>
      <c r="FQ117">
        <v>140</v>
      </c>
      <c r="FR117">
        <v>28</v>
      </c>
      <c r="HY117" s="15">
        <f t="shared" si="35"/>
        <v>5</v>
      </c>
      <c r="HZ117">
        <v>55</v>
      </c>
      <c r="IC117">
        <v>287</v>
      </c>
      <c r="ID117">
        <v>479</v>
      </c>
      <c r="IF117">
        <v>340</v>
      </c>
      <c r="IG117">
        <v>150</v>
      </c>
      <c r="KM117" s="15">
        <f t="shared" si="36"/>
        <v>5</v>
      </c>
      <c r="KP117">
        <v>111</v>
      </c>
      <c r="KS117">
        <v>55</v>
      </c>
      <c r="MZ117" s="15">
        <f t="shared" si="37"/>
        <v>2</v>
      </c>
      <c r="ND117">
        <v>805</v>
      </c>
      <c r="NG117">
        <v>1273</v>
      </c>
      <c r="NH117">
        <v>340</v>
      </c>
      <c r="OQ117" s="15">
        <f t="shared" si="38"/>
        <v>3</v>
      </c>
      <c r="OW117" s="28">
        <f t="shared" si="39"/>
        <v>0</v>
      </c>
      <c r="PA117" t="s">
        <v>607</v>
      </c>
      <c r="PD117" t="s">
        <v>933</v>
      </c>
      <c r="PF117" t="s">
        <v>607</v>
      </c>
      <c r="PO117" t="s">
        <v>636</v>
      </c>
      <c r="RD117" s="15">
        <f t="shared" si="40"/>
        <v>4</v>
      </c>
      <c r="RU117" s="15">
        <f t="shared" si="41"/>
        <v>0</v>
      </c>
      <c r="RY117">
        <v>160</v>
      </c>
      <c r="SB117">
        <v>200</v>
      </c>
      <c r="SC117">
        <v>155</v>
      </c>
      <c r="UE117" s="15">
        <f t="shared" si="42"/>
        <v>3</v>
      </c>
      <c r="US117" t="s">
        <v>1021</v>
      </c>
      <c r="VJ117" s="15">
        <f t="shared" si="43"/>
        <v>1</v>
      </c>
      <c r="WM117" s="15">
        <f t="shared" si="44"/>
        <v>0</v>
      </c>
      <c r="XH117" s="15">
        <f t="shared" si="45"/>
        <v>0</v>
      </c>
      <c r="YD117" s="15">
        <f t="shared" si="46"/>
        <v>0</v>
      </c>
      <c r="YX117" s="15">
        <f t="shared" si="47"/>
        <v>0</v>
      </c>
      <c r="ZR117" s="15">
        <f t="shared" si="48"/>
        <v>0</v>
      </c>
      <c r="ZX117" s="15">
        <f t="shared" si="49"/>
        <v>0</v>
      </c>
      <c r="AAT117" s="15">
        <f t="shared" si="50"/>
        <v>0</v>
      </c>
      <c r="ABQ117" s="15">
        <f t="shared" si="51"/>
        <v>0</v>
      </c>
      <c r="ABV117" s="28">
        <f t="shared" si="52"/>
        <v>0</v>
      </c>
      <c r="ACC117" s="28">
        <f t="shared" si="53"/>
        <v>0</v>
      </c>
      <c r="ACQ117" s="15">
        <f t="shared" si="54"/>
        <v>0</v>
      </c>
      <c r="ADA117" s="15">
        <f t="shared" si="55"/>
        <v>0</v>
      </c>
      <c r="ADM117" s="15">
        <f t="shared" si="56"/>
        <v>0</v>
      </c>
      <c r="AEI117" s="15">
        <f t="shared" si="57"/>
        <v>0</v>
      </c>
    </row>
    <row r="118" spans="2:815" x14ac:dyDescent="0.25">
      <c r="B118" s="2" t="s">
        <v>185</v>
      </c>
      <c r="C118" t="s">
        <v>186</v>
      </c>
      <c r="D118">
        <v>25</v>
      </c>
      <c r="E118" t="s">
        <v>8</v>
      </c>
      <c r="F118" t="s">
        <v>9</v>
      </c>
      <c r="G118" t="s">
        <v>9</v>
      </c>
      <c r="H118" t="s">
        <v>287</v>
      </c>
      <c r="I118" t="s">
        <v>243</v>
      </c>
      <c r="J118" t="s">
        <v>257</v>
      </c>
      <c r="K118" t="s">
        <v>1534</v>
      </c>
      <c r="L118" t="s">
        <v>310</v>
      </c>
      <c r="M118">
        <v>60</v>
      </c>
      <c r="N118">
        <v>165</v>
      </c>
      <c r="O118">
        <v>22</v>
      </c>
      <c r="P118" s="10">
        <v>34786</v>
      </c>
      <c r="Q118" s="10">
        <v>34788</v>
      </c>
      <c r="R118" t="s">
        <v>1299</v>
      </c>
      <c r="S118" t="s">
        <v>1530</v>
      </c>
      <c r="T118" t="s">
        <v>1531</v>
      </c>
      <c r="U118" t="s">
        <v>1533</v>
      </c>
      <c r="W118" t="s">
        <v>1532</v>
      </c>
      <c r="BA118" s="15">
        <f t="shared" si="29"/>
        <v>0</v>
      </c>
      <c r="BB118" t="s">
        <v>1760</v>
      </c>
      <c r="BC118">
        <v>19</v>
      </c>
      <c r="BL118">
        <v>94</v>
      </c>
      <c r="CB118" s="15">
        <f t="shared" si="30"/>
        <v>3</v>
      </c>
      <c r="CC118" t="s">
        <v>1020</v>
      </c>
      <c r="DE118" s="15">
        <f t="shared" si="31"/>
        <v>1</v>
      </c>
      <c r="DS118" s="15">
        <f t="shared" si="32"/>
        <v>0</v>
      </c>
      <c r="EF118" s="15">
        <f t="shared" si="33"/>
        <v>0</v>
      </c>
      <c r="FI118" s="15">
        <f t="shared" si="34"/>
        <v>0</v>
      </c>
      <c r="HY118" s="15">
        <f t="shared" si="35"/>
        <v>0</v>
      </c>
      <c r="KM118" s="15">
        <f t="shared" si="36"/>
        <v>0</v>
      </c>
      <c r="KN118">
        <v>65</v>
      </c>
      <c r="LB118">
        <v>99</v>
      </c>
      <c r="MZ118" s="15">
        <f t="shared" si="37"/>
        <v>2</v>
      </c>
      <c r="NA118">
        <v>6500</v>
      </c>
      <c r="OQ118" s="15">
        <f t="shared" si="38"/>
        <v>1</v>
      </c>
      <c r="OW118" s="28">
        <f t="shared" si="39"/>
        <v>0</v>
      </c>
      <c r="PO118">
        <v>19</v>
      </c>
      <c r="RD118" s="15">
        <f t="shared" si="40"/>
        <v>1</v>
      </c>
      <c r="RE118">
        <v>324</v>
      </c>
      <c r="RU118" s="15">
        <f t="shared" si="41"/>
        <v>1</v>
      </c>
      <c r="SL118">
        <v>158</v>
      </c>
      <c r="UE118" s="15">
        <f t="shared" si="42"/>
        <v>1</v>
      </c>
      <c r="VJ118" s="15">
        <f t="shared" si="43"/>
        <v>0</v>
      </c>
      <c r="WM118" s="15">
        <f t="shared" si="44"/>
        <v>0</v>
      </c>
      <c r="XH118" s="15">
        <f t="shared" si="45"/>
        <v>0</v>
      </c>
      <c r="YD118" s="15">
        <f t="shared" si="46"/>
        <v>0</v>
      </c>
      <c r="YX118" s="15">
        <f t="shared" si="47"/>
        <v>0</v>
      </c>
      <c r="ZR118" s="15">
        <f t="shared" si="48"/>
        <v>0</v>
      </c>
      <c r="ZX118" s="15">
        <f t="shared" si="49"/>
        <v>0</v>
      </c>
      <c r="AAT118" s="15">
        <f t="shared" si="50"/>
        <v>0</v>
      </c>
      <c r="ABH118" t="s">
        <v>1022</v>
      </c>
      <c r="ABQ118" s="15">
        <f t="shared" si="51"/>
        <v>0</v>
      </c>
      <c r="ABV118" s="28">
        <f t="shared" si="52"/>
        <v>0</v>
      </c>
      <c r="ACC118" s="28">
        <f t="shared" si="53"/>
        <v>0</v>
      </c>
      <c r="ACQ118" s="15">
        <f t="shared" si="54"/>
        <v>0</v>
      </c>
      <c r="ADA118" s="15">
        <f t="shared" si="55"/>
        <v>0</v>
      </c>
      <c r="ADM118" s="15">
        <f t="shared" si="56"/>
        <v>0</v>
      </c>
      <c r="AEI118" s="15">
        <f t="shared" si="57"/>
        <v>0</v>
      </c>
    </row>
    <row r="119" spans="2:815" x14ac:dyDescent="0.25">
      <c r="B119" s="3" t="s">
        <v>187</v>
      </c>
      <c r="C119" t="s">
        <v>188</v>
      </c>
      <c r="D119">
        <v>12</v>
      </c>
      <c r="E119" t="s">
        <v>8</v>
      </c>
      <c r="F119" t="s">
        <v>9</v>
      </c>
      <c r="G119" t="s">
        <v>9</v>
      </c>
      <c r="H119" t="s">
        <v>288</v>
      </c>
      <c r="I119" t="s">
        <v>243</v>
      </c>
      <c r="J119" t="s">
        <v>243</v>
      </c>
      <c r="K119" t="s">
        <v>1541</v>
      </c>
      <c r="L119" t="s">
        <v>1540</v>
      </c>
      <c r="P119" s="10">
        <v>35122</v>
      </c>
      <c r="Q119" s="10">
        <v>35125</v>
      </c>
      <c r="R119" t="s">
        <v>1542</v>
      </c>
      <c r="S119" t="s">
        <v>1538</v>
      </c>
      <c r="T119" t="s">
        <v>1535</v>
      </c>
      <c r="U119" t="s">
        <v>1536</v>
      </c>
      <c r="V119" t="s">
        <v>1539</v>
      </c>
      <c r="W119" t="s">
        <v>1537</v>
      </c>
      <c r="BA119" s="15">
        <f t="shared" si="29"/>
        <v>0</v>
      </c>
      <c r="BB119">
        <v>15</v>
      </c>
      <c r="CB119" s="15">
        <f t="shared" si="30"/>
        <v>1</v>
      </c>
      <c r="DE119" s="15">
        <f t="shared" si="31"/>
        <v>0</v>
      </c>
      <c r="DS119" s="15">
        <f t="shared" si="32"/>
        <v>0</v>
      </c>
      <c r="EF119" s="15">
        <f t="shared" si="33"/>
        <v>0</v>
      </c>
      <c r="FI119" s="15">
        <f t="shared" si="34"/>
        <v>0</v>
      </c>
      <c r="FJ119">
        <v>2706</v>
      </c>
      <c r="HY119" s="15">
        <f t="shared" si="35"/>
        <v>1</v>
      </c>
      <c r="HZ119">
        <v>4070</v>
      </c>
      <c r="KM119" s="15">
        <f t="shared" si="36"/>
        <v>1</v>
      </c>
      <c r="MZ119" s="15">
        <f t="shared" si="37"/>
        <v>0</v>
      </c>
      <c r="OQ119" s="15">
        <f t="shared" si="38"/>
        <v>0</v>
      </c>
      <c r="OW119" s="28">
        <f t="shared" si="39"/>
        <v>0</v>
      </c>
      <c r="OX119" t="s">
        <v>1706</v>
      </c>
      <c r="RD119" s="15">
        <f t="shared" si="40"/>
        <v>1</v>
      </c>
      <c r="RE119">
        <v>984</v>
      </c>
      <c r="RU119" s="15">
        <f t="shared" si="41"/>
        <v>1</v>
      </c>
      <c r="UE119" s="15">
        <f t="shared" si="42"/>
        <v>0</v>
      </c>
      <c r="VJ119" s="15">
        <f t="shared" si="43"/>
        <v>0</v>
      </c>
      <c r="WM119" s="15">
        <f t="shared" si="44"/>
        <v>0</v>
      </c>
      <c r="XH119" s="15">
        <f t="shared" si="45"/>
        <v>0</v>
      </c>
      <c r="YD119" s="15">
        <f t="shared" si="46"/>
        <v>0</v>
      </c>
      <c r="YX119" s="15">
        <f t="shared" si="47"/>
        <v>0</v>
      </c>
      <c r="ZR119" s="15">
        <f t="shared" si="48"/>
        <v>0</v>
      </c>
      <c r="ZX119" s="15">
        <f t="shared" si="49"/>
        <v>0</v>
      </c>
      <c r="AAT119" s="15">
        <f t="shared" si="50"/>
        <v>0</v>
      </c>
      <c r="ABQ119" s="15">
        <f t="shared" si="51"/>
        <v>0</v>
      </c>
      <c r="ABV119" s="28">
        <f t="shared" si="52"/>
        <v>0</v>
      </c>
      <c r="ABW119" s="25" t="s">
        <v>1023</v>
      </c>
      <c r="ACC119" s="28">
        <f t="shared" si="53"/>
        <v>1</v>
      </c>
      <c r="ACQ119" s="15">
        <f t="shared" si="54"/>
        <v>0</v>
      </c>
      <c r="ADA119" s="15">
        <f t="shared" si="55"/>
        <v>0</v>
      </c>
      <c r="ADM119" s="15">
        <f t="shared" si="56"/>
        <v>0</v>
      </c>
      <c r="AEI119" s="15">
        <f t="shared" si="57"/>
        <v>0</v>
      </c>
    </row>
    <row r="120" spans="2:815" x14ac:dyDescent="0.25">
      <c r="B120" s="2" t="s">
        <v>189</v>
      </c>
      <c r="C120" t="s">
        <v>190</v>
      </c>
      <c r="D120">
        <v>34</v>
      </c>
      <c r="E120" t="s">
        <v>8</v>
      </c>
      <c r="F120" t="s">
        <v>9</v>
      </c>
      <c r="G120" t="s">
        <v>9</v>
      </c>
      <c r="H120" t="s">
        <v>1545</v>
      </c>
      <c r="I120" t="s">
        <v>243</v>
      </c>
      <c r="J120" t="s">
        <v>243</v>
      </c>
      <c r="K120" t="s">
        <v>1547</v>
      </c>
      <c r="L120" t="s">
        <v>1544</v>
      </c>
      <c r="M120">
        <v>51</v>
      </c>
      <c r="N120">
        <v>164</v>
      </c>
      <c r="O120">
        <v>19</v>
      </c>
      <c r="R120" t="s">
        <v>1543</v>
      </c>
      <c r="T120" t="s">
        <v>1548</v>
      </c>
      <c r="U120" t="s">
        <v>1549</v>
      </c>
      <c r="V120" t="s">
        <v>1546</v>
      </c>
      <c r="W120" t="s">
        <v>1550</v>
      </c>
      <c r="BA120" s="15">
        <f t="shared" si="29"/>
        <v>0</v>
      </c>
      <c r="BD120">
        <v>67</v>
      </c>
      <c r="BF120">
        <v>82</v>
      </c>
      <c r="CB120" s="15">
        <f t="shared" si="30"/>
        <v>2</v>
      </c>
      <c r="CG120">
        <v>35</v>
      </c>
      <c r="DE120" s="15">
        <f t="shared" si="31"/>
        <v>1</v>
      </c>
      <c r="DS120" s="15">
        <f t="shared" si="32"/>
        <v>0</v>
      </c>
      <c r="DY120" s="7">
        <v>3.74</v>
      </c>
      <c r="EF120" s="15">
        <f t="shared" si="33"/>
        <v>1</v>
      </c>
      <c r="FI120" s="15">
        <f t="shared" si="34"/>
        <v>0</v>
      </c>
      <c r="FN120">
        <v>979</v>
      </c>
      <c r="FQ120">
        <v>272</v>
      </c>
      <c r="HY120" s="15">
        <f t="shared" si="35"/>
        <v>2</v>
      </c>
      <c r="IC120">
        <v>1496</v>
      </c>
      <c r="ID120">
        <v>1493</v>
      </c>
      <c r="IF120">
        <v>792</v>
      </c>
      <c r="KM120" s="15">
        <f t="shared" si="36"/>
        <v>3</v>
      </c>
      <c r="KP120">
        <v>201</v>
      </c>
      <c r="KR120">
        <v>180</v>
      </c>
      <c r="KS120">
        <v>177</v>
      </c>
      <c r="KY120">
        <v>246</v>
      </c>
      <c r="LG120">
        <v>41</v>
      </c>
      <c r="LH120">
        <v>70</v>
      </c>
      <c r="MZ120" s="15">
        <f t="shared" si="37"/>
        <v>6</v>
      </c>
      <c r="OQ120" s="15">
        <f t="shared" si="38"/>
        <v>0</v>
      </c>
      <c r="OW120" s="28">
        <f t="shared" si="39"/>
        <v>0</v>
      </c>
      <c r="RD120" s="15">
        <f t="shared" si="40"/>
        <v>0</v>
      </c>
      <c r="RU120" s="15">
        <f t="shared" si="41"/>
        <v>0</v>
      </c>
      <c r="RY120" t="s">
        <v>1027</v>
      </c>
      <c r="SB120">
        <v>311</v>
      </c>
      <c r="SC120">
        <v>288</v>
      </c>
      <c r="SI120">
        <v>381</v>
      </c>
      <c r="SQ120">
        <v>187</v>
      </c>
      <c r="SS120">
        <v>326</v>
      </c>
      <c r="UE120" s="15">
        <f t="shared" si="42"/>
        <v>6</v>
      </c>
      <c r="UK120">
        <v>2082</v>
      </c>
      <c r="VJ120" s="15">
        <f t="shared" si="43"/>
        <v>1</v>
      </c>
      <c r="WM120" s="15">
        <f t="shared" si="44"/>
        <v>0</v>
      </c>
      <c r="XH120" s="15">
        <f t="shared" si="45"/>
        <v>0</v>
      </c>
      <c r="XJ120" t="s">
        <v>1902</v>
      </c>
      <c r="XK120">
        <v>400</v>
      </c>
      <c r="XL120">
        <v>933</v>
      </c>
      <c r="XM120">
        <v>1434</v>
      </c>
      <c r="XN120">
        <v>1758</v>
      </c>
      <c r="XT120">
        <v>332</v>
      </c>
      <c r="XX120">
        <v>24</v>
      </c>
      <c r="XY120">
        <v>90</v>
      </c>
      <c r="XZ120">
        <v>99</v>
      </c>
      <c r="YD120" s="15">
        <f t="shared" si="46"/>
        <v>9</v>
      </c>
      <c r="YG120" t="s">
        <v>1030</v>
      </c>
      <c r="YJ120" t="s">
        <v>2013</v>
      </c>
      <c r="YK120" t="s">
        <v>1031</v>
      </c>
      <c r="YQ120" t="s">
        <v>1032</v>
      </c>
      <c r="YX120" s="15">
        <f t="shared" si="47"/>
        <v>4</v>
      </c>
      <c r="ZR120" s="15">
        <f t="shared" si="48"/>
        <v>0</v>
      </c>
      <c r="ZX120" s="15">
        <f t="shared" si="49"/>
        <v>0</v>
      </c>
      <c r="AAT120" s="15">
        <f t="shared" si="50"/>
        <v>0</v>
      </c>
      <c r="AAU120" t="s">
        <v>1035</v>
      </c>
      <c r="AAW120">
        <v>123</v>
      </c>
      <c r="AAX120">
        <v>107</v>
      </c>
      <c r="AAZ120">
        <v>107</v>
      </c>
      <c r="ABB120">
        <v>99</v>
      </c>
      <c r="ABE120">
        <v>156</v>
      </c>
      <c r="ABJ120">
        <v>239</v>
      </c>
      <c r="ABK120">
        <v>86</v>
      </c>
      <c r="ABL120">
        <v>61</v>
      </c>
      <c r="ABN120">
        <v>97</v>
      </c>
      <c r="ABQ120" s="15">
        <f t="shared" si="51"/>
        <v>1</v>
      </c>
      <c r="ABV120" s="28">
        <f t="shared" si="52"/>
        <v>0</v>
      </c>
      <c r="ACC120" s="28">
        <f t="shared" si="53"/>
        <v>0</v>
      </c>
      <c r="ACQ120" s="15">
        <f t="shared" si="54"/>
        <v>0</v>
      </c>
      <c r="ADA120" s="15">
        <f t="shared" si="55"/>
        <v>0</v>
      </c>
      <c r="ADM120" s="15">
        <f t="shared" si="56"/>
        <v>0</v>
      </c>
      <c r="AEI120" s="15">
        <f t="shared" si="57"/>
        <v>0</v>
      </c>
    </row>
    <row r="121" spans="2:815" x14ac:dyDescent="0.25">
      <c r="B121" s="3" t="s">
        <v>191</v>
      </c>
      <c r="C121" t="s">
        <v>121</v>
      </c>
      <c r="D121">
        <v>32</v>
      </c>
      <c r="E121" t="s">
        <v>14</v>
      </c>
      <c r="F121" t="s">
        <v>9</v>
      </c>
      <c r="G121" t="s">
        <v>9</v>
      </c>
      <c r="H121" t="s">
        <v>253</v>
      </c>
      <c r="I121" t="s">
        <v>243</v>
      </c>
      <c r="J121" t="s">
        <v>257</v>
      </c>
      <c r="K121" t="s">
        <v>256</v>
      </c>
      <c r="L121" t="s">
        <v>1551</v>
      </c>
      <c r="M121">
        <v>60</v>
      </c>
      <c r="N121">
        <v>170</v>
      </c>
      <c r="O121" t="s">
        <v>1095</v>
      </c>
      <c r="P121" s="10" t="s">
        <v>1553</v>
      </c>
      <c r="Q121" s="10" t="s">
        <v>1554</v>
      </c>
      <c r="R121" t="s">
        <v>1555</v>
      </c>
      <c r="S121" t="s">
        <v>1552</v>
      </c>
      <c r="T121" t="s">
        <v>1557</v>
      </c>
      <c r="U121" t="s">
        <v>274</v>
      </c>
      <c r="V121" t="s">
        <v>1558</v>
      </c>
      <c r="W121" t="s">
        <v>1556</v>
      </c>
      <c r="Z121">
        <v>17</v>
      </c>
      <c r="AD121">
        <v>17</v>
      </c>
      <c r="BA121" s="15">
        <f t="shared" si="29"/>
        <v>2</v>
      </c>
      <c r="BB121">
        <v>66</v>
      </c>
      <c r="BF121">
        <v>23</v>
      </c>
      <c r="CB121" s="15">
        <f t="shared" si="30"/>
        <v>2</v>
      </c>
      <c r="CC121">
        <v>31</v>
      </c>
      <c r="CG121">
        <v>40</v>
      </c>
      <c r="DE121" s="15">
        <f t="shared" si="31"/>
        <v>2</v>
      </c>
      <c r="DS121" s="15">
        <f t="shared" si="32"/>
        <v>0</v>
      </c>
      <c r="EF121" s="15">
        <f t="shared" si="33"/>
        <v>0</v>
      </c>
      <c r="FI121" s="15">
        <f t="shared" si="34"/>
        <v>0</v>
      </c>
      <c r="FJ121">
        <v>35</v>
      </c>
      <c r="FQ121">
        <v>19</v>
      </c>
      <c r="HY121" s="15">
        <f t="shared" si="35"/>
        <v>2</v>
      </c>
      <c r="HZ121">
        <v>51</v>
      </c>
      <c r="IF121">
        <v>16</v>
      </c>
      <c r="KM121" s="15">
        <f t="shared" si="36"/>
        <v>2</v>
      </c>
      <c r="KN121">
        <v>192</v>
      </c>
      <c r="KR121">
        <v>91</v>
      </c>
      <c r="MZ121" s="15">
        <f t="shared" si="37"/>
        <v>2</v>
      </c>
      <c r="NA121">
        <v>634</v>
      </c>
      <c r="NG121">
        <v>524</v>
      </c>
      <c r="OQ121" s="15">
        <f t="shared" si="38"/>
        <v>2</v>
      </c>
      <c r="OW121" s="28">
        <f t="shared" si="39"/>
        <v>0</v>
      </c>
      <c r="OX121" t="s">
        <v>1707</v>
      </c>
      <c r="PD121">
        <v>68</v>
      </c>
      <c r="RD121" s="15">
        <f t="shared" si="40"/>
        <v>2</v>
      </c>
      <c r="RU121" s="15">
        <f t="shared" si="41"/>
        <v>0</v>
      </c>
      <c r="RV121">
        <v>244</v>
      </c>
      <c r="SB121">
        <v>104</v>
      </c>
      <c r="UE121" s="15">
        <f t="shared" si="42"/>
        <v>2</v>
      </c>
      <c r="UF121">
        <v>2600</v>
      </c>
      <c r="UK121">
        <v>590</v>
      </c>
      <c r="VJ121" s="15">
        <f t="shared" si="43"/>
        <v>2</v>
      </c>
      <c r="VK121" t="s">
        <v>1729</v>
      </c>
      <c r="VP121">
        <v>44</v>
      </c>
      <c r="WM121" s="15">
        <f t="shared" si="44"/>
        <v>2</v>
      </c>
      <c r="XH121" s="15">
        <f t="shared" si="45"/>
        <v>0</v>
      </c>
      <c r="YD121" s="15">
        <f t="shared" si="46"/>
        <v>0</v>
      </c>
      <c r="YE121">
        <v>32</v>
      </c>
      <c r="YJ121">
        <v>19</v>
      </c>
      <c r="YX121" s="15">
        <f t="shared" si="47"/>
        <v>2</v>
      </c>
      <c r="YY121">
        <v>375</v>
      </c>
      <c r="ZB121">
        <v>242</v>
      </c>
      <c r="ZR121" s="15">
        <f t="shared" si="48"/>
        <v>2</v>
      </c>
      <c r="ZX121" s="15">
        <f t="shared" si="49"/>
        <v>0</v>
      </c>
      <c r="AAT121" s="15">
        <f t="shared" si="50"/>
        <v>0</v>
      </c>
      <c r="AAU121">
        <v>299</v>
      </c>
      <c r="AAZ121">
        <v>79</v>
      </c>
      <c r="ABQ121" s="15">
        <f t="shared" si="51"/>
        <v>1</v>
      </c>
      <c r="ABV121" s="28">
        <f t="shared" si="52"/>
        <v>0</v>
      </c>
      <c r="ACC121" s="28">
        <f t="shared" si="53"/>
        <v>0</v>
      </c>
      <c r="ACQ121" s="15">
        <f t="shared" si="54"/>
        <v>0</v>
      </c>
      <c r="ADA121" s="15">
        <f t="shared" si="55"/>
        <v>0</v>
      </c>
      <c r="ADB121">
        <v>126</v>
      </c>
      <c r="ADC121">
        <v>63</v>
      </c>
      <c r="ADM121" s="15">
        <f t="shared" si="56"/>
        <v>2</v>
      </c>
      <c r="ADN121">
        <v>148</v>
      </c>
      <c r="ADR121">
        <v>62</v>
      </c>
      <c r="AEI121" s="15">
        <f t="shared" si="57"/>
        <v>2</v>
      </c>
    </row>
    <row r="122" spans="2:815" x14ac:dyDescent="0.25">
      <c r="B122" s="3" t="s">
        <v>192</v>
      </c>
      <c r="C122" t="s">
        <v>193</v>
      </c>
      <c r="E122" t="s">
        <v>8</v>
      </c>
      <c r="F122" t="s">
        <v>9</v>
      </c>
      <c r="G122" t="s">
        <v>15</v>
      </c>
      <c r="H122" t="s">
        <v>288</v>
      </c>
      <c r="I122" t="s">
        <v>243</v>
      </c>
      <c r="J122" t="s">
        <v>243</v>
      </c>
      <c r="L122" t="s">
        <v>324</v>
      </c>
      <c r="M122">
        <v>18.7</v>
      </c>
      <c r="P122" s="10">
        <v>35123</v>
      </c>
      <c r="Q122" s="10">
        <v>35125</v>
      </c>
      <c r="R122" t="s">
        <v>1299</v>
      </c>
      <c r="S122" t="s">
        <v>1559</v>
      </c>
      <c r="BA122" s="15">
        <f t="shared" si="29"/>
        <v>0</v>
      </c>
      <c r="CB122" s="15">
        <f t="shared" si="30"/>
        <v>0</v>
      </c>
      <c r="DE122" s="15">
        <f t="shared" si="31"/>
        <v>0</v>
      </c>
      <c r="DS122" s="15">
        <f t="shared" si="32"/>
        <v>0</v>
      </c>
      <c r="EF122" s="15">
        <f t="shared" si="33"/>
        <v>0</v>
      </c>
      <c r="FI122" s="15">
        <f t="shared" si="34"/>
        <v>0</v>
      </c>
      <c r="HY122" s="15">
        <f t="shared" si="35"/>
        <v>0</v>
      </c>
      <c r="KM122" s="15">
        <f t="shared" si="36"/>
        <v>0</v>
      </c>
      <c r="MZ122" s="15">
        <f t="shared" si="37"/>
        <v>0</v>
      </c>
      <c r="OQ122" s="15">
        <f t="shared" si="38"/>
        <v>0</v>
      </c>
      <c r="OW122" s="28">
        <f t="shared" si="39"/>
        <v>0</v>
      </c>
      <c r="RD122" s="15">
        <f t="shared" si="40"/>
        <v>0</v>
      </c>
      <c r="RU122" s="15">
        <f t="shared" si="41"/>
        <v>0</v>
      </c>
      <c r="UE122" s="15">
        <f t="shared" si="42"/>
        <v>0</v>
      </c>
      <c r="VJ122" s="15">
        <f t="shared" si="43"/>
        <v>0</v>
      </c>
      <c r="WM122" s="15">
        <f t="shared" si="44"/>
        <v>0</v>
      </c>
      <c r="XH122" s="15">
        <f t="shared" si="45"/>
        <v>0</v>
      </c>
      <c r="YD122" s="15">
        <f t="shared" si="46"/>
        <v>0</v>
      </c>
      <c r="YX122" s="15">
        <f t="shared" si="47"/>
        <v>0</v>
      </c>
      <c r="ZR122" s="15">
        <f t="shared" si="48"/>
        <v>0</v>
      </c>
      <c r="ZX122" s="15">
        <f t="shared" si="49"/>
        <v>0</v>
      </c>
      <c r="AAT122" s="15">
        <f t="shared" si="50"/>
        <v>0</v>
      </c>
      <c r="ABQ122" s="15">
        <f t="shared" si="51"/>
        <v>0</v>
      </c>
      <c r="ABV122" s="28">
        <f t="shared" si="52"/>
        <v>0</v>
      </c>
      <c r="ACC122" s="28">
        <f t="shared" si="53"/>
        <v>0</v>
      </c>
      <c r="ACQ122" s="15">
        <f t="shared" si="54"/>
        <v>0</v>
      </c>
      <c r="ADA122" s="15">
        <f t="shared" si="55"/>
        <v>0</v>
      </c>
      <c r="ADM122" s="15">
        <f t="shared" si="56"/>
        <v>0</v>
      </c>
      <c r="AEI122" s="15">
        <f t="shared" si="57"/>
        <v>0</v>
      </c>
    </row>
    <row r="123" spans="2:815" x14ac:dyDescent="0.25">
      <c r="B123" s="2" t="s">
        <v>194</v>
      </c>
      <c r="C123" t="s">
        <v>195</v>
      </c>
      <c r="D123">
        <v>28</v>
      </c>
      <c r="E123" t="s">
        <v>8</v>
      </c>
      <c r="F123" t="s">
        <v>9</v>
      </c>
      <c r="G123" t="s">
        <v>9</v>
      </c>
      <c r="H123" t="s">
        <v>289</v>
      </c>
      <c r="I123" t="s">
        <v>243</v>
      </c>
      <c r="K123" t="s">
        <v>1563</v>
      </c>
      <c r="L123" t="s">
        <v>303</v>
      </c>
      <c r="P123" s="10">
        <v>35508</v>
      </c>
      <c r="Q123" s="10">
        <v>35513</v>
      </c>
      <c r="R123" t="s">
        <v>1262</v>
      </c>
      <c r="S123" t="s">
        <v>1219</v>
      </c>
      <c r="T123" t="s">
        <v>1561</v>
      </c>
      <c r="U123" t="s">
        <v>1562</v>
      </c>
      <c r="W123" t="s">
        <v>1560</v>
      </c>
      <c r="BA123" s="15">
        <f t="shared" si="29"/>
        <v>0</v>
      </c>
      <c r="CB123" s="15">
        <f t="shared" si="30"/>
        <v>0</v>
      </c>
      <c r="DE123" s="15">
        <f t="shared" si="31"/>
        <v>0</v>
      </c>
      <c r="DS123" s="15">
        <f t="shared" si="32"/>
        <v>0</v>
      </c>
      <c r="EF123" s="15">
        <f t="shared" si="33"/>
        <v>0</v>
      </c>
      <c r="FI123" s="15">
        <f t="shared" si="34"/>
        <v>0</v>
      </c>
      <c r="FJ123">
        <v>24</v>
      </c>
      <c r="GI123">
        <v>36</v>
      </c>
      <c r="HY123" s="15">
        <f t="shared" si="35"/>
        <v>2</v>
      </c>
      <c r="IC123">
        <v>36</v>
      </c>
      <c r="ID123">
        <v>102</v>
      </c>
      <c r="IX123">
        <v>78</v>
      </c>
      <c r="KM123" s="15">
        <f t="shared" si="36"/>
        <v>3</v>
      </c>
      <c r="MZ123" s="15">
        <f t="shared" si="37"/>
        <v>0</v>
      </c>
      <c r="OQ123" s="15">
        <f t="shared" si="38"/>
        <v>0</v>
      </c>
      <c r="OW123" s="28">
        <f t="shared" si="39"/>
        <v>0</v>
      </c>
      <c r="RD123" s="15">
        <f t="shared" si="40"/>
        <v>0</v>
      </c>
      <c r="RU123" s="15">
        <f t="shared" si="41"/>
        <v>0</v>
      </c>
      <c r="UE123" s="15">
        <f t="shared" si="42"/>
        <v>0</v>
      </c>
      <c r="VJ123" s="15">
        <f t="shared" si="43"/>
        <v>0</v>
      </c>
      <c r="WM123" s="15">
        <f t="shared" si="44"/>
        <v>0</v>
      </c>
      <c r="XH123" s="15">
        <f t="shared" si="45"/>
        <v>0</v>
      </c>
      <c r="YD123" s="15">
        <f t="shared" si="46"/>
        <v>0</v>
      </c>
      <c r="YX123" s="15">
        <f t="shared" si="47"/>
        <v>0</v>
      </c>
      <c r="ZR123" s="15">
        <f t="shared" si="48"/>
        <v>0</v>
      </c>
      <c r="ZX123" s="15">
        <f t="shared" si="49"/>
        <v>0</v>
      </c>
      <c r="AAT123" s="15">
        <f t="shared" si="50"/>
        <v>0</v>
      </c>
      <c r="ABQ123" s="15">
        <f t="shared" si="51"/>
        <v>0</v>
      </c>
      <c r="ABV123" s="28">
        <f t="shared" si="52"/>
        <v>0</v>
      </c>
      <c r="ACC123" s="28">
        <f t="shared" si="53"/>
        <v>0</v>
      </c>
      <c r="ACQ123" s="15">
        <f t="shared" si="54"/>
        <v>0</v>
      </c>
      <c r="ADA123" s="15">
        <f t="shared" si="55"/>
        <v>0</v>
      </c>
      <c r="ADM123" s="15">
        <f t="shared" si="56"/>
        <v>0</v>
      </c>
      <c r="AEI123" s="15">
        <f t="shared" si="57"/>
        <v>0</v>
      </c>
    </row>
    <row r="124" spans="2:815" x14ac:dyDescent="0.25">
      <c r="B124" s="3" t="s">
        <v>196</v>
      </c>
      <c r="E124" t="s">
        <v>14</v>
      </c>
      <c r="F124" t="s">
        <v>9</v>
      </c>
      <c r="G124" t="s">
        <v>9</v>
      </c>
      <c r="I124" t="s">
        <v>243</v>
      </c>
      <c r="J124" t="s">
        <v>257</v>
      </c>
      <c r="K124" t="s">
        <v>1567</v>
      </c>
      <c r="L124" t="s">
        <v>320</v>
      </c>
      <c r="T124" t="s">
        <v>1566</v>
      </c>
      <c r="V124" t="s">
        <v>1564</v>
      </c>
      <c r="W124" t="s">
        <v>1565</v>
      </c>
      <c r="BA124" s="15">
        <f t="shared" si="29"/>
        <v>0</v>
      </c>
      <c r="BB124">
        <v>11</v>
      </c>
      <c r="CB124" s="15">
        <f t="shared" si="30"/>
        <v>1</v>
      </c>
      <c r="DE124" s="15">
        <f t="shared" si="31"/>
        <v>0</v>
      </c>
      <c r="DS124" s="15">
        <f t="shared" si="32"/>
        <v>0</v>
      </c>
      <c r="EF124" s="15">
        <f t="shared" si="33"/>
        <v>0</v>
      </c>
      <c r="FI124" s="15">
        <f t="shared" si="34"/>
        <v>0</v>
      </c>
      <c r="HY124" s="15">
        <f t="shared" si="35"/>
        <v>0</v>
      </c>
      <c r="KM124" s="15">
        <f t="shared" si="36"/>
        <v>0</v>
      </c>
      <c r="MZ124" s="15">
        <f t="shared" si="37"/>
        <v>0</v>
      </c>
      <c r="OQ124" s="15">
        <f t="shared" si="38"/>
        <v>0</v>
      </c>
      <c r="OW124" s="28">
        <f t="shared" si="39"/>
        <v>0</v>
      </c>
      <c r="OX124">
        <v>68</v>
      </c>
      <c r="RD124" s="15">
        <f t="shared" si="40"/>
        <v>1</v>
      </c>
      <c r="RU124" s="15">
        <f t="shared" si="41"/>
        <v>0</v>
      </c>
      <c r="UE124" s="15">
        <f t="shared" si="42"/>
        <v>0</v>
      </c>
      <c r="VJ124" s="15">
        <f t="shared" si="43"/>
        <v>0</v>
      </c>
      <c r="WM124" s="15">
        <f t="shared" si="44"/>
        <v>0</v>
      </c>
      <c r="XH124" s="15">
        <f t="shared" si="45"/>
        <v>0</v>
      </c>
      <c r="YD124" s="15">
        <f t="shared" si="46"/>
        <v>0</v>
      </c>
      <c r="YX124" s="15">
        <f t="shared" si="47"/>
        <v>0</v>
      </c>
      <c r="ZR124" s="15">
        <f t="shared" si="48"/>
        <v>0</v>
      </c>
      <c r="ZX124" s="15">
        <f t="shared" si="49"/>
        <v>0</v>
      </c>
      <c r="AAT124" s="15">
        <f t="shared" si="50"/>
        <v>0</v>
      </c>
      <c r="ABQ124" s="15">
        <f t="shared" si="51"/>
        <v>0</v>
      </c>
      <c r="ABV124" s="28">
        <f t="shared" si="52"/>
        <v>0</v>
      </c>
      <c r="ACC124" s="28">
        <f t="shared" si="53"/>
        <v>0</v>
      </c>
      <c r="ACQ124" s="15">
        <f t="shared" si="54"/>
        <v>0</v>
      </c>
      <c r="ADA124" s="15">
        <f t="shared" si="55"/>
        <v>0</v>
      </c>
      <c r="ADM124" s="15">
        <f t="shared" si="56"/>
        <v>0</v>
      </c>
      <c r="AEI124" s="15">
        <f t="shared" si="57"/>
        <v>0</v>
      </c>
    </row>
    <row r="125" spans="2:815" x14ac:dyDescent="0.25">
      <c r="B125" s="2" t="s">
        <v>197</v>
      </c>
      <c r="C125" t="s">
        <v>198</v>
      </c>
      <c r="D125">
        <v>56</v>
      </c>
      <c r="E125" t="s">
        <v>14</v>
      </c>
      <c r="F125" t="s">
        <v>9</v>
      </c>
      <c r="G125" t="s">
        <v>9</v>
      </c>
      <c r="H125" t="s">
        <v>279</v>
      </c>
      <c r="K125" t="s">
        <v>290</v>
      </c>
      <c r="L125" t="s">
        <v>1569</v>
      </c>
      <c r="P125" s="10">
        <v>35705</v>
      </c>
      <c r="Q125" s="10">
        <v>35705</v>
      </c>
      <c r="R125" s="10" t="s">
        <v>1133</v>
      </c>
      <c r="S125" t="s">
        <v>1250</v>
      </c>
      <c r="T125" t="s">
        <v>1568</v>
      </c>
      <c r="W125" t="s">
        <v>1570</v>
      </c>
      <c r="BA125" s="15">
        <f t="shared" si="29"/>
        <v>0</v>
      </c>
      <c r="BX125">
        <v>63</v>
      </c>
      <c r="BZ125">
        <v>24</v>
      </c>
      <c r="CB125" s="15">
        <f t="shared" si="30"/>
        <v>2</v>
      </c>
      <c r="DA125">
        <v>30</v>
      </c>
      <c r="DC125">
        <v>62</v>
      </c>
      <c r="DE125" s="15">
        <f t="shared" si="31"/>
        <v>2</v>
      </c>
      <c r="DS125" s="15">
        <f t="shared" si="32"/>
        <v>0</v>
      </c>
      <c r="ED125" s="7">
        <v>0.67</v>
      </c>
      <c r="EE125">
        <v>74</v>
      </c>
      <c r="EF125" s="15">
        <f t="shared" si="33"/>
        <v>2</v>
      </c>
      <c r="FI125" s="15">
        <f t="shared" si="34"/>
        <v>0</v>
      </c>
      <c r="GX125">
        <v>2439</v>
      </c>
      <c r="HY125" s="15">
        <f t="shared" si="35"/>
        <v>1</v>
      </c>
      <c r="HZ125">
        <v>60</v>
      </c>
      <c r="JH125">
        <v>78</v>
      </c>
      <c r="JL125">
        <v>7320</v>
      </c>
      <c r="JM125">
        <v>5014</v>
      </c>
      <c r="KM125" s="15">
        <f t="shared" si="36"/>
        <v>4</v>
      </c>
      <c r="KN125">
        <v>72</v>
      </c>
      <c r="LX125">
        <v>78</v>
      </c>
      <c r="LY125">
        <v>96</v>
      </c>
      <c r="MZ125" s="15">
        <f t="shared" si="37"/>
        <v>3</v>
      </c>
      <c r="OE125">
        <v>498</v>
      </c>
      <c r="OH125">
        <v>24720</v>
      </c>
      <c r="OI125">
        <v>10440</v>
      </c>
      <c r="OQ125" s="15">
        <f t="shared" si="38"/>
        <v>3</v>
      </c>
      <c r="OW125" s="28">
        <f t="shared" si="39"/>
        <v>0</v>
      </c>
      <c r="QI125">
        <v>30</v>
      </c>
      <c r="RD125" s="15">
        <f t="shared" si="40"/>
        <v>1</v>
      </c>
      <c r="RU125" s="15">
        <f t="shared" si="41"/>
        <v>0</v>
      </c>
      <c r="TI125">
        <v>168</v>
      </c>
      <c r="UE125" s="15">
        <f t="shared" si="42"/>
        <v>1</v>
      </c>
      <c r="VJ125" s="15">
        <f t="shared" si="43"/>
        <v>0</v>
      </c>
      <c r="WH125" t="s">
        <v>1050</v>
      </c>
      <c r="WI125">
        <v>185</v>
      </c>
      <c r="WJ125">
        <v>120</v>
      </c>
      <c r="WM125" s="15">
        <f t="shared" si="44"/>
        <v>3</v>
      </c>
      <c r="XH125" s="15">
        <f t="shared" si="45"/>
        <v>0</v>
      </c>
      <c r="YD125" s="15">
        <f t="shared" si="46"/>
        <v>0</v>
      </c>
      <c r="YX125" s="15">
        <f t="shared" si="47"/>
        <v>0</v>
      </c>
      <c r="ZR125" s="15">
        <f t="shared" si="48"/>
        <v>0</v>
      </c>
      <c r="ZX125" s="15">
        <f t="shared" si="49"/>
        <v>0</v>
      </c>
      <c r="AAT125" s="15">
        <f t="shared" si="50"/>
        <v>0</v>
      </c>
      <c r="ABQ125" s="15">
        <f t="shared" si="51"/>
        <v>0</v>
      </c>
      <c r="ABV125" s="28">
        <f t="shared" si="52"/>
        <v>0</v>
      </c>
      <c r="ACC125" s="28">
        <f t="shared" si="53"/>
        <v>0</v>
      </c>
      <c r="ACQ125" s="15">
        <f t="shared" si="54"/>
        <v>0</v>
      </c>
      <c r="ADA125" s="15">
        <f t="shared" si="55"/>
        <v>0</v>
      </c>
      <c r="ADM125" s="15">
        <f t="shared" si="56"/>
        <v>0</v>
      </c>
      <c r="AEI125" s="15">
        <f t="shared" si="57"/>
        <v>0</v>
      </c>
    </row>
    <row r="126" spans="2:815" x14ac:dyDescent="0.25">
      <c r="B126" s="2" t="s">
        <v>199</v>
      </c>
      <c r="C126" t="s">
        <v>96</v>
      </c>
      <c r="D126">
        <v>74</v>
      </c>
      <c r="E126" t="s">
        <v>8</v>
      </c>
      <c r="F126" t="s">
        <v>15</v>
      </c>
      <c r="G126" t="s">
        <v>9</v>
      </c>
      <c r="H126" t="s">
        <v>279</v>
      </c>
      <c r="I126" t="s">
        <v>243</v>
      </c>
      <c r="J126" t="s">
        <v>257</v>
      </c>
      <c r="K126" t="s">
        <v>256</v>
      </c>
      <c r="L126" t="s">
        <v>303</v>
      </c>
      <c r="M126">
        <v>61</v>
      </c>
      <c r="N126">
        <v>155</v>
      </c>
      <c r="O126" t="s">
        <v>1079</v>
      </c>
      <c r="P126" s="10">
        <v>35496</v>
      </c>
      <c r="Q126" s="10">
        <v>35740</v>
      </c>
      <c r="R126" t="s">
        <v>1572</v>
      </c>
      <c r="S126" t="s">
        <v>1236</v>
      </c>
      <c r="T126" t="s">
        <v>1573</v>
      </c>
      <c r="W126" t="s">
        <v>1571</v>
      </c>
      <c r="BA126" s="15">
        <f t="shared" si="29"/>
        <v>0</v>
      </c>
      <c r="CB126" s="15">
        <f t="shared" si="30"/>
        <v>0</v>
      </c>
      <c r="DE126" s="15">
        <f t="shared" si="31"/>
        <v>0</v>
      </c>
      <c r="DS126" s="15">
        <f t="shared" si="32"/>
        <v>0</v>
      </c>
      <c r="EF126" s="15">
        <f t="shared" si="33"/>
        <v>0</v>
      </c>
      <c r="FI126" s="15">
        <f t="shared" si="34"/>
        <v>0</v>
      </c>
      <c r="FJ126">
        <v>27</v>
      </c>
      <c r="HH126">
        <v>9</v>
      </c>
      <c r="HY126" s="15">
        <f t="shared" si="35"/>
        <v>2</v>
      </c>
      <c r="HZ126">
        <v>78</v>
      </c>
      <c r="JV126">
        <v>14</v>
      </c>
      <c r="KM126" s="15">
        <f t="shared" si="36"/>
        <v>2</v>
      </c>
      <c r="KN126">
        <v>280</v>
      </c>
      <c r="MH126">
        <v>25</v>
      </c>
      <c r="MZ126" s="15">
        <f t="shared" si="37"/>
        <v>2</v>
      </c>
      <c r="OQ126" s="15">
        <f t="shared" si="38"/>
        <v>0</v>
      </c>
      <c r="OW126" s="28">
        <f t="shared" si="39"/>
        <v>0</v>
      </c>
      <c r="RD126" s="15">
        <f t="shared" si="40"/>
        <v>0</v>
      </c>
      <c r="RU126" s="15">
        <f t="shared" si="41"/>
        <v>0</v>
      </c>
      <c r="RV126">
        <v>239</v>
      </c>
      <c r="TO126">
        <v>109</v>
      </c>
      <c r="UE126" s="15">
        <f t="shared" si="42"/>
        <v>2</v>
      </c>
      <c r="VJ126" s="15">
        <f t="shared" si="43"/>
        <v>0</v>
      </c>
      <c r="WM126" s="15">
        <f t="shared" si="44"/>
        <v>0</v>
      </c>
      <c r="XH126" s="15">
        <f t="shared" si="45"/>
        <v>0</v>
      </c>
      <c r="YD126" s="15">
        <f t="shared" si="46"/>
        <v>0</v>
      </c>
      <c r="YX126" s="15">
        <f t="shared" si="47"/>
        <v>0</v>
      </c>
      <c r="ZR126" s="15">
        <f t="shared" si="48"/>
        <v>0</v>
      </c>
      <c r="ZX126" s="15">
        <f t="shared" si="49"/>
        <v>0</v>
      </c>
      <c r="AAT126" s="15">
        <f t="shared" si="50"/>
        <v>0</v>
      </c>
      <c r="ABQ126" s="15">
        <f t="shared" si="51"/>
        <v>0</v>
      </c>
      <c r="ABV126" s="28">
        <f t="shared" si="52"/>
        <v>0</v>
      </c>
      <c r="ACC126" s="28">
        <f t="shared" si="53"/>
        <v>0</v>
      </c>
      <c r="ACQ126" s="15">
        <f t="shared" si="54"/>
        <v>0</v>
      </c>
      <c r="ADA126" s="15">
        <f t="shared" si="55"/>
        <v>0</v>
      </c>
      <c r="ADM126" s="15">
        <f t="shared" si="56"/>
        <v>0</v>
      </c>
      <c r="AEI126" s="15">
        <f t="shared" si="57"/>
        <v>0</v>
      </c>
    </row>
    <row r="127" spans="2:815" x14ac:dyDescent="0.25">
      <c r="B127" s="2" t="s">
        <v>200</v>
      </c>
      <c r="D127">
        <v>11</v>
      </c>
      <c r="E127" t="s">
        <v>8</v>
      </c>
      <c r="F127" t="s">
        <v>9</v>
      </c>
      <c r="G127" t="s">
        <v>9</v>
      </c>
      <c r="I127" t="s">
        <v>257</v>
      </c>
      <c r="J127" t="s">
        <v>257</v>
      </c>
      <c r="K127" t="s">
        <v>258</v>
      </c>
      <c r="M127">
        <v>54</v>
      </c>
      <c r="N127">
        <v>160</v>
      </c>
      <c r="R127" t="s">
        <v>1133</v>
      </c>
      <c r="S127" t="s">
        <v>1250</v>
      </c>
      <c r="T127" t="s">
        <v>1574</v>
      </c>
      <c r="W127" t="s">
        <v>1575</v>
      </c>
      <c r="BA127" s="15">
        <f t="shared" si="29"/>
        <v>0</v>
      </c>
      <c r="CB127" s="15">
        <f t="shared" si="30"/>
        <v>0</v>
      </c>
      <c r="DE127" s="15">
        <f t="shared" si="31"/>
        <v>0</v>
      </c>
      <c r="DS127" s="15">
        <f t="shared" si="32"/>
        <v>0</v>
      </c>
      <c r="EF127" s="15">
        <f t="shared" si="33"/>
        <v>0</v>
      </c>
      <c r="EG127">
        <v>11700</v>
      </c>
      <c r="FI127" s="15">
        <f t="shared" si="34"/>
        <v>1</v>
      </c>
      <c r="FJ127" t="s">
        <v>1966</v>
      </c>
      <c r="FK127" t="s">
        <v>1967</v>
      </c>
      <c r="FL127" t="s">
        <v>1075</v>
      </c>
      <c r="HY127" s="15">
        <f t="shared" si="35"/>
        <v>3</v>
      </c>
      <c r="KM127" s="15">
        <f t="shared" si="36"/>
        <v>0</v>
      </c>
      <c r="MZ127" s="15">
        <f t="shared" si="37"/>
        <v>0</v>
      </c>
      <c r="OQ127" s="15">
        <f t="shared" si="38"/>
        <v>0</v>
      </c>
      <c r="OW127" s="28">
        <f t="shared" si="39"/>
        <v>0</v>
      </c>
      <c r="RD127" s="15">
        <f t="shared" si="40"/>
        <v>0</v>
      </c>
      <c r="RU127" s="15">
        <f t="shared" si="41"/>
        <v>0</v>
      </c>
      <c r="UE127" s="15">
        <f t="shared" si="42"/>
        <v>0</v>
      </c>
      <c r="VJ127" s="15">
        <f t="shared" si="43"/>
        <v>0</v>
      </c>
      <c r="WM127" s="15">
        <f t="shared" si="44"/>
        <v>0</v>
      </c>
      <c r="XH127" s="15">
        <f t="shared" si="45"/>
        <v>0</v>
      </c>
      <c r="YD127" s="15">
        <f t="shared" si="46"/>
        <v>0</v>
      </c>
      <c r="YX127" s="15">
        <f t="shared" si="47"/>
        <v>0</v>
      </c>
      <c r="YY127" t="s">
        <v>617</v>
      </c>
      <c r="ZR127" s="15">
        <f t="shared" si="48"/>
        <v>1</v>
      </c>
      <c r="ZX127" s="15">
        <f t="shared" si="49"/>
        <v>0</v>
      </c>
      <c r="AAT127" s="15">
        <f t="shared" si="50"/>
        <v>0</v>
      </c>
      <c r="AAU127">
        <v>301</v>
      </c>
      <c r="ABQ127" s="15">
        <f t="shared" si="51"/>
        <v>1</v>
      </c>
      <c r="ABV127" s="28">
        <f t="shared" si="52"/>
        <v>0</v>
      </c>
      <c r="ACC127" s="28">
        <f t="shared" si="53"/>
        <v>0</v>
      </c>
      <c r="ACQ127" s="15">
        <f t="shared" si="54"/>
        <v>0</v>
      </c>
      <c r="ADA127" s="15">
        <f t="shared" si="55"/>
        <v>0</v>
      </c>
      <c r="ADM127" s="15">
        <f t="shared" si="56"/>
        <v>0</v>
      </c>
      <c r="AEI127" s="15">
        <f t="shared" si="57"/>
        <v>0</v>
      </c>
    </row>
    <row r="128" spans="2:815" x14ac:dyDescent="0.25">
      <c r="B128" s="2" t="s">
        <v>201</v>
      </c>
      <c r="D128">
        <v>52</v>
      </c>
      <c r="E128" t="s">
        <v>14</v>
      </c>
      <c r="F128" t="s">
        <v>15</v>
      </c>
      <c r="G128" t="s">
        <v>15</v>
      </c>
      <c r="H128" t="s">
        <v>291</v>
      </c>
      <c r="I128" t="s">
        <v>243</v>
      </c>
      <c r="J128" t="s">
        <v>257</v>
      </c>
      <c r="K128" t="s">
        <v>256</v>
      </c>
      <c r="L128" t="s">
        <v>306</v>
      </c>
      <c r="M128">
        <v>60</v>
      </c>
      <c r="N128">
        <v>170</v>
      </c>
      <c r="O128" t="s">
        <v>1095</v>
      </c>
      <c r="R128" t="s">
        <v>1577</v>
      </c>
      <c r="S128" t="s">
        <v>1576</v>
      </c>
      <c r="T128" t="s">
        <v>1578</v>
      </c>
      <c r="BA128" s="15">
        <f t="shared" si="29"/>
        <v>0</v>
      </c>
      <c r="CB128" s="15">
        <f t="shared" si="30"/>
        <v>0</v>
      </c>
      <c r="DE128" s="15">
        <f t="shared" si="31"/>
        <v>0</v>
      </c>
      <c r="DS128" s="15">
        <f t="shared" si="32"/>
        <v>0</v>
      </c>
      <c r="EF128" s="15">
        <f t="shared" si="33"/>
        <v>0</v>
      </c>
      <c r="FI128" s="15">
        <f t="shared" si="34"/>
        <v>0</v>
      </c>
      <c r="HY128" s="15">
        <f t="shared" si="35"/>
        <v>0</v>
      </c>
      <c r="KM128" s="15">
        <f t="shared" si="36"/>
        <v>0</v>
      </c>
      <c r="MZ128" s="15">
        <f t="shared" si="37"/>
        <v>0</v>
      </c>
      <c r="OQ128" s="15">
        <f t="shared" si="38"/>
        <v>0</v>
      </c>
      <c r="OW128" s="28">
        <f t="shared" si="39"/>
        <v>0</v>
      </c>
      <c r="RD128" s="15">
        <f t="shared" si="40"/>
        <v>0</v>
      </c>
      <c r="RU128" s="15">
        <f t="shared" si="41"/>
        <v>0</v>
      </c>
      <c r="UE128" s="15">
        <f t="shared" si="42"/>
        <v>0</v>
      </c>
      <c r="VJ128" s="15">
        <f t="shared" si="43"/>
        <v>0</v>
      </c>
      <c r="WM128" s="15">
        <f t="shared" si="44"/>
        <v>0</v>
      </c>
      <c r="XH128" s="15">
        <f t="shared" si="45"/>
        <v>0</v>
      </c>
      <c r="YD128" s="15">
        <f t="shared" si="46"/>
        <v>0</v>
      </c>
      <c r="YX128" s="15">
        <f t="shared" si="47"/>
        <v>0</v>
      </c>
      <c r="ZR128" s="15">
        <f t="shared" si="48"/>
        <v>0</v>
      </c>
      <c r="ZX128" s="15">
        <f t="shared" si="49"/>
        <v>0</v>
      </c>
      <c r="AAT128" s="15">
        <f t="shared" si="50"/>
        <v>0</v>
      </c>
      <c r="ABQ128" s="15">
        <f t="shared" si="51"/>
        <v>0</v>
      </c>
      <c r="ABV128" s="28">
        <f t="shared" si="52"/>
        <v>0</v>
      </c>
      <c r="ACC128" s="28">
        <f t="shared" si="53"/>
        <v>0</v>
      </c>
      <c r="ACQ128" s="15">
        <f t="shared" si="54"/>
        <v>0</v>
      </c>
      <c r="ADA128" s="15">
        <f t="shared" si="55"/>
        <v>0</v>
      </c>
      <c r="ADM128" s="15">
        <f t="shared" si="56"/>
        <v>0</v>
      </c>
      <c r="AEI128" s="15">
        <f t="shared" si="57"/>
        <v>0</v>
      </c>
    </row>
    <row r="129" spans="1:815" x14ac:dyDescent="0.25">
      <c r="B129" s="4" t="s">
        <v>202</v>
      </c>
      <c r="C129" t="s">
        <v>141</v>
      </c>
      <c r="D129">
        <v>40</v>
      </c>
      <c r="E129" t="s">
        <v>14</v>
      </c>
      <c r="F129" t="s">
        <v>15</v>
      </c>
      <c r="G129" t="s">
        <v>9</v>
      </c>
      <c r="H129" t="s">
        <v>253</v>
      </c>
      <c r="I129" t="s">
        <v>243</v>
      </c>
      <c r="J129" t="s">
        <v>257</v>
      </c>
      <c r="L129" t="s">
        <v>306</v>
      </c>
      <c r="M129">
        <v>67</v>
      </c>
      <c r="N129">
        <v>186</v>
      </c>
      <c r="O129" t="s">
        <v>1096</v>
      </c>
      <c r="P129" s="10">
        <v>35844</v>
      </c>
      <c r="Q129" s="10">
        <v>35844</v>
      </c>
      <c r="R129" t="s">
        <v>1133</v>
      </c>
      <c r="S129" t="s">
        <v>1305</v>
      </c>
      <c r="T129" t="s">
        <v>1580</v>
      </c>
      <c r="W129" t="s">
        <v>1579</v>
      </c>
      <c r="Z129">
        <v>11</v>
      </c>
      <c r="AK129">
        <v>10</v>
      </c>
      <c r="AR129">
        <v>10</v>
      </c>
      <c r="AV129">
        <v>10</v>
      </c>
      <c r="AX129">
        <v>11</v>
      </c>
      <c r="BA129" s="15">
        <f t="shared" si="29"/>
        <v>5</v>
      </c>
      <c r="CB129" s="15">
        <f t="shared" si="30"/>
        <v>0</v>
      </c>
      <c r="DE129" s="15">
        <f t="shared" si="31"/>
        <v>0</v>
      </c>
      <c r="DS129" s="15">
        <f t="shared" si="32"/>
        <v>0</v>
      </c>
      <c r="EF129" s="15">
        <f t="shared" si="33"/>
        <v>0</v>
      </c>
      <c r="FI129" s="15">
        <f t="shared" si="34"/>
        <v>0</v>
      </c>
      <c r="FJ129">
        <v>34</v>
      </c>
      <c r="FX129">
        <v>14</v>
      </c>
      <c r="GH129">
        <v>9</v>
      </c>
      <c r="GO129">
        <v>11</v>
      </c>
      <c r="GT129">
        <v>10</v>
      </c>
      <c r="HY129" s="15">
        <f t="shared" si="35"/>
        <v>5</v>
      </c>
      <c r="HZ129">
        <v>144</v>
      </c>
      <c r="IM129">
        <v>46</v>
      </c>
      <c r="IW129">
        <v>17</v>
      </c>
      <c r="JD129">
        <v>13</v>
      </c>
      <c r="JI129">
        <v>13</v>
      </c>
      <c r="KM129" s="15">
        <f t="shared" si="36"/>
        <v>5</v>
      </c>
      <c r="KN129">
        <v>60</v>
      </c>
      <c r="KY129">
        <v>58</v>
      </c>
      <c r="LI129">
        <v>42</v>
      </c>
      <c r="LP129">
        <v>31</v>
      </c>
      <c r="LU129">
        <v>23</v>
      </c>
      <c r="MZ129" s="15">
        <f t="shared" si="37"/>
        <v>5</v>
      </c>
      <c r="NA129">
        <v>171</v>
      </c>
      <c r="NN129">
        <v>133</v>
      </c>
      <c r="NU129">
        <v>137</v>
      </c>
      <c r="OB129">
        <v>131</v>
      </c>
      <c r="OF129">
        <v>121</v>
      </c>
      <c r="OQ129" s="15">
        <f t="shared" si="38"/>
        <v>5</v>
      </c>
      <c r="OW129" s="28">
        <f t="shared" si="39"/>
        <v>0</v>
      </c>
      <c r="OX129" t="s">
        <v>1708</v>
      </c>
      <c r="PL129" t="s">
        <v>1709</v>
      </c>
      <c r="PV129" t="s">
        <v>1710</v>
      </c>
      <c r="QC129" t="s">
        <v>1711</v>
      </c>
      <c r="QG129" t="s">
        <v>1712</v>
      </c>
      <c r="RD129" s="15">
        <f t="shared" si="40"/>
        <v>5</v>
      </c>
      <c r="RU129" s="15">
        <f t="shared" si="41"/>
        <v>0</v>
      </c>
      <c r="RV129">
        <v>490</v>
      </c>
      <c r="SI129">
        <v>572</v>
      </c>
      <c r="SS129">
        <v>395</v>
      </c>
      <c r="SZ129">
        <v>312</v>
      </c>
      <c r="TE129">
        <v>262</v>
      </c>
      <c r="UE129" s="15">
        <f t="shared" si="42"/>
        <v>5</v>
      </c>
      <c r="VJ129" s="15">
        <f t="shared" si="43"/>
        <v>0</v>
      </c>
      <c r="VK129" t="s">
        <v>1738</v>
      </c>
      <c r="VW129" t="s">
        <v>1718</v>
      </c>
      <c r="WE129" t="s">
        <v>1718</v>
      </c>
      <c r="WG129" t="s">
        <v>1739</v>
      </c>
      <c r="WM129" s="15">
        <f t="shared" si="44"/>
        <v>4</v>
      </c>
      <c r="XH129" s="15">
        <f t="shared" si="45"/>
        <v>0</v>
      </c>
      <c r="YD129" s="15">
        <f t="shared" si="46"/>
        <v>0</v>
      </c>
      <c r="YX129" s="15">
        <f t="shared" si="47"/>
        <v>0</v>
      </c>
      <c r="ZR129" s="15">
        <f t="shared" si="48"/>
        <v>0</v>
      </c>
      <c r="ZX129" s="15">
        <f t="shared" si="49"/>
        <v>0</v>
      </c>
      <c r="ZY129">
        <v>0.56599999999999995</v>
      </c>
      <c r="AAJ129">
        <v>0.51</v>
      </c>
      <c r="AAP129">
        <v>0.51</v>
      </c>
      <c r="AAQ129">
        <v>35</v>
      </c>
      <c r="AAS129">
        <v>0.51</v>
      </c>
      <c r="AAT129" s="15">
        <f t="shared" si="50"/>
        <v>5</v>
      </c>
      <c r="ABQ129" s="15">
        <f t="shared" si="51"/>
        <v>0</v>
      </c>
      <c r="ABV129" s="28">
        <f t="shared" si="52"/>
        <v>0</v>
      </c>
      <c r="ACC129" s="28">
        <f t="shared" si="53"/>
        <v>0</v>
      </c>
      <c r="ACQ129" s="15">
        <f t="shared" si="54"/>
        <v>0</v>
      </c>
      <c r="ADA129" s="15">
        <f t="shared" si="55"/>
        <v>0</v>
      </c>
      <c r="ADM129" s="15">
        <f t="shared" si="56"/>
        <v>0</v>
      </c>
      <c r="AEI129" s="15">
        <f t="shared" si="57"/>
        <v>0</v>
      </c>
    </row>
    <row r="130" spans="1:815" x14ac:dyDescent="0.25">
      <c r="B130" s="2" t="s">
        <v>294</v>
      </c>
      <c r="D130" t="s">
        <v>203</v>
      </c>
      <c r="E130" t="s">
        <v>204</v>
      </c>
      <c r="F130" t="s">
        <v>205</v>
      </c>
      <c r="G130" t="s">
        <v>206</v>
      </c>
      <c r="H130" t="s">
        <v>292</v>
      </c>
      <c r="I130" t="s">
        <v>293</v>
      </c>
      <c r="J130" t="s">
        <v>295</v>
      </c>
      <c r="L130" t="s">
        <v>1581</v>
      </c>
      <c r="M130" t="s">
        <v>330</v>
      </c>
      <c r="N130" t="s">
        <v>331</v>
      </c>
      <c r="P130" t="s">
        <v>1582</v>
      </c>
      <c r="Q130" t="s">
        <v>1583</v>
      </c>
      <c r="R130" t="s">
        <v>1584</v>
      </c>
      <c r="S130" t="s">
        <v>1585</v>
      </c>
      <c r="BA130" s="15">
        <f t="shared" si="29"/>
        <v>0</v>
      </c>
      <c r="CB130" s="15">
        <f t="shared" si="30"/>
        <v>0</v>
      </c>
      <c r="DE130" s="15">
        <f t="shared" si="31"/>
        <v>0</v>
      </c>
      <c r="DS130" s="15">
        <f t="shared" si="32"/>
        <v>0</v>
      </c>
      <c r="EF130" s="15">
        <f t="shared" si="33"/>
        <v>0</v>
      </c>
      <c r="FI130" s="15">
        <f t="shared" si="34"/>
        <v>0</v>
      </c>
      <c r="FJ130">
        <v>47</v>
      </c>
      <c r="HY130" s="15">
        <f t="shared" si="35"/>
        <v>1</v>
      </c>
      <c r="HZ130">
        <v>82</v>
      </c>
      <c r="KM130" s="15">
        <f t="shared" si="36"/>
        <v>1</v>
      </c>
      <c r="KN130">
        <v>225</v>
      </c>
      <c r="MZ130" s="15">
        <f t="shared" si="37"/>
        <v>1</v>
      </c>
      <c r="NA130">
        <v>340</v>
      </c>
      <c r="OQ130" s="15">
        <f t="shared" si="38"/>
        <v>1</v>
      </c>
      <c r="OW130" s="28">
        <f t="shared" si="39"/>
        <v>0</v>
      </c>
      <c r="RD130" s="15">
        <f t="shared" si="40"/>
        <v>0</v>
      </c>
      <c r="RU130" s="15">
        <f t="shared" si="41"/>
        <v>0</v>
      </c>
      <c r="RV130">
        <v>486</v>
      </c>
      <c r="UE130" s="15">
        <f t="shared" si="42"/>
        <v>1</v>
      </c>
      <c r="VJ130" s="15">
        <f t="shared" si="43"/>
        <v>0</v>
      </c>
      <c r="WM130" s="15">
        <f t="shared" si="44"/>
        <v>0</v>
      </c>
      <c r="XH130" s="15">
        <f t="shared" si="45"/>
        <v>0</v>
      </c>
      <c r="YD130" s="15">
        <f t="shared" si="46"/>
        <v>0</v>
      </c>
      <c r="YX130" s="15">
        <f t="shared" si="47"/>
        <v>0</v>
      </c>
      <c r="ZR130" s="15">
        <f t="shared" si="48"/>
        <v>0</v>
      </c>
      <c r="ZX130" s="15">
        <f t="shared" si="49"/>
        <v>0</v>
      </c>
      <c r="AAT130" s="15">
        <f t="shared" si="50"/>
        <v>0</v>
      </c>
      <c r="ABQ130" s="15">
        <f t="shared" si="51"/>
        <v>0</v>
      </c>
      <c r="ABV130" s="28">
        <f t="shared" si="52"/>
        <v>0</v>
      </c>
      <c r="ACC130" s="28">
        <f t="shared" si="53"/>
        <v>0</v>
      </c>
      <c r="ACQ130" s="15">
        <f t="shared" si="54"/>
        <v>0</v>
      </c>
      <c r="ADA130" s="15">
        <f t="shared" si="55"/>
        <v>0</v>
      </c>
      <c r="ADM130" s="15">
        <f t="shared" si="56"/>
        <v>0</v>
      </c>
      <c r="AEI130" s="15">
        <f t="shared" si="57"/>
        <v>0</v>
      </c>
    </row>
    <row r="131" spans="1:815" x14ac:dyDescent="0.25">
      <c r="B131" s="2" t="s">
        <v>207</v>
      </c>
      <c r="D131">
        <v>3</v>
      </c>
      <c r="E131" t="s">
        <v>8</v>
      </c>
      <c r="F131" t="s">
        <v>9</v>
      </c>
      <c r="G131" t="s">
        <v>9</v>
      </c>
      <c r="I131" t="s">
        <v>243</v>
      </c>
      <c r="J131" t="s">
        <v>257</v>
      </c>
      <c r="K131" t="s">
        <v>296</v>
      </c>
      <c r="L131" t="s">
        <v>325</v>
      </c>
      <c r="P131" s="10">
        <v>35858</v>
      </c>
      <c r="Q131" s="10">
        <v>35858</v>
      </c>
      <c r="R131" t="s">
        <v>1133</v>
      </c>
      <c r="S131" t="s">
        <v>1586</v>
      </c>
      <c r="BA131" s="15">
        <f t="shared" ref="BA131:BA154" si="58">COUNTA(Z131:AZ131)</f>
        <v>0</v>
      </c>
      <c r="CB131" s="15">
        <f t="shared" ref="CB131:CB154" si="59">COUNTA(BB131:CA131)</f>
        <v>0</v>
      </c>
      <c r="DE131" s="15">
        <f t="shared" ref="DE131:DE154" si="60">COUNTA(CC131:DD131)</f>
        <v>0</v>
      </c>
      <c r="DS131" s="15">
        <f t="shared" ref="DS131:DS154" si="61">COUNTA(DG131:DR131)</f>
        <v>0</v>
      </c>
      <c r="EF131" s="15">
        <f t="shared" ref="EF131:EF154" si="62">COUNTA(DT131:EE131)</f>
        <v>0</v>
      </c>
      <c r="EG131">
        <v>17600</v>
      </c>
      <c r="FI131" s="15">
        <f t="shared" ref="FI131:FI154" si="63">COUNTA(EG131:FH131)</f>
        <v>1</v>
      </c>
      <c r="FJ131">
        <v>41</v>
      </c>
      <c r="FN131">
        <v>84</v>
      </c>
      <c r="FX131">
        <v>36</v>
      </c>
      <c r="HY131" s="15">
        <f t="shared" ref="HY131:HY154" si="64">COUNTA(FJ131:HX131)</f>
        <v>3</v>
      </c>
      <c r="HZ131">
        <v>23</v>
      </c>
      <c r="IC131">
        <v>55</v>
      </c>
      <c r="IM131">
        <v>32</v>
      </c>
      <c r="KM131" s="15">
        <f t="shared" ref="KM131:KM154" si="65">COUNTA(HZ131:KL131)</f>
        <v>3</v>
      </c>
      <c r="KN131">
        <v>12</v>
      </c>
      <c r="MZ131" s="15">
        <f t="shared" ref="MZ131:MZ154" si="66">COUNTA(KN131:MY131)</f>
        <v>1</v>
      </c>
      <c r="OQ131" s="15">
        <f t="shared" ref="OQ131:OQ154" si="67">COUNTA(NA131:OP131)</f>
        <v>0</v>
      </c>
      <c r="OW131" s="28">
        <f t="shared" ref="OW131:OW154" si="68">COUNTA(OR131:OV131)</f>
        <v>0</v>
      </c>
      <c r="OX131" t="s">
        <v>1674</v>
      </c>
      <c r="RD131" s="15">
        <f t="shared" ref="RD131:RD154" si="69">COUNTA(OX131:RC131)</f>
        <v>1</v>
      </c>
      <c r="RU131" s="15">
        <f t="shared" ref="RU131:RU154" si="70">COUNTA(RE131:RT131)</f>
        <v>0</v>
      </c>
      <c r="RV131">
        <v>191</v>
      </c>
      <c r="SB131">
        <v>154</v>
      </c>
      <c r="UE131" s="15">
        <f t="shared" ref="UE131:UE154" si="71">COUNTA(RV131:UD131)</f>
        <v>2</v>
      </c>
      <c r="VJ131" s="15">
        <f t="shared" ref="VJ131:VJ154" si="72">COUNTA(UF131:VI131)</f>
        <v>0</v>
      </c>
      <c r="VK131" t="s">
        <v>544</v>
      </c>
      <c r="WM131" s="15">
        <f t="shared" ref="WM131:WM154" si="73">COUNTA(VK131:WL131)</f>
        <v>1</v>
      </c>
      <c r="XH131" s="15">
        <f t="shared" ref="XH131:XH154" si="74">COUNTA(WN131:XG131)</f>
        <v>0</v>
      </c>
      <c r="XI131">
        <v>70</v>
      </c>
      <c r="YD131" s="15">
        <f t="shared" ref="YD131:YD154" si="75">COUNTA(XI131:YC131)</f>
        <v>1</v>
      </c>
      <c r="YE131">
        <v>55</v>
      </c>
      <c r="YX131" s="15">
        <f t="shared" ref="YX131:YX154" si="76">COUNTA(YE131:YW131)</f>
        <v>1</v>
      </c>
      <c r="YY131" t="s">
        <v>2027</v>
      </c>
      <c r="ZR131" s="15">
        <f t="shared" ref="ZR131:ZR154" si="77">COUNTA(YY131:ZQ131)</f>
        <v>1</v>
      </c>
      <c r="ZX131" s="15">
        <f t="shared" ref="ZX131:ZX154" si="78">COUNTA(ZS131:ZW131)</f>
        <v>0</v>
      </c>
      <c r="ZY131">
        <v>0.06</v>
      </c>
      <c r="AAT131" s="15">
        <f t="shared" ref="AAT131:AAT154" si="79">COUNTA(ZY131:AAS131)</f>
        <v>1</v>
      </c>
      <c r="AAU131">
        <v>495</v>
      </c>
      <c r="ABQ131" s="15">
        <f t="shared" ref="ABQ131:ABQ154" si="80">COUNTA(AAU131,ABP131)</f>
        <v>1</v>
      </c>
      <c r="ABV131" s="28">
        <f t="shared" ref="ABV131:ABV154" si="81">COUNTA(ABR131:ABU131)</f>
        <v>0</v>
      </c>
      <c r="ACC131" s="28">
        <f t="shared" ref="ACC131:ACC154" si="82">COUNTA(ABW131:ACB131)</f>
        <v>0</v>
      </c>
      <c r="ACQ131" s="15">
        <f t="shared" ref="ACQ131:ACQ154" si="83">COUNTA(ACH131:ACP131)</f>
        <v>0</v>
      </c>
      <c r="ADA131" s="15">
        <f t="shared" ref="ADA131:ADA154" si="84">COUNTA(ACV131:ACZ131)</f>
        <v>0</v>
      </c>
      <c r="ADM131" s="15">
        <f t="shared" ref="ADM131:ADM154" si="85">COUNTA(ADB131:ADL131)</f>
        <v>0</v>
      </c>
      <c r="ADN131">
        <v>134</v>
      </c>
      <c r="AEI131" s="15">
        <f t="shared" ref="AEI131:AEI154" si="86">COUNTA(ADN131:AEH131)</f>
        <v>1</v>
      </c>
    </row>
    <row r="132" spans="1:815" x14ac:dyDescent="0.25">
      <c r="B132" s="4" t="s">
        <v>208</v>
      </c>
      <c r="D132">
        <v>14</v>
      </c>
      <c r="E132" t="s">
        <v>8</v>
      </c>
      <c r="F132" t="s">
        <v>9</v>
      </c>
      <c r="G132" t="s">
        <v>15</v>
      </c>
      <c r="I132" t="s">
        <v>257</v>
      </c>
      <c r="J132" t="s">
        <v>257</v>
      </c>
      <c r="K132" t="s">
        <v>1588</v>
      </c>
      <c r="L132" t="s">
        <v>326</v>
      </c>
      <c r="S132" t="s">
        <v>1355</v>
      </c>
      <c r="V132" t="s">
        <v>1587</v>
      </c>
      <c r="BA132" s="15">
        <f t="shared" si="58"/>
        <v>0</v>
      </c>
      <c r="CB132" s="15">
        <f t="shared" si="59"/>
        <v>0</v>
      </c>
      <c r="DE132" s="15">
        <f t="shared" si="60"/>
        <v>0</v>
      </c>
      <c r="DS132" s="15">
        <f t="shared" si="61"/>
        <v>0</v>
      </c>
      <c r="EF132" s="15">
        <f t="shared" si="62"/>
        <v>0</v>
      </c>
      <c r="FI132" s="15">
        <f t="shared" si="63"/>
        <v>0</v>
      </c>
      <c r="HY132" s="15">
        <f t="shared" si="64"/>
        <v>0</v>
      </c>
      <c r="KM132" s="15">
        <f t="shared" si="65"/>
        <v>0</v>
      </c>
      <c r="MZ132" s="15">
        <f t="shared" si="66"/>
        <v>0</v>
      </c>
      <c r="OQ132" s="15">
        <f t="shared" si="67"/>
        <v>0</v>
      </c>
      <c r="OW132" s="28">
        <f t="shared" si="68"/>
        <v>0</v>
      </c>
      <c r="RD132" s="15">
        <f t="shared" si="69"/>
        <v>0</v>
      </c>
      <c r="RU132" s="15">
        <f t="shared" si="70"/>
        <v>0</v>
      </c>
      <c r="UE132" s="15">
        <f t="shared" si="71"/>
        <v>0</v>
      </c>
      <c r="VJ132" s="15">
        <f t="shared" si="72"/>
        <v>0</v>
      </c>
      <c r="WM132" s="15">
        <f t="shared" si="73"/>
        <v>0</v>
      </c>
      <c r="XH132" s="15">
        <f t="shared" si="74"/>
        <v>0</v>
      </c>
      <c r="YD132" s="15">
        <f t="shared" si="75"/>
        <v>0</v>
      </c>
      <c r="YX132" s="15">
        <f t="shared" si="76"/>
        <v>0</v>
      </c>
      <c r="ZR132" s="15">
        <f t="shared" si="77"/>
        <v>0</v>
      </c>
      <c r="ZX132" s="15">
        <f t="shared" si="78"/>
        <v>0</v>
      </c>
      <c r="AAT132" s="15">
        <f t="shared" si="79"/>
        <v>0</v>
      </c>
      <c r="ABQ132" s="15">
        <f t="shared" si="80"/>
        <v>0</v>
      </c>
      <c r="ABV132" s="28">
        <f t="shared" si="81"/>
        <v>0</v>
      </c>
      <c r="ACC132" s="28">
        <f t="shared" si="82"/>
        <v>0</v>
      </c>
      <c r="ACQ132" s="15">
        <f t="shared" si="83"/>
        <v>0</v>
      </c>
      <c r="ADA132" s="15">
        <f t="shared" si="84"/>
        <v>0</v>
      </c>
      <c r="ADM132" s="15">
        <f t="shared" si="85"/>
        <v>0</v>
      </c>
      <c r="AEI132" s="15">
        <f t="shared" si="86"/>
        <v>0</v>
      </c>
    </row>
    <row r="133" spans="1:815" x14ac:dyDescent="0.25">
      <c r="B133" s="2" t="s">
        <v>1589</v>
      </c>
      <c r="C133" t="s">
        <v>129</v>
      </c>
      <c r="D133">
        <v>1</v>
      </c>
      <c r="E133" t="s">
        <v>14</v>
      </c>
      <c r="F133" t="s">
        <v>9</v>
      </c>
      <c r="G133" t="s">
        <v>15</v>
      </c>
      <c r="H133" t="s">
        <v>249</v>
      </c>
      <c r="I133" t="s">
        <v>243</v>
      </c>
      <c r="J133" t="s">
        <v>257</v>
      </c>
      <c r="L133" t="s">
        <v>314</v>
      </c>
      <c r="M133">
        <v>13</v>
      </c>
      <c r="N133">
        <v>82</v>
      </c>
      <c r="P133" s="10" t="s">
        <v>1595</v>
      </c>
      <c r="Q133" s="10" t="s">
        <v>1594</v>
      </c>
      <c r="R133" s="10" t="s">
        <v>1596</v>
      </c>
      <c r="S133" t="s">
        <v>1593</v>
      </c>
      <c r="T133" t="s">
        <v>1590</v>
      </c>
      <c r="U133" t="s">
        <v>1592</v>
      </c>
      <c r="V133" t="s">
        <v>1591</v>
      </c>
      <c r="BA133" s="15">
        <f t="shared" si="58"/>
        <v>0</v>
      </c>
      <c r="CB133" s="15">
        <f t="shared" si="59"/>
        <v>0</v>
      </c>
      <c r="DE133" s="15">
        <f t="shared" si="60"/>
        <v>0</v>
      </c>
      <c r="DS133" s="15">
        <f t="shared" si="61"/>
        <v>0</v>
      </c>
      <c r="EF133" s="15">
        <f t="shared" si="62"/>
        <v>0</v>
      </c>
      <c r="FI133" s="15">
        <f t="shared" si="63"/>
        <v>0</v>
      </c>
      <c r="HY133" s="15">
        <f t="shared" si="64"/>
        <v>0</v>
      </c>
      <c r="KM133" s="15">
        <f t="shared" si="65"/>
        <v>0</v>
      </c>
      <c r="MZ133" s="15">
        <f t="shared" si="66"/>
        <v>0</v>
      </c>
      <c r="OQ133" s="15">
        <f t="shared" si="67"/>
        <v>0</v>
      </c>
      <c r="OW133" s="28">
        <f t="shared" si="68"/>
        <v>0</v>
      </c>
      <c r="RD133" s="15">
        <f t="shared" si="69"/>
        <v>0</v>
      </c>
      <c r="RU133" s="15">
        <f t="shared" si="70"/>
        <v>0</v>
      </c>
      <c r="UE133" s="15">
        <f t="shared" si="71"/>
        <v>0</v>
      </c>
      <c r="VJ133" s="15">
        <f t="shared" si="72"/>
        <v>0</v>
      </c>
      <c r="WM133" s="15">
        <f t="shared" si="73"/>
        <v>0</v>
      </c>
      <c r="XH133" s="15">
        <f t="shared" si="74"/>
        <v>0</v>
      </c>
      <c r="YD133" s="15">
        <f t="shared" si="75"/>
        <v>0</v>
      </c>
      <c r="YX133" s="15">
        <f t="shared" si="76"/>
        <v>0</v>
      </c>
      <c r="ZR133" s="15">
        <f t="shared" si="77"/>
        <v>0</v>
      </c>
      <c r="ZX133" s="15">
        <f t="shared" si="78"/>
        <v>0</v>
      </c>
      <c r="AAT133" s="15">
        <f t="shared" si="79"/>
        <v>0</v>
      </c>
      <c r="ABQ133" s="15">
        <f t="shared" si="80"/>
        <v>0</v>
      </c>
      <c r="ABV133" s="28">
        <f t="shared" si="81"/>
        <v>0</v>
      </c>
      <c r="ACC133" s="28">
        <f t="shared" si="82"/>
        <v>0</v>
      </c>
      <c r="ACQ133" s="15">
        <f t="shared" si="83"/>
        <v>0</v>
      </c>
      <c r="ADA133" s="15">
        <f t="shared" si="84"/>
        <v>0</v>
      </c>
      <c r="ADM133" s="15">
        <f t="shared" si="85"/>
        <v>0</v>
      </c>
      <c r="AEI133" s="15">
        <f t="shared" si="86"/>
        <v>0</v>
      </c>
    </row>
    <row r="134" spans="1:815" x14ac:dyDescent="0.25">
      <c r="A134" t="s">
        <v>2066</v>
      </c>
      <c r="B134" s="2" t="s">
        <v>209</v>
      </c>
      <c r="C134" t="s">
        <v>210</v>
      </c>
      <c r="D134">
        <v>88</v>
      </c>
      <c r="E134" t="s">
        <v>8</v>
      </c>
      <c r="F134" t="s">
        <v>9</v>
      </c>
      <c r="G134" t="s">
        <v>9</v>
      </c>
      <c r="H134" t="s">
        <v>253</v>
      </c>
      <c r="I134" t="s">
        <v>243</v>
      </c>
      <c r="J134" t="s">
        <v>257</v>
      </c>
      <c r="L134" t="s">
        <v>314</v>
      </c>
      <c r="M134">
        <v>55</v>
      </c>
      <c r="N134">
        <v>160</v>
      </c>
      <c r="O134" t="s">
        <v>1097</v>
      </c>
      <c r="P134" s="10" t="s">
        <v>1598</v>
      </c>
      <c r="Q134" s="10" t="s">
        <v>1599</v>
      </c>
      <c r="R134" t="s">
        <v>1600</v>
      </c>
      <c r="S134" t="s">
        <v>1601</v>
      </c>
      <c r="T134" t="s">
        <v>1597</v>
      </c>
      <c r="U134" t="s">
        <v>1602</v>
      </c>
      <c r="V134" t="s">
        <v>1462</v>
      </c>
      <c r="BA134" s="15">
        <f t="shared" si="58"/>
        <v>0</v>
      </c>
      <c r="CB134" s="15">
        <f t="shared" si="59"/>
        <v>0</v>
      </c>
      <c r="DE134" s="15">
        <f t="shared" si="60"/>
        <v>0</v>
      </c>
      <c r="DS134" s="15">
        <f t="shared" si="61"/>
        <v>0</v>
      </c>
      <c r="EF134" s="15">
        <f t="shared" si="62"/>
        <v>0</v>
      </c>
      <c r="EG134">
        <v>6000</v>
      </c>
      <c r="FB134">
        <v>11400</v>
      </c>
      <c r="FI134" s="15">
        <f t="shared" si="63"/>
        <v>2</v>
      </c>
      <c r="GC134">
        <v>28</v>
      </c>
      <c r="HY134" s="15">
        <f t="shared" si="64"/>
        <v>1</v>
      </c>
      <c r="KM134" s="15">
        <f t="shared" si="65"/>
        <v>0</v>
      </c>
      <c r="KY134">
        <v>27</v>
      </c>
      <c r="MZ134" s="15">
        <f t="shared" si="66"/>
        <v>1</v>
      </c>
      <c r="NN134">
        <v>249</v>
      </c>
      <c r="OQ134" s="15">
        <f t="shared" si="67"/>
        <v>1</v>
      </c>
      <c r="OW134" s="28">
        <f t="shared" si="68"/>
        <v>0</v>
      </c>
      <c r="RD134" s="15">
        <f t="shared" si="69"/>
        <v>0</v>
      </c>
      <c r="RU134" s="15">
        <f t="shared" si="70"/>
        <v>0</v>
      </c>
      <c r="UE134" s="15">
        <f t="shared" si="71"/>
        <v>0</v>
      </c>
      <c r="VJ134" s="15">
        <f t="shared" si="72"/>
        <v>0</v>
      </c>
      <c r="WM134" s="15">
        <f t="shared" si="73"/>
        <v>0</v>
      </c>
      <c r="XH134" s="15">
        <f t="shared" si="74"/>
        <v>0</v>
      </c>
      <c r="YD134" s="15">
        <f t="shared" si="75"/>
        <v>0</v>
      </c>
      <c r="YX134" s="15">
        <f t="shared" si="76"/>
        <v>0</v>
      </c>
      <c r="ZR134" s="15">
        <f t="shared" si="77"/>
        <v>0</v>
      </c>
      <c r="ZX134" s="15">
        <f t="shared" si="78"/>
        <v>0</v>
      </c>
      <c r="AAJ134">
        <v>0.42</v>
      </c>
      <c r="AAT134" s="15">
        <f t="shared" si="79"/>
        <v>1</v>
      </c>
      <c r="ABQ134" s="15">
        <f t="shared" si="80"/>
        <v>0</v>
      </c>
      <c r="ABV134" s="28">
        <f t="shared" si="81"/>
        <v>0</v>
      </c>
      <c r="ACC134" s="28">
        <f t="shared" si="82"/>
        <v>0</v>
      </c>
      <c r="ACQ134" s="15">
        <f t="shared" si="83"/>
        <v>0</v>
      </c>
      <c r="ADA134" s="15">
        <f t="shared" si="84"/>
        <v>0</v>
      </c>
      <c r="ADM134" s="15">
        <f t="shared" si="85"/>
        <v>0</v>
      </c>
      <c r="AEI134" s="15">
        <f t="shared" si="86"/>
        <v>0</v>
      </c>
    </row>
    <row r="135" spans="1:815" x14ac:dyDescent="0.25">
      <c r="A135" t="s">
        <v>2066</v>
      </c>
      <c r="B135" s="3" t="s">
        <v>211</v>
      </c>
      <c r="C135" t="s">
        <v>180</v>
      </c>
      <c r="D135">
        <v>38</v>
      </c>
      <c r="E135" t="s">
        <v>8</v>
      </c>
      <c r="F135" t="s">
        <v>9</v>
      </c>
      <c r="G135" t="s">
        <v>9</v>
      </c>
      <c r="H135" t="s">
        <v>297</v>
      </c>
      <c r="I135" t="s">
        <v>243</v>
      </c>
      <c r="J135" t="s">
        <v>257</v>
      </c>
      <c r="L135" t="s">
        <v>1605</v>
      </c>
      <c r="M135">
        <v>66</v>
      </c>
      <c r="N135">
        <v>162</v>
      </c>
      <c r="O135" t="s">
        <v>1098</v>
      </c>
      <c r="P135" s="10" t="s">
        <v>1607</v>
      </c>
      <c r="Q135" s="10" t="s">
        <v>1608</v>
      </c>
      <c r="R135" t="s">
        <v>1609</v>
      </c>
      <c r="S135" t="s">
        <v>1610</v>
      </c>
      <c r="T135" t="s">
        <v>1604</v>
      </c>
      <c r="U135" t="s">
        <v>1603</v>
      </c>
      <c r="W135" t="s">
        <v>1606</v>
      </c>
      <c r="BA135" s="15">
        <f t="shared" si="58"/>
        <v>0</v>
      </c>
      <c r="CB135" s="15">
        <f t="shared" si="59"/>
        <v>0</v>
      </c>
      <c r="DE135" s="15">
        <f t="shared" si="60"/>
        <v>0</v>
      </c>
      <c r="DS135" s="15">
        <f t="shared" si="61"/>
        <v>0</v>
      </c>
      <c r="EF135" s="15">
        <f t="shared" si="62"/>
        <v>0</v>
      </c>
      <c r="EG135">
        <v>7700</v>
      </c>
      <c r="FD135">
        <v>4300</v>
      </c>
      <c r="FI135" s="15">
        <f t="shared" si="63"/>
        <v>2</v>
      </c>
      <c r="GE135">
        <v>31</v>
      </c>
      <c r="HY135" s="15">
        <f t="shared" si="64"/>
        <v>1</v>
      </c>
      <c r="IT135">
        <v>30</v>
      </c>
      <c r="KM135" s="15">
        <f t="shared" si="65"/>
        <v>1</v>
      </c>
      <c r="LC135">
        <v>75</v>
      </c>
      <c r="MZ135" s="15">
        <f t="shared" si="66"/>
        <v>1</v>
      </c>
      <c r="NA135">
        <v>487</v>
      </c>
      <c r="OQ135" s="15">
        <f t="shared" si="67"/>
        <v>1</v>
      </c>
      <c r="OT135" s="25">
        <v>11</v>
      </c>
      <c r="OW135" s="28">
        <f t="shared" si="68"/>
        <v>1</v>
      </c>
      <c r="RD135" s="15">
        <f t="shared" si="69"/>
        <v>0</v>
      </c>
      <c r="RU135" s="15">
        <f t="shared" si="70"/>
        <v>0</v>
      </c>
      <c r="UE135" s="15">
        <f t="shared" si="71"/>
        <v>0</v>
      </c>
      <c r="VJ135" s="15">
        <f t="shared" si="72"/>
        <v>0</v>
      </c>
      <c r="WM135" s="15">
        <f t="shared" si="73"/>
        <v>0</v>
      </c>
      <c r="XH135" s="15">
        <f t="shared" si="74"/>
        <v>0</v>
      </c>
      <c r="YD135" s="15">
        <f t="shared" si="75"/>
        <v>0</v>
      </c>
      <c r="YX135" s="15">
        <f t="shared" si="76"/>
        <v>0</v>
      </c>
      <c r="ZR135" s="15">
        <f t="shared" si="77"/>
        <v>0</v>
      </c>
      <c r="ZX135" s="15">
        <f t="shared" si="78"/>
        <v>0</v>
      </c>
      <c r="AAT135" s="15">
        <f t="shared" si="79"/>
        <v>0</v>
      </c>
      <c r="ABQ135" s="15">
        <f t="shared" si="80"/>
        <v>0</v>
      </c>
      <c r="ABV135" s="28">
        <f t="shared" si="81"/>
        <v>0</v>
      </c>
      <c r="ACC135" s="28">
        <f t="shared" si="82"/>
        <v>0</v>
      </c>
      <c r="ACQ135" s="15">
        <f t="shared" si="83"/>
        <v>0</v>
      </c>
      <c r="ADA135" s="15">
        <f t="shared" si="84"/>
        <v>0</v>
      </c>
      <c r="ADM135" s="15">
        <f t="shared" si="85"/>
        <v>0</v>
      </c>
      <c r="AEI135" s="15">
        <f t="shared" si="86"/>
        <v>0</v>
      </c>
    </row>
    <row r="136" spans="1:815" x14ac:dyDescent="0.25">
      <c r="A136" t="s">
        <v>2062</v>
      </c>
      <c r="B136" s="3" t="s">
        <v>212</v>
      </c>
      <c r="C136" t="s">
        <v>213</v>
      </c>
      <c r="D136">
        <v>47</v>
      </c>
      <c r="E136" t="s">
        <v>14</v>
      </c>
      <c r="F136" t="s">
        <v>9</v>
      </c>
      <c r="G136" t="s">
        <v>9</v>
      </c>
      <c r="H136" t="s">
        <v>253</v>
      </c>
      <c r="I136" t="s">
        <v>243</v>
      </c>
      <c r="J136" t="s">
        <v>257</v>
      </c>
      <c r="L136" t="s">
        <v>1612</v>
      </c>
      <c r="M136">
        <v>84</v>
      </c>
      <c r="N136">
        <v>170</v>
      </c>
      <c r="O136" t="s">
        <v>1099</v>
      </c>
      <c r="T136" t="s">
        <v>1613</v>
      </c>
      <c r="V136" t="s">
        <v>1611</v>
      </c>
      <c r="W136" t="s">
        <v>1614</v>
      </c>
      <c r="BA136" s="15">
        <f t="shared" si="58"/>
        <v>0</v>
      </c>
      <c r="CB136" s="15">
        <f t="shared" si="59"/>
        <v>0</v>
      </c>
      <c r="DE136" s="15">
        <f t="shared" si="60"/>
        <v>0</v>
      </c>
      <c r="DS136" s="15">
        <f t="shared" si="61"/>
        <v>0</v>
      </c>
      <c r="EF136" s="15">
        <f t="shared" si="62"/>
        <v>0</v>
      </c>
      <c r="EG136">
        <v>6400</v>
      </c>
      <c r="EH136">
        <v>8700</v>
      </c>
      <c r="FI136" s="15">
        <f t="shared" si="63"/>
        <v>2</v>
      </c>
      <c r="FJ136">
        <v>16</v>
      </c>
      <c r="HY136" s="15">
        <f t="shared" si="64"/>
        <v>1</v>
      </c>
      <c r="HZ136">
        <v>26</v>
      </c>
      <c r="KM136" s="15">
        <f t="shared" si="65"/>
        <v>1</v>
      </c>
      <c r="KN136">
        <v>27</v>
      </c>
      <c r="MZ136" s="15">
        <f t="shared" si="66"/>
        <v>1</v>
      </c>
      <c r="NA136">
        <v>299</v>
      </c>
      <c r="OQ136" s="15">
        <f t="shared" si="67"/>
        <v>1</v>
      </c>
      <c r="OW136" s="28">
        <f t="shared" si="68"/>
        <v>0</v>
      </c>
      <c r="RD136" s="15">
        <f t="shared" si="69"/>
        <v>0</v>
      </c>
      <c r="RU136" s="15">
        <f t="shared" si="70"/>
        <v>0</v>
      </c>
      <c r="UE136" s="15">
        <f t="shared" si="71"/>
        <v>0</v>
      </c>
      <c r="VJ136" s="15">
        <f t="shared" si="72"/>
        <v>0</v>
      </c>
      <c r="WM136" s="15">
        <f t="shared" si="73"/>
        <v>0</v>
      </c>
      <c r="XH136" s="15">
        <f t="shared" si="74"/>
        <v>0</v>
      </c>
      <c r="YD136" s="15">
        <f t="shared" si="75"/>
        <v>0</v>
      </c>
      <c r="YX136" s="15">
        <f t="shared" si="76"/>
        <v>0</v>
      </c>
      <c r="ZR136" s="15">
        <f t="shared" si="77"/>
        <v>0</v>
      </c>
      <c r="ZX136" s="15">
        <f t="shared" si="78"/>
        <v>0</v>
      </c>
      <c r="AAT136" s="15">
        <f t="shared" si="79"/>
        <v>0</v>
      </c>
      <c r="ABQ136" s="15">
        <f t="shared" si="80"/>
        <v>0</v>
      </c>
      <c r="ABV136" s="28">
        <f t="shared" si="81"/>
        <v>0</v>
      </c>
      <c r="ACC136" s="28">
        <f t="shared" si="82"/>
        <v>0</v>
      </c>
      <c r="ACQ136" s="15">
        <f t="shared" si="83"/>
        <v>0</v>
      </c>
      <c r="ADA136" s="15">
        <f t="shared" si="84"/>
        <v>0</v>
      </c>
      <c r="ADM136" s="15">
        <f t="shared" si="85"/>
        <v>0</v>
      </c>
      <c r="AEI136" s="15">
        <f t="shared" si="86"/>
        <v>0</v>
      </c>
    </row>
    <row r="137" spans="1:815" x14ac:dyDescent="0.25">
      <c r="A137" t="s">
        <v>2066</v>
      </c>
      <c r="B137" s="2" t="s">
        <v>214</v>
      </c>
      <c r="C137" t="s">
        <v>215</v>
      </c>
      <c r="D137">
        <v>56</v>
      </c>
      <c r="E137" t="s">
        <v>14</v>
      </c>
      <c r="F137" t="s">
        <v>9</v>
      </c>
      <c r="G137" t="s">
        <v>9</v>
      </c>
      <c r="H137" t="s">
        <v>268</v>
      </c>
      <c r="I137" t="s">
        <v>243</v>
      </c>
      <c r="J137" t="s">
        <v>257</v>
      </c>
      <c r="L137" t="s">
        <v>314</v>
      </c>
      <c r="M137">
        <v>80</v>
      </c>
      <c r="N137">
        <v>172</v>
      </c>
      <c r="O137">
        <v>27</v>
      </c>
      <c r="Q137" s="10" t="s">
        <v>1618</v>
      </c>
      <c r="S137" t="s">
        <v>1620</v>
      </c>
      <c r="T137" t="s">
        <v>1615</v>
      </c>
      <c r="U137" t="s">
        <v>1619</v>
      </c>
      <c r="V137" t="s">
        <v>1616</v>
      </c>
      <c r="W137" t="s">
        <v>1617</v>
      </c>
      <c r="BA137" s="15">
        <f t="shared" si="58"/>
        <v>0</v>
      </c>
      <c r="CB137" s="15">
        <f t="shared" si="59"/>
        <v>0</v>
      </c>
      <c r="DE137" s="15">
        <f t="shared" si="60"/>
        <v>0</v>
      </c>
      <c r="DS137" s="15">
        <f t="shared" si="61"/>
        <v>0</v>
      </c>
      <c r="EF137" s="15">
        <f t="shared" si="62"/>
        <v>0</v>
      </c>
      <c r="FI137" s="15">
        <f t="shared" si="63"/>
        <v>0</v>
      </c>
      <c r="HY137" s="15">
        <f t="shared" si="64"/>
        <v>0</v>
      </c>
      <c r="KM137" s="15">
        <f t="shared" si="65"/>
        <v>0</v>
      </c>
      <c r="KN137" t="s">
        <v>1952</v>
      </c>
      <c r="MZ137" s="15">
        <f t="shared" si="66"/>
        <v>1</v>
      </c>
      <c r="OQ137" s="15">
        <f t="shared" si="67"/>
        <v>0</v>
      </c>
      <c r="OW137" s="28">
        <f t="shared" si="68"/>
        <v>0</v>
      </c>
      <c r="RD137" s="15">
        <f t="shared" si="69"/>
        <v>0</v>
      </c>
      <c r="RU137" s="15">
        <f t="shared" si="70"/>
        <v>0</v>
      </c>
      <c r="UE137" s="15">
        <f t="shared" si="71"/>
        <v>0</v>
      </c>
      <c r="VJ137" s="15">
        <f t="shared" si="72"/>
        <v>0</v>
      </c>
      <c r="WM137" s="15">
        <f t="shared" si="73"/>
        <v>0</v>
      </c>
      <c r="XH137" s="15">
        <f t="shared" si="74"/>
        <v>0</v>
      </c>
      <c r="YD137" s="15">
        <f t="shared" si="75"/>
        <v>0</v>
      </c>
      <c r="YX137" s="15">
        <f t="shared" si="76"/>
        <v>0</v>
      </c>
      <c r="ZR137" s="15">
        <f t="shared" si="77"/>
        <v>0</v>
      </c>
      <c r="ZX137" s="15">
        <f t="shared" si="78"/>
        <v>0</v>
      </c>
      <c r="AAT137" s="15">
        <f t="shared" si="79"/>
        <v>0</v>
      </c>
      <c r="ABQ137" s="15">
        <f t="shared" si="80"/>
        <v>0</v>
      </c>
      <c r="ABV137" s="28">
        <f t="shared" si="81"/>
        <v>0</v>
      </c>
      <c r="ACC137" s="28">
        <f t="shared" si="82"/>
        <v>0</v>
      </c>
      <c r="ACQ137" s="15">
        <f t="shared" si="83"/>
        <v>0</v>
      </c>
      <c r="ADA137" s="15">
        <f t="shared" si="84"/>
        <v>0</v>
      </c>
      <c r="ADM137" s="15">
        <f t="shared" si="85"/>
        <v>0</v>
      </c>
      <c r="AEI137" s="15">
        <f t="shared" si="86"/>
        <v>0</v>
      </c>
    </row>
    <row r="138" spans="1:815" x14ac:dyDescent="0.25">
      <c r="A138" t="s">
        <v>2066</v>
      </c>
      <c r="B138" s="2" t="s">
        <v>216</v>
      </c>
      <c r="C138" t="s">
        <v>217</v>
      </c>
      <c r="D138">
        <v>58</v>
      </c>
      <c r="E138" t="s">
        <v>8</v>
      </c>
      <c r="F138" t="s">
        <v>9</v>
      </c>
      <c r="G138" t="s">
        <v>9</v>
      </c>
      <c r="H138" t="s">
        <v>298</v>
      </c>
      <c r="I138" t="s">
        <v>243</v>
      </c>
      <c r="J138" t="s">
        <v>257</v>
      </c>
      <c r="L138" t="s">
        <v>314</v>
      </c>
      <c r="M138">
        <v>60</v>
      </c>
      <c r="N138">
        <v>163</v>
      </c>
      <c r="O138" t="s">
        <v>1092</v>
      </c>
      <c r="P138" t="s">
        <v>1624</v>
      </c>
      <c r="Q138" s="10" t="s">
        <v>1624</v>
      </c>
      <c r="R138" t="s">
        <v>1625</v>
      </c>
      <c r="S138" t="s">
        <v>1250</v>
      </c>
      <c r="T138" t="s">
        <v>1621</v>
      </c>
      <c r="V138" t="s">
        <v>1622</v>
      </c>
      <c r="W138" t="s">
        <v>1623</v>
      </c>
      <c r="BA138" s="15">
        <f t="shared" si="58"/>
        <v>0</v>
      </c>
      <c r="CB138" s="15">
        <f t="shared" si="59"/>
        <v>0</v>
      </c>
      <c r="DE138" s="15">
        <f t="shared" si="60"/>
        <v>0</v>
      </c>
      <c r="DS138" s="15">
        <f t="shared" si="61"/>
        <v>0</v>
      </c>
      <c r="EF138" s="15">
        <f t="shared" si="62"/>
        <v>0</v>
      </c>
      <c r="FI138" s="15">
        <f t="shared" si="63"/>
        <v>0</v>
      </c>
      <c r="HY138" s="15">
        <f t="shared" si="64"/>
        <v>0</v>
      </c>
      <c r="HZ138">
        <v>30</v>
      </c>
      <c r="KM138" s="15">
        <f t="shared" si="65"/>
        <v>1</v>
      </c>
      <c r="KN138">
        <v>72</v>
      </c>
      <c r="MZ138" s="15">
        <f t="shared" si="66"/>
        <v>1</v>
      </c>
      <c r="OQ138" s="15">
        <f t="shared" si="67"/>
        <v>0</v>
      </c>
      <c r="OW138" s="28">
        <f t="shared" si="68"/>
        <v>0</v>
      </c>
      <c r="RD138" s="15">
        <f t="shared" si="69"/>
        <v>0</v>
      </c>
      <c r="RU138" s="15">
        <f t="shared" si="70"/>
        <v>0</v>
      </c>
      <c r="UE138" s="15">
        <f t="shared" si="71"/>
        <v>0</v>
      </c>
      <c r="VJ138" s="15">
        <f t="shared" si="72"/>
        <v>0</v>
      </c>
      <c r="WM138" s="15">
        <f t="shared" si="73"/>
        <v>0</v>
      </c>
      <c r="XH138" s="15">
        <f t="shared" si="74"/>
        <v>0</v>
      </c>
      <c r="YD138" s="15">
        <f t="shared" si="75"/>
        <v>0</v>
      </c>
      <c r="YX138" s="15">
        <f t="shared" si="76"/>
        <v>0</v>
      </c>
      <c r="ZR138" s="15">
        <f t="shared" si="77"/>
        <v>0</v>
      </c>
      <c r="ZX138" s="15">
        <f t="shared" si="78"/>
        <v>0</v>
      </c>
      <c r="AAT138" s="15">
        <f t="shared" si="79"/>
        <v>0</v>
      </c>
      <c r="ABQ138" s="15">
        <f t="shared" si="80"/>
        <v>0</v>
      </c>
      <c r="ABV138" s="28">
        <f t="shared" si="81"/>
        <v>0</v>
      </c>
      <c r="ACC138" s="28">
        <f t="shared" si="82"/>
        <v>0</v>
      </c>
      <c r="ACQ138" s="15">
        <f t="shared" si="83"/>
        <v>0</v>
      </c>
      <c r="ADA138" s="15">
        <f t="shared" si="84"/>
        <v>0</v>
      </c>
      <c r="ADM138" s="15">
        <f t="shared" si="85"/>
        <v>0</v>
      </c>
      <c r="AEI138" s="15">
        <f t="shared" si="86"/>
        <v>0</v>
      </c>
    </row>
    <row r="139" spans="1:815" x14ac:dyDescent="0.25">
      <c r="A139" t="s">
        <v>2066</v>
      </c>
      <c r="B139" s="3" t="s">
        <v>218</v>
      </c>
      <c r="C139" t="s">
        <v>219</v>
      </c>
      <c r="D139">
        <v>15</v>
      </c>
      <c r="E139" t="s">
        <v>14</v>
      </c>
      <c r="F139" t="s">
        <v>9</v>
      </c>
      <c r="G139" t="s">
        <v>9</v>
      </c>
      <c r="H139" t="s">
        <v>253</v>
      </c>
      <c r="I139" t="s">
        <v>243</v>
      </c>
      <c r="J139" t="s">
        <v>257</v>
      </c>
      <c r="L139" t="s">
        <v>332</v>
      </c>
      <c r="T139" t="s">
        <v>1626</v>
      </c>
      <c r="V139" t="s">
        <v>1627</v>
      </c>
      <c r="W139" t="s">
        <v>1628</v>
      </c>
      <c r="BA139" s="15">
        <f t="shared" si="58"/>
        <v>0</v>
      </c>
      <c r="CB139" s="15">
        <f t="shared" si="59"/>
        <v>0</v>
      </c>
      <c r="DE139" s="15">
        <f t="shared" si="60"/>
        <v>0</v>
      </c>
      <c r="DS139" s="15">
        <f t="shared" si="61"/>
        <v>0</v>
      </c>
      <c r="EF139" s="15">
        <f t="shared" si="62"/>
        <v>0</v>
      </c>
      <c r="FE139">
        <v>14800</v>
      </c>
      <c r="FI139" s="15">
        <f t="shared" si="63"/>
        <v>1</v>
      </c>
      <c r="HY139" s="15">
        <f t="shared" si="64"/>
        <v>0</v>
      </c>
      <c r="HZ139">
        <v>37</v>
      </c>
      <c r="KM139" s="15">
        <f t="shared" si="65"/>
        <v>1</v>
      </c>
      <c r="MZ139" s="15">
        <f t="shared" si="66"/>
        <v>0</v>
      </c>
      <c r="NA139">
        <v>284</v>
      </c>
      <c r="OQ139" s="15">
        <f t="shared" si="67"/>
        <v>1</v>
      </c>
      <c r="OR139" s="25">
        <v>9</v>
      </c>
      <c r="OW139" s="28">
        <f t="shared" si="68"/>
        <v>1</v>
      </c>
      <c r="RD139" s="15">
        <f t="shared" si="69"/>
        <v>0</v>
      </c>
      <c r="RU139" s="15">
        <f t="shared" si="70"/>
        <v>0</v>
      </c>
      <c r="UE139" s="15">
        <f t="shared" si="71"/>
        <v>0</v>
      </c>
      <c r="VJ139" s="15">
        <f t="shared" si="72"/>
        <v>0</v>
      </c>
      <c r="WM139" s="15">
        <f t="shared" si="73"/>
        <v>0</v>
      </c>
      <c r="XH139" s="15">
        <f t="shared" si="74"/>
        <v>0</v>
      </c>
      <c r="YD139" s="15">
        <f t="shared" si="75"/>
        <v>0</v>
      </c>
      <c r="YX139" s="15">
        <f t="shared" si="76"/>
        <v>0</v>
      </c>
      <c r="ZR139" s="15">
        <f t="shared" si="77"/>
        <v>0</v>
      </c>
      <c r="ZX139" s="15">
        <f t="shared" si="78"/>
        <v>0</v>
      </c>
      <c r="AAT139" s="15">
        <f t="shared" si="79"/>
        <v>0</v>
      </c>
      <c r="ABQ139" s="15">
        <f t="shared" si="80"/>
        <v>0</v>
      </c>
      <c r="ABV139" s="28">
        <f t="shared" si="81"/>
        <v>0</v>
      </c>
      <c r="ACC139" s="28">
        <f t="shared" si="82"/>
        <v>0</v>
      </c>
      <c r="ACQ139" s="15">
        <f t="shared" si="83"/>
        <v>0</v>
      </c>
      <c r="ADA139" s="15">
        <f t="shared" si="84"/>
        <v>0</v>
      </c>
      <c r="ADM139" s="15">
        <f t="shared" si="85"/>
        <v>0</v>
      </c>
      <c r="AEI139" s="15">
        <f t="shared" si="86"/>
        <v>0</v>
      </c>
    </row>
    <row r="140" spans="1:815" x14ac:dyDescent="0.25">
      <c r="A140" t="s">
        <v>2066</v>
      </c>
      <c r="B140" s="2" t="s">
        <v>220</v>
      </c>
      <c r="C140" t="s">
        <v>221</v>
      </c>
      <c r="D140">
        <v>4</v>
      </c>
      <c r="E140" t="s">
        <v>8</v>
      </c>
      <c r="F140" t="s">
        <v>9</v>
      </c>
      <c r="G140" t="s">
        <v>9</v>
      </c>
      <c r="H140" t="s">
        <v>253</v>
      </c>
      <c r="I140" t="s">
        <v>243</v>
      </c>
      <c r="J140" t="s">
        <v>257</v>
      </c>
      <c r="L140" t="s">
        <v>333</v>
      </c>
      <c r="M140">
        <v>21</v>
      </c>
      <c r="N140">
        <v>110</v>
      </c>
      <c r="T140" t="s">
        <v>1630</v>
      </c>
      <c r="U140" t="s">
        <v>1631</v>
      </c>
      <c r="V140" t="s">
        <v>1632</v>
      </c>
      <c r="W140" t="s">
        <v>1633</v>
      </c>
      <c r="BA140" s="15">
        <f t="shared" si="58"/>
        <v>0</v>
      </c>
      <c r="CB140" s="15">
        <f t="shared" si="59"/>
        <v>0</v>
      </c>
      <c r="DE140" s="15">
        <f t="shared" si="60"/>
        <v>0</v>
      </c>
      <c r="DS140" s="15">
        <f t="shared" si="61"/>
        <v>0</v>
      </c>
      <c r="EF140" s="15">
        <f t="shared" si="62"/>
        <v>0</v>
      </c>
      <c r="FI140" s="15">
        <f t="shared" si="63"/>
        <v>0</v>
      </c>
      <c r="FJ140">
        <v>31</v>
      </c>
      <c r="HY140" s="15">
        <f t="shared" si="64"/>
        <v>1</v>
      </c>
      <c r="KM140" s="15">
        <f t="shared" si="65"/>
        <v>0</v>
      </c>
      <c r="MZ140" s="15">
        <f t="shared" si="66"/>
        <v>0</v>
      </c>
      <c r="NA140">
        <v>681</v>
      </c>
      <c r="OQ140" s="15">
        <f t="shared" si="67"/>
        <v>1</v>
      </c>
      <c r="OR140" s="25" t="s">
        <v>1063</v>
      </c>
      <c r="OW140" s="28">
        <f t="shared" si="68"/>
        <v>1</v>
      </c>
      <c r="RD140" s="15">
        <f t="shared" si="69"/>
        <v>0</v>
      </c>
      <c r="RU140" s="15">
        <f t="shared" si="70"/>
        <v>0</v>
      </c>
      <c r="UE140" s="15">
        <f t="shared" si="71"/>
        <v>0</v>
      </c>
      <c r="VJ140" s="15">
        <f t="shared" si="72"/>
        <v>0</v>
      </c>
      <c r="WM140" s="15">
        <f t="shared" si="73"/>
        <v>0</v>
      </c>
      <c r="XH140" s="15">
        <f t="shared" si="74"/>
        <v>0</v>
      </c>
      <c r="YD140" s="15">
        <f t="shared" si="75"/>
        <v>0</v>
      </c>
      <c r="YX140" s="15">
        <f t="shared" si="76"/>
        <v>0</v>
      </c>
      <c r="ZR140" s="15">
        <f t="shared" si="77"/>
        <v>0</v>
      </c>
      <c r="ZX140" s="15">
        <f t="shared" si="78"/>
        <v>0</v>
      </c>
      <c r="AAT140" s="15">
        <f t="shared" si="79"/>
        <v>0</v>
      </c>
      <c r="ABQ140" s="15">
        <f t="shared" si="80"/>
        <v>0</v>
      </c>
      <c r="ABV140" s="28">
        <f t="shared" si="81"/>
        <v>0</v>
      </c>
      <c r="ACC140" s="28">
        <f t="shared" si="82"/>
        <v>0</v>
      </c>
      <c r="ACQ140" s="15">
        <f t="shared" si="83"/>
        <v>0</v>
      </c>
      <c r="ADA140" s="15">
        <f t="shared" si="84"/>
        <v>0</v>
      </c>
      <c r="ADM140" s="15">
        <f t="shared" si="85"/>
        <v>0</v>
      </c>
      <c r="AEI140" s="15">
        <f t="shared" si="86"/>
        <v>0</v>
      </c>
    </row>
    <row r="141" spans="1:815" x14ac:dyDescent="0.25">
      <c r="B141" s="2" t="s">
        <v>222</v>
      </c>
      <c r="C141" t="s">
        <v>223</v>
      </c>
      <c r="D141">
        <v>15</v>
      </c>
      <c r="E141" t="s">
        <v>8</v>
      </c>
      <c r="F141" t="s">
        <v>15</v>
      </c>
      <c r="G141" t="s">
        <v>9</v>
      </c>
      <c r="H141" t="s">
        <v>298</v>
      </c>
      <c r="I141" t="s">
        <v>243</v>
      </c>
      <c r="J141" t="s">
        <v>257</v>
      </c>
      <c r="L141" t="s">
        <v>334</v>
      </c>
      <c r="M141">
        <v>54</v>
      </c>
      <c r="N141">
        <v>158</v>
      </c>
      <c r="P141" t="s">
        <v>1637</v>
      </c>
      <c r="Q141">
        <v>24.05</v>
      </c>
      <c r="R141" t="s">
        <v>1625</v>
      </c>
      <c r="S141" t="s">
        <v>1250</v>
      </c>
      <c r="T141" t="s">
        <v>1635</v>
      </c>
      <c r="U141" t="s">
        <v>1636</v>
      </c>
      <c r="W141" t="s">
        <v>1634</v>
      </c>
      <c r="BA141" s="15">
        <f t="shared" si="58"/>
        <v>0</v>
      </c>
      <c r="BB141" t="s">
        <v>1064</v>
      </c>
      <c r="CB141" s="15">
        <f t="shared" si="59"/>
        <v>1</v>
      </c>
      <c r="CC141" t="s">
        <v>1065</v>
      </c>
      <c r="DE141" s="15">
        <f t="shared" si="60"/>
        <v>1</v>
      </c>
      <c r="DS141" s="15">
        <f t="shared" si="61"/>
        <v>0</v>
      </c>
      <c r="EF141" s="15">
        <f t="shared" si="62"/>
        <v>0</v>
      </c>
      <c r="FI141" s="15">
        <f t="shared" si="63"/>
        <v>0</v>
      </c>
      <c r="HY141" s="15">
        <f t="shared" si="64"/>
        <v>0</v>
      </c>
      <c r="KM141" s="15">
        <f t="shared" si="65"/>
        <v>0</v>
      </c>
      <c r="KN141" t="s">
        <v>1953</v>
      </c>
      <c r="MZ141" s="15">
        <f t="shared" si="66"/>
        <v>1</v>
      </c>
      <c r="OQ141" s="15">
        <f t="shared" si="67"/>
        <v>0</v>
      </c>
      <c r="OW141" s="28">
        <f t="shared" si="68"/>
        <v>0</v>
      </c>
      <c r="RD141" s="15">
        <f t="shared" si="69"/>
        <v>0</v>
      </c>
      <c r="RU141" s="15">
        <f t="shared" si="70"/>
        <v>0</v>
      </c>
      <c r="UE141" s="15">
        <f t="shared" si="71"/>
        <v>0</v>
      </c>
      <c r="VJ141" s="15">
        <f t="shared" si="72"/>
        <v>0</v>
      </c>
      <c r="WM141" s="15">
        <f t="shared" si="73"/>
        <v>0</v>
      </c>
      <c r="WN141" t="s">
        <v>1066</v>
      </c>
      <c r="XH141" s="15">
        <f t="shared" si="74"/>
        <v>1</v>
      </c>
      <c r="XI141" t="s">
        <v>1067</v>
      </c>
      <c r="YD141" s="15">
        <f t="shared" si="75"/>
        <v>1</v>
      </c>
      <c r="YX141" s="15">
        <f t="shared" si="76"/>
        <v>0</v>
      </c>
      <c r="ZR141" s="15">
        <f t="shared" si="77"/>
        <v>0</v>
      </c>
      <c r="ZX141" s="15">
        <f t="shared" si="78"/>
        <v>0</v>
      </c>
      <c r="AAT141" s="15">
        <f t="shared" si="79"/>
        <v>0</v>
      </c>
      <c r="ABQ141" s="15">
        <f t="shared" si="80"/>
        <v>0</v>
      </c>
      <c r="ABV141" s="28">
        <f t="shared" si="81"/>
        <v>0</v>
      </c>
      <c r="ACC141" s="28">
        <f t="shared" si="82"/>
        <v>0</v>
      </c>
      <c r="ACQ141" s="15">
        <f t="shared" si="83"/>
        <v>0</v>
      </c>
      <c r="ADA141" s="15">
        <f t="shared" si="84"/>
        <v>0</v>
      </c>
      <c r="ADM141" s="15">
        <f t="shared" si="85"/>
        <v>0</v>
      </c>
      <c r="AEI141" s="15">
        <f t="shared" si="86"/>
        <v>0</v>
      </c>
    </row>
    <row r="142" spans="1:815" x14ac:dyDescent="0.25">
      <c r="A142" t="s">
        <v>2062</v>
      </c>
      <c r="B142" s="3" t="s">
        <v>224</v>
      </c>
      <c r="C142" t="s">
        <v>77</v>
      </c>
      <c r="D142">
        <v>26</v>
      </c>
      <c r="E142" t="s">
        <v>14</v>
      </c>
      <c r="F142" t="s">
        <v>9</v>
      </c>
      <c r="G142" t="s">
        <v>9</v>
      </c>
      <c r="H142" t="s">
        <v>253</v>
      </c>
      <c r="I142" t="s">
        <v>243</v>
      </c>
      <c r="J142" t="s">
        <v>243</v>
      </c>
      <c r="L142" t="s">
        <v>314</v>
      </c>
      <c r="M142">
        <v>80</v>
      </c>
      <c r="P142" t="s">
        <v>1640</v>
      </c>
      <c r="Q142" t="s">
        <v>1641</v>
      </c>
      <c r="R142" t="s">
        <v>1299</v>
      </c>
      <c r="T142" t="s">
        <v>1638</v>
      </c>
      <c r="V142" t="s">
        <v>1639</v>
      </c>
      <c r="W142" t="s">
        <v>1642</v>
      </c>
      <c r="BA142" s="15">
        <f t="shared" si="58"/>
        <v>0</v>
      </c>
      <c r="CB142" s="15">
        <f t="shared" si="59"/>
        <v>0</v>
      </c>
      <c r="DE142" s="15">
        <f t="shared" si="60"/>
        <v>0</v>
      </c>
      <c r="DS142" s="15">
        <f t="shared" si="61"/>
        <v>0</v>
      </c>
      <c r="EF142" s="15">
        <f t="shared" si="62"/>
        <v>0</v>
      </c>
      <c r="FI142" s="15">
        <f t="shared" si="63"/>
        <v>0</v>
      </c>
      <c r="FJ142">
        <v>740</v>
      </c>
      <c r="HY142" s="15">
        <f t="shared" si="64"/>
        <v>1</v>
      </c>
      <c r="HZ142">
        <v>1020</v>
      </c>
      <c r="KM142" s="15">
        <f t="shared" si="65"/>
        <v>1</v>
      </c>
      <c r="MZ142" s="15">
        <f t="shared" si="66"/>
        <v>0</v>
      </c>
      <c r="OQ142" s="15">
        <f t="shared" si="67"/>
        <v>0</v>
      </c>
      <c r="OW142" s="28">
        <f t="shared" si="68"/>
        <v>0</v>
      </c>
      <c r="RD142" s="15">
        <f t="shared" si="69"/>
        <v>0</v>
      </c>
      <c r="RU142" s="15">
        <f t="shared" si="70"/>
        <v>0</v>
      </c>
      <c r="UE142" s="15">
        <f t="shared" si="71"/>
        <v>0</v>
      </c>
      <c r="VJ142" s="15">
        <f t="shared" si="72"/>
        <v>0</v>
      </c>
      <c r="VK142" t="s">
        <v>1740</v>
      </c>
      <c r="WM142" s="15">
        <f t="shared" si="73"/>
        <v>1</v>
      </c>
      <c r="XH142" s="15">
        <f t="shared" si="74"/>
        <v>0</v>
      </c>
      <c r="YD142" s="15">
        <f t="shared" si="75"/>
        <v>0</v>
      </c>
      <c r="YX142" s="15">
        <f t="shared" si="76"/>
        <v>0</v>
      </c>
      <c r="ZR142" s="15">
        <f t="shared" si="77"/>
        <v>0</v>
      </c>
      <c r="ZX142" s="15">
        <f t="shared" si="78"/>
        <v>0</v>
      </c>
      <c r="ZY142">
        <v>2.36</v>
      </c>
      <c r="AAT142" s="15">
        <f t="shared" si="79"/>
        <v>1</v>
      </c>
      <c r="ABQ142" s="15">
        <f t="shared" si="80"/>
        <v>0</v>
      </c>
      <c r="ABV142" s="28">
        <f t="shared" si="81"/>
        <v>0</v>
      </c>
      <c r="ACC142" s="28">
        <f t="shared" si="82"/>
        <v>0</v>
      </c>
      <c r="ACQ142" s="15">
        <f t="shared" si="83"/>
        <v>0</v>
      </c>
      <c r="ADA142" s="15">
        <f t="shared" si="84"/>
        <v>0</v>
      </c>
      <c r="ADM142" s="15">
        <f t="shared" si="85"/>
        <v>0</v>
      </c>
      <c r="AEI142" s="15">
        <f t="shared" si="86"/>
        <v>0</v>
      </c>
    </row>
    <row r="143" spans="1:815" x14ac:dyDescent="0.25">
      <c r="A143" t="s">
        <v>2066</v>
      </c>
      <c r="B143" s="3" t="s">
        <v>225</v>
      </c>
      <c r="C143" t="s">
        <v>226</v>
      </c>
      <c r="D143">
        <v>2</v>
      </c>
      <c r="E143" t="s">
        <v>14</v>
      </c>
      <c r="F143" t="s">
        <v>15</v>
      </c>
      <c r="G143" t="s">
        <v>9</v>
      </c>
      <c r="H143" t="s">
        <v>252</v>
      </c>
      <c r="I143" t="s">
        <v>243</v>
      </c>
      <c r="J143" t="s">
        <v>257</v>
      </c>
      <c r="L143" t="s">
        <v>314</v>
      </c>
      <c r="M143">
        <v>12</v>
      </c>
      <c r="N143">
        <v>90</v>
      </c>
      <c r="V143" t="s">
        <v>1643</v>
      </c>
      <c r="W143" t="s">
        <v>1461</v>
      </c>
      <c r="BA143" s="15">
        <f t="shared" si="58"/>
        <v>0</v>
      </c>
      <c r="CB143" s="15">
        <f t="shared" si="59"/>
        <v>0</v>
      </c>
      <c r="DE143" s="15">
        <f t="shared" si="60"/>
        <v>0</v>
      </c>
      <c r="DS143" s="15">
        <f t="shared" si="61"/>
        <v>0</v>
      </c>
      <c r="EF143" s="15">
        <f t="shared" si="62"/>
        <v>0</v>
      </c>
      <c r="EG143">
        <v>16500</v>
      </c>
      <c r="FI143" s="15">
        <f t="shared" si="63"/>
        <v>1</v>
      </c>
      <c r="FJ143">
        <v>50</v>
      </c>
      <c r="HY143" s="15">
        <f t="shared" si="64"/>
        <v>1</v>
      </c>
      <c r="HZ143">
        <v>29</v>
      </c>
      <c r="KM143" s="15">
        <f t="shared" si="65"/>
        <v>1</v>
      </c>
      <c r="KN143">
        <v>18</v>
      </c>
      <c r="MZ143" s="15">
        <f t="shared" si="66"/>
        <v>1</v>
      </c>
      <c r="OQ143" s="15">
        <f t="shared" si="67"/>
        <v>0</v>
      </c>
      <c r="OR143" s="25">
        <v>29</v>
      </c>
      <c r="OW143" s="28">
        <f t="shared" si="68"/>
        <v>1</v>
      </c>
      <c r="RD143" s="15">
        <f t="shared" si="69"/>
        <v>0</v>
      </c>
      <c r="RU143" s="15">
        <f t="shared" si="70"/>
        <v>0</v>
      </c>
      <c r="UE143" s="15">
        <f t="shared" si="71"/>
        <v>0</v>
      </c>
      <c r="VJ143" s="15">
        <f t="shared" si="72"/>
        <v>0</v>
      </c>
      <c r="WM143" s="15">
        <f t="shared" si="73"/>
        <v>0</v>
      </c>
      <c r="XH143" s="15">
        <f t="shared" si="74"/>
        <v>0</v>
      </c>
      <c r="YD143" s="15">
        <f t="shared" si="75"/>
        <v>0</v>
      </c>
      <c r="YX143" s="15">
        <f t="shared" si="76"/>
        <v>0</v>
      </c>
      <c r="ZR143" s="15">
        <f t="shared" si="77"/>
        <v>0</v>
      </c>
      <c r="ZX143" s="15">
        <f t="shared" si="78"/>
        <v>0</v>
      </c>
      <c r="AAT143" s="15">
        <f t="shared" si="79"/>
        <v>0</v>
      </c>
      <c r="ABQ143" s="15">
        <f t="shared" si="80"/>
        <v>0</v>
      </c>
      <c r="ABV143" s="28">
        <f t="shared" si="81"/>
        <v>0</v>
      </c>
      <c r="ACC143" s="28">
        <f t="shared" si="82"/>
        <v>0</v>
      </c>
      <c r="ACQ143" s="15">
        <f t="shared" si="83"/>
        <v>0</v>
      </c>
      <c r="ADA143" s="15">
        <f t="shared" si="84"/>
        <v>0</v>
      </c>
      <c r="ADM143" s="15">
        <f t="shared" si="85"/>
        <v>0</v>
      </c>
      <c r="AEI143" s="15">
        <f t="shared" si="86"/>
        <v>0</v>
      </c>
    </row>
    <row r="144" spans="1:815" x14ac:dyDescent="0.25">
      <c r="A144" t="s">
        <v>2064</v>
      </c>
      <c r="B144" s="3" t="s">
        <v>227</v>
      </c>
      <c r="C144" t="s">
        <v>228</v>
      </c>
      <c r="D144">
        <v>34</v>
      </c>
      <c r="E144" t="s">
        <v>8</v>
      </c>
      <c r="F144" t="s">
        <v>9</v>
      </c>
      <c r="G144" t="s">
        <v>9</v>
      </c>
      <c r="H144" t="s">
        <v>245</v>
      </c>
      <c r="I144" t="s">
        <v>243</v>
      </c>
      <c r="J144" t="s">
        <v>257</v>
      </c>
      <c r="L144" t="s">
        <v>314</v>
      </c>
      <c r="V144" t="s">
        <v>1644</v>
      </c>
      <c r="W144" t="s">
        <v>1645</v>
      </c>
      <c r="BA144" s="15">
        <f t="shared" si="58"/>
        <v>0</v>
      </c>
      <c r="CB144" s="15">
        <f t="shared" si="59"/>
        <v>0</v>
      </c>
      <c r="DE144" s="15">
        <f t="shared" si="60"/>
        <v>0</v>
      </c>
      <c r="DS144" s="15">
        <f t="shared" si="61"/>
        <v>0</v>
      </c>
      <c r="EF144" s="15">
        <f t="shared" si="62"/>
        <v>0</v>
      </c>
      <c r="EG144">
        <v>10900</v>
      </c>
      <c r="FI144" s="15">
        <f t="shared" si="63"/>
        <v>1</v>
      </c>
      <c r="FJ144">
        <v>51</v>
      </c>
      <c r="HY144" s="15">
        <f t="shared" si="64"/>
        <v>1</v>
      </c>
      <c r="HZ144">
        <v>147</v>
      </c>
      <c r="KM144" s="15">
        <f t="shared" si="65"/>
        <v>1</v>
      </c>
      <c r="KN144">
        <v>133</v>
      </c>
      <c r="MZ144" s="15">
        <f t="shared" si="66"/>
        <v>1</v>
      </c>
      <c r="NA144">
        <v>131</v>
      </c>
      <c r="OQ144" s="15">
        <f t="shared" si="67"/>
        <v>1</v>
      </c>
      <c r="OR144" s="25">
        <v>15</v>
      </c>
      <c r="OW144" s="28">
        <f t="shared" si="68"/>
        <v>1</v>
      </c>
      <c r="RD144" s="15">
        <f t="shared" si="69"/>
        <v>0</v>
      </c>
      <c r="RU144" s="15">
        <f t="shared" si="70"/>
        <v>0</v>
      </c>
      <c r="UE144" s="15">
        <f t="shared" si="71"/>
        <v>0</v>
      </c>
      <c r="VJ144" s="15">
        <f t="shared" si="72"/>
        <v>0</v>
      </c>
      <c r="WM144" s="15">
        <f t="shared" si="73"/>
        <v>0</v>
      </c>
      <c r="XH144" s="15">
        <f t="shared" si="74"/>
        <v>0</v>
      </c>
      <c r="YD144" s="15">
        <f t="shared" si="75"/>
        <v>0</v>
      </c>
      <c r="YX144" s="15">
        <f t="shared" si="76"/>
        <v>0</v>
      </c>
      <c r="ZR144" s="15">
        <f t="shared" si="77"/>
        <v>0</v>
      </c>
      <c r="ZX144" s="15">
        <f t="shared" si="78"/>
        <v>0</v>
      </c>
      <c r="AAT144" s="15">
        <f t="shared" si="79"/>
        <v>0</v>
      </c>
      <c r="ABQ144" s="15">
        <f t="shared" si="80"/>
        <v>0</v>
      </c>
      <c r="ABV144" s="28">
        <f t="shared" si="81"/>
        <v>0</v>
      </c>
      <c r="ACC144" s="28">
        <f t="shared" si="82"/>
        <v>0</v>
      </c>
      <c r="ACQ144" s="15">
        <f t="shared" si="83"/>
        <v>0</v>
      </c>
      <c r="ADA144" s="15">
        <f t="shared" si="84"/>
        <v>0</v>
      </c>
      <c r="ADM144" s="15">
        <f t="shared" si="85"/>
        <v>0</v>
      </c>
      <c r="AEI144" s="15">
        <f t="shared" si="86"/>
        <v>0</v>
      </c>
    </row>
    <row r="145" spans="1:815" x14ac:dyDescent="0.25">
      <c r="A145" t="s">
        <v>2066</v>
      </c>
      <c r="B145" s="3" t="s">
        <v>229</v>
      </c>
      <c r="C145" t="s">
        <v>230</v>
      </c>
      <c r="D145">
        <v>21</v>
      </c>
      <c r="E145" t="s">
        <v>14</v>
      </c>
      <c r="F145" t="s">
        <v>9</v>
      </c>
      <c r="G145" t="s">
        <v>9</v>
      </c>
      <c r="H145" t="s">
        <v>253</v>
      </c>
      <c r="I145" t="s">
        <v>243</v>
      </c>
      <c r="J145" t="s">
        <v>257</v>
      </c>
      <c r="L145" t="s">
        <v>332</v>
      </c>
      <c r="M145">
        <v>71</v>
      </c>
      <c r="N145">
        <v>184</v>
      </c>
      <c r="O145">
        <v>21</v>
      </c>
      <c r="P145" t="s">
        <v>1648</v>
      </c>
      <c r="Q145" t="s">
        <v>1649</v>
      </c>
      <c r="R145" t="s">
        <v>1299</v>
      </c>
      <c r="T145" t="s">
        <v>1651</v>
      </c>
      <c r="U145" t="s">
        <v>1650</v>
      </c>
      <c r="V145" t="s">
        <v>1646</v>
      </c>
      <c r="W145" t="s">
        <v>1647</v>
      </c>
      <c r="BA145" s="15">
        <f t="shared" si="58"/>
        <v>0</v>
      </c>
      <c r="CB145" s="15">
        <f t="shared" si="59"/>
        <v>0</v>
      </c>
      <c r="DE145" s="15">
        <f t="shared" si="60"/>
        <v>0</v>
      </c>
      <c r="DS145" s="15">
        <f t="shared" si="61"/>
        <v>0</v>
      </c>
      <c r="EF145" s="15">
        <f t="shared" si="62"/>
        <v>0</v>
      </c>
      <c r="FI145" s="15">
        <f t="shared" si="63"/>
        <v>0</v>
      </c>
      <c r="FJ145">
        <v>18</v>
      </c>
      <c r="HY145" s="15">
        <f t="shared" si="64"/>
        <v>1</v>
      </c>
      <c r="HZ145">
        <v>24</v>
      </c>
      <c r="KM145" s="15">
        <f t="shared" si="65"/>
        <v>1</v>
      </c>
      <c r="KN145">
        <v>22</v>
      </c>
      <c r="MZ145" s="15">
        <f t="shared" si="66"/>
        <v>1</v>
      </c>
      <c r="OQ145" s="15">
        <f t="shared" si="67"/>
        <v>0</v>
      </c>
      <c r="OR145" s="25">
        <v>9</v>
      </c>
      <c r="OW145" s="28">
        <f t="shared" si="68"/>
        <v>1</v>
      </c>
      <c r="RD145" s="15">
        <f t="shared" si="69"/>
        <v>0</v>
      </c>
      <c r="RU145" s="15">
        <f t="shared" si="70"/>
        <v>0</v>
      </c>
      <c r="UE145" s="15">
        <f t="shared" si="71"/>
        <v>0</v>
      </c>
      <c r="VJ145" s="15">
        <f t="shared" si="72"/>
        <v>0</v>
      </c>
      <c r="WM145" s="15">
        <f t="shared" si="73"/>
        <v>0</v>
      </c>
      <c r="XH145" s="15">
        <f t="shared" si="74"/>
        <v>0</v>
      </c>
      <c r="YD145" s="15">
        <f t="shared" si="75"/>
        <v>0</v>
      </c>
      <c r="YX145" s="15">
        <f t="shared" si="76"/>
        <v>0</v>
      </c>
      <c r="ZR145" s="15">
        <f t="shared" si="77"/>
        <v>0</v>
      </c>
      <c r="ZX145" s="15">
        <f t="shared" si="78"/>
        <v>0</v>
      </c>
      <c r="AAT145" s="15">
        <f t="shared" si="79"/>
        <v>0</v>
      </c>
      <c r="ABQ145" s="15">
        <f t="shared" si="80"/>
        <v>0</v>
      </c>
      <c r="ABV145" s="28">
        <f t="shared" si="81"/>
        <v>0</v>
      </c>
      <c r="ACC145" s="28">
        <f t="shared" si="82"/>
        <v>0</v>
      </c>
      <c r="ACQ145" s="15">
        <f t="shared" si="83"/>
        <v>0</v>
      </c>
      <c r="ADA145" s="15">
        <f t="shared" si="84"/>
        <v>0</v>
      </c>
      <c r="ADM145" s="15">
        <f t="shared" si="85"/>
        <v>0</v>
      </c>
      <c r="AEI145" s="15">
        <f t="shared" si="86"/>
        <v>0</v>
      </c>
    </row>
    <row r="146" spans="1:815" x14ac:dyDescent="0.25">
      <c r="A146" t="s">
        <v>2066</v>
      </c>
      <c r="B146" s="2" t="s">
        <v>231</v>
      </c>
      <c r="C146" t="s">
        <v>7</v>
      </c>
      <c r="D146">
        <v>50</v>
      </c>
      <c r="E146" t="s">
        <v>8</v>
      </c>
      <c r="F146" t="s">
        <v>9</v>
      </c>
      <c r="G146" t="s">
        <v>9</v>
      </c>
      <c r="H146" t="s">
        <v>299</v>
      </c>
      <c r="I146" t="s">
        <v>243</v>
      </c>
      <c r="J146" t="s">
        <v>257</v>
      </c>
      <c r="L146" t="s">
        <v>1658</v>
      </c>
      <c r="M146">
        <v>80</v>
      </c>
      <c r="N146">
        <v>173</v>
      </c>
      <c r="O146" t="s">
        <v>1100</v>
      </c>
      <c r="P146" t="s">
        <v>1653</v>
      </c>
      <c r="Q146" t="s">
        <v>1654</v>
      </c>
      <c r="R146" t="s">
        <v>1299</v>
      </c>
      <c r="S146" t="s">
        <v>1655</v>
      </c>
      <c r="T146" t="s">
        <v>1629</v>
      </c>
      <c r="U146" t="s">
        <v>1656</v>
      </c>
      <c r="V146" t="s">
        <v>1652</v>
      </c>
      <c r="W146" t="s">
        <v>1657</v>
      </c>
      <c r="BA146" s="15">
        <f t="shared" si="58"/>
        <v>0</v>
      </c>
      <c r="CB146" s="15">
        <f t="shared" si="59"/>
        <v>0</v>
      </c>
      <c r="DE146" s="15">
        <f t="shared" si="60"/>
        <v>0</v>
      </c>
      <c r="DS146" s="15">
        <f t="shared" si="61"/>
        <v>0</v>
      </c>
      <c r="EF146" s="15">
        <f t="shared" si="62"/>
        <v>0</v>
      </c>
      <c r="EG146">
        <v>10100</v>
      </c>
      <c r="FI146" s="15">
        <f t="shared" si="63"/>
        <v>1</v>
      </c>
      <c r="FJ146">
        <v>1425</v>
      </c>
      <c r="HY146" s="15">
        <f t="shared" si="64"/>
        <v>1</v>
      </c>
      <c r="HZ146">
        <v>2888</v>
      </c>
      <c r="KM146" s="15">
        <f t="shared" si="65"/>
        <v>1</v>
      </c>
      <c r="KN146">
        <v>167</v>
      </c>
      <c r="MZ146" s="15">
        <f t="shared" si="66"/>
        <v>1</v>
      </c>
      <c r="NA146">
        <v>2013</v>
      </c>
      <c r="OQ146" s="15">
        <f t="shared" si="67"/>
        <v>1</v>
      </c>
      <c r="OW146" s="28">
        <f t="shared" si="68"/>
        <v>0</v>
      </c>
      <c r="RD146" s="15">
        <f t="shared" si="69"/>
        <v>0</v>
      </c>
      <c r="RU146" s="15">
        <f t="shared" si="70"/>
        <v>0</v>
      </c>
      <c r="UE146" s="15">
        <f t="shared" si="71"/>
        <v>0</v>
      </c>
      <c r="VJ146" s="15">
        <f t="shared" si="72"/>
        <v>0</v>
      </c>
      <c r="WM146" s="15">
        <f t="shared" si="73"/>
        <v>0</v>
      </c>
      <c r="XH146" s="15">
        <f t="shared" si="74"/>
        <v>0</v>
      </c>
      <c r="YD146" s="15">
        <f t="shared" si="75"/>
        <v>0</v>
      </c>
      <c r="YX146" s="15">
        <f t="shared" si="76"/>
        <v>0</v>
      </c>
      <c r="ZR146" s="15">
        <f t="shared" si="77"/>
        <v>0</v>
      </c>
      <c r="ZX146" s="15">
        <f t="shared" si="78"/>
        <v>0</v>
      </c>
      <c r="AAT146" s="15">
        <f t="shared" si="79"/>
        <v>0</v>
      </c>
      <c r="ABQ146" s="15">
        <f t="shared" si="80"/>
        <v>0</v>
      </c>
      <c r="ABV146" s="28">
        <f t="shared" si="81"/>
        <v>0</v>
      </c>
      <c r="ACC146" s="28">
        <f t="shared" si="82"/>
        <v>0</v>
      </c>
      <c r="ACQ146" s="15">
        <f t="shared" si="83"/>
        <v>0</v>
      </c>
      <c r="ADA146" s="15">
        <f t="shared" si="84"/>
        <v>0</v>
      </c>
      <c r="ADM146" s="15">
        <f t="shared" si="85"/>
        <v>0</v>
      </c>
      <c r="AEI146" s="15">
        <f t="shared" si="86"/>
        <v>0</v>
      </c>
    </row>
    <row r="147" spans="1:815" x14ac:dyDescent="0.25">
      <c r="A147" t="s">
        <v>2066</v>
      </c>
      <c r="B147" s="3" t="s">
        <v>232</v>
      </c>
      <c r="C147" t="s">
        <v>233</v>
      </c>
      <c r="D147">
        <v>84</v>
      </c>
      <c r="E147" t="s">
        <v>14</v>
      </c>
      <c r="F147" t="s">
        <v>9</v>
      </c>
      <c r="G147" t="s">
        <v>9</v>
      </c>
      <c r="H147" t="s">
        <v>253</v>
      </c>
      <c r="I147" t="s">
        <v>243</v>
      </c>
      <c r="J147" t="s">
        <v>257</v>
      </c>
      <c r="L147" t="s">
        <v>1659</v>
      </c>
      <c r="M147">
        <v>84</v>
      </c>
      <c r="N147">
        <v>178</v>
      </c>
      <c r="O147" t="s">
        <v>1101</v>
      </c>
      <c r="P147" t="s">
        <v>1661</v>
      </c>
      <c r="Q147" t="s">
        <v>1661</v>
      </c>
      <c r="R147" t="s">
        <v>1133</v>
      </c>
      <c r="T147" t="s">
        <v>1664</v>
      </c>
      <c r="U147" t="s">
        <v>1663</v>
      </c>
      <c r="V147" t="s">
        <v>1660</v>
      </c>
      <c r="W147" t="s">
        <v>1662</v>
      </c>
      <c r="BA147" s="15">
        <f t="shared" si="58"/>
        <v>0</v>
      </c>
      <c r="CB147" s="15">
        <f t="shared" si="59"/>
        <v>0</v>
      </c>
      <c r="DE147" s="15">
        <f t="shared" si="60"/>
        <v>0</v>
      </c>
      <c r="DS147" s="15">
        <f t="shared" si="61"/>
        <v>0</v>
      </c>
      <c r="EF147" s="15">
        <f t="shared" si="62"/>
        <v>0</v>
      </c>
      <c r="FI147" s="15">
        <f t="shared" si="63"/>
        <v>0</v>
      </c>
      <c r="FJ147">
        <v>21</v>
      </c>
      <c r="HY147" s="15">
        <f t="shared" si="64"/>
        <v>1</v>
      </c>
      <c r="IC147">
        <v>48</v>
      </c>
      <c r="KM147" s="15">
        <f t="shared" si="65"/>
        <v>1</v>
      </c>
      <c r="KP147">
        <v>53</v>
      </c>
      <c r="MZ147" s="15">
        <f t="shared" si="66"/>
        <v>1</v>
      </c>
      <c r="ND147">
        <v>226</v>
      </c>
      <c r="OQ147" s="15">
        <f t="shared" si="67"/>
        <v>1</v>
      </c>
      <c r="OW147" s="28">
        <f t="shared" si="68"/>
        <v>0</v>
      </c>
      <c r="RD147" s="15">
        <f t="shared" si="69"/>
        <v>0</v>
      </c>
      <c r="RU147" s="15">
        <f t="shared" si="70"/>
        <v>0</v>
      </c>
      <c r="UE147" s="15">
        <f t="shared" si="71"/>
        <v>0</v>
      </c>
      <c r="VJ147" s="15">
        <f t="shared" si="72"/>
        <v>0</v>
      </c>
      <c r="WM147" s="15">
        <f t="shared" si="73"/>
        <v>0</v>
      </c>
      <c r="XH147" s="15">
        <f t="shared" si="74"/>
        <v>0</v>
      </c>
      <c r="YD147" s="15">
        <f t="shared" si="75"/>
        <v>0</v>
      </c>
      <c r="YX147" s="15">
        <f t="shared" si="76"/>
        <v>0</v>
      </c>
      <c r="ZR147" s="15">
        <f t="shared" si="77"/>
        <v>0</v>
      </c>
      <c r="ZX147" s="15">
        <f t="shared" si="78"/>
        <v>0</v>
      </c>
      <c r="AAT147" s="15">
        <f t="shared" si="79"/>
        <v>0</v>
      </c>
      <c r="ABQ147" s="15">
        <f t="shared" si="80"/>
        <v>0</v>
      </c>
      <c r="ABV147" s="28">
        <f t="shared" si="81"/>
        <v>0</v>
      </c>
      <c r="ACC147" s="28">
        <f t="shared" si="82"/>
        <v>0</v>
      </c>
      <c r="ACQ147" s="15">
        <f t="shared" si="83"/>
        <v>0</v>
      </c>
      <c r="ADA147" s="15">
        <f t="shared" si="84"/>
        <v>0</v>
      </c>
      <c r="ADM147" s="15">
        <f t="shared" si="85"/>
        <v>0</v>
      </c>
      <c r="AEI147" s="15">
        <f t="shared" si="86"/>
        <v>0</v>
      </c>
    </row>
    <row r="148" spans="1:815" x14ac:dyDescent="0.25">
      <c r="A148" t="s">
        <v>2066</v>
      </c>
      <c r="B148" s="3" t="s">
        <v>234</v>
      </c>
      <c r="C148" t="s">
        <v>235</v>
      </c>
      <c r="D148">
        <v>54</v>
      </c>
      <c r="E148" t="s">
        <v>8</v>
      </c>
      <c r="F148" t="s">
        <v>9</v>
      </c>
      <c r="G148" t="s">
        <v>9</v>
      </c>
      <c r="H148" t="s">
        <v>253</v>
      </c>
      <c r="I148" t="s">
        <v>243</v>
      </c>
      <c r="J148" t="s">
        <v>257</v>
      </c>
      <c r="L148" t="s">
        <v>314</v>
      </c>
      <c r="M148">
        <v>52</v>
      </c>
      <c r="N148">
        <v>163</v>
      </c>
      <c r="O148" t="s">
        <v>1102</v>
      </c>
      <c r="P148" t="s">
        <v>1669</v>
      </c>
      <c r="Q148" t="s">
        <v>1670</v>
      </c>
      <c r="R148" t="s">
        <v>1171</v>
      </c>
      <c r="T148" t="s">
        <v>1667</v>
      </c>
      <c r="U148" t="s">
        <v>1668</v>
      </c>
      <c r="V148" t="s">
        <v>1665</v>
      </c>
      <c r="W148" t="s">
        <v>1666</v>
      </c>
      <c r="BA148" s="15">
        <f t="shared" si="58"/>
        <v>0</v>
      </c>
      <c r="CB148" s="15">
        <f t="shared" si="59"/>
        <v>0</v>
      </c>
      <c r="DE148" s="15">
        <f t="shared" si="60"/>
        <v>0</v>
      </c>
      <c r="DS148" s="15">
        <f t="shared" si="61"/>
        <v>0</v>
      </c>
      <c r="EF148" s="15">
        <f t="shared" si="62"/>
        <v>0</v>
      </c>
      <c r="EG148">
        <v>12700</v>
      </c>
      <c r="FI148" s="15">
        <f t="shared" si="63"/>
        <v>1</v>
      </c>
      <c r="GH148">
        <v>21</v>
      </c>
      <c r="HY148" s="15">
        <f t="shared" si="64"/>
        <v>1</v>
      </c>
      <c r="IW148">
        <v>27</v>
      </c>
      <c r="KM148" s="15">
        <f t="shared" si="65"/>
        <v>1</v>
      </c>
      <c r="LI148">
        <v>162</v>
      </c>
      <c r="MZ148" s="15">
        <f t="shared" si="66"/>
        <v>1</v>
      </c>
      <c r="NA148">
        <v>178</v>
      </c>
      <c r="OQ148" s="15">
        <f t="shared" si="67"/>
        <v>1</v>
      </c>
      <c r="OR148" s="25">
        <v>9</v>
      </c>
      <c r="OW148" s="28">
        <f t="shared" si="68"/>
        <v>1</v>
      </c>
      <c r="RD148" s="15">
        <f t="shared" si="69"/>
        <v>0</v>
      </c>
      <c r="RU148" s="15">
        <f t="shared" si="70"/>
        <v>0</v>
      </c>
      <c r="UE148" s="15">
        <f t="shared" si="71"/>
        <v>0</v>
      </c>
      <c r="VJ148" s="15">
        <f t="shared" si="72"/>
        <v>0</v>
      </c>
      <c r="WM148" s="15">
        <f t="shared" si="73"/>
        <v>0</v>
      </c>
      <c r="XH148" s="15">
        <f t="shared" si="74"/>
        <v>0</v>
      </c>
      <c r="YD148" s="15">
        <f t="shared" si="75"/>
        <v>0</v>
      </c>
      <c r="YX148" s="15">
        <f t="shared" si="76"/>
        <v>0</v>
      </c>
      <c r="ZR148" s="15">
        <f t="shared" si="77"/>
        <v>0</v>
      </c>
      <c r="ZX148" s="15">
        <f t="shared" si="78"/>
        <v>0</v>
      </c>
      <c r="AAT148" s="15">
        <f t="shared" si="79"/>
        <v>0</v>
      </c>
      <c r="ABQ148" s="15">
        <f t="shared" si="80"/>
        <v>0</v>
      </c>
      <c r="ABV148" s="28">
        <f t="shared" si="81"/>
        <v>0</v>
      </c>
      <c r="ACC148" s="28">
        <f t="shared" si="82"/>
        <v>0</v>
      </c>
      <c r="ACQ148" s="15">
        <f t="shared" si="83"/>
        <v>0</v>
      </c>
      <c r="ADA148" s="15">
        <f t="shared" si="84"/>
        <v>0</v>
      </c>
      <c r="ADM148" s="15">
        <f t="shared" si="85"/>
        <v>0</v>
      </c>
      <c r="AEI148" s="15">
        <f t="shared" si="86"/>
        <v>0</v>
      </c>
    </row>
    <row r="149" spans="1:815" x14ac:dyDescent="0.25">
      <c r="B149" s="3" t="s">
        <v>236</v>
      </c>
      <c r="C149" t="s">
        <v>237</v>
      </c>
      <c r="D149">
        <v>56</v>
      </c>
      <c r="E149" t="s">
        <v>14</v>
      </c>
      <c r="F149" t="s">
        <v>9</v>
      </c>
      <c r="G149" t="s">
        <v>15</v>
      </c>
      <c r="I149" t="s">
        <v>243</v>
      </c>
      <c r="J149" t="s">
        <v>257</v>
      </c>
      <c r="K149" t="s">
        <v>1394</v>
      </c>
      <c r="L149" t="s">
        <v>310</v>
      </c>
      <c r="T149" t="s">
        <v>1671</v>
      </c>
      <c r="V149" t="s">
        <v>1673</v>
      </c>
      <c r="W149" t="s">
        <v>1672</v>
      </c>
      <c r="BA149" s="15">
        <f t="shared" si="58"/>
        <v>0</v>
      </c>
      <c r="CB149" s="15">
        <f t="shared" si="59"/>
        <v>0</v>
      </c>
      <c r="DE149" s="15">
        <f t="shared" si="60"/>
        <v>0</v>
      </c>
      <c r="DS149" s="15">
        <f t="shared" si="61"/>
        <v>0</v>
      </c>
      <c r="EF149" s="15">
        <f t="shared" si="62"/>
        <v>0</v>
      </c>
      <c r="FI149" s="15">
        <f t="shared" si="63"/>
        <v>0</v>
      </c>
      <c r="HY149" s="15">
        <f t="shared" si="64"/>
        <v>0</v>
      </c>
      <c r="KM149" s="15">
        <f t="shared" si="65"/>
        <v>0</v>
      </c>
      <c r="MZ149" s="15">
        <f t="shared" si="66"/>
        <v>0</v>
      </c>
      <c r="OQ149" s="15">
        <f t="shared" si="67"/>
        <v>0</v>
      </c>
      <c r="OW149" s="28">
        <f t="shared" si="68"/>
        <v>0</v>
      </c>
      <c r="RD149" s="15">
        <f t="shared" si="69"/>
        <v>0</v>
      </c>
      <c r="RU149" s="15">
        <f t="shared" si="70"/>
        <v>0</v>
      </c>
      <c r="UE149" s="15">
        <f t="shared" si="71"/>
        <v>0</v>
      </c>
      <c r="VJ149" s="15">
        <f t="shared" si="72"/>
        <v>0</v>
      </c>
      <c r="WM149" s="15">
        <f t="shared" si="73"/>
        <v>0</v>
      </c>
      <c r="XH149" s="15">
        <f t="shared" si="74"/>
        <v>0</v>
      </c>
      <c r="YD149" s="15">
        <f t="shared" si="75"/>
        <v>0</v>
      </c>
      <c r="YX149" s="15">
        <f t="shared" si="76"/>
        <v>0</v>
      </c>
      <c r="ZR149" s="15">
        <f t="shared" si="77"/>
        <v>0</v>
      </c>
      <c r="ZX149" s="15">
        <f t="shared" si="78"/>
        <v>0</v>
      </c>
      <c r="AAT149" s="15">
        <f t="shared" si="79"/>
        <v>0</v>
      </c>
      <c r="ABQ149" s="15">
        <f t="shared" si="80"/>
        <v>0</v>
      </c>
      <c r="ABV149" s="28">
        <f t="shared" si="81"/>
        <v>0</v>
      </c>
      <c r="ACC149" s="28">
        <f t="shared" si="82"/>
        <v>0</v>
      </c>
      <c r="ACQ149" s="15">
        <f t="shared" si="83"/>
        <v>0</v>
      </c>
      <c r="ADA149" s="15">
        <f t="shared" si="84"/>
        <v>0</v>
      </c>
      <c r="ADM149" s="15">
        <f t="shared" si="85"/>
        <v>0</v>
      </c>
      <c r="AEI149" s="15">
        <f t="shared" si="86"/>
        <v>0</v>
      </c>
    </row>
    <row r="150" spans="1:815" x14ac:dyDescent="0.25">
      <c r="B150" s="3" t="s">
        <v>1322</v>
      </c>
      <c r="E150" t="s">
        <v>8</v>
      </c>
      <c r="J150" t="s">
        <v>243</v>
      </c>
      <c r="L150" t="s">
        <v>310</v>
      </c>
      <c r="R150" t="s">
        <v>1113</v>
      </c>
      <c r="S150" t="s">
        <v>1269</v>
      </c>
      <c r="BA150" s="15">
        <f t="shared" si="58"/>
        <v>0</v>
      </c>
      <c r="CB150" s="15">
        <f t="shared" si="59"/>
        <v>0</v>
      </c>
      <c r="DE150" s="15">
        <f t="shared" si="60"/>
        <v>0</v>
      </c>
      <c r="DS150" s="15">
        <f t="shared" si="61"/>
        <v>0</v>
      </c>
      <c r="EF150" s="15">
        <f t="shared" si="62"/>
        <v>0</v>
      </c>
      <c r="FI150" s="15">
        <f t="shared" si="63"/>
        <v>0</v>
      </c>
      <c r="HY150" s="15">
        <f t="shared" si="64"/>
        <v>0</v>
      </c>
      <c r="KM150" s="15">
        <f t="shared" si="65"/>
        <v>0</v>
      </c>
      <c r="MZ150" s="15">
        <f t="shared" si="66"/>
        <v>0</v>
      </c>
      <c r="OQ150" s="15">
        <f t="shared" si="67"/>
        <v>0</v>
      </c>
      <c r="OW150" s="28">
        <f t="shared" si="68"/>
        <v>0</v>
      </c>
      <c r="RD150" s="15">
        <f t="shared" si="69"/>
        <v>0</v>
      </c>
      <c r="RU150" s="15">
        <f t="shared" si="70"/>
        <v>0</v>
      </c>
      <c r="UE150" s="15">
        <f t="shared" si="71"/>
        <v>0</v>
      </c>
      <c r="VJ150" s="15">
        <f t="shared" si="72"/>
        <v>0</v>
      </c>
      <c r="WM150" s="15">
        <f t="shared" si="73"/>
        <v>0</v>
      </c>
      <c r="XH150" s="15">
        <f t="shared" si="74"/>
        <v>0</v>
      </c>
      <c r="YD150" s="15">
        <f t="shared" si="75"/>
        <v>0</v>
      </c>
      <c r="YX150" s="15">
        <f t="shared" si="76"/>
        <v>0</v>
      </c>
      <c r="ZR150" s="15">
        <f t="shared" si="77"/>
        <v>0</v>
      </c>
      <c r="ZX150" s="15">
        <f t="shared" si="78"/>
        <v>0</v>
      </c>
      <c r="AAT150" s="15">
        <f t="shared" si="79"/>
        <v>0</v>
      </c>
      <c r="ABQ150" s="15">
        <f t="shared" si="80"/>
        <v>0</v>
      </c>
      <c r="ABV150" s="28">
        <f t="shared" si="81"/>
        <v>0</v>
      </c>
      <c r="ACC150" s="28">
        <f t="shared" si="82"/>
        <v>0</v>
      </c>
      <c r="ACQ150" s="15">
        <f t="shared" si="83"/>
        <v>0</v>
      </c>
      <c r="ADA150" s="15">
        <f t="shared" si="84"/>
        <v>0</v>
      </c>
      <c r="ADM150" s="15">
        <f t="shared" si="85"/>
        <v>0</v>
      </c>
      <c r="AEI150" s="15">
        <f t="shared" si="86"/>
        <v>0</v>
      </c>
    </row>
    <row r="151" spans="1:815" x14ac:dyDescent="0.25">
      <c r="B151" s="3" t="s">
        <v>1323</v>
      </c>
      <c r="E151" t="s">
        <v>8</v>
      </c>
      <c r="L151" t="s">
        <v>310</v>
      </c>
      <c r="BA151" s="15">
        <f t="shared" si="58"/>
        <v>0</v>
      </c>
      <c r="CB151" s="15">
        <f t="shared" si="59"/>
        <v>0</v>
      </c>
      <c r="DE151" s="15">
        <f t="shared" si="60"/>
        <v>0</v>
      </c>
      <c r="DS151" s="15">
        <f t="shared" si="61"/>
        <v>0</v>
      </c>
      <c r="EF151" s="15">
        <f t="shared" si="62"/>
        <v>0</v>
      </c>
      <c r="FI151" s="15">
        <f t="shared" si="63"/>
        <v>0</v>
      </c>
      <c r="HY151" s="15">
        <f t="shared" si="64"/>
        <v>0</v>
      </c>
      <c r="KM151" s="15">
        <f t="shared" si="65"/>
        <v>0</v>
      </c>
      <c r="MZ151" s="15">
        <f t="shared" si="66"/>
        <v>0</v>
      </c>
      <c r="OQ151" s="15">
        <f t="shared" si="67"/>
        <v>0</v>
      </c>
      <c r="OW151" s="28">
        <f t="shared" si="68"/>
        <v>0</v>
      </c>
      <c r="RD151" s="15">
        <f t="shared" si="69"/>
        <v>0</v>
      </c>
      <c r="RU151" s="15">
        <f t="shared" si="70"/>
        <v>0</v>
      </c>
      <c r="UE151" s="15">
        <f t="shared" si="71"/>
        <v>0</v>
      </c>
      <c r="VJ151" s="15">
        <f t="shared" si="72"/>
        <v>0</v>
      </c>
      <c r="WM151" s="15">
        <f t="shared" si="73"/>
        <v>0</v>
      </c>
      <c r="XH151" s="15">
        <f t="shared" si="74"/>
        <v>0</v>
      </c>
      <c r="YD151" s="15">
        <f t="shared" si="75"/>
        <v>0</v>
      </c>
      <c r="YX151" s="15">
        <f t="shared" si="76"/>
        <v>0</v>
      </c>
      <c r="ZR151" s="15">
        <f t="shared" si="77"/>
        <v>0</v>
      </c>
      <c r="ZX151" s="15">
        <f t="shared" si="78"/>
        <v>0</v>
      </c>
      <c r="AAT151" s="15">
        <f t="shared" si="79"/>
        <v>0</v>
      </c>
      <c r="ABQ151" s="15">
        <f t="shared" si="80"/>
        <v>0</v>
      </c>
      <c r="ABV151" s="28">
        <f t="shared" si="81"/>
        <v>0</v>
      </c>
      <c r="ACC151" s="28">
        <f t="shared" si="82"/>
        <v>0</v>
      </c>
      <c r="ACQ151" s="15">
        <f t="shared" si="83"/>
        <v>0</v>
      </c>
      <c r="ADA151" s="15">
        <f t="shared" si="84"/>
        <v>0</v>
      </c>
      <c r="ADM151" s="15">
        <f t="shared" si="85"/>
        <v>0</v>
      </c>
      <c r="AEI151" s="15">
        <f t="shared" si="86"/>
        <v>0</v>
      </c>
    </row>
    <row r="152" spans="1:815" x14ac:dyDescent="0.25">
      <c r="B152" s="3" t="s">
        <v>1324</v>
      </c>
      <c r="E152" t="s">
        <v>8</v>
      </c>
      <c r="L152" t="s">
        <v>310</v>
      </c>
      <c r="BA152" s="15">
        <f t="shared" si="58"/>
        <v>0</v>
      </c>
      <c r="CB152" s="15">
        <f t="shared" si="59"/>
        <v>0</v>
      </c>
      <c r="DE152" s="15">
        <f t="shared" si="60"/>
        <v>0</v>
      </c>
      <c r="DS152" s="15">
        <f t="shared" si="61"/>
        <v>0</v>
      </c>
      <c r="EF152" s="15">
        <f t="shared" si="62"/>
        <v>0</v>
      </c>
      <c r="FI152" s="15">
        <f t="shared" si="63"/>
        <v>0</v>
      </c>
      <c r="HY152" s="15">
        <f t="shared" si="64"/>
        <v>0</v>
      </c>
      <c r="KM152" s="15">
        <f t="shared" si="65"/>
        <v>0</v>
      </c>
      <c r="MZ152" s="15">
        <f t="shared" si="66"/>
        <v>0</v>
      </c>
      <c r="OQ152" s="15">
        <f t="shared" si="67"/>
        <v>0</v>
      </c>
      <c r="OW152" s="28">
        <f t="shared" si="68"/>
        <v>0</v>
      </c>
      <c r="RD152" s="15">
        <f t="shared" si="69"/>
        <v>0</v>
      </c>
      <c r="RU152" s="15">
        <f t="shared" si="70"/>
        <v>0</v>
      </c>
      <c r="UE152" s="15">
        <f t="shared" si="71"/>
        <v>0</v>
      </c>
      <c r="VJ152" s="15">
        <f t="shared" si="72"/>
        <v>0</v>
      </c>
      <c r="WM152" s="15">
        <f t="shared" si="73"/>
        <v>0</v>
      </c>
      <c r="XH152" s="15">
        <f t="shared" si="74"/>
        <v>0</v>
      </c>
      <c r="YD152" s="15">
        <f t="shared" si="75"/>
        <v>0</v>
      </c>
      <c r="YX152" s="15">
        <f t="shared" si="76"/>
        <v>0</v>
      </c>
      <c r="ZR152" s="15">
        <f t="shared" si="77"/>
        <v>0</v>
      </c>
      <c r="ZX152" s="15">
        <f t="shared" si="78"/>
        <v>0</v>
      </c>
      <c r="AAT152" s="15">
        <f t="shared" si="79"/>
        <v>0</v>
      </c>
      <c r="ABQ152" s="15">
        <f t="shared" si="80"/>
        <v>0</v>
      </c>
      <c r="ABV152" s="28">
        <f t="shared" si="81"/>
        <v>0</v>
      </c>
      <c r="ACC152" s="28">
        <f t="shared" si="82"/>
        <v>0</v>
      </c>
      <c r="ACQ152" s="15">
        <f t="shared" si="83"/>
        <v>0</v>
      </c>
      <c r="ADA152" s="15">
        <f t="shared" si="84"/>
        <v>0</v>
      </c>
      <c r="ADM152" s="15">
        <f t="shared" si="85"/>
        <v>0</v>
      </c>
      <c r="AEI152" s="15">
        <f t="shared" si="86"/>
        <v>0</v>
      </c>
    </row>
    <row r="153" spans="1:815" x14ac:dyDescent="0.25">
      <c r="B153" s="3" t="s">
        <v>1325</v>
      </c>
      <c r="E153" t="s">
        <v>8</v>
      </c>
      <c r="L153" t="s">
        <v>310</v>
      </c>
      <c r="BA153" s="15">
        <f t="shared" si="58"/>
        <v>0</v>
      </c>
      <c r="CB153" s="15">
        <f t="shared" si="59"/>
        <v>0</v>
      </c>
      <c r="DE153" s="15">
        <f t="shared" si="60"/>
        <v>0</v>
      </c>
      <c r="DS153" s="15">
        <f t="shared" si="61"/>
        <v>0</v>
      </c>
      <c r="EF153" s="15">
        <f t="shared" si="62"/>
        <v>0</v>
      </c>
      <c r="FI153" s="15">
        <f t="shared" si="63"/>
        <v>0</v>
      </c>
      <c r="HY153" s="15">
        <f t="shared" si="64"/>
        <v>0</v>
      </c>
      <c r="KM153" s="15">
        <f t="shared" si="65"/>
        <v>0</v>
      </c>
      <c r="MZ153" s="15">
        <f t="shared" si="66"/>
        <v>0</v>
      </c>
      <c r="OQ153" s="15">
        <f t="shared" si="67"/>
        <v>0</v>
      </c>
      <c r="OW153" s="28">
        <f t="shared" si="68"/>
        <v>0</v>
      </c>
      <c r="RD153" s="15">
        <f t="shared" si="69"/>
        <v>0</v>
      </c>
      <c r="RU153" s="15">
        <f t="shared" si="70"/>
        <v>0</v>
      </c>
      <c r="UE153" s="15">
        <f t="shared" si="71"/>
        <v>0</v>
      </c>
      <c r="VJ153" s="15">
        <f t="shared" si="72"/>
        <v>0</v>
      </c>
      <c r="WM153" s="15">
        <f t="shared" si="73"/>
        <v>0</v>
      </c>
      <c r="XH153" s="15">
        <f t="shared" si="74"/>
        <v>0</v>
      </c>
      <c r="YD153" s="15">
        <f t="shared" si="75"/>
        <v>0</v>
      </c>
      <c r="YX153" s="15">
        <f t="shared" si="76"/>
        <v>0</v>
      </c>
      <c r="ZR153" s="15">
        <f t="shared" si="77"/>
        <v>0</v>
      </c>
      <c r="ZX153" s="15">
        <f t="shared" si="78"/>
        <v>0</v>
      </c>
      <c r="AAT153" s="15">
        <f t="shared" si="79"/>
        <v>0</v>
      </c>
      <c r="ABQ153" s="15">
        <f t="shared" si="80"/>
        <v>0</v>
      </c>
      <c r="ABV153" s="28">
        <f t="shared" si="81"/>
        <v>0</v>
      </c>
      <c r="ACC153" s="28">
        <f t="shared" si="82"/>
        <v>0</v>
      </c>
      <c r="ACQ153" s="15">
        <f t="shared" si="83"/>
        <v>0</v>
      </c>
      <c r="ADA153" s="15">
        <f t="shared" si="84"/>
        <v>0</v>
      </c>
      <c r="ADM153" s="15">
        <f t="shared" si="85"/>
        <v>0</v>
      </c>
      <c r="AEI153" s="15">
        <f t="shared" si="86"/>
        <v>0</v>
      </c>
    </row>
    <row r="154" spans="1:815" x14ac:dyDescent="0.25">
      <c r="B154" s="3" t="s">
        <v>1326</v>
      </c>
      <c r="E154" t="s">
        <v>14</v>
      </c>
      <c r="L154" t="s">
        <v>1327</v>
      </c>
      <c r="BA154" s="15">
        <f t="shared" si="58"/>
        <v>0</v>
      </c>
      <c r="CB154" s="15">
        <f t="shared" si="59"/>
        <v>0</v>
      </c>
      <c r="DE154" s="15">
        <f t="shared" si="60"/>
        <v>0</v>
      </c>
      <c r="DS154" s="15">
        <f t="shared" si="61"/>
        <v>0</v>
      </c>
      <c r="EF154" s="15">
        <f t="shared" si="62"/>
        <v>0</v>
      </c>
      <c r="FI154" s="15">
        <f t="shared" si="63"/>
        <v>0</v>
      </c>
      <c r="HY154" s="15">
        <f t="shared" si="64"/>
        <v>0</v>
      </c>
      <c r="KM154" s="15">
        <f t="shared" si="65"/>
        <v>0</v>
      </c>
      <c r="MZ154" s="15">
        <f t="shared" si="66"/>
        <v>0</v>
      </c>
      <c r="OQ154" s="15">
        <f t="shared" si="67"/>
        <v>0</v>
      </c>
      <c r="OW154" s="28">
        <f t="shared" si="68"/>
        <v>0</v>
      </c>
      <c r="RD154" s="15">
        <f t="shared" si="69"/>
        <v>0</v>
      </c>
      <c r="RU154" s="15">
        <f t="shared" si="70"/>
        <v>0</v>
      </c>
      <c r="UE154" s="15">
        <f t="shared" si="71"/>
        <v>0</v>
      </c>
      <c r="VJ154" s="15">
        <f t="shared" si="72"/>
        <v>0</v>
      </c>
      <c r="WM154" s="15">
        <f t="shared" si="73"/>
        <v>0</v>
      </c>
      <c r="XH154" s="15">
        <f t="shared" si="74"/>
        <v>0</v>
      </c>
      <c r="YD154" s="15">
        <f t="shared" si="75"/>
        <v>0</v>
      </c>
      <c r="YX154" s="15">
        <f t="shared" si="76"/>
        <v>0</v>
      </c>
      <c r="ZR154" s="15">
        <f t="shared" si="77"/>
        <v>0</v>
      </c>
      <c r="ZX154" s="15">
        <f t="shared" si="78"/>
        <v>0</v>
      </c>
      <c r="AAT154" s="15">
        <f t="shared" si="79"/>
        <v>0</v>
      </c>
      <c r="ABQ154" s="15">
        <f t="shared" si="80"/>
        <v>0</v>
      </c>
      <c r="ABV154" s="28">
        <f t="shared" si="81"/>
        <v>0</v>
      </c>
      <c r="ACC154" s="28">
        <f t="shared" si="82"/>
        <v>0</v>
      </c>
      <c r="ACQ154" s="15">
        <f t="shared" si="83"/>
        <v>0</v>
      </c>
      <c r="ADA154" s="15">
        <f t="shared" si="84"/>
        <v>0</v>
      </c>
      <c r="ADM154" s="15">
        <f t="shared" si="85"/>
        <v>0</v>
      </c>
      <c r="AEI154" s="15">
        <f t="shared" si="86"/>
        <v>0</v>
      </c>
    </row>
    <row r="155" spans="1:815" ht="45" x14ac:dyDescent="0.25">
      <c r="B155" s="16" t="s">
        <v>2061</v>
      </c>
      <c r="C155">
        <f t="shared" ref="C155:AH155" si="87">COUNTA(C2:C154)</f>
        <v>94</v>
      </c>
      <c r="D155">
        <f t="shared" si="87"/>
        <v>131</v>
      </c>
      <c r="E155">
        <f t="shared" si="87"/>
        <v>142</v>
      </c>
      <c r="F155">
        <f t="shared" si="87"/>
        <v>147</v>
      </c>
      <c r="G155">
        <f t="shared" si="87"/>
        <v>147</v>
      </c>
      <c r="H155">
        <f t="shared" si="87"/>
        <v>90</v>
      </c>
      <c r="I155">
        <f t="shared" si="87"/>
        <v>115</v>
      </c>
      <c r="J155">
        <f t="shared" si="87"/>
        <v>114</v>
      </c>
      <c r="K155">
        <f t="shared" si="87"/>
        <v>84</v>
      </c>
      <c r="L155">
        <f t="shared" si="87"/>
        <v>138</v>
      </c>
      <c r="M155">
        <f t="shared" si="87"/>
        <v>73</v>
      </c>
      <c r="N155">
        <f t="shared" si="87"/>
        <v>68</v>
      </c>
      <c r="O155">
        <f t="shared" si="87"/>
        <v>54</v>
      </c>
      <c r="P155">
        <f t="shared" si="87"/>
        <v>65</v>
      </c>
      <c r="Q155">
        <f t="shared" si="87"/>
        <v>75</v>
      </c>
      <c r="R155">
        <f t="shared" si="87"/>
        <v>88</v>
      </c>
      <c r="S155">
        <f t="shared" si="87"/>
        <v>105</v>
      </c>
      <c r="T155">
        <f t="shared" si="87"/>
        <v>80</v>
      </c>
      <c r="U155">
        <f t="shared" si="87"/>
        <v>71</v>
      </c>
      <c r="V155">
        <f t="shared" si="87"/>
        <v>60</v>
      </c>
      <c r="W155">
        <f t="shared" si="87"/>
        <v>103</v>
      </c>
      <c r="X155">
        <f t="shared" si="87"/>
        <v>4</v>
      </c>
      <c r="Y155">
        <f t="shared" si="87"/>
        <v>1</v>
      </c>
      <c r="Z155">
        <f t="shared" si="87"/>
        <v>13</v>
      </c>
      <c r="AA155">
        <f t="shared" si="87"/>
        <v>7</v>
      </c>
      <c r="AB155">
        <f t="shared" si="87"/>
        <v>2</v>
      </c>
      <c r="AC155">
        <f t="shared" si="87"/>
        <v>1</v>
      </c>
      <c r="AD155">
        <f t="shared" si="87"/>
        <v>8</v>
      </c>
      <c r="AE155">
        <f t="shared" si="87"/>
        <v>3</v>
      </c>
      <c r="AF155">
        <f t="shared" si="87"/>
        <v>1</v>
      </c>
      <c r="AG155">
        <f t="shared" si="87"/>
        <v>1</v>
      </c>
      <c r="AH155">
        <f t="shared" si="87"/>
        <v>1</v>
      </c>
      <c r="AI155">
        <f t="shared" ref="AI155:AZ155" si="88">COUNTA(AI2:AI154)</f>
        <v>2</v>
      </c>
      <c r="AJ155">
        <f t="shared" si="88"/>
        <v>1</v>
      </c>
      <c r="AK155">
        <f t="shared" si="88"/>
        <v>2</v>
      </c>
      <c r="AL155">
        <f t="shared" si="88"/>
        <v>1</v>
      </c>
      <c r="AM155">
        <f t="shared" si="88"/>
        <v>1</v>
      </c>
      <c r="AN155">
        <f t="shared" si="88"/>
        <v>2</v>
      </c>
      <c r="AO155">
        <f t="shared" si="88"/>
        <v>0</v>
      </c>
      <c r="AP155">
        <f t="shared" si="88"/>
        <v>1</v>
      </c>
      <c r="AQ155">
        <f t="shared" si="88"/>
        <v>1</v>
      </c>
      <c r="AR155">
        <f t="shared" si="88"/>
        <v>3</v>
      </c>
      <c r="AS155">
        <f t="shared" si="88"/>
        <v>1</v>
      </c>
      <c r="AT155">
        <f t="shared" si="88"/>
        <v>1</v>
      </c>
      <c r="AU155">
        <f t="shared" si="88"/>
        <v>1</v>
      </c>
      <c r="AV155">
        <f t="shared" si="88"/>
        <v>2</v>
      </c>
      <c r="AW155">
        <f t="shared" si="88"/>
        <v>1</v>
      </c>
      <c r="AX155">
        <f t="shared" si="88"/>
        <v>1</v>
      </c>
      <c r="AY155">
        <f t="shared" si="88"/>
        <v>1</v>
      </c>
      <c r="AZ155">
        <f t="shared" si="88"/>
        <v>1</v>
      </c>
      <c r="BA155">
        <f>SUM(BA2:BA154)</f>
        <v>60</v>
      </c>
      <c r="BB155">
        <f t="shared" ref="BB155:CA155" si="89">COUNTA(BB2:BB154)</f>
        <v>28</v>
      </c>
      <c r="BC155">
        <f t="shared" si="89"/>
        <v>5</v>
      </c>
      <c r="BD155">
        <f t="shared" si="89"/>
        <v>5</v>
      </c>
      <c r="BE155">
        <f t="shared" si="89"/>
        <v>2</v>
      </c>
      <c r="BF155">
        <f t="shared" si="89"/>
        <v>7</v>
      </c>
      <c r="BG155">
        <f t="shared" si="89"/>
        <v>3</v>
      </c>
      <c r="BH155">
        <f t="shared" si="89"/>
        <v>1</v>
      </c>
      <c r="BI155">
        <f t="shared" si="89"/>
        <v>1</v>
      </c>
      <c r="BJ155">
        <f t="shared" si="89"/>
        <v>2</v>
      </c>
      <c r="BK155">
        <f t="shared" si="89"/>
        <v>4</v>
      </c>
      <c r="BL155">
        <f t="shared" si="89"/>
        <v>2</v>
      </c>
      <c r="BM155">
        <f t="shared" si="89"/>
        <v>3</v>
      </c>
      <c r="BN155">
        <f t="shared" si="89"/>
        <v>1</v>
      </c>
      <c r="BO155">
        <f t="shared" si="89"/>
        <v>1</v>
      </c>
      <c r="BP155">
        <f t="shared" si="89"/>
        <v>1</v>
      </c>
      <c r="BQ155">
        <f t="shared" si="89"/>
        <v>2</v>
      </c>
      <c r="BR155">
        <f t="shared" si="89"/>
        <v>3</v>
      </c>
      <c r="BS155">
        <f t="shared" si="89"/>
        <v>2</v>
      </c>
      <c r="BT155">
        <f t="shared" si="89"/>
        <v>1</v>
      </c>
      <c r="BU155">
        <f t="shared" si="89"/>
        <v>2</v>
      </c>
      <c r="BV155">
        <f t="shared" si="89"/>
        <v>1</v>
      </c>
      <c r="BW155">
        <f t="shared" si="89"/>
        <v>1</v>
      </c>
      <c r="BX155">
        <f t="shared" si="89"/>
        <v>1</v>
      </c>
      <c r="BY155">
        <f t="shared" si="89"/>
        <v>1</v>
      </c>
      <c r="BZ155">
        <f t="shared" si="89"/>
        <v>1</v>
      </c>
      <c r="CA155">
        <f t="shared" si="89"/>
        <v>1</v>
      </c>
      <c r="CB155">
        <f>SUM(CB2:CB154)</f>
        <v>82</v>
      </c>
      <c r="CC155">
        <f t="shared" ref="CC155:DD155" si="90">COUNTA(CC2:CC154)</f>
        <v>20</v>
      </c>
      <c r="CD155">
        <f t="shared" si="90"/>
        <v>2</v>
      </c>
      <c r="CE155">
        <f t="shared" si="90"/>
        <v>5</v>
      </c>
      <c r="CF155">
        <f t="shared" si="90"/>
        <v>2</v>
      </c>
      <c r="CG155">
        <f t="shared" si="90"/>
        <v>9</v>
      </c>
      <c r="CH155">
        <f t="shared" si="90"/>
        <v>3</v>
      </c>
      <c r="CI155">
        <f t="shared" si="90"/>
        <v>1</v>
      </c>
      <c r="CJ155">
        <f t="shared" si="90"/>
        <v>1</v>
      </c>
      <c r="CK155">
        <f t="shared" si="90"/>
        <v>1</v>
      </c>
      <c r="CL155">
        <f t="shared" si="90"/>
        <v>2</v>
      </c>
      <c r="CM155">
        <f t="shared" si="90"/>
        <v>3</v>
      </c>
      <c r="CN155">
        <f t="shared" si="90"/>
        <v>3</v>
      </c>
      <c r="CO155">
        <f t="shared" si="90"/>
        <v>3</v>
      </c>
      <c r="CP155">
        <f t="shared" si="90"/>
        <v>2</v>
      </c>
      <c r="CQ155">
        <f t="shared" si="90"/>
        <v>1</v>
      </c>
      <c r="CR155">
        <f t="shared" si="90"/>
        <v>1</v>
      </c>
      <c r="CS155">
        <f t="shared" si="90"/>
        <v>1</v>
      </c>
      <c r="CT155">
        <f t="shared" si="90"/>
        <v>1</v>
      </c>
      <c r="CU155">
        <f t="shared" si="90"/>
        <v>2</v>
      </c>
      <c r="CV155">
        <f t="shared" si="90"/>
        <v>2</v>
      </c>
      <c r="CW155">
        <f t="shared" si="90"/>
        <v>1</v>
      </c>
      <c r="CX155">
        <f t="shared" si="90"/>
        <v>1</v>
      </c>
      <c r="CY155">
        <f t="shared" si="90"/>
        <v>1</v>
      </c>
      <c r="CZ155">
        <f t="shared" si="90"/>
        <v>1</v>
      </c>
      <c r="DA155">
        <f t="shared" si="90"/>
        <v>2</v>
      </c>
      <c r="DB155">
        <f t="shared" si="90"/>
        <v>1</v>
      </c>
      <c r="DC155">
        <f t="shared" si="90"/>
        <v>1</v>
      </c>
      <c r="DD155">
        <f t="shared" si="90"/>
        <v>1</v>
      </c>
      <c r="DE155">
        <f>SUM(DE2:DE154)</f>
        <v>74</v>
      </c>
      <c r="DF155">
        <f t="shared" ref="DF155:DR155" si="91">COUNTA(DF2:DF154)</f>
        <v>1</v>
      </c>
      <c r="DG155">
        <f t="shared" si="91"/>
        <v>6</v>
      </c>
      <c r="DH155">
        <f t="shared" si="91"/>
        <v>2</v>
      </c>
      <c r="DI155">
        <f t="shared" si="91"/>
        <v>1</v>
      </c>
      <c r="DJ155">
        <f t="shared" si="91"/>
        <v>2</v>
      </c>
      <c r="DK155">
        <f t="shared" si="91"/>
        <v>1</v>
      </c>
      <c r="DL155">
        <f t="shared" si="91"/>
        <v>1</v>
      </c>
      <c r="DM155">
        <f t="shared" si="91"/>
        <v>1</v>
      </c>
      <c r="DN155">
        <f t="shared" si="91"/>
        <v>1</v>
      </c>
      <c r="DO155">
        <f t="shared" si="91"/>
        <v>1</v>
      </c>
      <c r="DP155">
        <f t="shared" si="91"/>
        <v>1</v>
      </c>
      <c r="DQ155">
        <f t="shared" si="91"/>
        <v>1</v>
      </c>
      <c r="DR155">
        <f t="shared" si="91"/>
        <v>1</v>
      </c>
      <c r="DS155">
        <f>SUM(DS2:DS154)</f>
        <v>19</v>
      </c>
      <c r="DT155">
        <f t="shared" ref="DT155:EE155" si="92">COUNTA(DT2:DT154)</f>
        <v>3</v>
      </c>
      <c r="DU155">
        <f t="shared" si="92"/>
        <v>0</v>
      </c>
      <c r="DV155">
        <f t="shared" si="92"/>
        <v>0</v>
      </c>
      <c r="DW155">
        <f t="shared" si="92"/>
        <v>2</v>
      </c>
      <c r="DX155">
        <f t="shared" si="92"/>
        <v>1</v>
      </c>
      <c r="DY155">
        <f t="shared" si="92"/>
        <v>1</v>
      </c>
      <c r="DZ155">
        <f t="shared" si="92"/>
        <v>1</v>
      </c>
      <c r="EA155">
        <f t="shared" si="92"/>
        <v>1</v>
      </c>
      <c r="EB155">
        <f t="shared" si="92"/>
        <v>1</v>
      </c>
      <c r="EC155">
        <f t="shared" si="92"/>
        <v>1</v>
      </c>
      <c r="ED155">
        <f t="shared" si="92"/>
        <v>1</v>
      </c>
      <c r="EE155">
        <f t="shared" si="92"/>
        <v>1</v>
      </c>
      <c r="EF155">
        <f>SUM(EF2:EF154)</f>
        <v>13</v>
      </c>
      <c r="EG155">
        <f t="shared" ref="EG155:FH155" si="93">COUNTA(EG2:EG154)</f>
        <v>32</v>
      </c>
      <c r="EH155">
        <f t="shared" si="93"/>
        <v>3</v>
      </c>
      <c r="EI155">
        <f t="shared" si="93"/>
        <v>12</v>
      </c>
      <c r="EJ155">
        <f t="shared" si="93"/>
        <v>4</v>
      </c>
      <c r="EK155">
        <f t="shared" si="93"/>
        <v>1</v>
      </c>
      <c r="EL155">
        <f t="shared" si="93"/>
        <v>9</v>
      </c>
      <c r="EM155">
        <f t="shared" si="93"/>
        <v>1</v>
      </c>
      <c r="EN155">
        <f t="shared" si="93"/>
        <v>7</v>
      </c>
      <c r="EO155">
        <f t="shared" si="93"/>
        <v>1</v>
      </c>
      <c r="EP155">
        <f t="shared" si="93"/>
        <v>1</v>
      </c>
      <c r="EQ155">
        <f t="shared" si="93"/>
        <v>1</v>
      </c>
      <c r="ER155">
        <f t="shared" si="93"/>
        <v>5</v>
      </c>
      <c r="ES155">
        <f t="shared" si="93"/>
        <v>1</v>
      </c>
      <c r="ET155">
        <f t="shared" si="93"/>
        <v>5</v>
      </c>
      <c r="EU155">
        <f t="shared" si="93"/>
        <v>1</v>
      </c>
      <c r="EV155">
        <f t="shared" si="93"/>
        <v>1</v>
      </c>
      <c r="EW155">
        <f t="shared" si="93"/>
        <v>3</v>
      </c>
      <c r="EX155">
        <f t="shared" si="93"/>
        <v>2</v>
      </c>
      <c r="EY155">
        <f t="shared" si="93"/>
        <v>2</v>
      </c>
      <c r="EZ155">
        <f t="shared" si="93"/>
        <v>1</v>
      </c>
      <c r="FA155">
        <f t="shared" si="93"/>
        <v>1</v>
      </c>
      <c r="FB155">
        <f t="shared" si="93"/>
        <v>3</v>
      </c>
      <c r="FC155">
        <f t="shared" si="93"/>
        <v>2</v>
      </c>
      <c r="FD155">
        <f t="shared" si="93"/>
        <v>1</v>
      </c>
      <c r="FE155">
        <f t="shared" si="93"/>
        <v>1</v>
      </c>
      <c r="FF155">
        <f t="shared" si="93"/>
        <v>0</v>
      </c>
      <c r="FG155">
        <f t="shared" si="93"/>
        <v>1</v>
      </c>
      <c r="FH155">
        <f t="shared" si="93"/>
        <v>1</v>
      </c>
      <c r="FI155">
        <f>SUM(FI2:FI154)</f>
        <v>103</v>
      </c>
      <c r="FJ155">
        <f t="shared" ref="FJ155:GO155" si="94">COUNTA(FJ2:FJ154)</f>
        <v>66</v>
      </c>
      <c r="FK155">
        <f t="shared" si="94"/>
        <v>7</v>
      </c>
      <c r="FL155">
        <f t="shared" si="94"/>
        <v>3</v>
      </c>
      <c r="FM155">
        <f t="shared" si="94"/>
        <v>0</v>
      </c>
      <c r="FN155">
        <f t="shared" si="94"/>
        <v>16</v>
      </c>
      <c r="FO155">
        <f t="shared" si="94"/>
        <v>3</v>
      </c>
      <c r="FP155">
        <f t="shared" si="94"/>
        <v>1</v>
      </c>
      <c r="FQ155">
        <f t="shared" si="94"/>
        <v>12</v>
      </c>
      <c r="FR155">
        <f t="shared" si="94"/>
        <v>8</v>
      </c>
      <c r="FS155">
        <f t="shared" si="94"/>
        <v>1</v>
      </c>
      <c r="FT155">
        <f t="shared" si="94"/>
        <v>1</v>
      </c>
      <c r="FU155">
        <f t="shared" si="94"/>
        <v>1</v>
      </c>
      <c r="FV155">
        <f t="shared" si="94"/>
        <v>7</v>
      </c>
      <c r="FW155">
        <f t="shared" si="94"/>
        <v>1</v>
      </c>
      <c r="FX155">
        <f t="shared" si="94"/>
        <v>7</v>
      </c>
      <c r="FY155">
        <f t="shared" si="94"/>
        <v>1</v>
      </c>
      <c r="FZ155">
        <f t="shared" si="94"/>
        <v>1</v>
      </c>
      <c r="GA155">
        <f t="shared" si="94"/>
        <v>5</v>
      </c>
      <c r="GB155">
        <f t="shared" si="94"/>
        <v>7</v>
      </c>
      <c r="GC155">
        <f t="shared" si="94"/>
        <v>4</v>
      </c>
      <c r="GD155">
        <f t="shared" si="94"/>
        <v>2</v>
      </c>
      <c r="GE155">
        <f t="shared" si="94"/>
        <v>3</v>
      </c>
      <c r="GF155">
        <f t="shared" si="94"/>
        <v>4</v>
      </c>
      <c r="GG155">
        <f t="shared" si="94"/>
        <v>2</v>
      </c>
      <c r="GH155">
        <f t="shared" si="94"/>
        <v>7</v>
      </c>
      <c r="GI155">
        <f t="shared" si="94"/>
        <v>5</v>
      </c>
      <c r="GJ155">
        <f t="shared" si="94"/>
        <v>1</v>
      </c>
      <c r="GK155">
        <f t="shared" si="94"/>
        <v>1</v>
      </c>
      <c r="GL155">
        <f t="shared" si="94"/>
        <v>2</v>
      </c>
      <c r="GM155">
        <f t="shared" si="94"/>
        <v>2</v>
      </c>
      <c r="GN155">
        <f t="shared" si="94"/>
        <v>1</v>
      </c>
      <c r="GO155">
        <f t="shared" si="94"/>
        <v>3</v>
      </c>
      <c r="GP155">
        <f t="shared" ref="GP155:HU155" si="95">COUNTA(GP2:GP154)</f>
        <v>1</v>
      </c>
      <c r="GQ155">
        <f t="shared" si="95"/>
        <v>1</v>
      </c>
      <c r="GR155">
        <f t="shared" si="95"/>
        <v>1</v>
      </c>
      <c r="GS155">
        <f t="shared" si="95"/>
        <v>1</v>
      </c>
      <c r="GT155">
        <f t="shared" si="95"/>
        <v>2</v>
      </c>
      <c r="GU155">
        <f t="shared" si="95"/>
        <v>1</v>
      </c>
      <c r="GV155">
        <f t="shared" si="95"/>
        <v>1</v>
      </c>
      <c r="GW155">
        <f t="shared" si="95"/>
        <v>2</v>
      </c>
      <c r="GX155">
        <f t="shared" si="95"/>
        <v>1</v>
      </c>
      <c r="GY155">
        <f t="shared" si="95"/>
        <v>1</v>
      </c>
      <c r="GZ155">
        <f t="shared" si="95"/>
        <v>1</v>
      </c>
      <c r="HA155">
        <f t="shared" si="95"/>
        <v>1</v>
      </c>
      <c r="HB155">
        <f t="shared" si="95"/>
        <v>1</v>
      </c>
      <c r="HC155">
        <f t="shared" si="95"/>
        <v>2</v>
      </c>
      <c r="HD155">
        <f t="shared" si="95"/>
        <v>1</v>
      </c>
      <c r="HE155">
        <f t="shared" si="95"/>
        <v>2</v>
      </c>
      <c r="HF155">
        <f t="shared" si="95"/>
        <v>1</v>
      </c>
      <c r="HG155">
        <f t="shared" si="95"/>
        <v>1</v>
      </c>
      <c r="HH155">
        <f t="shared" si="95"/>
        <v>1</v>
      </c>
      <c r="HI155">
        <f t="shared" si="95"/>
        <v>1</v>
      </c>
      <c r="HJ155">
        <f t="shared" si="95"/>
        <v>1</v>
      </c>
      <c r="HK155">
        <f t="shared" si="95"/>
        <v>1</v>
      </c>
      <c r="HL155">
        <f t="shared" si="95"/>
        <v>1</v>
      </c>
      <c r="HM155">
        <f t="shared" si="95"/>
        <v>1</v>
      </c>
      <c r="HN155">
        <f t="shared" si="95"/>
        <v>1</v>
      </c>
      <c r="HO155">
        <f t="shared" si="95"/>
        <v>1</v>
      </c>
      <c r="HP155">
        <f t="shared" si="95"/>
        <v>1</v>
      </c>
      <c r="HQ155">
        <f t="shared" si="95"/>
        <v>1</v>
      </c>
      <c r="HR155">
        <f t="shared" si="95"/>
        <v>1</v>
      </c>
      <c r="HS155">
        <f t="shared" si="95"/>
        <v>1</v>
      </c>
      <c r="HT155">
        <f t="shared" si="95"/>
        <v>1</v>
      </c>
      <c r="HU155">
        <f t="shared" si="95"/>
        <v>1</v>
      </c>
      <c r="HV155">
        <f t="shared" ref="HV155:HX155" si="96">COUNTA(HV2:HV154)</f>
        <v>1</v>
      </c>
      <c r="HW155">
        <f t="shared" si="96"/>
        <v>1</v>
      </c>
      <c r="HX155">
        <f t="shared" si="96"/>
        <v>1</v>
      </c>
      <c r="HY155">
        <f>SUM(HY2:HY154)</f>
        <v>224</v>
      </c>
      <c r="HZ155">
        <f t="shared" ref="HZ155:JE155" si="97">COUNTA(HZ2:HZ154)</f>
        <v>66</v>
      </c>
      <c r="IA155">
        <f t="shared" si="97"/>
        <v>3</v>
      </c>
      <c r="IB155">
        <f t="shared" si="97"/>
        <v>3</v>
      </c>
      <c r="IC155">
        <f t="shared" si="97"/>
        <v>18</v>
      </c>
      <c r="ID155">
        <f t="shared" si="97"/>
        <v>3</v>
      </c>
      <c r="IE155">
        <f t="shared" si="97"/>
        <v>0</v>
      </c>
      <c r="IF155">
        <f t="shared" si="97"/>
        <v>12</v>
      </c>
      <c r="IG155">
        <f t="shared" si="97"/>
        <v>8</v>
      </c>
      <c r="IH155">
        <f t="shared" si="97"/>
        <v>1</v>
      </c>
      <c r="II155">
        <f t="shared" si="97"/>
        <v>1</v>
      </c>
      <c r="IJ155">
        <f t="shared" si="97"/>
        <v>1</v>
      </c>
      <c r="IK155">
        <f t="shared" si="97"/>
        <v>8</v>
      </c>
      <c r="IL155">
        <f t="shared" si="97"/>
        <v>1</v>
      </c>
      <c r="IM155">
        <f t="shared" si="97"/>
        <v>8</v>
      </c>
      <c r="IN155">
        <f t="shared" si="97"/>
        <v>1</v>
      </c>
      <c r="IO155">
        <f t="shared" si="97"/>
        <v>1</v>
      </c>
      <c r="IP155">
        <f t="shared" si="97"/>
        <v>3</v>
      </c>
      <c r="IQ155">
        <f t="shared" si="97"/>
        <v>7</v>
      </c>
      <c r="IR155">
        <f t="shared" si="97"/>
        <v>4</v>
      </c>
      <c r="IS155">
        <f t="shared" si="97"/>
        <v>2</v>
      </c>
      <c r="IT155">
        <f t="shared" si="97"/>
        <v>3</v>
      </c>
      <c r="IU155">
        <f t="shared" si="97"/>
        <v>4</v>
      </c>
      <c r="IV155">
        <f t="shared" si="97"/>
        <v>2</v>
      </c>
      <c r="IW155">
        <f t="shared" si="97"/>
        <v>7</v>
      </c>
      <c r="IX155">
        <f t="shared" si="97"/>
        <v>5</v>
      </c>
      <c r="IY155">
        <f t="shared" si="97"/>
        <v>2</v>
      </c>
      <c r="IZ155">
        <f t="shared" si="97"/>
        <v>1</v>
      </c>
      <c r="JA155">
        <f t="shared" si="97"/>
        <v>2</v>
      </c>
      <c r="JB155">
        <f t="shared" si="97"/>
        <v>2</v>
      </c>
      <c r="JC155">
        <f t="shared" si="97"/>
        <v>1</v>
      </c>
      <c r="JD155">
        <f t="shared" si="97"/>
        <v>3</v>
      </c>
      <c r="JE155">
        <f t="shared" si="97"/>
        <v>1</v>
      </c>
      <c r="JF155">
        <f t="shared" ref="JF155:KK155" si="98">COUNTA(JF2:JF154)</f>
        <v>1</v>
      </c>
      <c r="JG155">
        <f t="shared" si="98"/>
        <v>1</v>
      </c>
      <c r="JH155">
        <f t="shared" si="98"/>
        <v>2</v>
      </c>
      <c r="JI155">
        <f t="shared" si="98"/>
        <v>2</v>
      </c>
      <c r="JJ155">
        <f t="shared" si="98"/>
        <v>1</v>
      </c>
      <c r="JK155">
        <f t="shared" si="98"/>
        <v>2</v>
      </c>
      <c r="JL155">
        <f t="shared" si="98"/>
        <v>3</v>
      </c>
      <c r="JM155">
        <f t="shared" si="98"/>
        <v>1</v>
      </c>
      <c r="JN155">
        <f t="shared" si="98"/>
        <v>1</v>
      </c>
      <c r="JO155">
        <f t="shared" si="98"/>
        <v>1</v>
      </c>
      <c r="JP155">
        <f t="shared" si="98"/>
        <v>1</v>
      </c>
      <c r="JQ155">
        <f t="shared" si="98"/>
        <v>1</v>
      </c>
      <c r="JR155">
        <f t="shared" si="98"/>
        <v>2</v>
      </c>
      <c r="JS155">
        <f t="shared" si="98"/>
        <v>2</v>
      </c>
      <c r="JT155">
        <f t="shared" si="98"/>
        <v>1</v>
      </c>
      <c r="JU155">
        <f t="shared" si="98"/>
        <v>1</v>
      </c>
      <c r="JV155">
        <f t="shared" si="98"/>
        <v>1</v>
      </c>
      <c r="JW155">
        <f t="shared" si="98"/>
        <v>1</v>
      </c>
      <c r="JX155">
        <f t="shared" si="98"/>
        <v>1</v>
      </c>
      <c r="JY155">
        <f t="shared" si="98"/>
        <v>1</v>
      </c>
      <c r="JZ155">
        <f t="shared" si="98"/>
        <v>1</v>
      </c>
      <c r="KA155">
        <f t="shared" si="98"/>
        <v>1</v>
      </c>
      <c r="KB155">
        <f t="shared" si="98"/>
        <v>1</v>
      </c>
      <c r="KC155">
        <f t="shared" si="98"/>
        <v>1</v>
      </c>
      <c r="KD155">
        <f t="shared" si="98"/>
        <v>1</v>
      </c>
      <c r="KE155">
        <f t="shared" si="98"/>
        <v>1</v>
      </c>
      <c r="KF155">
        <f t="shared" si="98"/>
        <v>1</v>
      </c>
      <c r="KG155">
        <f t="shared" si="98"/>
        <v>1</v>
      </c>
      <c r="KH155">
        <f t="shared" si="98"/>
        <v>1</v>
      </c>
      <c r="KI155">
        <f t="shared" si="98"/>
        <v>1</v>
      </c>
      <c r="KJ155">
        <f t="shared" si="98"/>
        <v>1</v>
      </c>
      <c r="KK155">
        <f t="shared" si="98"/>
        <v>1</v>
      </c>
      <c r="KL155">
        <f t="shared" ref="KL155" si="99">COUNTA(KL2:KL154)</f>
        <v>1</v>
      </c>
      <c r="KM155">
        <f>SUM(KM2:KM154)</f>
        <v>224</v>
      </c>
      <c r="KN155">
        <f t="shared" ref="KN155:LS155" si="100">COUNTA(KN2:KN154)</f>
        <v>50</v>
      </c>
      <c r="KO155">
        <f t="shared" si="100"/>
        <v>5</v>
      </c>
      <c r="KP155">
        <f t="shared" si="100"/>
        <v>15</v>
      </c>
      <c r="KQ155">
        <f t="shared" si="100"/>
        <v>1</v>
      </c>
      <c r="KR155">
        <f t="shared" si="100"/>
        <v>11</v>
      </c>
      <c r="KS155">
        <f t="shared" si="100"/>
        <v>9</v>
      </c>
      <c r="KT155">
        <f t="shared" si="100"/>
        <v>1</v>
      </c>
      <c r="KU155">
        <f t="shared" si="100"/>
        <v>1</v>
      </c>
      <c r="KV155">
        <f t="shared" si="100"/>
        <v>1</v>
      </c>
      <c r="KW155">
        <f t="shared" si="100"/>
        <v>5</v>
      </c>
      <c r="KX155">
        <f t="shared" si="100"/>
        <v>1</v>
      </c>
      <c r="KY155">
        <f t="shared" si="100"/>
        <v>9</v>
      </c>
      <c r="KZ155">
        <f t="shared" si="100"/>
        <v>1</v>
      </c>
      <c r="LA155">
        <f t="shared" si="100"/>
        <v>1</v>
      </c>
      <c r="LB155">
        <f t="shared" si="100"/>
        <v>5</v>
      </c>
      <c r="LC155">
        <f t="shared" si="100"/>
        <v>7</v>
      </c>
      <c r="LD155">
        <f t="shared" si="100"/>
        <v>3</v>
      </c>
      <c r="LE155">
        <f t="shared" si="100"/>
        <v>1</v>
      </c>
      <c r="LF155">
        <f t="shared" si="100"/>
        <v>1</v>
      </c>
      <c r="LG155">
        <f t="shared" si="100"/>
        <v>5</v>
      </c>
      <c r="LH155">
        <f t="shared" si="100"/>
        <v>3</v>
      </c>
      <c r="LI155">
        <f t="shared" si="100"/>
        <v>8</v>
      </c>
      <c r="LJ155">
        <f t="shared" si="100"/>
        <v>3</v>
      </c>
      <c r="LK155">
        <f t="shared" si="100"/>
        <v>2</v>
      </c>
      <c r="LL155">
        <f t="shared" si="100"/>
        <v>1</v>
      </c>
      <c r="LM155">
        <f t="shared" si="100"/>
        <v>2</v>
      </c>
      <c r="LN155">
        <f t="shared" si="100"/>
        <v>2</v>
      </c>
      <c r="LO155">
        <f t="shared" si="100"/>
        <v>2</v>
      </c>
      <c r="LP155">
        <f t="shared" si="100"/>
        <v>3</v>
      </c>
      <c r="LQ155">
        <f t="shared" si="100"/>
        <v>1</v>
      </c>
      <c r="LR155">
        <f t="shared" si="100"/>
        <v>1</v>
      </c>
      <c r="LS155">
        <f t="shared" si="100"/>
        <v>1</v>
      </c>
      <c r="LT155">
        <f t="shared" ref="LT155:MY155" si="101">COUNTA(LT2:LT154)</f>
        <v>1</v>
      </c>
      <c r="LU155">
        <f t="shared" si="101"/>
        <v>2</v>
      </c>
      <c r="LV155">
        <f t="shared" si="101"/>
        <v>1</v>
      </c>
      <c r="LW155">
        <f t="shared" si="101"/>
        <v>1</v>
      </c>
      <c r="LX155">
        <f t="shared" si="101"/>
        <v>2</v>
      </c>
      <c r="LY155">
        <f t="shared" si="101"/>
        <v>1</v>
      </c>
      <c r="LZ155">
        <f t="shared" si="101"/>
        <v>2</v>
      </c>
      <c r="MA155">
        <f t="shared" si="101"/>
        <v>1</v>
      </c>
      <c r="MB155">
        <f t="shared" si="101"/>
        <v>1</v>
      </c>
      <c r="MC155">
        <f t="shared" si="101"/>
        <v>1</v>
      </c>
      <c r="MD155">
        <f t="shared" si="101"/>
        <v>2</v>
      </c>
      <c r="ME155">
        <f t="shared" si="101"/>
        <v>2</v>
      </c>
      <c r="MF155">
        <f t="shared" si="101"/>
        <v>1</v>
      </c>
      <c r="MG155">
        <f t="shared" si="101"/>
        <v>1</v>
      </c>
      <c r="MH155">
        <f t="shared" si="101"/>
        <v>1</v>
      </c>
      <c r="MI155">
        <f t="shared" si="101"/>
        <v>1</v>
      </c>
      <c r="MJ155">
        <f t="shared" si="101"/>
        <v>1</v>
      </c>
      <c r="MK155">
        <f t="shared" si="101"/>
        <v>1</v>
      </c>
      <c r="ML155">
        <f t="shared" si="101"/>
        <v>1</v>
      </c>
      <c r="MM155">
        <f t="shared" si="101"/>
        <v>1</v>
      </c>
      <c r="MN155">
        <f t="shared" si="101"/>
        <v>1</v>
      </c>
      <c r="MO155">
        <f t="shared" si="101"/>
        <v>1</v>
      </c>
      <c r="MP155">
        <f t="shared" si="101"/>
        <v>1</v>
      </c>
      <c r="MQ155">
        <f t="shared" si="101"/>
        <v>1</v>
      </c>
      <c r="MR155">
        <f t="shared" si="101"/>
        <v>1</v>
      </c>
      <c r="MS155">
        <f t="shared" si="101"/>
        <v>1</v>
      </c>
      <c r="MT155">
        <f t="shared" si="101"/>
        <v>1</v>
      </c>
      <c r="MU155">
        <f t="shared" si="101"/>
        <v>1</v>
      </c>
      <c r="MV155">
        <f t="shared" si="101"/>
        <v>1</v>
      </c>
      <c r="MW155">
        <f t="shared" si="101"/>
        <v>1</v>
      </c>
      <c r="MX155">
        <f t="shared" si="101"/>
        <v>1</v>
      </c>
      <c r="MY155">
        <f t="shared" si="101"/>
        <v>2</v>
      </c>
      <c r="MZ155">
        <f>SUM(MZ2:MZ154)</f>
        <v>200</v>
      </c>
      <c r="NA155">
        <f t="shared" ref="NA155:OP155" si="102">COUNTA(NA2:NA154)</f>
        <v>32</v>
      </c>
      <c r="NB155">
        <f t="shared" si="102"/>
        <v>4</v>
      </c>
      <c r="NC155">
        <f t="shared" si="102"/>
        <v>1</v>
      </c>
      <c r="ND155">
        <f t="shared" si="102"/>
        <v>13</v>
      </c>
      <c r="NE155">
        <f t="shared" si="102"/>
        <v>2</v>
      </c>
      <c r="NF155">
        <f t="shared" si="102"/>
        <v>1</v>
      </c>
      <c r="NG155">
        <f t="shared" si="102"/>
        <v>9</v>
      </c>
      <c r="NH155">
        <f t="shared" si="102"/>
        <v>6</v>
      </c>
      <c r="NI155">
        <f t="shared" si="102"/>
        <v>1</v>
      </c>
      <c r="NJ155">
        <f t="shared" si="102"/>
        <v>1</v>
      </c>
      <c r="NK155">
        <f t="shared" si="102"/>
        <v>1</v>
      </c>
      <c r="NL155">
        <f t="shared" si="102"/>
        <v>3</v>
      </c>
      <c r="NM155">
        <f t="shared" si="102"/>
        <v>1</v>
      </c>
      <c r="NN155">
        <f t="shared" si="102"/>
        <v>4</v>
      </c>
      <c r="NO155">
        <f t="shared" si="102"/>
        <v>1</v>
      </c>
      <c r="NP155">
        <f t="shared" si="102"/>
        <v>1</v>
      </c>
      <c r="NQ155">
        <f t="shared" si="102"/>
        <v>3</v>
      </c>
      <c r="NR155">
        <f t="shared" si="102"/>
        <v>1</v>
      </c>
      <c r="NS155">
        <f t="shared" si="102"/>
        <v>1</v>
      </c>
      <c r="NT155">
        <f t="shared" si="102"/>
        <v>1</v>
      </c>
      <c r="NU155">
        <f t="shared" si="102"/>
        <v>3</v>
      </c>
      <c r="NV155">
        <f t="shared" si="102"/>
        <v>1</v>
      </c>
      <c r="NW155">
        <f t="shared" si="102"/>
        <v>1</v>
      </c>
      <c r="NX155">
        <f t="shared" si="102"/>
        <v>1</v>
      </c>
      <c r="NY155">
        <f t="shared" si="102"/>
        <v>1</v>
      </c>
      <c r="NZ155">
        <f t="shared" si="102"/>
        <v>1</v>
      </c>
      <c r="OA155">
        <f t="shared" si="102"/>
        <v>1</v>
      </c>
      <c r="OB155">
        <f t="shared" si="102"/>
        <v>2</v>
      </c>
      <c r="OC155">
        <f t="shared" si="102"/>
        <v>1</v>
      </c>
      <c r="OD155">
        <f t="shared" si="102"/>
        <v>1</v>
      </c>
      <c r="OE155">
        <f t="shared" si="102"/>
        <v>1</v>
      </c>
      <c r="OF155">
        <f t="shared" si="102"/>
        <v>1</v>
      </c>
      <c r="OG155">
        <f t="shared" si="102"/>
        <v>1</v>
      </c>
      <c r="OH155">
        <f t="shared" si="102"/>
        <v>1</v>
      </c>
      <c r="OI155">
        <f t="shared" si="102"/>
        <v>1</v>
      </c>
      <c r="OJ155">
        <f t="shared" si="102"/>
        <v>1</v>
      </c>
      <c r="OK155">
        <f t="shared" si="102"/>
        <v>1</v>
      </c>
      <c r="OL155">
        <f t="shared" si="102"/>
        <v>1</v>
      </c>
      <c r="OM155">
        <f t="shared" si="102"/>
        <v>1</v>
      </c>
      <c r="ON155">
        <f t="shared" si="102"/>
        <v>1</v>
      </c>
      <c r="OO155">
        <f t="shared" si="102"/>
        <v>1</v>
      </c>
      <c r="OP155">
        <f t="shared" si="102"/>
        <v>1</v>
      </c>
      <c r="OQ155">
        <f>SUM(OQ2:OQ154)</f>
        <v>112</v>
      </c>
      <c r="OR155" s="25">
        <f>COUNTA(OR2:OR154)</f>
        <v>11</v>
      </c>
      <c r="OS155" s="25">
        <f>COUNTA(OS2:OS154)</f>
        <v>1</v>
      </c>
      <c r="OT155" s="25">
        <f>COUNTA(OT2:OT154)</f>
        <v>1</v>
      </c>
      <c r="OU155" s="25">
        <f>COUNTA(OU2:OU154)</f>
        <v>1</v>
      </c>
      <c r="OV155" s="25">
        <f>COUNTA(OV2:OV154)</f>
        <v>1</v>
      </c>
      <c r="OW155" s="25">
        <f>SUM(OW2:OW154)</f>
        <v>15</v>
      </c>
      <c r="OX155">
        <f t="shared" ref="OX155:QC155" si="103">COUNTA(OX2:OX154)</f>
        <v>35</v>
      </c>
      <c r="OY155">
        <f t="shared" si="103"/>
        <v>2</v>
      </c>
      <c r="OZ155">
        <f t="shared" si="103"/>
        <v>2</v>
      </c>
      <c r="PA155">
        <f t="shared" si="103"/>
        <v>9</v>
      </c>
      <c r="PB155">
        <f t="shared" si="103"/>
        <v>2</v>
      </c>
      <c r="PC155">
        <f t="shared" si="103"/>
        <v>2</v>
      </c>
      <c r="PD155">
        <f t="shared" si="103"/>
        <v>10</v>
      </c>
      <c r="PE155">
        <f t="shared" si="103"/>
        <v>0</v>
      </c>
      <c r="PF155">
        <f t="shared" si="103"/>
        <v>7</v>
      </c>
      <c r="PG155">
        <f t="shared" si="103"/>
        <v>1</v>
      </c>
      <c r="PH155">
        <f t="shared" si="103"/>
        <v>1</v>
      </c>
      <c r="PI155">
        <f t="shared" si="103"/>
        <v>1</v>
      </c>
      <c r="PJ155">
        <f t="shared" si="103"/>
        <v>5</v>
      </c>
      <c r="PK155">
        <f t="shared" si="103"/>
        <v>1</v>
      </c>
      <c r="PL155">
        <f t="shared" si="103"/>
        <v>7</v>
      </c>
      <c r="PM155">
        <f t="shared" si="103"/>
        <v>1</v>
      </c>
      <c r="PN155">
        <f t="shared" si="103"/>
        <v>1</v>
      </c>
      <c r="PO155">
        <f t="shared" si="103"/>
        <v>6</v>
      </c>
      <c r="PP155">
        <f t="shared" si="103"/>
        <v>2</v>
      </c>
      <c r="PQ155">
        <f t="shared" si="103"/>
        <v>3</v>
      </c>
      <c r="PR155">
        <f t="shared" si="103"/>
        <v>1</v>
      </c>
      <c r="PS155">
        <f t="shared" si="103"/>
        <v>1</v>
      </c>
      <c r="PT155">
        <f t="shared" si="103"/>
        <v>2</v>
      </c>
      <c r="PU155">
        <f t="shared" si="103"/>
        <v>3</v>
      </c>
      <c r="PV155">
        <f t="shared" si="103"/>
        <v>4</v>
      </c>
      <c r="PW155">
        <f t="shared" si="103"/>
        <v>2</v>
      </c>
      <c r="PX155">
        <f t="shared" si="103"/>
        <v>1</v>
      </c>
      <c r="PY155">
        <f t="shared" si="103"/>
        <v>0</v>
      </c>
      <c r="PZ155">
        <f t="shared" si="103"/>
        <v>2</v>
      </c>
      <c r="QA155">
        <f t="shared" si="103"/>
        <v>1</v>
      </c>
      <c r="QB155">
        <f t="shared" si="103"/>
        <v>1</v>
      </c>
      <c r="QC155">
        <f t="shared" si="103"/>
        <v>3</v>
      </c>
      <c r="QD155">
        <f t="shared" ref="QD155:RC155" si="104">COUNTA(QD2:QD154)</f>
        <v>1</v>
      </c>
      <c r="QE155">
        <f t="shared" si="104"/>
        <v>1</v>
      </c>
      <c r="QF155">
        <f t="shared" si="104"/>
        <v>1</v>
      </c>
      <c r="QG155">
        <f t="shared" si="104"/>
        <v>2</v>
      </c>
      <c r="QH155">
        <f t="shared" si="104"/>
        <v>1</v>
      </c>
      <c r="QI155">
        <f t="shared" si="104"/>
        <v>2</v>
      </c>
      <c r="QJ155">
        <f t="shared" si="104"/>
        <v>1</v>
      </c>
      <c r="QK155">
        <f t="shared" si="104"/>
        <v>1</v>
      </c>
      <c r="QL155">
        <f t="shared" si="104"/>
        <v>1</v>
      </c>
      <c r="QM155">
        <f t="shared" si="104"/>
        <v>2</v>
      </c>
      <c r="QN155">
        <f t="shared" si="104"/>
        <v>1</v>
      </c>
      <c r="QO155">
        <f t="shared" si="104"/>
        <v>1</v>
      </c>
      <c r="QP155">
        <f t="shared" si="104"/>
        <v>1</v>
      </c>
      <c r="QQ155">
        <f t="shared" si="104"/>
        <v>1</v>
      </c>
      <c r="QR155">
        <f t="shared" si="104"/>
        <v>1</v>
      </c>
      <c r="QS155">
        <f t="shared" si="104"/>
        <v>1</v>
      </c>
      <c r="QT155">
        <f t="shared" si="104"/>
        <v>1</v>
      </c>
      <c r="QU155">
        <f t="shared" si="104"/>
        <v>1</v>
      </c>
      <c r="QV155">
        <f t="shared" si="104"/>
        <v>1</v>
      </c>
      <c r="QW155">
        <f t="shared" si="104"/>
        <v>1</v>
      </c>
      <c r="QX155">
        <f t="shared" si="104"/>
        <v>1</v>
      </c>
      <c r="QY155">
        <f t="shared" si="104"/>
        <v>1</v>
      </c>
      <c r="QZ155">
        <f t="shared" si="104"/>
        <v>1</v>
      </c>
      <c r="RA155">
        <f t="shared" si="104"/>
        <v>1</v>
      </c>
      <c r="RB155">
        <f t="shared" si="104"/>
        <v>1</v>
      </c>
      <c r="RC155">
        <f t="shared" si="104"/>
        <v>1</v>
      </c>
      <c r="RD155">
        <f>SUM(RD2:RD154)</f>
        <v>148</v>
      </c>
      <c r="RE155">
        <f t="shared" ref="RE155:RT155" si="105">COUNTA(RE2:RE154)</f>
        <v>8</v>
      </c>
      <c r="RF155">
        <f t="shared" si="105"/>
        <v>2</v>
      </c>
      <c r="RG155">
        <f t="shared" si="105"/>
        <v>1</v>
      </c>
      <c r="RH155">
        <f t="shared" si="105"/>
        <v>2</v>
      </c>
      <c r="RI155">
        <f t="shared" si="105"/>
        <v>1</v>
      </c>
      <c r="RJ155">
        <f t="shared" si="105"/>
        <v>2</v>
      </c>
      <c r="RK155">
        <f t="shared" si="105"/>
        <v>1</v>
      </c>
      <c r="RL155">
        <f t="shared" si="105"/>
        <v>1</v>
      </c>
      <c r="RM155">
        <f t="shared" si="105"/>
        <v>1</v>
      </c>
      <c r="RN155">
        <f t="shared" si="105"/>
        <v>2</v>
      </c>
      <c r="RO155">
        <f t="shared" si="105"/>
        <v>1</v>
      </c>
      <c r="RP155">
        <f t="shared" si="105"/>
        <v>1</v>
      </c>
      <c r="RQ155">
        <f t="shared" si="105"/>
        <v>1</v>
      </c>
      <c r="RR155">
        <f t="shared" si="105"/>
        <v>1</v>
      </c>
      <c r="RS155">
        <f t="shared" si="105"/>
        <v>1</v>
      </c>
      <c r="RT155">
        <f t="shared" si="105"/>
        <v>1</v>
      </c>
      <c r="RU155">
        <f>SUM(RU2:RU154)</f>
        <v>27</v>
      </c>
      <c r="RV155">
        <f t="shared" ref="RV155:TA155" si="106">COUNTA(RV2:RV154)</f>
        <v>33</v>
      </c>
      <c r="RW155">
        <f t="shared" si="106"/>
        <v>3</v>
      </c>
      <c r="RX155">
        <f t="shared" si="106"/>
        <v>1</v>
      </c>
      <c r="RY155">
        <f t="shared" si="106"/>
        <v>13</v>
      </c>
      <c r="RZ155">
        <f t="shared" si="106"/>
        <v>1</v>
      </c>
      <c r="SA155">
        <f t="shared" si="106"/>
        <v>1</v>
      </c>
      <c r="SB155">
        <f t="shared" si="106"/>
        <v>12</v>
      </c>
      <c r="SC155">
        <f t="shared" si="106"/>
        <v>7</v>
      </c>
      <c r="SD155">
        <f t="shared" si="106"/>
        <v>1</v>
      </c>
      <c r="SE155">
        <f t="shared" si="106"/>
        <v>1</v>
      </c>
      <c r="SF155">
        <f t="shared" si="106"/>
        <v>1</v>
      </c>
      <c r="SG155">
        <f t="shared" si="106"/>
        <v>5</v>
      </c>
      <c r="SH155">
        <f t="shared" si="106"/>
        <v>1</v>
      </c>
      <c r="SI155">
        <f t="shared" si="106"/>
        <v>7</v>
      </c>
      <c r="SJ155">
        <f t="shared" si="106"/>
        <v>1</v>
      </c>
      <c r="SK155">
        <f t="shared" si="106"/>
        <v>1</v>
      </c>
      <c r="SL155">
        <f t="shared" si="106"/>
        <v>5</v>
      </c>
      <c r="SM155">
        <f t="shared" si="106"/>
        <v>5</v>
      </c>
      <c r="SN155">
        <f t="shared" si="106"/>
        <v>3</v>
      </c>
      <c r="SO155">
        <f t="shared" si="106"/>
        <v>1</v>
      </c>
      <c r="SP155">
        <f t="shared" si="106"/>
        <v>1</v>
      </c>
      <c r="SQ155">
        <f t="shared" si="106"/>
        <v>4</v>
      </c>
      <c r="SR155">
        <f t="shared" si="106"/>
        <v>3</v>
      </c>
      <c r="SS155">
        <f t="shared" si="106"/>
        <v>6</v>
      </c>
      <c r="ST155">
        <f t="shared" si="106"/>
        <v>2</v>
      </c>
      <c r="SU155">
        <f t="shared" si="106"/>
        <v>1</v>
      </c>
      <c r="SV155">
        <f t="shared" si="106"/>
        <v>1</v>
      </c>
      <c r="SW155">
        <f t="shared" si="106"/>
        <v>2</v>
      </c>
      <c r="SX155">
        <f t="shared" si="106"/>
        <v>2</v>
      </c>
      <c r="SY155">
        <f t="shared" si="106"/>
        <v>1</v>
      </c>
      <c r="SZ155">
        <f t="shared" si="106"/>
        <v>2</v>
      </c>
      <c r="TA155">
        <f t="shared" si="106"/>
        <v>0</v>
      </c>
      <c r="TB155">
        <f t="shared" ref="TB155:UD155" si="107">COUNTA(TB2:TB154)</f>
        <v>1</v>
      </c>
      <c r="TC155">
        <f t="shared" si="107"/>
        <v>1</v>
      </c>
      <c r="TD155">
        <f t="shared" si="107"/>
        <v>1</v>
      </c>
      <c r="TE155">
        <f t="shared" si="107"/>
        <v>2</v>
      </c>
      <c r="TF155">
        <f t="shared" si="107"/>
        <v>2</v>
      </c>
      <c r="TG155">
        <f t="shared" si="107"/>
        <v>0</v>
      </c>
      <c r="TH155">
        <f t="shared" si="107"/>
        <v>1</v>
      </c>
      <c r="TI155">
        <f t="shared" si="107"/>
        <v>2</v>
      </c>
      <c r="TJ155">
        <f t="shared" si="107"/>
        <v>1</v>
      </c>
      <c r="TK155">
        <f t="shared" si="107"/>
        <v>1</v>
      </c>
      <c r="TL155">
        <f t="shared" si="107"/>
        <v>1</v>
      </c>
      <c r="TM155">
        <f t="shared" si="107"/>
        <v>2</v>
      </c>
      <c r="TN155">
        <f t="shared" si="107"/>
        <v>1</v>
      </c>
      <c r="TO155">
        <f t="shared" si="107"/>
        <v>1</v>
      </c>
      <c r="TP155">
        <f t="shared" si="107"/>
        <v>1</v>
      </c>
      <c r="TQ155">
        <f t="shared" si="107"/>
        <v>1</v>
      </c>
      <c r="TR155">
        <f t="shared" si="107"/>
        <v>1</v>
      </c>
      <c r="TS155">
        <f t="shared" si="107"/>
        <v>1</v>
      </c>
      <c r="TT155">
        <f t="shared" si="107"/>
        <v>1</v>
      </c>
      <c r="TU155">
        <f t="shared" si="107"/>
        <v>1</v>
      </c>
      <c r="TV155">
        <f t="shared" si="107"/>
        <v>1</v>
      </c>
      <c r="TW155">
        <f t="shared" si="107"/>
        <v>1</v>
      </c>
      <c r="TX155">
        <f t="shared" si="107"/>
        <v>1</v>
      </c>
      <c r="TY155">
        <f t="shared" si="107"/>
        <v>1</v>
      </c>
      <c r="TZ155">
        <f t="shared" si="107"/>
        <v>1</v>
      </c>
      <c r="UA155">
        <f t="shared" si="107"/>
        <v>1</v>
      </c>
      <c r="UB155">
        <f t="shared" si="107"/>
        <v>1</v>
      </c>
      <c r="UC155">
        <f t="shared" si="107"/>
        <v>1</v>
      </c>
      <c r="UD155">
        <f t="shared" si="107"/>
        <v>1</v>
      </c>
      <c r="UE155">
        <f>SUM(UE2:UE154)</f>
        <v>160</v>
      </c>
      <c r="UF155">
        <f t="shared" ref="UF155:VI155" si="108">COUNTA(UF2:UF154)</f>
        <v>8</v>
      </c>
      <c r="UG155">
        <f t="shared" si="108"/>
        <v>3</v>
      </c>
      <c r="UH155">
        <f t="shared" si="108"/>
        <v>4</v>
      </c>
      <c r="UI155">
        <f t="shared" si="108"/>
        <v>2</v>
      </c>
      <c r="UJ155">
        <f t="shared" si="108"/>
        <v>1</v>
      </c>
      <c r="UK155">
        <f t="shared" si="108"/>
        <v>5</v>
      </c>
      <c r="UL155">
        <f t="shared" si="108"/>
        <v>1</v>
      </c>
      <c r="UM155">
        <f t="shared" si="108"/>
        <v>1</v>
      </c>
      <c r="UN155">
        <f t="shared" si="108"/>
        <v>0</v>
      </c>
      <c r="UO155">
        <f t="shared" si="108"/>
        <v>1</v>
      </c>
      <c r="UP155">
        <f t="shared" si="108"/>
        <v>2</v>
      </c>
      <c r="UQ155">
        <f t="shared" si="108"/>
        <v>1</v>
      </c>
      <c r="UR155">
        <f t="shared" si="108"/>
        <v>1</v>
      </c>
      <c r="US155">
        <f t="shared" si="108"/>
        <v>2</v>
      </c>
      <c r="UT155">
        <f t="shared" si="108"/>
        <v>0</v>
      </c>
      <c r="UU155">
        <f t="shared" si="108"/>
        <v>0</v>
      </c>
      <c r="UV155">
        <f t="shared" si="108"/>
        <v>1</v>
      </c>
      <c r="UW155">
        <f t="shared" si="108"/>
        <v>1</v>
      </c>
      <c r="UX155">
        <f t="shared" si="108"/>
        <v>1</v>
      </c>
      <c r="UY155">
        <f t="shared" si="108"/>
        <v>1</v>
      </c>
      <c r="UZ155">
        <f t="shared" si="108"/>
        <v>1</v>
      </c>
      <c r="VA155">
        <f t="shared" si="108"/>
        <v>1</v>
      </c>
      <c r="VB155">
        <f t="shared" si="108"/>
        <v>1</v>
      </c>
      <c r="VC155">
        <f t="shared" si="108"/>
        <v>1</v>
      </c>
      <c r="VD155">
        <f t="shared" si="108"/>
        <v>1</v>
      </c>
      <c r="VE155">
        <f t="shared" si="108"/>
        <v>1</v>
      </c>
      <c r="VF155">
        <f t="shared" si="108"/>
        <v>1</v>
      </c>
      <c r="VG155">
        <f t="shared" si="108"/>
        <v>1</v>
      </c>
      <c r="VH155">
        <f t="shared" si="108"/>
        <v>1</v>
      </c>
      <c r="VI155">
        <f t="shared" si="108"/>
        <v>1</v>
      </c>
      <c r="VJ155">
        <f>SUM(VJ2:VJ154)</f>
        <v>46</v>
      </c>
      <c r="VK155">
        <f t="shared" ref="VK155:WL155" si="109">COUNTA(VK2:VK154)</f>
        <v>46</v>
      </c>
      <c r="VL155">
        <f t="shared" si="109"/>
        <v>6</v>
      </c>
      <c r="VM155">
        <f t="shared" si="109"/>
        <v>8</v>
      </c>
      <c r="VN155">
        <f t="shared" si="109"/>
        <v>3</v>
      </c>
      <c r="VO155">
        <f t="shared" si="109"/>
        <v>1</v>
      </c>
      <c r="VP155">
        <f t="shared" si="109"/>
        <v>9</v>
      </c>
      <c r="VQ155">
        <f t="shared" si="109"/>
        <v>8</v>
      </c>
      <c r="VR155">
        <f t="shared" si="109"/>
        <v>1</v>
      </c>
      <c r="VS155">
        <f t="shared" si="109"/>
        <v>1</v>
      </c>
      <c r="VT155">
        <f t="shared" si="109"/>
        <v>1</v>
      </c>
      <c r="VU155">
        <f t="shared" si="109"/>
        <v>6</v>
      </c>
      <c r="VV155">
        <f t="shared" si="109"/>
        <v>1</v>
      </c>
      <c r="VW155">
        <f t="shared" si="109"/>
        <v>4</v>
      </c>
      <c r="VX155">
        <f t="shared" si="109"/>
        <v>1</v>
      </c>
      <c r="VY155">
        <f t="shared" si="109"/>
        <v>1</v>
      </c>
      <c r="VZ155">
        <f t="shared" si="109"/>
        <v>4</v>
      </c>
      <c r="WA155">
        <f t="shared" si="109"/>
        <v>4</v>
      </c>
      <c r="WB155">
        <f t="shared" si="109"/>
        <v>2</v>
      </c>
      <c r="WC155">
        <f t="shared" si="109"/>
        <v>2</v>
      </c>
      <c r="WD155">
        <f t="shared" si="109"/>
        <v>2</v>
      </c>
      <c r="WE155">
        <f t="shared" si="109"/>
        <v>4</v>
      </c>
      <c r="WF155">
        <f t="shared" si="109"/>
        <v>1</v>
      </c>
      <c r="WG155">
        <f t="shared" si="109"/>
        <v>1</v>
      </c>
      <c r="WH155">
        <f t="shared" si="109"/>
        <v>2</v>
      </c>
      <c r="WI155">
        <f t="shared" si="109"/>
        <v>1</v>
      </c>
      <c r="WJ155">
        <f t="shared" si="109"/>
        <v>1</v>
      </c>
      <c r="WK155">
        <f t="shared" si="109"/>
        <v>1</v>
      </c>
      <c r="WL155">
        <f t="shared" si="109"/>
        <v>1</v>
      </c>
      <c r="WM155">
        <f>SUM(WM2:WM154)</f>
        <v>123</v>
      </c>
      <c r="WN155">
        <f t="shared" ref="WN155:XG155" si="110">COUNTA(WN2:WN154)</f>
        <v>13</v>
      </c>
      <c r="WO155">
        <f t="shared" si="110"/>
        <v>2</v>
      </c>
      <c r="WP155">
        <f t="shared" si="110"/>
        <v>3</v>
      </c>
      <c r="WQ155">
        <f t="shared" si="110"/>
        <v>2</v>
      </c>
      <c r="WR155">
        <f t="shared" si="110"/>
        <v>6</v>
      </c>
      <c r="WS155">
        <f t="shared" si="110"/>
        <v>4</v>
      </c>
      <c r="WT155">
        <f t="shared" si="110"/>
        <v>1</v>
      </c>
      <c r="WU155">
        <f t="shared" si="110"/>
        <v>1</v>
      </c>
      <c r="WV155">
        <f t="shared" si="110"/>
        <v>1</v>
      </c>
      <c r="WW155">
        <f t="shared" si="110"/>
        <v>1</v>
      </c>
      <c r="WX155">
        <f t="shared" si="110"/>
        <v>2</v>
      </c>
      <c r="WY155">
        <f t="shared" si="110"/>
        <v>1</v>
      </c>
      <c r="WZ155">
        <f t="shared" si="110"/>
        <v>1</v>
      </c>
      <c r="XA155">
        <f t="shared" si="110"/>
        <v>1</v>
      </c>
      <c r="XB155">
        <f t="shared" si="110"/>
        <v>1</v>
      </c>
      <c r="XC155">
        <f t="shared" si="110"/>
        <v>2</v>
      </c>
      <c r="XD155">
        <f t="shared" si="110"/>
        <v>2</v>
      </c>
      <c r="XE155">
        <f t="shared" si="110"/>
        <v>1</v>
      </c>
      <c r="XF155">
        <f t="shared" si="110"/>
        <v>1</v>
      </c>
      <c r="XG155">
        <f t="shared" si="110"/>
        <v>0</v>
      </c>
      <c r="XH155">
        <f>SUM(XH2:XH154)</f>
        <v>46</v>
      </c>
      <c r="XI155">
        <f t="shared" ref="XI155:YC155" si="111">COUNTA(XI2:XI154)</f>
        <v>10</v>
      </c>
      <c r="XJ155">
        <f t="shared" si="111"/>
        <v>5</v>
      </c>
      <c r="XK155">
        <f t="shared" si="111"/>
        <v>3</v>
      </c>
      <c r="XL155">
        <f t="shared" si="111"/>
        <v>2</v>
      </c>
      <c r="XM155">
        <f t="shared" si="111"/>
        <v>4</v>
      </c>
      <c r="XN155">
        <f t="shared" si="111"/>
        <v>4</v>
      </c>
      <c r="XO155">
        <f t="shared" si="111"/>
        <v>1</v>
      </c>
      <c r="XP155">
        <f t="shared" si="111"/>
        <v>1</v>
      </c>
      <c r="XQ155">
        <f t="shared" si="111"/>
        <v>1</v>
      </c>
      <c r="XR155">
        <f t="shared" si="111"/>
        <v>2</v>
      </c>
      <c r="XS155">
        <f t="shared" si="111"/>
        <v>1</v>
      </c>
      <c r="XT155">
        <f t="shared" si="111"/>
        <v>2</v>
      </c>
      <c r="XU155">
        <f t="shared" si="111"/>
        <v>1</v>
      </c>
      <c r="XV155">
        <f t="shared" si="111"/>
        <v>1</v>
      </c>
      <c r="XW155">
        <f t="shared" si="111"/>
        <v>2</v>
      </c>
      <c r="XX155">
        <f t="shared" si="111"/>
        <v>1</v>
      </c>
      <c r="XY155">
        <f t="shared" si="111"/>
        <v>1</v>
      </c>
      <c r="XZ155">
        <f t="shared" si="111"/>
        <v>3</v>
      </c>
      <c r="YA155">
        <f t="shared" si="111"/>
        <v>1</v>
      </c>
      <c r="YB155">
        <f t="shared" si="111"/>
        <v>1</v>
      </c>
      <c r="YC155">
        <f t="shared" si="111"/>
        <v>1</v>
      </c>
      <c r="YD155">
        <f>SUM(YD2:YD154)</f>
        <v>48</v>
      </c>
      <c r="YE155">
        <f t="shared" ref="YE155:YW155" si="112">COUNTA(YE2:YE154)</f>
        <v>13</v>
      </c>
      <c r="YF155">
        <f t="shared" si="112"/>
        <v>1</v>
      </c>
      <c r="YG155">
        <f t="shared" si="112"/>
        <v>4</v>
      </c>
      <c r="YH155">
        <f t="shared" si="112"/>
        <v>2</v>
      </c>
      <c r="YI155">
        <f t="shared" si="112"/>
        <v>1</v>
      </c>
      <c r="YJ155">
        <f t="shared" si="112"/>
        <v>6</v>
      </c>
      <c r="YK155">
        <f t="shared" si="112"/>
        <v>3</v>
      </c>
      <c r="YL155">
        <f t="shared" si="112"/>
        <v>1</v>
      </c>
      <c r="YM155">
        <f t="shared" si="112"/>
        <v>1</v>
      </c>
      <c r="YN155">
        <f t="shared" si="112"/>
        <v>1</v>
      </c>
      <c r="YO155">
        <f t="shared" si="112"/>
        <v>2</v>
      </c>
      <c r="YP155">
        <f t="shared" si="112"/>
        <v>1</v>
      </c>
      <c r="YQ155">
        <f t="shared" si="112"/>
        <v>2</v>
      </c>
      <c r="YR155">
        <f t="shared" si="112"/>
        <v>1</v>
      </c>
      <c r="YS155">
        <f t="shared" si="112"/>
        <v>1</v>
      </c>
      <c r="YT155">
        <f t="shared" si="112"/>
        <v>3</v>
      </c>
      <c r="YU155">
        <f t="shared" si="112"/>
        <v>2</v>
      </c>
      <c r="YV155">
        <f t="shared" si="112"/>
        <v>1</v>
      </c>
      <c r="YW155">
        <f t="shared" si="112"/>
        <v>1</v>
      </c>
      <c r="YX155">
        <f>SUM(YX2:YX154)</f>
        <v>47</v>
      </c>
      <c r="YY155">
        <f t="shared" ref="YY155:ZQ155" si="113">COUNTA(YY2:YY154)</f>
        <v>25</v>
      </c>
      <c r="YZ155">
        <f t="shared" si="113"/>
        <v>1</v>
      </c>
      <c r="ZA155">
        <f t="shared" si="113"/>
        <v>7</v>
      </c>
      <c r="ZB155">
        <f t="shared" si="113"/>
        <v>7</v>
      </c>
      <c r="ZC155">
        <f t="shared" si="113"/>
        <v>2</v>
      </c>
      <c r="ZD155">
        <f t="shared" si="113"/>
        <v>1</v>
      </c>
      <c r="ZE155">
        <f t="shared" si="113"/>
        <v>1</v>
      </c>
      <c r="ZF155">
        <f t="shared" si="113"/>
        <v>1</v>
      </c>
      <c r="ZG155">
        <f t="shared" si="113"/>
        <v>3</v>
      </c>
      <c r="ZH155">
        <f t="shared" si="113"/>
        <v>1</v>
      </c>
      <c r="ZI155">
        <f t="shared" si="113"/>
        <v>3</v>
      </c>
      <c r="ZJ155">
        <f t="shared" si="113"/>
        <v>1</v>
      </c>
      <c r="ZK155">
        <f t="shared" si="113"/>
        <v>1</v>
      </c>
      <c r="ZL155">
        <f t="shared" si="113"/>
        <v>1</v>
      </c>
      <c r="ZM155">
        <f t="shared" si="113"/>
        <v>1</v>
      </c>
      <c r="ZN155">
        <f t="shared" si="113"/>
        <v>1</v>
      </c>
      <c r="ZO155">
        <f t="shared" si="113"/>
        <v>1</v>
      </c>
      <c r="ZP155">
        <f t="shared" si="113"/>
        <v>1</v>
      </c>
      <c r="ZQ155">
        <f t="shared" si="113"/>
        <v>1</v>
      </c>
      <c r="ZR155">
        <f>SUM(ZR2:ZR154)</f>
        <v>60</v>
      </c>
      <c r="ZS155" s="25">
        <f>COUNTA(ZS2:ZS154)</f>
        <v>1</v>
      </c>
      <c r="ZT155" s="25">
        <f>COUNTA(ZT2:ZT154)</f>
        <v>1</v>
      </c>
      <c r="ZU155" s="25">
        <f>COUNTA(ZU2:ZU154)</f>
        <v>1</v>
      </c>
      <c r="ZV155" s="25">
        <f>COUNTA(ZV2:ZV154)</f>
        <v>1</v>
      </c>
      <c r="ZW155" s="25">
        <f>COUNTA(ZW2:ZW154)</f>
        <v>2</v>
      </c>
      <c r="ZX155">
        <f>SUM(ZX2:ZX154)</f>
        <v>6</v>
      </c>
      <c r="ZY155">
        <f t="shared" ref="ZY155:AAS155" si="114">COUNTA(ZY2:ZY154)</f>
        <v>16</v>
      </c>
      <c r="ZZ155">
        <f t="shared" si="114"/>
        <v>5</v>
      </c>
      <c r="AAA155">
        <f t="shared" si="114"/>
        <v>2</v>
      </c>
      <c r="AAB155">
        <f t="shared" si="114"/>
        <v>1</v>
      </c>
      <c r="AAC155">
        <f t="shared" si="114"/>
        <v>7</v>
      </c>
      <c r="AAD155">
        <f t="shared" si="114"/>
        <v>6</v>
      </c>
      <c r="AAE155">
        <f t="shared" si="114"/>
        <v>1</v>
      </c>
      <c r="AAF155">
        <f t="shared" si="114"/>
        <v>1</v>
      </c>
      <c r="AAG155">
        <f t="shared" si="114"/>
        <v>1</v>
      </c>
      <c r="AAH155">
        <f t="shared" si="114"/>
        <v>3</v>
      </c>
      <c r="AAI155">
        <f t="shared" si="114"/>
        <v>1</v>
      </c>
      <c r="AAJ155">
        <f t="shared" si="114"/>
        <v>4</v>
      </c>
      <c r="AAK155">
        <f t="shared" si="114"/>
        <v>1</v>
      </c>
      <c r="AAL155">
        <f t="shared" si="114"/>
        <v>1</v>
      </c>
      <c r="AAM155">
        <f t="shared" si="114"/>
        <v>3</v>
      </c>
      <c r="AAN155">
        <f t="shared" si="114"/>
        <v>1</v>
      </c>
      <c r="AAO155">
        <f t="shared" si="114"/>
        <v>1</v>
      </c>
      <c r="AAP155">
        <f t="shared" si="114"/>
        <v>3</v>
      </c>
      <c r="AAQ155">
        <f t="shared" si="114"/>
        <v>1</v>
      </c>
      <c r="AAR155">
        <f t="shared" si="114"/>
        <v>1</v>
      </c>
      <c r="AAS155">
        <f t="shared" si="114"/>
        <v>1</v>
      </c>
      <c r="AAT155">
        <f>SUM(AAT2:AAT154)</f>
        <v>61</v>
      </c>
      <c r="AAU155">
        <f t="shared" ref="AAU155:ABP155" si="115">COUNTA(AAU2:AAU154)</f>
        <v>21</v>
      </c>
      <c r="AAV155">
        <f t="shared" si="115"/>
        <v>1</v>
      </c>
      <c r="AAW155">
        <f t="shared" si="115"/>
        <v>10</v>
      </c>
      <c r="AAX155">
        <f t="shared" si="115"/>
        <v>4</v>
      </c>
      <c r="AAY155">
        <f t="shared" si="115"/>
        <v>1</v>
      </c>
      <c r="AAZ155">
        <f t="shared" si="115"/>
        <v>9</v>
      </c>
      <c r="ABA155">
        <f t="shared" si="115"/>
        <v>1</v>
      </c>
      <c r="ABB155">
        <f t="shared" si="115"/>
        <v>7</v>
      </c>
      <c r="ABC155">
        <f t="shared" si="115"/>
        <v>3</v>
      </c>
      <c r="ABD155">
        <f t="shared" si="115"/>
        <v>1</v>
      </c>
      <c r="ABE155">
        <f t="shared" si="115"/>
        <v>4</v>
      </c>
      <c r="ABF155">
        <f t="shared" si="115"/>
        <v>1</v>
      </c>
      <c r="ABG155">
        <f t="shared" si="115"/>
        <v>1</v>
      </c>
      <c r="ABH155">
        <f t="shared" si="115"/>
        <v>4</v>
      </c>
      <c r="ABI155">
        <f t="shared" si="115"/>
        <v>2</v>
      </c>
      <c r="ABJ155">
        <f t="shared" si="115"/>
        <v>3</v>
      </c>
      <c r="ABK155">
        <f t="shared" si="115"/>
        <v>1</v>
      </c>
      <c r="ABL155">
        <f t="shared" si="115"/>
        <v>3</v>
      </c>
      <c r="ABM155">
        <f t="shared" si="115"/>
        <v>2</v>
      </c>
      <c r="ABN155">
        <f t="shared" si="115"/>
        <v>2</v>
      </c>
      <c r="ABO155">
        <f t="shared" si="115"/>
        <v>0</v>
      </c>
      <c r="ABP155">
        <f t="shared" si="115"/>
        <v>1</v>
      </c>
      <c r="ABQ155">
        <f>SUM(ABQ2:ABQ154)</f>
        <v>22</v>
      </c>
      <c r="ABR155" s="25">
        <f>COUNTA(ABR2:ABR154)</f>
        <v>4</v>
      </c>
      <c r="ABS155" s="25">
        <f>COUNTA(ABS2:ABS154)</f>
        <v>1</v>
      </c>
      <c r="ABT155" s="25">
        <f>COUNTA(ABT2:ABT154)</f>
        <v>1</v>
      </c>
      <c r="ABU155" s="25">
        <f>COUNTA(ABU2:ABU154)</f>
        <v>1</v>
      </c>
      <c r="ABV155" s="25">
        <f>SUM(ABV2:ABV154)</f>
        <v>7</v>
      </c>
      <c r="ABW155" s="25">
        <f t="shared" ref="ABW155:ACB155" si="116">COUNTA(ABW2:ABW154)</f>
        <v>5</v>
      </c>
      <c r="ABX155" s="25">
        <f t="shared" si="116"/>
        <v>1</v>
      </c>
      <c r="ABY155" s="25">
        <f t="shared" si="116"/>
        <v>1</v>
      </c>
      <c r="ABZ155" s="25">
        <f t="shared" si="116"/>
        <v>1</v>
      </c>
      <c r="ACA155" s="25">
        <f t="shared" si="116"/>
        <v>1</v>
      </c>
      <c r="ACB155" s="25">
        <f t="shared" si="116"/>
        <v>1</v>
      </c>
      <c r="ACC155" s="25">
        <f>SUM(ACC2:ACC154)</f>
        <v>10</v>
      </c>
      <c r="ACD155">
        <f t="shared" ref="ACD155:ACP155" si="117">COUNTA(ACD2:ACD154)</f>
        <v>1</v>
      </c>
      <c r="ACE155">
        <f t="shared" si="117"/>
        <v>1</v>
      </c>
      <c r="ACF155">
        <f t="shared" si="117"/>
        <v>1</v>
      </c>
      <c r="ACG155">
        <f t="shared" si="117"/>
        <v>1</v>
      </c>
      <c r="ACH155">
        <f t="shared" si="117"/>
        <v>7</v>
      </c>
      <c r="ACI155">
        <f t="shared" si="117"/>
        <v>1</v>
      </c>
      <c r="ACJ155">
        <f t="shared" si="117"/>
        <v>1</v>
      </c>
      <c r="ACK155">
        <f t="shared" si="117"/>
        <v>4</v>
      </c>
      <c r="ACL155">
        <f t="shared" si="117"/>
        <v>4</v>
      </c>
      <c r="ACM155">
        <f t="shared" si="117"/>
        <v>1</v>
      </c>
      <c r="ACN155">
        <f t="shared" si="117"/>
        <v>1</v>
      </c>
      <c r="ACO155">
        <f t="shared" si="117"/>
        <v>1</v>
      </c>
      <c r="ACP155">
        <f t="shared" si="117"/>
        <v>1</v>
      </c>
      <c r="ACQ155">
        <f>SUM(ACQ2:ACQ154)</f>
        <v>21</v>
      </c>
      <c r="ACR155">
        <f t="shared" ref="ACR155:ACZ155" si="118">COUNTA(ACR2:ACR154)</f>
        <v>2</v>
      </c>
      <c r="ACS155">
        <f t="shared" si="118"/>
        <v>2</v>
      </c>
      <c r="ACT155">
        <f t="shared" si="118"/>
        <v>2</v>
      </c>
      <c r="ACU155">
        <f t="shared" si="118"/>
        <v>2</v>
      </c>
      <c r="ACV155">
        <f t="shared" si="118"/>
        <v>2</v>
      </c>
      <c r="ACW155">
        <f t="shared" si="118"/>
        <v>1</v>
      </c>
      <c r="ACX155">
        <f t="shared" si="118"/>
        <v>1</v>
      </c>
      <c r="ACY155">
        <f t="shared" si="118"/>
        <v>1</v>
      </c>
      <c r="ACZ155">
        <f t="shared" si="118"/>
        <v>1</v>
      </c>
      <c r="ADA155">
        <f>SUM(ADA2:ADA154)</f>
        <v>6</v>
      </c>
      <c r="ADB155">
        <f t="shared" ref="ADB155:ADL155" si="119">COUNTA(ADB2:ADB154)</f>
        <v>3</v>
      </c>
      <c r="ADC155">
        <f t="shared" si="119"/>
        <v>2</v>
      </c>
      <c r="ADD155">
        <f t="shared" si="119"/>
        <v>2</v>
      </c>
      <c r="ADE155">
        <f t="shared" si="119"/>
        <v>1</v>
      </c>
      <c r="ADF155">
        <f t="shared" si="119"/>
        <v>1</v>
      </c>
      <c r="ADG155">
        <f t="shared" si="119"/>
        <v>1</v>
      </c>
      <c r="ADH155">
        <f t="shared" si="119"/>
        <v>1</v>
      </c>
      <c r="ADI155">
        <f t="shared" si="119"/>
        <v>1</v>
      </c>
      <c r="ADJ155">
        <f t="shared" si="119"/>
        <v>1</v>
      </c>
      <c r="ADK155">
        <f t="shared" si="119"/>
        <v>1</v>
      </c>
      <c r="ADL155">
        <f t="shared" si="119"/>
        <v>1</v>
      </c>
      <c r="ADM155">
        <f>SUM(ADM2:ADM154)</f>
        <v>15</v>
      </c>
      <c r="ADN155">
        <f t="shared" ref="ADN155:AEG155" si="120">COUNTA(ADN2:ADN154)</f>
        <v>5</v>
      </c>
      <c r="ADO155">
        <f t="shared" si="120"/>
        <v>2</v>
      </c>
      <c r="ADP155">
        <f t="shared" si="120"/>
        <v>1</v>
      </c>
      <c r="ADQ155">
        <f t="shared" si="120"/>
        <v>1</v>
      </c>
      <c r="ADR155">
        <f t="shared" si="120"/>
        <v>3</v>
      </c>
      <c r="ADS155">
        <f t="shared" si="120"/>
        <v>4</v>
      </c>
      <c r="ADT155">
        <f t="shared" si="120"/>
        <v>1</v>
      </c>
      <c r="ADU155">
        <f t="shared" si="120"/>
        <v>1</v>
      </c>
      <c r="ADV155">
        <f t="shared" si="120"/>
        <v>1</v>
      </c>
      <c r="ADW155">
        <f t="shared" si="120"/>
        <v>2</v>
      </c>
      <c r="ADX155">
        <f t="shared" si="120"/>
        <v>1</v>
      </c>
      <c r="ADY155">
        <f t="shared" si="120"/>
        <v>1</v>
      </c>
      <c r="ADZ155">
        <f t="shared" si="120"/>
        <v>1</v>
      </c>
      <c r="AEA155">
        <f t="shared" si="120"/>
        <v>1</v>
      </c>
      <c r="AEB155">
        <f t="shared" si="120"/>
        <v>2</v>
      </c>
      <c r="AEC155">
        <f t="shared" si="120"/>
        <v>1</v>
      </c>
      <c r="AED155">
        <f t="shared" si="120"/>
        <v>1</v>
      </c>
      <c r="AEE155">
        <f t="shared" si="120"/>
        <v>1</v>
      </c>
      <c r="AEF155">
        <f t="shared" si="120"/>
        <v>1</v>
      </c>
      <c r="AEG155">
        <f t="shared" si="120"/>
        <v>1</v>
      </c>
      <c r="AEH155">
        <f t="shared" ref="AEH155" si="121">COUNTA(AEH2:AEH154)</f>
        <v>1</v>
      </c>
      <c r="AEI155" s="15">
        <f>SUM(AEI2:AEI154)</f>
        <v>33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53"/>
  <sheetViews>
    <sheetView topLeftCell="I1" workbookViewId="0">
      <selection activeCell="B1" sqref="B1:AB1"/>
    </sheetView>
  </sheetViews>
  <sheetFormatPr defaultColWidth="8.85546875" defaultRowHeight="15" x14ac:dyDescent="0.25"/>
  <cols>
    <col min="1" max="1" width="18.140625" bestFit="1" customWidth="1"/>
    <col min="2" max="2" width="13" customWidth="1"/>
    <col min="4" max="5" width="10.7109375" customWidth="1"/>
    <col min="8" max="10" width="10.7109375" customWidth="1"/>
    <col min="12" max="12" width="10.7109375" customWidth="1"/>
    <col min="14" max="15" width="10.7109375" customWidth="1"/>
    <col min="18" max="26" width="9.140625" customWidth="1"/>
    <col min="27" max="27" width="12.85546875" customWidth="1"/>
    <col min="28" max="28" width="11.5703125" customWidth="1"/>
  </cols>
  <sheetData>
    <row r="1" spans="1:28" x14ac:dyDescent="0.25">
      <c r="A1" t="s">
        <v>0</v>
      </c>
      <c r="B1" t="s">
        <v>2067</v>
      </c>
      <c r="C1" t="s">
        <v>389</v>
      </c>
      <c r="D1" t="s">
        <v>1752</v>
      </c>
      <c r="E1" t="s">
        <v>1751</v>
      </c>
      <c r="F1" t="s">
        <v>336</v>
      </c>
      <c r="G1" t="s">
        <v>838</v>
      </c>
      <c r="H1" t="s">
        <v>1753</v>
      </c>
      <c r="I1" t="s">
        <v>1754</v>
      </c>
      <c r="J1" t="s">
        <v>1755</v>
      </c>
      <c r="K1" t="s">
        <v>904</v>
      </c>
      <c r="L1" t="s">
        <v>1756</v>
      </c>
      <c r="M1" t="s">
        <v>390</v>
      </c>
      <c r="N1" t="s">
        <v>1757</v>
      </c>
      <c r="O1" t="s">
        <v>1758</v>
      </c>
      <c r="P1" t="s">
        <v>391</v>
      </c>
      <c r="Q1" t="s">
        <v>392</v>
      </c>
      <c r="R1" t="s">
        <v>393</v>
      </c>
      <c r="S1" t="s">
        <v>601</v>
      </c>
      <c r="T1" t="s">
        <v>620</v>
      </c>
      <c r="U1" t="s">
        <v>677</v>
      </c>
      <c r="V1" t="s">
        <v>678</v>
      </c>
      <c r="W1" t="s">
        <v>679</v>
      </c>
      <c r="X1" t="s">
        <v>680</v>
      </c>
      <c r="Y1" t="s">
        <v>681</v>
      </c>
      <c r="Z1" t="s">
        <v>1055</v>
      </c>
      <c r="AA1" t="s">
        <v>797</v>
      </c>
      <c r="AB1" t="s">
        <v>798</v>
      </c>
    </row>
    <row r="2" spans="1:28" x14ac:dyDescent="0.25">
      <c r="A2" t="s">
        <v>6</v>
      </c>
      <c r="B2">
        <v>124</v>
      </c>
      <c r="F2">
        <v>41</v>
      </c>
    </row>
    <row r="3" spans="1:28" x14ac:dyDescent="0.25">
      <c r="A3" t="s">
        <v>11</v>
      </c>
    </row>
    <row r="4" spans="1:28" x14ac:dyDescent="0.25">
      <c r="A4" t="s">
        <v>12</v>
      </c>
    </row>
    <row r="5" spans="1:28" x14ac:dyDescent="0.25">
      <c r="A5" t="s">
        <v>16</v>
      </c>
    </row>
    <row r="6" spans="1:28" x14ac:dyDescent="0.25">
      <c r="A6" t="s">
        <v>18</v>
      </c>
    </row>
    <row r="7" spans="1:28" x14ac:dyDescent="0.25">
      <c r="A7" t="s">
        <v>20</v>
      </c>
    </row>
    <row r="8" spans="1:28" x14ac:dyDescent="0.25">
      <c r="A8" t="s">
        <v>22</v>
      </c>
      <c r="T8">
        <v>20</v>
      </c>
      <c r="U8">
        <v>12</v>
      </c>
      <c r="V8">
        <v>8</v>
      </c>
      <c r="W8">
        <v>8</v>
      </c>
      <c r="X8">
        <v>8</v>
      </c>
      <c r="Y8">
        <v>9</v>
      </c>
    </row>
    <row r="9" spans="1:28" x14ac:dyDescent="0.25">
      <c r="A9" t="s">
        <v>24</v>
      </c>
    </row>
    <row r="10" spans="1:28" x14ac:dyDescent="0.25">
      <c r="A10" t="s">
        <v>26</v>
      </c>
    </row>
    <row r="11" spans="1:28" x14ac:dyDescent="0.25">
      <c r="A11" t="s">
        <v>28</v>
      </c>
    </row>
    <row r="12" spans="1:28" x14ac:dyDescent="0.25">
      <c r="A12" t="s">
        <v>30</v>
      </c>
    </row>
    <row r="13" spans="1:28" x14ac:dyDescent="0.25">
      <c r="A13" t="s">
        <v>32</v>
      </c>
    </row>
    <row r="14" spans="1:28" x14ac:dyDescent="0.25">
      <c r="A14" t="s">
        <v>34</v>
      </c>
    </row>
    <row r="15" spans="1:28" x14ac:dyDescent="0.25">
      <c r="A15" t="s">
        <v>36</v>
      </c>
    </row>
    <row r="16" spans="1:28" x14ac:dyDescent="0.25">
      <c r="A16" t="s">
        <v>37</v>
      </c>
    </row>
    <row r="17" spans="1:2" x14ac:dyDescent="0.25">
      <c r="A17" t="s">
        <v>40</v>
      </c>
    </row>
    <row r="18" spans="1:2" x14ac:dyDescent="0.25">
      <c r="A18" t="s">
        <v>42</v>
      </c>
    </row>
    <row r="19" spans="1:2" x14ac:dyDescent="0.25">
      <c r="A19" t="s">
        <v>43</v>
      </c>
    </row>
    <row r="20" spans="1:2" x14ac:dyDescent="0.25">
      <c r="A20" t="s">
        <v>44</v>
      </c>
    </row>
    <row r="21" spans="1:2" x14ac:dyDescent="0.25">
      <c r="A21" t="s">
        <v>46</v>
      </c>
    </row>
    <row r="22" spans="1:2" x14ac:dyDescent="0.25">
      <c r="A22" t="s">
        <v>48</v>
      </c>
    </row>
    <row r="23" spans="1:2" x14ac:dyDescent="0.25">
      <c r="A23" t="s">
        <v>50</v>
      </c>
    </row>
    <row r="24" spans="1:2" x14ac:dyDescent="0.25">
      <c r="A24" t="s">
        <v>52</v>
      </c>
    </row>
    <row r="25" spans="1:2" x14ac:dyDescent="0.25">
      <c r="A25" t="s">
        <v>53</v>
      </c>
    </row>
    <row r="26" spans="1:2" x14ac:dyDescent="0.25">
      <c r="A26" t="s">
        <v>55</v>
      </c>
    </row>
    <row r="27" spans="1:2" x14ac:dyDescent="0.25">
      <c r="A27" t="s">
        <v>57</v>
      </c>
    </row>
    <row r="28" spans="1:2" x14ac:dyDescent="0.25">
      <c r="A28" t="s">
        <v>59</v>
      </c>
    </row>
    <row r="29" spans="1:2" x14ac:dyDescent="0.25">
      <c r="A29" t="s">
        <v>60</v>
      </c>
    </row>
    <row r="30" spans="1:2" x14ac:dyDescent="0.25">
      <c r="A30" t="s">
        <v>62</v>
      </c>
      <c r="B30">
        <v>1.0900000000000001</v>
      </c>
    </row>
    <row r="31" spans="1:2" x14ac:dyDescent="0.25">
      <c r="A31" t="s">
        <v>64</v>
      </c>
    </row>
    <row r="32" spans="1:2" x14ac:dyDescent="0.25">
      <c r="A32" t="s">
        <v>65</v>
      </c>
      <c r="B32">
        <v>3000</v>
      </c>
    </row>
    <row r="33" spans="1:20" x14ac:dyDescent="0.25">
      <c r="A33" t="s">
        <v>66</v>
      </c>
      <c r="B33">
        <v>105</v>
      </c>
      <c r="S33">
        <v>56</v>
      </c>
      <c r="T33">
        <v>37</v>
      </c>
    </row>
    <row r="34" spans="1:20" x14ac:dyDescent="0.25">
      <c r="A34" t="s">
        <v>68</v>
      </c>
    </row>
    <row r="35" spans="1:20" x14ac:dyDescent="0.25">
      <c r="A35" t="s">
        <v>69</v>
      </c>
    </row>
    <row r="36" spans="1:20" x14ac:dyDescent="0.25">
      <c r="A36" t="s">
        <v>71</v>
      </c>
    </row>
    <row r="37" spans="1:20" x14ac:dyDescent="0.25">
      <c r="A37" t="s">
        <v>73</v>
      </c>
    </row>
    <row r="38" spans="1:20" x14ac:dyDescent="0.25">
      <c r="A38" t="s">
        <v>74</v>
      </c>
      <c r="R38" t="s">
        <v>554</v>
      </c>
    </row>
    <row r="39" spans="1:20" x14ac:dyDescent="0.25">
      <c r="A39" t="s">
        <v>76</v>
      </c>
    </row>
    <row r="40" spans="1:20" x14ac:dyDescent="0.25">
      <c r="A40" t="s">
        <v>78</v>
      </c>
    </row>
    <row r="41" spans="1:20" x14ac:dyDescent="0.25">
      <c r="A41" t="s">
        <v>80</v>
      </c>
    </row>
    <row r="42" spans="1:20" x14ac:dyDescent="0.25">
      <c r="A42" t="s">
        <v>82</v>
      </c>
    </row>
    <row r="43" spans="1:20" x14ac:dyDescent="0.25">
      <c r="A43" t="s">
        <v>84</v>
      </c>
    </row>
    <row r="44" spans="1:20" x14ac:dyDescent="0.25">
      <c r="A44" t="s">
        <v>85</v>
      </c>
    </row>
    <row r="45" spans="1:20" x14ac:dyDescent="0.25">
      <c r="A45" t="s">
        <v>87</v>
      </c>
    </row>
    <row r="46" spans="1:20" x14ac:dyDescent="0.25">
      <c r="A46" t="s">
        <v>89</v>
      </c>
      <c r="B46">
        <v>8000</v>
      </c>
    </row>
    <row r="47" spans="1:20" x14ac:dyDescent="0.25">
      <c r="A47" t="s">
        <v>91</v>
      </c>
    </row>
    <row r="48" spans="1:20" x14ac:dyDescent="0.25">
      <c r="A48" t="s">
        <v>92</v>
      </c>
    </row>
    <row r="49" spans="1:28" x14ac:dyDescent="0.25">
      <c r="A49" t="s">
        <v>93</v>
      </c>
      <c r="B49">
        <v>63</v>
      </c>
      <c r="C49">
        <v>42</v>
      </c>
    </row>
    <row r="50" spans="1:28" x14ac:dyDescent="0.25">
      <c r="A50" t="s">
        <v>95</v>
      </c>
      <c r="B50">
        <v>29</v>
      </c>
      <c r="AA50">
        <v>24</v>
      </c>
      <c r="AB50">
        <v>16</v>
      </c>
    </row>
    <row r="51" spans="1:28" x14ac:dyDescent="0.25">
      <c r="A51" t="s">
        <v>97</v>
      </c>
    </row>
    <row r="52" spans="1:28" x14ac:dyDescent="0.25">
      <c r="A52" t="s">
        <v>99</v>
      </c>
    </row>
    <row r="53" spans="1:28" x14ac:dyDescent="0.25">
      <c r="A53" t="s">
        <v>100</v>
      </c>
    </row>
    <row r="54" spans="1:28" x14ac:dyDescent="0.25">
      <c r="A54" t="s">
        <v>101</v>
      </c>
    </row>
    <row r="55" spans="1:28" x14ac:dyDescent="0.25">
      <c r="A55" t="s">
        <v>102</v>
      </c>
    </row>
    <row r="56" spans="1:28" x14ac:dyDescent="0.25">
      <c r="A56" t="s">
        <v>103</v>
      </c>
      <c r="F56" t="s">
        <v>1954</v>
      </c>
      <c r="G56">
        <v>16.440000000000001</v>
      </c>
    </row>
    <row r="57" spans="1:28" x14ac:dyDescent="0.25">
      <c r="A57" t="s">
        <v>105</v>
      </c>
    </row>
    <row r="58" spans="1:28" x14ac:dyDescent="0.25">
      <c r="A58" t="s">
        <v>106</v>
      </c>
    </row>
    <row r="59" spans="1:28" x14ac:dyDescent="0.25">
      <c r="A59" t="s">
        <v>107</v>
      </c>
    </row>
    <row r="60" spans="1:28" x14ac:dyDescent="0.25">
      <c r="A60" t="s">
        <v>108</v>
      </c>
    </row>
    <row r="61" spans="1:28" x14ac:dyDescent="0.25">
      <c r="A61" t="s">
        <v>109</v>
      </c>
    </row>
    <row r="62" spans="1:28" x14ac:dyDescent="0.25">
      <c r="A62" t="s">
        <v>110</v>
      </c>
    </row>
    <row r="63" spans="1:28" x14ac:dyDescent="0.25">
      <c r="A63" t="s">
        <v>111</v>
      </c>
    </row>
    <row r="64" spans="1:28" x14ac:dyDescent="0.25">
      <c r="A64" t="s">
        <v>112</v>
      </c>
    </row>
    <row r="65" spans="1:16" x14ac:dyDescent="0.25">
      <c r="A65" t="s">
        <v>113</v>
      </c>
    </row>
    <row r="66" spans="1:16" x14ac:dyDescent="0.25">
      <c r="A66" t="s">
        <v>115</v>
      </c>
    </row>
    <row r="67" spans="1:16" x14ac:dyDescent="0.25">
      <c r="A67" t="s">
        <v>116</v>
      </c>
    </row>
    <row r="68" spans="1:16" x14ac:dyDescent="0.25">
      <c r="A68" t="s">
        <v>117</v>
      </c>
    </row>
    <row r="69" spans="1:16" x14ac:dyDescent="0.25">
      <c r="A69" t="s">
        <v>119</v>
      </c>
      <c r="B69">
        <v>42</v>
      </c>
      <c r="F69">
        <v>36</v>
      </c>
      <c r="P69">
        <v>28</v>
      </c>
    </row>
    <row r="70" spans="1:16" x14ac:dyDescent="0.25">
      <c r="A70" t="s">
        <v>120</v>
      </c>
    </row>
    <row r="71" spans="1:16" x14ac:dyDescent="0.25">
      <c r="A71" t="s">
        <v>122</v>
      </c>
    </row>
    <row r="72" spans="1:16" x14ac:dyDescent="0.25">
      <c r="A72" t="s">
        <v>123</v>
      </c>
    </row>
    <row r="73" spans="1:16" x14ac:dyDescent="0.25">
      <c r="A73" t="s">
        <v>125</v>
      </c>
    </row>
    <row r="74" spans="1:16" x14ac:dyDescent="0.25">
      <c r="A74" t="s">
        <v>126</v>
      </c>
    </row>
    <row r="75" spans="1:16" x14ac:dyDescent="0.25">
      <c r="A75" t="s">
        <v>127</v>
      </c>
    </row>
    <row r="76" spans="1:16" x14ac:dyDescent="0.25">
      <c r="A76" t="s">
        <v>128</v>
      </c>
    </row>
    <row r="77" spans="1:16" x14ac:dyDescent="0.25">
      <c r="A77" t="s">
        <v>131</v>
      </c>
    </row>
    <row r="78" spans="1:16" x14ac:dyDescent="0.25">
      <c r="A78" t="s">
        <v>133</v>
      </c>
    </row>
    <row r="79" spans="1:16" x14ac:dyDescent="0.25">
      <c r="A79" t="s">
        <v>134</v>
      </c>
    </row>
    <row r="80" spans="1:16" x14ac:dyDescent="0.25">
      <c r="A80" t="s">
        <v>136</v>
      </c>
    </row>
    <row r="81" spans="1:11" x14ac:dyDescent="0.25">
      <c r="A81" t="s">
        <v>138</v>
      </c>
      <c r="C81">
        <v>519</v>
      </c>
    </row>
    <row r="82" spans="1:11" x14ac:dyDescent="0.25">
      <c r="A82" t="s">
        <v>140</v>
      </c>
    </row>
    <row r="83" spans="1:11" x14ac:dyDescent="0.25">
      <c r="A83" t="s">
        <v>142</v>
      </c>
    </row>
    <row r="84" spans="1:11" x14ac:dyDescent="0.25">
      <c r="A84" t="s">
        <v>143</v>
      </c>
    </row>
    <row r="85" spans="1:11" x14ac:dyDescent="0.25">
      <c r="A85" t="s">
        <v>144</v>
      </c>
    </row>
    <row r="86" spans="1:11" x14ac:dyDescent="0.25">
      <c r="A86" t="s">
        <v>145</v>
      </c>
    </row>
    <row r="87" spans="1:11" x14ac:dyDescent="0.25">
      <c r="A87" t="s">
        <v>146</v>
      </c>
    </row>
    <row r="88" spans="1:11" x14ac:dyDescent="0.25">
      <c r="A88" t="s">
        <v>147</v>
      </c>
    </row>
    <row r="89" spans="1:11" x14ac:dyDescent="0.25">
      <c r="A89" t="s">
        <v>148</v>
      </c>
    </row>
    <row r="90" spans="1:11" x14ac:dyDescent="0.25">
      <c r="A90" t="s">
        <v>149</v>
      </c>
    </row>
    <row r="91" spans="1:11" x14ac:dyDescent="0.25">
      <c r="A91" t="s">
        <v>150</v>
      </c>
    </row>
    <row r="92" spans="1:11" x14ac:dyDescent="0.25">
      <c r="A92" t="s">
        <v>151</v>
      </c>
    </row>
    <row r="93" spans="1:11" x14ac:dyDescent="0.25">
      <c r="A93" t="s">
        <v>321</v>
      </c>
    </row>
    <row r="94" spans="1:11" x14ac:dyDescent="0.25">
      <c r="A94" t="s">
        <v>152</v>
      </c>
    </row>
    <row r="95" spans="1:11" x14ac:dyDescent="0.25">
      <c r="A95" t="s">
        <v>153</v>
      </c>
      <c r="C95">
        <v>6</v>
      </c>
      <c r="D95">
        <v>105</v>
      </c>
      <c r="F95">
        <v>45</v>
      </c>
      <c r="G95">
        <v>31</v>
      </c>
      <c r="H95">
        <v>115</v>
      </c>
      <c r="I95">
        <v>123</v>
      </c>
      <c r="J95">
        <v>141</v>
      </c>
      <c r="K95">
        <v>147</v>
      </c>
    </row>
    <row r="96" spans="1:11" x14ac:dyDescent="0.25">
      <c r="A96" t="s">
        <v>155</v>
      </c>
    </row>
    <row r="97" spans="1:16" x14ac:dyDescent="0.25">
      <c r="A97" t="s">
        <v>157</v>
      </c>
    </row>
    <row r="98" spans="1:16" x14ac:dyDescent="0.25">
      <c r="A98" t="s">
        <v>158</v>
      </c>
      <c r="B98">
        <v>241</v>
      </c>
      <c r="C98">
        <v>123</v>
      </c>
      <c r="D98">
        <v>215</v>
      </c>
      <c r="E98">
        <v>343</v>
      </c>
      <c r="F98">
        <v>348</v>
      </c>
      <c r="G98">
        <v>270</v>
      </c>
      <c r="K98">
        <v>486</v>
      </c>
      <c r="L98">
        <v>534</v>
      </c>
      <c r="M98">
        <v>409</v>
      </c>
      <c r="N98">
        <v>439</v>
      </c>
      <c r="O98">
        <v>346</v>
      </c>
      <c r="P98">
        <v>216</v>
      </c>
    </row>
    <row r="99" spans="1:16" x14ac:dyDescent="0.25">
      <c r="A99" t="s">
        <v>160</v>
      </c>
    </row>
    <row r="100" spans="1:16" x14ac:dyDescent="0.25">
      <c r="A100" t="s">
        <v>162</v>
      </c>
    </row>
    <row r="101" spans="1:16" x14ac:dyDescent="0.25">
      <c r="A101" t="s">
        <v>163</v>
      </c>
      <c r="C101">
        <v>13</v>
      </c>
    </row>
    <row r="102" spans="1:16" x14ac:dyDescent="0.25">
      <c r="A102" t="s">
        <v>164</v>
      </c>
    </row>
    <row r="103" spans="1:16" x14ac:dyDescent="0.25">
      <c r="A103" t="s">
        <v>165</v>
      </c>
    </row>
    <row r="104" spans="1:16" x14ac:dyDescent="0.25">
      <c r="A104" t="s">
        <v>166</v>
      </c>
      <c r="B104">
        <v>53</v>
      </c>
      <c r="C104">
        <v>66</v>
      </c>
      <c r="F104">
        <v>60</v>
      </c>
    </row>
    <row r="105" spans="1:16" x14ac:dyDescent="0.25">
      <c r="A105" t="s">
        <v>167</v>
      </c>
    </row>
    <row r="106" spans="1:16" x14ac:dyDescent="0.25">
      <c r="A106" t="s">
        <v>169</v>
      </c>
    </row>
    <row r="107" spans="1:16" x14ac:dyDescent="0.25">
      <c r="A107" t="s">
        <v>170</v>
      </c>
    </row>
    <row r="108" spans="1:16" x14ac:dyDescent="0.25">
      <c r="A108" t="s">
        <v>172</v>
      </c>
    </row>
    <row r="109" spans="1:16" x14ac:dyDescent="0.25">
      <c r="A109" t="s">
        <v>173</v>
      </c>
      <c r="B109">
        <v>527</v>
      </c>
      <c r="C109">
        <v>711</v>
      </c>
      <c r="F109">
        <v>499</v>
      </c>
    </row>
    <row r="110" spans="1:16" x14ac:dyDescent="0.25">
      <c r="A110" t="s">
        <v>175</v>
      </c>
    </row>
    <row r="111" spans="1:16" x14ac:dyDescent="0.25">
      <c r="A111" t="s">
        <v>176</v>
      </c>
    </row>
    <row r="112" spans="1:16" x14ac:dyDescent="0.25">
      <c r="A112" t="s">
        <v>177</v>
      </c>
    </row>
    <row r="113" spans="1:26" x14ac:dyDescent="0.25">
      <c r="A113" t="s">
        <v>178</v>
      </c>
    </row>
    <row r="114" spans="1:26" x14ac:dyDescent="0.25">
      <c r="A114" t="s">
        <v>179</v>
      </c>
    </row>
    <row r="115" spans="1:26" x14ac:dyDescent="0.25">
      <c r="A115" t="s">
        <v>182</v>
      </c>
    </row>
    <row r="116" spans="1:26" x14ac:dyDescent="0.25">
      <c r="A116" t="s">
        <v>183</v>
      </c>
    </row>
    <row r="117" spans="1:26" x14ac:dyDescent="0.25">
      <c r="A117" t="s">
        <v>185</v>
      </c>
    </row>
    <row r="118" spans="1:26" x14ac:dyDescent="0.25">
      <c r="A118" t="s">
        <v>187</v>
      </c>
    </row>
    <row r="119" spans="1:26" x14ac:dyDescent="0.25">
      <c r="A119" t="s">
        <v>189</v>
      </c>
    </row>
    <row r="120" spans="1:26" x14ac:dyDescent="0.25">
      <c r="A120" t="s">
        <v>191</v>
      </c>
      <c r="B120">
        <v>17</v>
      </c>
      <c r="F120">
        <v>17</v>
      </c>
    </row>
    <row r="121" spans="1:26" x14ac:dyDescent="0.25">
      <c r="A121" t="s">
        <v>192</v>
      </c>
    </row>
    <row r="122" spans="1:26" x14ac:dyDescent="0.25">
      <c r="A122" t="s">
        <v>194</v>
      </c>
    </row>
    <row r="123" spans="1:26" x14ac:dyDescent="0.25">
      <c r="A123" t="s">
        <v>196</v>
      </c>
    </row>
    <row r="124" spans="1:26" x14ac:dyDescent="0.25">
      <c r="A124" t="s">
        <v>197</v>
      </c>
    </row>
    <row r="125" spans="1:26" x14ac:dyDescent="0.25">
      <c r="A125" t="s">
        <v>199</v>
      </c>
    </row>
    <row r="126" spans="1:26" x14ac:dyDescent="0.25">
      <c r="A126" t="s">
        <v>200</v>
      </c>
    </row>
    <row r="127" spans="1:26" x14ac:dyDescent="0.25">
      <c r="A127" t="s">
        <v>201</v>
      </c>
    </row>
    <row r="128" spans="1:26" x14ac:dyDescent="0.25">
      <c r="A128" t="s">
        <v>202</v>
      </c>
      <c r="B128">
        <v>11</v>
      </c>
      <c r="M128">
        <v>10</v>
      </c>
      <c r="T128">
        <v>10</v>
      </c>
      <c r="X128">
        <v>10</v>
      </c>
      <c r="Z128">
        <v>11</v>
      </c>
    </row>
    <row r="129" spans="1:1" x14ac:dyDescent="0.25">
      <c r="A129" t="s">
        <v>294</v>
      </c>
    </row>
    <row r="130" spans="1:1" x14ac:dyDescent="0.25">
      <c r="A130" t="s">
        <v>207</v>
      </c>
    </row>
    <row r="131" spans="1:1" x14ac:dyDescent="0.25">
      <c r="A131" t="s">
        <v>208</v>
      </c>
    </row>
    <row r="132" spans="1:1" x14ac:dyDescent="0.25">
      <c r="A132" t="s">
        <v>1589</v>
      </c>
    </row>
    <row r="133" spans="1:1" x14ac:dyDescent="0.25">
      <c r="A133" t="s">
        <v>209</v>
      </c>
    </row>
    <row r="134" spans="1:1" x14ac:dyDescent="0.25">
      <c r="A134" t="s">
        <v>211</v>
      </c>
    </row>
    <row r="135" spans="1:1" x14ac:dyDescent="0.25">
      <c r="A135" t="s">
        <v>212</v>
      </c>
    </row>
    <row r="136" spans="1:1" x14ac:dyDescent="0.25">
      <c r="A136" t="s">
        <v>214</v>
      </c>
    </row>
    <row r="137" spans="1:1" x14ac:dyDescent="0.25">
      <c r="A137" t="s">
        <v>216</v>
      </c>
    </row>
    <row r="138" spans="1:1" x14ac:dyDescent="0.25">
      <c r="A138" t="s">
        <v>218</v>
      </c>
    </row>
    <row r="139" spans="1:1" x14ac:dyDescent="0.25">
      <c r="A139" t="s">
        <v>220</v>
      </c>
    </row>
    <row r="140" spans="1:1" x14ac:dyDescent="0.25">
      <c r="A140" t="s">
        <v>222</v>
      </c>
    </row>
    <row r="141" spans="1:1" x14ac:dyDescent="0.25">
      <c r="A141" t="s">
        <v>224</v>
      </c>
    </row>
    <row r="142" spans="1:1" x14ac:dyDescent="0.25">
      <c r="A142" t="s">
        <v>225</v>
      </c>
    </row>
    <row r="143" spans="1:1" x14ac:dyDescent="0.25">
      <c r="A143" t="s">
        <v>227</v>
      </c>
    </row>
    <row r="144" spans="1:1" x14ac:dyDescent="0.25">
      <c r="A144" t="s">
        <v>229</v>
      </c>
    </row>
    <row r="145" spans="1:1" x14ac:dyDescent="0.25">
      <c r="A145" t="s">
        <v>231</v>
      </c>
    </row>
    <row r="146" spans="1:1" x14ac:dyDescent="0.25">
      <c r="A146" t="s">
        <v>232</v>
      </c>
    </row>
    <row r="147" spans="1:1" x14ac:dyDescent="0.25">
      <c r="A147" t="s">
        <v>234</v>
      </c>
    </row>
    <row r="148" spans="1:1" x14ac:dyDescent="0.25">
      <c r="A148" t="s">
        <v>236</v>
      </c>
    </row>
    <row r="149" spans="1:1" x14ac:dyDescent="0.25">
      <c r="A149" t="s">
        <v>1322</v>
      </c>
    </row>
    <row r="150" spans="1:1" x14ac:dyDescent="0.25">
      <c r="A150" t="s">
        <v>1323</v>
      </c>
    </row>
    <row r="151" spans="1:1" x14ac:dyDescent="0.25">
      <c r="A151" t="s">
        <v>1324</v>
      </c>
    </row>
    <row r="152" spans="1:1" x14ac:dyDescent="0.25">
      <c r="A152" t="s">
        <v>1325</v>
      </c>
    </row>
    <row r="153" spans="1:1" x14ac:dyDescent="0.25">
      <c r="A153" t="s">
        <v>1326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20"/>
  <sheetViews>
    <sheetView tabSelected="1" workbookViewId="0">
      <selection activeCell="A9" sqref="A9"/>
    </sheetView>
  </sheetViews>
  <sheetFormatPr defaultColWidth="8.85546875" defaultRowHeight="15" x14ac:dyDescent="0.25"/>
  <cols>
    <col min="1" max="1" width="18.140625" bestFit="1" customWidth="1"/>
    <col min="2" max="2" width="17.28515625" bestFit="1" customWidth="1"/>
    <col min="3" max="3" width="81.140625" bestFit="1" customWidth="1"/>
    <col min="4" max="4" width="30.42578125" bestFit="1" customWidth="1"/>
  </cols>
  <sheetData>
    <row r="1" spans="1:4" x14ac:dyDescent="0.25">
      <c r="A1" s="25" t="s">
        <v>0</v>
      </c>
      <c r="B1" s="25" t="s">
        <v>2080</v>
      </c>
      <c r="C1" s="25" t="s">
        <v>2081</v>
      </c>
      <c r="D1" s="25" t="s">
        <v>2118</v>
      </c>
    </row>
    <row r="2" spans="1:4" x14ac:dyDescent="0.25">
      <c r="A2" t="s">
        <v>6</v>
      </c>
      <c r="B2" t="s">
        <v>2068</v>
      </c>
      <c r="C2" t="s">
        <v>2069</v>
      </c>
      <c r="D2">
        <v>2</v>
      </c>
    </row>
    <row r="3" spans="1:4" x14ac:dyDescent="0.25">
      <c r="A3" t="s">
        <v>22</v>
      </c>
      <c r="B3" t="s">
        <v>2068</v>
      </c>
      <c r="C3" t="s">
        <v>2070</v>
      </c>
      <c r="D3">
        <v>4</v>
      </c>
    </row>
    <row r="4" spans="1:4" x14ac:dyDescent="0.25">
      <c r="A4" t="s">
        <v>62</v>
      </c>
      <c r="B4" t="s">
        <v>2068</v>
      </c>
      <c r="C4" t="s">
        <v>2067</v>
      </c>
      <c r="D4">
        <v>1</v>
      </c>
    </row>
    <row r="5" spans="1:4" x14ac:dyDescent="0.25">
      <c r="A5" t="s">
        <v>65</v>
      </c>
      <c r="B5" t="s">
        <v>2068</v>
      </c>
      <c r="C5" t="s">
        <v>2067</v>
      </c>
      <c r="D5">
        <v>1</v>
      </c>
    </row>
    <row r="6" spans="1:4" x14ac:dyDescent="0.25">
      <c r="A6" t="s">
        <v>66</v>
      </c>
      <c r="B6" t="s">
        <v>2068</v>
      </c>
      <c r="C6" t="s">
        <v>2071</v>
      </c>
      <c r="D6">
        <v>3</v>
      </c>
    </row>
    <row r="7" spans="1:4" x14ac:dyDescent="0.25">
      <c r="A7" t="s">
        <v>74</v>
      </c>
      <c r="B7" t="s">
        <v>2068</v>
      </c>
      <c r="C7" t="s">
        <v>393</v>
      </c>
      <c r="D7">
        <v>1</v>
      </c>
    </row>
    <row r="8" spans="1:4" x14ac:dyDescent="0.25">
      <c r="A8" t="s">
        <v>89</v>
      </c>
      <c r="B8" t="s">
        <v>2068</v>
      </c>
      <c r="C8" t="s">
        <v>2067</v>
      </c>
      <c r="D8">
        <v>1</v>
      </c>
    </row>
    <row r="9" spans="1:4" x14ac:dyDescent="0.25">
      <c r="A9" t="s">
        <v>93</v>
      </c>
      <c r="B9" t="s">
        <v>2068</v>
      </c>
      <c r="C9" t="s">
        <v>2072</v>
      </c>
      <c r="D9">
        <v>2</v>
      </c>
    </row>
    <row r="10" spans="1:4" x14ac:dyDescent="0.25">
      <c r="A10" t="s">
        <v>95</v>
      </c>
      <c r="B10" t="s">
        <v>2068</v>
      </c>
      <c r="C10" t="s">
        <v>2073</v>
      </c>
      <c r="D10">
        <v>3</v>
      </c>
    </row>
    <row r="11" spans="1:4" x14ac:dyDescent="0.25">
      <c r="A11" t="s">
        <v>103</v>
      </c>
      <c r="B11" t="s">
        <v>2068</v>
      </c>
      <c r="C11" t="s">
        <v>2074</v>
      </c>
      <c r="D11">
        <v>2</v>
      </c>
    </row>
    <row r="12" spans="1:4" x14ac:dyDescent="0.25">
      <c r="A12" t="s">
        <v>119</v>
      </c>
      <c r="B12" t="s">
        <v>2068</v>
      </c>
      <c r="C12" t="s">
        <v>2075</v>
      </c>
      <c r="D12">
        <v>3</v>
      </c>
    </row>
    <row r="13" spans="1:4" x14ac:dyDescent="0.25">
      <c r="A13" t="s">
        <v>138</v>
      </c>
      <c r="B13" t="s">
        <v>2068</v>
      </c>
      <c r="C13" t="s">
        <v>389</v>
      </c>
      <c r="D13">
        <v>1</v>
      </c>
    </row>
    <row r="14" spans="1:4" x14ac:dyDescent="0.25">
      <c r="A14" t="s">
        <v>153</v>
      </c>
      <c r="B14" t="s">
        <v>2068</v>
      </c>
      <c r="C14" t="s">
        <v>2076</v>
      </c>
      <c r="D14">
        <v>8</v>
      </c>
    </row>
    <row r="15" spans="1:4" x14ac:dyDescent="0.25">
      <c r="A15" t="s">
        <v>158</v>
      </c>
      <c r="B15" t="s">
        <v>2068</v>
      </c>
      <c r="C15" t="s">
        <v>2077</v>
      </c>
      <c r="D15">
        <v>12</v>
      </c>
    </row>
    <row r="16" spans="1:4" x14ac:dyDescent="0.25">
      <c r="A16" t="s">
        <v>163</v>
      </c>
      <c r="B16" t="s">
        <v>2068</v>
      </c>
      <c r="C16" t="s">
        <v>389</v>
      </c>
      <c r="D16">
        <v>1</v>
      </c>
    </row>
    <row r="17" spans="1:4" x14ac:dyDescent="0.25">
      <c r="A17" t="s">
        <v>166</v>
      </c>
      <c r="B17" t="s">
        <v>2068</v>
      </c>
      <c r="C17" t="s">
        <v>2078</v>
      </c>
      <c r="D17">
        <v>3</v>
      </c>
    </row>
    <row r="18" spans="1:4" x14ac:dyDescent="0.25">
      <c r="A18" t="s">
        <v>173</v>
      </c>
      <c r="B18" t="s">
        <v>2068</v>
      </c>
      <c r="C18" t="s">
        <v>2078</v>
      </c>
      <c r="D18">
        <v>3</v>
      </c>
    </row>
    <row r="19" spans="1:4" x14ac:dyDescent="0.25">
      <c r="A19" t="s">
        <v>191</v>
      </c>
      <c r="B19" t="s">
        <v>2068</v>
      </c>
      <c r="C19" t="s">
        <v>2069</v>
      </c>
      <c r="D19">
        <v>1</v>
      </c>
    </row>
    <row r="20" spans="1:4" x14ac:dyDescent="0.25">
      <c r="A20" t="s">
        <v>202</v>
      </c>
      <c r="B20" t="s">
        <v>2068</v>
      </c>
      <c r="C20" t="s">
        <v>2079</v>
      </c>
      <c r="D20"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3"/>
  <sheetViews>
    <sheetView topLeftCell="J1" workbookViewId="0">
      <selection activeCell="B1" sqref="B1:AA1"/>
    </sheetView>
  </sheetViews>
  <sheetFormatPr defaultColWidth="8.85546875" defaultRowHeight="15" x14ac:dyDescent="0.25"/>
  <cols>
    <col min="1" max="1" width="18.140625" bestFit="1" customWidth="1"/>
    <col min="2" max="2" width="14.42578125" customWidth="1"/>
    <col min="3" max="3" width="13.5703125" customWidth="1"/>
    <col min="4" max="4" width="11.42578125" customWidth="1"/>
    <col min="5" max="5" width="13.5703125" customWidth="1"/>
    <col min="6" max="7" width="11" customWidth="1"/>
    <col min="8" max="9" width="13.5703125" customWidth="1"/>
    <col min="10" max="14" width="11" customWidth="1"/>
    <col min="15" max="21" width="12" customWidth="1"/>
    <col min="22" max="23" width="10.85546875" customWidth="1"/>
    <col min="24" max="24" width="12" customWidth="1"/>
    <col min="25" max="25" width="10.85546875" customWidth="1"/>
    <col min="26" max="26" width="12" customWidth="1"/>
    <col min="27" max="27" width="15.7109375" customWidth="1"/>
  </cols>
  <sheetData>
    <row r="1" spans="1:27" x14ac:dyDescent="0.25">
      <c r="A1" t="s">
        <v>0</v>
      </c>
      <c r="B1" t="s">
        <v>2082</v>
      </c>
      <c r="C1" t="s">
        <v>1759</v>
      </c>
      <c r="D1" t="s">
        <v>766</v>
      </c>
      <c r="E1" t="s">
        <v>1761</v>
      </c>
      <c r="F1" t="s">
        <v>339</v>
      </c>
      <c r="G1" t="s">
        <v>565</v>
      </c>
      <c r="H1" t="s">
        <v>1762</v>
      </c>
      <c r="I1" t="s">
        <v>1763</v>
      </c>
      <c r="J1" t="s">
        <v>860</v>
      </c>
      <c r="K1" t="s">
        <v>340</v>
      </c>
      <c r="L1" t="s">
        <v>846</v>
      </c>
      <c r="M1" t="s">
        <v>655</v>
      </c>
      <c r="N1" t="s">
        <v>872</v>
      </c>
      <c r="O1" t="s">
        <v>873</v>
      </c>
      <c r="P1" t="s">
        <v>588</v>
      </c>
      <c r="Q1" t="s">
        <v>603</v>
      </c>
      <c r="R1" t="s">
        <v>622</v>
      </c>
      <c r="S1" t="s">
        <v>874</v>
      </c>
      <c r="T1" t="s">
        <v>697</v>
      </c>
      <c r="U1" t="s">
        <v>629</v>
      </c>
      <c r="V1" t="s">
        <v>698</v>
      </c>
      <c r="W1" t="s">
        <v>699</v>
      </c>
      <c r="X1" t="s">
        <v>1037</v>
      </c>
      <c r="Y1" t="s">
        <v>700</v>
      </c>
      <c r="Z1" t="s">
        <v>1038</v>
      </c>
      <c r="AA1" t="s">
        <v>800</v>
      </c>
    </row>
    <row r="2" spans="1:27" x14ac:dyDescent="0.25">
      <c r="A2" t="s">
        <v>6</v>
      </c>
      <c r="B2">
        <v>5</v>
      </c>
      <c r="F2">
        <v>20</v>
      </c>
      <c r="K2">
        <v>75</v>
      </c>
      <c r="M2">
        <v>74</v>
      </c>
    </row>
    <row r="3" spans="1:27" x14ac:dyDescent="0.25">
      <c r="A3" t="s">
        <v>11</v>
      </c>
    </row>
    <row r="4" spans="1:27" x14ac:dyDescent="0.25">
      <c r="A4" t="s">
        <v>12</v>
      </c>
    </row>
    <row r="5" spans="1:27" x14ac:dyDescent="0.25">
      <c r="A5" t="s">
        <v>16</v>
      </c>
    </row>
    <row r="6" spans="1:27" x14ac:dyDescent="0.25">
      <c r="A6" t="s">
        <v>18</v>
      </c>
      <c r="B6">
        <v>7</v>
      </c>
    </row>
    <row r="7" spans="1:27" x14ac:dyDescent="0.25">
      <c r="A7" t="s">
        <v>20</v>
      </c>
      <c r="B7">
        <v>18</v>
      </c>
    </row>
    <row r="8" spans="1:27" x14ac:dyDescent="0.25">
      <c r="A8" t="s">
        <v>22</v>
      </c>
      <c r="B8">
        <v>100</v>
      </c>
      <c r="T8">
        <v>100</v>
      </c>
      <c r="U8">
        <v>100</v>
      </c>
      <c r="V8">
        <v>100</v>
      </c>
      <c r="W8">
        <v>100</v>
      </c>
      <c r="Y8">
        <v>100</v>
      </c>
    </row>
    <row r="9" spans="1:27" x14ac:dyDescent="0.25">
      <c r="A9" t="s">
        <v>24</v>
      </c>
    </row>
    <row r="10" spans="1:27" x14ac:dyDescent="0.25">
      <c r="A10" t="s">
        <v>26</v>
      </c>
    </row>
    <row r="11" spans="1:27" x14ac:dyDescent="0.25">
      <c r="A11" t="s">
        <v>28</v>
      </c>
    </row>
    <row r="12" spans="1:27" x14ac:dyDescent="0.25">
      <c r="A12" t="s">
        <v>30</v>
      </c>
    </row>
    <row r="13" spans="1:27" x14ac:dyDescent="0.25">
      <c r="A13" t="s">
        <v>32</v>
      </c>
      <c r="B13">
        <v>17</v>
      </c>
    </row>
    <row r="14" spans="1:27" x14ac:dyDescent="0.25">
      <c r="A14" t="s">
        <v>34</v>
      </c>
    </row>
    <row r="15" spans="1:27" x14ac:dyDescent="0.25">
      <c r="A15" t="s">
        <v>36</v>
      </c>
    </row>
    <row r="16" spans="1:27" x14ac:dyDescent="0.25">
      <c r="A16" t="s">
        <v>37</v>
      </c>
    </row>
    <row r="17" spans="1:3" x14ac:dyDescent="0.25">
      <c r="A17" t="s">
        <v>40</v>
      </c>
    </row>
    <row r="18" spans="1:3" x14ac:dyDescent="0.25">
      <c r="A18" t="s">
        <v>42</v>
      </c>
    </row>
    <row r="19" spans="1:3" x14ac:dyDescent="0.25">
      <c r="A19" t="s">
        <v>43</v>
      </c>
    </row>
    <row r="20" spans="1:3" x14ac:dyDescent="0.25">
      <c r="A20" t="s">
        <v>44</v>
      </c>
    </row>
    <row r="21" spans="1:3" x14ac:dyDescent="0.25">
      <c r="A21" t="s">
        <v>46</v>
      </c>
    </row>
    <row r="22" spans="1:3" x14ac:dyDescent="0.25">
      <c r="A22" t="s">
        <v>48</v>
      </c>
    </row>
    <row r="23" spans="1:3" x14ac:dyDescent="0.25">
      <c r="A23" t="s">
        <v>50</v>
      </c>
    </row>
    <row r="24" spans="1:3" x14ac:dyDescent="0.25">
      <c r="A24" t="s">
        <v>52</v>
      </c>
    </row>
    <row r="25" spans="1:3" x14ac:dyDescent="0.25">
      <c r="A25" t="s">
        <v>53</v>
      </c>
    </row>
    <row r="26" spans="1:3" x14ac:dyDescent="0.25">
      <c r="A26" t="s">
        <v>55</v>
      </c>
    </row>
    <row r="27" spans="1:3" x14ac:dyDescent="0.25">
      <c r="A27" t="s">
        <v>57</v>
      </c>
    </row>
    <row r="28" spans="1:3" x14ac:dyDescent="0.25">
      <c r="A28" t="s">
        <v>59</v>
      </c>
    </row>
    <row r="29" spans="1:3" x14ac:dyDescent="0.25">
      <c r="A29" t="s">
        <v>60</v>
      </c>
      <c r="B29">
        <v>114</v>
      </c>
    </row>
    <row r="30" spans="1:3" x14ac:dyDescent="0.25">
      <c r="A30" t="s">
        <v>62</v>
      </c>
      <c r="B30">
        <v>74</v>
      </c>
      <c r="C30">
        <v>110</v>
      </c>
    </row>
    <row r="31" spans="1:3" x14ac:dyDescent="0.25">
      <c r="A31" t="s">
        <v>64</v>
      </c>
    </row>
    <row r="32" spans="1:3" x14ac:dyDescent="0.25">
      <c r="A32" t="s">
        <v>65</v>
      </c>
    </row>
    <row r="33" spans="1:21" x14ac:dyDescent="0.25">
      <c r="A33" t="s">
        <v>66</v>
      </c>
      <c r="B33">
        <v>105</v>
      </c>
      <c r="F33">
        <v>73</v>
      </c>
      <c r="G33">
        <v>82</v>
      </c>
      <c r="P33">
        <v>23</v>
      </c>
      <c r="Q33">
        <v>64</v>
      </c>
      <c r="R33">
        <v>91</v>
      </c>
      <c r="U33">
        <v>93</v>
      </c>
    </row>
    <row r="34" spans="1:21" x14ac:dyDescent="0.25">
      <c r="A34" t="s">
        <v>68</v>
      </c>
    </row>
    <row r="35" spans="1:21" x14ac:dyDescent="0.25">
      <c r="A35" t="s">
        <v>69</v>
      </c>
    </row>
    <row r="36" spans="1:21" x14ac:dyDescent="0.25">
      <c r="A36" t="s">
        <v>71</v>
      </c>
    </row>
    <row r="37" spans="1:21" x14ac:dyDescent="0.25">
      <c r="A37" t="s">
        <v>73</v>
      </c>
    </row>
    <row r="38" spans="1:21" x14ac:dyDescent="0.25">
      <c r="A38" t="s">
        <v>74</v>
      </c>
    </row>
    <row r="39" spans="1:21" x14ac:dyDescent="0.25">
      <c r="A39" t="s">
        <v>76</v>
      </c>
    </row>
    <row r="40" spans="1:21" x14ac:dyDescent="0.25">
      <c r="A40" t="s">
        <v>78</v>
      </c>
    </row>
    <row r="41" spans="1:21" x14ac:dyDescent="0.25">
      <c r="A41" t="s">
        <v>80</v>
      </c>
      <c r="B41">
        <v>0.96</v>
      </c>
    </row>
    <row r="42" spans="1:21" x14ac:dyDescent="0.25">
      <c r="A42" t="s">
        <v>82</v>
      </c>
    </row>
    <row r="43" spans="1:21" x14ac:dyDescent="0.25">
      <c r="A43" t="s">
        <v>84</v>
      </c>
    </row>
    <row r="44" spans="1:21" x14ac:dyDescent="0.25">
      <c r="A44" t="s">
        <v>85</v>
      </c>
    </row>
    <row r="45" spans="1:21" x14ac:dyDescent="0.25">
      <c r="A45" t="s">
        <v>87</v>
      </c>
      <c r="D45">
        <v>70</v>
      </c>
      <c r="K45">
        <v>67</v>
      </c>
    </row>
    <row r="46" spans="1:21" x14ac:dyDescent="0.25">
      <c r="A46" t="s">
        <v>89</v>
      </c>
      <c r="B46">
        <v>13</v>
      </c>
      <c r="C46">
        <v>39</v>
      </c>
    </row>
    <row r="47" spans="1:21" x14ac:dyDescent="0.25">
      <c r="A47" t="s">
        <v>91</v>
      </c>
    </row>
    <row r="48" spans="1:21" x14ac:dyDescent="0.25">
      <c r="A48" t="s">
        <v>92</v>
      </c>
    </row>
    <row r="49" spans="1:27" x14ac:dyDescent="0.25">
      <c r="A49" t="s">
        <v>93</v>
      </c>
      <c r="B49">
        <v>100</v>
      </c>
    </row>
    <row r="50" spans="1:27" x14ac:dyDescent="0.25">
      <c r="A50" t="s">
        <v>95</v>
      </c>
      <c r="B50">
        <v>100</v>
      </c>
      <c r="AA50" t="s">
        <v>799</v>
      </c>
    </row>
    <row r="51" spans="1:27" x14ac:dyDescent="0.25">
      <c r="A51" t="s">
        <v>97</v>
      </c>
    </row>
    <row r="52" spans="1:27" x14ac:dyDescent="0.25">
      <c r="A52" t="s">
        <v>99</v>
      </c>
    </row>
    <row r="53" spans="1:27" x14ac:dyDescent="0.25">
      <c r="A53" t="s">
        <v>100</v>
      </c>
    </row>
    <row r="54" spans="1:27" x14ac:dyDescent="0.25">
      <c r="A54" t="s">
        <v>101</v>
      </c>
    </row>
    <row r="55" spans="1:27" x14ac:dyDescent="0.25">
      <c r="A55" t="s">
        <v>102</v>
      </c>
    </row>
    <row r="56" spans="1:27" x14ac:dyDescent="0.25">
      <c r="A56" t="s">
        <v>103</v>
      </c>
      <c r="B56">
        <v>1</v>
      </c>
    </row>
    <row r="57" spans="1:27" x14ac:dyDescent="0.25">
      <c r="A57" t="s">
        <v>105</v>
      </c>
    </row>
    <row r="58" spans="1:27" x14ac:dyDescent="0.25">
      <c r="A58" t="s">
        <v>106</v>
      </c>
    </row>
    <row r="59" spans="1:27" x14ac:dyDescent="0.25">
      <c r="A59" t="s">
        <v>107</v>
      </c>
    </row>
    <row r="60" spans="1:27" x14ac:dyDescent="0.25">
      <c r="A60" t="s">
        <v>108</v>
      </c>
    </row>
    <row r="61" spans="1:27" x14ac:dyDescent="0.25">
      <c r="A61" t="s">
        <v>109</v>
      </c>
    </row>
    <row r="62" spans="1:27" x14ac:dyDescent="0.25">
      <c r="A62" t="s">
        <v>110</v>
      </c>
    </row>
    <row r="63" spans="1:27" x14ac:dyDescent="0.25">
      <c r="A63" t="s">
        <v>111</v>
      </c>
    </row>
    <row r="64" spans="1:27" x14ac:dyDescent="0.25">
      <c r="A64" t="s">
        <v>112</v>
      </c>
    </row>
    <row r="65" spans="1:19" x14ac:dyDescent="0.25">
      <c r="A65" t="s">
        <v>113</v>
      </c>
    </row>
    <row r="66" spans="1:19" x14ac:dyDescent="0.25">
      <c r="A66" t="s">
        <v>115</v>
      </c>
    </row>
    <row r="67" spans="1:19" x14ac:dyDescent="0.25">
      <c r="A67" t="s">
        <v>116</v>
      </c>
    </row>
    <row r="68" spans="1:19" x14ac:dyDescent="0.25">
      <c r="A68" t="s">
        <v>117</v>
      </c>
    </row>
    <row r="69" spans="1:19" x14ac:dyDescent="0.25">
      <c r="A69" t="s">
        <v>119</v>
      </c>
      <c r="B69">
        <v>120</v>
      </c>
      <c r="F69">
        <v>118</v>
      </c>
      <c r="L69">
        <v>120</v>
      </c>
    </row>
    <row r="70" spans="1:19" x14ac:dyDescent="0.25">
      <c r="A70" t="s">
        <v>120</v>
      </c>
    </row>
    <row r="71" spans="1:19" x14ac:dyDescent="0.25">
      <c r="A71" t="s">
        <v>122</v>
      </c>
    </row>
    <row r="72" spans="1:19" x14ac:dyDescent="0.25">
      <c r="A72" t="s">
        <v>123</v>
      </c>
    </row>
    <row r="73" spans="1:19" x14ac:dyDescent="0.25">
      <c r="A73" t="s">
        <v>125</v>
      </c>
      <c r="B73">
        <v>102</v>
      </c>
      <c r="D73">
        <v>54</v>
      </c>
      <c r="G73">
        <v>39</v>
      </c>
      <c r="J73">
        <v>86</v>
      </c>
      <c r="K73">
        <v>95</v>
      </c>
      <c r="M73">
        <v>105</v>
      </c>
      <c r="N73">
        <v>100</v>
      </c>
      <c r="O73">
        <v>101</v>
      </c>
      <c r="Q73">
        <v>104</v>
      </c>
      <c r="R73">
        <v>102</v>
      </c>
      <c r="S73">
        <v>107</v>
      </c>
    </row>
    <row r="74" spans="1:19" x14ac:dyDescent="0.25">
      <c r="A74" t="s">
        <v>126</v>
      </c>
    </row>
    <row r="75" spans="1:19" x14ac:dyDescent="0.25">
      <c r="A75" t="s">
        <v>127</v>
      </c>
      <c r="M75">
        <v>130</v>
      </c>
    </row>
    <row r="76" spans="1:19" x14ac:dyDescent="0.25">
      <c r="A76" t="s">
        <v>128</v>
      </c>
    </row>
    <row r="77" spans="1:19" x14ac:dyDescent="0.25">
      <c r="A77" t="s">
        <v>131</v>
      </c>
    </row>
    <row r="78" spans="1:19" x14ac:dyDescent="0.25">
      <c r="A78" t="s">
        <v>133</v>
      </c>
    </row>
    <row r="79" spans="1:19" x14ac:dyDescent="0.25">
      <c r="A79" t="s">
        <v>134</v>
      </c>
    </row>
    <row r="80" spans="1:19" x14ac:dyDescent="0.25">
      <c r="A80" t="s">
        <v>136</v>
      </c>
    </row>
    <row r="81" spans="1:19" x14ac:dyDescent="0.25">
      <c r="A81" t="s">
        <v>138</v>
      </c>
      <c r="B81">
        <v>103</v>
      </c>
    </row>
    <row r="82" spans="1:19" x14ac:dyDescent="0.25">
      <c r="A82" t="s">
        <v>140</v>
      </c>
      <c r="B82">
        <v>50</v>
      </c>
      <c r="R82">
        <v>25</v>
      </c>
    </row>
    <row r="83" spans="1:19" x14ac:dyDescent="0.25">
      <c r="A83" t="s">
        <v>142</v>
      </c>
    </row>
    <row r="84" spans="1:19" x14ac:dyDescent="0.25">
      <c r="A84" t="s">
        <v>143</v>
      </c>
    </row>
    <row r="85" spans="1:19" x14ac:dyDescent="0.25">
      <c r="A85" t="s">
        <v>144</v>
      </c>
    </row>
    <row r="86" spans="1:19" x14ac:dyDescent="0.25">
      <c r="A86" t="s">
        <v>145</v>
      </c>
    </row>
    <row r="87" spans="1:19" x14ac:dyDescent="0.25">
      <c r="A87" t="s">
        <v>146</v>
      </c>
    </row>
    <row r="88" spans="1:19" x14ac:dyDescent="0.25">
      <c r="A88" t="s">
        <v>147</v>
      </c>
    </row>
    <row r="89" spans="1:19" x14ac:dyDescent="0.25">
      <c r="A89" t="s">
        <v>148</v>
      </c>
    </row>
    <row r="90" spans="1:19" x14ac:dyDescent="0.25">
      <c r="A90" t="s">
        <v>149</v>
      </c>
      <c r="K90">
        <v>50</v>
      </c>
      <c r="S90">
        <v>33</v>
      </c>
    </row>
    <row r="91" spans="1:19" x14ac:dyDescent="0.25">
      <c r="A91" t="s">
        <v>150</v>
      </c>
      <c r="B91">
        <v>29</v>
      </c>
    </row>
    <row r="92" spans="1:19" x14ac:dyDescent="0.25">
      <c r="A92" t="s">
        <v>151</v>
      </c>
    </row>
    <row r="93" spans="1:19" x14ac:dyDescent="0.25">
      <c r="A93" t="s">
        <v>321</v>
      </c>
    </row>
    <row r="94" spans="1:19" x14ac:dyDescent="0.25">
      <c r="A94" t="s">
        <v>152</v>
      </c>
      <c r="B94">
        <v>40</v>
      </c>
      <c r="C94">
        <v>24</v>
      </c>
    </row>
    <row r="95" spans="1:19" x14ac:dyDescent="0.25">
      <c r="A95" t="s">
        <v>153</v>
      </c>
      <c r="B95">
        <v>100</v>
      </c>
      <c r="D95">
        <v>89</v>
      </c>
      <c r="E95">
        <v>80</v>
      </c>
      <c r="F95">
        <v>58</v>
      </c>
      <c r="G95">
        <v>6</v>
      </c>
      <c r="H95">
        <v>10</v>
      </c>
      <c r="I95">
        <v>13</v>
      </c>
      <c r="J95">
        <v>12</v>
      </c>
    </row>
    <row r="96" spans="1:19" x14ac:dyDescent="0.25">
      <c r="A96" t="s">
        <v>155</v>
      </c>
    </row>
    <row r="97" spans="1:6" x14ac:dyDescent="0.25">
      <c r="A97" t="s">
        <v>157</v>
      </c>
    </row>
    <row r="98" spans="1:6" x14ac:dyDescent="0.25">
      <c r="A98" t="s">
        <v>158</v>
      </c>
    </row>
    <row r="99" spans="1:6" x14ac:dyDescent="0.25">
      <c r="A99" t="s">
        <v>160</v>
      </c>
    </row>
    <row r="100" spans="1:6" x14ac:dyDescent="0.25">
      <c r="A100" t="s">
        <v>162</v>
      </c>
    </row>
    <row r="101" spans="1:6" x14ac:dyDescent="0.25">
      <c r="A101" t="s">
        <v>163</v>
      </c>
    </row>
    <row r="102" spans="1:6" x14ac:dyDescent="0.25">
      <c r="A102" t="s">
        <v>164</v>
      </c>
    </row>
    <row r="103" spans="1:6" x14ac:dyDescent="0.25">
      <c r="A103" t="s">
        <v>165</v>
      </c>
    </row>
    <row r="104" spans="1:6" x14ac:dyDescent="0.25">
      <c r="A104" t="s">
        <v>166</v>
      </c>
    </row>
    <row r="105" spans="1:6" x14ac:dyDescent="0.25">
      <c r="A105" t="s">
        <v>167</v>
      </c>
      <c r="B105">
        <v>35</v>
      </c>
    </row>
    <row r="106" spans="1:6" x14ac:dyDescent="0.25">
      <c r="A106" t="s">
        <v>169</v>
      </c>
    </row>
    <row r="107" spans="1:6" x14ac:dyDescent="0.25">
      <c r="A107" t="s">
        <v>170</v>
      </c>
    </row>
    <row r="108" spans="1:6" x14ac:dyDescent="0.25">
      <c r="A108" t="s">
        <v>172</v>
      </c>
    </row>
    <row r="109" spans="1:6" x14ac:dyDescent="0.25">
      <c r="A109" t="s">
        <v>173</v>
      </c>
      <c r="B109">
        <v>85</v>
      </c>
      <c r="C109">
        <v>30</v>
      </c>
      <c r="D109">
        <v>29</v>
      </c>
      <c r="E109">
        <v>37</v>
      </c>
      <c r="F109">
        <v>49</v>
      </c>
    </row>
    <row r="110" spans="1:6" x14ac:dyDescent="0.25">
      <c r="A110" t="s">
        <v>175</v>
      </c>
    </row>
    <row r="111" spans="1:6" x14ac:dyDescent="0.25">
      <c r="A111" t="s">
        <v>176</v>
      </c>
    </row>
    <row r="112" spans="1:6" x14ac:dyDescent="0.25">
      <c r="A112" t="s">
        <v>177</v>
      </c>
      <c r="B112">
        <v>25</v>
      </c>
    </row>
    <row r="113" spans="1:26" x14ac:dyDescent="0.25">
      <c r="A113" t="s">
        <v>178</v>
      </c>
    </row>
    <row r="114" spans="1:26" x14ac:dyDescent="0.25">
      <c r="A114" t="s">
        <v>179</v>
      </c>
    </row>
    <row r="115" spans="1:26" x14ac:dyDescent="0.25">
      <c r="A115" t="s">
        <v>182</v>
      </c>
    </row>
    <row r="116" spans="1:26" x14ac:dyDescent="0.25">
      <c r="A116" t="s">
        <v>183</v>
      </c>
    </row>
    <row r="117" spans="1:26" x14ac:dyDescent="0.25">
      <c r="A117" t="s">
        <v>185</v>
      </c>
      <c r="B117">
        <v>11.5</v>
      </c>
      <c r="C117">
        <v>19</v>
      </c>
      <c r="L117">
        <v>94</v>
      </c>
    </row>
    <row r="118" spans="1:26" x14ac:dyDescent="0.25">
      <c r="A118" t="s">
        <v>187</v>
      </c>
      <c r="B118">
        <v>15</v>
      </c>
    </row>
    <row r="119" spans="1:26" x14ac:dyDescent="0.25">
      <c r="A119" t="s">
        <v>189</v>
      </c>
      <c r="D119">
        <v>67</v>
      </c>
      <c r="F119">
        <v>82</v>
      </c>
    </row>
    <row r="120" spans="1:26" x14ac:dyDescent="0.25">
      <c r="A120" t="s">
        <v>191</v>
      </c>
      <c r="B120">
        <v>66</v>
      </c>
      <c r="F120">
        <v>23</v>
      </c>
    </row>
    <row r="121" spans="1:26" x14ac:dyDescent="0.25">
      <c r="A121" t="s">
        <v>192</v>
      </c>
    </row>
    <row r="122" spans="1:26" x14ac:dyDescent="0.25">
      <c r="A122" t="s">
        <v>194</v>
      </c>
    </row>
    <row r="123" spans="1:26" x14ac:dyDescent="0.25">
      <c r="A123" t="s">
        <v>196</v>
      </c>
      <c r="B123">
        <v>11</v>
      </c>
    </row>
    <row r="124" spans="1:26" x14ac:dyDescent="0.25">
      <c r="A124" t="s">
        <v>197</v>
      </c>
      <c r="X124">
        <v>63</v>
      </c>
      <c r="Z124">
        <v>24</v>
      </c>
    </row>
    <row r="125" spans="1:26" x14ac:dyDescent="0.25">
      <c r="A125" t="s">
        <v>199</v>
      </c>
    </row>
    <row r="126" spans="1:26" x14ac:dyDescent="0.25">
      <c r="A126" t="s">
        <v>200</v>
      </c>
    </row>
    <row r="127" spans="1:26" x14ac:dyDescent="0.25">
      <c r="A127" t="s">
        <v>201</v>
      </c>
    </row>
    <row r="128" spans="1:26" x14ac:dyDescent="0.25">
      <c r="A128" t="s">
        <v>202</v>
      </c>
    </row>
    <row r="129" spans="1:2" x14ac:dyDescent="0.25">
      <c r="A129" t="s">
        <v>294</v>
      </c>
    </row>
    <row r="130" spans="1:2" x14ac:dyDescent="0.25">
      <c r="A130" t="s">
        <v>207</v>
      </c>
    </row>
    <row r="131" spans="1:2" x14ac:dyDescent="0.25">
      <c r="A131" t="s">
        <v>208</v>
      </c>
    </row>
    <row r="132" spans="1:2" x14ac:dyDescent="0.25">
      <c r="A132" t="s">
        <v>1589</v>
      </c>
    </row>
    <row r="133" spans="1:2" x14ac:dyDescent="0.25">
      <c r="A133" t="s">
        <v>209</v>
      </c>
    </row>
    <row r="134" spans="1:2" x14ac:dyDescent="0.25">
      <c r="A134" t="s">
        <v>211</v>
      </c>
    </row>
    <row r="135" spans="1:2" x14ac:dyDescent="0.25">
      <c r="A135" t="s">
        <v>212</v>
      </c>
    </row>
    <row r="136" spans="1:2" x14ac:dyDescent="0.25">
      <c r="A136" t="s">
        <v>214</v>
      </c>
    </row>
    <row r="137" spans="1:2" x14ac:dyDescent="0.25">
      <c r="A137" t="s">
        <v>216</v>
      </c>
    </row>
    <row r="138" spans="1:2" x14ac:dyDescent="0.25">
      <c r="A138" t="s">
        <v>218</v>
      </c>
    </row>
    <row r="139" spans="1:2" x14ac:dyDescent="0.25">
      <c r="A139" t="s">
        <v>220</v>
      </c>
    </row>
    <row r="140" spans="1:2" x14ac:dyDescent="0.25">
      <c r="A140" t="s">
        <v>222</v>
      </c>
      <c r="B140">
        <v>56.47</v>
      </c>
    </row>
    <row r="141" spans="1:2" x14ac:dyDescent="0.25">
      <c r="A141" t="s">
        <v>224</v>
      </c>
    </row>
    <row r="142" spans="1:2" x14ac:dyDescent="0.25">
      <c r="A142" t="s">
        <v>225</v>
      </c>
    </row>
    <row r="143" spans="1:2" x14ac:dyDescent="0.25">
      <c r="A143" t="s">
        <v>227</v>
      </c>
    </row>
    <row r="144" spans="1:2" x14ac:dyDescent="0.25">
      <c r="A144" t="s">
        <v>229</v>
      </c>
    </row>
    <row r="145" spans="1:1" x14ac:dyDescent="0.25">
      <c r="A145" t="s">
        <v>231</v>
      </c>
    </row>
    <row r="146" spans="1:1" x14ac:dyDescent="0.25">
      <c r="A146" t="s">
        <v>232</v>
      </c>
    </row>
    <row r="147" spans="1:1" x14ac:dyDescent="0.25">
      <c r="A147" t="s">
        <v>234</v>
      </c>
    </row>
    <row r="148" spans="1:1" x14ac:dyDescent="0.25">
      <c r="A148" t="s">
        <v>236</v>
      </c>
    </row>
    <row r="149" spans="1:1" x14ac:dyDescent="0.25">
      <c r="A149" t="s">
        <v>1322</v>
      </c>
    </row>
    <row r="150" spans="1:1" x14ac:dyDescent="0.25">
      <c r="A150" t="s">
        <v>1323</v>
      </c>
    </row>
    <row r="151" spans="1:1" x14ac:dyDescent="0.25">
      <c r="A151" t="s">
        <v>1324</v>
      </c>
    </row>
    <row r="152" spans="1:1" x14ac:dyDescent="0.25">
      <c r="A152" t="s">
        <v>1325</v>
      </c>
    </row>
    <row r="153" spans="1:1" x14ac:dyDescent="0.25">
      <c r="A153" t="s">
        <v>1326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D34"/>
  <sheetViews>
    <sheetView workbookViewId="0">
      <selection sqref="A1:D1"/>
    </sheetView>
  </sheetViews>
  <sheetFormatPr defaultColWidth="8.85546875" defaultRowHeight="15" x14ac:dyDescent="0.25"/>
  <cols>
    <col min="1" max="1" width="18.140625" bestFit="1" customWidth="1"/>
    <col min="2" max="2" width="8.28515625" bestFit="1" customWidth="1"/>
    <col min="3" max="3" width="81.140625" bestFit="1" customWidth="1"/>
    <col min="4" max="4" width="30.42578125" bestFit="1" customWidth="1"/>
  </cols>
  <sheetData>
    <row r="1" spans="1:4" x14ac:dyDescent="0.25">
      <c r="A1" s="25" t="s">
        <v>0</v>
      </c>
      <c r="B1" s="25" t="s">
        <v>2117</v>
      </c>
      <c r="C1" s="25" t="s">
        <v>2081</v>
      </c>
      <c r="D1" s="25" t="s">
        <v>2118</v>
      </c>
    </row>
    <row r="2" spans="1:4" x14ac:dyDescent="0.25">
      <c r="A2" t="s">
        <v>6</v>
      </c>
      <c r="B2" t="s">
        <v>2083</v>
      </c>
      <c r="C2" t="s">
        <v>2084</v>
      </c>
      <c r="D2">
        <v>4</v>
      </c>
    </row>
    <row r="3" spans="1:4" x14ac:dyDescent="0.25">
      <c r="A3" t="s">
        <v>18</v>
      </c>
      <c r="B3" t="s">
        <v>2083</v>
      </c>
      <c r="C3" t="s">
        <v>2082</v>
      </c>
      <c r="D3">
        <v>1</v>
      </c>
    </row>
    <row r="4" spans="1:4" x14ac:dyDescent="0.25">
      <c r="A4" t="s">
        <v>20</v>
      </c>
      <c r="B4" t="s">
        <v>2083</v>
      </c>
      <c r="C4" t="s">
        <v>2082</v>
      </c>
      <c r="D4">
        <v>1</v>
      </c>
    </row>
    <row r="5" spans="1:4" x14ac:dyDescent="0.25">
      <c r="A5" t="s">
        <v>22</v>
      </c>
      <c r="B5" t="s">
        <v>2083</v>
      </c>
      <c r="C5" t="s">
        <v>2085</v>
      </c>
      <c r="D5">
        <v>6</v>
      </c>
    </row>
    <row r="6" spans="1:4" x14ac:dyDescent="0.25">
      <c r="A6" t="s">
        <v>32</v>
      </c>
      <c r="B6" t="s">
        <v>2083</v>
      </c>
      <c r="C6" t="s">
        <v>2082</v>
      </c>
      <c r="D6">
        <v>1</v>
      </c>
    </row>
    <row r="7" spans="1:4" x14ac:dyDescent="0.25">
      <c r="A7" t="s">
        <v>60</v>
      </c>
      <c r="B7" t="s">
        <v>2083</v>
      </c>
      <c r="C7" t="s">
        <v>2082</v>
      </c>
      <c r="D7">
        <v>1</v>
      </c>
    </row>
    <row r="8" spans="1:4" x14ac:dyDescent="0.25">
      <c r="A8" t="s">
        <v>62</v>
      </c>
      <c r="B8" t="s">
        <v>2083</v>
      </c>
      <c r="C8" t="s">
        <v>2086</v>
      </c>
      <c r="D8">
        <v>2</v>
      </c>
    </row>
    <row r="9" spans="1:4" x14ac:dyDescent="0.25">
      <c r="A9" t="s">
        <v>66</v>
      </c>
      <c r="B9" t="s">
        <v>2083</v>
      </c>
      <c r="C9" t="s">
        <v>2087</v>
      </c>
      <c r="D9">
        <v>7</v>
      </c>
    </row>
    <row r="10" spans="1:4" x14ac:dyDescent="0.25">
      <c r="A10" t="s">
        <v>80</v>
      </c>
      <c r="B10" t="s">
        <v>2083</v>
      </c>
      <c r="C10" t="s">
        <v>2082</v>
      </c>
      <c r="D10">
        <v>1</v>
      </c>
    </row>
    <row r="11" spans="1:4" x14ac:dyDescent="0.25">
      <c r="A11" t="s">
        <v>87</v>
      </c>
      <c r="B11" t="s">
        <v>2083</v>
      </c>
      <c r="C11" t="s">
        <v>2088</v>
      </c>
      <c r="D11">
        <v>2</v>
      </c>
    </row>
    <row r="12" spans="1:4" x14ac:dyDescent="0.25">
      <c r="A12" t="s">
        <v>89</v>
      </c>
      <c r="B12" t="s">
        <v>2083</v>
      </c>
      <c r="C12" t="s">
        <v>2086</v>
      </c>
      <c r="D12">
        <v>2</v>
      </c>
    </row>
    <row r="13" spans="1:4" x14ac:dyDescent="0.25">
      <c r="A13" t="s">
        <v>93</v>
      </c>
      <c r="B13" t="s">
        <v>2083</v>
      </c>
      <c r="C13" t="s">
        <v>2082</v>
      </c>
      <c r="D13">
        <v>1</v>
      </c>
    </row>
    <row r="14" spans="1:4" x14ac:dyDescent="0.25">
      <c r="A14" t="s">
        <v>95</v>
      </c>
      <c r="B14" t="s">
        <v>2083</v>
      </c>
      <c r="C14" t="s">
        <v>2089</v>
      </c>
      <c r="D14">
        <v>2</v>
      </c>
    </row>
    <row r="15" spans="1:4" x14ac:dyDescent="0.25">
      <c r="A15" t="s">
        <v>103</v>
      </c>
      <c r="B15" t="s">
        <v>2083</v>
      </c>
      <c r="C15" t="s">
        <v>2082</v>
      </c>
      <c r="D15">
        <v>1</v>
      </c>
    </row>
    <row r="16" spans="1:4" x14ac:dyDescent="0.25">
      <c r="A16" t="s">
        <v>119</v>
      </c>
      <c r="B16" t="s">
        <v>2083</v>
      </c>
      <c r="C16" t="s">
        <v>2090</v>
      </c>
      <c r="D16">
        <v>3</v>
      </c>
    </row>
    <row r="17" spans="1:4" x14ac:dyDescent="0.25">
      <c r="A17" t="s">
        <v>125</v>
      </c>
      <c r="B17" t="s">
        <v>2083</v>
      </c>
      <c r="C17" t="s">
        <v>2091</v>
      </c>
      <c r="D17">
        <v>11</v>
      </c>
    </row>
    <row r="18" spans="1:4" x14ac:dyDescent="0.25">
      <c r="A18" t="s">
        <v>127</v>
      </c>
      <c r="B18" t="s">
        <v>2083</v>
      </c>
      <c r="C18" t="s">
        <v>655</v>
      </c>
      <c r="D18">
        <v>1</v>
      </c>
    </row>
    <row r="19" spans="1:4" x14ac:dyDescent="0.25">
      <c r="A19" t="s">
        <v>138</v>
      </c>
      <c r="B19" t="s">
        <v>2083</v>
      </c>
      <c r="C19" t="s">
        <v>2082</v>
      </c>
      <c r="D19">
        <v>1</v>
      </c>
    </row>
    <row r="20" spans="1:4" x14ac:dyDescent="0.25">
      <c r="A20" t="s">
        <v>140</v>
      </c>
      <c r="B20" t="s">
        <v>2083</v>
      </c>
      <c r="C20" t="s">
        <v>2092</v>
      </c>
      <c r="D20">
        <v>2</v>
      </c>
    </row>
    <row r="21" spans="1:4" x14ac:dyDescent="0.25">
      <c r="A21" t="s">
        <v>149</v>
      </c>
      <c r="B21" t="s">
        <v>2083</v>
      </c>
      <c r="C21" t="s">
        <v>2093</v>
      </c>
      <c r="D21">
        <v>2</v>
      </c>
    </row>
    <row r="22" spans="1:4" x14ac:dyDescent="0.25">
      <c r="A22" t="s">
        <v>150</v>
      </c>
      <c r="B22" t="s">
        <v>2083</v>
      </c>
      <c r="C22" t="s">
        <v>2082</v>
      </c>
      <c r="D22">
        <v>1</v>
      </c>
    </row>
    <row r="23" spans="1:4" x14ac:dyDescent="0.25">
      <c r="A23" t="s">
        <v>152</v>
      </c>
      <c r="B23" t="s">
        <v>2083</v>
      </c>
      <c r="C23" t="s">
        <v>2086</v>
      </c>
      <c r="D23">
        <v>2</v>
      </c>
    </row>
    <row r="24" spans="1:4" x14ac:dyDescent="0.25">
      <c r="A24" t="s">
        <v>153</v>
      </c>
      <c r="B24" t="s">
        <v>2083</v>
      </c>
      <c r="C24" t="s">
        <v>2094</v>
      </c>
      <c r="D24">
        <v>8</v>
      </c>
    </row>
    <row r="25" spans="1:4" x14ac:dyDescent="0.25">
      <c r="A25" t="s">
        <v>167</v>
      </c>
      <c r="B25" t="s">
        <v>2083</v>
      </c>
      <c r="C25" t="s">
        <v>2082</v>
      </c>
      <c r="D25">
        <v>1</v>
      </c>
    </row>
    <row r="26" spans="1:4" x14ac:dyDescent="0.25">
      <c r="A26" t="s">
        <v>173</v>
      </c>
      <c r="B26" t="s">
        <v>2083</v>
      </c>
      <c r="C26" t="s">
        <v>2095</v>
      </c>
      <c r="D26">
        <v>5</v>
      </c>
    </row>
    <row r="27" spans="1:4" x14ac:dyDescent="0.25">
      <c r="A27" t="s">
        <v>177</v>
      </c>
      <c r="B27" t="s">
        <v>2083</v>
      </c>
      <c r="C27" t="s">
        <v>2082</v>
      </c>
      <c r="D27">
        <v>1</v>
      </c>
    </row>
    <row r="28" spans="1:4" x14ac:dyDescent="0.25">
      <c r="A28" t="s">
        <v>185</v>
      </c>
      <c r="B28" t="s">
        <v>2083</v>
      </c>
      <c r="C28" t="s">
        <v>2096</v>
      </c>
      <c r="D28">
        <v>3</v>
      </c>
    </row>
    <row r="29" spans="1:4" x14ac:dyDescent="0.25">
      <c r="A29" t="s">
        <v>187</v>
      </c>
      <c r="B29" t="s">
        <v>2083</v>
      </c>
      <c r="C29" t="s">
        <v>2082</v>
      </c>
      <c r="D29">
        <v>1</v>
      </c>
    </row>
    <row r="30" spans="1:4" x14ac:dyDescent="0.25">
      <c r="A30" t="s">
        <v>189</v>
      </c>
      <c r="B30" t="s">
        <v>2083</v>
      </c>
      <c r="C30" t="s">
        <v>2097</v>
      </c>
      <c r="D30">
        <v>2</v>
      </c>
    </row>
    <row r="31" spans="1:4" x14ac:dyDescent="0.25">
      <c r="A31" t="s">
        <v>191</v>
      </c>
      <c r="B31" t="s">
        <v>2083</v>
      </c>
      <c r="C31" t="s">
        <v>2098</v>
      </c>
      <c r="D31">
        <v>2</v>
      </c>
    </row>
    <row r="32" spans="1:4" x14ac:dyDescent="0.25">
      <c r="A32" t="s">
        <v>196</v>
      </c>
      <c r="B32" t="s">
        <v>2083</v>
      </c>
      <c r="C32" t="s">
        <v>2082</v>
      </c>
      <c r="D32">
        <v>1</v>
      </c>
    </row>
    <row r="33" spans="1:4" x14ac:dyDescent="0.25">
      <c r="A33" t="s">
        <v>197</v>
      </c>
      <c r="B33" t="s">
        <v>2083</v>
      </c>
      <c r="C33" t="s">
        <v>2099</v>
      </c>
      <c r="D33">
        <v>2</v>
      </c>
    </row>
    <row r="34" spans="1:4" x14ac:dyDescent="0.25">
      <c r="A34" t="s">
        <v>222</v>
      </c>
      <c r="B34" t="s">
        <v>2083</v>
      </c>
      <c r="C34" t="s">
        <v>2082</v>
      </c>
      <c r="D34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53"/>
  <sheetViews>
    <sheetView topLeftCell="I1" workbookViewId="0">
      <selection activeCell="B1" sqref="B1:AC1"/>
    </sheetView>
  </sheetViews>
  <sheetFormatPr defaultColWidth="9.140625" defaultRowHeight="15" x14ac:dyDescent="0.25"/>
  <cols>
    <col min="1" max="1" width="18.140625" bestFit="1" customWidth="1"/>
    <col min="2" max="2" width="13.85546875" customWidth="1"/>
    <col min="3" max="3" width="11.7109375" customWidth="1"/>
    <col min="5" max="5" width="11.7109375" customWidth="1"/>
    <col min="8" max="10" width="11.7109375" customWidth="1"/>
    <col min="16" max="28" width="10.140625" customWidth="1"/>
    <col min="29" max="29" width="13.85546875" customWidth="1"/>
  </cols>
  <sheetData>
    <row r="1" spans="1:29" x14ac:dyDescent="0.25">
      <c r="A1" t="s">
        <v>0</v>
      </c>
      <c r="B1" s="18" t="s">
        <v>344</v>
      </c>
      <c r="C1" s="18" t="s">
        <v>1742</v>
      </c>
      <c r="D1" s="18" t="s">
        <v>767</v>
      </c>
      <c r="E1" s="18" t="s">
        <v>1745</v>
      </c>
      <c r="F1" s="18" t="s">
        <v>342</v>
      </c>
      <c r="G1" s="18" t="s">
        <v>568</v>
      </c>
      <c r="H1" s="18" t="s">
        <v>1746</v>
      </c>
      <c r="I1" s="18" t="s">
        <v>1747</v>
      </c>
      <c r="J1" s="18" t="s">
        <v>1748</v>
      </c>
      <c r="K1" s="18" t="s">
        <v>861</v>
      </c>
      <c r="L1" s="18" t="s">
        <v>343</v>
      </c>
      <c r="M1" s="18" t="s">
        <v>418</v>
      </c>
      <c r="N1" s="18" t="s">
        <v>419</v>
      </c>
      <c r="O1" s="18" t="s">
        <v>420</v>
      </c>
      <c r="P1" s="18" t="s">
        <v>421</v>
      </c>
      <c r="Q1" s="18" t="s">
        <v>875</v>
      </c>
      <c r="R1" s="18" t="s">
        <v>589</v>
      </c>
      <c r="S1" s="18" t="s">
        <v>604</v>
      </c>
      <c r="T1" s="18" t="s">
        <v>625</v>
      </c>
      <c r="U1" s="18" t="s">
        <v>788</v>
      </c>
      <c r="V1" s="18" t="s">
        <v>690</v>
      </c>
      <c r="W1" s="18" t="s">
        <v>691</v>
      </c>
      <c r="X1" s="18" t="s">
        <v>692</v>
      </c>
      <c r="Y1" s="18" t="s">
        <v>693</v>
      </c>
      <c r="Z1" s="18" t="s">
        <v>701</v>
      </c>
      <c r="AA1" s="18" t="s">
        <v>694</v>
      </c>
      <c r="AB1" s="18" t="s">
        <v>1039</v>
      </c>
      <c r="AC1" s="18" t="s">
        <v>801</v>
      </c>
    </row>
    <row r="2" spans="1:29" x14ac:dyDescent="0.25">
      <c r="A2" t="s">
        <v>6</v>
      </c>
      <c r="B2" s="8">
        <v>180</v>
      </c>
      <c r="C2" s="8"/>
      <c r="D2" s="8"/>
      <c r="E2" s="8"/>
      <c r="F2" s="8">
        <v>61</v>
      </c>
      <c r="G2" s="8"/>
      <c r="H2" s="8"/>
      <c r="I2" s="8"/>
      <c r="J2" s="8"/>
      <c r="K2" s="8"/>
      <c r="L2" s="8" t="s">
        <v>346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x14ac:dyDescent="0.25">
      <c r="A3" t="s">
        <v>11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:29" x14ac:dyDescent="0.25">
      <c r="A4" t="s">
        <v>12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spans="1:29" x14ac:dyDescent="0.25">
      <c r="A5" t="s">
        <v>16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29" x14ac:dyDescent="0.25">
      <c r="A6" t="s">
        <v>18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spans="1:29" x14ac:dyDescent="0.25">
      <c r="A7" t="s">
        <v>20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pans="1:29" x14ac:dyDescent="0.25">
      <c r="A8" t="s">
        <v>22</v>
      </c>
      <c r="B8" s="8">
        <v>25</v>
      </c>
      <c r="C8" s="8"/>
      <c r="D8" s="8"/>
      <c r="E8" s="8"/>
      <c r="F8" s="8"/>
      <c r="G8" s="8"/>
      <c r="H8" s="8"/>
      <c r="I8" s="8"/>
      <c r="J8" s="8"/>
      <c r="K8" s="8"/>
      <c r="L8" s="8"/>
      <c r="M8" s="8">
        <v>43</v>
      </c>
      <c r="N8" s="8">
        <v>37</v>
      </c>
      <c r="O8" s="8">
        <v>25</v>
      </c>
      <c r="P8" s="8">
        <v>26</v>
      </c>
      <c r="Q8" s="8"/>
      <c r="R8" s="8"/>
      <c r="S8" s="8"/>
      <c r="T8" s="8"/>
      <c r="U8" s="8"/>
      <c r="V8" s="8">
        <v>29</v>
      </c>
      <c r="W8" s="8">
        <v>26</v>
      </c>
      <c r="X8" s="8">
        <v>23</v>
      </c>
      <c r="Y8" s="8">
        <v>23</v>
      </c>
      <c r="Z8" s="8"/>
      <c r="AA8" s="8">
        <v>23</v>
      </c>
      <c r="AB8" s="8"/>
      <c r="AC8" s="8"/>
    </row>
    <row r="9" spans="1:29" x14ac:dyDescent="0.25">
      <c r="A9" t="s">
        <v>24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spans="1:29" x14ac:dyDescent="0.25">
      <c r="A10" t="s">
        <v>26</v>
      </c>
      <c r="B10" s="8">
        <v>31</v>
      </c>
      <c r="C10" s="8"/>
      <c r="D10" s="8"/>
      <c r="E10" s="8"/>
      <c r="F10" s="8">
        <v>36</v>
      </c>
      <c r="G10" s="8"/>
      <c r="H10" s="8"/>
      <c r="I10" s="8"/>
      <c r="J10" s="8"/>
      <c r="K10" s="8"/>
      <c r="L10" s="8"/>
      <c r="M10" s="8">
        <v>30.9</v>
      </c>
      <c r="N10" s="8">
        <v>47.8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>
        <v>28</v>
      </c>
      <c r="AA10" s="8"/>
      <c r="AB10" s="8"/>
      <c r="AC10" s="8"/>
    </row>
    <row r="11" spans="1:29" x14ac:dyDescent="0.25">
      <c r="A11" t="s">
        <v>28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1:29" x14ac:dyDescent="0.25">
      <c r="A12" t="s">
        <v>30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x14ac:dyDescent="0.25">
      <c r="A13" t="s">
        <v>32</v>
      </c>
      <c r="B13" s="8" t="s">
        <v>503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spans="1:29" x14ac:dyDescent="0.25">
      <c r="A14" t="s">
        <v>34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spans="1:29" x14ac:dyDescent="0.25">
      <c r="A15" t="s">
        <v>36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spans="1:29" x14ac:dyDescent="0.25">
      <c r="A16" t="s">
        <v>37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spans="1:29" x14ac:dyDescent="0.25">
      <c r="A17" t="s">
        <v>40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spans="1:29" x14ac:dyDescent="0.25">
      <c r="A18" t="s">
        <v>42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spans="1:29" x14ac:dyDescent="0.25">
      <c r="A19" t="s">
        <v>43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spans="1:29" x14ac:dyDescent="0.25">
      <c r="A20" t="s">
        <v>44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spans="1:29" x14ac:dyDescent="0.25">
      <c r="A21" t="s">
        <v>46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spans="1:29" x14ac:dyDescent="0.25">
      <c r="A22" t="s">
        <v>48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spans="1:29" x14ac:dyDescent="0.25">
      <c r="A23" t="s">
        <v>50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1:29" x14ac:dyDescent="0.25">
      <c r="A24" t="s">
        <v>52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spans="1:29" x14ac:dyDescent="0.25">
      <c r="A25" t="s">
        <v>53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spans="1:29" x14ac:dyDescent="0.25">
      <c r="A26" t="s">
        <v>55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spans="1:29" x14ac:dyDescent="0.25">
      <c r="A27" t="s">
        <v>57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spans="1:29" x14ac:dyDescent="0.25">
      <c r="A28" t="s">
        <v>59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spans="1:29" x14ac:dyDescent="0.25">
      <c r="A29" t="s">
        <v>60</v>
      </c>
      <c r="B29" s="8">
        <v>31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spans="1:29" x14ac:dyDescent="0.25">
      <c r="A30" t="s">
        <v>62</v>
      </c>
      <c r="B30" s="8" t="s">
        <v>1741</v>
      </c>
      <c r="C30" s="8" t="s">
        <v>346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spans="1:29" x14ac:dyDescent="0.25">
      <c r="A31" t="s">
        <v>64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spans="1:29" x14ac:dyDescent="0.25">
      <c r="A32" t="s">
        <v>65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spans="1:29" x14ac:dyDescent="0.25">
      <c r="A33" t="s">
        <v>66</v>
      </c>
      <c r="B33" s="8">
        <v>28</v>
      </c>
      <c r="C33" s="8"/>
      <c r="D33" s="8"/>
      <c r="E33" s="8"/>
      <c r="F33" s="8">
        <v>26</v>
      </c>
      <c r="G33" s="8">
        <v>27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>
        <v>36</v>
      </c>
      <c r="S33" s="8">
        <v>27</v>
      </c>
      <c r="T33" s="8">
        <v>24</v>
      </c>
      <c r="U33" s="8"/>
      <c r="V33" s="8"/>
      <c r="W33" s="8"/>
      <c r="X33" s="8"/>
      <c r="Y33" s="8"/>
      <c r="Z33" s="8"/>
      <c r="AA33" s="8"/>
      <c r="AB33" s="8"/>
      <c r="AC33" s="8"/>
    </row>
    <row r="34" spans="1:29" x14ac:dyDescent="0.25">
      <c r="A34" t="s">
        <v>68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spans="1:29" x14ac:dyDescent="0.25">
      <c r="A35" t="s">
        <v>69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spans="1:29" x14ac:dyDescent="0.25">
      <c r="A36" t="s">
        <v>71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spans="1:29" x14ac:dyDescent="0.25">
      <c r="A37" t="s">
        <v>73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spans="1:29" x14ac:dyDescent="0.25">
      <c r="A38" t="s">
        <v>74</v>
      </c>
      <c r="B38" s="8" t="s">
        <v>635</v>
      </c>
      <c r="C38" s="8"/>
      <c r="D38" s="8"/>
      <c r="E38" s="8"/>
      <c r="F38" s="8">
        <v>32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spans="1:29" x14ac:dyDescent="0.25">
      <c r="A39" t="s">
        <v>76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spans="1:29" x14ac:dyDescent="0.25">
      <c r="A40" t="s">
        <v>78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spans="1:29" x14ac:dyDescent="0.25">
      <c r="A41" t="s">
        <v>80</v>
      </c>
      <c r="B41" s="8">
        <v>32.799999999999997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spans="1:29" x14ac:dyDescent="0.25">
      <c r="A42" t="s">
        <v>82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spans="1:29" x14ac:dyDescent="0.25">
      <c r="A43" t="s">
        <v>84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spans="1:29" x14ac:dyDescent="0.25">
      <c r="A44" t="s">
        <v>85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spans="1:29" x14ac:dyDescent="0.25">
      <c r="A45" t="s">
        <v>87</v>
      </c>
      <c r="B45" s="8"/>
      <c r="C45" s="8"/>
      <c r="D45" s="8">
        <v>44.5</v>
      </c>
      <c r="E45" s="8"/>
      <c r="F45" s="8"/>
      <c r="G45" s="8"/>
      <c r="H45" s="8"/>
      <c r="I45" s="8"/>
      <c r="J45" s="8"/>
      <c r="K45" s="8"/>
      <c r="L45" s="8">
        <v>42.3</v>
      </c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spans="1:29" x14ac:dyDescent="0.25">
      <c r="A46" t="s">
        <v>89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spans="1:29" x14ac:dyDescent="0.25">
      <c r="A47" t="s">
        <v>91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spans="1:29" x14ac:dyDescent="0.25">
      <c r="A48" t="s">
        <v>92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spans="1:29" x14ac:dyDescent="0.25">
      <c r="A49" t="s">
        <v>93</v>
      </c>
      <c r="B49" s="8" t="s">
        <v>787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>
        <v>21</v>
      </c>
      <c r="V49" s="8"/>
      <c r="W49" s="8"/>
      <c r="X49" s="8"/>
      <c r="Y49" s="8"/>
      <c r="Z49" s="8"/>
      <c r="AA49" s="8"/>
      <c r="AB49" s="8"/>
      <c r="AC49" s="8"/>
    </row>
    <row r="50" spans="1:29" x14ac:dyDescent="0.25">
      <c r="A50" t="s">
        <v>95</v>
      </c>
      <c r="B50" s="8">
        <v>25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>
        <v>22</v>
      </c>
    </row>
    <row r="51" spans="1:29" x14ac:dyDescent="0.25">
      <c r="A51" t="s">
        <v>97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spans="1:29" x14ac:dyDescent="0.25">
      <c r="A52" t="s">
        <v>99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spans="1:29" x14ac:dyDescent="0.25">
      <c r="A53" t="s">
        <v>100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spans="1:29" x14ac:dyDescent="0.25">
      <c r="A54" t="s">
        <v>101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spans="1:29" x14ac:dyDescent="0.25">
      <c r="A55" t="s">
        <v>102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spans="1:29" x14ac:dyDescent="0.25">
      <c r="A56" t="s">
        <v>103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spans="1:29" x14ac:dyDescent="0.25">
      <c r="A57" t="s">
        <v>105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spans="1:29" x14ac:dyDescent="0.25">
      <c r="A58" t="s">
        <v>106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spans="1:29" x14ac:dyDescent="0.25">
      <c r="A59" t="s">
        <v>107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spans="1:29" x14ac:dyDescent="0.25">
      <c r="A60" t="s">
        <v>108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spans="1:29" x14ac:dyDescent="0.25">
      <c r="A61" t="s">
        <v>109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spans="1:29" x14ac:dyDescent="0.25">
      <c r="A62" t="s">
        <v>110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spans="1:29" x14ac:dyDescent="0.25">
      <c r="A63" t="s">
        <v>111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spans="1:29" x14ac:dyDescent="0.25">
      <c r="A64" t="s">
        <v>112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spans="1:29" x14ac:dyDescent="0.25">
      <c r="A65" t="s">
        <v>113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spans="1:29" x14ac:dyDescent="0.25">
      <c r="A66" t="s">
        <v>115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spans="1:29" x14ac:dyDescent="0.25">
      <c r="A67" t="s">
        <v>116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spans="1:29" x14ac:dyDescent="0.25">
      <c r="A68" t="s">
        <v>117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spans="1:29" x14ac:dyDescent="0.25">
      <c r="A69" t="s">
        <v>119</v>
      </c>
      <c r="B69" s="8">
        <v>29.06</v>
      </c>
      <c r="C69" s="8"/>
      <c r="D69" s="8"/>
      <c r="E69" s="8"/>
      <c r="F69" s="8">
        <v>28.35</v>
      </c>
      <c r="G69" s="8"/>
      <c r="H69" s="8"/>
      <c r="I69" s="8"/>
      <c r="J69" s="8"/>
      <c r="K69" s="8"/>
      <c r="L69" s="8"/>
      <c r="M69" s="8">
        <v>27.84</v>
      </c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spans="1:29" x14ac:dyDescent="0.25">
      <c r="A70" t="s">
        <v>120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spans="1:29" x14ac:dyDescent="0.25">
      <c r="A71" t="s">
        <v>122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spans="1:29" x14ac:dyDescent="0.25">
      <c r="A72" t="s">
        <v>123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spans="1:29" x14ac:dyDescent="0.25">
      <c r="A73" t="s">
        <v>125</v>
      </c>
      <c r="B73" s="8">
        <v>27.1</v>
      </c>
      <c r="C73" s="8"/>
      <c r="D73" s="8">
        <v>30.9</v>
      </c>
      <c r="E73" s="8"/>
      <c r="F73" s="8"/>
      <c r="G73" s="8">
        <v>36.200000000000003</v>
      </c>
      <c r="H73" s="8"/>
      <c r="I73" s="8"/>
      <c r="J73" s="8"/>
      <c r="K73" s="8">
        <v>29.7</v>
      </c>
      <c r="L73" s="8">
        <v>30.5</v>
      </c>
      <c r="M73" s="8"/>
      <c r="N73" s="8">
        <v>29.1</v>
      </c>
      <c r="O73" s="8">
        <v>28.6</v>
      </c>
      <c r="P73" s="8"/>
      <c r="Q73" s="8">
        <v>28.3</v>
      </c>
      <c r="R73" s="8"/>
      <c r="S73" s="8"/>
      <c r="T73" s="8">
        <v>27.5</v>
      </c>
      <c r="U73" s="8">
        <v>27.5</v>
      </c>
      <c r="V73" s="8"/>
      <c r="W73" s="8"/>
      <c r="X73" s="8"/>
      <c r="Y73" s="8"/>
      <c r="Z73" s="8"/>
      <c r="AA73" s="8"/>
      <c r="AB73" s="8"/>
      <c r="AC73" s="8"/>
    </row>
    <row r="74" spans="1:29" x14ac:dyDescent="0.25">
      <c r="A74" t="s">
        <v>126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spans="1:29" x14ac:dyDescent="0.25">
      <c r="A75" t="s">
        <v>127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spans="1:29" x14ac:dyDescent="0.25">
      <c r="A76" t="s">
        <v>128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spans="1:29" x14ac:dyDescent="0.25">
      <c r="A77" t="s">
        <v>131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spans="1:29" x14ac:dyDescent="0.25">
      <c r="A78" t="s">
        <v>133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spans="1:29" x14ac:dyDescent="0.25">
      <c r="A79" t="s">
        <v>134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spans="1:29" x14ac:dyDescent="0.25">
      <c r="A80" t="s">
        <v>136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spans="1:29" x14ac:dyDescent="0.25">
      <c r="A81" t="s">
        <v>138</v>
      </c>
      <c r="B81" s="8">
        <v>34.1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spans="1:29" x14ac:dyDescent="0.25">
      <c r="A82" t="s">
        <v>140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spans="1:29" x14ac:dyDescent="0.25">
      <c r="A83" t="s">
        <v>142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spans="1:29" x14ac:dyDescent="0.25">
      <c r="A84" t="s">
        <v>143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spans="1:29" x14ac:dyDescent="0.25">
      <c r="A85" t="s">
        <v>144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spans="1:29" x14ac:dyDescent="0.25">
      <c r="A86" t="s">
        <v>145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spans="1:29" x14ac:dyDescent="0.25">
      <c r="A87" t="s">
        <v>146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spans="1:29" x14ac:dyDescent="0.25">
      <c r="A88" t="s">
        <v>147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spans="1:29" x14ac:dyDescent="0.25">
      <c r="A89" t="s">
        <v>148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spans="1:29" x14ac:dyDescent="0.25">
      <c r="A90" t="s">
        <v>149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spans="1:29" x14ac:dyDescent="0.25">
      <c r="A91" t="s">
        <v>150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spans="1:29" x14ac:dyDescent="0.25">
      <c r="A92" t="s">
        <v>151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spans="1:29" x14ac:dyDescent="0.25">
      <c r="A93" t="s">
        <v>321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spans="1:29" x14ac:dyDescent="0.25">
      <c r="A94" t="s">
        <v>152</v>
      </c>
      <c r="B94" s="8" t="s">
        <v>1744</v>
      </c>
      <c r="C94" s="8" t="s">
        <v>1743</v>
      </c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spans="1:29" x14ac:dyDescent="0.25">
      <c r="A95" t="s">
        <v>153</v>
      </c>
      <c r="B95" s="8">
        <v>30</v>
      </c>
      <c r="C95" s="8"/>
      <c r="D95" s="8">
        <v>37</v>
      </c>
      <c r="E95" s="8">
        <v>36</v>
      </c>
      <c r="F95" s="8">
        <v>63</v>
      </c>
      <c r="G95" s="8">
        <v>137</v>
      </c>
      <c r="H95" s="8">
        <v>82</v>
      </c>
      <c r="I95" s="8">
        <v>72</v>
      </c>
      <c r="J95" s="8">
        <v>68</v>
      </c>
      <c r="K95" s="8">
        <v>85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spans="1:29" x14ac:dyDescent="0.25">
      <c r="A96" t="s">
        <v>155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spans="1:29" x14ac:dyDescent="0.25">
      <c r="A97" t="s">
        <v>157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spans="1:29" x14ac:dyDescent="0.25">
      <c r="A98" t="s">
        <v>158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spans="1:29" x14ac:dyDescent="0.25">
      <c r="A99" t="s">
        <v>160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spans="1:29" x14ac:dyDescent="0.25">
      <c r="A100" t="s">
        <v>162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spans="1:29" x14ac:dyDescent="0.25">
      <c r="A101" t="s">
        <v>163</v>
      </c>
      <c r="B101" s="8">
        <v>43.3</v>
      </c>
      <c r="C101" s="8"/>
      <c r="D101" s="8">
        <v>32.200000000000003</v>
      </c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spans="1:29" x14ac:dyDescent="0.25">
      <c r="A102" t="s">
        <v>164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spans="1:29" x14ac:dyDescent="0.25">
      <c r="A103" t="s">
        <v>165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spans="1:29" x14ac:dyDescent="0.25">
      <c r="A104" t="s">
        <v>166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spans="1:29" x14ac:dyDescent="0.25">
      <c r="A105" t="s">
        <v>167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spans="1:29" x14ac:dyDescent="0.25">
      <c r="A106" t="s">
        <v>169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spans="1:29" x14ac:dyDescent="0.25">
      <c r="A107" t="s">
        <v>170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spans="1:29" x14ac:dyDescent="0.25">
      <c r="A108" t="s">
        <v>172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spans="1:29" x14ac:dyDescent="0.25">
      <c r="A109" t="s">
        <v>173</v>
      </c>
      <c r="B109" s="8"/>
      <c r="C109" s="8"/>
      <c r="D109" s="8">
        <v>28</v>
      </c>
      <c r="E109" s="8">
        <v>32</v>
      </c>
      <c r="F109" s="8">
        <v>35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spans="1:29" x14ac:dyDescent="0.25">
      <c r="A110" t="s">
        <v>175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spans="1:29" x14ac:dyDescent="0.25">
      <c r="A111" t="s">
        <v>176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spans="1:29" x14ac:dyDescent="0.25">
      <c r="A112" t="s">
        <v>177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spans="1:29" x14ac:dyDescent="0.25">
      <c r="A113" t="s">
        <v>178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spans="1:29" x14ac:dyDescent="0.25">
      <c r="A114" t="s">
        <v>179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spans="1:29" x14ac:dyDescent="0.25">
      <c r="A115" t="s">
        <v>182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spans="1:29" x14ac:dyDescent="0.25">
      <c r="A116" t="s">
        <v>183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spans="1:29" x14ac:dyDescent="0.25">
      <c r="A117" t="s">
        <v>185</v>
      </c>
      <c r="B117" s="8" t="s">
        <v>1020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spans="1:29" x14ac:dyDescent="0.25">
      <c r="A118" t="s">
        <v>187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spans="1:29" x14ac:dyDescent="0.25">
      <c r="A119" t="s">
        <v>189</v>
      </c>
      <c r="B119" s="8"/>
      <c r="C119" s="8"/>
      <c r="D119" s="8"/>
      <c r="E119" s="8"/>
      <c r="F119" s="8">
        <v>35</v>
      </c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spans="1:29" x14ac:dyDescent="0.25">
      <c r="A120" t="s">
        <v>191</v>
      </c>
      <c r="B120" s="8">
        <v>31</v>
      </c>
      <c r="C120" s="8"/>
      <c r="D120" s="8"/>
      <c r="E120" s="8"/>
      <c r="F120" s="8">
        <v>40</v>
      </c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spans="1:29" x14ac:dyDescent="0.25">
      <c r="A121" t="s">
        <v>192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spans="1:29" x14ac:dyDescent="0.25">
      <c r="A122" t="s">
        <v>194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spans="1:29" x14ac:dyDescent="0.25">
      <c r="A123" t="s">
        <v>196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spans="1:29" x14ac:dyDescent="0.25">
      <c r="A124" t="s">
        <v>197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>
        <v>30</v>
      </c>
      <c r="AA124" s="8"/>
      <c r="AB124" s="8">
        <v>62</v>
      </c>
      <c r="AC124" s="8"/>
    </row>
    <row r="125" spans="1:29" x14ac:dyDescent="0.25">
      <c r="A125" t="s">
        <v>199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spans="1:29" x14ac:dyDescent="0.25">
      <c r="A126" t="s">
        <v>200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spans="1:29" x14ac:dyDescent="0.25">
      <c r="A127" t="s">
        <v>201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spans="1:29" x14ac:dyDescent="0.25">
      <c r="A128" t="s">
        <v>202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spans="1:29" x14ac:dyDescent="0.25">
      <c r="A129" t="s">
        <v>294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spans="1:29" x14ac:dyDescent="0.25">
      <c r="A130" t="s">
        <v>207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spans="1:29" x14ac:dyDescent="0.25">
      <c r="A131" t="s">
        <v>208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spans="1:29" x14ac:dyDescent="0.25">
      <c r="A132" t="s">
        <v>1589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spans="1:29" x14ac:dyDescent="0.25">
      <c r="A133" t="s">
        <v>209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spans="1:29" x14ac:dyDescent="0.25">
      <c r="A134" t="s">
        <v>211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spans="1:29" x14ac:dyDescent="0.25">
      <c r="A135" t="s">
        <v>212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spans="1:29" x14ac:dyDescent="0.25">
      <c r="A136" t="s">
        <v>214</v>
      </c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spans="1:29" x14ac:dyDescent="0.25">
      <c r="A137" t="s">
        <v>216</v>
      </c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spans="1:29" x14ac:dyDescent="0.25">
      <c r="A138" t="s">
        <v>218</v>
      </c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spans="1:29" x14ac:dyDescent="0.25">
      <c r="A139" t="s">
        <v>220</v>
      </c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spans="1:29" x14ac:dyDescent="0.25">
      <c r="A140" t="s">
        <v>222</v>
      </c>
      <c r="B140" s="8" t="s">
        <v>1065</v>
      </c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spans="1:29" x14ac:dyDescent="0.25">
      <c r="A141" t="s">
        <v>224</v>
      </c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spans="1:29" x14ac:dyDescent="0.25">
      <c r="A142" t="s">
        <v>225</v>
      </c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spans="1:29" x14ac:dyDescent="0.25">
      <c r="A143" t="s">
        <v>227</v>
      </c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spans="1:29" x14ac:dyDescent="0.25">
      <c r="A144" t="s">
        <v>229</v>
      </c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spans="1:29" x14ac:dyDescent="0.25">
      <c r="A145" t="s">
        <v>231</v>
      </c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spans="1:29" x14ac:dyDescent="0.25">
      <c r="A146" t="s">
        <v>232</v>
      </c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spans="1:29" x14ac:dyDescent="0.25">
      <c r="A147" t="s">
        <v>234</v>
      </c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spans="1:29" x14ac:dyDescent="0.25">
      <c r="A148" t="s">
        <v>236</v>
      </c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spans="1:29" x14ac:dyDescent="0.25">
      <c r="A149" t="s">
        <v>1322</v>
      </c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spans="1:29" x14ac:dyDescent="0.25">
      <c r="A150" t="s">
        <v>1323</v>
      </c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spans="1:29" x14ac:dyDescent="0.25">
      <c r="A151" t="s">
        <v>1324</v>
      </c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spans="1:29" x14ac:dyDescent="0.25">
      <c r="A152" t="s">
        <v>1325</v>
      </c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spans="1:29" x14ac:dyDescent="0.25">
      <c r="A153" t="s">
        <v>1326</v>
      </c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25"/>
  <sheetViews>
    <sheetView workbookViewId="0">
      <selection sqref="A1:D1"/>
    </sheetView>
  </sheetViews>
  <sheetFormatPr defaultColWidth="9.140625" defaultRowHeight="15" x14ac:dyDescent="0.25"/>
  <cols>
    <col min="1" max="1" width="18.140625" bestFit="1" customWidth="1"/>
    <col min="2" max="2" width="6.42578125" bestFit="1" customWidth="1"/>
    <col min="3" max="3" width="73.85546875" bestFit="1" customWidth="1"/>
    <col min="4" max="4" width="27.42578125" bestFit="1" customWidth="1"/>
  </cols>
  <sheetData>
    <row r="1" spans="1:4" x14ac:dyDescent="0.25">
      <c r="A1" s="25" t="s">
        <v>0</v>
      </c>
      <c r="B1" s="25" t="s">
        <v>2100</v>
      </c>
      <c r="C1" s="25" t="s">
        <v>2081</v>
      </c>
      <c r="D1" s="25" t="s">
        <v>2101</v>
      </c>
    </row>
    <row r="2" spans="1:4" x14ac:dyDescent="0.25">
      <c r="A2" t="s">
        <v>6</v>
      </c>
      <c r="B2" t="s">
        <v>2100</v>
      </c>
      <c r="C2" t="s">
        <v>2102</v>
      </c>
      <c r="D2">
        <v>3</v>
      </c>
    </row>
    <row r="3" spans="1:4" x14ac:dyDescent="0.25">
      <c r="A3" t="s">
        <v>22</v>
      </c>
      <c r="B3" t="s">
        <v>2100</v>
      </c>
      <c r="C3" t="s">
        <v>2103</v>
      </c>
      <c r="D3">
        <v>10</v>
      </c>
    </row>
    <row r="4" spans="1:4" x14ac:dyDescent="0.25">
      <c r="A4" t="s">
        <v>26</v>
      </c>
      <c r="B4" t="s">
        <v>2100</v>
      </c>
      <c r="C4" t="s">
        <v>2104</v>
      </c>
      <c r="D4">
        <v>5</v>
      </c>
    </row>
    <row r="5" spans="1:4" x14ac:dyDescent="0.25">
      <c r="A5" t="s">
        <v>32</v>
      </c>
      <c r="B5" t="s">
        <v>2100</v>
      </c>
      <c r="C5" t="s">
        <v>344</v>
      </c>
      <c r="D5">
        <v>1</v>
      </c>
    </row>
    <row r="6" spans="1:4" x14ac:dyDescent="0.25">
      <c r="A6" t="s">
        <v>60</v>
      </c>
      <c r="B6" t="s">
        <v>2100</v>
      </c>
      <c r="C6" t="s">
        <v>344</v>
      </c>
      <c r="D6">
        <v>1</v>
      </c>
    </row>
    <row r="7" spans="1:4" x14ac:dyDescent="0.25">
      <c r="A7" t="s">
        <v>62</v>
      </c>
      <c r="B7" t="s">
        <v>2100</v>
      </c>
      <c r="C7" t="s">
        <v>2105</v>
      </c>
      <c r="D7">
        <v>2</v>
      </c>
    </row>
    <row r="8" spans="1:4" x14ac:dyDescent="0.25">
      <c r="A8" t="s">
        <v>66</v>
      </c>
      <c r="B8" t="s">
        <v>2100</v>
      </c>
      <c r="C8" t="s">
        <v>2106</v>
      </c>
      <c r="D8">
        <v>6</v>
      </c>
    </row>
    <row r="9" spans="1:4" x14ac:dyDescent="0.25">
      <c r="A9" t="s">
        <v>74</v>
      </c>
      <c r="B9" t="s">
        <v>2100</v>
      </c>
      <c r="C9" t="s">
        <v>2107</v>
      </c>
      <c r="D9">
        <v>2</v>
      </c>
    </row>
    <row r="10" spans="1:4" x14ac:dyDescent="0.25">
      <c r="A10" t="s">
        <v>80</v>
      </c>
      <c r="B10" t="s">
        <v>2100</v>
      </c>
      <c r="C10" t="s">
        <v>344</v>
      </c>
      <c r="D10">
        <v>1</v>
      </c>
    </row>
    <row r="11" spans="1:4" x14ac:dyDescent="0.25">
      <c r="A11" t="s">
        <v>87</v>
      </c>
      <c r="B11" t="s">
        <v>2100</v>
      </c>
      <c r="C11" t="s">
        <v>2108</v>
      </c>
      <c r="D11">
        <v>2</v>
      </c>
    </row>
    <row r="12" spans="1:4" x14ac:dyDescent="0.25">
      <c r="A12" t="s">
        <v>93</v>
      </c>
      <c r="B12" t="s">
        <v>2100</v>
      </c>
      <c r="C12" t="s">
        <v>2109</v>
      </c>
      <c r="D12">
        <v>2</v>
      </c>
    </row>
    <row r="13" spans="1:4" x14ac:dyDescent="0.25">
      <c r="A13" t="s">
        <v>95</v>
      </c>
      <c r="B13" t="s">
        <v>2100</v>
      </c>
      <c r="C13" t="s">
        <v>2110</v>
      </c>
      <c r="D13">
        <v>2</v>
      </c>
    </row>
    <row r="14" spans="1:4" x14ac:dyDescent="0.25">
      <c r="A14" t="s">
        <v>119</v>
      </c>
      <c r="B14" t="s">
        <v>2100</v>
      </c>
      <c r="C14" t="s">
        <v>2111</v>
      </c>
      <c r="D14">
        <v>3</v>
      </c>
    </row>
    <row r="15" spans="1:4" x14ac:dyDescent="0.25">
      <c r="A15" t="s">
        <v>125</v>
      </c>
      <c r="B15" t="s">
        <v>2100</v>
      </c>
      <c r="C15" t="s">
        <v>2112</v>
      </c>
      <c r="D15">
        <v>10</v>
      </c>
    </row>
    <row r="16" spans="1:4" x14ac:dyDescent="0.25">
      <c r="A16" t="s">
        <v>138</v>
      </c>
      <c r="B16" t="s">
        <v>2100</v>
      </c>
      <c r="C16" t="s">
        <v>344</v>
      </c>
      <c r="D16">
        <v>1</v>
      </c>
    </row>
    <row r="17" spans="1:4" x14ac:dyDescent="0.25">
      <c r="A17" t="s">
        <v>152</v>
      </c>
      <c r="B17" t="s">
        <v>2100</v>
      </c>
      <c r="C17" t="s">
        <v>2105</v>
      </c>
      <c r="D17">
        <v>2</v>
      </c>
    </row>
    <row r="18" spans="1:4" x14ac:dyDescent="0.25">
      <c r="A18" t="s">
        <v>153</v>
      </c>
      <c r="B18" t="s">
        <v>2100</v>
      </c>
      <c r="C18" t="s">
        <v>2113</v>
      </c>
      <c r="D18">
        <v>9</v>
      </c>
    </row>
    <row r="19" spans="1:4" x14ac:dyDescent="0.25">
      <c r="A19" t="s">
        <v>163</v>
      </c>
      <c r="B19" t="s">
        <v>2100</v>
      </c>
      <c r="C19" t="s">
        <v>2114</v>
      </c>
      <c r="D19">
        <v>2</v>
      </c>
    </row>
    <row r="20" spans="1:4" x14ac:dyDescent="0.25">
      <c r="A20" t="s">
        <v>173</v>
      </c>
      <c r="B20" t="s">
        <v>2100</v>
      </c>
      <c r="C20" t="s">
        <v>2115</v>
      </c>
      <c r="D20">
        <v>3</v>
      </c>
    </row>
    <row r="21" spans="1:4" x14ac:dyDescent="0.25">
      <c r="A21" t="s">
        <v>185</v>
      </c>
      <c r="B21" t="s">
        <v>2100</v>
      </c>
      <c r="C21" t="s">
        <v>344</v>
      </c>
      <c r="D21">
        <v>1</v>
      </c>
    </row>
    <row r="22" spans="1:4" x14ac:dyDescent="0.25">
      <c r="A22" t="s">
        <v>189</v>
      </c>
      <c r="B22" t="s">
        <v>2100</v>
      </c>
      <c r="C22" t="s">
        <v>342</v>
      </c>
      <c r="D22">
        <v>1</v>
      </c>
    </row>
    <row r="23" spans="1:4" x14ac:dyDescent="0.25">
      <c r="A23" t="s">
        <v>191</v>
      </c>
      <c r="B23" t="s">
        <v>2100</v>
      </c>
      <c r="C23" t="s">
        <v>2107</v>
      </c>
      <c r="D23">
        <v>2</v>
      </c>
    </row>
    <row r="24" spans="1:4" x14ac:dyDescent="0.25">
      <c r="A24" t="s">
        <v>197</v>
      </c>
      <c r="B24" t="s">
        <v>2100</v>
      </c>
      <c r="C24" t="s">
        <v>2116</v>
      </c>
      <c r="D24">
        <v>2</v>
      </c>
    </row>
    <row r="25" spans="1:4" x14ac:dyDescent="0.25">
      <c r="A25" t="s">
        <v>222</v>
      </c>
      <c r="B25" t="s">
        <v>2100</v>
      </c>
      <c r="C25" t="s">
        <v>344</v>
      </c>
      <c r="D25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3"/>
  <sheetViews>
    <sheetView topLeftCell="B1" workbookViewId="0">
      <selection activeCell="B1" sqref="B1:N1"/>
    </sheetView>
  </sheetViews>
  <sheetFormatPr defaultColWidth="9.140625" defaultRowHeight="15" x14ac:dyDescent="0.25"/>
  <cols>
    <col min="1" max="1" width="18.140625" bestFit="1" customWidth="1"/>
    <col min="3" max="3" width="22.28515625" customWidth="1"/>
    <col min="4" max="6" width="15.5703125" customWidth="1"/>
    <col min="7" max="8" width="18.140625" customWidth="1"/>
    <col min="9" max="11" width="15.5703125" customWidth="1"/>
    <col min="12" max="14" width="16.5703125" customWidth="1"/>
  </cols>
  <sheetData>
    <row r="1" spans="1:14" x14ac:dyDescent="0.25">
      <c r="A1" t="s">
        <v>0</v>
      </c>
      <c r="B1" t="s">
        <v>347</v>
      </c>
      <c r="C1" t="s">
        <v>2119</v>
      </c>
      <c r="D1" t="s">
        <v>768</v>
      </c>
      <c r="E1" t="s">
        <v>569</v>
      </c>
      <c r="F1" t="s">
        <v>570</v>
      </c>
      <c r="G1" t="s">
        <v>1749</v>
      </c>
      <c r="H1" t="s">
        <v>1750</v>
      </c>
      <c r="I1" t="s">
        <v>905</v>
      </c>
      <c r="J1" t="s">
        <v>710</v>
      </c>
      <c r="K1" t="s">
        <v>484</v>
      </c>
      <c r="L1" t="s">
        <v>592</v>
      </c>
      <c r="M1" t="s">
        <v>605</v>
      </c>
      <c r="N1" t="s">
        <v>624</v>
      </c>
    </row>
    <row r="2" spans="1:14" x14ac:dyDescent="0.25">
      <c r="A2" t="s">
        <v>6</v>
      </c>
      <c r="B2" t="s">
        <v>335</v>
      </c>
    </row>
    <row r="3" spans="1:14" x14ac:dyDescent="0.25">
      <c r="A3" t="s">
        <v>11</v>
      </c>
    </row>
    <row r="4" spans="1:14" x14ac:dyDescent="0.25">
      <c r="A4" t="s">
        <v>12</v>
      </c>
    </row>
    <row r="5" spans="1:14" x14ac:dyDescent="0.25">
      <c r="A5" t="s">
        <v>16</v>
      </c>
    </row>
    <row r="6" spans="1:14" x14ac:dyDescent="0.25">
      <c r="A6" t="s">
        <v>18</v>
      </c>
    </row>
    <row r="7" spans="1:14" x14ac:dyDescent="0.25">
      <c r="A7" t="s">
        <v>20</v>
      </c>
    </row>
    <row r="8" spans="1:14" x14ac:dyDescent="0.25">
      <c r="A8" t="s">
        <v>22</v>
      </c>
    </row>
    <row r="9" spans="1:14" x14ac:dyDescent="0.25">
      <c r="A9" t="s">
        <v>24</v>
      </c>
    </row>
    <row r="10" spans="1:14" x14ac:dyDescent="0.25">
      <c r="A10" t="s">
        <v>26</v>
      </c>
      <c r="J10">
        <v>240</v>
      </c>
      <c r="K10">
        <v>250</v>
      </c>
    </row>
    <row r="11" spans="1:14" x14ac:dyDescent="0.25">
      <c r="A11" t="s">
        <v>28</v>
      </c>
    </row>
    <row r="12" spans="1:14" x14ac:dyDescent="0.25">
      <c r="A12" t="s">
        <v>30</v>
      </c>
    </row>
    <row r="13" spans="1:14" x14ac:dyDescent="0.25">
      <c r="A13" t="s">
        <v>32</v>
      </c>
    </row>
    <row r="14" spans="1:14" x14ac:dyDescent="0.25">
      <c r="A14" t="s">
        <v>34</v>
      </c>
    </row>
    <row r="15" spans="1:14" x14ac:dyDescent="0.25">
      <c r="A15" t="s">
        <v>36</v>
      </c>
    </row>
    <row r="16" spans="1:14" x14ac:dyDescent="0.25">
      <c r="A16" t="s">
        <v>37</v>
      </c>
    </row>
    <row r="17" spans="1:3" x14ac:dyDescent="0.25">
      <c r="A17" t="s">
        <v>40</v>
      </c>
    </row>
    <row r="18" spans="1:3" x14ac:dyDescent="0.25">
      <c r="A18" t="s">
        <v>42</v>
      </c>
    </row>
    <row r="19" spans="1:3" x14ac:dyDescent="0.25">
      <c r="A19" t="s">
        <v>43</v>
      </c>
    </row>
    <row r="20" spans="1:3" x14ac:dyDescent="0.25">
      <c r="A20" t="s">
        <v>44</v>
      </c>
    </row>
    <row r="21" spans="1:3" x14ac:dyDescent="0.25">
      <c r="A21" t="s">
        <v>46</v>
      </c>
    </row>
    <row r="22" spans="1:3" x14ac:dyDescent="0.25">
      <c r="A22" t="s">
        <v>48</v>
      </c>
    </row>
    <row r="23" spans="1:3" x14ac:dyDescent="0.25">
      <c r="A23" t="s">
        <v>50</v>
      </c>
    </row>
    <row r="24" spans="1:3" x14ac:dyDescent="0.25">
      <c r="A24" t="s">
        <v>52</v>
      </c>
    </row>
    <row r="25" spans="1:3" x14ac:dyDescent="0.25">
      <c r="A25" t="s">
        <v>53</v>
      </c>
    </row>
    <row r="26" spans="1:3" x14ac:dyDescent="0.25">
      <c r="A26" t="s">
        <v>55</v>
      </c>
    </row>
    <row r="27" spans="1:3" x14ac:dyDescent="0.25">
      <c r="A27" t="s">
        <v>57</v>
      </c>
    </row>
    <row r="28" spans="1:3" x14ac:dyDescent="0.25">
      <c r="A28" t="s">
        <v>59</v>
      </c>
    </row>
    <row r="29" spans="1:3" x14ac:dyDescent="0.25">
      <c r="A29" t="s">
        <v>60</v>
      </c>
      <c r="C29">
        <v>441</v>
      </c>
    </row>
    <row r="30" spans="1:3" x14ac:dyDescent="0.25">
      <c r="A30" t="s">
        <v>62</v>
      </c>
    </row>
    <row r="31" spans="1:3" x14ac:dyDescent="0.25">
      <c r="A31" t="s">
        <v>64</v>
      </c>
    </row>
    <row r="32" spans="1:3" x14ac:dyDescent="0.25">
      <c r="A32" t="s">
        <v>65</v>
      </c>
    </row>
    <row r="33" spans="1:14" x14ac:dyDescent="0.25">
      <c r="A33" t="s">
        <v>66</v>
      </c>
      <c r="C33">
        <v>493</v>
      </c>
      <c r="E33">
        <v>325</v>
      </c>
      <c r="F33">
        <v>517</v>
      </c>
      <c r="L33">
        <v>604</v>
      </c>
      <c r="M33">
        <v>547</v>
      </c>
      <c r="N33">
        <v>524</v>
      </c>
    </row>
    <row r="34" spans="1:14" x14ac:dyDescent="0.25">
      <c r="A34" t="s">
        <v>68</v>
      </c>
    </row>
    <row r="35" spans="1:14" x14ac:dyDescent="0.25">
      <c r="A35" t="s">
        <v>69</v>
      </c>
    </row>
    <row r="36" spans="1:14" x14ac:dyDescent="0.25">
      <c r="A36" t="s">
        <v>71</v>
      </c>
    </row>
    <row r="37" spans="1:14" x14ac:dyDescent="0.25">
      <c r="A37" t="s">
        <v>73</v>
      </c>
    </row>
    <row r="38" spans="1:14" x14ac:dyDescent="0.25">
      <c r="A38" t="s">
        <v>74</v>
      </c>
    </row>
    <row r="39" spans="1:14" x14ac:dyDescent="0.25">
      <c r="A39" t="s">
        <v>76</v>
      </c>
    </row>
    <row r="40" spans="1:14" x14ac:dyDescent="0.25">
      <c r="A40" t="s">
        <v>78</v>
      </c>
    </row>
    <row r="41" spans="1:14" x14ac:dyDescent="0.25">
      <c r="A41" t="s">
        <v>80</v>
      </c>
    </row>
    <row r="42" spans="1:14" x14ac:dyDescent="0.25">
      <c r="A42" t="s">
        <v>82</v>
      </c>
    </row>
    <row r="43" spans="1:14" x14ac:dyDescent="0.25">
      <c r="A43" t="s">
        <v>84</v>
      </c>
    </row>
    <row r="44" spans="1:14" x14ac:dyDescent="0.25">
      <c r="A44" t="s">
        <v>85</v>
      </c>
    </row>
    <row r="45" spans="1:14" x14ac:dyDescent="0.25">
      <c r="A45" t="s">
        <v>87</v>
      </c>
      <c r="D45">
        <v>790</v>
      </c>
    </row>
    <row r="46" spans="1:14" x14ac:dyDescent="0.25">
      <c r="A46" t="s">
        <v>89</v>
      </c>
    </row>
    <row r="47" spans="1:14" x14ac:dyDescent="0.25">
      <c r="A47" t="s">
        <v>91</v>
      </c>
    </row>
    <row r="48" spans="1:14" x14ac:dyDescent="0.25">
      <c r="A48" t="s">
        <v>92</v>
      </c>
    </row>
    <row r="49" spans="1:3" x14ac:dyDescent="0.25">
      <c r="A49" t="s">
        <v>93</v>
      </c>
    </row>
    <row r="50" spans="1:3" x14ac:dyDescent="0.25">
      <c r="A50" t="s">
        <v>95</v>
      </c>
    </row>
    <row r="51" spans="1:3" x14ac:dyDescent="0.25">
      <c r="A51" t="s">
        <v>97</v>
      </c>
    </row>
    <row r="52" spans="1:3" x14ac:dyDescent="0.25">
      <c r="A52" t="s">
        <v>99</v>
      </c>
    </row>
    <row r="53" spans="1:3" x14ac:dyDescent="0.25">
      <c r="A53" t="s">
        <v>100</v>
      </c>
    </row>
    <row r="54" spans="1:3" x14ac:dyDescent="0.25">
      <c r="A54" t="s">
        <v>101</v>
      </c>
    </row>
    <row r="55" spans="1:3" x14ac:dyDescent="0.25">
      <c r="A55" t="s">
        <v>102</v>
      </c>
    </row>
    <row r="56" spans="1:3" x14ac:dyDescent="0.25">
      <c r="A56" t="s">
        <v>103</v>
      </c>
      <c r="C56">
        <v>472</v>
      </c>
    </row>
    <row r="57" spans="1:3" x14ac:dyDescent="0.25">
      <c r="A57" t="s">
        <v>105</v>
      </c>
    </row>
    <row r="58" spans="1:3" x14ac:dyDescent="0.25">
      <c r="A58" t="s">
        <v>106</v>
      </c>
    </row>
    <row r="59" spans="1:3" x14ac:dyDescent="0.25">
      <c r="A59" t="s">
        <v>107</v>
      </c>
    </row>
    <row r="60" spans="1:3" x14ac:dyDescent="0.25">
      <c r="A60" t="s">
        <v>108</v>
      </c>
    </row>
    <row r="61" spans="1:3" x14ac:dyDescent="0.25">
      <c r="A61" t="s">
        <v>109</v>
      </c>
    </row>
    <row r="62" spans="1:3" x14ac:dyDescent="0.25">
      <c r="A62" t="s">
        <v>110</v>
      </c>
    </row>
    <row r="63" spans="1:3" x14ac:dyDescent="0.25">
      <c r="A63" t="s">
        <v>111</v>
      </c>
    </row>
    <row r="64" spans="1:3" x14ac:dyDescent="0.25">
      <c r="A64" t="s">
        <v>112</v>
      </c>
    </row>
    <row r="65" spans="1:1" x14ac:dyDescent="0.25">
      <c r="A65" t="s">
        <v>113</v>
      </c>
    </row>
    <row r="66" spans="1:1" x14ac:dyDescent="0.25">
      <c r="A66" t="s">
        <v>115</v>
      </c>
    </row>
    <row r="67" spans="1:1" x14ac:dyDescent="0.25">
      <c r="A67" t="s">
        <v>116</v>
      </c>
    </row>
    <row r="68" spans="1:1" x14ac:dyDescent="0.25">
      <c r="A68" t="s">
        <v>117</v>
      </c>
    </row>
    <row r="69" spans="1:1" x14ac:dyDescent="0.25">
      <c r="A69" t="s">
        <v>119</v>
      </c>
    </row>
    <row r="70" spans="1:1" x14ac:dyDescent="0.25">
      <c r="A70" t="s">
        <v>120</v>
      </c>
    </row>
    <row r="71" spans="1:1" x14ac:dyDescent="0.25">
      <c r="A71" t="s">
        <v>122</v>
      </c>
    </row>
    <row r="72" spans="1:1" x14ac:dyDescent="0.25">
      <c r="A72" t="s">
        <v>123</v>
      </c>
    </row>
    <row r="73" spans="1:1" x14ac:dyDescent="0.25">
      <c r="A73" t="s">
        <v>125</v>
      </c>
    </row>
    <row r="74" spans="1:1" x14ac:dyDescent="0.25">
      <c r="A74" t="s">
        <v>126</v>
      </c>
    </row>
    <row r="75" spans="1:1" x14ac:dyDescent="0.25">
      <c r="A75" t="s">
        <v>127</v>
      </c>
    </row>
    <row r="76" spans="1:1" x14ac:dyDescent="0.25">
      <c r="A76" t="s">
        <v>128</v>
      </c>
    </row>
    <row r="77" spans="1:1" x14ac:dyDescent="0.25">
      <c r="A77" t="s">
        <v>131</v>
      </c>
    </row>
    <row r="78" spans="1:1" x14ac:dyDescent="0.25">
      <c r="A78" t="s">
        <v>133</v>
      </c>
    </row>
    <row r="79" spans="1:1" x14ac:dyDescent="0.25">
      <c r="A79" t="s">
        <v>134</v>
      </c>
    </row>
    <row r="80" spans="1:1" x14ac:dyDescent="0.25">
      <c r="A80" t="s">
        <v>136</v>
      </c>
    </row>
    <row r="81" spans="1:9" x14ac:dyDescent="0.25">
      <c r="A81" t="s">
        <v>138</v>
      </c>
      <c r="C81">
        <v>403</v>
      </c>
    </row>
    <row r="82" spans="1:9" x14ac:dyDescent="0.25">
      <c r="A82" t="s">
        <v>140</v>
      </c>
    </row>
    <row r="83" spans="1:9" x14ac:dyDescent="0.25">
      <c r="A83" t="s">
        <v>142</v>
      </c>
    </row>
    <row r="84" spans="1:9" x14ac:dyDescent="0.25">
      <c r="A84" t="s">
        <v>143</v>
      </c>
    </row>
    <row r="85" spans="1:9" x14ac:dyDescent="0.25">
      <c r="A85" t="s">
        <v>144</v>
      </c>
    </row>
    <row r="86" spans="1:9" x14ac:dyDescent="0.25">
      <c r="A86" t="s">
        <v>145</v>
      </c>
    </row>
    <row r="87" spans="1:9" x14ac:dyDescent="0.25">
      <c r="A87" t="s">
        <v>146</v>
      </c>
    </row>
    <row r="88" spans="1:9" x14ac:dyDescent="0.25">
      <c r="A88" t="s">
        <v>147</v>
      </c>
    </row>
    <row r="89" spans="1:9" x14ac:dyDescent="0.25">
      <c r="A89" t="s">
        <v>148</v>
      </c>
    </row>
    <row r="90" spans="1:9" x14ac:dyDescent="0.25">
      <c r="A90" t="s">
        <v>149</v>
      </c>
    </row>
    <row r="91" spans="1:9" x14ac:dyDescent="0.25">
      <c r="A91" t="s">
        <v>150</v>
      </c>
    </row>
    <row r="92" spans="1:9" x14ac:dyDescent="0.25">
      <c r="A92" t="s">
        <v>151</v>
      </c>
    </row>
    <row r="93" spans="1:9" x14ac:dyDescent="0.25">
      <c r="A93" t="s">
        <v>321</v>
      </c>
    </row>
    <row r="94" spans="1:9" x14ac:dyDescent="0.25">
      <c r="A94" t="s">
        <v>152</v>
      </c>
      <c r="C94">
        <v>345</v>
      </c>
    </row>
    <row r="95" spans="1:9" x14ac:dyDescent="0.25">
      <c r="A95" t="s">
        <v>153</v>
      </c>
      <c r="D95">
        <v>480</v>
      </c>
      <c r="F95">
        <v>150</v>
      </c>
      <c r="G95">
        <v>340</v>
      </c>
      <c r="H95">
        <v>220</v>
      </c>
      <c r="I95">
        <v>130</v>
      </c>
    </row>
    <row r="96" spans="1:9" x14ac:dyDescent="0.25">
      <c r="A96" t="s">
        <v>155</v>
      </c>
    </row>
    <row r="97" spans="1:3" x14ac:dyDescent="0.25">
      <c r="A97" t="s">
        <v>157</v>
      </c>
    </row>
    <row r="98" spans="1:3" x14ac:dyDescent="0.25">
      <c r="A98" t="s">
        <v>158</v>
      </c>
    </row>
    <row r="99" spans="1:3" x14ac:dyDescent="0.25">
      <c r="A99" t="s">
        <v>160</v>
      </c>
    </row>
    <row r="100" spans="1:3" x14ac:dyDescent="0.25">
      <c r="A100" t="s">
        <v>162</v>
      </c>
    </row>
    <row r="101" spans="1:3" x14ac:dyDescent="0.25">
      <c r="A101" t="s">
        <v>163</v>
      </c>
    </row>
    <row r="102" spans="1:3" x14ac:dyDescent="0.25">
      <c r="A102" t="s">
        <v>164</v>
      </c>
    </row>
    <row r="103" spans="1:3" x14ac:dyDescent="0.25">
      <c r="A103" t="s">
        <v>165</v>
      </c>
    </row>
    <row r="104" spans="1:3" x14ac:dyDescent="0.25">
      <c r="A104" t="s">
        <v>166</v>
      </c>
    </row>
    <row r="105" spans="1:3" x14ac:dyDescent="0.25">
      <c r="A105" t="s">
        <v>167</v>
      </c>
    </row>
    <row r="106" spans="1:3" x14ac:dyDescent="0.25">
      <c r="A106" t="s">
        <v>169</v>
      </c>
    </row>
    <row r="107" spans="1:3" x14ac:dyDescent="0.25">
      <c r="A107" t="s">
        <v>170</v>
      </c>
      <c r="C107">
        <v>372</v>
      </c>
    </row>
    <row r="108" spans="1:3" x14ac:dyDescent="0.25">
      <c r="A108" t="s">
        <v>172</v>
      </c>
    </row>
    <row r="109" spans="1:3" x14ac:dyDescent="0.25">
      <c r="A109" t="s">
        <v>173</v>
      </c>
    </row>
    <row r="110" spans="1:3" x14ac:dyDescent="0.25">
      <c r="A110" t="s">
        <v>175</v>
      </c>
    </row>
    <row r="111" spans="1:3" x14ac:dyDescent="0.25">
      <c r="A111" t="s">
        <v>176</v>
      </c>
    </row>
    <row r="112" spans="1:3" x14ac:dyDescent="0.25">
      <c r="A112" t="s">
        <v>177</v>
      </c>
    </row>
    <row r="113" spans="1:1" x14ac:dyDescent="0.25">
      <c r="A113" t="s">
        <v>178</v>
      </c>
    </row>
    <row r="114" spans="1:1" x14ac:dyDescent="0.25">
      <c r="A114" t="s">
        <v>179</v>
      </c>
    </row>
    <row r="115" spans="1:1" x14ac:dyDescent="0.25">
      <c r="A115" t="s">
        <v>182</v>
      </c>
    </row>
    <row r="116" spans="1:1" x14ac:dyDescent="0.25">
      <c r="A116" t="s">
        <v>183</v>
      </c>
    </row>
    <row r="117" spans="1:1" x14ac:dyDescent="0.25">
      <c r="A117" t="s">
        <v>185</v>
      </c>
    </row>
    <row r="118" spans="1:1" x14ac:dyDescent="0.25">
      <c r="A118" t="s">
        <v>187</v>
      </c>
    </row>
    <row r="119" spans="1:1" x14ac:dyDescent="0.25">
      <c r="A119" t="s">
        <v>189</v>
      </c>
    </row>
    <row r="120" spans="1:1" x14ac:dyDescent="0.25">
      <c r="A120" t="s">
        <v>191</v>
      </c>
    </row>
    <row r="121" spans="1:1" x14ac:dyDescent="0.25">
      <c r="A121" t="s">
        <v>192</v>
      </c>
    </row>
    <row r="122" spans="1:1" x14ac:dyDescent="0.25">
      <c r="A122" t="s">
        <v>194</v>
      </c>
    </row>
    <row r="123" spans="1:1" x14ac:dyDescent="0.25">
      <c r="A123" t="s">
        <v>196</v>
      </c>
    </row>
    <row r="124" spans="1:1" x14ac:dyDescent="0.25">
      <c r="A124" t="s">
        <v>197</v>
      </c>
    </row>
    <row r="125" spans="1:1" x14ac:dyDescent="0.25">
      <c r="A125" t="s">
        <v>199</v>
      </c>
    </row>
    <row r="126" spans="1:1" x14ac:dyDescent="0.25">
      <c r="A126" t="s">
        <v>200</v>
      </c>
    </row>
    <row r="127" spans="1:1" x14ac:dyDescent="0.25">
      <c r="A127" t="s">
        <v>201</v>
      </c>
    </row>
    <row r="128" spans="1:1" x14ac:dyDescent="0.25">
      <c r="A128" t="s">
        <v>202</v>
      </c>
    </row>
    <row r="129" spans="1:1" x14ac:dyDescent="0.25">
      <c r="A129" t="s">
        <v>294</v>
      </c>
    </row>
    <row r="130" spans="1:1" x14ac:dyDescent="0.25">
      <c r="A130" t="s">
        <v>207</v>
      </c>
    </row>
    <row r="131" spans="1:1" x14ac:dyDescent="0.25">
      <c r="A131" t="s">
        <v>208</v>
      </c>
    </row>
    <row r="132" spans="1:1" x14ac:dyDescent="0.25">
      <c r="A132" t="s">
        <v>1589</v>
      </c>
    </row>
    <row r="133" spans="1:1" x14ac:dyDescent="0.25">
      <c r="A133" t="s">
        <v>209</v>
      </c>
    </row>
    <row r="134" spans="1:1" x14ac:dyDescent="0.25">
      <c r="A134" t="s">
        <v>211</v>
      </c>
    </row>
    <row r="135" spans="1:1" x14ac:dyDescent="0.25">
      <c r="A135" t="s">
        <v>212</v>
      </c>
    </row>
    <row r="136" spans="1:1" x14ac:dyDescent="0.25">
      <c r="A136" t="s">
        <v>214</v>
      </c>
    </row>
    <row r="137" spans="1:1" x14ac:dyDescent="0.25">
      <c r="A137" t="s">
        <v>216</v>
      </c>
    </row>
    <row r="138" spans="1:1" x14ac:dyDescent="0.25">
      <c r="A138" t="s">
        <v>218</v>
      </c>
    </row>
    <row r="139" spans="1:1" x14ac:dyDescent="0.25">
      <c r="A139" t="s">
        <v>220</v>
      </c>
    </row>
    <row r="140" spans="1:1" x14ac:dyDescent="0.25">
      <c r="A140" t="s">
        <v>222</v>
      </c>
    </row>
    <row r="141" spans="1:1" x14ac:dyDescent="0.25">
      <c r="A141" t="s">
        <v>224</v>
      </c>
    </row>
    <row r="142" spans="1:1" x14ac:dyDescent="0.25">
      <c r="A142" t="s">
        <v>225</v>
      </c>
    </row>
    <row r="143" spans="1:1" x14ac:dyDescent="0.25">
      <c r="A143" t="s">
        <v>227</v>
      </c>
    </row>
    <row r="144" spans="1:1" x14ac:dyDescent="0.25">
      <c r="A144" t="s">
        <v>229</v>
      </c>
    </row>
    <row r="145" spans="1:1" x14ac:dyDescent="0.25">
      <c r="A145" t="s">
        <v>231</v>
      </c>
    </row>
    <row r="146" spans="1:1" x14ac:dyDescent="0.25">
      <c r="A146" t="s">
        <v>232</v>
      </c>
    </row>
    <row r="147" spans="1:1" x14ac:dyDescent="0.25">
      <c r="A147" t="s">
        <v>234</v>
      </c>
    </row>
    <row r="148" spans="1:1" x14ac:dyDescent="0.25">
      <c r="A148" t="s">
        <v>236</v>
      </c>
    </row>
    <row r="149" spans="1:1" x14ac:dyDescent="0.25">
      <c r="A149" t="s">
        <v>1322</v>
      </c>
    </row>
    <row r="150" spans="1:1" x14ac:dyDescent="0.25">
      <c r="A150" t="s">
        <v>1323</v>
      </c>
    </row>
    <row r="151" spans="1:1" x14ac:dyDescent="0.25">
      <c r="A151" t="s">
        <v>1324</v>
      </c>
    </row>
    <row r="152" spans="1:1" x14ac:dyDescent="0.25">
      <c r="A152" t="s">
        <v>1325</v>
      </c>
    </row>
    <row r="153" spans="1:1" x14ac:dyDescent="0.25">
      <c r="A153" t="s">
        <v>1326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D12"/>
  <sheetViews>
    <sheetView workbookViewId="0">
      <selection sqref="A1:D1"/>
    </sheetView>
  </sheetViews>
  <sheetFormatPr defaultColWidth="9.140625" defaultRowHeight="15" x14ac:dyDescent="0.25"/>
  <cols>
    <col min="1" max="1" width="14.5703125" bestFit="1" customWidth="1"/>
    <col min="2" max="2" width="12.85546875" bestFit="1" customWidth="1"/>
    <col min="3" max="3" width="81.140625" bestFit="1" customWidth="1"/>
    <col min="4" max="4" width="30.42578125" bestFit="1" customWidth="1"/>
  </cols>
  <sheetData>
    <row r="1" spans="1:4" x14ac:dyDescent="0.25">
      <c r="A1" s="25" t="s">
        <v>0</v>
      </c>
      <c r="B1" s="25" t="s">
        <v>2120</v>
      </c>
      <c r="C1" s="25" t="s">
        <v>2081</v>
      </c>
      <c r="D1" s="25" t="s">
        <v>2118</v>
      </c>
    </row>
    <row r="2" spans="1:4" x14ac:dyDescent="0.25">
      <c r="A2" t="s">
        <v>6</v>
      </c>
      <c r="B2" t="s">
        <v>2121</v>
      </c>
      <c r="C2" t="s">
        <v>347</v>
      </c>
      <c r="D2">
        <v>1</v>
      </c>
    </row>
    <row r="3" spans="1:4" ht="30" x14ac:dyDescent="0.25">
      <c r="A3" t="s">
        <v>26</v>
      </c>
      <c r="B3" s="21" t="s">
        <v>2122</v>
      </c>
      <c r="C3" t="s">
        <v>710</v>
      </c>
      <c r="D3">
        <v>1</v>
      </c>
    </row>
    <row r="4" spans="1:4" x14ac:dyDescent="0.25">
      <c r="A4" t="s">
        <v>26</v>
      </c>
      <c r="B4" t="s">
        <v>2121</v>
      </c>
      <c r="C4" t="s">
        <v>484</v>
      </c>
      <c r="D4">
        <v>1</v>
      </c>
    </row>
    <row r="5" spans="1:4" x14ac:dyDescent="0.25">
      <c r="A5" t="s">
        <v>60</v>
      </c>
      <c r="B5" t="s">
        <v>2121</v>
      </c>
      <c r="C5" t="s">
        <v>2119</v>
      </c>
      <c r="D5">
        <v>1</v>
      </c>
    </row>
    <row r="6" spans="1:4" x14ac:dyDescent="0.25">
      <c r="A6" t="s">
        <v>66</v>
      </c>
      <c r="B6" t="s">
        <v>2121</v>
      </c>
      <c r="C6" t="s">
        <v>2123</v>
      </c>
      <c r="D6">
        <v>6</v>
      </c>
    </row>
    <row r="7" spans="1:4" x14ac:dyDescent="0.25">
      <c r="A7" t="s">
        <v>87</v>
      </c>
      <c r="B7" t="s">
        <v>2121</v>
      </c>
      <c r="C7" t="s">
        <v>768</v>
      </c>
      <c r="D7">
        <v>1</v>
      </c>
    </row>
    <row r="8" spans="1:4" x14ac:dyDescent="0.25">
      <c r="A8" t="s">
        <v>103</v>
      </c>
      <c r="B8" t="s">
        <v>2121</v>
      </c>
      <c r="C8" t="s">
        <v>2119</v>
      </c>
      <c r="D8">
        <v>1</v>
      </c>
    </row>
    <row r="9" spans="1:4" x14ac:dyDescent="0.25">
      <c r="A9" t="s">
        <v>138</v>
      </c>
      <c r="B9" t="s">
        <v>2121</v>
      </c>
      <c r="C9" t="s">
        <v>2119</v>
      </c>
      <c r="D9">
        <v>1</v>
      </c>
    </row>
    <row r="10" spans="1:4" x14ac:dyDescent="0.25">
      <c r="A10" t="s">
        <v>152</v>
      </c>
      <c r="B10" t="s">
        <v>2121</v>
      </c>
      <c r="C10" t="s">
        <v>2119</v>
      </c>
      <c r="D10">
        <v>1</v>
      </c>
    </row>
    <row r="11" spans="1:4" x14ac:dyDescent="0.25">
      <c r="A11" t="s">
        <v>153</v>
      </c>
      <c r="B11" t="s">
        <v>2121</v>
      </c>
      <c r="C11" t="s">
        <v>2124</v>
      </c>
      <c r="D11">
        <v>5</v>
      </c>
    </row>
    <row r="12" spans="1:4" x14ac:dyDescent="0.25">
      <c r="A12" t="s">
        <v>170</v>
      </c>
      <c r="B12" t="s">
        <v>2121</v>
      </c>
      <c r="C12" t="s">
        <v>2119</v>
      </c>
      <c r="D12"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4"/>
  <sheetViews>
    <sheetView workbookViewId="0">
      <selection activeCell="B1" sqref="B1:M1"/>
    </sheetView>
  </sheetViews>
  <sheetFormatPr defaultColWidth="9.140625" defaultRowHeight="15" x14ac:dyDescent="0.25"/>
  <cols>
    <col min="1" max="1" width="14.42578125" customWidth="1"/>
    <col min="2" max="2" width="11" bestFit="1" customWidth="1"/>
    <col min="3" max="4" width="11.140625" bestFit="1" customWidth="1"/>
    <col min="5" max="5" width="13.140625" bestFit="1" customWidth="1"/>
    <col min="6" max="7" width="10" customWidth="1"/>
    <col min="8" max="8" width="9.42578125" customWidth="1"/>
    <col min="9" max="9" width="10" customWidth="1"/>
    <col min="10" max="10" width="10.42578125" customWidth="1"/>
    <col min="11" max="11" width="11.140625" customWidth="1"/>
    <col min="12" max="13" width="11.42578125" customWidth="1"/>
  </cols>
  <sheetData>
    <row r="1" spans="1:13" x14ac:dyDescent="0.25">
      <c r="A1" t="s">
        <v>0</v>
      </c>
      <c r="B1" t="s">
        <v>348</v>
      </c>
      <c r="C1" t="s">
        <v>2125</v>
      </c>
      <c r="D1" t="s">
        <v>2126</v>
      </c>
      <c r="E1" t="s">
        <v>1765</v>
      </c>
      <c r="F1" t="s">
        <v>769</v>
      </c>
      <c r="G1" t="s">
        <v>1024</v>
      </c>
      <c r="H1" t="s">
        <v>862</v>
      </c>
      <c r="I1" t="s">
        <v>863</v>
      </c>
      <c r="J1" t="s">
        <v>702</v>
      </c>
      <c r="K1" t="s">
        <v>717</v>
      </c>
      <c r="L1" t="s">
        <v>1040</v>
      </c>
      <c r="M1" t="s">
        <v>1041</v>
      </c>
    </row>
    <row r="2" spans="1:13" x14ac:dyDescent="0.25">
      <c r="A2" t="s">
        <v>6</v>
      </c>
    </row>
    <row r="3" spans="1:13" x14ac:dyDescent="0.25">
      <c r="A3" t="s">
        <v>11</v>
      </c>
    </row>
    <row r="4" spans="1:13" x14ac:dyDescent="0.25">
      <c r="A4" t="s">
        <v>12</v>
      </c>
    </row>
    <row r="5" spans="1:13" x14ac:dyDescent="0.25">
      <c r="A5" t="s">
        <v>16</v>
      </c>
    </row>
    <row r="6" spans="1:13" x14ac:dyDescent="0.25">
      <c r="A6" t="s">
        <v>18</v>
      </c>
    </row>
    <row r="7" spans="1:13" x14ac:dyDescent="0.25">
      <c r="A7" t="s">
        <v>20</v>
      </c>
    </row>
    <row r="8" spans="1:13" x14ac:dyDescent="0.25">
      <c r="A8" t="s">
        <v>22</v>
      </c>
    </row>
    <row r="9" spans="1:13" x14ac:dyDescent="0.25">
      <c r="A9" t="s">
        <v>24</v>
      </c>
    </row>
    <row r="10" spans="1:13" x14ac:dyDescent="0.25">
      <c r="A10" t="s">
        <v>26</v>
      </c>
      <c r="J10">
        <v>0.25</v>
      </c>
    </row>
    <row r="11" spans="1:13" x14ac:dyDescent="0.25">
      <c r="A11" t="s">
        <v>28</v>
      </c>
    </row>
    <row r="12" spans="1:13" x14ac:dyDescent="0.25">
      <c r="A12" t="s">
        <v>30</v>
      </c>
    </row>
    <row r="13" spans="1:13" x14ac:dyDescent="0.25">
      <c r="A13" t="s">
        <v>32</v>
      </c>
    </row>
    <row r="14" spans="1:13" x14ac:dyDescent="0.25">
      <c r="A14" t="s">
        <v>34</v>
      </c>
    </row>
    <row r="15" spans="1:13" x14ac:dyDescent="0.25">
      <c r="A15" t="s">
        <v>36</v>
      </c>
    </row>
    <row r="16" spans="1:13" x14ac:dyDescent="0.25">
      <c r="A16" t="s">
        <v>37</v>
      </c>
    </row>
    <row r="17" spans="1:5" x14ac:dyDescent="0.25">
      <c r="A17" t="s">
        <v>40</v>
      </c>
    </row>
    <row r="18" spans="1:5" x14ac:dyDescent="0.25">
      <c r="A18" t="s">
        <v>42</v>
      </c>
    </row>
    <row r="19" spans="1:5" x14ac:dyDescent="0.25">
      <c r="A19" t="s">
        <v>43</v>
      </c>
    </row>
    <row r="20" spans="1:5" x14ac:dyDescent="0.25">
      <c r="A20" t="s">
        <v>44</v>
      </c>
    </row>
    <row r="21" spans="1:5" x14ac:dyDescent="0.25">
      <c r="A21" t="s">
        <v>46</v>
      </c>
    </row>
    <row r="22" spans="1:5" x14ac:dyDescent="0.25">
      <c r="A22" t="s">
        <v>48</v>
      </c>
    </row>
    <row r="23" spans="1:5" x14ac:dyDescent="0.25">
      <c r="A23" t="s">
        <v>50</v>
      </c>
    </row>
    <row r="24" spans="1:5" x14ac:dyDescent="0.25">
      <c r="A24" t="s">
        <v>52</v>
      </c>
    </row>
    <row r="25" spans="1:5" x14ac:dyDescent="0.25">
      <c r="A25" t="s">
        <v>53</v>
      </c>
    </row>
    <row r="26" spans="1:5" x14ac:dyDescent="0.25">
      <c r="A26" t="s">
        <v>55</v>
      </c>
    </row>
    <row r="27" spans="1:5" x14ac:dyDescent="0.25">
      <c r="A27" t="s">
        <v>57</v>
      </c>
    </row>
    <row r="28" spans="1:5" x14ac:dyDescent="0.25">
      <c r="A28" t="s">
        <v>59</v>
      </c>
    </row>
    <row r="29" spans="1:5" x14ac:dyDescent="0.25">
      <c r="A29" t="s">
        <v>60</v>
      </c>
    </row>
    <row r="30" spans="1:5" x14ac:dyDescent="0.25">
      <c r="A30" t="s">
        <v>62</v>
      </c>
      <c r="B30">
        <v>105</v>
      </c>
      <c r="E30">
        <v>139</v>
      </c>
    </row>
    <row r="31" spans="1:5" x14ac:dyDescent="0.25">
      <c r="A31" t="s">
        <v>64</v>
      </c>
    </row>
    <row r="32" spans="1:5" x14ac:dyDescent="0.25">
      <c r="A32" t="s">
        <v>65</v>
      </c>
    </row>
    <row r="33" spans="1:11" x14ac:dyDescent="0.25">
      <c r="A33" t="s">
        <v>66</v>
      </c>
      <c r="K33">
        <v>1.03</v>
      </c>
    </row>
    <row r="34" spans="1:11" x14ac:dyDescent="0.25">
      <c r="A34" t="s">
        <v>68</v>
      </c>
    </row>
    <row r="35" spans="1:11" x14ac:dyDescent="0.25">
      <c r="A35" t="s">
        <v>69</v>
      </c>
    </row>
    <row r="36" spans="1:11" x14ac:dyDescent="0.25">
      <c r="A36" t="s">
        <v>71</v>
      </c>
    </row>
    <row r="37" spans="1:11" x14ac:dyDescent="0.25">
      <c r="A37" t="s">
        <v>73</v>
      </c>
    </row>
    <row r="38" spans="1:11" x14ac:dyDescent="0.25">
      <c r="A38" t="s">
        <v>74</v>
      </c>
    </row>
    <row r="39" spans="1:11" x14ac:dyDescent="0.25">
      <c r="A39" t="s">
        <v>76</v>
      </c>
    </row>
    <row r="40" spans="1:11" x14ac:dyDescent="0.25">
      <c r="A40" t="s">
        <v>78</v>
      </c>
    </row>
    <row r="41" spans="1:11" x14ac:dyDescent="0.25">
      <c r="A41" t="s">
        <v>80</v>
      </c>
    </row>
    <row r="42" spans="1:11" x14ac:dyDescent="0.25">
      <c r="A42" t="s">
        <v>82</v>
      </c>
    </row>
    <row r="43" spans="1:11" x14ac:dyDescent="0.25">
      <c r="A43" t="s">
        <v>84</v>
      </c>
    </row>
    <row r="44" spans="1:11" x14ac:dyDescent="0.25">
      <c r="A44" t="s">
        <v>85</v>
      </c>
    </row>
    <row r="45" spans="1:11" x14ac:dyDescent="0.25">
      <c r="A45" t="s">
        <v>87</v>
      </c>
      <c r="F45">
        <v>1.08</v>
      </c>
    </row>
    <row r="46" spans="1:11" x14ac:dyDescent="0.25">
      <c r="A46" t="s">
        <v>89</v>
      </c>
    </row>
    <row r="47" spans="1:11" x14ac:dyDescent="0.25">
      <c r="A47" t="s">
        <v>91</v>
      </c>
    </row>
    <row r="48" spans="1:11" x14ac:dyDescent="0.25">
      <c r="A48" t="s">
        <v>92</v>
      </c>
    </row>
    <row r="49" spans="1:1" x14ac:dyDescent="0.25">
      <c r="A49" t="s">
        <v>93</v>
      </c>
    </row>
    <row r="50" spans="1:1" x14ac:dyDescent="0.25">
      <c r="A50" t="s">
        <v>95</v>
      </c>
    </row>
    <row r="51" spans="1:1" x14ac:dyDescent="0.25">
      <c r="A51" t="s">
        <v>97</v>
      </c>
    </row>
    <row r="52" spans="1:1" x14ac:dyDescent="0.25">
      <c r="A52" t="s">
        <v>99</v>
      </c>
    </row>
    <row r="53" spans="1:1" x14ac:dyDescent="0.25">
      <c r="A53" t="s">
        <v>100</v>
      </c>
    </row>
    <row r="54" spans="1:1" x14ac:dyDescent="0.25">
      <c r="A54" t="s">
        <v>101</v>
      </c>
    </row>
    <row r="55" spans="1:1" x14ac:dyDescent="0.25">
      <c r="A55" t="s">
        <v>102</v>
      </c>
    </row>
    <row r="56" spans="1:1" x14ac:dyDescent="0.25">
      <c r="A56" t="s">
        <v>103</v>
      </c>
    </row>
    <row r="57" spans="1:1" x14ac:dyDescent="0.25">
      <c r="A57" t="s">
        <v>105</v>
      </c>
    </row>
    <row r="58" spans="1:1" x14ac:dyDescent="0.25">
      <c r="A58" t="s">
        <v>106</v>
      </c>
    </row>
    <row r="59" spans="1:1" x14ac:dyDescent="0.25">
      <c r="A59" t="s">
        <v>107</v>
      </c>
    </row>
    <row r="60" spans="1:1" x14ac:dyDescent="0.25">
      <c r="A60" t="s">
        <v>108</v>
      </c>
    </row>
    <row r="61" spans="1:1" x14ac:dyDescent="0.25">
      <c r="A61" t="s">
        <v>109</v>
      </c>
    </row>
    <row r="62" spans="1:1" x14ac:dyDescent="0.25">
      <c r="A62" t="s">
        <v>110</v>
      </c>
    </row>
    <row r="63" spans="1:1" x14ac:dyDescent="0.25">
      <c r="A63" t="s">
        <v>111</v>
      </c>
    </row>
    <row r="64" spans="1:1" x14ac:dyDescent="0.25">
      <c r="A64" t="s">
        <v>112</v>
      </c>
    </row>
    <row r="65" spans="1:9" x14ac:dyDescent="0.25">
      <c r="A65" t="s">
        <v>113</v>
      </c>
    </row>
    <row r="66" spans="1:9" x14ac:dyDescent="0.25">
      <c r="A66" t="s">
        <v>115</v>
      </c>
    </row>
    <row r="67" spans="1:9" x14ac:dyDescent="0.25">
      <c r="A67" t="s">
        <v>116</v>
      </c>
    </row>
    <row r="68" spans="1:9" x14ac:dyDescent="0.25">
      <c r="A68" t="s">
        <v>117</v>
      </c>
    </row>
    <row r="69" spans="1:9" x14ac:dyDescent="0.25">
      <c r="A69" t="s">
        <v>119</v>
      </c>
    </row>
    <row r="70" spans="1:9" x14ac:dyDescent="0.25">
      <c r="A70" t="s">
        <v>120</v>
      </c>
    </row>
    <row r="71" spans="1:9" x14ac:dyDescent="0.25">
      <c r="A71" t="s">
        <v>122</v>
      </c>
    </row>
    <row r="72" spans="1:9" x14ac:dyDescent="0.25">
      <c r="A72" t="s">
        <v>123</v>
      </c>
    </row>
    <row r="73" spans="1:9" x14ac:dyDescent="0.25">
      <c r="A73" t="s">
        <v>125</v>
      </c>
      <c r="H73">
        <v>0.54</v>
      </c>
      <c r="I73">
        <v>0.57999999999999996</v>
      </c>
    </row>
    <row r="74" spans="1:9" x14ac:dyDescent="0.25">
      <c r="A74" t="s">
        <v>126</v>
      </c>
    </row>
    <row r="75" spans="1:9" x14ac:dyDescent="0.25">
      <c r="A75" t="s">
        <v>127</v>
      </c>
    </row>
    <row r="76" spans="1:9" x14ac:dyDescent="0.25">
      <c r="A76" t="s">
        <v>128</v>
      </c>
    </row>
    <row r="77" spans="1:9" x14ac:dyDescent="0.25">
      <c r="A77" t="s">
        <v>131</v>
      </c>
    </row>
    <row r="78" spans="1:9" x14ac:dyDescent="0.25">
      <c r="A78" t="s">
        <v>133</v>
      </c>
    </row>
    <row r="79" spans="1:9" x14ac:dyDescent="0.25">
      <c r="A79" t="s">
        <v>134</v>
      </c>
    </row>
    <row r="80" spans="1:9" x14ac:dyDescent="0.25">
      <c r="A80" t="s">
        <v>136</v>
      </c>
    </row>
    <row r="81" spans="1:5" x14ac:dyDescent="0.25">
      <c r="A81" t="s">
        <v>138</v>
      </c>
    </row>
    <row r="82" spans="1:5" x14ac:dyDescent="0.25">
      <c r="A82" t="s">
        <v>140</v>
      </c>
    </row>
    <row r="83" spans="1:5" x14ac:dyDescent="0.25">
      <c r="A83" t="s">
        <v>142</v>
      </c>
    </row>
    <row r="84" spans="1:5" x14ac:dyDescent="0.25">
      <c r="A84" t="s">
        <v>143</v>
      </c>
    </row>
    <row r="85" spans="1:5" x14ac:dyDescent="0.25">
      <c r="A85" t="s">
        <v>144</v>
      </c>
    </row>
    <row r="86" spans="1:5" x14ac:dyDescent="0.25">
      <c r="A86" t="s">
        <v>145</v>
      </c>
    </row>
    <row r="87" spans="1:5" x14ac:dyDescent="0.25">
      <c r="A87" t="s">
        <v>146</v>
      </c>
    </row>
    <row r="88" spans="1:5" x14ac:dyDescent="0.25">
      <c r="A88" t="s">
        <v>147</v>
      </c>
    </row>
    <row r="89" spans="1:5" x14ac:dyDescent="0.25">
      <c r="A89" t="s">
        <v>148</v>
      </c>
    </row>
    <row r="90" spans="1:5" x14ac:dyDescent="0.25">
      <c r="A90" t="s">
        <v>149</v>
      </c>
    </row>
    <row r="91" spans="1:5" x14ac:dyDescent="0.25">
      <c r="A91" t="s">
        <v>150</v>
      </c>
    </row>
    <row r="92" spans="1:5" x14ac:dyDescent="0.25">
      <c r="A92" t="s">
        <v>151</v>
      </c>
    </row>
    <row r="94" spans="1:5" x14ac:dyDescent="0.25">
      <c r="A94" t="s">
        <v>321</v>
      </c>
    </row>
    <row r="95" spans="1:5" x14ac:dyDescent="0.25">
      <c r="A95" t="s">
        <v>152</v>
      </c>
      <c r="B95">
        <v>31</v>
      </c>
      <c r="E95">
        <v>25</v>
      </c>
    </row>
    <row r="96" spans="1:5" x14ac:dyDescent="0.25">
      <c r="A96" t="s">
        <v>153</v>
      </c>
    </row>
    <row r="97" spans="1:2" x14ac:dyDescent="0.25">
      <c r="A97" t="s">
        <v>155</v>
      </c>
    </row>
    <row r="98" spans="1:2" x14ac:dyDescent="0.25">
      <c r="A98" t="s">
        <v>157</v>
      </c>
    </row>
    <row r="99" spans="1:2" x14ac:dyDescent="0.25">
      <c r="A99" t="s">
        <v>158</v>
      </c>
    </row>
    <row r="100" spans="1:2" x14ac:dyDescent="0.25">
      <c r="A100" t="s">
        <v>160</v>
      </c>
    </row>
    <row r="101" spans="1:2" x14ac:dyDescent="0.25">
      <c r="A101" t="s">
        <v>162</v>
      </c>
    </row>
    <row r="102" spans="1:2" x14ac:dyDescent="0.25">
      <c r="A102" t="s">
        <v>163</v>
      </c>
      <c r="B102">
        <v>0.82</v>
      </c>
    </row>
    <row r="103" spans="1:2" x14ac:dyDescent="0.25">
      <c r="A103" t="s">
        <v>164</v>
      </c>
    </row>
    <row r="104" spans="1:2" x14ac:dyDescent="0.25">
      <c r="A104" t="s">
        <v>165</v>
      </c>
    </row>
    <row r="105" spans="1:2" x14ac:dyDescent="0.25">
      <c r="A105" t="s">
        <v>166</v>
      </c>
    </row>
    <row r="106" spans="1:2" x14ac:dyDescent="0.25">
      <c r="A106" t="s">
        <v>167</v>
      </c>
    </row>
    <row r="107" spans="1:2" x14ac:dyDescent="0.25">
      <c r="A107" t="s">
        <v>169</v>
      </c>
    </row>
    <row r="108" spans="1:2" x14ac:dyDescent="0.25">
      <c r="A108" t="s">
        <v>170</v>
      </c>
    </row>
    <row r="109" spans="1:2" x14ac:dyDescent="0.25">
      <c r="A109" t="s">
        <v>172</v>
      </c>
    </row>
    <row r="110" spans="1:2" x14ac:dyDescent="0.25">
      <c r="A110" t="s">
        <v>173</v>
      </c>
    </row>
    <row r="111" spans="1:2" x14ac:dyDescent="0.25">
      <c r="A111" t="s">
        <v>175</v>
      </c>
    </row>
    <row r="112" spans="1:2" x14ac:dyDescent="0.25">
      <c r="A112" t="s">
        <v>176</v>
      </c>
    </row>
    <row r="113" spans="1:13" x14ac:dyDescent="0.25">
      <c r="A113" t="s">
        <v>177</v>
      </c>
    </row>
    <row r="114" spans="1:13" x14ac:dyDescent="0.25">
      <c r="A114" t="s">
        <v>178</v>
      </c>
    </row>
    <row r="115" spans="1:13" x14ac:dyDescent="0.25">
      <c r="A115" t="s">
        <v>179</v>
      </c>
    </row>
    <row r="116" spans="1:13" x14ac:dyDescent="0.25">
      <c r="A116" t="s">
        <v>182</v>
      </c>
    </row>
    <row r="117" spans="1:13" x14ac:dyDescent="0.25">
      <c r="A117" t="s">
        <v>183</v>
      </c>
    </row>
    <row r="118" spans="1:13" x14ac:dyDescent="0.25">
      <c r="A118" t="s">
        <v>185</v>
      </c>
    </row>
    <row r="119" spans="1:13" x14ac:dyDescent="0.25">
      <c r="A119" t="s">
        <v>187</v>
      </c>
    </row>
    <row r="120" spans="1:13" x14ac:dyDescent="0.25">
      <c r="A120" t="s">
        <v>189</v>
      </c>
      <c r="G120">
        <v>3.74</v>
      </c>
    </row>
    <row r="121" spans="1:13" x14ac:dyDescent="0.25">
      <c r="A121" t="s">
        <v>191</v>
      </c>
    </row>
    <row r="122" spans="1:13" x14ac:dyDescent="0.25">
      <c r="A122" t="s">
        <v>192</v>
      </c>
    </row>
    <row r="123" spans="1:13" x14ac:dyDescent="0.25">
      <c r="A123" t="s">
        <v>194</v>
      </c>
    </row>
    <row r="124" spans="1:13" x14ac:dyDescent="0.25">
      <c r="A124" t="s">
        <v>196</v>
      </c>
    </row>
    <row r="125" spans="1:13" x14ac:dyDescent="0.25">
      <c r="A125" t="s">
        <v>197</v>
      </c>
      <c r="L125">
        <v>0.67</v>
      </c>
      <c r="M125">
        <v>74</v>
      </c>
    </row>
    <row r="126" spans="1:13" x14ac:dyDescent="0.25">
      <c r="A126" t="s">
        <v>199</v>
      </c>
    </row>
    <row r="127" spans="1:13" x14ac:dyDescent="0.25">
      <c r="A127" t="s">
        <v>200</v>
      </c>
    </row>
    <row r="128" spans="1:13" x14ac:dyDescent="0.25">
      <c r="A128" t="s">
        <v>201</v>
      </c>
    </row>
    <row r="129" spans="1:1" x14ac:dyDescent="0.25">
      <c r="A129" t="s">
        <v>202</v>
      </c>
    </row>
    <row r="130" spans="1:1" x14ac:dyDescent="0.25">
      <c r="A130" t="s">
        <v>294</v>
      </c>
    </row>
    <row r="131" spans="1:1" x14ac:dyDescent="0.25">
      <c r="A131" t="s">
        <v>207</v>
      </c>
    </row>
    <row r="132" spans="1:1" x14ac:dyDescent="0.25">
      <c r="A132" t="s">
        <v>208</v>
      </c>
    </row>
    <row r="133" spans="1:1" x14ac:dyDescent="0.25">
      <c r="A133" t="s">
        <v>1589</v>
      </c>
    </row>
    <row r="134" spans="1:1" x14ac:dyDescent="0.25">
      <c r="A134" t="s">
        <v>209</v>
      </c>
    </row>
    <row r="135" spans="1:1" x14ac:dyDescent="0.25">
      <c r="A135" t="s">
        <v>211</v>
      </c>
    </row>
    <row r="136" spans="1:1" x14ac:dyDescent="0.25">
      <c r="A136" t="s">
        <v>212</v>
      </c>
    </row>
    <row r="137" spans="1:1" x14ac:dyDescent="0.25">
      <c r="A137" t="s">
        <v>214</v>
      </c>
    </row>
    <row r="138" spans="1:1" x14ac:dyDescent="0.25">
      <c r="A138" t="s">
        <v>216</v>
      </c>
    </row>
    <row r="139" spans="1:1" x14ac:dyDescent="0.25">
      <c r="A139" t="s">
        <v>218</v>
      </c>
    </row>
    <row r="140" spans="1:1" x14ac:dyDescent="0.25">
      <c r="A140" t="s">
        <v>220</v>
      </c>
    </row>
    <row r="141" spans="1:1" x14ac:dyDescent="0.25">
      <c r="A141" t="s">
        <v>222</v>
      </c>
    </row>
    <row r="142" spans="1:1" x14ac:dyDescent="0.25">
      <c r="A142" t="s">
        <v>224</v>
      </c>
    </row>
    <row r="143" spans="1:1" x14ac:dyDescent="0.25">
      <c r="A143" t="s">
        <v>225</v>
      </c>
    </row>
    <row r="144" spans="1:1" x14ac:dyDescent="0.25">
      <c r="A144" t="s">
        <v>227</v>
      </c>
    </row>
    <row r="145" spans="1:1" x14ac:dyDescent="0.25">
      <c r="A145" t="s">
        <v>229</v>
      </c>
    </row>
    <row r="146" spans="1:1" x14ac:dyDescent="0.25">
      <c r="A146" t="s">
        <v>231</v>
      </c>
    </row>
    <row r="147" spans="1:1" x14ac:dyDescent="0.25">
      <c r="A147" t="s">
        <v>232</v>
      </c>
    </row>
    <row r="148" spans="1:1" x14ac:dyDescent="0.25">
      <c r="A148" t="s">
        <v>234</v>
      </c>
    </row>
    <row r="149" spans="1:1" x14ac:dyDescent="0.25">
      <c r="A149" t="s">
        <v>236</v>
      </c>
    </row>
    <row r="150" spans="1:1" x14ac:dyDescent="0.25">
      <c r="A150" t="s">
        <v>1322</v>
      </c>
    </row>
    <row r="151" spans="1:1" x14ac:dyDescent="0.25">
      <c r="A151" t="s">
        <v>1323</v>
      </c>
    </row>
    <row r="152" spans="1:1" x14ac:dyDescent="0.25">
      <c r="A152" t="s">
        <v>1324</v>
      </c>
    </row>
    <row r="153" spans="1:1" x14ac:dyDescent="0.25">
      <c r="A153" t="s">
        <v>1325</v>
      </c>
    </row>
    <row r="154" spans="1:1" x14ac:dyDescent="0.25">
      <c r="A154" t="s">
        <v>1326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D10"/>
  <sheetViews>
    <sheetView workbookViewId="0">
      <selection sqref="A1:D1"/>
    </sheetView>
  </sheetViews>
  <sheetFormatPr defaultColWidth="9.140625" defaultRowHeight="15" x14ac:dyDescent="0.25"/>
  <cols>
    <col min="1" max="1" width="14.5703125" bestFit="1" customWidth="1"/>
    <col min="2" max="2" width="5.5703125" bestFit="1" customWidth="1"/>
    <col min="3" max="3" width="20.42578125" bestFit="1" customWidth="1"/>
    <col min="4" max="4" width="30.42578125" bestFit="1" customWidth="1"/>
  </cols>
  <sheetData>
    <row r="1" spans="1:4" x14ac:dyDescent="0.25">
      <c r="A1" s="25" t="s">
        <v>0</v>
      </c>
      <c r="B1" s="25" t="s">
        <v>2127</v>
      </c>
      <c r="C1" s="25" t="s">
        <v>2081</v>
      </c>
      <c r="D1" s="25" t="s">
        <v>2118</v>
      </c>
    </row>
    <row r="2" spans="1:4" x14ac:dyDescent="0.25">
      <c r="A2" t="s">
        <v>26</v>
      </c>
      <c r="B2" t="s">
        <v>2127</v>
      </c>
      <c r="C2" t="s">
        <v>702</v>
      </c>
      <c r="D2">
        <v>1</v>
      </c>
    </row>
    <row r="3" spans="1:4" x14ac:dyDescent="0.25">
      <c r="A3" t="s">
        <v>62</v>
      </c>
      <c r="B3" t="s">
        <v>2127</v>
      </c>
      <c r="C3" t="s">
        <v>2128</v>
      </c>
      <c r="D3">
        <v>2</v>
      </c>
    </row>
    <row r="4" spans="1:4" x14ac:dyDescent="0.25">
      <c r="A4" t="s">
        <v>66</v>
      </c>
      <c r="B4" t="s">
        <v>2127</v>
      </c>
      <c r="C4" t="s">
        <v>717</v>
      </c>
      <c r="D4">
        <v>1</v>
      </c>
    </row>
    <row r="5" spans="1:4" x14ac:dyDescent="0.25">
      <c r="A5" t="s">
        <v>87</v>
      </c>
      <c r="B5" t="s">
        <v>2127</v>
      </c>
      <c r="C5" t="s">
        <v>769</v>
      </c>
      <c r="D5">
        <v>1</v>
      </c>
    </row>
    <row r="6" spans="1:4" x14ac:dyDescent="0.25">
      <c r="A6" t="s">
        <v>125</v>
      </c>
      <c r="B6" t="s">
        <v>2127</v>
      </c>
      <c r="C6" t="s">
        <v>2129</v>
      </c>
      <c r="D6">
        <v>2</v>
      </c>
    </row>
    <row r="7" spans="1:4" x14ac:dyDescent="0.25">
      <c r="A7" t="s">
        <v>152</v>
      </c>
      <c r="B7" t="s">
        <v>2127</v>
      </c>
      <c r="C7" t="s">
        <v>2128</v>
      </c>
      <c r="D7">
        <v>2</v>
      </c>
    </row>
    <row r="8" spans="1:4" x14ac:dyDescent="0.25">
      <c r="A8" t="s">
        <v>163</v>
      </c>
      <c r="B8" t="s">
        <v>2127</v>
      </c>
      <c r="C8" t="s">
        <v>348</v>
      </c>
      <c r="D8">
        <v>1</v>
      </c>
    </row>
    <row r="9" spans="1:4" x14ac:dyDescent="0.25">
      <c r="A9" t="s">
        <v>189</v>
      </c>
      <c r="B9" t="s">
        <v>2127</v>
      </c>
      <c r="C9" t="s">
        <v>1024</v>
      </c>
      <c r="D9">
        <v>1</v>
      </c>
    </row>
    <row r="10" spans="1:4" x14ac:dyDescent="0.25">
      <c r="A10" t="s">
        <v>197</v>
      </c>
      <c r="B10" t="s">
        <v>2127</v>
      </c>
      <c r="C10" t="s">
        <v>2130</v>
      </c>
      <c r="D10">
        <v>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53"/>
  <sheetViews>
    <sheetView topLeftCell="R1" workbookViewId="0">
      <selection activeCell="B1" sqref="B1:AC1"/>
    </sheetView>
  </sheetViews>
  <sheetFormatPr defaultColWidth="9.140625" defaultRowHeight="15" x14ac:dyDescent="0.25"/>
  <cols>
    <col min="1" max="1" width="18.140625" bestFit="1" customWidth="1"/>
    <col min="2" max="2" width="16.5703125" customWidth="1"/>
    <col min="3" max="3" width="18.7109375" customWidth="1"/>
    <col min="4" max="4" width="16.140625" customWidth="1"/>
    <col min="5" max="6" width="18.7109375" customWidth="1"/>
    <col min="7" max="7" width="16.140625" customWidth="1"/>
    <col min="8" max="8" width="18.7109375" customWidth="1"/>
    <col min="9" max="9" width="16.140625" customWidth="1"/>
    <col min="10" max="12" width="18.7109375" customWidth="1"/>
    <col min="13" max="13" width="16.140625" customWidth="1"/>
    <col min="14" max="14" width="18.7109375" customWidth="1"/>
    <col min="15" max="15" width="16.140625" customWidth="1"/>
    <col min="16" max="17" width="18.7109375" customWidth="1"/>
    <col min="18" max="20" width="16.140625" customWidth="1"/>
    <col min="21" max="29" width="17.140625" customWidth="1"/>
  </cols>
  <sheetData>
    <row r="1" spans="1:29" x14ac:dyDescent="0.25">
      <c r="A1" t="s">
        <v>0</v>
      </c>
      <c r="B1" t="s">
        <v>2131</v>
      </c>
      <c r="C1" t="s">
        <v>1766</v>
      </c>
      <c r="D1" t="s">
        <v>499</v>
      </c>
      <c r="E1" t="s">
        <v>1767</v>
      </c>
      <c r="F1" t="s">
        <v>1768</v>
      </c>
      <c r="G1" t="s">
        <v>560</v>
      </c>
      <c r="H1" t="s">
        <v>1769</v>
      </c>
      <c r="I1" t="s">
        <v>571</v>
      </c>
      <c r="J1" t="s">
        <v>1770</v>
      </c>
      <c r="K1" t="s">
        <v>1771</v>
      </c>
      <c r="L1" t="s">
        <v>1772</v>
      </c>
      <c r="M1" t="s">
        <v>352</v>
      </c>
      <c r="N1" t="s">
        <v>1773</v>
      </c>
      <c r="O1" t="s">
        <v>770</v>
      </c>
      <c r="P1" t="s">
        <v>1774</v>
      </c>
      <c r="Q1" t="s">
        <v>1775</v>
      </c>
      <c r="R1" t="s">
        <v>586</v>
      </c>
      <c r="S1" t="s">
        <v>789</v>
      </c>
      <c r="T1" t="s">
        <v>876</v>
      </c>
      <c r="U1" t="s">
        <v>877</v>
      </c>
      <c r="V1" t="s">
        <v>878</v>
      </c>
      <c r="W1" t="s">
        <v>611</v>
      </c>
      <c r="X1" t="s">
        <v>626</v>
      </c>
      <c r="Y1" t="s">
        <v>1060</v>
      </c>
      <c r="Z1" t="s">
        <v>1062</v>
      </c>
      <c r="AA1" t="s">
        <v>2132</v>
      </c>
      <c r="AB1" t="s">
        <v>790</v>
      </c>
      <c r="AC1" t="s">
        <v>724</v>
      </c>
    </row>
    <row r="2" spans="1:29" x14ac:dyDescent="0.25">
      <c r="A2" t="s">
        <v>6</v>
      </c>
    </row>
    <row r="3" spans="1:29" x14ac:dyDescent="0.25">
      <c r="A3" t="s">
        <v>11</v>
      </c>
    </row>
    <row r="4" spans="1:29" x14ac:dyDescent="0.25">
      <c r="A4" t="s">
        <v>12</v>
      </c>
      <c r="M4">
        <v>200</v>
      </c>
    </row>
    <row r="5" spans="1:29" x14ac:dyDescent="0.25">
      <c r="A5" t="s">
        <v>16</v>
      </c>
      <c r="D5">
        <v>11.64</v>
      </c>
    </row>
    <row r="6" spans="1:29" x14ac:dyDescent="0.25">
      <c r="A6" t="s">
        <v>18</v>
      </c>
    </row>
    <row r="7" spans="1:29" x14ac:dyDescent="0.25">
      <c r="A7" t="s">
        <v>20</v>
      </c>
    </row>
    <row r="8" spans="1:29" x14ac:dyDescent="0.25">
      <c r="A8" t="s">
        <v>22</v>
      </c>
    </row>
    <row r="9" spans="1:29" x14ac:dyDescent="0.25">
      <c r="A9" t="s">
        <v>24</v>
      </c>
    </row>
    <row r="10" spans="1:29" x14ac:dyDescent="0.25">
      <c r="A10" t="s">
        <v>26</v>
      </c>
    </row>
    <row r="11" spans="1:29" x14ac:dyDescent="0.25">
      <c r="A11" t="s">
        <v>28</v>
      </c>
      <c r="B11">
        <v>4000</v>
      </c>
    </row>
    <row r="12" spans="1:29" x14ac:dyDescent="0.25">
      <c r="A12" t="s">
        <v>30</v>
      </c>
      <c r="D12">
        <v>8900</v>
      </c>
      <c r="G12">
        <v>10600</v>
      </c>
    </row>
    <row r="13" spans="1:29" x14ac:dyDescent="0.25">
      <c r="A13" t="s">
        <v>32</v>
      </c>
      <c r="B13">
        <v>17700</v>
      </c>
    </row>
    <row r="14" spans="1:29" x14ac:dyDescent="0.25">
      <c r="A14" t="s">
        <v>34</v>
      </c>
    </row>
    <row r="15" spans="1:29" x14ac:dyDescent="0.25">
      <c r="A15" t="s">
        <v>36</v>
      </c>
    </row>
    <row r="16" spans="1:29" x14ac:dyDescent="0.25">
      <c r="A16" t="s">
        <v>37</v>
      </c>
    </row>
    <row r="17" spans="1:2" x14ac:dyDescent="0.25">
      <c r="A17" t="s">
        <v>40</v>
      </c>
    </row>
    <row r="18" spans="1:2" x14ac:dyDescent="0.25">
      <c r="A18" t="s">
        <v>42</v>
      </c>
    </row>
    <row r="19" spans="1:2" x14ac:dyDescent="0.25">
      <c r="A19" t="s">
        <v>43</v>
      </c>
    </row>
    <row r="20" spans="1:2" x14ac:dyDescent="0.25">
      <c r="A20" t="s">
        <v>44</v>
      </c>
    </row>
    <row r="21" spans="1:2" x14ac:dyDescent="0.25">
      <c r="A21" t="s">
        <v>46</v>
      </c>
    </row>
    <row r="22" spans="1:2" x14ac:dyDescent="0.25">
      <c r="A22" t="s">
        <v>48</v>
      </c>
    </row>
    <row r="23" spans="1:2" x14ac:dyDescent="0.25">
      <c r="A23" t="s">
        <v>50</v>
      </c>
      <c r="B23" t="s">
        <v>538</v>
      </c>
    </row>
    <row r="24" spans="1:2" x14ac:dyDescent="0.25">
      <c r="A24" t="s">
        <v>52</v>
      </c>
    </row>
    <row r="25" spans="1:2" x14ac:dyDescent="0.25">
      <c r="A25" t="s">
        <v>53</v>
      </c>
    </row>
    <row r="26" spans="1:2" x14ac:dyDescent="0.25">
      <c r="A26" t="s">
        <v>55</v>
      </c>
    </row>
    <row r="27" spans="1:2" x14ac:dyDescent="0.25">
      <c r="A27" t="s">
        <v>57</v>
      </c>
    </row>
    <row r="28" spans="1:2" x14ac:dyDescent="0.25">
      <c r="A28" t="s">
        <v>59</v>
      </c>
    </row>
    <row r="29" spans="1:2" x14ac:dyDescent="0.25">
      <c r="A29" t="s">
        <v>60</v>
      </c>
    </row>
    <row r="30" spans="1:2" x14ac:dyDescent="0.25">
      <c r="A30" t="s">
        <v>62</v>
      </c>
    </row>
    <row r="31" spans="1:2" x14ac:dyDescent="0.25">
      <c r="A31" t="s">
        <v>64</v>
      </c>
    </row>
    <row r="32" spans="1:2" x14ac:dyDescent="0.25">
      <c r="A32" t="s">
        <v>65</v>
      </c>
    </row>
    <row r="33" spans="1:29" x14ac:dyDescent="0.25">
      <c r="A33" t="s">
        <v>66</v>
      </c>
      <c r="B33">
        <v>7100</v>
      </c>
      <c r="G33">
        <v>10000</v>
      </c>
      <c r="I33">
        <v>16600</v>
      </c>
      <c r="M33">
        <v>11300</v>
      </c>
      <c r="R33">
        <v>10200</v>
      </c>
      <c r="W33">
        <v>11500</v>
      </c>
      <c r="X33">
        <v>13300</v>
      </c>
      <c r="AC33">
        <v>11000</v>
      </c>
    </row>
    <row r="34" spans="1:29" x14ac:dyDescent="0.25">
      <c r="A34" t="s">
        <v>68</v>
      </c>
    </row>
    <row r="35" spans="1:29" x14ac:dyDescent="0.25">
      <c r="A35" t="s">
        <v>69</v>
      </c>
    </row>
    <row r="36" spans="1:29" x14ac:dyDescent="0.25">
      <c r="A36" t="s">
        <v>71</v>
      </c>
    </row>
    <row r="37" spans="1:29" x14ac:dyDescent="0.25">
      <c r="A37" t="s">
        <v>73</v>
      </c>
    </row>
    <row r="38" spans="1:29" x14ac:dyDescent="0.25">
      <c r="A38" t="s">
        <v>74</v>
      </c>
      <c r="B38">
        <v>3500</v>
      </c>
      <c r="D38">
        <v>25000</v>
      </c>
    </row>
    <row r="39" spans="1:29" x14ac:dyDescent="0.25">
      <c r="A39" t="s">
        <v>76</v>
      </c>
    </row>
    <row r="40" spans="1:29" x14ac:dyDescent="0.25">
      <c r="A40" t="s">
        <v>78</v>
      </c>
    </row>
    <row r="41" spans="1:29" x14ac:dyDescent="0.25">
      <c r="A41" t="s">
        <v>80</v>
      </c>
      <c r="B41">
        <v>9400</v>
      </c>
      <c r="D41">
        <v>10000</v>
      </c>
    </row>
    <row r="42" spans="1:29" x14ac:dyDescent="0.25">
      <c r="A42" t="s">
        <v>82</v>
      </c>
      <c r="B42">
        <v>8300</v>
      </c>
    </row>
    <row r="43" spans="1:29" x14ac:dyDescent="0.25">
      <c r="A43" t="s">
        <v>84</v>
      </c>
    </row>
    <row r="44" spans="1:29" x14ac:dyDescent="0.25">
      <c r="A44" t="s">
        <v>85</v>
      </c>
      <c r="B44">
        <v>6900</v>
      </c>
    </row>
    <row r="45" spans="1:29" x14ac:dyDescent="0.25">
      <c r="A45" t="s">
        <v>87</v>
      </c>
      <c r="B45">
        <v>4200</v>
      </c>
      <c r="D45">
        <v>4000</v>
      </c>
      <c r="O45">
        <v>285000</v>
      </c>
    </row>
    <row r="46" spans="1:29" x14ac:dyDescent="0.25">
      <c r="A46" t="s">
        <v>89</v>
      </c>
    </row>
    <row r="47" spans="1:29" x14ac:dyDescent="0.25">
      <c r="A47" t="s">
        <v>91</v>
      </c>
    </row>
    <row r="48" spans="1:29" x14ac:dyDescent="0.25">
      <c r="A48" t="s">
        <v>92</v>
      </c>
    </row>
    <row r="49" spans="1:28" x14ac:dyDescent="0.25">
      <c r="A49" t="s">
        <v>93</v>
      </c>
      <c r="B49">
        <v>12600</v>
      </c>
      <c r="D49">
        <v>11500</v>
      </c>
      <c r="S49">
        <v>12410</v>
      </c>
      <c r="AB49">
        <v>12610</v>
      </c>
    </row>
    <row r="50" spans="1:28" x14ac:dyDescent="0.25">
      <c r="A50" t="s">
        <v>95</v>
      </c>
      <c r="B50">
        <v>14100</v>
      </c>
    </row>
    <row r="51" spans="1:28" x14ac:dyDescent="0.25">
      <c r="A51" t="s">
        <v>97</v>
      </c>
    </row>
    <row r="52" spans="1:28" x14ac:dyDescent="0.25">
      <c r="A52" t="s">
        <v>99</v>
      </c>
    </row>
    <row r="53" spans="1:28" x14ac:dyDescent="0.25">
      <c r="A53" t="s">
        <v>100</v>
      </c>
    </row>
    <row r="54" spans="1:28" x14ac:dyDescent="0.25">
      <c r="A54" t="s">
        <v>101</v>
      </c>
    </row>
    <row r="55" spans="1:28" x14ac:dyDescent="0.25">
      <c r="A55" t="s">
        <v>102</v>
      </c>
    </row>
    <row r="56" spans="1:28" x14ac:dyDescent="0.25">
      <c r="A56" t="s">
        <v>103</v>
      </c>
      <c r="B56">
        <v>16950</v>
      </c>
      <c r="G56">
        <v>9500</v>
      </c>
      <c r="I56">
        <v>16500</v>
      </c>
    </row>
    <row r="57" spans="1:28" x14ac:dyDescent="0.25">
      <c r="A57" t="s">
        <v>105</v>
      </c>
    </row>
    <row r="58" spans="1:28" x14ac:dyDescent="0.25">
      <c r="A58" t="s">
        <v>106</v>
      </c>
    </row>
    <row r="59" spans="1:28" x14ac:dyDescent="0.25">
      <c r="A59" t="s">
        <v>107</v>
      </c>
    </row>
    <row r="60" spans="1:28" x14ac:dyDescent="0.25">
      <c r="A60" t="s">
        <v>108</v>
      </c>
    </row>
    <row r="61" spans="1:28" x14ac:dyDescent="0.25">
      <c r="A61" t="s">
        <v>109</v>
      </c>
    </row>
    <row r="62" spans="1:28" x14ac:dyDescent="0.25">
      <c r="A62" t="s">
        <v>110</v>
      </c>
    </row>
    <row r="63" spans="1:28" x14ac:dyDescent="0.25">
      <c r="A63" t="s">
        <v>111</v>
      </c>
    </row>
    <row r="64" spans="1:28" x14ac:dyDescent="0.25">
      <c r="A64" t="s">
        <v>112</v>
      </c>
    </row>
    <row r="65" spans="1:24" x14ac:dyDescent="0.25">
      <c r="A65" t="s">
        <v>113</v>
      </c>
    </row>
    <row r="66" spans="1:24" x14ac:dyDescent="0.25">
      <c r="A66" t="s">
        <v>115</v>
      </c>
    </row>
    <row r="67" spans="1:24" x14ac:dyDescent="0.25">
      <c r="A67" t="s">
        <v>116</v>
      </c>
    </row>
    <row r="68" spans="1:24" x14ac:dyDescent="0.25">
      <c r="A68" t="s">
        <v>117</v>
      </c>
    </row>
    <row r="69" spans="1:24" x14ac:dyDescent="0.25">
      <c r="A69" t="s">
        <v>119</v>
      </c>
      <c r="B69">
        <v>6700</v>
      </c>
      <c r="G69">
        <v>4800</v>
      </c>
      <c r="R69">
        <v>7200</v>
      </c>
    </row>
    <row r="70" spans="1:24" x14ac:dyDescent="0.25">
      <c r="A70" t="s">
        <v>120</v>
      </c>
    </row>
    <row r="71" spans="1:24" x14ac:dyDescent="0.25">
      <c r="A71" t="s">
        <v>122</v>
      </c>
    </row>
    <row r="72" spans="1:24" x14ac:dyDescent="0.25">
      <c r="A72" t="s">
        <v>123</v>
      </c>
    </row>
    <row r="73" spans="1:24" x14ac:dyDescent="0.25">
      <c r="A73" t="s">
        <v>125</v>
      </c>
      <c r="B73">
        <v>15000</v>
      </c>
      <c r="D73">
        <v>19700</v>
      </c>
      <c r="I73">
        <v>15200</v>
      </c>
      <c r="M73">
        <v>9600</v>
      </c>
      <c r="O73">
        <v>9300</v>
      </c>
      <c r="S73">
        <v>11500</v>
      </c>
      <c r="T73">
        <v>13000</v>
      </c>
      <c r="U73">
        <v>12000</v>
      </c>
      <c r="V73">
        <v>11700</v>
      </c>
      <c r="W73">
        <v>12500</v>
      </c>
      <c r="X73">
        <v>11000</v>
      </c>
    </row>
    <row r="74" spans="1:24" x14ac:dyDescent="0.25">
      <c r="A74" t="s">
        <v>126</v>
      </c>
    </row>
    <row r="75" spans="1:24" x14ac:dyDescent="0.25">
      <c r="A75" t="s">
        <v>127</v>
      </c>
    </row>
    <row r="76" spans="1:24" x14ac:dyDescent="0.25">
      <c r="A76" t="s">
        <v>128</v>
      </c>
      <c r="O76" t="s">
        <v>887</v>
      </c>
    </row>
    <row r="77" spans="1:24" x14ac:dyDescent="0.25">
      <c r="A77" t="s">
        <v>131</v>
      </c>
    </row>
    <row r="78" spans="1:24" x14ac:dyDescent="0.25">
      <c r="A78" t="s">
        <v>133</v>
      </c>
    </row>
    <row r="79" spans="1:24" x14ac:dyDescent="0.25">
      <c r="A79" t="s">
        <v>134</v>
      </c>
    </row>
    <row r="80" spans="1:24" x14ac:dyDescent="0.25">
      <c r="A80" t="s">
        <v>136</v>
      </c>
    </row>
    <row r="81" spans="1:13" x14ac:dyDescent="0.25">
      <c r="A81" t="s">
        <v>138</v>
      </c>
      <c r="B81">
        <v>4800</v>
      </c>
    </row>
    <row r="82" spans="1:13" x14ac:dyDescent="0.25">
      <c r="A82" t="s">
        <v>140</v>
      </c>
    </row>
    <row r="83" spans="1:13" x14ac:dyDescent="0.25">
      <c r="A83" t="s">
        <v>142</v>
      </c>
    </row>
    <row r="84" spans="1:13" x14ac:dyDescent="0.25">
      <c r="A84" t="s">
        <v>143</v>
      </c>
    </row>
    <row r="85" spans="1:13" x14ac:dyDescent="0.25">
      <c r="A85" t="s">
        <v>144</v>
      </c>
    </row>
    <row r="86" spans="1:13" x14ac:dyDescent="0.25">
      <c r="A86" t="s">
        <v>145</v>
      </c>
    </row>
    <row r="87" spans="1:13" x14ac:dyDescent="0.25">
      <c r="A87" t="s">
        <v>146</v>
      </c>
    </row>
    <row r="88" spans="1:13" x14ac:dyDescent="0.25">
      <c r="A88" t="s">
        <v>147</v>
      </c>
    </row>
    <row r="89" spans="1:13" x14ac:dyDescent="0.25">
      <c r="A89" t="s">
        <v>148</v>
      </c>
    </row>
    <row r="90" spans="1:13" x14ac:dyDescent="0.25">
      <c r="A90" t="s">
        <v>149</v>
      </c>
    </row>
    <row r="91" spans="1:13" x14ac:dyDescent="0.25">
      <c r="A91" t="s">
        <v>150</v>
      </c>
    </row>
    <row r="92" spans="1:13" x14ac:dyDescent="0.25">
      <c r="A92" t="s">
        <v>151</v>
      </c>
    </row>
    <row r="93" spans="1:13" x14ac:dyDescent="0.25">
      <c r="A93" t="s">
        <v>321</v>
      </c>
    </row>
    <row r="94" spans="1:13" x14ac:dyDescent="0.25">
      <c r="A94" t="s">
        <v>152</v>
      </c>
      <c r="B94">
        <v>11780</v>
      </c>
    </row>
    <row r="95" spans="1:13" x14ac:dyDescent="0.25">
      <c r="A95" t="s">
        <v>153</v>
      </c>
      <c r="B95">
        <v>7330</v>
      </c>
      <c r="D95">
        <v>5590</v>
      </c>
      <c r="E95">
        <v>7650</v>
      </c>
      <c r="G95">
        <v>12100</v>
      </c>
      <c r="I95">
        <v>12300</v>
      </c>
      <c r="J95">
        <v>16400</v>
      </c>
      <c r="K95">
        <v>16000</v>
      </c>
      <c r="L95">
        <v>22300</v>
      </c>
      <c r="M95">
        <v>22500</v>
      </c>
    </row>
    <row r="96" spans="1:13" x14ac:dyDescent="0.25">
      <c r="A96" t="s">
        <v>155</v>
      </c>
    </row>
    <row r="97" spans="1:20" x14ac:dyDescent="0.25">
      <c r="A97" t="s">
        <v>157</v>
      </c>
      <c r="T97">
        <v>25000</v>
      </c>
    </row>
    <row r="98" spans="1:20" x14ac:dyDescent="0.25">
      <c r="A98" t="s">
        <v>158</v>
      </c>
      <c r="B98">
        <v>3880</v>
      </c>
      <c r="D98">
        <v>8560</v>
      </c>
      <c r="E98">
        <v>4870</v>
      </c>
      <c r="F98">
        <v>3960</v>
      </c>
      <c r="G98">
        <v>4640</v>
      </c>
      <c r="I98">
        <v>9530</v>
      </c>
      <c r="M98">
        <v>8890</v>
      </c>
      <c r="N98">
        <v>8450</v>
      </c>
      <c r="O98">
        <v>6260</v>
      </c>
      <c r="P98">
        <v>5320</v>
      </c>
      <c r="Q98">
        <v>5540</v>
      </c>
      <c r="R98">
        <v>5030</v>
      </c>
    </row>
    <row r="99" spans="1:20" x14ac:dyDescent="0.25">
      <c r="A99" t="s">
        <v>160</v>
      </c>
    </row>
    <row r="100" spans="1:20" x14ac:dyDescent="0.25">
      <c r="A100" t="s">
        <v>162</v>
      </c>
    </row>
    <row r="101" spans="1:20" x14ac:dyDescent="0.25">
      <c r="A101" t="s">
        <v>163</v>
      </c>
      <c r="B101">
        <v>4510</v>
      </c>
      <c r="C101">
        <v>4600</v>
      </c>
      <c r="D101">
        <v>3560</v>
      </c>
      <c r="E101">
        <v>3620</v>
      </c>
      <c r="G101">
        <v>8180</v>
      </c>
      <c r="H101">
        <v>3270</v>
      </c>
      <c r="I101">
        <v>3550</v>
      </c>
    </row>
    <row r="102" spans="1:20" x14ac:dyDescent="0.25">
      <c r="A102" t="s">
        <v>164</v>
      </c>
    </row>
    <row r="103" spans="1:20" x14ac:dyDescent="0.25">
      <c r="A103" t="s">
        <v>165</v>
      </c>
    </row>
    <row r="104" spans="1:20" x14ac:dyDescent="0.25">
      <c r="A104" t="s">
        <v>166</v>
      </c>
      <c r="B104">
        <v>10140</v>
      </c>
      <c r="D104">
        <v>11620</v>
      </c>
      <c r="G104">
        <v>8550</v>
      </c>
    </row>
    <row r="105" spans="1:20" x14ac:dyDescent="0.25">
      <c r="A105" t="s">
        <v>167</v>
      </c>
    </row>
    <row r="106" spans="1:20" x14ac:dyDescent="0.25">
      <c r="A106" t="s">
        <v>169</v>
      </c>
    </row>
    <row r="107" spans="1:20" x14ac:dyDescent="0.25">
      <c r="A107" t="s">
        <v>170</v>
      </c>
      <c r="B107">
        <v>5900</v>
      </c>
    </row>
    <row r="108" spans="1:20" x14ac:dyDescent="0.25">
      <c r="A108" t="s">
        <v>172</v>
      </c>
    </row>
    <row r="109" spans="1:20" x14ac:dyDescent="0.25">
      <c r="A109" t="s">
        <v>173</v>
      </c>
      <c r="B109">
        <v>2100</v>
      </c>
      <c r="C109">
        <v>8000</v>
      </c>
      <c r="D109">
        <v>8500</v>
      </c>
      <c r="E109">
        <v>7500</v>
      </c>
      <c r="G109">
        <v>8000</v>
      </c>
      <c r="I109">
        <v>4600</v>
      </c>
      <c r="O109">
        <v>3400</v>
      </c>
    </row>
    <row r="110" spans="1:20" x14ac:dyDescent="0.25">
      <c r="A110" t="s">
        <v>175</v>
      </c>
    </row>
    <row r="111" spans="1:20" x14ac:dyDescent="0.25">
      <c r="A111" t="s">
        <v>176</v>
      </c>
    </row>
    <row r="112" spans="1:20" x14ac:dyDescent="0.25">
      <c r="A112" t="s">
        <v>177</v>
      </c>
      <c r="B112">
        <v>6800</v>
      </c>
    </row>
    <row r="113" spans="1:2" x14ac:dyDescent="0.25">
      <c r="A113" t="s">
        <v>178</v>
      </c>
    </row>
    <row r="114" spans="1:2" x14ac:dyDescent="0.25">
      <c r="A114" t="s">
        <v>179</v>
      </c>
    </row>
    <row r="115" spans="1:2" x14ac:dyDescent="0.25">
      <c r="A115" t="s">
        <v>182</v>
      </c>
    </row>
    <row r="116" spans="1:2" x14ac:dyDescent="0.25">
      <c r="A116" t="s">
        <v>183</v>
      </c>
    </row>
    <row r="117" spans="1:2" x14ac:dyDescent="0.25">
      <c r="A117" t="s">
        <v>185</v>
      </c>
    </row>
    <row r="118" spans="1:2" x14ac:dyDescent="0.25">
      <c r="A118" t="s">
        <v>187</v>
      </c>
    </row>
    <row r="119" spans="1:2" x14ac:dyDescent="0.25">
      <c r="A119" t="s">
        <v>189</v>
      </c>
    </row>
    <row r="120" spans="1:2" x14ac:dyDescent="0.25">
      <c r="A120" t="s">
        <v>191</v>
      </c>
    </row>
    <row r="121" spans="1:2" x14ac:dyDescent="0.25">
      <c r="A121" t="s">
        <v>192</v>
      </c>
    </row>
    <row r="122" spans="1:2" x14ac:dyDescent="0.25">
      <c r="A122" t="s">
        <v>194</v>
      </c>
    </row>
    <row r="123" spans="1:2" x14ac:dyDescent="0.25">
      <c r="A123" t="s">
        <v>196</v>
      </c>
    </row>
    <row r="124" spans="1:2" x14ac:dyDescent="0.25">
      <c r="A124" t="s">
        <v>197</v>
      </c>
    </row>
    <row r="125" spans="1:2" x14ac:dyDescent="0.25">
      <c r="A125" t="s">
        <v>199</v>
      </c>
    </row>
    <row r="126" spans="1:2" x14ac:dyDescent="0.25">
      <c r="A126" t="s">
        <v>200</v>
      </c>
      <c r="B126">
        <v>11700</v>
      </c>
    </row>
    <row r="127" spans="1:2" x14ac:dyDescent="0.25">
      <c r="A127" t="s">
        <v>201</v>
      </c>
    </row>
    <row r="128" spans="1:2" x14ac:dyDescent="0.25">
      <c r="A128" t="s">
        <v>202</v>
      </c>
    </row>
    <row r="129" spans="1:26" x14ac:dyDescent="0.25">
      <c r="A129" t="s">
        <v>294</v>
      </c>
    </row>
    <row r="130" spans="1:26" x14ac:dyDescent="0.25">
      <c r="A130" t="s">
        <v>207</v>
      </c>
      <c r="B130">
        <v>17600</v>
      </c>
    </row>
    <row r="131" spans="1:26" x14ac:dyDescent="0.25">
      <c r="A131" t="s">
        <v>208</v>
      </c>
    </row>
    <row r="132" spans="1:26" x14ac:dyDescent="0.25">
      <c r="A132" t="s">
        <v>1589</v>
      </c>
    </row>
    <row r="133" spans="1:26" x14ac:dyDescent="0.25">
      <c r="A133" t="s">
        <v>209</v>
      </c>
      <c r="B133">
        <v>6000</v>
      </c>
      <c r="W133">
        <v>11400</v>
      </c>
    </row>
    <row r="134" spans="1:26" x14ac:dyDescent="0.25">
      <c r="A134" t="s">
        <v>211</v>
      </c>
      <c r="B134">
        <v>7700</v>
      </c>
      <c r="Y134">
        <v>4300</v>
      </c>
    </row>
    <row r="135" spans="1:26" x14ac:dyDescent="0.25">
      <c r="A135" t="s">
        <v>212</v>
      </c>
      <c r="B135">
        <v>6400</v>
      </c>
      <c r="C135">
        <v>8700</v>
      </c>
    </row>
    <row r="136" spans="1:26" x14ac:dyDescent="0.25">
      <c r="A136" t="s">
        <v>214</v>
      </c>
    </row>
    <row r="137" spans="1:26" x14ac:dyDescent="0.25">
      <c r="A137" t="s">
        <v>216</v>
      </c>
    </row>
    <row r="138" spans="1:26" x14ac:dyDescent="0.25">
      <c r="A138" t="s">
        <v>218</v>
      </c>
      <c r="Z138">
        <v>14800</v>
      </c>
    </row>
    <row r="139" spans="1:26" x14ac:dyDescent="0.25">
      <c r="A139" t="s">
        <v>220</v>
      </c>
    </row>
    <row r="140" spans="1:26" x14ac:dyDescent="0.25">
      <c r="A140" t="s">
        <v>222</v>
      </c>
    </row>
    <row r="141" spans="1:26" x14ac:dyDescent="0.25">
      <c r="A141" t="s">
        <v>224</v>
      </c>
    </row>
    <row r="142" spans="1:26" x14ac:dyDescent="0.25">
      <c r="A142" t="s">
        <v>225</v>
      </c>
      <c r="B142">
        <v>16500</v>
      </c>
    </row>
    <row r="143" spans="1:26" x14ac:dyDescent="0.25">
      <c r="A143" t="s">
        <v>227</v>
      </c>
      <c r="B143">
        <v>10900</v>
      </c>
    </row>
    <row r="144" spans="1:26" x14ac:dyDescent="0.25">
      <c r="A144" t="s">
        <v>229</v>
      </c>
    </row>
    <row r="145" spans="1:2" x14ac:dyDescent="0.25">
      <c r="A145" t="s">
        <v>231</v>
      </c>
      <c r="B145">
        <v>10100</v>
      </c>
    </row>
    <row r="146" spans="1:2" x14ac:dyDescent="0.25">
      <c r="A146" t="s">
        <v>232</v>
      </c>
    </row>
    <row r="147" spans="1:2" x14ac:dyDescent="0.25">
      <c r="A147" t="s">
        <v>234</v>
      </c>
      <c r="B147">
        <v>12700</v>
      </c>
    </row>
    <row r="148" spans="1:2" x14ac:dyDescent="0.25">
      <c r="A148" t="s">
        <v>236</v>
      </c>
    </row>
    <row r="149" spans="1:2" x14ac:dyDescent="0.25">
      <c r="A149" t="s">
        <v>1322</v>
      </c>
    </row>
    <row r="150" spans="1:2" x14ac:dyDescent="0.25">
      <c r="A150" t="s">
        <v>1323</v>
      </c>
    </row>
    <row r="151" spans="1:2" x14ac:dyDescent="0.25">
      <c r="A151" t="s">
        <v>1324</v>
      </c>
    </row>
    <row r="152" spans="1:2" x14ac:dyDescent="0.25">
      <c r="A152" t="s">
        <v>1325</v>
      </c>
    </row>
    <row r="153" spans="1:2" x14ac:dyDescent="0.25">
      <c r="A153" t="s">
        <v>1326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D39"/>
  <sheetViews>
    <sheetView topLeftCell="A17" workbookViewId="0">
      <selection activeCell="C6" sqref="C6"/>
    </sheetView>
  </sheetViews>
  <sheetFormatPr defaultColWidth="9.140625" defaultRowHeight="15" x14ac:dyDescent="0.25"/>
  <cols>
    <col min="1" max="1" width="14.5703125" bestFit="1" customWidth="1"/>
    <col min="2" max="2" width="13.42578125" bestFit="1" customWidth="1"/>
    <col min="3" max="3" width="81.140625" bestFit="1" customWidth="1"/>
    <col min="4" max="4" width="30.42578125" bestFit="1" customWidth="1"/>
  </cols>
  <sheetData>
    <row r="1" spans="1:4" x14ac:dyDescent="0.25">
      <c r="A1" s="25" t="s">
        <v>0</v>
      </c>
      <c r="B1" s="25" t="s">
        <v>2133</v>
      </c>
      <c r="C1" s="25" t="s">
        <v>2134</v>
      </c>
      <c r="D1" s="25" t="s">
        <v>2118</v>
      </c>
    </row>
    <row r="2" spans="1:4" x14ac:dyDescent="0.25">
      <c r="A2" t="s">
        <v>12</v>
      </c>
      <c r="B2" t="s">
        <v>2133</v>
      </c>
      <c r="C2" s="21" t="s">
        <v>352</v>
      </c>
      <c r="D2">
        <v>1</v>
      </c>
    </row>
    <row r="3" spans="1:4" x14ac:dyDescent="0.25">
      <c r="A3" t="s">
        <v>16</v>
      </c>
      <c r="B3" t="s">
        <v>2133</v>
      </c>
      <c r="C3" s="21" t="s">
        <v>499</v>
      </c>
      <c r="D3">
        <v>1</v>
      </c>
    </row>
    <row r="4" spans="1:4" x14ac:dyDescent="0.25">
      <c r="A4" t="s">
        <v>28</v>
      </c>
      <c r="B4" t="s">
        <v>2133</v>
      </c>
      <c r="C4" s="21" t="s">
        <v>2131</v>
      </c>
      <c r="D4">
        <v>1</v>
      </c>
    </row>
    <row r="5" spans="1:4" x14ac:dyDescent="0.25">
      <c r="A5" t="s">
        <v>30</v>
      </c>
      <c r="B5" t="s">
        <v>2133</v>
      </c>
      <c r="C5" s="21" t="s">
        <v>2135</v>
      </c>
      <c r="D5">
        <v>2</v>
      </c>
    </row>
    <row r="6" spans="1:4" x14ac:dyDescent="0.25">
      <c r="A6" t="s">
        <v>32</v>
      </c>
      <c r="B6" t="s">
        <v>2133</v>
      </c>
      <c r="C6" t="s">
        <v>2131</v>
      </c>
      <c r="D6">
        <v>1</v>
      </c>
    </row>
    <row r="7" spans="1:4" x14ac:dyDescent="0.25">
      <c r="A7" t="s">
        <v>50</v>
      </c>
      <c r="B7" t="s">
        <v>2133</v>
      </c>
      <c r="C7" t="s">
        <v>2131</v>
      </c>
      <c r="D7">
        <v>1</v>
      </c>
    </row>
    <row r="8" spans="1:4" x14ac:dyDescent="0.25">
      <c r="A8" t="s">
        <v>66</v>
      </c>
      <c r="B8" t="s">
        <v>2133</v>
      </c>
      <c r="C8" t="s">
        <v>2588</v>
      </c>
      <c r="D8">
        <v>8</v>
      </c>
    </row>
    <row r="9" spans="1:4" x14ac:dyDescent="0.25">
      <c r="A9" t="s">
        <v>74</v>
      </c>
      <c r="B9" t="s">
        <v>2133</v>
      </c>
      <c r="C9" t="s">
        <v>2136</v>
      </c>
      <c r="D9">
        <v>2</v>
      </c>
    </row>
    <row r="10" spans="1:4" x14ac:dyDescent="0.25">
      <c r="A10" t="s">
        <v>80</v>
      </c>
      <c r="B10" t="s">
        <v>2133</v>
      </c>
      <c r="C10" t="s">
        <v>2136</v>
      </c>
      <c r="D10">
        <v>2</v>
      </c>
    </row>
    <row r="11" spans="1:4" x14ac:dyDescent="0.25">
      <c r="A11" t="s">
        <v>82</v>
      </c>
      <c r="B11" t="s">
        <v>2133</v>
      </c>
      <c r="C11" t="s">
        <v>2131</v>
      </c>
      <c r="D11">
        <v>1</v>
      </c>
    </row>
    <row r="12" spans="1:4" x14ac:dyDescent="0.25">
      <c r="A12" t="s">
        <v>85</v>
      </c>
      <c r="B12" t="s">
        <v>2133</v>
      </c>
      <c r="C12" t="s">
        <v>2131</v>
      </c>
      <c r="D12">
        <v>1</v>
      </c>
    </row>
    <row r="13" spans="1:4" x14ac:dyDescent="0.25">
      <c r="A13" t="s">
        <v>87</v>
      </c>
      <c r="B13" t="s">
        <v>2133</v>
      </c>
      <c r="C13" t="s">
        <v>2137</v>
      </c>
      <c r="D13">
        <v>3</v>
      </c>
    </row>
    <row r="14" spans="1:4" x14ac:dyDescent="0.25">
      <c r="A14" t="s">
        <v>93</v>
      </c>
      <c r="B14" t="s">
        <v>2133</v>
      </c>
      <c r="C14" t="s">
        <v>2138</v>
      </c>
      <c r="D14">
        <v>4</v>
      </c>
    </row>
    <row r="15" spans="1:4" x14ac:dyDescent="0.25">
      <c r="A15" t="s">
        <v>95</v>
      </c>
      <c r="B15" t="s">
        <v>2133</v>
      </c>
      <c r="C15" t="s">
        <v>2131</v>
      </c>
      <c r="D15">
        <v>1</v>
      </c>
    </row>
    <row r="16" spans="1:4" x14ac:dyDescent="0.25">
      <c r="A16" t="s">
        <v>103</v>
      </c>
      <c r="B16" t="s">
        <v>2133</v>
      </c>
      <c r="C16" t="s">
        <v>2139</v>
      </c>
      <c r="D16">
        <v>3</v>
      </c>
    </row>
    <row r="17" spans="1:4" x14ac:dyDescent="0.25">
      <c r="A17" t="s">
        <v>119</v>
      </c>
      <c r="B17" t="s">
        <v>2133</v>
      </c>
      <c r="C17" t="s">
        <v>2140</v>
      </c>
      <c r="D17">
        <v>3</v>
      </c>
    </row>
    <row r="18" spans="1:4" x14ac:dyDescent="0.25">
      <c r="A18" t="s">
        <v>125</v>
      </c>
      <c r="B18" t="s">
        <v>2133</v>
      </c>
      <c r="C18" t="s">
        <v>2610</v>
      </c>
      <c r="D18">
        <v>11</v>
      </c>
    </row>
    <row r="19" spans="1:4" x14ac:dyDescent="0.25">
      <c r="A19" t="s">
        <v>128</v>
      </c>
      <c r="B19" t="s">
        <v>2133</v>
      </c>
      <c r="C19" t="s">
        <v>770</v>
      </c>
      <c r="D19">
        <v>1</v>
      </c>
    </row>
    <row r="20" spans="1:4" x14ac:dyDescent="0.25">
      <c r="A20" t="s">
        <v>138</v>
      </c>
      <c r="B20" t="s">
        <v>2133</v>
      </c>
      <c r="C20" t="s">
        <v>2131</v>
      </c>
      <c r="D20">
        <v>1</v>
      </c>
    </row>
    <row r="21" spans="1:4" x14ac:dyDescent="0.25">
      <c r="A21" t="s">
        <v>152</v>
      </c>
      <c r="B21" t="s">
        <v>2133</v>
      </c>
      <c r="C21" t="s">
        <v>2131</v>
      </c>
      <c r="D21">
        <v>1</v>
      </c>
    </row>
    <row r="22" spans="1:4" x14ac:dyDescent="0.25">
      <c r="A22" t="s">
        <v>153</v>
      </c>
      <c r="B22" t="s">
        <v>2133</v>
      </c>
      <c r="C22" t="s">
        <v>2645</v>
      </c>
      <c r="D22">
        <v>9</v>
      </c>
    </row>
    <row r="23" spans="1:4" x14ac:dyDescent="0.25">
      <c r="A23" t="s">
        <v>157</v>
      </c>
      <c r="B23" t="s">
        <v>2133</v>
      </c>
      <c r="C23" t="s">
        <v>876</v>
      </c>
      <c r="D23">
        <v>1</v>
      </c>
    </row>
    <row r="24" spans="1:4" x14ac:dyDescent="0.25">
      <c r="A24" t="s">
        <v>158</v>
      </c>
      <c r="B24" t="s">
        <v>2133</v>
      </c>
      <c r="C24" t="s">
        <v>2646</v>
      </c>
      <c r="D24">
        <v>12</v>
      </c>
    </row>
    <row r="25" spans="1:4" x14ac:dyDescent="0.25">
      <c r="A25" t="s">
        <v>163</v>
      </c>
      <c r="B25" t="s">
        <v>2133</v>
      </c>
      <c r="C25" t="s">
        <v>2141</v>
      </c>
      <c r="D25">
        <v>7</v>
      </c>
    </row>
    <row r="26" spans="1:4" x14ac:dyDescent="0.25">
      <c r="A26" t="s">
        <v>166</v>
      </c>
      <c r="B26" t="s">
        <v>2133</v>
      </c>
      <c r="C26" t="s">
        <v>2142</v>
      </c>
      <c r="D26">
        <v>3</v>
      </c>
    </row>
    <row r="27" spans="1:4" x14ac:dyDescent="0.25">
      <c r="A27" t="s">
        <v>170</v>
      </c>
      <c r="B27" t="s">
        <v>2133</v>
      </c>
      <c r="C27" t="s">
        <v>2131</v>
      </c>
      <c r="D27">
        <v>1</v>
      </c>
    </row>
    <row r="28" spans="1:4" x14ac:dyDescent="0.25">
      <c r="A28" t="s">
        <v>173</v>
      </c>
      <c r="B28" t="s">
        <v>2133</v>
      </c>
      <c r="C28" t="s">
        <v>2143</v>
      </c>
      <c r="D28">
        <v>7</v>
      </c>
    </row>
    <row r="29" spans="1:4" x14ac:dyDescent="0.25">
      <c r="A29" t="s">
        <v>177</v>
      </c>
      <c r="B29" t="s">
        <v>2133</v>
      </c>
      <c r="C29" t="s">
        <v>2131</v>
      </c>
      <c r="D29">
        <v>1</v>
      </c>
    </row>
    <row r="30" spans="1:4" x14ac:dyDescent="0.25">
      <c r="A30" t="s">
        <v>200</v>
      </c>
      <c r="B30" t="s">
        <v>2133</v>
      </c>
      <c r="C30" t="s">
        <v>2131</v>
      </c>
      <c r="D30">
        <v>1</v>
      </c>
    </row>
    <row r="31" spans="1:4" x14ac:dyDescent="0.25">
      <c r="A31" t="s">
        <v>207</v>
      </c>
      <c r="B31" t="s">
        <v>2133</v>
      </c>
      <c r="C31" t="s">
        <v>2131</v>
      </c>
      <c r="D31">
        <v>1</v>
      </c>
    </row>
    <row r="32" spans="1:4" x14ac:dyDescent="0.25">
      <c r="A32" t="s">
        <v>209</v>
      </c>
      <c r="B32" t="s">
        <v>2133</v>
      </c>
      <c r="C32" t="s">
        <v>2144</v>
      </c>
      <c r="D32">
        <v>2</v>
      </c>
    </row>
    <row r="33" spans="1:4" x14ac:dyDescent="0.25">
      <c r="A33" t="s">
        <v>211</v>
      </c>
      <c r="B33" t="s">
        <v>2133</v>
      </c>
      <c r="C33" t="s">
        <v>2145</v>
      </c>
      <c r="D33">
        <v>2</v>
      </c>
    </row>
    <row r="34" spans="1:4" x14ac:dyDescent="0.25">
      <c r="A34" t="s">
        <v>212</v>
      </c>
      <c r="B34" t="s">
        <v>2133</v>
      </c>
      <c r="C34" t="s">
        <v>2146</v>
      </c>
      <c r="D34">
        <v>2</v>
      </c>
    </row>
    <row r="35" spans="1:4" x14ac:dyDescent="0.25">
      <c r="A35" t="s">
        <v>218</v>
      </c>
      <c r="B35" t="s">
        <v>2133</v>
      </c>
      <c r="C35" t="s">
        <v>1062</v>
      </c>
      <c r="D35">
        <v>1</v>
      </c>
    </row>
    <row r="36" spans="1:4" x14ac:dyDescent="0.25">
      <c r="A36" t="s">
        <v>225</v>
      </c>
      <c r="B36" t="s">
        <v>2133</v>
      </c>
      <c r="C36" t="s">
        <v>2131</v>
      </c>
      <c r="D36">
        <v>1</v>
      </c>
    </row>
    <row r="37" spans="1:4" x14ac:dyDescent="0.25">
      <c r="A37" t="s">
        <v>227</v>
      </c>
      <c r="B37" t="s">
        <v>2133</v>
      </c>
      <c r="C37" t="s">
        <v>2131</v>
      </c>
      <c r="D37">
        <v>1</v>
      </c>
    </row>
    <row r="38" spans="1:4" x14ac:dyDescent="0.25">
      <c r="A38" t="s">
        <v>231</v>
      </c>
      <c r="B38" t="s">
        <v>2133</v>
      </c>
      <c r="C38" t="s">
        <v>2131</v>
      </c>
      <c r="D38">
        <v>1</v>
      </c>
    </row>
    <row r="39" spans="1:4" x14ac:dyDescent="0.25">
      <c r="A39" t="s">
        <v>234</v>
      </c>
      <c r="B39" t="s">
        <v>2133</v>
      </c>
      <c r="C39" t="s">
        <v>2131</v>
      </c>
      <c r="D39">
        <v>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53"/>
  <sheetViews>
    <sheetView workbookViewId="0">
      <selection activeCell="A5" sqref="A5"/>
    </sheetView>
  </sheetViews>
  <sheetFormatPr defaultColWidth="9.140625" defaultRowHeight="15" x14ac:dyDescent="0.25"/>
  <cols>
    <col min="1" max="1" width="25" bestFit="1" customWidth="1"/>
    <col min="2" max="2" width="10.28515625" customWidth="1"/>
    <col min="3" max="5" width="12.42578125" customWidth="1"/>
    <col min="6" max="6" width="9.85546875" customWidth="1"/>
    <col min="7" max="8" width="12.42578125" customWidth="1"/>
    <col min="9" max="10" width="9.85546875" customWidth="1"/>
    <col min="11" max="13" width="12.42578125" customWidth="1"/>
    <col min="14" max="14" width="9.85546875" customWidth="1"/>
    <col min="15" max="15" width="12.42578125" customWidth="1"/>
    <col min="16" max="16" width="9.85546875" customWidth="1"/>
    <col min="17" max="17" width="12.42578125" customWidth="1"/>
    <col min="18" max="18" width="11.7109375" customWidth="1"/>
    <col min="19" max="21" width="9.85546875" customWidth="1"/>
    <col min="22" max="41" width="10.85546875" customWidth="1"/>
    <col min="42" max="42" width="10.28515625" customWidth="1"/>
    <col min="43" max="47" width="10.85546875" customWidth="1"/>
    <col min="48" max="48" width="11" customWidth="1"/>
    <col min="49" max="51" width="10.85546875" customWidth="1"/>
    <col min="52" max="53" width="12.5703125" customWidth="1"/>
    <col min="54" max="56" width="13.5703125" customWidth="1"/>
    <col min="57" max="59" width="12.5703125" customWidth="1"/>
    <col min="60" max="60" width="13.5703125" customWidth="1"/>
    <col min="61" max="63" width="14.5703125" customWidth="1"/>
    <col min="64" max="65" width="13.5703125" customWidth="1"/>
    <col min="66" max="67" width="13.7109375" customWidth="1"/>
    <col min="68" max="68" width="19.85546875" customWidth="1"/>
  </cols>
  <sheetData>
    <row r="1" spans="1:68" x14ac:dyDescent="0.25">
      <c r="A1" t="s">
        <v>0</v>
      </c>
      <c r="B1" t="s">
        <v>2147</v>
      </c>
      <c r="C1" t="s">
        <v>1776</v>
      </c>
      <c r="D1" t="s">
        <v>1777</v>
      </c>
      <c r="E1" t="s">
        <v>1778</v>
      </c>
      <c r="F1" t="s">
        <v>656</v>
      </c>
      <c r="G1" t="s">
        <v>1781</v>
      </c>
      <c r="H1" t="s">
        <v>1782</v>
      </c>
      <c r="I1" t="s">
        <v>462</v>
      </c>
      <c r="J1" t="s">
        <v>839</v>
      </c>
      <c r="K1" t="s">
        <v>1783</v>
      </c>
      <c r="L1" t="s">
        <v>1784</v>
      </c>
      <c r="M1" t="s">
        <v>1785</v>
      </c>
      <c r="N1" t="s">
        <v>468</v>
      </c>
      <c r="O1" t="s">
        <v>1786</v>
      </c>
      <c r="P1" t="s">
        <v>864</v>
      </c>
      <c r="Q1" t="s">
        <v>1787</v>
      </c>
      <c r="R1" t="s">
        <v>2187</v>
      </c>
      <c r="S1" t="s">
        <v>473</v>
      </c>
      <c r="T1" t="s">
        <v>481</v>
      </c>
      <c r="U1" t="s">
        <v>422</v>
      </c>
      <c r="V1" t="s">
        <v>423</v>
      </c>
      <c r="W1" t="s">
        <v>505</v>
      </c>
      <c r="X1" t="s">
        <v>511</v>
      </c>
      <c r="Y1" t="s">
        <v>598</v>
      </c>
      <c r="Z1" t="s">
        <v>424</v>
      </c>
      <c r="AA1" t="s">
        <v>425</v>
      </c>
      <c r="AB1" t="s">
        <v>426</v>
      </c>
      <c r="AC1" t="s">
        <v>427</v>
      </c>
      <c r="AD1" t="s">
        <v>428</v>
      </c>
      <c r="AE1" t="s">
        <v>429</v>
      </c>
      <c r="AF1" t="s">
        <v>430</v>
      </c>
      <c r="AG1" t="s">
        <v>431</v>
      </c>
      <c r="AH1" t="s">
        <v>432</v>
      </c>
      <c r="AI1" t="s">
        <v>433</v>
      </c>
      <c r="AJ1" t="s">
        <v>512</v>
      </c>
      <c r="AK1" t="s">
        <v>487</v>
      </c>
      <c r="AL1" t="s">
        <v>495</v>
      </c>
      <c r="AM1" t="s">
        <v>434</v>
      </c>
      <c r="AN1" t="s">
        <v>435</v>
      </c>
      <c r="AO1" t="s">
        <v>438</v>
      </c>
      <c r="AP1" t="s">
        <v>1042</v>
      </c>
      <c r="AQ1" t="s">
        <v>738</v>
      </c>
      <c r="AR1" t="s">
        <v>436</v>
      </c>
      <c r="AS1" t="s">
        <v>742</v>
      </c>
      <c r="AT1" t="s">
        <v>750</v>
      </c>
      <c r="AU1" t="s">
        <v>437</v>
      </c>
      <c r="AV1" t="s">
        <v>2148</v>
      </c>
      <c r="AW1" t="s">
        <v>517</v>
      </c>
      <c r="AX1" t="s">
        <v>888</v>
      </c>
      <c r="AY1" t="s">
        <v>518</v>
      </c>
      <c r="AZ1" t="s">
        <v>1051</v>
      </c>
      <c r="BA1" t="s">
        <v>947</v>
      </c>
      <c r="BB1" t="s">
        <v>948</v>
      </c>
      <c r="BC1" t="s">
        <v>949</v>
      </c>
      <c r="BD1" t="s">
        <v>950</v>
      </c>
      <c r="BE1" t="s">
        <v>951</v>
      </c>
      <c r="BF1" t="s">
        <v>952</v>
      </c>
      <c r="BG1" t="s">
        <v>953</v>
      </c>
      <c r="BH1" t="s">
        <v>954</v>
      </c>
      <c r="BI1" t="s">
        <v>955</v>
      </c>
      <c r="BJ1" t="s">
        <v>956</v>
      </c>
      <c r="BK1" t="s">
        <v>802</v>
      </c>
      <c r="BL1" t="s">
        <v>803</v>
      </c>
      <c r="BM1" t="s">
        <v>804</v>
      </c>
      <c r="BN1" t="s">
        <v>2184</v>
      </c>
      <c r="BO1" t="s">
        <v>2185</v>
      </c>
      <c r="BP1" t="s">
        <v>2378</v>
      </c>
    </row>
    <row r="2" spans="1:68" x14ac:dyDescent="0.25">
      <c r="A2" t="s">
        <v>6</v>
      </c>
    </row>
    <row r="3" spans="1:68" x14ac:dyDescent="0.25">
      <c r="A3" t="s">
        <v>11</v>
      </c>
      <c r="B3">
        <v>13</v>
      </c>
    </row>
    <row r="4" spans="1:68" x14ac:dyDescent="0.25">
      <c r="A4" t="s">
        <v>12</v>
      </c>
      <c r="F4">
        <v>28</v>
      </c>
    </row>
    <row r="5" spans="1:68" x14ac:dyDescent="0.25">
      <c r="A5" t="s">
        <v>16</v>
      </c>
      <c r="B5">
        <v>15</v>
      </c>
    </row>
    <row r="6" spans="1:68" x14ac:dyDescent="0.25">
      <c r="A6" t="s">
        <v>18</v>
      </c>
    </row>
    <row r="7" spans="1:68" x14ac:dyDescent="0.25">
      <c r="A7" t="s">
        <v>20</v>
      </c>
      <c r="B7">
        <v>5300</v>
      </c>
      <c r="C7">
        <v>136</v>
      </c>
    </row>
    <row r="8" spans="1:68" x14ac:dyDescent="0.25">
      <c r="A8" t="s">
        <v>22</v>
      </c>
      <c r="B8">
        <v>14</v>
      </c>
      <c r="U8">
        <v>13</v>
      </c>
      <c r="V8">
        <v>26</v>
      </c>
      <c r="Z8">
        <v>42</v>
      </c>
      <c r="AA8">
        <v>88</v>
      </c>
      <c r="AB8">
        <v>104</v>
      </c>
      <c r="AC8">
        <v>125</v>
      </c>
      <c r="AD8">
        <v>105</v>
      </c>
      <c r="AE8">
        <v>70</v>
      </c>
      <c r="AF8">
        <v>51</v>
      </c>
      <c r="AG8">
        <v>41</v>
      </c>
      <c r="AH8">
        <v>36</v>
      </c>
      <c r="AI8">
        <v>21</v>
      </c>
      <c r="AM8">
        <v>17</v>
      </c>
      <c r="AN8">
        <v>14</v>
      </c>
      <c r="AO8">
        <v>12</v>
      </c>
      <c r="AR8">
        <v>13</v>
      </c>
      <c r="AU8">
        <v>13</v>
      </c>
      <c r="BP8">
        <v>125</v>
      </c>
    </row>
    <row r="9" spans="1:68" x14ac:dyDescent="0.25">
      <c r="A9" t="s">
        <v>24</v>
      </c>
      <c r="B9">
        <v>40</v>
      </c>
    </row>
    <row r="10" spans="1:68" x14ac:dyDescent="0.25">
      <c r="A10" t="s">
        <v>26</v>
      </c>
      <c r="B10" t="s">
        <v>457</v>
      </c>
      <c r="I10">
        <v>52</v>
      </c>
      <c r="N10">
        <v>4125</v>
      </c>
      <c r="S10">
        <v>2577</v>
      </c>
      <c r="T10">
        <v>1223</v>
      </c>
      <c r="AA10">
        <v>132</v>
      </c>
      <c r="AK10">
        <v>269</v>
      </c>
      <c r="AL10">
        <v>125</v>
      </c>
    </row>
    <row r="11" spans="1:68" x14ac:dyDescent="0.25">
      <c r="A11" t="s">
        <v>28</v>
      </c>
    </row>
    <row r="12" spans="1:68" x14ac:dyDescent="0.25">
      <c r="A12" t="s">
        <v>30</v>
      </c>
      <c r="N12">
        <v>25</v>
      </c>
    </row>
    <row r="13" spans="1:68" x14ac:dyDescent="0.25">
      <c r="A13" t="s">
        <v>32</v>
      </c>
      <c r="B13">
        <v>6600</v>
      </c>
      <c r="W13">
        <v>23</v>
      </c>
      <c r="AV13">
        <v>23</v>
      </c>
    </row>
    <row r="14" spans="1:68" x14ac:dyDescent="0.25">
      <c r="A14" t="s">
        <v>34</v>
      </c>
      <c r="B14">
        <v>9</v>
      </c>
      <c r="X14">
        <v>22</v>
      </c>
      <c r="AG14">
        <v>47</v>
      </c>
      <c r="AJ14">
        <v>18</v>
      </c>
      <c r="AW14">
        <v>13</v>
      </c>
      <c r="AY14">
        <v>17</v>
      </c>
    </row>
    <row r="15" spans="1:68" x14ac:dyDescent="0.25">
      <c r="A15" t="s">
        <v>36</v>
      </c>
    </row>
    <row r="16" spans="1:68" x14ac:dyDescent="0.25">
      <c r="A16" t="s">
        <v>37</v>
      </c>
      <c r="B16">
        <v>20</v>
      </c>
    </row>
    <row r="17" spans="1:30" x14ac:dyDescent="0.25">
      <c r="A17" t="s">
        <v>40</v>
      </c>
      <c r="B17">
        <v>75</v>
      </c>
    </row>
    <row r="18" spans="1:30" x14ac:dyDescent="0.25">
      <c r="A18" t="s">
        <v>42</v>
      </c>
    </row>
    <row r="19" spans="1:30" x14ac:dyDescent="0.25">
      <c r="A19" t="s">
        <v>43</v>
      </c>
    </row>
    <row r="20" spans="1:30" x14ac:dyDescent="0.25">
      <c r="A20" t="s">
        <v>44</v>
      </c>
      <c r="B20">
        <v>25</v>
      </c>
    </row>
    <row r="21" spans="1:30" x14ac:dyDescent="0.25">
      <c r="A21" t="s">
        <v>46</v>
      </c>
      <c r="B21">
        <v>20</v>
      </c>
      <c r="C21">
        <v>29</v>
      </c>
    </row>
    <row r="22" spans="1:30" x14ac:dyDescent="0.25">
      <c r="A22" t="s">
        <v>48</v>
      </c>
    </row>
    <row r="23" spans="1:30" x14ac:dyDescent="0.25">
      <c r="A23" t="s">
        <v>50</v>
      </c>
      <c r="B23" t="s">
        <v>539</v>
      </c>
      <c r="I23">
        <v>1.85</v>
      </c>
      <c r="AD23">
        <v>1.6</v>
      </c>
    </row>
    <row r="24" spans="1:30" x14ac:dyDescent="0.25">
      <c r="A24" t="s">
        <v>52</v>
      </c>
    </row>
    <row r="25" spans="1:30" x14ac:dyDescent="0.25">
      <c r="A25" t="s">
        <v>53</v>
      </c>
      <c r="B25">
        <v>302</v>
      </c>
    </row>
    <row r="26" spans="1:30" x14ac:dyDescent="0.25">
      <c r="A26" t="s">
        <v>55</v>
      </c>
    </row>
    <row r="27" spans="1:30" x14ac:dyDescent="0.25">
      <c r="A27" t="s">
        <v>57</v>
      </c>
    </row>
    <row r="28" spans="1:30" x14ac:dyDescent="0.25">
      <c r="A28" t="s">
        <v>59</v>
      </c>
    </row>
    <row r="29" spans="1:30" x14ac:dyDescent="0.25">
      <c r="A29" t="s">
        <v>60</v>
      </c>
      <c r="B29">
        <v>7</v>
      </c>
    </row>
    <row r="30" spans="1:30" x14ac:dyDescent="0.25">
      <c r="A30" t="s">
        <v>62</v>
      </c>
      <c r="B30" t="s">
        <v>1780</v>
      </c>
      <c r="C30" t="s">
        <v>1779</v>
      </c>
    </row>
    <row r="31" spans="1:30" x14ac:dyDescent="0.25">
      <c r="A31" t="s">
        <v>64</v>
      </c>
    </row>
    <row r="32" spans="1:30" x14ac:dyDescent="0.25">
      <c r="A32" t="s">
        <v>65</v>
      </c>
    </row>
    <row r="33" spans="1:49" x14ac:dyDescent="0.25">
      <c r="A33" t="s">
        <v>66</v>
      </c>
      <c r="B33">
        <v>19</v>
      </c>
      <c r="Y33">
        <v>127</v>
      </c>
      <c r="Z33">
        <v>66</v>
      </c>
    </row>
    <row r="34" spans="1:49" x14ac:dyDescent="0.25">
      <c r="A34" t="s">
        <v>68</v>
      </c>
      <c r="B34">
        <v>360</v>
      </c>
    </row>
    <row r="35" spans="1:49" x14ac:dyDescent="0.25">
      <c r="A35" t="s">
        <v>69</v>
      </c>
    </row>
    <row r="36" spans="1:49" x14ac:dyDescent="0.25">
      <c r="A36" t="s">
        <v>71</v>
      </c>
      <c r="B36">
        <v>1260</v>
      </c>
    </row>
    <row r="37" spans="1:49" x14ac:dyDescent="0.25">
      <c r="A37" t="s">
        <v>73</v>
      </c>
    </row>
    <row r="38" spans="1:49" x14ac:dyDescent="0.25">
      <c r="A38" t="s">
        <v>74</v>
      </c>
      <c r="F38" t="s">
        <v>2023</v>
      </c>
      <c r="I38" t="s">
        <v>2015</v>
      </c>
      <c r="S38" t="s">
        <v>1869</v>
      </c>
      <c r="Z38" t="s">
        <v>1078</v>
      </c>
    </row>
    <row r="39" spans="1:49" x14ac:dyDescent="0.25">
      <c r="A39" t="s">
        <v>76</v>
      </c>
      <c r="B39">
        <v>39</v>
      </c>
      <c r="N39">
        <v>25</v>
      </c>
    </row>
    <row r="40" spans="1:49" x14ac:dyDescent="0.25">
      <c r="A40" t="s">
        <v>78</v>
      </c>
      <c r="B40">
        <v>15</v>
      </c>
      <c r="AO40">
        <v>15</v>
      </c>
      <c r="AQ40">
        <v>18</v>
      </c>
      <c r="AS40">
        <v>506</v>
      </c>
      <c r="AT40">
        <v>4563</v>
      </c>
      <c r="AU40">
        <v>4396</v>
      </c>
      <c r="AW40">
        <v>1897</v>
      </c>
    </row>
    <row r="41" spans="1:49" x14ac:dyDescent="0.25">
      <c r="A41" t="s">
        <v>80</v>
      </c>
      <c r="B41">
        <v>1485</v>
      </c>
      <c r="F41">
        <v>1614</v>
      </c>
      <c r="N41">
        <v>1728</v>
      </c>
      <c r="T41">
        <v>912</v>
      </c>
    </row>
    <row r="42" spans="1:49" x14ac:dyDescent="0.25">
      <c r="A42" t="s">
        <v>82</v>
      </c>
      <c r="B42">
        <v>161</v>
      </c>
      <c r="AA42">
        <v>20.5</v>
      </c>
    </row>
    <row r="43" spans="1:49" x14ac:dyDescent="0.25">
      <c r="A43" t="s">
        <v>84</v>
      </c>
    </row>
    <row r="44" spans="1:49" x14ac:dyDescent="0.25">
      <c r="A44" t="s">
        <v>85</v>
      </c>
      <c r="B44">
        <v>258</v>
      </c>
      <c r="T44">
        <v>71</v>
      </c>
    </row>
    <row r="45" spans="1:49" x14ac:dyDescent="0.25">
      <c r="A45" t="s">
        <v>87</v>
      </c>
      <c r="B45" t="s">
        <v>1956</v>
      </c>
      <c r="F45" t="s">
        <v>1957</v>
      </c>
      <c r="S45" t="s">
        <v>1958</v>
      </c>
      <c r="U45" t="s">
        <v>1959</v>
      </c>
    </row>
    <row r="46" spans="1:49" x14ac:dyDescent="0.25">
      <c r="A46" t="s">
        <v>89</v>
      </c>
      <c r="B46">
        <v>10499</v>
      </c>
      <c r="C46">
        <v>7931</v>
      </c>
      <c r="D46">
        <v>3657</v>
      </c>
    </row>
    <row r="47" spans="1:49" x14ac:dyDescent="0.25">
      <c r="A47" t="s">
        <v>91</v>
      </c>
    </row>
    <row r="48" spans="1:49" x14ac:dyDescent="0.25">
      <c r="A48" t="s">
        <v>92</v>
      </c>
    </row>
    <row r="49" spans="1:67" x14ac:dyDescent="0.25">
      <c r="A49" t="s">
        <v>93</v>
      </c>
      <c r="B49">
        <v>22</v>
      </c>
      <c r="F49">
        <v>22</v>
      </c>
      <c r="T49">
        <v>36</v>
      </c>
      <c r="X49">
        <v>18</v>
      </c>
      <c r="AE49">
        <v>17</v>
      </c>
    </row>
    <row r="50" spans="1:67" x14ac:dyDescent="0.25">
      <c r="A50" t="s">
        <v>95</v>
      </c>
      <c r="B50">
        <v>38</v>
      </c>
      <c r="BK50">
        <v>64</v>
      </c>
      <c r="BL50">
        <v>53</v>
      </c>
      <c r="BM50">
        <v>54</v>
      </c>
      <c r="BN50">
        <v>57</v>
      </c>
      <c r="BO50">
        <v>57</v>
      </c>
    </row>
    <row r="51" spans="1:67" x14ac:dyDescent="0.25">
      <c r="A51" t="s">
        <v>97</v>
      </c>
    </row>
    <row r="52" spans="1:67" x14ac:dyDescent="0.25">
      <c r="A52" t="s">
        <v>99</v>
      </c>
    </row>
    <row r="53" spans="1:67" x14ac:dyDescent="0.25">
      <c r="A53" t="s">
        <v>100</v>
      </c>
    </row>
    <row r="54" spans="1:67" x14ac:dyDescent="0.25">
      <c r="A54" t="s">
        <v>101</v>
      </c>
    </row>
    <row r="55" spans="1:67" x14ac:dyDescent="0.25">
      <c r="A55" t="s">
        <v>102</v>
      </c>
    </row>
    <row r="56" spans="1:67" x14ac:dyDescent="0.25">
      <c r="A56" t="s">
        <v>103</v>
      </c>
      <c r="B56" t="s">
        <v>1960</v>
      </c>
      <c r="I56">
        <v>1423</v>
      </c>
      <c r="J56" t="s">
        <v>1961</v>
      </c>
    </row>
    <row r="57" spans="1:67" x14ac:dyDescent="0.25">
      <c r="A57" t="s">
        <v>105</v>
      </c>
    </row>
    <row r="58" spans="1:67" x14ac:dyDescent="0.25">
      <c r="A58" t="s">
        <v>106</v>
      </c>
    </row>
    <row r="59" spans="1:67" x14ac:dyDescent="0.25">
      <c r="A59" t="s">
        <v>107</v>
      </c>
    </row>
    <row r="60" spans="1:67" x14ac:dyDescent="0.25">
      <c r="A60" t="s">
        <v>108</v>
      </c>
    </row>
    <row r="61" spans="1:67" x14ac:dyDescent="0.25">
      <c r="A61" t="s">
        <v>109</v>
      </c>
    </row>
    <row r="62" spans="1:67" x14ac:dyDescent="0.25">
      <c r="A62" t="s">
        <v>110</v>
      </c>
    </row>
    <row r="63" spans="1:67" x14ac:dyDescent="0.25">
      <c r="A63" t="s">
        <v>111</v>
      </c>
    </row>
    <row r="64" spans="1:67" x14ac:dyDescent="0.25">
      <c r="A64" t="s">
        <v>112</v>
      </c>
    </row>
    <row r="65" spans="1:50" x14ac:dyDescent="0.25">
      <c r="A65" t="s">
        <v>113</v>
      </c>
    </row>
    <row r="66" spans="1:50" x14ac:dyDescent="0.25">
      <c r="A66" t="s">
        <v>115</v>
      </c>
    </row>
    <row r="67" spans="1:50" x14ac:dyDescent="0.25">
      <c r="A67" t="s">
        <v>116</v>
      </c>
    </row>
    <row r="68" spans="1:50" x14ac:dyDescent="0.25">
      <c r="A68" t="s">
        <v>117</v>
      </c>
    </row>
    <row r="69" spans="1:50" x14ac:dyDescent="0.25">
      <c r="A69" t="s">
        <v>119</v>
      </c>
      <c r="B69">
        <v>73</v>
      </c>
      <c r="F69">
        <v>81</v>
      </c>
      <c r="I69">
        <v>57</v>
      </c>
      <c r="S69">
        <v>15</v>
      </c>
    </row>
    <row r="70" spans="1:50" x14ac:dyDescent="0.25">
      <c r="A70" t="s">
        <v>120</v>
      </c>
      <c r="B70" t="s">
        <v>854</v>
      </c>
    </row>
    <row r="71" spans="1:50" x14ac:dyDescent="0.25">
      <c r="A71" t="s">
        <v>122</v>
      </c>
    </row>
    <row r="72" spans="1:50" x14ac:dyDescent="0.25">
      <c r="A72" t="s">
        <v>123</v>
      </c>
    </row>
    <row r="73" spans="1:50" x14ac:dyDescent="0.25">
      <c r="A73" t="s">
        <v>125</v>
      </c>
      <c r="B73">
        <v>30</v>
      </c>
      <c r="F73">
        <v>167</v>
      </c>
      <c r="J73">
        <v>1890</v>
      </c>
      <c r="N73">
        <v>447</v>
      </c>
      <c r="P73">
        <v>156</v>
      </c>
      <c r="T73">
        <v>45</v>
      </c>
      <c r="U73">
        <v>38</v>
      </c>
      <c r="W73">
        <v>33</v>
      </c>
      <c r="X73">
        <v>39</v>
      </c>
      <c r="Y73">
        <v>37</v>
      </c>
      <c r="Z73">
        <v>37</v>
      </c>
      <c r="AA73">
        <v>40</v>
      </c>
    </row>
    <row r="74" spans="1:50" x14ac:dyDescent="0.25">
      <c r="A74" t="s">
        <v>126</v>
      </c>
    </row>
    <row r="75" spans="1:50" x14ac:dyDescent="0.25">
      <c r="A75" t="s">
        <v>127</v>
      </c>
      <c r="B75">
        <v>11.5</v>
      </c>
      <c r="X75">
        <v>61</v>
      </c>
    </row>
    <row r="76" spans="1:50" x14ac:dyDescent="0.25">
      <c r="A76" t="s">
        <v>128</v>
      </c>
      <c r="B76">
        <v>64</v>
      </c>
      <c r="P76">
        <v>338</v>
      </c>
      <c r="T76">
        <v>705</v>
      </c>
      <c r="AX76">
        <v>24</v>
      </c>
    </row>
    <row r="77" spans="1:50" x14ac:dyDescent="0.25">
      <c r="A77" t="s">
        <v>131</v>
      </c>
      <c r="B77" t="s">
        <v>1962</v>
      </c>
      <c r="F77">
        <v>126</v>
      </c>
    </row>
    <row r="78" spans="1:50" x14ac:dyDescent="0.25">
      <c r="A78" t="s">
        <v>133</v>
      </c>
    </row>
    <row r="79" spans="1:50" x14ac:dyDescent="0.25">
      <c r="A79" t="s">
        <v>134</v>
      </c>
      <c r="B79">
        <v>3306</v>
      </c>
    </row>
    <row r="80" spans="1:50" x14ac:dyDescent="0.25">
      <c r="A80" t="s">
        <v>136</v>
      </c>
    </row>
    <row r="81" spans="1:22" x14ac:dyDescent="0.25">
      <c r="A81" t="s">
        <v>138</v>
      </c>
      <c r="B81" t="s">
        <v>1963</v>
      </c>
      <c r="F81" t="s">
        <v>1964</v>
      </c>
      <c r="J81" t="s">
        <v>1965</v>
      </c>
      <c r="P81">
        <v>495</v>
      </c>
    </row>
    <row r="82" spans="1:22" x14ac:dyDescent="0.25">
      <c r="A82" t="s">
        <v>140</v>
      </c>
    </row>
    <row r="83" spans="1:22" x14ac:dyDescent="0.25">
      <c r="A83" t="s">
        <v>142</v>
      </c>
    </row>
    <row r="84" spans="1:22" x14ac:dyDescent="0.25">
      <c r="A84" t="s">
        <v>143</v>
      </c>
    </row>
    <row r="85" spans="1:22" x14ac:dyDescent="0.25">
      <c r="A85" t="s">
        <v>144</v>
      </c>
    </row>
    <row r="86" spans="1:22" x14ac:dyDescent="0.25">
      <c r="A86" t="s">
        <v>145</v>
      </c>
    </row>
    <row r="87" spans="1:22" x14ac:dyDescent="0.25">
      <c r="A87" t="s">
        <v>146</v>
      </c>
    </row>
    <row r="88" spans="1:22" x14ac:dyDescent="0.25">
      <c r="A88" t="s">
        <v>147</v>
      </c>
    </row>
    <row r="89" spans="1:22" x14ac:dyDescent="0.25">
      <c r="A89" t="s">
        <v>148</v>
      </c>
    </row>
    <row r="90" spans="1:22" x14ac:dyDescent="0.25">
      <c r="A90" t="s">
        <v>149</v>
      </c>
    </row>
    <row r="91" spans="1:22" x14ac:dyDescent="0.25">
      <c r="A91" t="s">
        <v>150</v>
      </c>
      <c r="B91">
        <v>1326</v>
      </c>
    </row>
    <row r="92" spans="1:22" x14ac:dyDescent="0.25">
      <c r="A92" t="s">
        <v>151</v>
      </c>
    </row>
    <row r="93" spans="1:22" x14ac:dyDescent="0.25">
      <c r="A93" t="s">
        <v>321</v>
      </c>
      <c r="B93">
        <v>1000</v>
      </c>
      <c r="V93">
        <v>103</v>
      </c>
    </row>
    <row r="94" spans="1:22" x14ac:dyDescent="0.25">
      <c r="A94" t="s">
        <v>152</v>
      </c>
      <c r="B94">
        <v>2600</v>
      </c>
      <c r="C94">
        <v>1364</v>
      </c>
      <c r="D94">
        <v>2604</v>
      </c>
    </row>
    <row r="95" spans="1:22" x14ac:dyDescent="0.25">
      <c r="A95" t="s">
        <v>153</v>
      </c>
      <c r="B95">
        <v>74</v>
      </c>
      <c r="F95">
        <v>16</v>
      </c>
      <c r="I95">
        <v>15</v>
      </c>
      <c r="J95">
        <v>774</v>
      </c>
      <c r="K95">
        <v>4458</v>
      </c>
      <c r="L95">
        <v>5586</v>
      </c>
      <c r="M95">
        <v>5945</v>
      </c>
      <c r="N95">
        <v>5322</v>
      </c>
    </row>
    <row r="96" spans="1:22" x14ac:dyDescent="0.25">
      <c r="A96" t="s">
        <v>155</v>
      </c>
      <c r="B96">
        <v>66</v>
      </c>
    </row>
    <row r="97" spans="1:62" x14ac:dyDescent="0.25">
      <c r="A97" t="s">
        <v>157</v>
      </c>
      <c r="B97">
        <v>63</v>
      </c>
      <c r="J97">
        <v>60</v>
      </c>
      <c r="T97">
        <v>21</v>
      </c>
      <c r="Z97">
        <v>13</v>
      </c>
    </row>
    <row r="98" spans="1:62" x14ac:dyDescent="0.25">
      <c r="A98" t="s">
        <v>158</v>
      </c>
      <c r="B98">
        <v>20</v>
      </c>
      <c r="F98">
        <v>13</v>
      </c>
      <c r="G98">
        <v>21</v>
      </c>
      <c r="H98">
        <v>30</v>
      </c>
      <c r="I98">
        <v>36</v>
      </c>
      <c r="J98">
        <v>32</v>
      </c>
      <c r="N98">
        <v>2195</v>
      </c>
      <c r="O98">
        <v>1171</v>
      </c>
      <c r="P98">
        <v>981</v>
      </c>
      <c r="Q98">
        <v>746</v>
      </c>
      <c r="R98">
        <v>490</v>
      </c>
      <c r="S98">
        <v>288</v>
      </c>
    </row>
    <row r="99" spans="1:62" x14ac:dyDescent="0.25">
      <c r="A99" t="s">
        <v>160</v>
      </c>
    </row>
    <row r="100" spans="1:62" x14ac:dyDescent="0.25">
      <c r="A100" t="s">
        <v>162</v>
      </c>
    </row>
    <row r="101" spans="1:62" x14ac:dyDescent="0.25">
      <c r="A101" t="s">
        <v>163</v>
      </c>
    </row>
    <row r="102" spans="1:62" x14ac:dyDescent="0.25">
      <c r="A102" t="s">
        <v>164</v>
      </c>
    </row>
    <row r="103" spans="1:62" x14ac:dyDescent="0.25">
      <c r="A103" t="s">
        <v>165</v>
      </c>
    </row>
    <row r="104" spans="1:62" x14ac:dyDescent="0.25">
      <c r="A104" t="s">
        <v>166</v>
      </c>
      <c r="B104">
        <v>83</v>
      </c>
      <c r="F104">
        <v>96</v>
      </c>
      <c r="I104">
        <v>84</v>
      </c>
    </row>
    <row r="105" spans="1:62" x14ac:dyDescent="0.25">
      <c r="A105" t="s">
        <v>167</v>
      </c>
      <c r="B105">
        <v>2215</v>
      </c>
    </row>
    <row r="106" spans="1:62" x14ac:dyDescent="0.25">
      <c r="A106" t="s">
        <v>169</v>
      </c>
    </row>
    <row r="107" spans="1:62" x14ac:dyDescent="0.25">
      <c r="A107" t="s">
        <v>170</v>
      </c>
    </row>
    <row r="108" spans="1:62" x14ac:dyDescent="0.25">
      <c r="A108" t="s">
        <v>172</v>
      </c>
    </row>
    <row r="109" spans="1:62" x14ac:dyDescent="0.25">
      <c r="A109" t="s">
        <v>173</v>
      </c>
      <c r="B109">
        <v>1639</v>
      </c>
      <c r="C109">
        <v>1054</v>
      </c>
      <c r="F109">
        <v>879</v>
      </c>
      <c r="G109">
        <v>658</v>
      </c>
      <c r="I109">
        <v>511</v>
      </c>
      <c r="J109">
        <v>241</v>
      </c>
      <c r="P109">
        <v>78</v>
      </c>
    </row>
    <row r="110" spans="1:62" x14ac:dyDescent="0.25">
      <c r="A110" t="s">
        <v>175</v>
      </c>
      <c r="B110">
        <v>6</v>
      </c>
      <c r="BA110">
        <v>12</v>
      </c>
      <c r="BB110">
        <v>150</v>
      </c>
      <c r="BC110">
        <v>57</v>
      </c>
      <c r="BD110">
        <v>42</v>
      </c>
      <c r="BE110">
        <v>97</v>
      </c>
      <c r="BF110">
        <v>90</v>
      </c>
      <c r="BG110">
        <v>15</v>
      </c>
      <c r="BH110">
        <v>12</v>
      </c>
      <c r="BI110">
        <v>18</v>
      </c>
      <c r="BJ110">
        <v>8</v>
      </c>
    </row>
    <row r="111" spans="1:62" x14ac:dyDescent="0.25">
      <c r="A111" t="s">
        <v>176</v>
      </c>
      <c r="B111">
        <v>58</v>
      </c>
    </row>
    <row r="112" spans="1:62" x14ac:dyDescent="0.25">
      <c r="A112" t="s">
        <v>177</v>
      </c>
    </row>
    <row r="113" spans="1:52" x14ac:dyDescent="0.25">
      <c r="A113" t="s">
        <v>178</v>
      </c>
    </row>
    <row r="114" spans="1:52" x14ac:dyDescent="0.25">
      <c r="A114" t="s">
        <v>179</v>
      </c>
    </row>
    <row r="115" spans="1:52" x14ac:dyDescent="0.25">
      <c r="A115" t="s">
        <v>182</v>
      </c>
    </row>
    <row r="116" spans="1:52" x14ac:dyDescent="0.25">
      <c r="A116" t="s">
        <v>183</v>
      </c>
      <c r="B116">
        <v>26</v>
      </c>
      <c r="F116">
        <v>310</v>
      </c>
      <c r="G116">
        <v>420</v>
      </c>
      <c r="I116">
        <v>140</v>
      </c>
      <c r="J116">
        <v>28</v>
      </c>
    </row>
    <row r="117" spans="1:52" x14ac:dyDescent="0.25">
      <c r="A117" t="s">
        <v>185</v>
      </c>
    </row>
    <row r="118" spans="1:52" x14ac:dyDescent="0.25">
      <c r="A118" t="s">
        <v>187</v>
      </c>
      <c r="B118">
        <v>2706</v>
      </c>
    </row>
    <row r="119" spans="1:52" x14ac:dyDescent="0.25">
      <c r="A119" t="s">
        <v>189</v>
      </c>
      <c r="F119">
        <v>979</v>
      </c>
      <c r="I119">
        <v>272</v>
      </c>
    </row>
    <row r="120" spans="1:52" x14ac:dyDescent="0.25">
      <c r="A120" t="s">
        <v>191</v>
      </c>
      <c r="B120">
        <v>35</v>
      </c>
      <c r="I120">
        <v>19</v>
      </c>
    </row>
    <row r="121" spans="1:52" x14ac:dyDescent="0.25">
      <c r="A121" t="s">
        <v>192</v>
      </c>
    </row>
    <row r="122" spans="1:52" x14ac:dyDescent="0.25">
      <c r="A122" t="s">
        <v>194</v>
      </c>
      <c r="B122">
        <v>24</v>
      </c>
      <c r="AA122">
        <v>36</v>
      </c>
    </row>
    <row r="123" spans="1:52" x14ac:dyDescent="0.25">
      <c r="A123" t="s">
        <v>196</v>
      </c>
    </row>
    <row r="124" spans="1:52" x14ac:dyDescent="0.25">
      <c r="A124" t="s">
        <v>197</v>
      </c>
      <c r="AP124">
        <v>2439</v>
      </c>
    </row>
    <row r="125" spans="1:52" x14ac:dyDescent="0.25">
      <c r="A125" t="s">
        <v>199</v>
      </c>
      <c r="B125">
        <v>27</v>
      </c>
      <c r="AZ125">
        <v>9</v>
      </c>
    </row>
    <row r="126" spans="1:52" x14ac:dyDescent="0.25">
      <c r="A126" t="s">
        <v>200</v>
      </c>
      <c r="B126" t="s">
        <v>1966</v>
      </c>
      <c r="C126" t="s">
        <v>1967</v>
      </c>
      <c r="D126" t="s">
        <v>1075</v>
      </c>
    </row>
    <row r="127" spans="1:52" x14ac:dyDescent="0.25">
      <c r="A127" t="s">
        <v>201</v>
      </c>
    </row>
    <row r="128" spans="1:52" x14ac:dyDescent="0.25">
      <c r="A128" t="s">
        <v>202</v>
      </c>
      <c r="B128">
        <v>34</v>
      </c>
      <c r="P128">
        <v>14</v>
      </c>
      <c r="Z128">
        <v>9</v>
      </c>
      <c r="AG128">
        <v>11</v>
      </c>
      <c r="AL128">
        <v>10</v>
      </c>
    </row>
    <row r="129" spans="1:23" x14ac:dyDescent="0.25">
      <c r="A129" t="s">
        <v>294</v>
      </c>
      <c r="B129">
        <v>47</v>
      </c>
    </row>
    <row r="130" spans="1:23" x14ac:dyDescent="0.25">
      <c r="A130" t="s">
        <v>207</v>
      </c>
      <c r="B130">
        <v>41</v>
      </c>
      <c r="F130">
        <v>84</v>
      </c>
      <c r="P130">
        <v>36</v>
      </c>
    </row>
    <row r="131" spans="1:23" x14ac:dyDescent="0.25">
      <c r="A131" t="s">
        <v>208</v>
      </c>
    </row>
    <row r="132" spans="1:23" x14ac:dyDescent="0.25">
      <c r="A132" t="s">
        <v>1589</v>
      </c>
    </row>
    <row r="133" spans="1:23" x14ac:dyDescent="0.25">
      <c r="A133" t="s">
        <v>209</v>
      </c>
      <c r="U133">
        <v>28</v>
      </c>
    </row>
    <row r="134" spans="1:23" x14ac:dyDescent="0.25">
      <c r="A134" t="s">
        <v>211</v>
      </c>
      <c r="W134">
        <v>31</v>
      </c>
    </row>
    <row r="135" spans="1:23" x14ac:dyDescent="0.25">
      <c r="A135" t="s">
        <v>212</v>
      </c>
      <c r="B135">
        <v>16</v>
      </c>
    </row>
    <row r="136" spans="1:23" x14ac:dyDescent="0.25">
      <c r="A136" t="s">
        <v>214</v>
      </c>
    </row>
    <row r="137" spans="1:23" x14ac:dyDescent="0.25">
      <c r="A137" t="s">
        <v>216</v>
      </c>
    </row>
    <row r="138" spans="1:23" x14ac:dyDescent="0.25">
      <c r="A138" t="s">
        <v>218</v>
      </c>
    </row>
    <row r="139" spans="1:23" x14ac:dyDescent="0.25">
      <c r="A139" t="s">
        <v>220</v>
      </c>
      <c r="B139">
        <v>31</v>
      </c>
    </row>
    <row r="140" spans="1:23" x14ac:dyDescent="0.25">
      <c r="A140" t="s">
        <v>222</v>
      </c>
    </row>
    <row r="141" spans="1:23" x14ac:dyDescent="0.25">
      <c r="A141" t="s">
        <v>224</v>
      </c>
      <c r="B141">
        <v>740</v>
      </c>
    </row>
    <row r="142" spans="1:23" x14ac:dyDescent="0.25">
      <c r="A142" t="s">
        <v>225</v>
      </c>
      <c r="B142">
        <v>50</v>
      </c>
    </row>
    <row r="143" spans="1:23" x14ac:dyDescent="0.25">
      <c r="A143" t="s">
        <v>227</v>
      </c>
      <c r="B143">
        <v>51</v>
      </c>
    </row>
    <row r="144" spans="1:23" x14ac:dyDescent="0.25">
      <c r="A144" t="s">
        <v>229</v>
      </c>
      <c r="B144">
        <v>18</v>
      </c>
    </row>
    <row r="145" spans="1:26" x14ac:dyDescent="0.25">
      <c r="A145" t="s">
        <v>231</v>
      </c>
      <c r="B145">
        <v>1425</v>
      </c>
    </row>
    <row r="146" spans="1:26" x14ac:dyDescent="0.25">
      <c r="A146" t="s">
        <v>232</v>
      </c>
      <c r="B146">
        <v>21</v>
      </c>
    </row>
    <row r="147" spans="1:26" x14ac:dyDescent="0.25">
      <c r="A147" t="s">
        <v>234</v>
      </c>
      <c r="Z147">
        <v>21</v>
      </c>
    </row>
    <row r="148" spans="1:26" x14ac:dyDescent="0.25">
      <c r="A148" t="s">
        <v>236</v>
      </c>
    </row>
    <row r="149" spans="1:26" x14ac:dyDescent="0.25">
      <c r="A149" t="s">
        <v>1322</v>
      </c>
    </row>
    <row r="150" spans="1:26" x14ac:dyDescent="0.25">
      <c r="A150" t="s">
        <v>1323</v>
      </c>
    </row>
    <row r="151" spans="1:26" x14ac:dyDescent="0.25">
      <c r="A151" t="s">
        <v>1324</v>
      </c>
    </row>
    <row r="152" spans="1:26" x14ac:dyDescent="0.25">
      <c r="A152" t="s">
        <v>1325</v>
      </c>
    </row>
    <row r="153" spans="1:26" x14ac:dyDescent="0.25">
      <c r="A153" t="s">
        <v>1326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D75"/>
  <sheetViews>
    <sheetView topLeftCell="A23" workbookViewId="0">
      <selection activeCell="C16" sqref="C16"/>
    </sheetView>
  </sheetViews>
  <sheetFormatPr defaultColWidth="9.140625" defaultRowHeight="15" x14ac:dyDescent="0.25"/>
  <cols>
    <col min="1" max="1" width="18.140625" bestFit="1" customWidth="1"/>
    <col min="2" max="2" width="7" bestFit="1" customWidth="1"/>
    <col min="3" max="3" width="81.140625" bestFit="1" customWidth="1"/>
    <col min="4" max="4" width="30.42578125" bestFit="1" customWidth="1"/>
  </cols>
  <sheetData>
    <row r="1" spans="1:4" x14ac:dyDescent="0.25">
      <c r="A1" s="25" t="s">
        <v>0</v>
      </c>
      <c r="B1" s="25" t="s">
        <v>2149</v>
      </c>
      <c r="C1" s="25" t="s">
        <v>2134</v>
      </c>
      <c r="D1" s="25" t="s">
        <v>2118</v>
      </c>
    </row>
    <row r="2" spans="1:4" x14ac:dyDescent="0.25">
      <c r="A2" t="s">
        <v>11</v>
      </c>
      <c r="B2" t="s">
        <v>2149</v>
      </c>
      <c r="C2" t="s">
        <v>2147</v>
      </c>
      <c r="D2">
        <v>1</v>
      </c>
    </row>
    <row r="3" spans="1:4" x14ac:dyDescent="0.25">
      <c r="A3" t="s">
        <v>12</v>
      </c>
      <c r="B3" t="s">
        <v>2149</v>
      </c>
      <c r="C3" t="s">
        <v>656</v>
      </c>
      <c r="D3">
        <v>1</v>
      </c>
    </row>
    <row r="4" spans="1:4" x14ac:dyDescent="0.25">
      <c r="A4" t="s">
        <v>16</v>
      </c>
      <c r="B4" t="s">
        <v>2149</v>
      </c>
      <c r="C4" t="s">
        <v>2147</v>
      </c>
      <c r="D4">
        <v>1</v>
      </c>
    </row>
    <row r="5" spans="1:4" x14ac:dyDescent="0.25">
      <c r="A5" t="s">
        <v>20</v>
      </c>
      <c r="B5" t="s">
        <v>2149</v>
      </c>
      <c r="C5" t="s">
        <v>2150</v>
      </c>
      <c r="D5">
        <v>2</v>
      </c>
    </row>
    <row r="6" spans="1:4" ht="45" x14ac:dyDescent="0.25">
      <c r="A6" t="s">
        <v>22</v>
      </c>
      <c r="B6" s="27" t="s">
        <v>2149</v>
      </c>
      <c r="C6" s="21" t="s">
        <v>2379</v>
      </c>
      <c r="D6">
        <v>19</v>
      </c>
    </row>
    <row r="7" spans="1:4" x14ac:dyDescent="0.25">
      <c r="A7" t="s">
        <v>24</v>
      </c>
      <c r="B7" t="s">
        <v>2149</v>
      </c>
      <c r="C7" t="s">
        <v>2147</v>
      </c>
      <c r="D7">
        <v>1</v>
      </c>
    </row>
    <row r="8" spans="1:4" x14ac:dyDescent="0.25">
      <c r="A8" t="s">
        <v>26</v>
      </c>
      <c r="B8" t="s">
        <v>2149</v>
      </c>
      <c r="C8" t="s">
        <v>2151</v>
      </c>
      <c r="D8">
        <v>8</v>
      </c>
    </row>
    <row r="9" spans="1:4" x14ac:dyDescent="0.25">
      <c r="A9" t="s">
        <v>30</v>
      </c>
      <c r="B9" t="s">
        <v>2149</v>
      </c>
      <c r="C9" t="s">
        <v>468</v>
      </c>
      <c r="D9">
        <v>1</v>
      </c>
    </row>
    <row r="10" spans="1:4" x14ac:dyDescent="0.25">
      <c r="A10" t="s">
        <v>32</v>
      </c>
      <c r="B10" t="s">
        <v>2149</v>
      </c>
      <c r="C10" t="s">
        <v>2572</v>
      </c>
      <c r="D10">
        <v>3</v>
      </c>
    </row>
    <row r="11" spans="1:4" x14ac:dyDescent="0.25">
      <c r="A11" t="s">
        <v>34</v>
      </c>
      <c r="B11" t="s">
        <v>2149</v>
      </c>
      <c r="C11" t="s">
        <v>2152</v>
      </c>
      <c r="D11">
        <v>6</v>
      </c>
    </row>
    <row r="12" spans="1:4" x14ac:dyDescent="0.25">
      <c r="A12" t="s">
        <v>37</v>
      </c>
      <c r="B12" t="s">
        <v>2149</v>
      </c>
      <c r="C12" t="s">
        <v>2147</v>
      </c>
      <c r="D12">
        <v>1</v>
      </c>
    </row>
    <row r="13" spans="1:4" x14ac:dyDescent="0.25">
      <c r="A13" t="s">
        <v>40</v>
      </c>
      <c r="B13" t="s">
        <v>2149</v>
      </c>
      <c r="C13" t="s">
        <v>2147</v>
      </c>
      <c r="D13">
        <v>1</v>
      </c>
    </row>
    <row r="14" spans="1:4" x14ac:dyDescent="0.25">
      <c r="A14" t="s">
        <v>44</v>
      </c>
      <c r="B14" t="s">
        <v>2149</v>
      </c>
      <c r="C14" t="s">
        <v>2147</v>
      </c>
      <c r="D14">
        <v>1</v>
      </c>
    </row>
    <row r="15" spans="1:4" x14ac:dyDescent="0.25">
      <c r="A15" t="s">
        <v>46</v>
      </c>
      <c r="B15" t="s">
        <v>2149</v>
      </c>
      <c r="C15" t="s">
        <v>2150</v>
      </c>
      <c r="D15">
        <v>2</v>
      </c>
    </row>
    <row r="16" spans="1:4" x14ac:dyDescent="0.25">
      <c r="A16" t="s">
        <v>50</v>
      </c>
      <c r="B16" t="s">
        <v>2149</v>
      </c>
      <c r="C16" t="s">
        <v>2153</v>
      </c>
      <c r="D16">
        <v>3</v>
      </c>
    </row>
    <row r="17" spans="1:4" x14ac:dyDescent="0.25">
      <c r="A17" t="s">
        <v>53</v>
      </c>
      <c r="B17" t="s">
        <v>2149</v>
      </c>
      <c r="C17" t="s">
        <v>2147</v>
      </c>
      <c r="D17">
        <v>1</v>
      </c>
    </row>
    <row r="18" spans="1:4" x14ac:dyDescent="0.25">
      <c r="A18" t="s">
        <v>60</v>
      </c>
      <c r="B18" t="s">
        <v>2149</v>
      </c>
      <c r="C18" t="s">
        <v>2147</v>
      </c>
      <c r="D18">
        <v>1</v>
      </c>
    </row>
    <row r="19" spans="1:4" x14ac:dyDescent="0.25">
      <c r="A19" t="s">
        <v>62</v>
      </c>
      <c r="B19" t="s">
        <v>2149</v>
      </c>
      <c r="C19" t="s">
        <v>2150</v>
      </c>
      <c r="D19">
        <v>2</v>
      </c>
    </row>
    <row r="20" spans="1:4" x14ac:dyDescent="0.25">
      <c r="A20" t="s">
        <v>66</v>
      </c>
      <c r="B20" t="s">
        <v>2149</v>
      </c>
      <c r="C20" t="s">
        <v>2154</v>
      </c>
      <c r="D20">
        <v>3</v>
      </c>
    </row>
    <row r="21" spans="1:4" x14ac:dyDescent="0.25">
      <c r="A21" t="s">
        <v>68</v>
      </c>
      <c r="B21" t="s">
        <v>2149</v>
      </c>
      <c r="C21" t="s">
        <v>2147</v>
      </c>
      <c r="D21">
        <v>1</v>
      </c>
    </row>
    <row r="22" spans="1:4" x14ac:dyDescent="0.25">
      <c r="A22" t="s">
        <v>71</v>
      </c>
      <c r="B22" t="s">
        <v>2149</v>
      </c>
      <c r="C22" t="s">
        <v>2147</v>
      </c>
      <c r="D22">
        <v>1</v>
      </c>
    </row>
    <row r="23" spans="1:4" x14ac:dyDescent="0.25">
      <c r="A23" t="s">
        <v>74</v>
      </c>
      <c r="B23" t="s">
        <v>2149</v>
      </c>
      <c r="C23" t="s">
        <v>2155</v>
      </c>
      <c r="D23">
        <v>4</v>
      </c>
    </row>
    <row r="24" spans="1:4" x14ac:dyDescent="0.25">
      <c r="A24" t="s">
        <v>76</v>
      </c>
      <c r="B24" t="s">
        <v>2149</v>
      </c>
      <c r="C24" t="s">
        <v>2156</v>
      </c>
      <c r="D24">
        <v>2</v>
      </c>
    </row>
    <row r="25" spans="1:4" x14ac:dyDescent="0.25">
      <c r="A25" t="s">
        <v>78</v>
      </c>
      <c r="B25" t="s">
        <v>2149</v>
      </c>
      <c r="C25" t="s">
        <v>2157</v>
      </c>
      <c r="D25">
        <v>7</v>
      </c>
    </row>
    <row r="26" spans="1:4" x14ac:dyDescent="0.25">
      <c r="A26" t="s">
        <v>80</v>
      </c>
      <c r="B26" t="s">
        <v>2149</v>
      </c>
      <c r="C26" t="s">
        <v>2158</v>
      </c>
      <c r="D26">
        <v>4</v>
      </c>
    </row>
    <row r="27" spans="1:4" x14ac:dyDescent="0.25">
      <c r="A27" t="s">
        <v>82</v>
      </c>
      <c r="B27" t="s">
        <v>2149</v>
      </c>
      <c r="C27" t="s">
        <v>2159</v>
      </c>
      <c r="D27">
        <v>2</v>
      </c>
    </row>
    <row r="28" spans="1:4" x14ac:dyDescent="0.25">
      <c r="A28" t="s">
        <v>85</v>
      </c>
      <c r="B28" t="s">
        <v>2149</v>
      </c>
      <c r="C28" t="s">
        <v>2160</v>
      </c>
      <c r="D28">
        <v>2</v>
      </c>
    </row>
    <row r="29" spans="1:4" x14ac:dyDescent="0.25">
      <c r="A29" t="s">
        <v>87</v>
      </c>
      <c r="B29" t="s">
        <v>2149</v>
      </c>
      <c r="C29" t="s">
        <v>2161</v>
      </c>
      <c r="D29">
        <v>4</v>
      </c>
    </row>
    <row r="30" spans="1:4" x14ac:dyDescent="0.25">
      <c r="A30" t="s">
        <v>89</v>
      </c>
      <c r="B30" t="s">
        <v>2149</v>
      </c>
      <c r="C30" t="s">
        <v>2162</v>
      </c>
      <c r="D30">
        <v>3</v>
      </c>
    </row>
    <row r="31" spans="1:4" x14ac:dyDescent="0.25">
      <c r="A31" t="s">
        <v>93</v>
      </c>
      <c r="B31" t="s">
        <v>2149</v>
      </c>
      <c r="C31" t="s">
        <v>2163</v>
      </c>
      <c r="D31">
        <v>5</v>
      </c>
    </row>
    <row r="32" spans="1:4" x14ac:dyDescent="0.25">
      <c r="A32" t="s">
        <v>95</v>
      </c>
      <c r="B32" t="s">
        <v>2149</v>
      </c>
      <c r="C32" t="s">
        <v>2186</v>
      </c>
      <c r="D32">
        <v>6</v>
      </c>
    </row>
    <row r="33" spans="1:4" x14ac:dyDescent="0.25">
      <c r="A33" s="26" t="s">
        <v>103</v>
      </c>
      <c r="B33" s="26" t="s">
        <v>2149</v>
      </c>
      <c r="C33" t="s">
        <v>2164</v>
      </c>
      <c r="D33">
        <v>3</v>
      </c>
    </row>
    <row r="34" spans="1:4" x14ac:dyDescent="0.25">
      <c r="A34" s="26" t="s">
        <v>119</v>
      </c>
      <c r="B34" s="26" t="s">
        <v>2149</v>
      </c>
      <c r="C34" t="s">
        <v>2165</v>
      </c>
      <c r="D34">
        <v>4</v>
      </c>
    </row>
    <row r="35" spans="1:4" x14ac:dyDescent="0.25">
      <c r="A35" s="26" t="s">
        <v>120</v>
      </c>
      <c r="B35" s="26" t="s">
        <v>2149</v>
      </c>
      <c r="C35" t="s">
        <v>2147</v>
      </c>
      <c r="D35">
        <v>1</v>
      </c>
    </row>
    <row r="36" spans="1:4" x14ac:dyDescent="0.25">
      <c r="A36" t="s">
        <v>125</v>
      </c>
      <c r="B36" t="s">
        <v>2149</v>
      </c>
      <c r="C36" t="s">
        <v>2166</v>
      </c>
      <c r="D36">
        <v>12</v>
      </c>
    </row>
    <row r="37" spans="1:4" x14ac:dyDescent="0.25">
      <c r="A37" t="s">
        <v>127</v>
      </c>
      <c r="B37" t="s">
        <v>2149</v>
      </c>
      <c r="C37" t="s">
        <v>2167</v>
      </c>
      <c r="D37">
        <v>2</v>
      </c>
    </row>
    <row r="38" spans="1:4" x14ac:dyDescent="0.25">
      <c r="A38" t="s">
        <v>128</v>
      </c>
      <c r="B38" t="s">
        <v>2149</v>
      </c>
      <c r="C38" t="s">
        <v>2168</v>
      </c>
      <c r="D38">
        <v>4</v>
      </c>
    </row>
    <row r="39" spans="1:4" x14ac:dyDescent="0.25">
      <c r="A39" t="s">
        <v>131</v>
      </c>
      <c r="B39" t="s">
        <v>2149</v>
      </c>
      <c r="C39" t="s">
        <v>2169</v>
      </c>
      <c r="D39">
        <v>2</v>
      </c>
    </row>
    <row r="40" spans="1:4" x14ac:dyDescent="0.25">
      <c r="A40" t="s">
        <v>134</v>
      </c>
      <c r="B40" t="s">
        <v>2149</v>
      </c>
      <c r="C40" t="s">
        <v>2147</v>
      </c>
      <c r="D40">
        <v>1</v>
      </c>
    </row>
    <row r="41" spans="1:4" x14ac:dyDescent="0.25">
      <c r="A41" t="s">
        <v>138</v>
      </c>
      <c r="B41" t="s">
        <v>2149</v>
      </c>
      <c r="C41" t="s">
        <v>2170</v>
      </c>
      <c r="D41">
        <v>4</v>
      </c>
    </row>
    <row r="42" spans="1:4" x14ac:dyDescent="0.25">
      <c r="A42" t="s">
        <v>150</v>
      </c>
      <c r="B42" t="s">
        <v>2149</v>
      </c>
      <c r="C42" t="s">
        <v>2147</v>
      </c>
      <c r="D42">
        <v>1</v>
      </c>
    </row>
    <row r="43" spans="1:4" x14ac:dyDescent="0.25">
      <c r="A43" t="s">
        <v>321</v>
      </c>
      <c r="B43" t="s">
        <v>2149</v>
      </c>
      <c r="C43" t="s">
        <v>2171</v>
      </c>
      <c r="D43">
        <v>2</v>
      </c>
    </row>
    <row r="44" spans="1:4" x14ac:dyDescent="0.25">
      <c r="A44" t="s">
        <v>152</v>
      </c>
      <c r="B44" t="s">
        <v>2149</v>
      </c>
      <c r="C44" t="s">
        <v>2162</v>
      </c>
      <c r="D44">
        <v>3</v>
      </c>
    </row>
    <row r="45" spans="1:4" x14ac:dyDescent="0.25">
      <c r="A45" t="s">
        <v>153</v>
      </c>
      <c r="B45" t="s">
        <v>2149</v>
      </c>
      <c r="C45" t="s">
        <v>2172</v>
      </c>
      <c r="D45">
        <v>8</v>
      </c>
    </row>
    <row r="46" spans="1:4" x14ac:dyDescent="0.25">
      <c r="A46" t="s">
        <v>155</v>
      </c>
      <c r="B46" t="s">
        <v>2149</v>
      </c>
      <c r="C46" t="s">
        <v>2147</v>
      </c>
      <c r="D46">
        <v>1</v>
      </c>
    </row>
    <row r="47" spans="1:4" x14ac:dyDescent="0.25">
      <c r="A47" t="s">
        <v>157</v>
      </c>
      <c r="B47" t="s">
        <v>2149</v>
      </c>
      <c r="C47" t="s">
        <v>2173</v>
      </c>
      <c r="D47">
        <v>4</v>
      </c>
    </row>
    <row r="48" spans="1:4" x14ac:dyDescent="0.25">
      <c r="A48" t="s">
        <v>158</v>
      </c>
      <c r="B48" t="s">
        <v>2149</v>
      </c>
      <c r="C48" t="s">
        <v>2188</v>
      </c>
      <c r="D48">
        <v>12</v>
      </c>
    </row>
    <row r="49" spans="1:4" x14ac:dyDescent="0.25">
      <c r="A49" t="s">
        <v>166</v>
      </c>
      <c r="B49" t="s">
        <v>2149</v>
      </c>
      <c r="C49" t="s">
        <v>2174</v>
      </c>
      <c r="D49">
        <v>3</v>
      </c>
    </row>
    <row r="50" spans="1:4" x14ac:dyDescent="0.25">
      <c r="A50" t="s">
        <v>167</v>
      </c>
      <c r="B50" t="s">
        <v>2149</v>
      </c>
      <c r="C50" t="s">
        <v>2147</v>
      </c>
      <c r="D50">
        <v>1</v>
      </c>
    </row>
    <row r="51" spans="1:4" x14ac:dyDescent="0.25">
      <c r="A51" s="26" t="s">
        <v>173</v>
      </c>
      <c r="B51" s="26" t="s">
        <v>2149</v>
      </c>
      <c r="C51" t="s">
        <v>2175</v>
      </c>
      <c r="D51">
        <v>7</v>
      </c>
    </row>
    <row r="52" spans="1:4" x14ac:dyDescent="0.25">
      <c r="A52" s="26" t="s">
        <v>175</v>
      </c>
      <c r="B52" s="26" t="s">
        <v>2149</v>
      </c>
      <c r="C52" t="s">
        <v>2176</v>
      </c>
      <c r="D52">
        <v>11</v>
      </c>
    </row>
    <row r="53" spans="1:4" x14ac:dyDescent="0.25">
      <c r="A53" t="s">
        <v>176</v>
      </c>
      <c r="B53" t="s">
        <v>2149</v>
      </c>
      <c r="C53" t="s">
        <v>2147</v>
      </c>
      <c r="D53">
        <v>1</v>
      </c>
    </row>
    <row r="54" spans="1:4" x14ac:dyDescent="0.25">
      <c r="A54" t="s">
        <v>183</v>
      </c>
      <c r="B54" t="s">
        <v>2149</v>
      </c>
      <c r="C54" t="s">
        <v>2177</v>
      </c>
      <c r="D54">
        <v>5</v>
      </c>
    </row>
    <row r="55" spans="1:4" x14ac:dyDescent="0.25">
      <c r="A55" t="s">
        <v>187</v>
      </c>
      <c r="B55" t="s">
        <v>2149</v>
      </c>
      <c r="C55" t="s">
        <v>2147</v>
      </c>
      <c r="D55">
        <v>1</v>
      </c>
    </row>
    <row r="56" spans="1:4" x14ac:dyDescent="0.25">
      <c r="A56" t="s">
        <v>189</v>
      </c>
      <c r="B56" t="s">
        <v>2149</v>
      </c>
      <c r="C56" t="s">
        <v>2178</v>
      </c>
      <c r="D56">
        <v>2</v>
      </c>
    </row>
    <row r="57" spans="1:4" x14ac:dyDescent="0.25">
      <c r="A57" t="s">
        <v>191</v>
      </c>
      <c r="B57" t="s">
        <v>2149</v>
      </c>
      <c r="C57" t="s">
        <v>2179</v>
      </c>
      <c r="D57">
        <v>2</v>
      </c>
    </row>
    <row r="58" spans="1:4" x14ac:dyDescent="0.25">
      <c r="A58" t="s">
        <v>194</v>
      </c>
      <c r="B58" t="s">
        <v>2149</v>
      </c>
      <c r="C58" t="s">
        <v>2159</v>
      </c>
      <c r="D58">
        <v>2</v>
      </c>
    </row>
    <row r="59" spans="1:4" x14ac:dyDescent="0.25">
      <c r="A59" t="s">
        <v>197</v>
      </c>
      <c r="B59" t="s">
        <v>2180</v>
      </c>
      <c r="C59" t="s">
        <v>1042</v>
      </c>
      <c r="D59">
        <v>1</v>
      </c>
    </row>
    <row r="60" spans="1:4" x14ac:dyDescent="0.25">
      <c r="A60" t="s">
        <v>199</v>
      </c>
      <c r="B60" t="s">
        <v>2149</v>
      </c>
      <c r="C60" t="s">
        <v>2181</v>
      </c>
      <c r="D60">
        <v>2</v>
      </c>
    </row>
    <row r="61" spans="1:4" x14ac:dyDescent="0.25">
      <c r="A61" t="s">
        <v>200</v>
      </c>
      <c r="B61" t="s">
        <v>2149</v>
      </c>
      <c r="C61" t="s">
        <v>2162</v>
      </c>
      <c r="D61">
        <v>3</v>
      </c>
    </row>
    <row r="62" spans="1:4" x14ac:dyDescent="0.25">
      <c r="A62" t="s">
        <v>202</v>
      </c>
      <c r="B62" t="s">
        <v>2149</v>
      </c>
      <c r="C62" t="s">
        <v>2182</v>
      </c>
      <c r="D62">
        <v>5</v>
      </c>
    </row>
    <row r="63" spans="1:4" x14ac:dyDescent="0.25">
      <c r="A63" t="s">
        <v>294</v>
      </c>
      <c r="B63" t="s">
        <v>2149</v>
      </c>
      <c r="C63" t="s">
        <v>2147</v>
      </c>
      <c r="D63">
        <v>1</v>
      </c>
    </row>
    <row r="64" spans="1:4" x14ac:dyDescent="0.25">
      <c r="A64" t="s">
        <v>207</v>
      </c>
      <c r="B64" t="s">
        <v>2149</v>
      </c>
      <c r="C64" t="s">
        <v>2183</v>
      </c>
      <c r="D64">
        <v>3</v>
      </c>
    </row>
    <row r="65" spans="1:4" x14ac:dyDescent="0.25">
      <c r="A65" t="s">
        <v>209</v>
      </c>
      <c r="B65" t="s">
        <v>2149</v>
      </c>
      <c r="C65" t="s">
        <v>422</v>
      </c>
      <c r="D65">
        <v>1</v>
      </c>
    </row>
    <row r="66" spans="1:4" x14ac:dyDescent="0.25">
      <c r="A66" t="s">
        <v>211</v>
      </c>
      <c r="B66" t="s">
        <v>2149</v>
      </c>
      <c r="C66" t="s">
        <v>505</v>
      </c>
      <c r="D66">
        <v>1</v>
      </c>
    </row>
    <row r="67" spans="1:4" x14ac:dyDescent="0.25">
      <c r="A67" t="s">
        <v>212</v>
      </c>
      <c r="B67" t="s">
        <v>2149</v>
      </c>
      <c r="C67" t="s">
        <v>2147</v>
      </c>
      <c r="D67">
        <v>1</v>
      </c>
    </row>
    <row r="68" spans="1:4" x14ac:dyDescent="0.25">
      <c r="A68" t="s">
        <v>220</v>
      </c>
      <c r="B68" t="s">
        <v>2149</v>
      </c>
      <c r="C68" t="s">
        <v>2147</v>
      </c>
      <c r="D68">
        <v>1</v>
      </c>
    </row>
    <row r="69" spans="1:4" x14ac:dyDescent="0.25">
      <c r="A69" t="s">
        <v>224</v>
      </c>
      <c r="B69" t="s">
        <v>2149</v>
      </c>
      <c r="C69" t="s">
        <v>2147</v>
      </c>
      <c r="D69">
        <v>1</v>
      </c>
    </row>
    <row r="70" spans="1:4" x14ac:dyDescent="0.25">
      <c r="A70" t="s">
        <v>225</v>
      </c>
      <c r="B70" t="s">
        <v>2149</v>
      </c>
      <c r="C70" t="s">
        <v>2147</v>
      </c>
      <c r="D70">
        <v>1</v>
      </c>
    </row>
    <row r="71" spans="1:4" x14ac:dyDescent="0.25">
      <c r="A71" t="s">
        <v>227</v>
      </c>
      <c r="B71" t="s">
        <v>2149</v>
      </c>
      <c r="C71" t="s">
        <v>2147</v>
      </c>
      <c r="D71">
        <v>1</v>
      </c>
    </row>
    <row r="72" spans="1:4" x14ac:dyDescent="0.25">
      <c r="A72" t="s">
        <v>229</v>
      </c>
      <c r="B72" t="s">
        <v>2149</v>
      </c>
      <c r="C72" t="s">
        <v>2147</v>
      </c>
      <c r="D72">
        <v>1</v>
      </c>
    </row>
    <row r="73" spans="1:4" x14ac:dyDescent="0.25">
      <c r="A73" t="s">
        <v>231</v>
      </c>
      <c r="B73" t="s">
        <v>2149</v>
      </c>
      <c r="C73" t="s">
        <v>2147</v>
      </c>
      <c r="D73">
        <v>1</v>
      </c>
    </row>
    <row r="74" spans="1:4" x14ac:dyDescent="0.25">
      <c r="A74" t="s">
        <v>232</v>
      </c>
      <c r="B74" t="s">
        <v>2149</v>
      </c>
      <c r="C74" t="s">
        <v>2147</v>
      </c>
      <c r="D74">
        <v>1</v>
      </c>
    </row>
    <row r="75" spans="1:4" x14ac:dyDescent="0.25">
      <c r="A75" t="s">
        <v>234</v>
      </c>
      <c r="B75" t="s">
        <v>2149</v>
      </c>
      <c r="C75" t="s">
        <v>424</v>
      </c>
      <c r="D75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54"/>
  <sheetViews>
    <sheetView topLeftCell="AZ1" workbookViewId="0">
      <selection activeCell="B1" sqref="B1:BN1"/>
    </sheetView>
  </sheetViews>
  <sheetFormatPr defaultColWidth="9.140625" defaultRowHeight="15" x14ac:dyDescent="0.25"/>
  <cols>
    <col min="1" max="1" width="18.140625" bestFit="1" customWidth="1"/>
    <col min="2" max="2" width="14" customWidth="1"/>
    <col min="3" max="4" width="12.140625" customWidth="1"/>
    <col min="5" max="5" width="9.5703125" customWidth="1"/>
    <col min="6" max="6" width="12.140625" customWidth="1"/>
    <col min="7" max="7" width="11.85546875" customWidth="1"/>
    <col min="8" max="9" width="9.5703125" customWidth="1"/>
    <col min="10" max="12" width="12.140625" customWidth="1"/>
    <col min="13" max="13" width="9.5703125" customWidth="1"/>
    <col min="14" max="14" width="12.140625" customWidth="1"/>
    <col min="15" max="15" width="9.5703125" customWidth="1"/>
    <col min="16" max="17" width="12.140625" customWidth="1"/>
    <col min="18" max="20" width="9.5703125" customWidth="1"/>
    <col min="21" max="49" width="10.5703125" customWidth="1"/>
    <col min="50" max="51" width="12.28515625" customWidth="1"/>
    <col min="52" max="54" width="13.28515625" customWidth="1"/>
    <col min="55" max="55" width="12.28515625" customWidth="1"/>
    <col min="56" max="58" width="13.28515625" customWidth="1"/>
    <col min="59" max="61" width="14.28515625" customWidth="1"/>
    <col min="62" max="62" width="14.140625" customWidth="1"/>
    <col min="63" max="65" width="12.5703125" customWidth="1"/>
    <col min="66" max="66" width="19.85546875" customWidth="1"/>
  </cols>
  <sheetData>
    <row r="1" spans="1:66" x14ac:dyDescent="0.25">
      <c r="A1" t="s">
        <v>0</v>
      </c>
      <c r="B1" t="s">
        <v>2190</v>
      </c>
      <c r="C1" t="s">
        <v>1789</v>
      </c>
      <c r="D1" t="s">
        <v>1790</v>
      </c>
      <c r="E1" t="s">
        <v>637</v>
      </c>
      <c r="F1" t="s">
        <v>1794</v>
      </c>
      <c r="G1" t="s">
        <v>2191</v>
      </c>
      <c r="H1" t="s">
        <v>463</v>
      </c>
      <c r="I1" t="s">
        <v>840</v>
      </c>
      <c r="J1" t="s">
        <v>1796</v>
      </c>
      <c r="K1" t="s">
        <v>1797</v>
      </c>
      <c r="L1" t="s">
        <v>1798</v>
      </c>
      <c r="M1" t="s">
        <v>469</v>
      </c>
      <c r="N1" t="s">
        <v>1799</v>
      </c>
      <c r="O1" t="s">
        <v>771</v>
      </c>
      <c r="P1" t="s">
        <v>1800</v>
      </c>
      <c r="Q1" t="s">
        <v>1801</v>
      </c>
      <c r="R1" t="s">
        <v>474</v>
      </c>
      <c r="S1" t="s">
        <v>482</v>
      </c>
      <c r="T1" t="s">
        <v>439</v>
      </c>
      <c r="U1" t="s">
        <v>440</v>
      </c>
      <c r="V1" t="s">
        <v>506</v>
      </c>
      <c r="W1" t="s">
        <v>513</v>
      </c>
      <c r="X1" t="s">
        <v>599</v>
      </c>
      <c r="Y1" t="s">
        <v>441</v>
      </c>
      <c r="Z1" t="s">
        <v>442</v>
      </c>
      <c r="AA1" t="s">
        <v>443</v>
      </c>
      <c r="AB1" t="s">
        <v>444</v>
      </c>
      <c r="AC1" t="s">
        <v>445</v>
      </c>
      <c r="AD1" t="s">
        <v>446</v>
      </c>
      <c r="AE1" t="s">
        <v>447</v>
      </c>
      <c r="AF1" t="s">
        <v>448</v>
      </c>
      <c r="AG1" t="s">
        <v>449</v>
      </c>
      <c r="AH1" t="s">
        <v>450</v>
      </c>
      <c r="AI1" t="s">
        <v>514</v>
      </c>
      <c r="AJ1" t="s">
        <v>488</v>
      </c>
      <c r="AK1" t="s">
        <v>496</v>
      </c>
      <c r="AL1" t="s">
        <v>451</v>
      </c>
      <c r="AM1" t="s">
        <v>452</v>
      </c>
      <c r="AN1" t="s">
        <v>453</v>
      </c>
      <c r="AO1" t="s">
        <v>1043</v>
      </c>
      <c r="AP1" t="s">
        <v>739</v>
      </c>
      <c r="AQ1" t="s">
        <v>454</v>
      </c>
      <c r="AR1" t="s">
        <v>743</v>
      </c>
      <c r="AS1" t="s">
        <v>751</v>
      </c>
      <c r="AT1" t="s">
        <v>455</v>
      </c>
      <c r="AU1" t="s">
        <v>519</v>
      </c>
      <c r="AV1" t="s">
        <v>889</v>
      </c>
      <c r="AW1" t="s">
        <v>520</v>
      </c>
      <c r="AX1" t="s">
        <v>1052</v>
      </c>
      <c r="AY1" t="s">
        <v>957</v>
      </c>
      <c r="AZ1" t="s">
        <v>958</v>
      </c>
      <c r="BA1" t="s">
        <v>959</v>
      </c>
      <c r="BB1" t="s">
        <v>960</v>
      </c>
      <c r="BC1" t="s">
        <v>961</v>
      </c>
      <c r="BD1" t="s">
        <v>962</v>
      </c>
      <c r="BE1" t="s">
        <v>963</v>
      </c>
      <c r="BF1" t="s">
        <v>964</v>
      </c>
      <c r="BG1" t="s">
        <v>965</v>
      </c>
      <c r="BH1" t="s">
        <v>966</v>
      </c>
      <c r="BI1" t="s">
        <v>807</v>
      </c>
      <c r="BJ1" t="s">
        <v>808</v>
      </c>
      <c r="BK1" t="s">
        <v>2192</v>
      </c>
      <c r="BL1" t="s">
        <v>2193</v>
      </c>
      <c r="BM1" t="s">
        <v>2194</v>
      </c>
      <c r="BN1" t="s">
        <v>2189</v>
      </c>
    </row>
    <row r="2" spans="1:66" x14ac:dyDescent="0.25">
      <c r="A2" t="s">
        <v>6</v>
      </c>
    </row>
    <row r="3" spans="1:66" x14ac:dyDescent="0.25">
      <c r="A3" t="s">
        <v>11</v>
      </c>
      <c r="B3">
        <v>24</v>
      </c>
    </row>
    <row r="4" spans="1:66" x14ac:dyDescent="0.25">
      <c r="A4" t="s">
        <v>12</v>
      </c>
      <c r="E4">
        <v>32</v>
      </c>
    </row>
    <row r="5" spans="1:66" x14ac:dyDescent="0.25">
      <c r="A5" t="s">
        <v>16</v>
      </c>
      <c r="B5">
        <v>28</v>
      </c>
    </row>
    <row r="6" spans="1:66" x14ac:dyDescent="0.25">
      <c r="A6" t="s">
        <v>18</v>
      </c>
    </row>
    <row r="7" spans="1:66" x14ac:dyDescent="0.25">
      <c r="A7" t="s">
        <v>20</v>
      </c>
      <c r="B7">
        <v>849</v>
      </c>
    </row>
    <row r="8" spans="1:66" x14ac:dyDescent="0.25">
      <c r="A8" t="s">
        <v>22</v>
      </c>
      <c r="B8">
        <v>27</v>
      </c>
      <c r="T8">
        <v>36</v>
      </c>
      <c r="U8">
        <v>58</v>
      </c>
      <c r="Y8">
        <v>110</v>
      </c>
      <c r="Z8">
        <v>205</v>
      </c>
      <c r="AA8">
        <v>277</v>
      </c>
      <c r="AB8">
        <v>343</v>
      </c>
      <c r="AC8">
        <v>302</v>
      </c>
      <c r="AD8">
        <v>278</v>
      </c>
      <c r="AE8">
        <v>241</v>
      </c>
      <c r="AF8">
        <v>195</v>
      </c>
      <c r="AG8">
        <v>145</v>
      </c>
      <c r="AH8">
        <v>102</v>
      </c>
      <c r="AL8">
        <v>48</v>
      </c>
      <c r="AM8">
        <v>29</v>
      </c>
      <c r="AN8">
        <v>23</v>
      </c>
      <c r="AQ8">
        <v>22</v>
      </c>
      <c r="AT8">
        <v>21</v>
      </c>
      <c r="BN8">
        <v>343</v>
      </c>
    </row>
    <row r="9" spans="1:66" x14ac:dyDescent="0.25">
      <c r="A9" t="s">
        <v>24</v>
      </c>
      <c r="B9">
        <v>128</v>
      </c>
    </row>
    <row r="10" spans="1:66" x14ac:dyDescent="0.25">
      <c r="A10" t="s">
        <v>26</v>
      </c>
      <c r="B10">
        <v>24.6</v>
      </c>
      <c r="H10">
        <v>8.6</v>
      </c>
      <c r="M10">
        <v>4298</v>
      </c>
      <c r="R10">
        <v>3607</v>
      </c>
      <c r="S10">
        <v>2361</v>
      </c>
      <c r="Z10">
        <v>274</v>
      </c>
      <c r="AJ10">
        <v>186</v>
      </c>
      <c r="AK10">
        <v>76</v>
      </c>
    </row>
    <row r="11" spans="1:66" x14ac:dyDescent="0.25">
      <c r="A11" t="s">
        <v>28</v>
      </c>
    </row>
    <row r="12" spans="1:66" x14ac:dyDescent="0.25">
      <c r="A12" t="s">
        <v>30</v>
      </c>
      <c r="M12">
        <v>64</v>
      </c>
    </row>
    <row r="13" spans="1:66" x14ac:dyDescent="0.25">
      <c r="A13" t="s">
        <v>32</v>
      </c>
      <c r="B13">
        <v>6200</v>
      </c>
      <c r="V13">
        <v>281</v>
      </c>
    </row>
    <row r="14" spans="1:66" x14ac:dyDescent="0.25">
      <c r="A14" t="s">
        <v>34</v>
      </c>
      <c r="B14">
        <v>34</v>
      </c>
      <c r="W14">
        <v>49</v>
      </c>
      <c r="AF14">
        <v>190</v>
      </c>
      <c r="AI14">
        <v>111</v>
      </c>
      <c r="AU14">
        <v>30</v>
      </c>
      <c r="AW14">
        <v>50</v>
      </c>
    </row>
    <row r="15" spans="1:66" x14ac:dyDescent="0.25">
      <c r="A15" t="s">
        <v>36</v>
      </c>
    </row>
    <row r="16" spans="1:66" x14ac:dyDescent="0.25">
      <c r="A16" t="s">
        <v>37</v>
      </c>
      <c r="B16">
        <v>27</v>
      </c>
    </row>
    <row r="17" spans="1:29" x14ac:dyDescent="0.25">
      <c r="A17" t="s">
        <v>40</v>
      </c>
      <c r="B17">
        <v>193</v>
      </c>
    </row>
    <row r="18" spans="1:29" x14ac:dyDescent="0.25">
      <c r="A18" t="s">
        <v>42</v>
      </c>
    </row>
    <row r="19" spans="1:29" x14ac:dyDescent="0.25">
      <c r="A19" t="s">
        <v>43</v>
      </c>
    </row>
    <row r="20" spans="1:29" x14ac:dyDescent="0.25">
      <c r="A20" t="s">
        <v>44</v>
      </c>
      <c r="B20">
        <v>44</v>
      </c>
    </row>
    <row r="21" spans="1:29" x14ac:dyDescent="0.25">
      <c r="A21" t="s">
        <v>46</v>
      </c>
      <c r="B21" t="s">
        <v>714</v>
      </c>
    </row>
    <row r="22" spans="1:29" x14ac:dyDescent="0.25">
      <c r="A22" t="s">
        <v>48</v>
      </c>
    </row>
    <row r="23" spans="1:29" x14ac:dyDescent="0.25">
      <c r="A23" t="s">
        <v>50</v>
      </c>
      <c r="B23">
        <v>2.89</v>
      </c>
      <c r="H23">
        <v>2.83</v>
      </c>
      <c r="AC23">
        <v>4.2</v>
      </c>
    </row>
    <row r="24" spans="1:29" x14ac:dyDescent="0.25">
      <c r="A24" t="s">
        <v>52</v>
      </c>
    </row>
    <row r="25" spans="1:29" x14ac:dyDescent="0.25">
      <c r="A25" t="s">
        <v>53</v>
      </c>
      <c r="B25">
        <v>523</v>
      </c>
      <c r="S25">
        <v>77</v>
      </c>
    </row>
    <row r="26" spans="1:29" x14ac:dyDescent="0.25">
      <c r="A26" t="s">
        <v>55</v>
      </c>
    </row>
    <row r="27" spans="1:29" x14ac:dyDescent="0.25">
      <c r="A27" t="s">
        <v>57</v>
      </c>
    </row>
    <row r="28" spans="1:29" x14ac:dyDescent="0.25">
      <c r="A28" t="s">
        <v>59</v>
      </c>
      <c r="B28" t="s">
        <v>716</v>
      </c>
    </row>
    <row r="29" spans="1:29" x14ac:dyDescent="0.25">
      <c r="A29" t="s">
        <v>60</v>
      </c>
      <c r="B29">
        <v>8</v>
      </c>
    </row>
    <row r="30" spans="1:29" x14ac:dyDescent="0.25">
      <c r="A30" t="s">
        <v>62</v>
      </c>
      <c r="B30" t="s">
        <v>1792</v>
      </c>
      <c r="C30" t="s">
        <v>1793</v>
      </c>
      <c r="D30" t="s">
        <v>1791</v>
      </c>
    </row>
    <row r="31" spans="1:29" x14ac:dyDescent="0.25">
      <c r="A31" t="s">
        <v>64</v>
      </c>
    </row>
    <row r="32" spans="1:29" x14ac:dyDescent="0.25">
      <c r="A32" t="s">
        <v>65</v>
      </c>
    </row>
    <row r="33" spans="1:47" x14ac:dyDescent="0.25">
      <c r="A33" t="s">
        <v>66</v>
      </c>
      <c r="B33">
        <v>7</v>
      </c>
      <c r="X33">
        <v>138</v>
      </c>
      <c r="Y33">
        <v>110</v>
      </c>
    </row>
    <row r="34" spans="1:47" x14ac:dyDescent="0.25">
      <c r="A34" t="s">
        <v>68</v>
      </c>
      <c r="B34">
        <v>552</v>
      </c>
    </row>
    <row r="35" spans="1:47" x14ac:dyDescent="0.25">
      <c r="A35" t="s">
        <v>69</v>
      </c>
    </row>
    <row r="36" spans="1:47" x14ac:dyDescent="0.25">
      <c r="A36" t="s">
        <v>71</v>
      </c>
      <c r="B36">
        <v>1200</v>
      </c>
    </row>
    <row r="37" spans="1:47" x14ac:dyDescent="0.25">
      <c r="A37" t="s">
        <v>73</v>
      </c>
    </row>
    <row r="38" spans="1:47" x14ac:dyDescent="0.25">
      <c r="A38" t="s">
        <v>74</v>
      </c>
      <c r="B38" t="s">
        <v>1968</v>
      </c>
      <c r="E38">
        <v>129</v>
      </c>
      <c r="H38" t="s">
        <v>1969</v>
      </c>
      <c r="Y38" t="s">
        <v>1970</v>
      </c>
    </row>
    <row r="39" spans="1:47" x14ac:dyDescent="0.25">
      <c r="A39" t="s">
        <v>76</v>
      </c>
      <c r="B39">
        <v>53</v>
      </c>
      <c r="M39">
        <v>38</v>
      </c>
    </row>
    <row r="40" spans="1:47" x14ac:dyDescent="0.25">
      <c r="A40" t="s">
        <v>78</v>
      </c>
      <c r="B40">
        <v>12</v>
      </c>
      <c r="AM40">
        <v>21</v>
      </c>
      <c r="AN40">
        <v>12</v>
      </c>
      <c r="AP40">
        <v>14</v>
      </c>
      <c r="AR40">
        <v>390</v>
      </c>
      <c r="AS40">
        <v>3135</v>
      </c>
      <c r="AT40">
        <v>4112</v>
      </c>
      <c r="AU40">
        <v>2774</v>
      </c>
    </row>
    <row r="41" spans="1:47" x14ac:dyDescent="0.25">
      <c r="A41" t="s">
        <v>80</v>
      </c>
      <c r="B41">
        <v>2376</v>
      </c>
      <c r="E41">
        <v>2262</v>
      </c>
      <c r="M41">
        <v>1722</v>
      </c>
      <c r="S41">
        <v>1548</v>
      </c>
    </row>
    <row r="42" spans="1:47" x14ac:dyDescent="0.25">
      <c r="A42" t="s">
        <v>82</v>
      </c>
      <c r="B42">
        <v>920</v>
      </c>
      <c r="Z42">
        <v>45.8</v>
      </c>
    </row>
    <row r="43" spans="1:47" x14ac:dyDescent="0.25">
      <c r="A43" t="s">
        <v>84</v>
      </c>
    </row>
    <row r="44" spans="1:47" x14ac:dyDescent="0.25">
      <c r="A44" t="s">
        <v>85</v>
      </c>
      <c r="B44">
        <v>358</v>
      </c>
      <c r="S44">
        <v>45</v>
      </c>
    </row>
    <row r="45" spans="1:47" x14ac:dyDescent="0.25">
      <c r="A45" t="s">
        <v>87</v>
      </c>
      <c r="B45" t="s">
        <v>1971</v>
      </c>
      <c r="E45" t="s">
        <v>1972</v>
      </c>
      <c r="O45">
        <v>321</v>
      </c>
      <c r="T45" t="s">
        <v>1973</v>
      </c>
    </row>
    <row r="46" spans="1:47" x14ac:dyDescent="0.25">
      <c r="A46" t="s">
        <v>89</v>
      </c>
      <c r="B46">
        <v>11047</v>
      </c>
      <c r="C46">
        <v>8688</v>
      </c>
      <c r="D46">
        <v>4612</v>
      </c>
    </row>
    <row r="47" spans="1:47" x14ac:dyDescent="0.25">
      <c r="A47" t="s">
        <v>91</v>
      </c>
    </row>
    <row r="48" spans="1:47" x14ac:dyDescent="0.25">
      <c r="A48" t="s">
        <v>92</v>
      </c>
    </row>
    <row r="49" spans="1:65" x14ac:dyDescent="0.25">
      <c r="A49" t="s">
        <v>93</v>
      </c>
      <c r="B49">
        <v>23</v>
      </c>
      <c r="E49">
        <v>22</v>
      </c>
      <c r="S49">
        <v>58</v>
      </c>
      <c r="W49">
        <v>34</v>
      </c>
      <c r="AD49">
        <v>33</v>
      </c>
    </row>
    <row r="50" spans="1:65" x14ac:dyDescent="0.25">
      <c r="A50" t="s">
        <v>95</v>
      </c>
      <c r="B50">
        <v>51</v>
      </c>
      <c r="BI50">
        <v>73</v>
      </c>
      <c r="BJ50">
        <v>69</v>
      </c>
      <c r="BK50">
        <v>72</v>
      </c>
      <c r="BL50">
        <v>82</v>
      </c>
      <c r="BM50">
        <v>86</v>
      </c>
    </row>
    <row r="51" spans="1:65" x14ac:dyDescent="0.25">
      <c r="A51" t="s">
        <v>97</v>
      </c>
    </row>
    <row r="52" spans="1:65" x14ac:dyDescent="0.25">
      <c r="A52" t="s">
        <v>99</v>
      </c>
    </row>
    <row r="53" spans="1:65" x14ac:dyDescent="0.25">
      <c r="A53" t="s">
        <v>100</v>
      </c>
    </row>
    <row r="54" spans="1:65" x14ac:dyDescent="0.25">
      <c r="A54" t="s">
        <v>101</v>
      </c>
    </row>
    <row r="55" spans="1:65" x14ac:dyDescent="0.25">
      <c r="A55" t="s">
        <v>102</v>
      </c>
    </row>
    <row r="56" spans="1:65" x14ac:dyDescent="0.25">
      <c r="A56" t="s">
        <v>103</v>
      </c>
      <c r="B56">
        <v>27</v>
      </c>
      <c r="H56" t="s">
        <v>1974</v>
      </c>
      <c r="I56">
        <v>4365</v>
      </c>
    </row>
    <row r="57" spans="1:65" x14ac:dyDescent="0.25">
      <c r="A57" t="s">
        <v>105</v>
      </c>
    </row>
    <row r="58" spans="1:65" x14ac:dyDescent="0.25">
      <c r="A58" t="s">
        <v>106</v>
      </c>
    </row>
    <row r="59" spans="1:65" x14ac:dyDescent="0.25">
      <c r="A59" t="s">
        <v>107</v>
      </c>
    </row>
    <row r="60" spans="1:65" x14ac:dyDescent="0.25">
      <c r="A60" t="s">
        <v>108</v>
      </c>
    </row>
    <row r="61" spans="1:65" x14ac:dyDescent="0.25">
      <c r="A61" t="s">
        <v>109</v>
      </c>
    </row>
    <row r="62" spans="1:65" x14ac:dyDescent="0.25">
      <c r="A62" t="s">
        <v>110</v>
      </c>
    </row>
    <row r="63" spans="1:65" x14ac:dyDescent="0.25">
      <c r="A63" t="s">
        <v>111</v>
      </c>
    </row>
    <row r="64" spans="1:65" x14ac:dyDescent="0.25">
      <c r="A64" t="s">
        <v>112</v>
      </c>
    </row>
    <row r="65" spans="1:48" x14ac:dyDescent="0.25">
      <c r="A65" t="s">
        <v>113</v>
      </c>
    </row>
    <row r="66" spans="1:48" x14ac:dyDescent="0.25">
      <c r="A66" t="s">
        <v>115</v>
      </c>
    </row>
    <row r="67" spans="1:48" x14ac:dyDescent="0.25">
      <c r="A67" t="s">
        <v>116</v>
      </c>
    </row>
    <row r="68" spans="1:48" x14ac:dyDescent="0.25">
      <c r="A68" t="s">
        <v>117</v>
      </c>
    </row>
    <row r="69" spans="1:48" x14ac:dyDescent="0.25">
      <c r="A69" t="s">
        <v>119</v>
      </c>
      <c r="B69">
        <v>93</v>
      </c>
      <c r="E69">
        <v>117</v>
      </c>
      <c r="H69">
        <v>96</v>
      </c>
      <c r="R69">
        <v>61</v>
      </c>
    </row>
    <row r="70" spans="1:48" x14ac:dyDescent="0.25">
      <c r="A70" t="s">
        <v>120</v>
      </c>
      <c r="B70" t="s">
        <v>855</v>
      </c>
    </row>
    <row r="71" spans="1:48" x14ac:dyDescent="0.25">
      <c r="A71" t="s">
        <v>122</v>
      </c>
    </row>
    <row r="72" spans="1:48" x14ac:dyDescent="0.25">
      <c r="A72" t="s">
        <v>123</v>
      </c>
    </row>
    <row r="73" spans="1:48" x14ac:dyDescent="0.25">
      <c r="A73" t="s">
        <v>125</v>
      </c>
      <c r="I73">
        <v>2693</v>
      </c>
      <c r="M73">
        <v>1402</v>
      </c>
      <c r="O73">
        <v>922</v>
      </c>
      <c r="S73">
        <v>374</v>
      </c>
      <c r="T73">
        <v>254</v>
      </c>
      <c r="V73">
        <v>122</v>
      </c>
      <c r="W73">
        <v>94</v>
      </c>
      <c r="X73">
        <v>81</v>
      </c>
      <c r="Y73">
        <v>66</v>
      </c>
      <c r="Z73">
        <v>62</v>
      </c>
    </row>
    <row r="74" spans="1:48" x14ac:dyDescent="0.25">
      <c r="A74" t="s">
        <v>126</v>
      </c>
    </row>
    <row r="75" spans="1:48" x14ac:dyDescent="0.25">
      <c r="A75" t="s">
        <v>127</v>
      </c>
      <c r="B75">
        <v>42.7</v>
      </c>
      <c r="W75">
        <v>206</v>
      </c>
    </row>
    <row r="76" spans="1:48" x14ac:dyDescent="0.25">
      <c r="A76" t="s">
        <v>128</v>
      </c>
      <c r="B76">
        <v>81</v>
      </c>
      <c r="O76">
        <v>114</v>
      </c>
      <c r="T76">
        <v>623</v>
      </c>
      <c r="AV76">
        <v>66</v>
      </c>
    </row>
    <row r="77" spans="1:48" x14ac:dyDescent="0.25">
      <c r="A77" t="s">
        <v>131</v>
      </c>
      <c r="B77">
        <v>594</v>
      </c>
      <c r="E77">
        <v>516</v>
      </c>
      <c r="AA77">
        <v>78</v>
      </c>
    </row>
    <row r="78" spans="1:48" x14ac:dyDescent="0.25">
      <c r="A78" t="s">
        <v>133</v>
      </c>
    </row>
    <row r="79" spans="1:48" x14ac:dyDescent="0.25">
      <c r="A79" t="s">
        <v>134</v>
      </c>
      <c r="B79" t="s">
        <v>1975</v>
      </c>
    </row>
    <row r="80" spans="1:48" x14ac:dyDescent="0.25">
      <c r="A80" t="s">
        <v>136</v>
      </c>
    </row>
    <row r="81" spans="1:21" x14ac:dyDescent="0.25">
      <c r="A81" t="s">
        <v>138</v>
      </c>
      <c r="B81" t="s">
        <v>1976</v>
      </c>
      <c r="E81" t="s">
        <v>1977</v>
      </c>
      <c r="I81" t="s">
        <v>1978</v>
      </c>
      <c r="O81">
        <v>483</v>
      </c>
    </row>
    <row r="82" spans="1:21" x14ac:dyDescent="0.25">
      <c r="A82" t="s">
        <v>140</v>
      </c>
    </row>
    <row r="83" spans="1:21" x14ac:dyDescent="0.25">
      <c r="A83" t="s">
        <v>142</v>
      </c>
    </row>
    <row r="84" spans="1:21" x14ac:dyDescent="0.25">
      <c r="A84" t="s">
        <v>143</v>
      </c>
    </row>
    <row r="85" spans="1:21" x14ac:dyDescent="0.25">
      <c r="A85" t="s">
        <v>144</v>
      </c>
    </row>
    <row r="86" spans="1:21" x14ac:dyDescent="0.25">
      <c r="A86" t="s">
        <v>145</v>
      </c>
    </row>
    <row r="87" spans="1:21" x14ac:dyDescent="0.25">
      <c r="A87" t="s">
        <v>146</v>
      </c>
    </row>
    <row r="88" spans="1:21" x14ac:dyDescent="0.25">
      <c r="A88" t="s">
        <v>147</v>
      </c>
    </row>
    <row r="89" spans="1:21" x14ac:dyDescent="0.25">
      <c r="A89" t="s">
        <v>148</v>
      </c>
    </row>
    <row r="90" spans="1:21" x14ac:dyDescent="0.25">
      <c r="A90" t="s">
        <v>149</v>
      </c>
    </row>
    <row r="91" spans="1:21" x14ac:dyDescent="0.25">
      <c r="A91" t="s">
        <v>150</v>
      </c>
      <c r="B91">
        <v>1827</v>
      </c>
    </row>
    <row r="92" spans="1:21" x14ac:dyDescent="0.25">
      <c r="A92" t="s">
        <v>151</v>
      </c>
    </row>
    <row r="94" spans="1:21" x14ac:dyDescent="0.25">
      <c r="A94" t="s">
        <v>321</v>
      </c>
      <c r="B94">
        <v>9000</v>
      </c>
      <c r="U94">
        <v>175</v>
      </c>
    </row>
    <row r="95" spans="1:21" x14ac:dyDescent="0.25">
      <c r="A95" t="s">
        <v>152</v>
      </c>
      <c r="B95">
        <v>1400</v>
      </c>
      <c r="C95">
        <v>762</v>
      </c>
      <c r="D95">
        <v>1430</v>
      </c>
    </row>
    <row r="96" spans="1:21" x14ac:dyDescent="0.25">
      <c r="A96" t="s">
        <v>153</v>
      </c>
      <c r="B96">
        <v>63</v>
      </c>
      <c r="E96">
        <v>18</v>
      </c>
      <c r="H96">
        <v>15</v>
      </c>
      <c r="I96">
        <v>425</v>
      </c>
      <c r="J96">
        <v>2027</v>
      </c>
      <c r="K96">
        <v>2384</v>
      </c>
      <c r="L96">
        <v>2524</v>
      </c>
      <c r="M96">
        <v>2530</v>
      </c>
    </row>
    <row r="97" spans="1:60" x14ac:dyDescent="0.25">
      <c r="A97" t="s">
        <v>155</v>
      </c>
      <c r="B97">
        <v>104</v>
      </c>
    </row>
    <row r="98" spans="1:60" x14ac:dyDescent="0.25">
      <c r="A98" t="s">
        <v>157</v>
      </c>
      <c r="B98">
        <v>113</v>
      </c>
      <c r="I98">
        <v>130</v>
      </c>
      <c r="S98">
        <v>59</v>
      </c>
      <c r="Y98">
        <v>27</v>
      </c>
    </row>
    <row r="99" spans="1:60" x14ac:dyDescent="0.25">
      <c r="A99" t="s">
        <v>158</v>
      </c>
      <c r="B99">
        <v>12</v>
      </c>
      <c r="E99">
        <v>10</v>
      </c>
      <c r="H99">
        <v>15</v>
      </c>
      <c r="I99">
        <v>17</v>
      </c>
      <c r="M99">
        <v>1358</v>
      </c>
      <c r="N99">
        <v>1165</v>
      </c>
      <c r="O99">
        <v>1092</v>
      </c>
      <c r="P99">
        <v>883</v>
      </c>
      <c r="Q99">
        <v>857</v>
      </c>
      <c r="R99">
        <v>617</v>
      </c>
    </row>
    <row r="100" spans="1:60" x14ac:dyDescent="0.25">
      <c r="A100" t="s">
        <v>160</v>
      </c>
    </row>
    <row r="101" spans="1:60" x14ac:dyDescent="0.25">
      <c r="A101" t="s">
        <v>162</v>
      </c>
    </row>
    <row r="102" spans="1:60" x14ac:dyDescent="0.25">
      <c r="A102" t="s">
        <v>163</v>
      </c>
      <c r="E102">
        <v>46</v>
      </c>
    </row>
    <row r="103" spans="1:60" x14ac:dyDescent="0.25">
      <c r="A103" t="s">
        <v>164</v>
      </c>
    </row>
    <row r="104" spans="1:60" x14ac:dyDescent="0.25">
      <c r="A104" t="s">
        <v>165</v>
      </c>
    </row>
    <row r="105" spans="1:60" x14ac:dyDescent="0.25">
      <c r="A105" t="s">
        <v>166</v>
      </c>
      <c r="B105">
        <v>189</v>
      </c>
      <c r="E105">
        <v>178</v>
      </c>
      <c r="H105">
        <v>138</v>
      </c>
    </row>
    <row r="106" spans="1:60" x14ac:dyDescent="0.25">
      <c r="A106" t="s">
        <v>167</v>
      </c>
      <c r="B106">
        <v>1821</v>
      </c>
      <c r="M106" t="s">
        <v>547</v>
      </c>
    </row>
    <row r="107" spans="1:60" x14ac:dyDescent="0.25">
      <c r="A107" t="s">
        <v>169</v>
      </c>
    </row>
    <row r="108" spans="1:60" x14ac:dyDescent="0.25">
      <c r="A108" t="s">
        <v>170</v>
      </c>
    </row>
    <row r="109" spans="1:60" x14ac:dyDescent="0.25">
      <c r="A109" t="s">
        <v>172</v>
      </c>
    </row>
    <row r="110" spans="1:60" x14ac:dyDescent="0.25">
      <c r="A110" t="s">
        <v>173</v>
      </c>
      <c r="B110">
        <v>1835</v>
      </c>
      <c r="E110">
        <v>1893</v>
      </c>
      <c r="H110">
        <v>1571</v>
      </c>
      <c r="I110">
        <v>1362</v>
      </c>
      <c r="O110">
        <v>847</v>
      </c>
    </row>
    <row r="111" spans="1:60" x14ac:dyDescent="0.25">
      <c r="A111" t="s">
        <v>175</v>
      </c>
      <c r="B111">
        <v>4</v>
      </c>
      <c r="AY111">
        <v>9</v>
      </c>
      <c r="AZ111">
        <v>276</v>
      </c>
      <c r="BA111">
        <v>124</v>
      </c>
      <c r="BB111">
        <v>102</v>
      </c>
      <c r="BC111">
        <v>184</v>
      </c>
      <c r="BD111">
        <v>94</v>
      </c>
      <c r="BE111">
        <v>30</v>
      </c>
      <c r="BF111">
        <v>20</v>
      </c>
      <c r="BG111">
        <v>41</v>
      </c>
      <c r="BH111">
        <v>11</v>
      </c>
    </row>
    <row r="112" spans="1:60" x14ac:dyDescent="0.25">
      <c r="A112" t="s">
        <v>176</v>
      </c>
      <c r="B112">
        <v>47</v>
      </c>
    </row>
    <row r="113" spans="1:50" x14ac:dyDescent="0.25">
      <c r="A113" t="s">
        <v>177</v>
      </c>
    </row>
    <row r="114" spans="1:50" x14ac:dyDescent="0.25">
      <c r="A114" t="s">
        <v>178</v>
      </c>
    </row>
    <row r="115" spans="1:50" x14ac:dyDescent="0.25">
      <c r="A115" t="s">
        <v>179</v>
      </c>
    </row>
    <row r="116" spans="1:50" x14ac:dyDescent="0.25">
      <c r="A116" t="s">
        <v>182</v>
      </c>
    </row>
    <row r="117" spans="1:50" x14ac:dyDescent="0.25">
      <c r="A117" t="s">
        <v>183</v>
      </c>
      <c r="B117">
        <v>55</v>
      </c>
      <c r="E117">
        <v>287</v>
      </c>
      <c r="F117">
        <v>479</v>
      </c>
      <c r="H117">
        <v>340</v>
      </c>
      <c r="I117">
        <v>150</v>
      </c>
    </row>
    <row r="118" spans="1:50" x14ac:dyDescent="0.25">
      <c r="A118" t="s">
        <v>185</v>
      </c>
    </row>
    <row r="119" spans="1:50" x14ac:dyDescent="0.25">
      <c r="A119" t="s">
        <v>187</v>
      </c>
      <c r="B119">
        <v>4070</v>
      </c>
    </row>
    <row r="120" spans="1:50" x14ac:dyDescent="0.25">
      <c r="A120" t="s">
        <v>189</v>
      </c>
      <c r="E120">
        <v>1496</v>
      </c>
      <c r="F120">
        <v>1493</v>
      </c>
      <c r="H120">
        <v>792</v>
      </c>
    </row>
    <row r="121" spans="1:50" x14ac:dyDescent="0.25">
      <c r="A121" t="s">
        <v>191</v>
      </c>
      <c r="B121">
        <v>51</v>
      </c>
      <c r="H121">
        <v>16</v>
      </c>
    </row>
    <row r="122" spans="1:50" x14ac:dyDescent="0.25">
      <c r="A122" t="s">
        <v>192</v>
      </c>
    </row>
    <row r="123" spans="1:50" x14ac:dyDescent="0.25">
      <c r="A123" t="s">
        <v>194</v>
      </c>
      <c r="E123">
        <v>36</v>
      </c>
      <c r="F123">
        <v>102</v>
      </c>
      <c r="Z123">
        <v>78</v>
      </c>
    </row>
    <row r="124" spans="1:50" x14ac:dyDescent="0.25">
      <c r="A124" t="s">
        <v>196</v>
      </c>
    </row>
    <row r="125" spans="1:50" x14ac:dyDescent="0.25">
      <c r="A125" t="s">
        <v>197</v>
      </c>
      <c r="B125">
        <v>60</v>
      </c>
      <c r="AJ125">
        <v>78</v>
      </c>
      <c r="AN125">
        <v>7320</v>
      </c>
      <c r="AO125">
        <v>5014</v>
      </c>
    </row>
    <row r="126" spans="1:50" x14ac:dyDescent="0.25">
      <c r="A126" t="s">
        <v>199</v>
      </c>
      <c r="B126">
        <v>78</v>
      </c>
      <c r="AX126">
        <v>14</v>
      </c>
    </row>
    <row r="127" spans="1:50" x14ac:dyDescent="0.25">
      <c r="A127" t="s">
        <v>200</v>
      </c>
    </row>
    <row r="128" spans="1:50" x14ac:dyDescent="0.25">
      <c r="A128" t="s">
        <v>201</v>
      </c>
    </row>
    <row r="129" spans="1:37" x14ac:dyDescent="0.25">
      <c r="A129" t="s">
        <v>202</v>
      </c>
      <c r="B129">
        <v>144</v>
      </c>
      <c r="O129">
        <v>46</v>
      </c>
      <c r="Y129">
        <v>17</v>
      </c>
      <c r="AF129">
        <v>13</v>
      </c>
      <c r="AK129">
        <v>13</v>
      </c>
    </row>
    <row r="130" spans="1:37" x14ac:dyDescent="0.25">
      <c r="A130" t="s">
        <v>294</v>
      </c>
      <c r="B130">
        <v>82</v>
      </c>
    </row>
    <row r="131" spans="1:37" x14ac:dyDescent="0.25">
      <c r="A131" t="s">
        <v>207</v>
      </c>
      <c r="B131">
        <v>23</v>
      </c>
      <c r="E131">
        <v>55</v>
      </c>
      <c r="O131">
        <v>32</v>
      </c>
    </row>
    <row r="132" spans="1:37" x14ac:dyDescent="0.25">
      <c r="A132" t="s">
        <v>208</v>
      </c>
    </row>
    <row r="133" spans="1:37" x14ac:dyDescent="0.25">
      <c r="A133" t="s">
        <v>1589</v>
      </c>
    </row>
    <row r="134" spans="1:37" x14ac:dyDescent="0.25">
      <c r="A134" t="s">
        <v>209</v>
      </c>
    </row>
    <row r="135" spans="1:37" x14ac:dyDescent="0.25">
      <c r="A135" t="s">
        <v>211</v>
      </c>
      <c r="V135">
        <v>30</v>
      </c>
    </row>
    <row r="136" spans="1:37" x14ac:dyDescent="0.25">
      <c r="A136" t="s">
        <v>212</v>
      </c>
      <c r="B136">
        <v>26</v>
      </c>
    </row>
    <row r="137" spans="1:37" x14ac:dyDescent="0.25">
      <c r="A137" t="s">
        <v>214</v>
      </c>
    </row>
    <row r="138" spans="1:37" x14ac:dyDescent="0.25">
      <c r="A138" t="s">
        <v>216</v>
      </c>
      <c r="B138">
        <v>30</v>
      </c>
    </row>
    <row r="139" spans="1:37" x14ac:dyDescent="0.25">
      <c r="A139" t="s">
        <v>218</v>
      </c>
      <c r="B139">
        <v>37</v>
      </c>
    </row>
    <row r="140" spans="1:37" x14ac:dyDescent="0.25">
      <c r="A140" t="s">
        <v>220</v>
      </c>
    </row>
    <row r="141" spans="1:37" x14ac:dyDescent="0.25">
      <c r="A141" t="s">
        <v>222</v>
      </c>
    </row>
    <row r="142" spans="1:37" x14ac:dyDescent="0.25">
      <c r="A142" t="s">
        <v>224</v>
      </c>
      <c r="B142">
        <v>1020</v>
      </c>
    </row>
    <row r="143" spans="1:37" x14ac:dyDescent="0.25">
      <c r="A143" t="s">
        <v>225</v>
      </c>
      <c r="B143">
        <v>29</v>
      </c>
    </row>
    <row r="144" spans="1:37" x14ac:dyDescent="0.25">
      <c r="A144" t="s">
        <v>227</v>
      </c>
      <c r="B144">
        <v>147</v>
      </c>
    </row>
    <row r="145" spans="1:25" x14ac:dyDescent="0.25">
      <c r="A145" t="s">
        <v>229</v>
      </c>
      <c r="B145">
        <v>24</v>
      </c>
    </row>
    <row r="146" spans="1:25" x14ac:dyDescent="0.25">
      <c r="A146" t="s">
        <v>231</v>
      </c>
      <c r="B146">
        <v>2888</v>
      </c>
    </row>
    <row r="147" spans="1:25" x14ac:dyDescent="0.25">
      <c r="A147" t="s">
        <v>232</v>
      </c>
      <c r="E147">
        <v>48</v>
      </c>
    </row>
    <row r="148" spans="1:25" x14ac:dyDescent="0.25">
      <c r="A148" t="s">
        <v>234</v>
      </c>
      <c r="Y148">
        <v>27</v>
      </c>
    </row>
    <row r="149" spans="1:25" x14ac:dyDescent="0.25">
      <c r="A149" t="s">
        <v>236</v>
      </c>
    </row>
    <row r="150" spans="1:25" x14ac:dyDescent="0.25">
      <c r="A150" t="s">
        <v>1322</v>
      </c>
    </row>
    <row r="151" spans="1:25" x14ac:dyDescent="0.25">
      <c r="A151" t="s">
        <v>1323</v>
      </c>
    </row>
    <row r="152" spans="1:25" x14ac:dyDescent="0.25">
      <c r="A152" t="s">
        <v>1324</v>
      </c>
    </row>
    <row r="153" spans="1:25" x14ac:dyDescent="0.25">
      <c r="A153" t="s">
        <v>1325</v>
      </c>
    </row>
    <row r="154" spans="1:25" x14ac:dyDescent="0.25">
      <c r="A154" t="s">
        <v>1326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D76"/>
  <sheetViews>
    <sheetView workbookViewId="0">
      <selection sqref="A1:D1"/>
    </sheetView>
  </sheetViews>
  <sheetFormatPr defaultColWidth="9.140625" defaultRowHeight="15" x14ac:dyDescent="0.25"/>
  <cols>
    <col min="1" max="1" width="18.140625" bestFit="1" customWidth="1"/>
    <col min="2" max="2" width="6.7109375" bestFit="1" customWidth="1"/>
    <col min="3" max="3" width="81.140625" bestFit="1" customWidth="1"/>
    <col min="4" max="4" width="30.42578125" bestFit="1" customWidth="1"/>
  </cols>
  <sheetData>
    <row r="1" spans="1:4" x14ac:dyDescent="0.25">
      <c r="A1" s="25" t="s">
        <v>0</v>
      </c>
      <c r="B1" s="25" t="s">
        <v>2195</v>
      </c>
      <c r="C1" s="25" t="s">
        <v>2134</v>
      </c>
      <c r="D1" s="25" t="s">
        <v>2118</v>
      </c>
    </row>
    <row r="2" spans="1:4" x14ac:dyDescent="0.25">
      <c r="A2" t="s">
        <v>11</v>
      </c>
      <c r="B2" t="s">
        <v>2195</v>
      </c>
      <c r="C2" s="21" t="s">
        <v>2190</v>
      </c>
      <c r="D2">
        <v>1</v>
      </c>
    </row>
    <row r="3" spans="1:4" x14ac:dyDescent="0.25">
      <c r="A3" t="s">
        <v>12</v>
      </c>
      <c r="B3" t="s">
        <v>2195</v>
      </c>
      <c r="C3" s="21" t="s">
        <v>637</v>
      </c>
      <c r="D3">
        <v>1</v>
      </c>
    </row>
    <row r="4" spans="1:4" x14ac:dyDescent="0.25">
      <c r="A4" t="s">
        <v>16</v>
      </c>
      <c r="B4" t="s">
        <v>2195</v>
      </c>
      <c r="C4" t="s">
        <v>2190</v>
      </c>
      <c r="D4">
        <v>1</v>
      </c>
    </row>
    <row r="5" spans="1:4" x14ac:dyDescent="0.25">
      <c r="A5" t="s">
        <v>20</v>
      </c>
      <c r="B5" t="s">
        <v>2195</v>
      </c>
      <c r="C5" t="s">
        <v>2190</v>
      </c>
      <c r="D5">
        <v>1</v>
      </c>
    </row>
    <row r="6" spans="1:4" x14ac:dyDescent="0.25">
      <c r="A6" t="s">
        <v>22</v>
      </c>
      <c r="B6" t="s">
        <v>2195</v>
      </c>
      <c r="C6" t="s">
        <v>2558</v>
      </c>
      <c r="D6">
        <v>19</v>
      </c>
    </row>
    <row r="7" spans="1:4" x14ac:dyDescent="0.25">
      <c r="A7" t="s">
        <v>24</v>
      </c>
      <c r="B7" t="s">
        <v>2195</v>
      </c>
      <c r="C7" t="s">
        <v>2190</v>
      </c>
      <c r="D7">
        <v>1</v>
      </c>
    </row>
    <row r="8" spans="1:4" x14ac:dyDescent="0.25">
      <c r="A8" t="s">
        <v>26</v>
      </c>
      <c r="B8" t="s">
        <v>2195</v>
      </c>
      <c r="C8" t="s">
        <v>2196</v>
      </c>
      <c r="D8">
        <v>8</v>
      </c>
    </row>
    <row r="9" spans="1:4" x14ac:dyDescent="0.25">
      <c r="A9" t="s">
        <v>30</v>
      </c>
      <c r="B9" t="s">
        <v>2195</v>
      </c>
      <c r="C9" t="s">
        <v>469</v>
      </c>
      <c r="D9">
        <v>1</v>
      </c>
    </row>
    <row r="10" spans="1:4" x14ac:dyDescent="0.25">
      <c r="A10" t="s">
        <v>32</v>
      </c>
      <c r="B10" t="s">
        <v>2195</v>
      </c>
      <c r="C10" t="s">
        <v>2197</v>
      </c>
      <c r="D10">
        <v>2</v>
      </c>
    </row>
    <row r="11" spans="1:4" x14ac:dyDescent="0.25">
      <c r="A11" t="s">
        <v>34</v>
      </c>
      <c r="B11" t="s">
        <v>2195</v>
      </c>
      <c r="C11" t="s">
        <v>2198</v>
      </c>
      <c r="D11">
        <v>6</v>
      </c>
    </row>
    <row r="12" spans="1:4" x14ac:dyDescent="0.25">
      <c r="A12" t="s">
        <v>37</v>
      </c>
      <c r="B12" t="s">
        <v>2195</v>
      </c>
      <c r="C12" t="s">
        <v>2190</v>
      </c>
      <c r="D12">
        <v>1</v>
      </c>
    </row>
    <row r="13" spans="1:4" x14ac:dyDescent="0.25">
      <c r="A13" t="s">
        <v>40</v>
      </c>
      <c r="B13" t="s">
        <v>2195</v>
      </c>
      <c r="C13" t="s">
        <v>2190</v>
      </c>
      <c r="D13">
        <v>1</v>
      </c>
    </row>
    <row r="14" spans="1:4" x14ac:dyDescent="0.25">
      <c r="A14" t="s">
        <v>44</v>
      </c>
      <c r="B14" t="s">
        <v>2195</v>
      </c>
      <c r="C14" t="s">
        <v>2190</v>
      </c>
      <c r="D14">
        <v>1</v>
      </c>
    </row>
    <row r="15" spans="1:4" x14ac:dyDescent="0.25">
      <c r="A15" t="s">
        <v>46</v>
      </c>
      <c r="B15" t="s">
        <v>2195</v>
      </c>
      <c r="C15" t="s">
        <v>2190</v>
      </c>
      <c r="D15">
        <v>1</v>
      </c>
    </row>
    <row r="16" spans="1:4" x14ac:dyDescent="0.25">
      <c r="A16" t="s">
        <v>50</v>
      </c>
      <c r="B16" t="s">
        <v>2195</v>
      </c>
      <c r="C16" t="s">
        <v>2199</v>
      </c>
      <c r="D16">
        <v>3</v>
      </c>
    </row>
    <row r="17" spans="1:4" x14ac:dyDescent="0.25">
      <c r="A17" t="s">
        <v>53</v>
      </c>
      <c r="B17" t="s">
        <v>2195</v>
      </c>
      <c r="C17" t="s">
        <v>2200</v>
      </c>
      <c r="D17">
        <v>2</v>
      </c>
    </row>
    <row r="18" spans="1:4" x14ac:dyDescent="0.25">
      <c r="A18" t="s">
        <v>59</v>
      </c>
      <c r="B18" t="s">
        <v>2195</v>
      </c>
      <c r="C18" t="s">
        <v>2190</v>
      </c>
      <c r="D18">
        <v>1</v>
      </c>
    </row>
    <row r="19" spans="1:4" x14ac:dyDescent="0.25">
      <c r="A19" t="s">
        <v>60</v>
      </c>
      <c r="B19" t="s">
        <v>2195</v>
      </c>
      <c r="C19" t="s">
        <v>2190</v>
      </c>
      <c r="D19">
        <v>1</v>
      </c>
    </row>
    <row r="20" spans="1:4" x14ac:dyDescent="0.25">
      <c r="A20" t="s">
        <v>62</v>
      </c>
      <c r="B20" t="s">
        <v>2195</v>
      </c>
      <c r="C20" t="s">
        <v>2201</v>
      </c>
      <c r="D20">
        <v>3</v>
      </c>
    </row>
    <row r="21" spans="1:4" x14ac:dyDescent="0.25">
      <c r="A21" t="s">
        <v>66</v>
      </c>
      <c r="B21" t="s">
        <v>2195</v>
      </c>
      <c r="C21" t="s">
        <v>2202</v>
      </c>
      <c r="D21">
        <v>3</v>
      </c>
    </row>
    <row r="22" spans="1:4" x14ac:dyDescent="0.25">
      <c r="A22" t="s">
        <v>68</v>
      </c>
      <c r="B22" t="s">
        <v>2195</v>
      </c>
      <c r="C22" t="s">
        <v>2190</v>
      </c>
      <c r="D22">
        <v>1</v>
      </c>
    </row>
    <row r="23" spans="1:4" x14ac:dyDescent="0.25">
      <c r="A23" t="s">
        <v>71</v>
      </c>
      <c r="B23" t="s">
        <v>2195</v>
      </c>
      <c r="C23" t="s">
        <v>2190</v>
      </c>
      <c r="D23">
        <v>1</v>
      </c>
    </row>
    <row r="24" spans="1:4" x14ac:dyDescent="0.25">
      <c r="A24" t="s">
        <v>74</v>
      </c>
      <c r="B24" t="s">
        <v>2195</v>
      </c>
      <c r="C24" t="s">
        <v>2203</v>
      </c>
      <c r="D24">
        <v>4</v>
      </c>
    </row>
    <row r="25" spans="1:4" x14ac:dyDescent="0.25">
      <c r="A25" t="s">
        <v>76</v>
      </c>
      <c r="B25" t="s">
        <v>2195</v>
      </c>
      <c r="C25" t="s">
        <v>2204</v>
      </c>
      <c r="D25">
        <v>2</v>
      </c>
    </row>
    <row r="26" spans="1:4" x14ac:dyDescent="0.25">
      <c r="A26" t="s">
        <v>78</v>
      </c>
      <c r="B26" t="s">
        <v>2195</v>
      </c>
      <c r="C26" t="s">
        <v>2205</v>
      </c>
      <c r="D26">
        <v>8</v>
      </c>
    </row>
    <row r="27" spans="1:4" x14ac:dyDescent="0.25">
      <c r="A27" t="s">
        <v>80</v>
      </c>
      <c r="B27" t="s">
        <v>2195</v>
      </c>
      <c r="C27" t="s">
        <v>2206</v>
      </c>
      <c r="D27">
        <v>4</v>
      </c>
    </row>
    <row r="28" spans="1:4" x14ac:dyDescent="0.25">
      <c r="A28" t="s">
        <v>82</v>
      </c>
      <c r="B28" t="s">
        <v>2195</v>
      </c>
      <c r="C28" t="s">
        <v>2207</v>
      </c>
      <c r="D28">
        <v>2</v>
      </c>
    </row>
    <row r="29" spans="1:4" x14ac:dyDescent="0.25">
      <c r="A29" t="s">
        <v>85</v>
      </c>
      <c r="B29" t="s">
        <v>2195</v>
      </c>
      <c r="C29" t="s">
        <v>2200</v>
      </c>
      <c r="D29">
        <v>2</v>
      </c>
    </row>
    <row r="30" spans="1:4" x14ac:dyDescent="0.25">
      <c r="A30" t="s">
        <v>87</v>
      </c>
      <c r="B30" t="s">
        <v>2195</v>
      </c>
      <c r="C30" t="s">
        <v>2208</v>
      </c>
      <c r="D30">
        <v>4</v>
      </c>
    </row>
    <row r="31" spans="1:4" x14ac:dyDescent="0.25">
      <c r="A31" t="s">
        <v>89</v>
      </c>
      <c r="B31" t="s">
        <v>2195</v>
      </c>
      <c r="C31" t="s">
        <v>2201</v>
      </c>
      <c r="D31">
        <v>3</v>
      </c>
    </row>
    <row r="32" spans="1:4" x14ac:dyDescent="0.25">
      <c r="A32" t="s">
        <v>93</v>
      </c>
      <c r="B32" t="s">
        <v>2195</v>
      </c>
      <c r="C32" t="s">
        <v>2209</v>
      </c>
      <c r="D32">
        <v>5</v>
      </c>
    </row>
    <row r="33" spans="1:4" x14ac:dyDescent="0.25">
      <c r="A33" t="s">
        <v>95</v>
      </c>
      <c r="B33" t="s">
        <v>2195</v>
      </c>
      <c r="C33" t="s">
        <v>2210</v>
      </c>
      <c r="D33">
        <v>6</v>
      </c>
    </row>
    <row r="34" spans="1:4" x14ac:dyDescent="0.25">
      <c r="A34" t="s">
        <v>103</v>
      </c>
      <c r="B34" t="s">
        <v>2195</v>
      </c>
      <c r="C34" t="s">
        <v>2211</v>
      </c>
      <c r="D34">
        <v>3</v>
      </c>
    </row>
    <row r="35" spans="1:4" x14ac:dyDescent="0.25">
      <c r="A35" t="s">
        <v>119</v>
      </c>
      <c r="B35" t="s">
        <v>2195</v>
      </c>
      <c r="C35" t="s">
        <v>2212</v>
      </c>
      <c r="D35">
        <v>4</v>
      </c>
    </row>
    <row r="36" spans="1:4" x14ac:dyDescent="0.25">
      <c r="A36" t="s">
        <v>120</v>
      </c>
      <c r="B36" t="s">
        <v>2195</v>
      </c>
      <c r="C36" t="s">
        <v>2190</v>
      </c>
      <c r="D36">
        <v>1</v>
      </c>
    </row>
    <row r="37" spans="1:4" x14ac:dyDescent="0.25">
      <c r="A37" t="s">
        <v>125</v>
      </c>
      <c r="B37" t="s">
        <v>2195</v>
      </c>
      <c r="C37" t="s">
        <v>2213</v>
      </c>
      <c r="D37">
        <v>10</v>
      </c>
    </row>
    <row r="38" spans="1:4" x14ac:dyDescent="0.25">
      <c r="A38" t="s">
        <v>127</v>
      </c>
      <c r="B38" t="s">
        <v>2195</v>
      </c>
      <c r="C38" t="s">
        <v>2214</v>
      </c>
      <c r="D38">
        <v>2</v>
      </c>
    </row>
    <row r="39" spans="1:4" x14ac:dyDescent="0.25">
      <c r="A39" t="s">
        <v>128</v>
      </c>
      <c r="B39" t="s">
        <v>2195</v>
      </c>
      <c r="C39" t="s">
        <v>2215</v>
      </c>
      <c r="D39">
        <v>4</v>
      </c>
    </row>
    <row r="40" spans="1:4" x14ac:dyDescent="0.25">
      <c r="A40" t="s">
        <v>131</v>
      </c>
      <c r="B40" t="s">
        <v>2195</v>
      </c>
      <c r="C40" t="s">
        <v>2216</v>
      </c>
      <c r="D40">
        <v>3</v>
      </c>
    </row>
    <row r="41" spans="1:4" x14ac:dyDescent="0.25">
      <c r="A41" t="s">
        <v>134</v>
      </c>
      <c r="B41" t="s">
        <v>2195</v>
      </c>
      <c r="C41" t="s">
        <v>2190</v>
      </c>
      <c r="D41">
        <v>1</v>
      </c>
    </row>
    <row r="42" spans="1:4" x14ac:dyDescent="0.25">
      <c r="A42" t="s">
        <v>138</v>
      </c>
      <c r="B42" t="s">
        <v>2195</v>
      </c>
      <c r="C42" t="s">
        <v>2217</v>
      </c>
      <c r="D42">
        <v>4</v>
      </c>
    </row>
    <row r="43" spans="1:4" x14ac:dyDescent="0.25">
      <c r="A43" t="s">
        <v>150</v>
      </c>
      <c r="B43" t="s">
        <v>2195</v>
      </c>
      <c r="C43" t="s">
        <v>2190</v>
      </c>
      <c r="D43">
        <v>1</v>
      </c>
    </row>
    <row r="44" spans="1:4" x14ac:dyDescent="0.25">
      <c r="A44" t="s">
        <v>321</v>
      </c>
      <c r="B44" t="s">
        <v>2195</v>
      </c>
      <c r="C44" t="s">
        <v>2218</v>
      </c>
      <c r="D44">
        <v>2</v>
      </c>
    </row>
    <row r="45" spans="1:4" x14ac:dyDescent="0.25">
      <c r="A45" t="s">
        <v>152</v>
      </c>
      <c r="B45" t="s">
        <v>2195</v>
      </c>
      <c r="C45" t="s">
        <v>2201</v>
      </c>
      <c r="D45">
        <v>3</v>
      </c>
    </row>
    <row r="46" spans="1:4" x14ac:dyDescent="0.25">
      <c r="A46" t="s">
        <v>153</v>
      </c>
      <c r="B46" t="s">
        <v>2195</v>
      </c>
      <c r="C46" t="s">
        <v>2219</v>
      </c>
      <c r="D46">
        <v>8</v>
      </c>
    </row>
    <row r="47" spans="1:4" x14ac:dyDescent="0.25">
      <c r="A47" t="s">
        <v>155</v>
      </c>
      <c r="B47" t="s">
        <v>2195</v>
      </c>
      <c r="C47" t="s">
        <v>2190</v>
      </c>
      <c r="D47">
        <v>1</v>
      </c>
    </row>
    <row r="48" spans="1:4" x14ac:dyDescent="0.25">
      <c r="A48" t="s">
        <v>157</v>
      </c>
      <c r="B48" t="s">
        <v>2195</v>
      </c>
      <c r="C48" t="s">
        <v>2220</v>
      </c>
      <c r="D48">
        <v>4</v>
      </c>
    </row>
    <row r="49" spans="1:4" x14ac:dyDescent="0.25">
      <c r="A49" t="s">
        <v>158</v>
      </c>
      <c r="B49" t="s">
        <v>2195</v>
      </c>
      <c r="C49" t="s">
        <v>2221</v>
      </c>
      <c r="D49">
        <v>10</v>
      </c>
    </row>
    <row r="50" spans="1:4" x14ac:dyDescent="0.25">
      <c r="A50" t="s">
        <v>163</v>
      </c>
      <c r="B50" t="s">
        <v>2195</v>
      </c>
      <c r="C50" t="s">
        <v>637</v>
      </c>
      <c r="D50">
        <v>1</v>
      </c>
    </row>
    <row r="51" spans="1:4" x14ac:dyDescent="0.25">
      <c r="A51" t="s">
        <v>166</v>
      </c>
      <c r="B51" t="s">
        <v>2195</v>
      </c>
      <c r="C51" t="s">
        <v>2222</v>
      </c>
      <c r="D51">
        <v>3</v>
      </c>
    </row>
    <row r="52" spans="1:4" x14ac:dyDescent="0.25">
      <c r="A52" t="s">
        <v>167</v>
      </c>
      <c r="B52" t="s">
        <v>2195</v>
      </c>
      <c r="C52" t="s">
        <v>2204</v>
      </c>
      <c r="D52">
        <v>2</v>
      </c>
    </row>
    <row r="53" spans="1:4" x14ac:dyDescent="0.25">
      <c r="A53" t="s">
        <v>173</v>
      </c>
      <c r="B53" t="s">
        <v>2195</v>
      </c>
      <c r="C53" t="s">
        <v>2223</v>
      </c>
      <c r="D53">
        <v>5</v>
      </c>
    </row>
    <row r="54" spans="1:4" x14ac:dyDescent="0.25">
      <c r="A54" t="s">
        <v>175</v>
      </c>
      <c r="B54" t="s">
        <v>2195</v>
      </c>
      <c r="C54" t="s">
        <v>2647</v>
      </c>
      <c r="D54">
        <v>11</v>
      </c>
    </row>
    <row r="55" spans="1:4" x14ac:dyDescent="0.25">
      <c r="A55" t="s">
        <v>176</v>
      </c>
      <c r="B55" t="s">
        <v>2195</v>
      </c>
      <c r="C55" t="s">
        <v>2190</v>
      </c>
      <c r="D55">
        <v>1</v>
      </c>
    </row>
    <row r="56" spans="1:4" x14ac:dyDescent="0.25">
      <c r="A56" t="s">
        <v>183</v>
      </c>
      <c r="B56" t="s">
        <v>2195</v>
      </c>
      <c r="C56" t="s">
        <v>2224</v>
      </c>
      <c r="D56">
        <v>5</v>
      </c>
    </row>
    <row r="57" spans="1:4" x14ac:dyDescent="0.25">
      <c r="A57" t="s">
        <v>187</v>
      </c>
      <c r="B57" t="s">
        <v>2195</v>
      </c>
      <c r="C57" t="s">
        <v>2190</v>
      </c>
      <c r="D57">
        <v>1</v>
      </c>
    </row>
    <row r="58" spans="1:4" x14ac:dyDescent="0.25">
      <c r="A58" t="s">
        <v>189</v>
      </c>
      <c r="B58" t="s">
        <v>2195</v>
      </c>
      <c r="C58" t="s">
        <v>2225</v>
      </c>
      <c r="D58">
        <v>3</v>
      </c>
    </row>
    <row r="59" spans="1:4" x14ac:dyDescent="0.25">
      <c r="A59" t="s">
        <v>191</v>
      </c>
      <c r="B59" t="s">
        <v>2195</v>
      </c>
      <c r="C59" t="s">
        <v>2226</v>
      </c>
      <c r="D59">
        <v>2</v>
      </c>
    </row>
    <row r="60" spans="1:4" x14ac:dyDescent="0.25">
      <c r="A60" t="s">
        <v>194</v>
      </c>
      <c r="B60" t="s">
        <v>2195</v>
      </c>
      <c r="C60" t="s">
        <v>2227</v>
      </c>
      <c r="D60">
        <v>3</v>
      </c>
    </row>
    <row r="61" spans="1:4" x14ac:dyDescent="0.25">
      <c r="A61" t="s">
        <v>197</v>
      </c>
      <c r="B61" t="s">
        <v>2195</v>
      </c>
      <c r="C61" t="s">
        <v>2228</v>
      </c>
      <c r="D61">
        <v>4</v>
      </c>
    </row>
    <row r="62" spans="1:4" x14ac:dyDescent="0.25">
      <c r="A62" t="s">
        <v>199</v>
      </c>
      <c r="B62" t="s">
        <v>2195</v>
      </c>
      <c r="C62" t="s">
        <v>2229</v>
      </c>
      <c r="D62">
        <v>2</v>
      </c>
    </row>
    <row r="63" spans="1:4" x14ac:dyDescent="0.25">
      <c r="A63" t="s">
        <v>202</v>
      </c>
      <c r="B63" t="s">
        <v>2195</v>
      </c>
      <c r="C63" t="s">
        <v>2230</v>
      </c>
      <c r="D63">
        <v>5</v>
      </c>
    </row>
    <row r="64" spans="1:4" x14ac:dyDescent="0.25">
      <c r="A64" t="s">
        <v>294</v>
      </c>
      <c r="B64" t="s">
        <v>2195</v>
      </c>
      <c r="C64" t="s">
        <v>2190</v>
      </c>
      <c r="D64">
        <v>1</v>
      </c>
    </row>
    <row r="65" spans="1:4" x14ac:dyDescent="0.25">
      <c r="A65" t="s">
        <v>207</v>
      </c>
      <c r="B65" t="s">
        <v>2195</v>
      </c>
      <c r="C65" t="s">
        <v>2231</v>
      </c>
      <c r="D65">
        <v>3</v>
      </c>
    </row>
    <row r="66" spans="1:4" x14ac:dyDescent="0.25">
      <c r="A66" t="s">
        <v>211</v>
      </c>
      <c r="B66" t="s">
        <v>2195</v>
      </c>
      <c r="C66" t="s">
        <v>506</v>
      </c>
      <c r="D66">
        <v>1</v>
      </c>
    </row>
    <row r="67" spans="1:4" x14ac:dyDescent="0.25">
      <c r="A67" t="s">
        <v>212</v>
      </c>
      <c r="B67" t="s">
        <v>2195</v>
      </c>
      <c r="C67" t="s">
        <v>2190</v>
      </c>
      <c r="D67">
        <v>1</v>
      </c>
    </row>
    <row r="68" spans="1:4" x14ac:dyDescent="0.25">
      <c r="A68" t="s">
        <v>216</v>
      </c>
      <c r="B68" t="s">
        <v>2195</v>
      </c>
      <c r="C68" t="s">
        <v>2190</v>
      </c>
      <c r="D68">
        <v>1</v>
      </c>
    </row>
    <row r="69" spans="1:4" x14ac:dyDescent="0.25">
      <c r="A69" t="s">
        <v>218</v>
      </c>
      <c r="B69" t="s">
        <v>2195</v>
      </c>
      <c r="C69" t="s">
        <v>2190</v>
      </c>
      <c r="D69">
        <v>1</v>
      </c>
    </row>
    <row r="70" spans="1:4" x14ac:dyDescent="0.25">
      <c r="A70" t="s">
        <v>224</v>
      </c>
      <c r="B70" t="s">
        <v>2195</v>
      </c>
      <c r="C70" t="s">
        <v>2190</v>
      </c>
      <c r="D70">
        <v>1</v>
      </c>
    </row>
    <row r="71" spans="1:4" x14ac:dyDescent="0.25">
      <c r="A71" t="s">
        <v>225</v>
      </c>
      <c r="B71" t="s">
        <v>2195</v>
      </c>
      <c r="C71" t="s">
        <v>2190</v>
      </c>
      <c r="D71">
        <v>1</v>
      </c>
    </row>
    <row r="72" spans="1:4" x14ac:dyDescent="0.25">
      <c r="A72" t="s">
        <v>227</v>
      </c>
      <c r="B72" t="s">
        <v>2195</v>
      </c>
      <c r="C72" t="s">
        <v>2190</v>
      </c>
      <c r="D72">
        <v>1</v>
      </c>
    </row>
    <row r="73" spans="1:4" x14ac:dyDescent="0.25">
      <c r="A73" t="s">
        <v>229</v>
      </c>
      <c r="B73" t="s">
        <v>2195</v>
      </c>
      <c r="C73" t="s">
        <v>2190</v>
      </c>
      <c r="D73">
        <v>1</v>
      </c>
    </row>
    <row r="74" spans="1:4" x14ac:dyDescent="0.25">
      <c r="A74" t="s">
        <v>231</v>
      </c>
      <c r="B74" t="s">
        <v>2195</v>
      </c>
      <c r="C74" t="s">
        <v>2190</v>
      </c>
      <c r="D74">
        <v>1</v>
      </c>
    </row>
    <row r="75" spans="1:4" x14ac:dyDescent="0.25">
      <c r="A75" t="s">
        <v>232</v>
      </c>
      <c r="B75" t="s">
        <v>2195</v>
      </c>
      <c r="C75" t="s">
        <v>637</v>
      </c>
      <c r="D75">
        <v>1</v>
      </c>
    </row>
    <row r="76" spans="1:4" x14ac:dyDescent="0.25">
      <c r="A76" t="s">
        <v>234</v>
      </c>
      <c r="B76" t="s">
        <v>2195</v>
      </c>
      <c r="C76" t="s">
        <v>441</v>
      </c>
      <c r="D76">
        <v>1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54"/>
  <sheetViews>
    <sheetView topLeftCell="AY1" workbookViewId="0">
      <selection activeCell="B1" sqref="B1:BM1"/>
    </sheetView>
  </sheetViews>
  <sheetFormatPr defaultColWidth="9.140625" defaultRowHeight="15" x14ac:dyDescent="0.25"/>
  <cols>
    <col min="1" max="1" width="18.140625" bestFit="1" customWidth="1"/>
    <col min="2" max="2" width="10.28515625" customWidth="1"/>
    <col min="3" max="3" width="12.42578125" customWidth="1"/>
    <col min="4" max="4" width="9.85546875" customWidth="1"/>
    <col min="5" max="5" width="12.42578125" customWidth="1"/>
    <col min="6" max="7" width="9.85546875" customWidth="1"/>
    <col min="8" max="10" width="12.42578125" customWidth="1"/>
    <col min="11" max="11" width="9.85546875" customWidth="1"/>
    <col min="12" max="12" width="12.42578125" customWidth="1"/>
    <col min="13" max="13" width="9.85546875" customWidth="1"/>
    <col min="14" max="15" width="12.42578125" customWidth="1"/>
    <col min="16" max="18" width="9.85546875" customWidth="1"/>
    <col min="19" max="47" width="10.85546875" customWidth="1"/>
    <col min="48" max="49" width="12.5703125" customWidth="1"/>
    <col min="50" max="52" width="13.5703125" customWidth="1"/>
    <col min="53" max="53" width="12.5703125" customWidth="1"/>
    <col min="54" max="56" width="13.5703125" customWidth="1"/>
    <col min="57" max="58" width="14.5703125" customWidth="1"/>
    <col min="59" max="59" width="10.42578125" customWidth="1"/>
    <col min="60" max="60" width="14.5703125" customWidth="1"/>
    <col min="61" max="64" width="13.5703125" customWidth="1"/>
    <col min="65" max="65" width="20.140625" customWidth="1"/>
  </cols>
  <sheetData>
    <row r="1" spans="1:65" x14ac:dyDescent="0.25">
      <c r="A1" t="s">
        <v>0</v>
      </c>
      <c r="B1" t="s">
        <v>2232</v>
      </c>
      <c r="C1" t="s">
        <v>1802</v>
      </c>
      <c r="D1" t="s">
        <v>638</v>
      </c>
      <c r="E1" t="s">
        <v>1804</v>
      </c>
      <c r="F1" t="s">
        <v>465</v>
      </c>
      <c r="G1" t="s">
        <v>841</v>
      </c>
      <c r="H1" t="s">
        <v>1805</v>
      </c>
      <c r="I1" t="s">
        <v>1806</v>
      </c>
      <c r="J1" t="s">
        <v>1807</v>
      </c>
      <c r="K1" t="s">
        <v>471</v>
      </c>
      <c r="L1" t="s">
        <v>1808</v>
      </c>
      <c r="M1" t="s">
        <v>772</v>
      </c>
      <c r="N1" t="s">
        <v>1809</v>
      </c>
      <c r="O1" t="s">
        <v>1810</v>
      </c>
      <c r="P1" t="s">
        <v>478</v>
      </c>
      <c r="Q1" t="s">
        <v>395</v>
      </c>
      <c r="R1" t="s">
        <v>396</v>
      </c>
      <c r="S1" t="s">
        <v>682</v>
      </c>
      <c r="T1" t="s">
        <v>879</v>
      </c>
      <c r="U1" t="s">
        <v>508</v>
      </c>
      <c r="V1" t="s">
        <v>405</v>
      </c>
      <c r="W1" t="s">
        <v>397</v>
      </c>
      <c r="X1" t="s">
        <v>398</v>
      </c>
      <c r="Y1" t="s">
        <v>399</v>
      </c>
      <c r="Z1" t="s">
        <v>400</v>
      </c>
      <c r="AA1" t="s">
        <v>401</v>
      </c>
      <c r="AB1" t="s">
        <v>403</v>
      </c>
      <c r="AC1" t="s">
        <v>402</v>
      </c>
      <c r="AD1" t="s">
        <v>509</v>
      </c>
      <c r="AE1" t="s">
        <v>683</v>
      </c>
      <c r="AF1" t="s">
        <v>684</v>
      </c>
      <c r="AG1" t="s">
        <v>510</v>
      </c>
      <c r="AH1" t="s">
        <v>492</v>
      </c>
      <c r="AI1" t="s">
        <v>404</v>
      </c>
      <c r="AJ1" t="s">
        <v>685</v>
      </c>
      <c r="AK1" t="s">
        <v>686</v>
      </c>
      <c r="AL1" t="s">
        <v>732</v>
      </c>
      <c r="AM1" t="s">
        <v>1044</v>
      </c>
      <c r="AN1" t="s">
        <v>406</v>
      </c>
      <c r="AO1" t="s">
        <v>687</v>
      </c>
      <c r="AP1" t="s">
        <v>744</v>
      </c>
      <c r="AQ1" t="s">
        <v>752</v>
      </c>
      <c r="AR1" t="s">
        <v>688</v>
      </c>
      <c r="AS1" t="s">
        <v>515</v>
      </c>
      <c r="AT1" t="s">
        <v>761</v>
      </c>
      <c r="AU1" t="s">
        <v>516</v>
      </c>
      <c r="AV1" t="s">
        <v>1053</v>
      </c>
      <c r="AW1" t="s">
        <v>967</v>
      </c>
      <c r="AX1" t="s">
        <v>968</v>
      </c>
      <c r="AY1" t="s">
        <v>969</v>
      </c>
      <c r="AZ1" t="s">
        <v>970</v>
      </c>
      <c r="BA1" t="s">
        <v>971</v>
      </c>
      <c r="BB1" t="s">
        <v>976</v>
      </c>
      <c r="BC1" t="s">
        <v>972</v>
      </c>
      <c r="BD1" t="s">
        <v>973</v>
      </c>
      <c r="BE1" t="s">
        <v>974</v>
      </c>
      <c r="BF1" t="s">
        <v>975</v>
      </c>
      <c r="BG1" t="s">
        <v>725</v>
      </c>
      <c r="BH1" t="s">
        <v>812</v>
      </c>
      <c r="BI1" t="s">
        <v>2233</v>
      </c>
      <c r="BJ1" t="s">
        <v>2234</v>
      </c>
      <c r="BK1" t="s">
        <v>2235</v>
      </c>
      <c r="BL1" t="s">
        <v>2236</v>
      </c>
      <c r="BM1" t="s">
        <v>2237</v>
      </c>
    </row>
    <row r="2" spans="1:65" x14ac:dyDescent="0.25">
      <c r="A2" t="s">
        <v>6</v>
      </c>
    </row>
    <row r="3" spans="1:65" x14ac:dyDescent="0.25">
      <c r="A3" t="s">
        <v>11</v>
      </c>
      <c r="B3">
        <v>49</v>
      </c>
    </row>
    <row r="4" spans="1:65" x14ac:dyDescent="0.25">
      <c r="A4" t="s">
        <v>12</v>
      </c>
    </row>
    <row r="5" spans="1:65" x14ac:dyDescent="0.25">
      <c r="A5" t="s">
        <v>16</v>
      </c>
      <c r="B5">
        <v>45</v>
      </c>
    </row>
    <row r="6" spans="1:65" x14ac:dyDescent="0.25">
      <c r="A6" t="s">
        <v>18</v>
      </c>
    </row>
    <row r="7" spans="1:65" x14ac:dyDescent="0.25">
      <c r="A7" t="s">
        <v>20</v>
      </c>
    </row>
    <row r="8" spans="1:65" x14ac:dyDescent="0.25">
      <c r="A8" t="s">
        <v>22</v>
      </c>
      <c r="D8">
        <v>42</v>
      </c>
      <c r="R8">
        <v>33</v>
      </c>
      <c r="S8">
        <v>38</v>
      </c>
      <c r="W8">
        <v>82</v>
      </c>
      <c r="X8">
        <v>174</v>
      </c>
      <c r="Y8">
        <v>216</v>
      </c>
      <c r="Z8">
        <v>242</v>
      </c>
      <c r="AA8">
        <v>221</v>
      </c>
      <c r="AB8">
        <v>215</v>
      </c>
      <c r="AC8">
        <v>216</v>
      </c>
      <c r="AD8">
        <v>191</v>
      </c>
      <c r="AE8">
        <v>192</v>
      </c>
      <c r="AF8">
        <v>168</v>
      </c>
      <c r="AJ8">
        <v>135</v>
      </c>
      <c r="AK8">
        <v>42</v>
      </c>
      <c r="AO8">
        <v>78</v>
      </c>
      <c r="AR8">
        <v>56</v>
      </c>
      <c r="BM8">
        <v>240</v>
      </c>
    </row>
    <row r="9" spans="1:65" x14ac:dyDescent="0.25">
      <c r="A9" t="s">
        <v>24</v>
      </c>
      <c r="B9">
        <v>35</v>
      </c>
      <c r="C9">
        <v>168</v>
      </c>
    </row>
    <row r="10" spans="1:65" x14ac:dyDescent="0.25">
      <c r="A10" t="s">
        <v>26</v>
      </c>
      <c r="B10" t="s">
        <v>459</v>
      </c>
      <c r="F10">
        <v>9.1199999999999992</v>
      </c>
      <c r="K10">
        <v>526</v>
      </c>
      <c r="P10">
        <v>399</v>
      </c>
      <c r="Q10">
        <v>362</v>
      </c>
      <c r="X10">
        <v>399</v>
      </c>
      <c r="AH10">
        <v>619</v>
      </c>
      <c r="AI10">
        <v>900</v>
      </c>
    </row>
    <row r="11" spans="1:65" x14ac:dyDescent="0.25">
      <c r="A11" t="s">
        <v>28</v>
      </c>
      <c r="B11">
        <v>240</v>
      </c>
    </row>
    <row r="12" spans="1:65" x14ac:dyDescent="0.25">
      <c r="A12" t="s">
        <v>30</v>
      </c>
      <c r="F12">
        <v>51</v>
      </c>
    </row>
    <row r="13" spans="1:65" x14ac:dyDescent="0.25">
      <c r="A13" t="s">
        <v>32</v>
      </c>
      <c r="B13">
        <v>35</v>
      </c>
    </row>
    <row r="14" spans="1:65" x14ac:dyDescent="0.25">
      <c r="A14" t="s">
        <v>34</v>
      </c>
      <c r="B14">
        <v>17</v>
      </c>
      <c r="U14">
        <v>20</v>
      </c>
      <c r="AD14">
        <v>57</v>
      </c>
      <c r="AG14">
        <v>45</v>
      </c>
      <c r="AS14">
        <v>20</v>
      </c>
      <c r="AU14">
        <v>30</v>
      </c>
    </row>
    <row r="15" spans="1:65" x14ac:dyDescent="0.25">
      <c r="A15" t="s">
        <v>36</v>
      </c>
    </row>
    <row r="16" spans="1:65" x14ac:dyDescent="0.25">
      <c r="A16" t="s">
        <v>37</v>
      </c>
    </row>
    <row r="17" spans="1:65" x14ac:dyDescent="0.25">
      <c r="A17" t="s">
        <v>40</v>
      </c>
      <c r="AN17">
        <v>158</v>
      </c>
    </row>
    <row r="18" spans="1:65" x14ac:dyDescent="0.25">
      <c r="A18" t="s">
        <v>42</v>
      </c>
    </row>
    <row r="19" spans="1:65" x14ac:dyDescent="0.25">
      <c r="A19" t="s">
        <v>43</v>
      </c>
    </row>
    <row r="20" spans="1:65" x14ac:dyDescent="0.25">
      <c r="A20" t="s">
        <v>44</v>
      </c>
      <c r="B20">
        <v>129</v>
      </c>
      <c r="BM20">
        <v>39</v>
      </c>
    </row>
    <row r="21" spans="1:65" x14ac:dyDescent="0.25">
      <c r="A21" t="s">
        <v>46</v>
      </c>
      <c r="B21">
        <v>41</v>
      </c>
      <c r="C21">
        <v>38</v>
      </c>
    </row>
    <row r="22" spans="1:65" x14ac:dyDescent="0.25">
      <c r="A22" t="s">
        <v>48</v>
      </c>
    </row>
    <row r="23" spans="1:65" x14ac:dyDescent="0.25">
      <c r="A23" t="s">
        <v>50</v>
      </c>
      <c r="F23">
        <v>7.24</v>
      </c>
      <c r="AA23">
        <v>13.9</v>
      </c>
    </row>
    <row r="24" spans="1:65" x14ac:dyDescent="0.25">
      <c r="A24" t="s">
        <v>52</v>
      </c>
    </row>
    <row r="25" spans="1:65" x14ac:dyDescent="0.25">
      <c r="A25" t="s">
        <v>53</v>
      </c>
      <c r="B25">
        <v>128</v>
      </c>
    </row>
    <row r="26" spans="1:65" x14ac:dyDescent="0.25">
      <c r="A26" t="s">
        <v>55</v>
      </c>
    </row>
    <row r="27" spans="1:65" x14ac:dyDescent="0.25">
      <c r="A27" t="s">
        <v>57</v>
      </c>
    </row>
    <row r="28" spans="1:65" x14ac:dyDescent="0.25">
      <c r="A28" t="s">
        <v>59</v>
      </c>
    </row>
    <row r="29" spans="1:65" x14ac:dyDescent="0.25">
      <c r="A29" t="s">
        <v>60</v>
      </c>
      <c r="B29">
        <v>5</v>
      </c>
    </row>
    <row r="30" spans="1:65" x14ac:dyDescent="0.25">
      <c r="A30" t="s">
        <v>62</v>
      </c>
      <c r="B30" t="s">
        <v>459</v>
      </c>
      <c r="C30" t="s">
        <v>1803</v>
      </c>
    </row>
    <row r="31" spans="1:65" x14ac:dyDescent="0.25">
      <c r="A31" t="s">
        <v>64</v>
      </c>
    </row>
    <row r="32" spans="1:65" x14ac:dyDescent="0.25">
      <c r="A32" t="s">
        <v>65</v>
      </c>
    </row>
    <row r="33" spans="1:59" x14ac:dyDescent="0.25">
      <c r="A33" t="s">
        <v>66</v>
      </c>
      <c r="B33">
        <v>17</v>
      </c>
      <c r="V33">
        <v>298</v>
      </c>
      <c r="W33">
        <v>269</v>
      </c>
      <c r="AC33">
        <v>153</v>
      </c>
    </row>
    <row r="34" spans="1:59" x14ac:dyDescent="0.25">
      <c r="A34" t="s">
        <v>68</v>
      </c>
      <c r="B34">
        <v>88</v>
      </c>
      <c r="BG34">
        <v>128</v>
      </c>
    </row>
    <row r="35" spans="1:59" x14ac:dyDescent="0.25">
      <c r="A35" t="s">
        <v>69</v>
      </c>
      <c r="B35">
        <v>176</v>
      </c>
    </row>
    <row r="36" spans="1:59" x14ac:dyDescent="0.25">
      <c r="A36" t="s">
        <v>71</v>
      </c>
      <c r="B36">
        <v>55</v>
      </c>
    </row>
    <row r="37" spans="1:59" x14ac:dyDescent="0.25">
      <c r="A37" t="s">
        <v>73</v>
      </c>
    </row>
    <row r="38" spans="1:59" x14ac:dyDescent="0.25">
      <c r="A38" t="s">
        <v>74</v>
      </c>
      <c r="B38">
        <v>69</v>
      </c>
      <c r="D38" t="s">
        <v>1979</v>
      </c>
      <c r="F38">
        <v>75</v>
      </c>
      <c r="P38" t="s">
        <v>1980</v>
      </c>
      <c r="W38" t="s">
        <v>1981</v>
      </c>
    </row>
    <row r="39" spans="1:59" x14ac:dyDescent="0.25">
      <c r="A39" t="s">
        <v>76</v>
      </c>
    </row>
    <row r="40" spans="1:59" x14ac:dyDescent="0.25">
      <c r="A40" t="s">
        <v>78</v>
      </c>
      <c r="AL40">
        <v>12</v>
      </c>
      <c r="AN40">
        <v>7</v>
      </c>
      <c r="AP40">
        <v>23</v>
      </c>
      <c r="AQ40">
        <v>47</v>
      </c>
      <c r="AR40">
        <v>55</v>
      </c>
      <c r="AS40">
        <v>82</v>
      </c>
      <c r="AT40">
        <v>148</v>
      </c>
    </row>
    <row r="41" spans="1:59" x14ac:dyDescent="0.25">
      <c r="A41" t="s">
        <v>80</v>
      </c>
      <c r="B41">
        <v>243</v>
      </c>
    </row>
    <row r="42" spans="1:59" x14ac:dyDescent="0.25">
      <c r="A42" t="s">
        <v>82</v>
      </c>
    </row>
    <row r="43" spans="1:59" x14ac:dyDescent="0.25">
      <c r="A43" t="s">
        <v>84</v>
      </c>
    </row>
    <row r="44" spans="1:59" x14ac:dyDescent="0.25">
      <c r="A44" t="s">
        <v>85</v>
      </c>
      <c r="B44">
        <v>90</v>
      </c>
      <c r="Q44">
        <v>21</v>
      </c>
    </row>
    <row r="45" spans="1:59" x14ac:dyDescent="0.25">
      <c r="A45" t="s">
        <v>87</v>
      </c>
      <c r="B45" t="s">
        <v>1982</v>
      </c>
      <c r="D45" t="s">
        <v>1982</v>
      </c>
      <c r="M45" t="s">
        <v>1983</v>
      </c>
      <c r="R45" t="s">
        <v>1984</v>
      </c>
    </row>
    <row r="46" spans="1:59" x14ac:dyDescent="0.25">
      <c r="A46" t="s">
        <v>89</v>
      </c>
    </row>
    <row r="47" spans="1:59" x14ac:dyDescent="0.25">
      <c r="A47" t="s">
        <v>91</v>
      </c>
    </row>
    <row r="48" spans="1:59" x14ac:dyDescent="0.25">
      <c r="A48" t="s">
        <v>92</v>
      </c>
    </row>
    <row r="49" spans="1:64" x14ac:dyDescent="0.25">
      <c r="A49" t="s">
        <v>93</v>
      </c>
      <c r="B49">
        <v>95</v>
      </c>
      <c r="D49">
        <v>90</v>
      </c>
      <c r="K49">
        <v>91</v>
      </c>
      <c r="Q49">
        <v>159</v>
      </c>
      <c r="U49">
        <v>136</v>
      </c>
      <c r="AB49">
        <v>116</v>
      </c>
    </row>
    <row r="50" spans="1:64" x14ac:dyDescent="0.25">
      <c r="A50" t="s">
        <v>95</v>
      </c>
      <c r="BH50">
        <v>224</v>
      </c>
      <c r="BI50">
        <v>231</v>
      </c>
      <c r="BJ50">
        <v>249</v>
      </c>
      <c r="BK50">
        <v>301</v>
      </c>
      <c r="BL50">
        <v>378</v>
      </c>
    </row>
    <row r="51" spans="1:64" x14ac:dyDescent="0.25">
      <c r="A51" t="s">
        <v>97</v>
      </c>
    </row>
    <row r="52" spans="1:64" x14ac:dyDescent="0.25">
      <c r="A52" t="s">
        <v>99</v>
      </c>
    </row>
    <row r="53" spans="1:64" x14ac:dyDescent="0.25">
      <c r="A53" t="s">
        <v>100</v>
      </c>
    </row>
    <row r="54" spans="1:64" x14ac:dyDescent="0.25">
      <c r="A54" t="s">
        <v>101</v>
      </c>
    </row>
    <row r="55" spans="1:64" x14ac:dyDescent="0.25">
      <c r="A55" t="s">
        <v>102</v>
      </c>
    </row>
    <row r="56" spans="1:64" x14ac:dyDescent="0.25">
      <c r="A56" t="s">
        <v>103</v>
      </c>
      <c r="G56">
        <v>138</v>
      </c>
    </row>
    <row r="57" spans="1:64" x14ac:dyDescent="0.25">
      <c r="A57" t="s">
        <v>105</v>
      </c>
    </row>
    <row r="58" spans="1:64" x14ac:dyDescent="0.25">
      <c r="A58" t="s">
        <v>106</v>
      </c>
    </row>
    <row r="59" spans="1:64" x14ac:dyDescent="0.25">
      <c r="A59" t="s">
        <v>107</v>
      </c>
    </row>
    <row r="60" spans="1:64" x14ac:dyDescent="0.25">
      <c r="A60" t="s">
        <v>108</v>
      </c>
    </row>
    <row r="61" spans="1:64" x14ac:dyDescent="0.25">
      <c r="A61" t="s">
        <v>109</v>
      </c>
    </row>
    <row r="62" spans="1:64" x14ac:dyDescent="0.25">
      <c r="A62" t="s">
        <v>110</v>
      </c>
    </row>
    <row r="63" spans="1:64" x14ac:dyDescent="0.25">
      <c r="A63" t="s">
        <v>111</v>
      </c>
    </row>
    <row r="64" spans="1:64" x14ac:dyDescent="0.25">
      <c r="A64" t="s">
        <v>112</v>
      </c>
    </row>
    <row r="65" spans="1:25" x14ac:dyDescent="0.25">
      <c r="A65" t="s">
        <v>113</v>
      </c>
    </row>
    <row r="66" spans="1:25" x14ac:dyDescent="0.25">
      <c r="A66" t="s">
        <v>115</v>
      </c>
    </row>
    <row r="67" spans="1:25" x14ac:dyDescent="0.25">
      <c r="A67" t="s">
        <v>116</v>
      </c>
    </row>
    <row r="68" spans="1:25" x14ac:dyDescent="0.25">
      <c r="A68" t="s">
        <v>117</v>
      </c>
    </row>
    <row r="69" spans="1:25" x14ac:dyDescent="0.25">
      <c r="A69" t="s">
        <v>119</v>
      </c>
      <c r="B69">
        <v>73</v>
      </c>
      <c r="D69">
        <v>96</v>
      </c>
      <c r="F69">
        <v>85</v>
      </c>
      <c r="P69">
        <v>79</v>
      </c>
    </row>
    <row r="70" spans="1:25" x14ac:dyDescent="0.25">
      <c r="A70" t="s">
        <v>120</v>
      </c>
    </row>
    <row r="71" spans="1:25" x14ac:dyDescent="0.25">
      <c r="A71" t="s">
        <v>122</v>
      </c>
    </row>
    <row r="72" spans="1:25" x14ac:dyDescent="0.25">
      <c r="A72" t="s">
        <v>123</v>
      </c>
    </row>
    <row r="73" spans="1:25" x14ac:dyDescent="0.25">
      <c r="A73" t="s">
        <v>125</v>
      </c>
      <c r="G73">
        <v>67</v>
      </c>
      <c r="K73">
        <v>69</v>
      </c>
      <c r="M73">
        <v>125</v>
      </c>
      <c r="Q73">
        <v>182</v>
      </c>
      <c r="R73">
        <v>274</v>
      </c>
      <c r="T73">
        <v>211</v>
      </c>
      <c r="U73">
        <v>247</v>
      </c>
      <c r="V73">
        <v>325</v>
      </c>
      <c r="W73">
        <v>516</v>
      </c>
      <c r="X73">
        <v>601</v>
      </c>
    </row>
    <row r="74" spans="1:25" x14ac:dyDescent="0.25">
      <c r="A74" t="s">
        <v>126</v>
      </c>
    </row>
    <row r="75" spans="1:25" x14ac:dyDescent="0.25">
      <c r="A75" t="s">
        <v>127</v>
      </c>
      <c r="B75">
        <v>200</v>
      </c>
      <c r="U75">
        <v>705</v>
      </c>
    </row>
    <row r="76" spans="1:25" x14ac:dyDescent="0.25">
      <c r="A76" t="s">
        <v>128</v>
      </c>
      <c r="B76">
        <v>109</v>
      </c>
      <c r="M76">
        <v>492</v>
      </c>
      <c r="Q76">
        <v>1445</v>
      </c>
    </row>
    <row r="77" spans="1:25" x14ac:dyDescent="0.25">
      <c r="A77" t="s">
        <v>131</v>
      </c>
      <c r="B77" t="s">
        <v>1985</v>
      </c>
      <c r="D77" t="s">
        <v>1986</v>
      </c>
      <c r="Y77">
        <v>96</v>
      </c>
    </row>
    <row r="78" spans="1:25" x14ac:dyDescent="0.25">
      <c r="A78" t="s">
        <v>133</v>
      </c>
    </row>
    <row r="79" spans="1:25" x14ac:dyDescent="0.25">
      <c r="A79" t="s">
        <v>134</v>
      </c>
      <c r="B79" t="s">
        <v>1987</v>
      </c>
    </row>
    <row r="80" spans="1:25" x14ac:dyDescent="0.25">
      <c r="A80" t="s">
        <v>136</v>
      </c>
    </row>
    <row r="81" spans="1:23" x14ac:dyDescent="0.25">
      <c r="A81" t="s">
        <v>138</v>
      </c>
      <c r="B81">
        <v>120</v>
      </c>
      <c r="D81" t="s">
        <v>1988</v>
      </c>
      <c r="G81" t="s">
        <v>1989</v>
      </c>
      <c r="M81">
        <v>129</v>
      </c>
    </row>
    <row r="82" spans="1:23" x14ac:dyDescent="0.25">
      <c r="A82" t="s">
        <v>140</v>
      </c>
      <c r="W82">
        <v>2.14</v>
      </c>
    </row>
    <row r="83" spans="1:23" x14ac:dyDescent="0.25">
      <c r="A83" t="s">
        <v>142</v>
      </c>
    </row>
    <row r="84" spans="1:23" x14ac:dyDescent="0.25">
      <c r="A84" t="s">
        <v>143</v>
      </c>
    </row>
    <row r="85" spans="1:23" x14ac:dyDescent="0.25">
      <c r="A85" t="s">
        <v>144</v>
      </c>
    </row>
    <row r="86" spans="1:23" x14ac:dyDescent="0.25">
      <c r="A86" t="s">
        <v>145</v>
      </c>
    </row>
    <row r="87" spans="1:23" x14ac:dyDescent="0.25">
      <c r="A87" t="s">
        <v>146</v>
      </c>
    </row>
    <row r="88" spans="1:23" x14ac:dyDescent="0.25">
      <c r="A88" t="s">
        <v>147</v>
      </c>
    </row>
    <row r="89" spans="1:23" x14ac:dyDescent="0.25">
      <c r="A89" t="s">
        <v>148</v>
      </c>
    </row>
    <row r="90" spans="1:23" x14ac:dyDescent="0.25">
      <c r="A90" t="s">
        <v>149</v>
      </c>
    </row>
    <row r="91" spans="1:23" x14ac:dyDescent="0.25">
      <c r="A91" t="s">
        <v>150</v>
      </c>
      <c r="B91" t="s">
        <v>1990</v>
      </c>
    </row>
    <row r="92" spans="1:23" x14ac:dyDescent="0.25">
      <c r="A92" t="s">
        <v>151</v>
      </c>
    </row>
    <row r="94" spans="1:23" x14ac:dyDescent="0.25">
      <c r="A94" t="s">
        <v>321</v>
      </c>
    </row>
    <row r="95" spans="1:23" x14ac:dyDescent="0.25">
      <c r="A95" t="s">
        <v>152</v>
      </c>
      <c r="B95">
        <v>64</v>
      </c>
      <c r="C95">
        <v>61</v>
      </c>
    </row>
    <row r="96" spans="1:23" x14ac:dyDescent="0.25">
      <c r="A96" t="s">
        <v>153</v>
      </c>
      <c r="B96">
        <v>11.8</v>
      </c>
      <c r="D96">
        <v>26</v>
      </c>
      <c r="F96">
        <v>24</v>
      </c>
      <c r="G96">
        <v>23</v>
      </c>
      <c r="H96">
        <v>32</v>
      </c>
      <c r="I96">
        <v>36</v>
      </c>
      <c r="J96">
        <v>42</v>
      </c>
      <c r="K96">
        <v>43</v>
      </c>
    </row>
    <row r="97" spans="1:58" x14ac:dyDescent="0.25">
      <c r="A97" t="s">
        <v>155</v>
      </c>
    </row>
    <row r="98" spans="1:58" x14ac:dyDescent="0.25">
      <c r="A98" t="s">
        <v>157</v>
      </c>
      <c r="B98">
        <v>207</v>
      </c>
      <c r="G98">
        <v>317</v>
      </c>
      <c r="Q98">
        <v>257</v>
      </c>
      <c r="W98">
        <v>141</v>
      </c>
    </row>
    <row r="99" spans="1:58" x14ac:dyDescent="0.25">
      <c r="A99" t="s">
        <v>158</v>
      </c>
      <c r="B99" t="s">
        <v>923</v>
      </c>
      <c r="D99" t="s">
        <v>923</v>
      </c>
      <c r="F99" t="s">
        <v>923</v>
      </c>
      <c r="G99" t="s">
        <v>923</v>
      </c>
      <c r="K99">
        <v>97</v>
      </c>
      <c r="L99">
        <v>82</v>
      </c>
      <c r="M99">
        <v>78</v>
      </c>
      <c r="N99">
        <v>75</v>
      </c>
      <c r="O99">
        <v>73</v>
      </c>
      <c r="P99">
        <v>55</v>
      </c>
    </row>
    <row r="100" spans="1:58" x14ac:dyDescent="0.25">
      <c r="A100" t="s">
        <v>160</v>
      </c>
    </row>
    <row r="101" spans="1:58" x14ac:dyDescent="0.25">
      <c r="A101" t="s">
        <v>162</v>
      </c>
    </row>
    <row r="102" spans="1:58" x14ac:dyDescent="0.25">
      <c r="A102" t="s">
        <v>163</v>
      </c>
      <c r="D102">
        <v>213</v>
      </c>
    </row>
    <row r="103" spans="1:58" x14ac:dyDescent="0.25">
      <c r="A103" t="s">
        <v>164</v>
      </c>
    </row>
    <row r="104" spans="1:58" x14ac:dyDescent="0.25">
      <c r="A104" t="s">
        <v>165</v>
      </c>
    </row>
    <row r="105" spans="1:58" x14ac:dyDescent="0.25">
      <c r="A105" t="s">
        <v>166</v>
      </c>
      <c r="B105">
        <v>89</v>
      </c>
      <c r="D105">
        <v>105</v>
      </c>
      <c r="F105">
        <v>86</v>
      </c>
    </row>
    <row r="106" spans="1:58" x14ac:dyDescent="0.25">
      <c r="A106" t="s">
        <v>167</v>
      </c>
    </row>
    <row r="107" spans="1:58" x14ac:dyDescent="0.25">
      <c r="A107" t="s">
        <v>169</v>
      </c>
    </row>
    <row r="108" spans="1:58" x14ac:dyDescent="0.25">
      <c r="A108" t="s">
        <v>170</v>
      </c>
    </row>
    <row r="109" spans="1:58" x14ac:dyDescent="0.25">
      <c r="A109" t="s">
        <v>172</v>
      </c>
    </row>
    <row r="110" spans="1:58" x14ac:dyDescent="0.25">
      <c r="A110" t="s">
        <v>173</v>
      </c>
      <c r="B110">
        <v>50</v>
      </c>
      <c r="C110">
        <v>46</v>
      </c>
      <c r="D110">
        <v>44</v>
      </c>
      <c r="E110">
        <v>50</v>
      </c>
      <c r="F110">
        <v>55</v>
      </c>
      <c r="G110">
        <v>78</v>
      </c>
      <c r="M110">
        <v>86</v>
      </c>
    </row>
    <row r="111" spans="1:58" x14ac:dyDescent="0.25">
      <c r="A111" t="s">
        <v>175</v>
      </c>
      <c r="B111">
        <v>14</v>
      </c>
      <c r="AW111">
        <v>12</v>
      </c>
      <c r="AX111">
        <v>366</v>
      </c>
      <c r="AY111">
        <v>143</v>
      </c>
      <c r="AZ111">
        <v>158</v>
      </c>
      <c r="BA111">
        <v>403</v>
      </c>
      <c r="BB111">
        <v>326</v>
      </c>
      <c r="BC111">
        <v>236</v>
      </c>
      <c r="BD111">
        <v>182</v>
      </c>
      <c r="BE111">
        <v>172</v>
      </c>
      <c r="BF111">
        <v>129</v>
      </c>
    </row>
    <row r="112" spans="1:58" x14ac:dyDescent="0.25">
      <c r="A112" t="s">
        <v>176</v>
      </c>
    </row>
    <row r="113" spans="1:48" x14ac:dyDescent="0.25">
      <c r="A113" t="s">
        <v>177</v>
      </c>
    </row>
    <row r="114" spans="1:48" x14ac:dyDescent="0.25">
      <c r="A114" t="s">
        <v>178</v>
      </c>
    </row>
    <row r="115" spans="1:48" x14ac:dyDescent="0.25">
      <c r="A115" t="s">
        <v>179</v>
      </c>
    </row>
    <row r="116" spans="1:48" x14ac:dyDescent="0.25">
      <c r="A116" t="s">
        <v>182</v>
      </c>
    </row>
    <row r="117" spans="1:48" x14ac:dyDescent="0.25">
      <c r="A117" t="s">
        <v>183</v>
      </c>
      <c r="D117">
        <v>111</v>
      </c>
      <c r="G117">
        <v>55</v>
      </c>
    </row>
    <row r="118" spans="1:48" x14ac:dyDescent="0.25">
      <c r="A118" t="s">
        <v>185</v>
      </c>
      <c r="B118">
        <v>65</v>
      </c>
      <c r="P118">
        <v>99</v>
      </c>
    </row>
    <row r="119" spans="1:48" x14ac:dyDescent="0.25">
      <c r="A119" t="s">
        <v>187</v>
      </c>
    </row>
    <row r="120" spans="1:48" x14ac:dyDescent="0.25">
      <c r="A120" t="s">
        <v>189</v>
      </c>
      <c r="D120">
        <v>201</v>
      </c>
      <c r="F120">
        <v>180</v>
      </c>
      <c r="G120">
        <v>177</v>
      </c>
      <c r="M120">
        <v>246</v>
      </c>
      <c r="U120">
        <v>41</v>
      </c>
      <c r="V120">
        <v>70</v>
      </c>
    </row>
    <row r="121" spans="1:48" x14ac:dyDescent="0.25">
      <c r="A121" t="s">
        <v>191</v>
      </c>
      <c r="B121">
        <v>192</v>
      </c>
      <c r="F121">
        <v>91</v>
      </c>
    </row>
    <row r="122" spans="1:48" x14ac:dyDescent="0.25">
      <c r="A122" t="s">
        <v>192</v>
      </c>
    </row>
    <row r="123" spans="1:48" x14ac:dyDescent="0.25">
      <c r="A123" t="s">
        <v>194</v>
      </c>
    </row>
    <row r="124" spans="1:48" x14ac:dyDescent="0.25">
      <c r="A124" t="s">
        <v>196</v>
      </c>
    </row>
    <row r="125" spans="1:48" x14ac:dyDescent="0.25">
      <c r="A125" t="s">
        <v>197</v>
      </c>
      <c r="B125">
        <v>72</v>
      </c>
      <c r="AL125">
        <v>78</v>
      </c>
      <c r="AM125">
        <v>96</v>
      </c>
    </row>
    <row r="126" spans="1:48" x14ac:dyDescent="0.25">
      <c r="A126" t="s">
        <v>199</v>
      </c>
      <c r="B126">
        <v>280</v>
      </c>
      <c r="AV126">
        <v>25</v>
      </c>
    </row>
    <row r="127" spans="1:48" x14ac:dyDescent="0.25">
      <c r="A127" t="s">
        <v>200</v>
      </c>
    </row>
    <row r="128" spans="1:48" x14ac:dyDescent="0.25">
      <c r="A128" t="s">
        <v>201</v>
      </c>
    </row>
    <row r="129" spans="1:35" x14ac:dyDescent="0.25">
      <c r="A129" t="s">
        <v>202</v>
      </c>
      <c r="B129">
        <v>60</v>
      </c>
      <c r="M129">
        <v>58</v>
      </c>
      <c r="W129">
        <v>42</v>
      </c>
      <c r="AD129">
        <v>31</v>
      </c>
      <c r="AI129">
        <v>23</v>
      </c>
    </row>
    <row r="130" spans="1:35" x14ac:dyDescent="0.25">
      <c r="A130" t="s">
        <v>294</v>
      </c>
      <c r="B130">
        <v>225</v>
      </c>
    </row>
    <row r="131" spans="1:35" x14ac:dyDescent="0.25">
      <c r="A131" t="s">
        <v>207</v>
      </c>
      <c r="B131">
        <v>12</v>
      </c>
    </row>
    <row r="132" spans="1:35" x14ac:dyDescent="0.25">
      <c r="A132" t="s">
        <v>208</v>
      </c>
    </row>
    <row r="133" spans="1:35" x14ac:dyDescent="0.25">
      <c r="A133" t="s">
        <v>1589</v>
      </c>
    </row>
    <row r="134" spans="1:35" x14ac:dyDescent="0.25">
      <c r="A134" t="s">
        <v>209</v>
      </c>
      <c r="M134">
        <v>27</v>
      </c>
    </row>
    <row r="135" spans="1:35" x14ac:dyDescent="0.25">
      <c r="A135" t="s">
        <v>211</v>
      </c>
      <c r="Q135">
        <v>75</v>
      </c>
    </row>
    <row r="136" spans="1:35" x14ac:dyDescent="0.25">
      <c r="A136" t="s">
        <v>212</v>
      </c>
      <c r="B136">
        <v>27</v>
      </c>
    </row>
    <row r="137" spans="1:35" x14ac:dyDescent="0.25">
      <c r="A137" t="s">
        <v>214</v>
      </c>
      <c r="B137" t="s">
        <v>1952</v>
      </c>
    </row>
    <row r="138" spans="1:35" x14ac:dyDescent="0.25">
      <c r="A138" t="s">
        <v>216</v>
      </c>
      <c r="B138">
        <v>72</v>
      </c>
    </row>
    <row r="139" spans="1:35" x14ac:dyDescent="0.25">
      <c r="A139" t="s">
        <v>218</v>
      </c>
    </row>
    <row r="140" spans="1:35" x14ac:dyDescent="0.25">
      <c r="A140" t="s">
        <v>220</v>
      </c>
    </row>
    <row r="141" spans="1:35" x14ac:dyDescent="0.25">
      <c r="A141" t="s">
        <v>222</v>
      </c>
      <c r="B141" t="s">
        <v>1953</v>
      </c>
    </row>
    <row r="142" spans="1:35" x14ac:dyDescent="0.25">
      <c r="A142" t="s">
        <v>224</v>
      </c>
    </row>
    <row r="143" spans="1:35" x14ac:dyDescent="0.25">
      <c r="A143" t="s">
        <v>225</v>
      </c>
      <c r="B143">
        <v>18</v>
      </c>
    </row>
    <row r="144" spans="1:35" x14ac:dyDescent="0.25">
      <c r="A144" t="s">
        <v>227</v>
      </c>
      <c r="B144">
        <v>133</v>
      </c>
    </row>
    <row r="145" spans="1:23" x14ac:dyDescent="0.25">
      <c r="A145" t="s">
        <v>229</v>
      </c>
      <c r="B145">
        <v>22</v>
      </c>
    </row>
    <row r="146" spans="1:23" x14ac:dyDescent="0.25">
      <c r="A146" t="s">
        <v>231</v>
      </c>
      <c r="B146">
        <v>167</v>
      </c>
    </row>
    <row r="147" spans="1:23" x14ac:dyDescent="0.25">
      <c r="A147" t="s">
        <v>232</v>
      </c>
      <c r="D147">
        <v>53</v>
      </c>
    </row>
    <row r="148" spans="1:23" x14ac:dyDescent="0.25">
      <c r="A148" t="s">
        <v>234</v>
      </c>
      <c r="W148">
        <v>162</v>
      </c>
    </row>
    <row r="149" spans="1:23" x14ac:dyDescent="0.25">
      <c r="A149" t="s">
        <v>236</v>
      </c>
    </row>
    <row r="150" spans="1:23" x14ac:dyDescent="0.25">
      <c r="A150" t="s">
        <v>1322</v>
      </c>
    </row>
    <row r="151" spans="1:23" x14ac:dyDescent="0.25">
      <c r="A151" t="s">
        <v>1323</v>
      </c>
    </row>
    <row r="152" spans="1:23" x14ac:dyDescent="0.25">
      <c r="A152" t="s">
        <v>1324</v>
      </c>
    </row>
    <row r="153" spans="1:23" x14ac:dyDescent="0.25">
      <c r="A153" t="s">
        <v>1325</v>
      </c>
    </row>
    <row r="154" spans="1:23" x14ac:dyDescent="0.25">
      <c r="A154" t="s">
        <v>1326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D67"/>
  <sheetViews>
    <sheetView topLeftCell="A19" workbookViewId="0">
      <selection activeCell="H10" sqref="H10"/>
    </sheetView>
  </sheetViews>
  <sheetFormatPr defaultColWidth="9.140625" defaultRowHeight="15" x14ac:dyDescent="0.25"/>
  <cols>
    <col min="1" max="1" width="18.140625" bestFit="1" customWidth="1"/>
    <col min="2" max="2" width="6.85546875" bestFit="1" customWidth="1"/>
    <col min="3" max="3" width="81.140625" bestFit="1" customWidth="1"/>
    <col min="4" max="4" width="30.42578125" bestFit="1" customWidth="1"/>
  </cols>
  <sheetData>
    <row r="1" spans="1:4" x14ac:dyDescent="0.25">
      <c r="A1" s="25" t="s">
        <v>0</v>
      </c>
      <c r="B1" s="25" t="s">
        <v>2238</v>
      </c>
      <c r="C1" s="25" t="s">
        <v>2081</v>
      </c>
      <c r="D1" s="25" t="s">
        <v>2118</v>
      </c>
    </row>
    <row r="2" spans="1:4" x14ac:dyDescent="0.25">
      <c r="A2" t="s">
        <v>11</v>
      </c>
      <c r="B2" t="s">
        <v>2238</v>
      </c>
      <c r="C2" t="s">
        <v>2232</v>
      </c>
      <c r="D2">
        <v>1</v>
      </c>
    </row>
    <row r="3" spans="1:4" x14ac:dyDescent="0.25">
      <c r="A3" t="s">
        <v>16</v>
      </c>
      <c r="B3" t="s">
        <v>2238</v>
      </c>
      <c r="C3" t="s">
        <v>2232</v>
      </c>
      <c r="D3">
        <v>1</v>
      </c>
    </row>
    <row r="4" spans="1:4" ht="45" x14ac:dyDescent="0.25">
      <c r="A4" t="s">
        <v>22</v>
      </c>
      <c r="B4" t="s">
        <v>2238</v>
      </c>
      <c r="C4" s="21" t="s">
        <v>2559</v>
      </c>
      <c r="D4">
        <v>18</v>
      </c>
    </row>
    <row r="5" spans="1:4" x14ac:dyDescent="0.25">
      <c r="A5" t="s">
        <v>24</v>
      </c>
      <c r="B5" t="s">
        <v>2238</v>
      </c>
      <c r="C5" t="s">
        <v>2239</v>
      </c>
      <c r="D5">
        <v>2</v>
      </c>
    </row>
    <row r="6" spans="1:4" x14ac:dyDescent="0.25">
      <c r="A6" t="s">
        <v>26</v>
      </c>
      <c r="B6" t="s">
        <v>2238</v>
      </c>
      <c r="C6" t="s">
        <v>2240</v>
      </c>
      <c r="D6">
        <v>8</v>
      </c>
    </row>
    <row r="7" spans="1:4" x14ac:dyDescent="0.25">
      <c r="A7" t="s">
        <v>28</v>
      </c>
      <c r="B7" t="s">
        <v>2238</v>
      </c>
      <c r="C7" t="s">
        <v>2232</v>
      </c>
      <c r="D7">
        <v>1</v>
      </c>
    </row>
    <row r="8" spans="1:4" x14ac:dyDescent="0.25">
      <c r="A8" t="s">
        <v>30</v>
      </c>
      <c r="B8" t="s">
        <v>2238</v>
      </c>
      <c r="C8" t="s">
        <v>465</v>
      </c>
      <c r="D8">
        <v>1</v>
      </c>
    </row>
    <row r="9" spans="1:4" x14ac:dyDescent="0.25">
      <c r="A9" t="s">
        <v>32</v>
      </c>
      <c r="B9" t="s">
        <v>2238</v>
      </c>
      <c r="C9" t="s">
        <v>2232</v>
      </c>
      <c r="D9">
        <v>1</v>
      </c>
    </row>
    <row r="10" spans="1:4" x14ac:dyDescent="0.25">
      <c r="A10" t="s">
        <v>34</v>
      </c>
      <c r="B10" t="s">
        <v>2238</v>
      </c>
      <c r="C10" t="s">
        <v>2241</v>
      </c>
      <c r="D10">
        <v>6</v>
      </c>
    </row>
    <row r="11" spans="1:4" x14ac:dyDescent="0.25">
      <c r="A11" t="s">
        <v>40</v>
      </c>
      <c r="B11" t="s">
        <v>2238</v>
      </c>
      <c r="C11" t="s">
        <v>406</v>
      </c>
      <c r="D11">
        <v>1</v>
      </c>
    </row>
    <row r="12" spans="1:4" x14ac:dyDescent="0.25">
      <c r="A12" t="s">
        <v>44</v>
      </c>
      <c r="B12" t="s">
        <v>2238</v>
      </c>
      <c r="C12" t="s">
        <v>2242</v>
      </c>
      <c r="D12">
        <v>2</v>
      </c>
    </row>
    <row r="13" spans="1:4" x14ac:dyDescent="0.25">
      <c r="A13" t="s">
        <v>46</v>
      </c>
      <c r="B13" t="s">
        <v>2238</v>
      </c>
      <c r="C13" t="s">
        <v>2239</v>
      </c>
      <c r="D13">
        <v>2</v>
      </c>
    </row>
    <row r="14" spans="1:4" x14ac:dyDescent="0.25">
      <c r="A14" t="s">
        <v>50</v>
      </c>
      <c r="B14" t="s">
        <v>2238</v>
      </c>
      <c r="C14" t="s">
        <v>2243</v>
      </c>
      <c r="D14">
        <v>2</v>
      </c>
    </row>
    <row r="15" spans="1:4" x14ac:dyDescent="0.25">
      <c r="A15" t="s">
        <v>53</v>
      </c>
      <c r="B15" t="s">
        <v>2238</v>
      </c>
      <c r="C15" t="s">
        <v>2232</v>
      </c>
      <c r="D15">
        <v>1</v>
      </c>
    </row>
    <row r="16" spans="1:4" x14ac:dyDescent="0.25">
      <c r="A16" t="s">
        <v>60</v>
      </c>
      <c r="B16" t="s">
        <v>2238</v>
      </c>
      <c r="C16" t="s">
        <v>2232</v>
      </c>
      <c r="D16">
        <v>1</v>
      </c>
    </row>
    <row r="17" spans="1:4" x14ac:dyDescent="0.25">
      <c r="A17" t="s">
        <v>62</v>
      </c>
      <c r="B17" t="s">
        <v>2238</v>
      </c>
      <c r="C17" t="s">
        <v>2239</v>
      </c>
      <c r="D17">
        <v>2</v>
      </c>
    </row>
    <row r="18" spans="1:4" x14ac:dyDescent="0.25">
      <c r="A18" t="s">
        <v>66</v>
      </c>
      <c r="B18" t="s">
        <v>2238</v>
      </c>
      <c r="C18" t="s">
        <v>2244</v>
      </c>
      <c r="D18">
        <v>4</v>
      </c>
    </row>
    <row r="19" spans="1:4" x14ac:dyDescent="0.25">
      <c r="A19" t="s">
        <v>68</v>
      </c>
      <c r="B19" t="s">
        <v>2238</v>
      </c>
      <c r="C19" t="s">
        <v>2245</v>
      </c>
      <c r="D19">
        <v>2</v>
      </c>
    </row>
    <row r="20" spans="1:4" x14ac:dyDescent="0.25">
      <c r="A20" t="s">
        <v>69</v>
      </c>
      <c r="B20" t="s">
        <v>2238</v>
      </c>
      <c r="C20" t="s">
        <v>2232</v>
      </c>
      <c r="D20">
        <v>1</v>
      </c>
    </row>
    <row r="21" spans="1:4" x14ac:dyDescent="0.25">
      <c r="A21" t="s">
        <v>71</v>
      </c>
      <c r="B21" t="s">
        <v>2238</v>
      </c>
      <c r="C21" t="s">
        <v>2232</v>
      </c>
      <c r="D21">
        <v>1</v>
      </c>
    </row>
    <row r="22" spans="1:4" x14ac:dyDescent="0.25">
      <c r="A22" t="s">
        <v>74</v>
      </c>
      <c r="B22" t="s">
        <v>2238</v>
      </c>
      <c r="C22" t="s">
        <v>2246</v>
      </c>
      <c r="D22">
        <v>5</v>
      </c>
    </row>
    <row r="23" spans="1:4" x14ac:dyDescent="0.25">
      <c r="A23" t="s">
        <v>78</v>
      </c>
      <c r="B23" t="s">
        <v>2238</v>
      </c>
      <c r="C23" t="s">
        <v>2247</v>
      </c>
      <c r="D23">
        <v>7</v>
      </c>
    </row>
    <row r="24" spans="1:4" x14ac:dyDescent="0.25">
      <c r="A24" t="s">
        <v>80</v>
      </c>
      <c r="B24" t="s">
        <v>2238</v>
      </c>
      <c r="C24" t="s">
        <v>2232</v>
      </c>
      <c r="D24">
        <v>1</v>
      </c>
    </row>
    <row r="25" spans="1:4" x14ac:dyDescent="0.25">
      <c r="A25" t="s">
        <v>85</v>
      </c>
      <c r="B25" t="s">
        <v>2238</v>
      </c>
      <c r="C25" t="s">
        <v>2248</v>
      </c>
      <c r="D25">
        <v>2</v>
      </c>
    </row>
    <row r="26" spans="1:4" x14ac:dyDescent="0.25">
      <c r="A26" t="s">
        <v>87</v>
      </c>
      <c r="B26" t="s">
        <v>2238</v>
      </c>
      <c r="C26" t="s">
        <v>2249</v>
      </c>
      <c r="D26">
        <v>4</v>
      </c>
    </row>
    <row r="27" spans="1:4" x14ac:dyDescent="0.25">
      <c r="A27" t="s">
        <v>93</v>
      </c>
      <c r="B27" t="s">
        <v>2238</v>
      </c>
      <c r="C27" t="s">
        <v>2250</v>
      </c>
      <c r="D27">
        <v>6</v>
      </c>
    </row>
    <row r="28" spans="1:4" x14ac:dyDescent="0.25">
      <c r="A28" t="s">
        <v>95</v>
      </c>
      <c r="B28" t="s">
        <v>2238</v>
      </c>
      <c r="C28" t="s">
        <v>2251</v>
      </c>
      <c r="D28">
        <v>5</v>
      </c>
    </row>
    <row r="29" spans="1:4" x14ac:dyDescent="0.25">
      <c r="A29" t="s">
        <v>103</v>
      </c>
      <c r="B29" t="s">
        <v>2238</v>
      </c>
      <c r="C29" t="s">
        <v>841</v>
      </c>
      <c r="D29">
        <v>1</v>
      </c>
    </row>
    <row r="30" spans="1:4" x14ac:dyDescent="0.25">
      <c r="A30" t="s">
        <v>119</v>
      </c>
      <c r="B30" t="s">
        <v>2238</v>
      </c>
      <c r="C30" t="s">
        <v>2252</v>
      </c>
      <c r="D30">
        <v>4</v>
      </c>
    </row>
    <row r="31" spans="1:4" x14ac:dyDescent="0.25">
      <c r="A31" t="s">
        <v>125</v>
      </c>
      <c r="B31" t="s">
        <v>2238</v>
      </c>
      <c r="C31" t="s">
        <v>2253</v>
      </c>
      <c r="D31">
        <v>10</v>
      </c>
    </row>
    <row r="32" spans="1:4" x14ac:dyDescent="0.25">
      <c r="A32" t="s">
        <v>127</v>
      </c>
      <c r="B32" t="s">
        <v>2238</v>
      </c>
      <c r="C32" t="s">
        <v>2254</v>
      </c>
      <c r="D32">
        <v>2</v>
      </c>
    </row>
    <row r="33" spans="1:4" x14ac:dyDescent="0.25">
      <c r="A33" t="s">
        <v>128</v>
      </c>
      <c r="B33" t="s">
        <v>2238</v>
      </c>
      <c r="C33" t="s">
        <v>2255</v>
      </c>
      <c r="D33">
        <v>3</v>
      </c>
    </row>
    <row r="34" spans="1:4" x14ac:dyDescent="0.25">
      <c r="A34" t="s">
        <v>131</v>
      </c>
      <c r="B34" t="s">
        <v>2238</v>
      </c>
      <c r="C34" t="s">
        <v>2256</v>
      </c>
      <c r="D34">
        <v>3</v>
      </c>
    </row>
    <row r="35" spans="1:4" x14ac:dyDescent="0.25">
      <c r="A35" t="s">
        <v>134</v>
      </c>
      <c r="B35" t="s">
        <v>2238</v>
      </c>
      <c r="C35" t="s">
        <v>2232</v>
      </c>
      <c r="D35">
        <v>1</v>
      </c>
    </row>
    <row r="36" spans="1:4" x14ac:dyDescent="0.25">
      <c r="A36" t="s">
        <v>138</v>
      </c>
      <c r="B36" t="s">
        <v>2238</v>
      </c>
      <c r="C36" t="s">
        <v>2257</v>
      </c>
      <c r="D36">
        <v>4</v>
      </c>
    </row>
    <row r="37" spans="1:4" x14ac:dyDescent="0.25">
      <c r="A37" t="s">
        <v>140</v>
      </c>
      <c r="B37" t="s">
        <v>2238</v>
      </c>
      <c r="C37" t="s">
        <v>397</v>
      </c>
      <c r="D37">
        <v>1</v>
      </c>
    </row>
    <row r="38" spans="1:4" x14ac:dyDescent="0.25">
      <c r="A38" t="s">
        <v>150</v>
      </c>
      <c r="B38" t="s">
        <v>2238</v>
      </c>
      <c r="C38" t="s">
        <v>2232</v>
      </c>
      <c r="D38">
        <v>1</v>
      </c>
    </row>
    <row r="39" spans="1:4" x14ac:dyDescent="0.25">
      <c r="A39" t="s">
        <v>152</v>
      </c>
      <c r="B39" t="s">
        <v>2238</v>
      </c>
      <c r="C39" t="s">
        <v>2239</v>
      </c>
      <c r="D39">
        <v>2</v>
      </c>
    </row>
    <row r="40" spans="1:4" x14ac:dyDescent="0.25">
      <c r="A40" t="s">
        <v>153</v>
      </c>
      <c r="B40" t="s">
        <v>2238</v>
      </c>
      <c r="C40" t="s">
        <v>2258</v>
      </c>
      <c r="D40">
        <v>8</v>
      </c>
    </row>
    <row r="41" spans="1:4" x14ac:dyDescent="0.25">
      <c r="A41" t="s">
        <v>157</v>
      </c>
      <c r="B41" t="s">
        <v>2238</v>
      </c>
      <c r="C41" t="s">
        <v>2259</v>
      </c>
      <c r="D41">
        <v>4</v>
      </c>
    </row>
    <row r="42" spans="1:4" x14ac:dyDescent="0.25">
      <c r="A42" t="s">
        <v>158</v>
      </c>
      <c r="B42" t="s">
        <v>2238</v>
      </c>
      <c r="C42" t="s">
        <v>2260</v>
      </c>
      <c r="D42">
        <v>10</v>
      </c>
    </row>
    <row r="43" spans="1:4" x14ac:dyDescent="0.25">
      <c r="A43" t="s">
        <v>163</v>
      </c>
      <c r="B43" t="s">
        <v>2238</v>
      </c>
      <c r="C43" t="s">
        <v>638</v>
      </c>
      <c r="D43">
        <v>1</v>
      </c>
    </row>
    <row r="44" spans="1:4" x14ac:dyDescent="0.25">
      <c r="A44" t="s">
        <v>166</v>
      </c>
      <c r="B44" t="s">
        <v>2238</v>
      </c>
      <c r="C44" t="s">
        <v>2261</v>
      </c>
      <c r="D44">
        <v>3</v>
      </c>
    </row>
    <row r="45" spans="1:4" x14ac:dyDescent="0.25">
      <c r="A45" t="s">
        <v>173</v>
      </c>
      <c r="B45" t="s">
        <v>2238</v>
      </c>
      <c r="C45" t="s">
        <v>2262</v>
      </c>
      <c r="D45">
        <v>7</v>
      </c>
    </row>
    <row r="46" spans="1:4" x14ac:dyDescent="0.25">
      <c r="A46" t="s">
        <v>175</v>
      </c>
      <c r="B46" t="s">
        <v>2238</v>
      </c>
      <c r="C46" t="s">
        <v>2263</v>
      </c>
      <c r="D46">
        <v>11</v>
      </c>
    </row>
    <row r="47" spans="1:4" x14ac:dyDescent="0.25">
      <c r="A47" t="s">
        <v>183</v>
      </c>
      <c r="B47" t="s">
        <v>2238</v>
      </c>
      <c r="C47" t="s">
        <v>2264</v>
      </c>
      <c r="D47">
        <v>2</v>
      </c>
    </row>
    <row r="48" spans="1:4" x14ac:dyDescent="0.25">
      <c r="A48" t="s">
        <v>185</v>
      </c>
      <c r="B48" t="s">
        <v>2238</v>
      </c>
      <c r="C48" t="s">
        <v>2265</v>
      </c>
      <c r="D48">
        <v>2</v>
      </c>
    </row>
    <row r="49" spans="1:4" x14ac:dyDescent="0.25">
      <c r="A49" t="s">
        <v>189</v>
      </c>
      <c r="B49" t="s">
        <v>2238</v>
      </c>
      <c r="C49" t="s">
        <v>2266</v>
      </c>
      <c r="D49">
        <v>6</v>
      </c>
    </row>
    <row r="50" spans="1:4" x14ac:dyDescent="0.25">
      <c r="A50" t="s">
        <v>191</v>
      </c>
      <c r="B50" t="s">
        <v>2238</v>
      </c>
      <c r="C50" t="s">
        <v>2267</v>
      </c>
      <c r="D50">
        <v>2</v>
      </c>
    </row>
    <row r="51" spans="1:4" x14ac:dyDescent="0.25">
      <c r="A51" t="s">
        <v>197</v>
      </c>
      <c r="B51" t="s">
        <v>2238</v>
      </c>
      <c r="C51" t="s">
        <v>2268</v>
      </c>
      <c r="D51">
        <v>3</v>
      </c>
    </row>
    <row r="52" spans="1:4" x14ac:dyDescent="0.25">
      <c r="A52" t="s">
        <v>199</v>
      </c>
      <c r="B52" t="s">
        <v>2238</v>
      </c>
      <c r="C52" t="s">
        <v>2269</v>
      </c>
      <c r="D52">
        <v>2</v>
      </c>
    </row>
    <row r="53" spans="1:4" x14ac:dyDescent="0.25">
      <c r="A53" t="s">
        <v>202</v>
      </c>
      <c r="B53" t="s">
        <v>2238</v>
      </c>
      <c r="C53" t="s">
        <v>2270</v>
      </c>
      <c r="D53">
        <v>5</v>
      </c>
    </row>
    <row r="54" spans="1:4" x14ac:dyDescent="0.25">
      <c r="A54" t="s">
        <v>294</v>
      </c>
      <c r="B54" t="s">
        <v>2238</v>
      </c>
      <c r="C54" t="s">
        <v>2232</v>
      </c>
      <c r="D54">
        <v>1</v>
      </c>
    </row>
    <row r="55" spans="1:4" x14ac:dyDescent="0.25">
      <c r="A55" t="s">
        <v>207</v>
      </c>
      <c r="B55" t="s">
        <v>2238</v>
      </c>
      <c r="C55" t="s">
        <v>2232</v>
      </c>
      <c r="D55">
        <v>1</v>
      </c>
    </row>
    <row r="56" spans="1:4" x14ac:dyDescent="0.25">
      <c r="A56" t="s">
        <v>209</v>
      </c>
      <c r="B56" t="s">
        <v>2238</v>
      </c>
      <c r="C56" t="s">
        <v>772</v>
      </c>
      <c r="D56">
        <v>1</v>
      </c>
    </row>
    <row r="57" spans="1:4" x14ac:dyDescent="0.25">
      <c r="A57" t="s">
        <v>211</v>
      </c>
      <c r="B57" t="s">
        <v>2238</v>
      </c>
      <c r="C57" t="s">
        <v>395</v>
      </c>
      <c r="D57">
        <v>1</v>
      </c>
    </row>
    <row r="58" spans="1:4" x14ac:dyDescent="0.25">
      <c r="A58" t="s">
        <v>212</v>
      </c>
      <c r="B58" t="s">
        <v>2238</v>
      </c>
      <c r="C58" t="s">
        <v>2232</v>
      </c>
      <c r="D58">
        <v>1</v>
      </c>
    </row>
    <row r="59" spans="1:4" x14ac:dyDescent="0.25">
      <c r="A59" t="s">
        <v>214</v>
      </c>
      <c r="B59" t="s">
        <v>2238</v>
      </c>
      <c r="C59" t="s">
        <v>2232</v>
      </c>
      <c r="D59">
        <v>1</v>
      </c>
    </row>
    <row r="60" spans="1:4" x14ac:dyDescent="0.25">
      <c r="A60" t="s">
        <v>216</v>
      </c>
      <c r="B60" t="s">
        <v>2238</v>
      </c>
      <c r="C60" t="s">
        <v>2232</v>
      </c>
      <c r="D60">
        <v>1</v>
      </c>
    </row>
    <row r="61" spans="1:4" x14ac:dyDescent="0.25">
      <c r="A61" t="s">
        <v>222</v>
      </c>
      <c r="B61" t="s">
        <v>2238</v>
      </c>
      <c r="C61" t="s">
        <v>2232</v>
      </c>
      <c r="D61">
        <v>1</v>
      </c>
    </row>
    <row r="62" spans="1:4" x14ac:dyDescent="0.25">
      <c r="A62" t="s">
        <v>225</v>
      </c>
      <c r="B62" t="s">
        <v>2238</v>
      </c>
      <c r="C62" t="s">
        <v>2232</v>
      </c>
      <c r="D62">
        <v>1</v>
      </c>
    </row>
    <row r="63" spans="1:4" x14ac:dyDescent="0.25">
      <c r="A63" t="s">
        <v>227</v>
      </c>
      <c r="B63" t="s">
        <v>2238</v>
      </c>
      <c r="C63" t="s">
        <v>2232</v>
      </c>
      <c r="D63">
        <v>1</v>
      </c>
    </row>
    <row r="64" spans="1:4" x14ac:dyDescent="0.25">
      <c r="A64" t="s">
        <v>229</v>
      </c>
      <c r="B64" t="s">
        <v>2238</v>
      </c>
      <c r="C64" t="s">
        <v>2232</v>
      </c>
      <c r="D64">
        <v>1</v>
      </c>
    </row>
    <row r="65" spans="1:4" x14ac:dyDescent="0.25">
      <c r="A65" t="s">
        <v>231</v>
      </c>
      <c r="B65" t="s">
        <v>2238</v>
      </c>
      <c r="C65" t="s">
        <v>2232</v>
      </c>
      <c r="D65">
        <v>1</v>
      </c>
    </row>
    <row r="66" spans="1:4" x14ac:dyDescent="0.25">
      <c r="A66" t="s">
        <v>232</v>
      </c>
      <c r="B66" t="s">
        <v>2238</v>
      </c>
      <c r="C66" t="s">
        <v>638</v>
      </c>
      <c r="D66">
        <v>1</v>
      </c>
    </row>
    <row r="67" spans="1:4" x14ac:dyDescent="0.25">
      <c r="A67" t="s">
        <v>234</v>
      </c>
      <c r="B67" t="s">
        <v>2238</v>
      </c>
      <c r="C67" t="s">
        <v>397</v>
      </c>
      <c r="D67">
        <v>1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54"/>
  <sheetViews>
    <sheetView topLeftCell="X1" workbookViewId="0">
      <selection activeCell="B1" sqref="B1:AQ1"/>
    </sheetView>
  </sheetViews>
  <sheetFormatPr defaultColWidth="9.140625" defaultRowHeight="15" x14ac:dyDescent="0.25"/>
  <cols>
    <col min="1" max="1" width="14.42578125" customWidth="1"/>
    <col min="2" max="2" width="13.85546875" customWidth="1"/>
    <col min="3" max="4" width="12" customWidth="1"/>
    <col min="5" max="5" width="9.42578125" customWidth="1"/>
    <col min="6" max="7" width="12" customWidth="1"/>
    <col min="8" max="9" width="9.42578125" customWidth="1"/>
    <col min="10" max="12" width="12" customWidth="1"/>
    <col min="13" max="13" width="9.42578125" customWidth="1"/>
    <col min="14" max="14" width="12" customWidth="1"/>
    <col min="15" max="15" width="9.42578125" customWidth="1"/>
    <col min="16" max="17" width="12" customWidth="1"/>
    <col min="18" max="19" width="9.42578125" customWidth="1"/>
    <col min="20" max="29" width="10.42578125" customWidth="1"/>
    <col min="30" max="31" width="9.28515625" customWidth="1"/>
    <col min="32" max="32" width="10.42578125" customWidth="1"/>
    <col min="33" max="33" width="10.140625" customWidth="1"/>
    <col min="34" max="40" width="10.42578125" customWidth="1"/>
    <col min="41" max="41" width="14.140625" customWidth="1"/>
    <col min="42" max="43" width="13.140625" customWidth="1"/>
  </cols>
  <sheetData>
    <row r="1" spans="1:43" x14ac:dyDescent="0.25">
      <c r="A1" t="s">
        <v>0</v>
      </c>
      <c r="B1" t="s">
        <v>2271</v>
      </c>
      <c r="C1" t="s">
        <v>1811</v>
      </c>
      <c r="D1" t="s">
        <v>1813</v>
      </c>
      <c r="E1" t="s">
        <v>639</v>
      </c>
      <c r="F1" t="s">
        <v>1814</v>
      </c>
      <c r="G1" t="s">
        <v>1815</v>
      </c>
      <c r="H1" t="s">
        <v>645</v>
      </c>
      <c r="I1" t="s">
        <v>842</v>
      </c>
      <c r="J1" t="s">
        <v>1816</v>
      </c>
      <c r="K1" t="s">
        <v>1817</v>
      </c>
      <c r="L1" t="s">
        <v>1818</v>
      </c>
      <c r="M1" t="s">
        <v>764</v>
      </c>
      <c r="N1" t="s">
        <v>1819</v>
      </c>
      <c r="O1" t="s">
        <v>924</v>
      </c>
      <c r="P1" t="s">
        <v>1820</v>
      </c>
      <c r="Q1" t="s">
        <v>1821</v>
      </c>
      <c r="R1" t="s">
        <v>648</v>
      </c>
      <c r="S1" t="s">
        <v>765</v>
      </c>
      <c r="T1" t="s">
        <v>507</v>
      </c>
      <c r="U1" t="s">
        <v>600</v>
      </c>
      <c r="V1" t="s">
        <v>407</v>
      </c>
      <c r="W1" t="s">
        <v>408</v>
      </c>
      <c r="X1" t="s">
        <v>409</v>
      </c>
      <c r="Y1" t="s">
        <v>410</v>
      </c>
      <c r="Z1" t="s">
        <v>411</v>
      </c>
      <c r="AA1" t="s">
        <v>412</v>
      </c>
      <c r="AB1" t="s">
        <v>413</v>
      </c>
      <c r="AC1" t="s">
        <v>414</v>
      </c>
      <c r="AD1" t="s">
        <v>415</v>
      </c>
      <c r="AE1" t="s">
        <v>416</v>
      </c>
      <c r="AF1" t="s">
        <v>1045</v>
      </c>
      <c r="AG1" t="s">
        <v>2272</v>
      </c>
      <c r="AH1" t="s">
        <v>417</v>
      </c>
      <c r="AI1" t="s">
        <v>1047</v>
      </c>
      <c r="AJ1" t="s">
        <v>1046</v>
      </c>
      <c r="AK1" t="s">
        <v>740</v>
      </c>
      <c r="AL1" t="s">
        <v>749</v>
      </c>
      <c r="AM1" t="s">
        <v>755</v>
      </c>
      <c r="AN1" t="s">
        <v>756</v>
      </c>
      <c r="AO1" t="s">
        <v>817</v>
      </c>
      <c r="AP1" t="s">
        <v>818</v>
      </c>
      <c r="AQ1" t="s">
        <v>819</v>
      </c>
    </row>
    <row r="2" spans="1:43" x14ac:dyDescent="0.25">
      <c r="A2" t="s">
        <v>6</v>
      </c>
    </row>
    <row r="3" spans="1:43" x14ac:dyDescent="0.25">
      <c r="A3" t="s">
        <v>11</v>
      </c>
      <c r="B3">
        <v>222</v>
      </c>
    </row>
    <row r="4" spans="1:43" x14ac:dyDescent="0.25">
      <c r="A4" t="s">
        <v>12</v>
      </c>
      <c r="E4">
        <v>249</v>
      </c>
    </row>
    <row r="5" spans="1:43" x14ac:dyDescent="0.25">
      <c r="A5" t="s">
        <v>16</v>
      </c>
      <c r="B5">
        <v>144</v>
      </c>
    </row>
    <row r="6" spans="1:43" x14ac:dyDescent="0.25">
      <c r="A6" t="s">
        <v>18</v>
      </c>
    </row>
    <row r="7" spans="1:43" x14ac:dyDescent="0.25">
      <c r="A7" t="s">
        <v>20</v>
      </c>
    </row>
    <row r="8" spans="1:43" x14ac:dyDescent="0.25">
      <c r="A8" t="s">
        <v>22</v>
      </c>
      <c r="B8">
        <v>166</v>
      </c>
      <c r="V8">
        <v>170</v>
      </c>
      <c r="W8">
        <v>222</v>
      </c>
      <c r="X8">
        <v>248</v>
      </c>
      <c r="Y8">
        <v>257</v>
      </c>
      <c r="Z8">
        <v>245</v>
      </c>
      <c r="AA8">
        <v>193</v>
      </c>
      <c r="AB8">
        <v>182</v>
      </c>
      <c r="AC8">
        <v>169</v>
      </c>
      <c r="AD8">
        <v>157</v>
      </c>
      <c r="AE8">
        <v>147</v>
      </c>
      <c r="AH8">
        <v>156</v>
      </c>
    </row>
    <row r="9" spans="1:43" x14ac:dyDescent="0.25">
      <c r="A9" t="s">
        <v>24</v>
      </c>
    </row>
    <row r="10" spans="1:43" x14ac:dyDescent="0.25">
      <c r="A10" t="s">
        <v>26</v>
      </c>
    </row>
    <row r="11" spans="1:43" x14ac:dyDescent="0.25">
      <c r="A11" t="s">
        <v>28</v>
      </c>
    </row>
    <row r="12" spans="1:43" x14ac:dyDescent="0.25">
      <c r="A12" t="s">
        <v>30</v>
      </c>
    </row>
    <row r="13" spans="1:43" x14ac:dyDescent="0.25">
      <c r="A13" t="s">
        <v>32</v>
      </c>
      <c r="B13">
        <v>14800</v>
      </c>
      <c r="T13">
        <v>2496</v>
      </c>
    </row>
    <row r="14" spans="1:43" x14ac:dyDescent="0.25">
      <c r="A14" t="s">
        <v>34</v>
      </c>
    </row>
    <row r="15" spans="1:43" x14ac:dyDescent="0.25">
      <c r="A15" t="s">
        <v>36</v>
      </c>
    </row>
    <row r="16" spans="1:43" x14ac:dyDescent="0.25">
      <c r="A16" t="s">
        <v>37</v>
      </c>
      <c r="B16">
        <v>248</v>
      </c>
    </row>
    <row r="17" spans="1:3" x14ac:dyDescent="0.25">
      <c r="A17" t="s">
        <v>40</v>
      </c>
    </row>
    <row r="18" spans="1:3" x14ac:dyDescent="0.25">
      <c r="A18" t="s">
        <v>42</v>
      </c>
    </row>
    <row r="19" spans="1:3" x14ac:dyDescent="0.25">
      <c r="A19" t="s">
        <v>43</v>
      </c>
    </row>
    <row r="20" spans="1:3" x14ac:dyDescent="0.25">
      <c r="A20" t="s">
        <v>44</v>
      </c>
    </row>
    <row r="21" spans="1:3" x14ac:dyDescent="0.25">
      <c r="A21" t="s">
        <v>46</v>
      </c>
    </row>
    <row r="22" spans="1:3" x14ac:dyDescent="0.25">
      <c r="A22" t="s">
        <v>48</v>
      </c>
    </row>
    <row r="23" spans="1:3" x14ac:dyDescent="0.25">
      <c r="A23" t="s">
        <v>50</v>
      </c>
    </row>
    <row r="24" spans="1:3" x14ac:dyDescent="0.25">
      <c r="A24" t="s">
        <v>52</v>
      </c>
    </row>
    <row r="25" spans="1:3" x14ac:dyDescent="0.25">
      <c r="A25" t="s">
        <v>53</v>
      </c>
      <c r="B25">
        <v>346</v>
      </c>
    </row>
    <row r="26" spans="1:3" x14ac:dyDescent="0.25">
      <c r="A26" t="s">
        <v>55</v>
      </c>
    </row>
    <row r="27" spans="1:3" x14ac:dyDescent="0.25">
      <c r="A27" t="s">
        <v>57</v>
      </c>
    </row>
    <row r="28" spans="1:3" x14ac:dyDescent="0.25">
      <c r="A28" t="s">
        <v>59</v>
      </c>
    </row>
    <row r="29" spans="1:3" x14ac:dyDescent="0.25">
      <c r="A29" t="s">
        <v>60</v>
      </c>
      <c r="B29">
        <v>153</v>
      </c>
    </row>
    <row r="30" spans="1:3" x14ac:dyDescent="0.25">
      <c r="A30" t="s">
        <v>62</v>
      </c>
      <c r="B30" t="s">
        <v>526</v>
      </c>
      <c r="C30" t="s">
        <v>1812</v>
      </c>
    </row>
    <row r="31" spans="1:3" x14ac:dyDescent="0.25">
      <c r="A31" t="s">
        <v>64</v>
      </c>
    </row>
    <row r="32" spans="1:3" x14ac:dyDescent="0.25">
      <c r="A32" t="s">
        <v>65</v>
      </c>
    </row>
    <row r="33" spans="1:40" x14ac:dyDescent="0.25">
      <c r="A33" t="s">
        <v>66</v>
      </c>
      <c r="B33">
        <v>193</v>
      </c>
      <c r="U33">
        <v>269</v>
      </c>
      <c r="V33">
        <v>188</v>
      </c>
    </row>
    <row r="34" spans="1:40" x14ac:dyDescent="0.25">
      <c r="A34" t="s">
        <v>68</v>
      </c>
    </row>
    <row r="35" spans="1:40" x14ac:dyDescent="0.25">
      <c r="A35" t="s">
        <v>69</v>
      </c>
    </row>
    <row r="36" spans="1:40" x14ac:dyDescent="0.25">
      <c r="A36" t="s">
        <v>71</v>
      </c>
    </row>
    <row r="37" spans="1:40" x14ac:dyDescent="0.25">
      <c r="A37" t="s">
        <v>73</v>
      </c>
      <c r="B37">
        <v>233</v>
      </c>
      <c r="C37">
        <v>377</v>
      </c>
    </row>
    <row r="38" spans="1:40" x14ac:dyDescent="0.25">
      <c r="A38" t="s">
        <v>74</v>
      </c>
      <c r="B38" t="s">
        <v>1991</v>
      </c>
      <c r="E38" t="s">
        <v>1992</v>
      </c>
      <c r="H38" t="s">
        <v>1993</v>
      </c>
      <c r="R38" t="s">
        <v>1994</v>
      </c>
    </row>
    <row r="39" spans="1:40" x14ac:dyDescent="0.25">
      <c r="A39" t="s">
        <v>76</v>
      </c>
    </row>
    <row r="40" spans="1:40" x14ac:dyDescent="0.25">
      <c r="A40" t="s">
        <v>78</v>
      </c>
      <c r="AK40">
        <v>110</v>
      </c>
      <c r="AL40">
        <v>6331</v>
      </c>
      <c r="AM40">
        <v>6436</v>
      </c>
      <c r="AN40">
        <v>3313</v>
      </c>
    </row>
    <row r="41" spans="1:40" x14ac:dyDescent="0.25">
      <c r="A41" t="s">
        <v>80</v>
      </c>
      <c r="E41">
        <v>414</v>
      </c>
      <c r="M41">
        <v>288</v>
      </c>
      <c r="S41">
        <v>258</v>
      </c>
    </row>
    <row r="42" spans="1:40" x14ac:dyDescent="0.25">
      <c r="A42" t="s">
        <v>82</v>
      </c>
      <c r="B42">
        <v>255</v>
      </c>
    </row>
    <row r="43" spans="1:40" x14ac:dyDescent="0.25">
      <c r="A43" t="s">
        <v>84</v>
      </c>
    </row>
    <row r="44" spans="1:40" x14ac:dyDescent="0.25">
      <c r="A44" t="s">
        <v>85</v>
      </c>
    </row>
    <row r="45" spans="1:40" x14ac:dyDescent="0.25">
      <c r="A45" t="s">
        <v>87</v>
      </c>
    </row>
    <row r="46" spans="1:40" x14ac:dyDescent="0.25">
      <c r="A46" t="s">
        <v>89</v>
      </c>
    </row>
    <row r="47" spans="1:40" x14ac:dyDescent="0.25">
      <c r="A47" t="s">
        <v>91</v>
      </c>
    </row>
    <row r="48" spans="1:40" x14ac:dyDescent="0.25">
      <c r="A48" t="s">
        <v>92</v>
      </c>
    </row>
    <row r="49" spans="1:43" x14ac:dyDescent="0.25">
      <c r="A49" t="s">
        <v>93</v>
      </c>
      <c r="B49">
        <v>236</v>
      </c>
      <c r="E49">
        <v>235</v>
      </c>
    </row>
    <row r="50" spans="1:43" x14ac:dyDescent="0.25">
      <c r="A50" t="s">
        <v>95</v>
      </c>
      <c r="B50">
        <v>196</v>
      </c>
      <c r="AO50">
        <v>195</v>
      </c>
      <c r="AP50">
        <v>267</v>
      </c>
      <c r="AQ50">
        <v>252</v>
      </c>
    </row>
    <row r="51" spans="1:43" x14ac:dyDescent="0.25">
      <c r="A51" t="s">
        <v>97</v>
      </c>
    </row>
    <row r="52" spans="1:43" x14ac:dyDescent="0.25">
      <c r="A52" t="s">
        <v>99</v>
      </c>
    </row>
    <row r="53" spans="1:43" x14ac:dyDescent="0.25">
      <c r="A53" t="s">
        <v>100</v>
      </c>
    </row>
    <row r="54" spans="1:43" x14ac:dyDescent="0.25">
      <c r="A54" t="s">
        <v>101</v>
      </c>
    </row>
    <row r="55" spans="1:43" x14ac:dyDescent="0.25">
      <c r="A55" t="s">
        <v>102</v>
      </c>
    </row>
    <row r="56" spans="1:43" x14ac:dyDescent="0.25">
      <c r="A56" t="s">
        <v>103</v>
      </c>
      <c r="H56">
        <v>2790</v>
      </c>
      <c r="I56">
        <v>8397</v>
      </c>
    </row>
    <row r="57" spans="1:43" x14ac:dyDescent="0.25">
      <c r="A57" t="s">
        <v>105</v>
      </c>
    </row>
    <row r="58" spans="1:43" x14ac:dyDescent="0.25">
      <c r="A58" t="s">
        <v>106</v>
      </c>
    </row>
    <row r="59" spans="1:43" x14ac:dyDescent="0.25">
      <c r="A59" t="s">
        <v>107</v>
      </c>
    </row>
    <row r="60" spans="1:43" x14ac:dyDescent="0.25">
      <c r="A60" t="s">
        <v>108</v>
      </c>
    </row>
    <row r="61" spans="1:43" x14ac:dyDescent="0.25">
      <c r="A61" t="s">
        <v>109</v>
      </c>
    </row>
    <row r="62" spans="1:43" x14ac:dyDescent="0.25">
      <c r="A62" t="s">
        <v>110</v>
      </c>
    </row>
    <row r="63" spans="1:43" x14ac:dyDescent="0.25">
      <c r="A63" t="s">
        <v>111</v>
      </c>
    </row>
    <row r="64" spans="1:43" x14ac:dyDescent="0.25">
      <c r="A64" t="s">
        <v>112</v>
      </c>
    </row>
    <row r="65" spans="1:18" x14ac:dyDescent="0.25">
      <c r="A65" t="s">
        <v>113</v>
      </c>
    </row>
    <row r="66" spans="1:18" x14ac:dyDescent="0.25">
      <c r="A66" t="s">
        <v>115</v>
      </c>
    </row>
    <row r="67" spans="1:18" x14ac:dyDescent="0.25">
      <c r="A67" t="s">
        <v>116</v>
      </c>
    </row>
    <row r="68" spans="1:18" x14ac:dyDescent="0.25">
      <c r="A68" t="s">
        <v>117</v>
      </c>
    </row>
    <row r="69" spans="1:18" x14ac:dyDescent="0.25">
      <c r="A69" t="s">
        <v>119</v>
      </c>
      <c r="B69">
        <v>274</v>
      </c>
      <c r="E69">
        <v>263</v>
      </c>
      <c r="H69">
        <v>224</v>
      </c>
      <c r="R69">
        <v>199</v>
      </c>
    </row>
    <row r="70" spans="1:18" x14ac:dyDescent="0.25">
      <c r="A70" t="s">
        <v>120</v>
      </c>
    </row>
    <row r="71" spans="1:18" x14ac:dyDescent="0.25">
      <c r="A71" t="s">
        <v>122</v>
      </c>
    </row>
    <row r="72" spans="1:18" x14ac:dyDescent="0.25">
      <c r="A72" t="s">
        <v>123</v>
      </c>
    </row>
    <row r="73" spans="1:18" x14ac:dyDescent="0.25">
      <c r="A73" t="s">
        <v>125</v>
      </c>
      <c r="I73">
        <v>751</v>
      </c>
    </row>
    <row r="74" spans="1:18" x14ac:dyDescent="0.25">
      <c r="A74" t="s">
        <v>126</v>
      </c>
    </row>
    <row r="75" spans="1:18" x14ac:dyDescent="0.25">
      <c r="A75" t="s">
        <v>127</v>
      </c>
    </row>
    <row r="76" spans="1:18" x14ac:dyDescent="0.25">
      <c r="A76" t="s">
        <v>128</v>
      </c>
    </row>
    <row r="77" spans="1:18" x14ac:dyDescent="0.25">
      <c r="A77" t="s">
        <v>131</v>
      </c>
    </row>
    <row r="78" spans="1:18" x14ac:dyDescent="0.25">
      <c r="A78" t="s">
        <v>133</v>
      </c>
    </row>
    <row r="79" spans="1:18" x14ac:dyDescent="0.25">
      <c r="A79" t="s">
        <v>134</v>
      </c>
    </row>
    <row r="80" spans="1:18" x14ac:dyDescent="0.25">
      <c r="A80" t="s">
        <v>136</v>
      </c>
    </row>
    <row r="81" spans="1:13" x14ac:dyDescent="0.25">
      <c r="A81" t="s">
        <v>138</v>
      </c>
      <c r="E81" t="s">
        <v>1995</v>
      </c>
    </row>
    <row r="82" spans="1:13" x14ac:dyDescent="0.25">
      <c r="A82" t="s">
        <v>140</v>
      </c>
    </row>
    <row r="83" spans="1:13" x14ac:dyDescent="0.25">
      <c r="A83" t="s">
        <v>142</v>
      </c>
    </row>
    <row r="84" spans="1:13" x14ac:dyDescent="0.25">
      <c r="A84" t="s">
        <v>143</v>
      </c>
    </row>
    <row r="85" spans="1:13" x14ac:dyDescent="0.25">
      <c r="A85" t="s">
        <v>144</v>
      </c>
    </row>
    <row r="86" spans="1:13" x14ac:dyDescent="0.25">
      <c r="A86" t="s">
        <v>145</v>
      </c>
    </row>
    <row r="87" spans="1:13" x14ac:dyDescent="0.25">
      <c r="A87" t="s">
        <v>146</v>
      </c>
    </row>
    <row r="88" spans="1:13" x14ac:dyDescent="0.25">
      <c r="A88" t="s">
        <v>147</v>
      </c>
    </row>
    <row r="89" spans="1:13" x14ac:dyDescent="0.25">
      <c r="A89" t="s">
        <v>148</v>
      </c>
    </row>
    <row r="90" spans="1:13" x14ac:dyDescent="0.25">
      <c r="A90" t="s">
        <v>149</v>
      </c>
    </row>
    <row r="91" spans="1:13" x14ac:dyDescent="0.25">
      <c r="A91" t="s">
        <v>150</v>
      </c>
      <c r="B91">
        <v>1238</v>
      </c>
    </row>
    <row r="92" spans="1:13" x14ac:dyDescent="0.25">
      <c r="A92" t="s">
        <v>151</v>
      </c>
    </row>
    <row r="94" spans="1:13" x14ac:dyDescent="0.25">
      <c r="A94" t="s">
        <v>321</v>
      </c>
    </row>
    <row r="95" spans="1:13" x14ac:dyDescent="0.25">
      <c r="A95" t="s">
        <v>152</v>
      </c>
      <c r="B95">
        <v>3800</v>
      </c>
      <c r="C95">
        <v>2133</v>
      </c>
      <c r="D95">
        <v>3768</v>
      </c>
    </row>
    <row r="96" spans="1:13" x14ac:dyDescent="0.25">
      <c r="A96" t="s">
        <v>153</v>
      </c>
      <c r="B96">
        <v>203</v>
      </c>
      <c r="E96">
        <v>150</v>
      </c>
      <c r="H96">
        <v>110</v>
      </c>
      <c r="I96">
        <v>1192</v>
      </c>
      <c r="J96">
        <v>7142</v>
      </c>
      <c r="K96">
        <v>9091</v>
      </c>
      <c r="L96">
        <v>9288</v>
      </c>
      <c r="M96">
        <v>7839</v>
      </c>
    </row>
    <row r="97" spans="1:18" x14ac:dyDescent="0.25">
      <c r="A97" t="s">
        <v>155</v>
      </c>
    </row>
    <row r="98" spans="1:18" x14ac:dyDescent="0.25">
      <c r="A98" t="s">
        <v>157</v>
      </c>
    </row>
    <row r="99" spans="1:18" x14ac:dyDescent="0.25">
      <c r="A99" t="s">
        <v>158</v>
      </c>
      <c r="B99">
        <v>149</v>
      </c>
      <c r="E99">
        <v>178</v>
      </c>
      <c r="F99">
        <v>159</v>
      </c>
      <c r="G99">
        <v>183</v>
      </c>
      <c r="H99">
        <v>199</v>
      </c>
      <c r="I99">
        <v>258</v>
      </c>
      <c r="M99">
        <v>1539</v>
      </c>
      <c r="N99">
        <v>685</v>
      </c>
      <c r="O99">
        <v>572</v>
      </c>
      <c r="P99">
        <v>479</v>
      </c>
      <c r="Q99">
        <v>375</v>
      </c>
      <c r="R99">
        <v>326</v>
      </c>
    </row>
    <row r="100" spans="1:18" x14ac:dyDescent="0.25">
      <c r="A100" t="s">
        <v>160</v>
      </c>
    </row>
    <row r="101" spans="1:18" x14ac:dyDescent="0.25">
      <c r="A101" t="s">
        <v>162</v>
      </c>
    </row>
    <row r="102" spans="1:18" x14ac:dyDescent="0.25">
      <c r="A102" t="s">
        <v>163</v>
      </c>
      <c r="E102">
        <v>446</v>
      </c>
    </row>
    <row r="103" spans="1:18" x14ac:dyDescent="0.25">
      <c r="A103" t="s">
        <v>164</v>
      </c>
    </row>
    <row r="104" spans="1:18" x14ac:dyDescent="0.25">
      <c r="A104" t="s">
        <v>165</v>
      </c>
    </row>
    <row r="105" spans="1:18" x14ac:dyDescent="0.25">
      <c r="A105" t="s">
        <v>166</v>
      </c>
      <c r="B105">
        <v>203</v>
      </c>
      <c r="E105">
        <v>235</v>
      </c>
      <c r="H105">
        <v>216</v>
      </c>
    </row>
    <row r="106" spans="1:18" x14ac:dyDescent="0.25">
      <c r="A106" t="s">
        <v>167</v>
      </c>
    </row>
    <row r="107" spans="1:18" x14ac:dyDescent="0.25">
      <c r="A107" t="s">
        <v>169</v>
      </c>
    </row>
    <row r="108" spans="1:18" x14ac:dyDescent="0.25">
      <c r="A108" t="s">
        <v>170</v>
      </c>
    </row>
    <row r="109" spans="1:18" x14ac:dyDescent="0.25">
      <c r="A109" t="s">
        <v>172</v>
      </c>
    </row>
    <row r="110" spans="1:18" x14ac:dyDescent="0.25">
      <c r="A110" t="s">
        <v>173</v>
      </c>
      <c r="B110">
        <v>785</v>
      </c>
      <c r="C110">
        <v>485</v>
      </c>
      <c r="E110">
        <v>421</v>
      </c>
      <c r="F110">
        <v>403</v>
      </c>
      <c r="H110">
        <v>337</v>
      </c>
      <c r="I110">
        <v>271</v>
      </c>
      <c r="O110">
        <v>240</v>
      </c>
    </row>
    <row r="111" spans="1:18" x14ac:dyDescent="0.25">
      <c r="A111" t="s">
        <v>175</v>
      </c>
    </row>
    <row r="112" spans="1:18" x14ac:dyDescent="0.25">
      <c r="A112" t="s">
        <v>176</v>
      </c>
    </row>
    <row r="113" spans="1:36" x14ac:dyDescent="0.25">
      <c r="A113" t="s">
        <v>177</v>
      </c>
    </row>
    <row r="114" spans="1:36" x14ac:dyDescent="0.25">
      <c r="A114" t="s">
        <v>178</v>
      </c>
    </row>
    <row r="115" spans="1:36" x14ac:dyDescent="0.25">
      <c r="A115" t="s">
        <v>179</v>
      </c>
    </row>
    <row r="116" spans="1:36" x14ac:dyDescent="0.25">
      <c r="A116" t="s">
        <v>182</v>
      </c>
    </row>
    <row r="117" spans="1:36" x14ac:dyDescent="0.25">
      <c r="A117" t="s">
        <v>183</v>
      </c>
      <c r="E117">
        <v>805</v>
      </c>
      <c r="H117">
        <v>1273</v>
      </c>
      <c r="I117">
        <v>340</v>
      </c>
    </row>
    <row r="118" spans="1:36" x14ac:dyDescent="0.25">
      <c r="A118" t="s">
        <v>185</v>
      </c>
      <c r="B118">
        <v>6500</v>
      </c>
    </row>
    <row r="119" spans="1:36" x14ac:dyDescent="0.25">
      <c r="A119" t="s">
        <v>187</v>
      </c>
    </row>
    <row r="120" spans="1:36" x14ac:dyDescent="0.25">
      <c r="A120" t="s">
        <v>189</v>
      </c>
    </row>
    <row r="121" spans="1:36" x14ac:dyDescent="0.25">
      <c r="A121" t="s">
        <v>191</v>
      </c>
      <c r="B121">
        <v>634</v>
      </c>
      <c r="H121">
        <v>524</v>
      </c>
    </row>
    <row r="122" spans="1:36" x14ac:dyDescent="0.25">
      <c r="A122" t="s">
        <v>192</v>
      </c>
    </row>
    <row r="123" spans="1:36" x14ac:dyDescent="0.25">
      <c r="A123" t="s">
        <v>194</v>
      </c>
    </row>
    <row r="124" spans="1:36" x14ac:dyDescent="0.25">
      <c r="A124" t="s">
        <v>196</v>
      </c>
    </row>
    <row r="125" spans="1:36" x14ac:dyDescent="0.25">
      <c r="A125" t="s">
        <v>197</v>
      </c>
      <c r="AF125">
        <v>498</v>
      </c>
      <c r="AI125">
        <v>24720</v>
      </c>
      <c r="AJ125">
        <v>10440</v>
      </c>
    </row>
    <row r="126" spans="1:36" x14ac:dyDescent="0.25">
      <c r="A126" t="s">
        <v>199</v>
      </c>
    </row>
    <row r="127" spans="1:36" x14ac:dyDescent="0.25">
      <c r="A127" t="s">
        <v>200</v>
      </c>
    </row>
    <row r="128" spans="1:36" x14ac:dyDescent="0.25">
      <c r="A128" t="s">
        <v>201</v>
      </c>
    </row>
    <row r="129" spans="1:33" x14ac:dyDescent="0.25">
      <c r="A129" t="s">
        <v>202</v>
      </c>
      <c r="B129">
        <v>171</v>
      </c>
      <c r="O129">
        <v>133</v>
      </c>
      <c r="V129">
        <v>137</v>
      </c>
      <c r="AC129">
        <v>131</v>
      </c>
      <c r="AG129">
        <v>121</v>
      </c>
    </row>
    <row r="130" spans="1:33" x14ac:dyDescent="0.25">
      <c r="A130" t="s">
        <v>294</v>
      </c>
      <c r="B130">
        <v>340</v>
      </c>
    </row>
    <row r="131" spans="1:33" x14ac:dyDescent="0.25">
      <c r="A131" t="s">
        <v>207</v>
      </c>
    </row>
    <row r="132" spans="1:33" x14ac:dyDescent="0.25">
      <c r="A132" t="s">
        <v>208</v>
      </c>
    </row>
    <row r="133" spans="1:33" x14ac:dyDescent="0.25">
      <c r="A133" t="s">
        <v>1589</v>
      </c>
    </row>
    <row r="134" spans="1:33" x14ac:dyDescent="0.25">
      <c r="A134" t="s">
        <v>209</v>
      </c>
      <c r="O134">
        <v>249</v>
      </c>
    </row>
    <row r="135" spans="1:33" x14ac:dyDescent="0.25">
      <c r="A135" t="s">
        <v>211</v>
      </c>
      <c r="B135">
        <v>487</v>
      </c>
    </row>
    <row r="136" spans="1:33" x14ac:dyDescent="0.25">
      <c r="A136" t="s">
        <v>212</v>
      </c>
      <c r="B136">
        <v>299</v>
      </c>
    </row>
    <row r="137" spans="1:33" x14ac:dyDescent="0.25">
      <c r="A137" t="s">
        <v>214</v>
      </c>
    </row>
    <row r="138" spans="1:33" x14ac:dyDescent="0.25">
      <c r="A138" t="s">
        <v>216</v>
      </c>
    </row>
    <row r="139" spans="1:33" x14ac:dyDescent="0.25">
      <c r="A139" t="s">
        <v>218</v>
      </c>
      <c r="B139">
        <v>284</v>
      </c>
    </row>
    <row r="140" spans="1:33" x14ac:dyDescent="0.25">
      <c r="A140" t="s">
        <v>220</v>
      </c>
      <c r="B140">
        <v>681</v>
      </c>
    </row>
    <row r="141" spans="1:33" x14ac:dyDescent="0.25">
      <c r="A141" t="s">
        <v>222</v>
      </c>
    </row>
    <row r="142" spans="1:33" x14ac:dyDescent="0.25">
      <c r="A142" t="s">
        <v>224</v>
      </c>
    </row>
    <row r="143" spans="1:33" x14ac:dyDescent="0.25">
      <c r="A143" t="s">
        <v>225</v>
      </c>
    </row>
    <row r="144" spans="1:33" x14ac:dyDescent="0.25">
      <c r="A144" t="s">
        <v>227</v>
      </c>
      <c r="B144">
        <v>131</v>
      </c>
    </row>
    <row r="145" spans="1:5" x14ac:dyDescent="0.25">
      <c r="A145" t="s">
        <v>229</v>
      </c>
    </row>
    <row r="146" spans="1:5" x14ac:dyDescent="0.25">
      <c r="A146" t="s">
        <v>231</v>
      </c>
      <c r="B146">
        <v>2013</v>
      </c>
    </row>
    <row r="147" spans="1:5" x14ac:dyDescent="0.25">
      <c r="A147" t="s">
        <v>232</v>
      </c>
      <c r="E147">
        <v>226</v>
      </c>
    </row>
    <row r="148" spans="1:5" x14ac:dyDescent="0.25">
      <c r="A148" t="s">
        <v>234</v>
      </c>
      <c r="B148">
        <v>178</v>
      </c>
    </row>
    <row r="149" spans="1:5" x14ac:dyDescent="0.25">
      <c r="A149" t="s">
        <v>236</v>
      </c>
    </row>
    <row r="150" spans="1:5" x14ac:dyDescent="0.25">
      <c r="A150" t="s">
        <v>1322</v>
      </c>
    </row>
    <row r="151" spans="1:5" x14ac:dyDescent="0.25">
      <c r="A151" t="s">
        <v>1323</v>
      </c>
    </row>
    <row r="152" spans="1:5" x14ac:dyDescent="0.25">
      <c r="A152" t="s">
        <v>1324</v>
      </c>
    </row>
    <row r="153" spans="1:5" x14ac:dyDescent="0.25">
      <c r="A153" t="s">
        <v>1325</v>
      </c>
    </row>
    <row r="154" spans="1:5" x14ac:dyDescent="0.25">
      <c r="A154" t="s">
        <v>1326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D44"/>
  <sheetViews>
    <sheetView workbookViewId="0">
      <selection activeCell="H11" sqref="H11"/>
    </sheetView>
  </sheetViews>
  <sheetFormatPr defaultColWidth="9.140625" defaultRowHeight="15" x14ac:dyDescent="0.25"/>
  <cols>
    <col min="1" max="1" width="18.140625" bestFit="1" customWidth="1"/>
    <col min="2" max="2" width="9.42578125" bestFit="1" customWidth="1"/>
    <col min="3" max="3" width="81.140625" bestFit="1" customWidth="1"/>
    <col min="4" max="4" width="35.85546875" bestFit="1" customWidth="1"/>
  </cols>
  <sheetData>
    <row r="1" spans="1:4" ht="15.75" x14ac:dyDescent="0.25">
      <c r="A1" s="29" t="s">
        <v>0</v>
      </c>
      <c r="B1" s="29" t="s">
        <v>2273</v>
      </c>
      <c r="C1" s="29" t="s">
        <v>2081</v>
      </c>
      <c r="D1" s="29" t="s">
        <v>2118</v>
      </c>
    </row>
    <row r="2" spans="1:4" x14ac:dyDescent="0.25">
      <c r="A2" t="s">
        <v>11</v>
      </c>
      <c r="B2" t="s">
        <v>2273</v>
      </c>
      <c r="C2" t="s">
        <v>2271</v>
      </c>
      <c r="D2">
        <v>1</v>
      </c>
    </row>
    <row r="3" spans="1:4" x14ac:dyDescent="0.25">
      <c r="A3" t="s">
        <v>12</v>
      </c>
      <c r="B3" t="s">
        <v>2273</v>
      </c>
      <c r="C3" t="s">
        <v>639</v>
      </c>
      <c r="D3">
        <v>1</v>
      </c>
    </row>
    <row r="4" spans="1:4" x14ac:dyDescent="0.25">
      <c r="A4" t="s">
        <v>16</v>
      </c>
      <c r="B4" t="s">
        <v>2273</v>
      </c>
      <c r="C4" t="s">
        <v>2271</v>
      </c>
      <c r="D4">
        <v>1</v>
      </c>
    </row>
    <row r="5" spans="1:4" x14ac:dyDescent="0.25">
      <c r="A5" t="s">
        <v>22</v>
      </c>
      <c r="B5" t="s">
        <v>2273</v>
      </c>
      <c r="C5" t="s">
        <v>2274</v>
      </c>
      <c r="D5">
        <v>12</v>
      </c>
    </row>
    <row r="6" spans="1:4" x14ac:dyDescent="0.25">
      <c r="A6" t="s">
        <v>32</v>
      </c>
      <c r="B6" t="s">
        <v>2273</v>
      </c>
      <c r="C6" t="s">
        <v>2275</v>
      </c>
      <c r="D6">
        <v>2</v>
      </c>
    </row>
    <row r="7" spans="1:4" x14ac:dyDescent="0.25">
      <c r="A7" t="s">
        <v>37</v>
      </c>
      <c r="B7" t="s">
        <v>2273</v>
      </c>
      <c r="C7" t="s">
        <v>2271</v>
      </c>
      <c r="D7">
        <v>1</v>
      </c>
    </row>
    <row r="8" spans="1:4" x14ac:dyDescent="0.25">
      <c r="A8" t="s">
        <v>53</v>
      </c>
      <c r="B8" t="s">
        <v>2273</v>
      </c>
      <c r="C8" t="s">
        <v>2271</v>
      </c>
      <c r="D8">
        <v>1</v>
      </c>
    </row>
    <row r="9" spans="1:4" x14ac:dyDescent="0.25">
      <c r="A9" t="s">
        <v>60</v>
      </c>
      <c r="B9" t="s">
        <v>2273</v>
      </c>
      <c r="C9" t="s">
        <v>2271</v>
      </c>
      <c r="D9">
        <v>1</v>
      </c>
    </row>
    <row r="10" spans="1:4" x14ac:dyDescent="0.25">
      <c r="A10" t="s">
        <v>62</v>
      </c>
      <c r="B10" t="s">
        <v>2273</v>
      </c>
      <c r="C10" t="s">
        <v>2276</v>
      </c>
      <c r="D10">
        <v>2</v>
      </c>
    </row>
    <row r="11" spans="1:4" x14ac:dyDescent="0.25">
      <c r="A11" t="s">
        <v>66</v>
      </c>
      <c r="B11" t="s">
        <v>2273</v>
      </c>
      <c r="C11" t="s">
        <v>2277</v>
      </c>
      <c r="D11">
        <v>3</v>
      </c>
    </row>
    <row r="12" spans="1:4" x14ac:dyDescent="0.25">
      <c r="A12" t="s">
        <v>73</v>
      </c>
      <c r="B12" t="s">
        <v>2273</v>
      </c>
      <c r="C12" t="s">
        <v>2276</v>
      </c>
      <c r="D12">
        <v>2</v>
      </c>
    </row>
    <row r="13" spans="1:4" x14ac:dyDescent="0.25">
      <c r="A13" t="s">
        <v>74</v>
      </c>
      <c r="B13" t="s">
        <v>2273</v>
      </c>
      <c r="C13" t="s">
        <v>2278</v>
      </c>
      <c r="D13">
        <v>4</v>
      </c>
    </row>
    <row r="14" spans="1:4" x14ac:dyDescent="0.25">
      <c r="A14" t="s">
        <v>78</v>
      </c>
      <c r="B14" t="s">
        <v>2273</v>
      </c>
      <c r="C14" t="s">
        <v>2279</v>
      </c>
      <c r="D14">
        <v>4</v>
      </c>
    </row>
    <row r="15" spans="1:4" x14ac:dyDescent="0.25">
      <c r="A15" t="s">
        <v>80</v>
      </c>
      <c r="B15" t="s">
        <v>2273</v>
      </c>
      <c r="C15" t="s">
        <v>2280</v>
      </c>
      <c r="D15">
        <v>3</v>
      </c>
    </row>
    <row r="16" spans="1:4" x14ac:dyDescent="0.25">
      <c r="A16" t="s">
        <v>82</v>
      </c>
      <c r="B16" t="s">
        <v>2273</v>
      </c>
      <c r="C16" t="s">
        <v>2271</v>
      </c>
      <c r="D16">
        <v>1</v>
      </c>
    </row>
    <row r="17" spans="1:4" x14ac:dyDescent="0.25">
      <c r="A17" t="s">
        <v>93</v>
      </c>
      <c r="B17" t="s">
        <v>2273</v>
      </c>
      <c r="C17" t="s">
        <v>2281</v>
      </c>
      <c r="D17">
        <v>2</v>
      </c>
    </row>
    <row r="18" spans="1:4" x14ac:dyDescent="0.25">
      <c r="A18" t="s">
        <v>95</v>
      </c>
      <c r="B18" t="s">
        <v>2273</v>
      </c>
      <c r="C18" t="s">
        <v>2282</v>
      </c>
      <c r="D18">
        <v>4</v>
      </c>
    </row>
    <row r="19" spans="1:4" x14ac:dyDescent="0.25">
      <c r="A19" t="s">
        <v>103</v>
      </c>
      <c r="B19" t="s">
        <v>2273</v>
      </c>
      <c r="C19" t="s">
        <v>2283</v>
      </c>
      <c r="D19">
        <v>2</v>
      </c>
    </row>
    <row r="20" spans="1:4" x14ac:dyDescent="0.25">
      <c r="A20" t="s">
        <v>119</v>
      </c>
      <c r="B20" t="s">
        <v>2273</v>
      </c>
      <c r="C20" t="s">
        <v>2278</v>
      </c>
      <c r="D20">
        <v>4</v>
      </c>
    </row>
    <row r="21" spans="1:4" x14ac:dyDescent="0.25">
      <c r="A21" t="s">
        <v>125</v>
      </c>
      <c r="B21" t="s">
        <v>2273</v>
      </c>
      <c r="C21" t="s">
        <v>842</v>
      </c>
      <c r="D21">
        <v>1</v>
      </c>
    </row>
    <row r="22" spans="1:4" x14ac:dyDescent="0.25">
      <c r="A22" t="s">
        <v>138</v>
      </c>
      <c r="B22" t="s">
        <v>2273</v>
      </c>
      <c r="C22" t="s">
        <v>639</v>
      </c>
      <c r="D22">
        <v>1</v>
      </c>
    </row>
    <row r="23" spans="1:4" x14ac:dyDescent="0.25">
      <c r="A23" t="s">
        <v>150</v>
      </c>
      <c r="B23" t="s">
        <v>2273</v>
      </c>
      <c r="C23" t="s">
        <v>2271</v>
      </c>
      <c r="D23">
        <v>1</v>
      </c>
    </row>
    <row r="24" spans="1:4" x14ac:dyDescent="0.25">
      <c r="A24" t="s">
        <v>152</v>
      </c>
      <c r="B24" t="s">
        <v>2273</v>
      </c>
      <c r="C24" t="s">
        <v>2284</v>
      </c>
      <c r="D24">
        <v>3</v>
      </c>
    </row>
    <row r="25" spans="1:4" x14ac:dyDescent="0.25">
      <c r="A25" t="s">
        <v>153</v>
      </c>
      <c r="B25" t="s">
        <v>2273</v>
      </c>
      <c r="C25" t="s">
        <v>2285</v>
      </c>
      <c r="D25">
        <v>8</v>
      </c>
    </row>
    <row r="26" spans="1:4" x14ac:dyDescent="0.25">
      <c r="A26" t="s">
        <v>158</v>
      </c>
      <c r="B26" t="s">
        <v>2273</v>
      </c>
      <c r="C26" t="s">
        <v>2286</v>
      </c>
      <c r="D26">
        <v>12</v>
      </c>
    </row>
    <row r="27" spans="1:4" x14ac:dyDescent="0.25">
      <c r="A27" t="s">
        <v>163</v>
      </c>
      <c r="B27" t="s">
        <v>2273</v>
      </c>
      <c r="C27" t="s">
        <v>639</v>
      </c>
      <c r="D27">
        <v>1</v>
      </c>
    </row>
    <row r="28" spans="1:4" x14ac:dyDescent="0.25">
      <c r="A28" t="s">
        <v>166</v>
      </c>
      <c r="B28" t="s">
        <v>2273</v>
      </c>
      <c r="C28" t="s">
        <v>2287</v>
      </c>
      <c r="D28">
        <v>3</v>
      </c>
    </row>
    <row r="29" spans="1:4" x14ac:dyDescent="0.25">
      <c r="A29" t="s">
        <v>173</v>
      </c>
      <c r="B29" t="s">
        <v>2273</v>
      </c>
      <c r="C29" t="s">
        <v>2288</v>
      </c>
      <c r="D29">
        <v>7</v>
      </c>
    </row>
    <row r="30" spans="1:4" x14ac:dyDescent="0.25">
      <c r="A30" t="s">
        <v>183</v>
      </c>
      <c r="B30" t="s">
        <v>2273</v>
      </c>
      <c r="C30" t="s">
        <v>2289</v>
      </c>
      <c r="D30">
        <v>3</v>
      </c>
    </row>
    <row r="31" spans="1:4" x14ac:dyDescent="0.25">
      <c r="A31" t="s">
        <v>185</v>
      </c>
      <c r="B31" t="s">
        <v>2273</v>
      </c>
      <c r="C31" t="s">
        <v>2271</v>
      </c>
      <c r="D31">
        <v>1</v>
      </c>
    </row>
    <row r="32" spans="1:4" x14ac:dyDescent="0.25">
      <c r="A32" t="s">
        <v>191</v>
      </c>
      <c r="B32" t="s">
        <v>2273</v>
      </c>
      <c r="C32" t="s">
        <v>2290</v>
      </c>
      <c r="D32">
        <v>2</v>
      </c>
    </row>
    <row r="33" spans="1:4" x14ac:dyDescent="0.25">
      <c r="A33" t="s">
        <v>197</v>
      </c>
      <c r="B33" t="s">
        <v>2273</v>
      </c>
      <c r="C33" t="s">
        <v>2291</v>
      </c>
      <c r="D33">
        <v>3</v>
      </c>
    </row>
    <row r="34" spans="1:4" x14ac:dyDescent="0.25">
      <c r="A34" t="s">
        <v>202</v>
      </c>
      <c r="B34" t="s">
        <v>2273</v>
      </c>
      <c r="C34" t="s">
        <v>2292</v>
      </c>
      <c r="D34">
        <v>5</v>
      </c>
    </row>
    <row r="35" spans="1:4" x14ac:dyDescent="0.25">
      <c r="A35" t="s">
        <v>294</v>
      </c>
      <c r="B35" t="s">
        <v>2273</v>
      </c>
      <c r="C35" t="s">
        <v>2271</v>
      </c>
      <c r="D35">
        <v>1</v>
      </c>
    </row>
    <row r="36" spans="1:4" x14ac:dyDescent="0.25">
      <c r="A36" t="s">
        <v>209</v>
      </c>
      <c r="B36" t="s">
        <v>2273</v>
      </c>
      <c r="C36" t="s">
        <v>924</v>
      </c>
      <c r="D36">
        <v>1</v>
      </c>
    </row>
    <row r="37" spans="1:4" x14ac:dyDescent="0.25">
      <c r="A37" t="s">
        <v>211</v>
      </c>
      <c r="B37" t="s">
        <v>2273</v>
      </c>
      <c r="C37" t="s">
        <v>2271</v>
      </c>
      <c r="D37">
        <v>1</v>
      </c>
    </row>
    <row r="38" spans="1:4" x14ac:dyDescent="0.25">
      <c r="A38" t="s">
        <v>212</v>
      </c>
      <c r="B38" t="s">
        <v>2273</v>
      </c>
      <c r="C38" t="s">
        <v>2271</v>
      </c>
      <c r="D38">
        <v>1</v>
      </c>
    </row>
    <row r="39" spans="1:4" x14ac:dyDescent="0.25">
      <c r="A39" t="s">
        <v>218</v>
      </c>
      <c r="B39" t="s">
        <v>2273</v>
      </c>
      <c r="C39" t="s">
        <v>2271</v>
      </c>
      <c r="D39">
        <v>1</v>
      </c>
    </row>
    <row r="40" spans="1:4" x14ac:dyDescent="0.25">
      <c r="A40" t="s">
        <v>220</v>
      </c>
      <c r="B40" t="s">
        <v>2273</v>
      </c>
      <c r="C40" t="s">
        <v>2271</v>
      </c>
      <c r="D40">
        <v>1</v>
      </c>
    </row>
    <row r="41" spans="1:4" x14ac:dyDescent="0.25">
      <c r="A41" t="s">
        <v>227</v>
      </c>
      <c r="B41" t="s">
        <v>2273</v>
      </c>
      <c r="C41" t="s">
        <v>2271</v>
      </c>
      <c r="D41">
        <v>1</v>
      </c>
    </row>
    <row r="42" spans="1:4" x14ac:dyDescent="0.25">
      <c r="A42" t="s">
        <v>231</v>
      </c>
      <c r="B42" t="s">
        <v>2273</v>
      </c>
      <c r="C42" t="s">
        <v>2271</v>
      </c>
      <c r="D42">
        <v>1</v>
      </c>
    </row>
    <row r="43" spans="1:4" x14ac:dyDescent="0.25">
      <c r="A43" t="s">
        <v>232</v>
      </c>
      <c r="B43" t="s">
        <v>2273</v>
      </c>
      <c r="C43" t="s">
        <v>639</v>
      </c>
      <c r="D43">
        <v>1</v>
      </c>
    </row>
    <row r="44" spans="1:4" x14ac:dyDescent="0.25">
      <c r="A44" t="s">
        <v>234</v>
      </c>
      <c r="B44" t="s">
        <v>2273</v>
      </c>
      <c r="C44" t="s">
        <v>2271</v>
      </c>
      <c r="D44">
        <v>1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54"/>
  <sheetViews>
    <sheetView topLeftCell="AS1" workbookViewId="0">
      <selection activeCell="B1" sqref="B1:BG1"/>
    </sheetView>
  </sheetViews>
  <sheetFormatPr defaultColWidth="9.140625" defaultRowHeight="15" x14ac:dyDescent="0.25"/>
  <cols>
    <col min="1" max="1" width="18.140625" bestFit="1" customWidth="1"/>
    <col min="2" max="2" width="25.42578125" customWidth="1"/>
    <col min="3" max="3" width="13.5703125" customWidth="1"/>
    <col min="4" max="4" width="16.140625" customWidth="1"/>
    <col min="5" max="5" width="14.5703125" customWidth="1"/>
    <col min="6" max="7" width="16.140625" customWidth="1"/>
    <col min="8" max="8" width="14.140625" customWidth="1"/>
    <col min="9" max="9" width="16.140625" customWidth="1"/>
    <col min="10" max="10" width="14.140625" customWidth="1"/>
    <col min="11" max="12" width="16.7109375" customWidth="1"/>
    <col min="13" max="13" width="16.140625" customWidth="1"/>
    <col min="14" max="14" width="14.140625" customWidth="1"/>
    <col min="15" max="15" width="16.7109375" customWidth="1"/>
    <col min="16" max="16" width="14.140625" customWidth="1"/>
    <col min="17" max="17" width="16.140625" customWidth="1"/>
    <col min="18" max="18" width="16.7109375" customWidth="1"/>
    <col min="19" max="19" width="13.5703125" customWidth="1"/>
    <col min="20" max="21" width="14.140625" customWidth="1"/>
    <col min="22" max="23" width="15.140625" customWidth="1"/>
    <col min="24" max="34" width="14.5703125" customWidth="1"/>
    <col min="35" max="35" width="13.42578125" customWidth="1"/>
    <col min="36" max="37" width="15.140625" customWidth="1"/>
    <col min="38" max="38" width="14.5703125" customWidth="1"/>
    <col min="39" max="42" width="15.140625" customWidth="1"/>
    <col min="43" max="43" width="14.5703125" customWidth="1"/>
    <col min="44" max="44" width="15.140625" customWidth="1"/>
    <col min="45" max="45" width="14.5703125" customWidth="1"/>
    <col min="46" max="46" width="11.5703125" customWidth="1"/>
    <col min="47" max="49" width="12.5703125" customWidth="1"/>
    <col min="50" max="50" width="11.5703125" customWidth="1"/>
    <col min="51" max="53" width="12.5703125" customWidth="1"/>
    <col min="54" max="55" width="13.5703125" customWidth="1"/>
    <col min="56" max="56" width="14.140625" customWidth="1"/>
    <col min="57" max="59" width="17.28515625" customWidth="1"/>
  </cols>
  <sheetData>
    <row r="1" spans="1:59" x14ac:dyDescent="0.25">
      <c r="A1" t="s">
        <v>0</v>
      </c>
      <c r="B1" t="s">
        <v>2294</v>
      </c>
      <c r="C1" t="s">
        <v>372</v>
      </c>
      <c r="D1" t="s">
        <v>1822</v>
      </c>
      <c r="E1" t="s">
        <v>2293</v>
      </c>
      <c r="F1" t="s">
        <v>1825</v>
      </c>
      <c r="G1" t="s">
        <v>1826</v>
      </c>
      <c r="H1" t="s">
        <v>2613</v>
      </c>
      <c r="I1" t="s">
        <v>1829</v>
      </c>
      <c r="J1" t="s">
        <v>2614</v>
      </c>
      <c r="K1" t="s">
        <v>2615</v>
      </c>
      <c r="L1" t="s">
        <v>2616</v>
      </c>
      <c r="M1" t="s">
        <v>1832</v>
      </c>
      <c r="N1" t="s">
        <v>2617</v>
      </c>
      <c r="O1" t="s">
        <v>2618</v>
      </c>
      <c r="P1" t="s">
        <v>2619</v>
      </c>
      <c r="Q1" t="s">
        <v>1838</v>
      </c>
      <c r="R1" t="s">
        <v>2620</v>
      </c>
      <c r="S1" t="s">
        <v>703</v>
      </c>
      <c r="T1" t="s">
        <v>2621</v>
      </c>
      <c r="U1" t="s">
        <v>2622</v>
      </c>
      <c r="V1" t="s">
        <v>2623</v>
      </c>
      <c r="W1" t="s">
        <v>2624</v>
      </c>
      <c r="X1" t="s">
        <v>379</v>
      </c>
      <c r="Y1" t="s">
        <v>373</v>
      </c>
      <c r="Z1" t="s">
        <v>619</v>
      </c>
      <c r="AA1" t="s">
        <v>380</v>
      </c>
      <c r="AB1" t="s">
        <v>374</v>
      </c>
      <c r="AC1" t="s">
        <v>375</v>
      </c>
      <c r="AD1" t="s">
        <v>376</v>
      </c>
      <c r="AE1" t="s">
        <v>667</v>
      </c>
      <c r="AF1" t="s">
        <v>381</v>
      </c>
      <c r="AG1" t="s">
        <v>377</v>
      </c>
      <c r="AH1" t="s">
        <v>668</v>
      </c>
      <c r="AI1" t="s">
        <v>669</v>
      </c>
      <c r="AJ1" t="s">
        <v>2625</v>
      </c>
      <c r="AK1" t="s">
        <v>2626</v>
      </c>
      <c r="AL1" t="s">
        <v>670</v>
      </c>
      <c r="AM1" t="s">
        <v>2627</v>
      </c>
      <c r="AN1" t="s">
        <v>2628</v>
      </c>
      <c r="AO1" t="s">
        <v>2629</v>
      </c>
      <c r="AP1" t="s">
        <v>2630</v>
      </c>
      <c r="AQ1" t="s">
        <v>498</v>
      </c>
      <c r="AR1" t="s">
        <v>2631</v>
      </c>
      <c r="AS1" t="s">
        <v>762</v>
      </c>
      <c r="AT1" t="s">
        <v>2295</v>
      </c>
      <c r="AU1" t="s">
        <v>2296</v>
      </c>
      <c r="AV1" t="s">
        <v>2297</v>
      </c>
      <c r="AW1" t="s">
        <v>2298</v>
      </c>
      <c r="AX1" t="s">
        <v>2299</v>
      </c>
      <c r="AY1" t="s">
        <v>2300</v>
      </c>
      <c r="AZ1" t="s">
        <v>2301</v>
      </c>
      <c r="BA1" t="s">
        <v>2302</v>
      </c>
      <c r="BB1" t="s">
        <v>2303</v>
      </c>
      <c r="BC1" t="s">
        <v>2304</v>
      </c>
      <c r="BD1" t="s">
        <v>726</v>
      </c>
      <c r="BE1" t="s">
        <v>822</v>
      </c>
      <c r="BF1" t="s">
        <v>823</v>
      </c>
      <c r="BG1" t="s">
        <v>824</v>
      </c>
    </row>
    <row r="2" spans="1:59" x14ac:dyDescent="0.25">
      <c r="A2" t="s">
        <v>6</v>
      </c>
    </row>
    <row r="3" spans="1:59" x14ac:dyDescent="0.25">
      <c r="A3" t="s">
        <v>11</v>
      </c>
    </row>
    <row r="4" spans="1:59" x14ac:dyDescent="0.25">
      <c r="A4" t="s">
        <v>12</v>
      </c>
    </row>
    <row r="5" spans="1:59" x14ac:dyDescent="0.25">
      <c r="A5" t="s">
        <v>16</v>
      </c>
    </row>
    <row r="6" spans="1:59" x14ac:dyDescent="0.25">
      <c r="A6" t="s">
        <v>18</v>
      </c>
    </row>
    <row r="7" spans="1:59" x14ac:dyDescent="0.25">
      <c r="A7" t="s">
        <v>20</v>
      </c>
      <c r="B7">
        <v>100</v>
      </c>
    </row>
    <row r="8" spans="1:59" x14ac:dyDescent="0.25">
      <c r="A8" t="s">
        <v>22</v>
      </c>
      <c r="C8">
        <v>7.14</v>
      </c>
      <c r="E8">
        <v>7.14</v>
      </c>
      <c r="AA8">
        <v>12.41</v>
      </c>
      <c r="AB8">
        <v>11.9</v>
      </c>
      <c r="AD8">
        <v>9.86</v>
      </c>
      <c r="AE8">
        <v>9.35</v>
      </c>
      <c r="AF8">
        <v>10.3</v>
      </c>
      <c r="AG8">
        <v>7.65</v>
      </c>
      <c r="AH8">
        <v>9.18</v>
      </c>
      <c r="AI8">
        <v>8.16</v>
      </c>
      <c r="AL8">
        <v>7.14</v>
      </c>
      <c r="AQ8">
        <v>8.67</v>
      </c>
    </row>
    <row r="9" spans="1:59" x14ac:dyDescent="0.25">
      <c r="A9" t="s">
        <v>24</v>
      </c>
    </row>
    <row r="10" spans="1:59" x14ac:dyDescent="0.25">
      <c r="A10" t="s">
        <v>26</v>
      </c>
      <c r="N10">
        <v>311.8</v>
      </c>
      <c r="S10">
        <v>356.1</v>
      </c>
      <c r="T10">
        <v>356.2</v>
      </c>
      <c r="AG10">
        <v>427</v>
      </c>
      <c r="AJ10">
        <v>427</v>
      </c>
      <c r="AK10">
        <v>210</v>
      </c>
    </row>
    <row r="11" spans="1:59" x14ac:dyDescent="0.25">
      <c r="A11" t="s">
        <v>28</v>
      </c>
    </row>
    <row r="12" spans="1:59" x14ac:dyDescent="0.25">
      <c r="A12" t="s">
        <v>30</v>
      </c>
    </row>
    <row r="13" spans="1:59" x14ac:dyDescent="0.25">
      <c r="A13" t="s">
        <v>32</v>
      </c>
      <c r="B13" t="s">
        <v>378</v>
      </c>
    </row>
    <row r="14" spans="1:59" x14ac:dyDescent="0.25">
      <c r="A14" t="s">
        <v>34</v>
      </c>
    </row>
    <row r="15" spans="1:59" x14ac:dyDescent="0.25">
      <c r="A15" t="s">
        <v>36</v>
      </c>
    </row>
    <row r="16" spans="1:59" x14ac:dyDescent="0.25">
      <c r="A16" t="s">
        <v>37</v>
      </c>
    </row>
    <row r="17" spans="1:30" x14ac:dyDescent="0.25">
      <c r="A17" t="s">
        <v>40</v>
      </c>
    </row>
    <row r="18" spans="1:30" x14ac:dyDescent="0.25">
      <c r="A18" t="s">
        <v>42</v>
      </c>
    </row>
    <row r="19" spans="1:30" x14ac:dyDescent="0.25">
      <c r="A19" t="s">
        <v>43</v>
      </c>
    </row>
    <row r="20" spans="1:30" x14ac:dyDescent="0.25">
      <c r="A20" t="s">
        <v>44</v>
      </c>
    </row>
    <row r="21" spans="1:30" x14ac:dyDescent="0.25">
      <c r="A21" t="s">
        <v>46</v>
      </c>
    </row>
    <row r="22" spans="1:30" x14ac:dyDescent="0.25">
      <c r="A22" t="s">
        <v>48</v>
      </c>
    </row>
    <row r="23" spans="1:30" x14ac:dyDescent="0.25">
      <c r="A23" t="s">
        <v>50</v>
      </c>
      <c r="B23" t="s">
        <v>540</v>
      </c>
      <c r="H23">
        <v>96.5</v>
      </c>
      <c r="AD23">
        <v>28.6</v>
      </c>
    </row>
    <row r="24" spans="1:30" x14ac:dyDescent="0.25">
      <c r="A24" t="s">
        <v>52</v>
      </c>
    </row>
    <row r="25" spans="1:30" x14ac:dyDescent="0.25">
      <c r="A25" t="s">
        <v>53</v>
      </c>
      <c r="B25" t="s">
        <v>542</v>
      </c>
    </row>
    <row r="26" spans="1:30" x14ac:dyDescent="0.25">
      <c r="A26" t="s">
        <v>55</v>
      </c>
    </row>
    <row r="27" spans="1:30" x14ac:dyDescent="0.25">
      <c r="A27" t="s">
        <v>57</v>
      </c>
    </row>
    <row r="28" spans="1:30" x14ac:dyDescent="0.25">
      <c r="A28" t="s">
        <v>59</v>
      </c>
      <c r="B28">
        <v>102</v>
      </c>
    </row>
    <row r="29" spans="1:30" x14ac:dyDescent="0.25">
      <c r="A29" t="s">
        <v>60</v>
      </c>
      <c r="B29" t="s">
        <v>1674</v>
      </c>
    </row>
    <row r="30" spans="1:30" x14ac:dyDescent="0.25">
      <c r="A30" t="s">
        <v>62</v>
      </c>
      <c r="B30">
        <v>135</v>
      </c>
    </row>
    <row r="31" spans="1:30" x14ac:dyDescent="0.25">
      <c r="A31" t="s">
        <v>64</v>
      </c>
    </row>
    <row r="32" spans="1:30" x14ac:dyDescent="0.25">
      <c r="A32" t="s">
        <v>65</v>
      </c>
    </row>
    <row r="33" spans="1:56" x14ac:dyDescent="0.25">
      <c r="A33" t="s">
        <v>66</v>
      </c>
      <c r="B33" t="s">
        <v>1674</v>
      </c>
      <c r="C33" t="s">
        <v>553</v>
      </c>
      <c r="H33" t="s">
        <v>378</v>
      </c>
      <c r="J33" t="s">
        <v>1675</v>
      </c>
      <c r="Y33" t="s">
        <v>1674</v>
      </c>
      <c r="Z33" t="s">
        <v>353</v>
      </c>
    </row>
    <row r="34" spans="1:56" x14ac:dyDescent="0.25">
      <c r="A34" t="s">
        <v>68</v>
      </c>
      <c r="B34" t="s">
        <v>1676</v>
      </c>
      <c r="BD34">
        <v>151</v>
      </c>
    </row>
    <row r="35" spans="1:56" x14ac:dyDescent="0.25">
      <c r="A35" t="s">
        <v>69</v>
      </c>
    </row>
    <row r="36" spans="1:56" x14ac:dyDescent="0.25">
      <c r="A36" t="s">
        <v>71</v>
      </c>
      <c r="B36">
        <v>617</v>
      </c>
    </row>
    <row r="37" spans="1:56" x14ac:dyDescent="0.25">
      <c r="A37" t="s">
        <v>73</v>
      </c>
    </row>
    <row r="38" spans="1:56" x14ac:dyDescent="0.25">
      <c r="A38" t="s">
        <v>74</v>
      </c>
      <c r="E38">
        <v>10.6</v>
      </c>
      <c r="H38" t="s">
        <v>640</v>
      </c>
      <c r="Z38" t="s">
        <v>355</v>
      </c>
    </row>
    <row r="39" spans="1:56" x14ac:dyDescent="0.25">
      <c r="A39" t="s">
        <v>76</v>
      </c>
    </row>
    <row r="40" spans="1:56" x14ac:dyDescent="0.25">
      <c r="A40" t="s">
        <v>78</v>
      </c>
      <c r="B40" t="s">
        <v>1677</v>
      </c>
      <c r="AM40">
        <v>6.97</v>
      </c>
      <c r="AN40">
        <v>8.84</v>
      </c>
      <c r="AO40">
        <v>63.58</v>
      </c>
      <c r="AP40">
        <v>176.97</v>
      </c>
      <c r="AQ40" t="s">
        <v>754</v>
      </c>
      <c r="AR40" t="s">
        <v>758</v>
      </c>
      <c r="AS40" t="s">
        <v>763</v>
      </c>
    </row>
    <row r="41" spans="1:56" x14ac:dyDescent="0.25">
      <c r="A41" t="s">
        <v>80</v>
      </c>
      <c r="B41">
        <v>208</v>
      </c>
      <c r="E41">
        <v>22.7</v>
      </c>
      <c r="N41">
        <v>154</v>
      </c>
      <c r="S41">
        <v>115</v>
      </c>
    </row>
    <row r="42" spans="1:56" x14ac:dyDescent="0.25">
      <c r="A42" t="s">
        <v>82</v>
      </c>
      <c r="B42">
        <v>33.200000000000003</v>
      </c>
      <c r="X42">
        <v>14.8</v>
      </c>
    </row>
    <row r="43" spans="1:56" x14ac:dyDescent="0.25">
      <c r="A43" t="s">
        <v>84</v>
      </c>
    </row>
    <row r="44" spans="1:56" x14ac:dyDescent="0.25">
      <c r="A44" t="s">
        <v>85</v>
      </c>
      <c r="B44">
        <v>11.9</v>
      </c>
    </row>
    <row r="45" spans="1:56" x14ac:dyDescent="0.25">
      <c r="A45" t="s">
        <v>87</v>
      </c>
      <c r="B45">
        <v>11.5</v>
      </c>
      <c r="P45">
        <v>9</v>
      </c>
      <c r="U45">
        <v>11</v>
      </c>
    </row>
    <row r="46" spans="1:56" x14ac:dyDescent="0.25">
      <c r="A46" t="s">
        <v>89</v>
      </c>
    </row>
    <row r="47" spans="1:56" x14ac:dyDescent="0.25">
      <c r="A47" t="s">
        <v>91</v>
      </c>
    </row>
    <row r="48" spans="1:56" x14ac:dyDescent="0.25">
      <c r="A48" t="s">
        <v>92</v>
      </c>
    </row>
    <row r="49" spans="1:59" x14ac:dyDescent="0.25">
      <c r="A49" t="s">
        <v>93</v>
      </c>
    </row>
    <row r="50" spans="1:59" x14ac:dyDescent="0.25">
      <c r="A50" t="s">
        <v>95</v>
      </c>
      <c r="BE50" t="s">
        <v>1713</v>
      </c>
      <c r="BF50" t="s">
        <v>1714</v>
      </c>
      <c r="BG50" t="s">
        <v>1715</v>
      </c>
    </row>
    <row r="51" spans="1:59" x14ac:dyDescent="0.25">
      <c r="A51" t="s">
        <v>97</v>
      </c>
    </row>
    <row r="52" spans="1:59" x14ac:dyDescent="0.25">
      <c r="A52" t="s">
        <v>99</v>
      </c>
    </row>
    <row r="53" spans="1:59" x14ac:dyDescent="0.25">
      <c r="A53" t="s">
        <v>100</v>
      </c>
    </row>
    <row r="54" spans="1:59" x14ac:dyDescent="0.25">
      <c r="A54" t="s">
        <v>101</v>
      </c>
    </row>
    <row r="55" spans="1:59" x14ac:dyDescent="0.25">
      <c r="A55" t="s">
        <v>102</v>
      </c>
    </row>
    <row r="56" spans="1:59" x14ac:dyDescent="0.25">
      <c r="A56" t="s">
        <v>103</v>
      </c>
      <c r="B56">
        <v>8</v>
      </c>
      <c r="J56">
        <v>8.3000000000000007</v>
      </c>
    </row>
    <row r="57" spans="1:59" x14ac:dyDescent="0.25">
      <c r="A57" t="s">
        <v>105</v>
      </c>
    </row>
    <row r="58" spans="1:59" x14ac:dyDescent="0.25">
      <c r="A58" t="s">
        <v>106</v>
      </c>
    </row>
    <row r="59" spans="1:59" x14ac:dyDescent="0.25">
      <c r="A59" t="s">
        <v>107</v>
      </c>
    </row>
    <row r="60" spans="1:59" x14ac:dyDescent="0.25">
      <c r="A60" t="s">
        <v>108</v>
      </c>
    </row>
    <row r="61" spans="1:59" x14ac:dyDescent="0.25">
      <c r="A61" t="s">
        <v>109</v>
      </c>
    </row>
    <row r="62" spans="1:59" x14ac:dyDescent="0.25">
      <c r="A62" t="s">
        <v>110</v>
      </c>
    </row>
    <row r="63" spans="1:59" x14ac:dyDescent="0.25">
      <c r="A63" t="s">
        <v>111</v>
      </c>
    </row>
    <row r="64" spans="1:59" x14ac:dyDescent="0.25">
      <c r="A64" t="s">
        <v>112</v>
      </c>
    </row>
    <row r="65" spans="1:27" x14ac:dyDescent="0.25">
      <c r="A65" t="s">
        <v>113</v>
      </c>
    </row>
    <row r="66" spans="1:27" x14ac:dyDescent="0.25">
      <c r="A66" t="s">
        <v>115</v>
      </c>
    </row>
    <row r="67" spans="1:27" x14ac:dyDescent="0.25">
      <c r="A67" t="s">
        <v>116</v>
      </c>
    </row>
    <row r="68" spans="1:27" x14ac:dyDescent="0.25">
      <c r="A68" t="s">
        <v>117</v>
      </c>
    </row>
    <row r="69" spans="1:27" x14ac:dyDescent="0.25">
      <c r="A69" t="s">
        <v>119</v>
      </c>
      <c r="B69" t="s">
        <v>1677</v>
      </c>
      <c r="H69" t="s">
        <v>1678</v>
      </c>
      <c r="S69" t="s">
        <v>1679</v>
      </c>
    </row>
    <row r="70" spans="1:27" x14ac:dyDescent="0.25">
      <c r="A70" t="s">
        <v>120</v>
      </c>
      <c r="B70">
        <v>425</v>
      </c>
    </row>
    <row r="71" spans="1:27" x14ac:dyDescent="0.25">
      <c r="A71" t="s">
        <v>122</v>
      </c>
    </row>
    <row r="72" spans="1:27" x14ac:dyDescent="0.25">
      <c r="A72" t="s">
        <v>123</v>
      </c>
    </row>
    <row r="73" spans="1:27" x14ac:dyDescent="0.25">
      <c r="A73" t="s">
        <v>125</v>
      </c>
      <c r="E73" t="s">
        <v>1680</v>
      </c>
      <c r="J73" t="s">
        <v>1681</v>
      </c>
      <c r="N73" t="s">
        <v>1682</v>
      </c>
      <c r="P73" t="s">
        <v>1683</v>
      </c>
      <c r="T73" t="s">
        <v>1684</v>
      </c>
      <c r="U73" t="s">
        <v>1685</v>
      </c>
      <c r="W73">
        <v>29.24</v>
      </c>
      <c r="X73" t="s">
        <v>1686</v>
      </c>
      <c r="Y73" t="s">
        <v>1687</v>
      </c>
      <c r="Z73" t="s">
        <v>1688</v>
      </c>
      <c r="AA73" t="s">
        <v>1689</v>
      </c>
    </row>
    <row r="74" spans="1:27" x14ac:dyDescent="0.25">
      <c r="A74" t="s">
        <v>126</v>
      </c>
    </row>
    <row r="75" spans="1:27" x14ac:dyDescent="0.25">
      <c r="A75" t="s">
        <v>127</v>
      </c>
    </row>
    <row r="76" spans="1:27" x14ac:dyDescent="0.25">
      <c r="A76" t="s">
        <v>128</v>
      </c>
      <c r="B76">
        <v>52.6</v>
      </c>
      <c r="P76">
        <v>28.2</v>
      </c>
    </row>
    <row r="77" spans="1:27" x14ac:dyDescent="0.25">
      <c r="A77" t="s">
        <v>131</v>
      </c>
    </row>
    <row r="78" spans="1:27" x14ac:dyDescent="0.25">
      <c r="A78" t="s">
        <v>133</v>
      </c>
    </row>
    <row r="79" spans="1:27" x14ac:dyDescent="0.25">
      <c r="A79" t="s">
        <v>134</v>
      </c>
    </row>
    <row r="80" spans="1:27" x14ac:dyDescent="0.25">
      <c r="A80" t="s">
        <v>136</v>
      </c>
    </row>
    <row r="81" spans="1:25" x14ac:dyDescent="0.25">
      <c r="A81" t="s">
        <v>138</v>
      </c>
    </row>
    <row r="82" spans="1:25" x14ac:dyDescent="0.25">
      <c r="A82" t="s">
        <v>140</v>
      </c>
      <c r="B82">
        <v>345</v>
      </c>
    </row>
    <row r="83" spans="1:25" x14ac:dyDescent="0.25">
      <c r="A83" t="s">
        <v>142</v>
      </c>
    </row>
    <row r="84" spans="1:25" x14ac:dyDescent="0.25">
      <c r="A84" t="s">
        <v>143</v>
      </c>
    </row>
    <row r="85" spans="1:25" x14ac:dyDescent="0.25">
      <c r="A85" t="s">
        <v>144</v>
      </c>
    </row>
    <row r="86" spans="1:25" x14ac:dyDescent="0.25">
      <c r="A86" t="s">
        <v>145</v>
      </c>
    </row>
    <row r="87" spans="1:25" x14ac:dyDescent="0.25">
      <c r="A87" t="s">
        <v>146</v>
      </c>
    </row>
    <row r="88" spans="1:25" x14ac:dyDescent="0.25">
      <c r="A88" t="s">
        <v>147</v>
      </c>
    </row>
    <row r="89" spans="1:25" x14ac:dyDescent="0.25">
      <c r="A89" t="s">
        <v>148</v>
      </c>
    </row>
    <row r="90" spans="1:25" x14ac:dyDescent="0.25">
      <c r="A90" t="s">
        <v>149</v>
      </c>
      <c r="B90">
        <v>81</v>
      </c>
      <c r="P90">
        <v>147</v>
      </c>
      <c r="Y90">
        <v>113</v>
      </c>
    </row>
    <row r="91" spans="1:25" x14ac:dyDescent="0.25">
      <c r="A91" t="s">
        <v>150</v>
      </c>
      <c r="B91">
        <v>313</v>
      </c>
    </row>
    <row r="92" spans="1:25" x14ac:dyDescent="0.25">
      <c r="A92" t="s">
        <v>151</v>
      </c>
    </row>
    <row r="94" spans="1:25" x14ac:dyDescent="0.25">
      <c r="A94" t="s">
        <v>321</v>
      </c>
      <c r="B94" t="s">
        <v>1690</v>
      </c>
      <c r="V94" t="s">
        <v>1674</v>
      </c>
    </row>
    <row r="95" spans="1:25" x14ac:dyDescent="0.25">
      <c r="A95" t="s">
        <v>152</v>
      </c>
      <c r="B95" t="s">
        <v>1824</v>
      </c>
      <c r="D95" t="s">
        <v>1823</v>
      </c>
    </row>
    <row r="96" spans="1:25" x14ac:dyDescent="0.25">
      <c r="A96" t="s">
        <v>153</v>
      </c>
      <c r="B96" t="s">
        <v>1691</v>
      </c>
      <c r="E96" t="s">
        <v>1692</v>
      </c>
      <c r="H96" t="s">
        <v>1693</v>
      </c>
      <c r="J96" t="s">
        <v>1697</v>
      </c>
      <c r="K96" t="s">
        <v>1833</v>
      </c>
      <c r="L96" t="s">
        <v>1834</v>
      </c>
      <c r="M96" t="s">
        <v>1835</v>
      </c>
      <c r="N96" t="s">
        <v>1694</v>
      </c>
    </row>
    <row r="97" spans="1:55" x14ac:dyDescent="0.25">
      <c r="A97" t="s">
        <v>155</v>
      </c>
    </row>
    <row r="98" spans="1:55" x14ac:dyDescent="0.25">
      <c r="A98" t="s">
        <v>157</v>
      </c>
      <c r="U98">
        <v>17</v>
      </c>
    </row>
    <row r="99" spans="1:55" x14ac:dyDescent="0.25">
      <c r="A99" t="s">
        <v>158</v>
      </c>
      <c r="B99" t="s">
        <v>1695</v>
      </c>
      <c r="E99" t="s">
        <v>378</v>
      </c>
      <c r="F99" t="s">
        <v>1707</v>
      </c>
      <c r="G99" t="s">
        <v>1827</v>
      </c>
      <c r="H99" t="s">
        <v>1692</v>
      </c>
      <c r="J99" t="s">
        <v>1696</v>
      </c>
      <c r="N99" t="s">
        <v>1837</v>
      </c>
      <c r="O99" t="s">
        <v>1697</v>
      </c>
      <c r="P99" t="s">
        <v>1840</v>
      </c>
      <c r="Q99" t="s">
        <v>1837</v>
      </c>
      <c r="R99" t="s">
        <v>1070</v>
      </c>
      <c r="S99" t="s">
        <v>1697</v>
      </c>
    </row>
    <row r="100" spans="1:55" x14ac:dyDescent="0.25">
      <c r="A100" t="s">
        <v>160</v>
      </c>
    </row>
    <row r="101" spans="1:55" x14ac:dyDescent="0.25">
      <c r="A101" t="s">
        <v>162</v>
      </c>
    </row>
    <row r="102" spans="1:55" x14ac:dyDescent="0.25">
      <c r="A102" t="s">
        <v>163</v>
      </c>
    </row>
    <row r="103" spans="1:55" x14ac:dyDescent="0.25">
      <c r="A103" t="s">
        <v>164</v>
      </c>
    </row>
    <row r="104" spans="1:55" x14ac:dyDescent="0.25">
      <c r="A104" t="s">
        <v>165</v>
      </c>
    </row>
    <row r="105" spans="1:55" x14ac:dyDescent="0.25">
      <c r="A105" t="s">
        <v>166</v>
      </c>
      <c r="B105" t="s">
        <v>1698</v>
      </c>
      <c r="E105" t="s">
        <v>1699</v>
      </c>
      <c r="H105">
        <v>187</v>
      </c>
    </row>
    <row r="106" spans="1:55" x14ac:dyDescent="0.25">
      <c r="A106" t="s">
        <v>167</v>
      </c>
      <c r="B106" t="s">
        <v>1700</v>
      </c>
    </row>
    <row r="107" spans="1:55" x14ac:dyDescent="0.25">
      <c r="A107" t="s">
        <v>169</v>
      </c>
    </row>
    <row r="108" spans="1:55" x14ac:dyDescent="0.25">
      <c r="A108" t="s">
        <v>170</v>
      </c>
    </row>
    <row r="109" spans="1:55" x14ac:dyDescent="0.25">
      <c r="A109" t="s">
        <v>172</v>
      </c>
    </row>
    <row r="110" spans="1:55" x14ac:dyDescent="0.25">
      <c r="A110" t="s">
        <v>173</v>
      </c>
      <c r="B110" t="s">
        <v>1695</v>
      </c>
      <c r="D110">
        <v>17</v>
      </c>
      <c r="E110" t="s">
        <v>1695</v>
      </c>
      <c r="F110">
        <v>17</v>
      </c>
      <c r="G110" t="s">
        <v>1828</v>
      </c>
      <c r="H110">
        <v>17</v>
      </c>
      <c r="J110" t="s">
        <v>1692</v>
      </c>
      <c r="P110" t="s">
        <v>1696</v>
      </c>
    </row>
    <row r="111" spans="1:55" x14ac:dyDescent="0.25">
      <c r="A111" t="s">
        <v>175</v>
      </c>
      <c r="B111" t="s">
        <v>1696</v>
      </c>
      <c r="AT111" t="s">
        <v>378</v>
      </c>
      <c r="AU111" t="s">
        <v>1701</v>
      </c>
      <c r="AV111" t="s">
        <v>1702</v>
      </c>
      <c r="AW111">
        <v>255</v>
      </c>
      <c r="AX111" t="s">
        <v>1703</v>
      </c>
      <c r="AY111" t="s">
        <v>1704</v>
      </c>
      <c r="AZ111" t="s">
        <v>1705</v>
      </c>
      <c r="BA111" t="s">
        <v>1696</v>
      </c>
      <c r="BB111" t="s">
        <v>1695</v>
      </c>
      <c r="BC111">
        <v>1</v>
      </c>
    </row>
    <row r="112" spans="1:55" x14ac:dyDescent="0.25">
      <c r="A112" t="s">
        <v>176</v>
      </c>
    </row>
    <row r="113" spans="1:39" x14ac:dyDescent="0.25">
      <c r="A113" t="s">
        <v>177</v>
      </c>
    </row>
    <row r="114" spans="1:39" x14ac:dyDescent="0.25">
      <c r="A114" t="s">
        <v>178</v>
      </c>
    </row>
    <row r="115" spans="1:39" x14ac:dyDescent="0.25">
      <c r="A115" t="s">
        <v>179</v>
      </c>
    </row>
    <row r="116" spans="1:39" x14ac:dyDescent="0.25">
      <c r="A116" t="s">
        <v>182</v>
      </c>
    </row>
    <row r="117" spans="1:39" x14ac:dyDescent="0.25">
      <c r="A117" t="s">
        <v>183</v>
      </c>
      <c r="E117" t="s">
        <v>607</v>
      </c>
      <c r="H117" t="s">
        <v>933</v>
      </c>
      <c r="J117" t="s">
        <v>607</v>
      </c>
      <c r="S117" t="s">
        <v>636</v>
      </c>
    </row>
    <row r="118" spans="1:39" x14ac:dyDescent="0.25">
      <c r="A118" t="s">
        <v>185</v>
      </c>
      <c r="S118">
        <v>19</v>
      </c>
    </row>
    <row r="119" spans="1:39" x14ac:dyDescent="0.25">
      <c r="A119" t="s">
        <v>187</v>
      </c>
      <c r="B119" t="s">
        <v>1706</v>
      </c>
    </row>
    <row r="120" spans="1:39" x14ac:dyDescent="0.25">
      <c r="A120" t="s">
        <v>189</v>
      </c>
    </row>
    <row r="121" spans="1:39" x14ac:dyDescent="0.25">
      <c r="A121" t="s">
        <v>191</v>
      </c>
      <c r="B121" t="s">
        <v>1707</v>
      </c>
      <c r="H121">
        <v>68</v>
      </c>
    </row>
    <row r="122" spans="1:39" x14ac:dyDescent="0.25">
      <c r="A122" t="s">
        <v>192</v>
      </c>
    </row>
    <row r="123" spans="1:39" x14ac:dyDescent="0.25">
      <c r="A123" t="s">
        <v>194</v>
      </c>
    </row>
    <row r="124" spans="1:39" x14ac:dyDescent="0.25">
      <c r="A124" t="s">
        <v>196</v>
      </c>
      <c r="B124">
        <v>68</v>
      </c>
    </row>
    <row r="125" spans="1:39" x14ac:dyDescent="0.25">
      <c r="A125" t="s">
        <v>197</v>
      </c>
      <c r="AM125">
        <v>30</v>
      </c>
    </row>
    <row r="126" spans="1:39" x14ac:dyDescent="0.25">
      <c r="A126" t="s">
        <v>199</v>
      </c>
    </row>
    <row r="127" spans="1:39" x14ac:dyDescent="0.25">
      <c r="A127" t="s">
        <v>200</v>
      </c>
    </row>
    <row r="128" spans="1:39" x14ac:dyDescent="0.25">
      <c r="A128" t="s">
        <v>201</v>
      </c>
    </row>
    <row r="129" spans="1:37" x14ac:dyDescent="0.25">
      <c r="A129" t="s">
        <v>202</v>
      </c>
      <c r="B129" t="s">
        <v>1708</v>
      </c>
      <c r="P129" t="s">
        <v>1709</v>
      </c>
      <c r="Z129" t="s">
        <v>1710</v>
      </c>
      <c r="AG129" t="s">
        <v>1711</v>
      </c>
      <c r="AK129" t="s">
        <v>1712</v>
      </c>
    </row>
    <row r="130" spans="1:37" x14ac:dyDescent="0.25">
      <c r="A130" t="s">
        <v>294</v>
      </c>
    </row>
    <row r="131" spans="1:37" x14ac:dyDescent="0.25">
      <c r="A131" t="s">
        <v>207</v>
      </c>
      <c r="B131" t="s">
        <v>1674</v>
      </c>
    </row>
    <row r="132" spans="1:37" x14ac:dyDescent="0.25">
      <c r="A132" t="s">
        <v>208</v>
      </c>
    </row>
    <row r="133" spans="1:37" x14ac:dyDescent="0.25">
      <c r="A133" t="s">
        <v>1589</v>
      </c>
    </row>
    <row r="134" spans="1:37" x14ac:dyDescent="0.25">
      <c r="A134" t="s">
        <v>209</v>
      </c>
    </row>
    <row r="135" spans="1:37" x14ac:dyDescent="0.25">
      <c r="A135" t="s">
        <v>211</v>
      </c>
    </row>
    <row r="136" spans="1:37" x14ac:dyDescent="0.25">
      <c r="A136" t="s">
        <v>212</v>
      </c>
    </row>
    <row r="137" spans="1:37" x14ac:dyDescent="0.25">
      <c r="A137" t="s">
        <v>214</v>
      </c>
    </row>
    <row r="138" spans="1:37" x14ac:dyDescent="0.25">
      <c r="A138" t="s">
        <v>216</v>
      </c>
    </row>
    <row r="139" spans="1:37" x14ac:dyDescent="0.25">
      <c r="A139" t="s">
        <v>218</v>
      </c>
    </row>
    <row r="140" spans="1:37" x14ac:dyDescent="0.25">
      <c r="A140" t="s">
        <v>220</v>
      </c>
    </row>
    <row r="141" spans="1:37" x14ac:dyDescent="0.25">
      <c r="A141" t="s">
        <v>222</v>
      </c>
    </row>
    <row r="142" spans="1:37" x14ac:dyDescent="0.25">
      <c r="A142" t="s">
        <v>224</v>
      </c>
    </row>
    <row r="143" spans="1:37" x14ac:dyDescent="0.25">
      <c r="A143" t="s">
        <v>225</v>
      </c>
    </row>
    <row r="144" spans="1:37" x14ac:dyDescent="0.25">
      <c r="A144" t="s">
        <v>227</v>
      </c>
    </row>
    <row r="145" spans="1:1" x14ac:dyDescent="0.25">
      <c r="A145" t="s">
        <v>229</v>
      </c>
    </row>
    <row r="146" spans="1:1" x14ac:dyDescent="0.25">
      <c r="A146" t="s">
        <v>231</v>
      </c>
    </row>
    <row r="147" spans="1:1" x14ac:dyDescent="0.25">
      <c r="A147" t="s">
        <v>232</v>
      </c>
    </row>
    <row r="148" spans="1:1" x14ac:dyDescent="0.25">
      <c r="A148" t="s">
        <v>234</v>
      </c>
    </row>
    <row r="149" spans="1:1" x14ac:dyDescent="0.25">
      <c r="A149" t="s">
        <v>236</v>
      </c>
    </row>
    <row r="150" spans="1:1" x14ac:dyDescent="0.25">
      <c r="A150" t="s">
        <v>1322</v>
      </c>
    </row>
    <row r="151" spans="1:1" x14ac:dyDescent="0.25">
      <c r="A151" t="s">
        <v>1323</v>
      </c>
    </row>
    <row r="152" spans="1:1" x14ac:dyDescent="0.25">
      <c r="A152" t="s">
        <v>1324</v>
      </c>
    </row>
    <row r="153" spans="1:1" x14ac:dyDescent="0.25">
      <c r="A153" t="s">
        <v>1325</v>
      </c>
    </row>
    <row r="154" spans="1:1" x14ac:dyDescent="0.25">
      <c r="A154" t="s">
        <v>1326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D45"/>
  <sheetViews>
    <sheetView workbookViewId="0">
      <selection sqref="A1:D65"/>
    </sheetView>
  </sheetViews>
  <sheetFormatPr defaultColWidth="9.140625" defaultRowHeight="15" x14ac:dyDescent="0.25"/>
  <cols>
    <col min="1" max="1" width="18.140625" bestFit="1" customWidth="1"/>
    <col min="2" max="2" width="13.85546875" bestFit="1" customWidth="1"/>
    <col min="3" max="3" width="81.140625" bestFit="1" customWidth="1"/>
    <col min="4" max="4" width="35.85546875" bestFit="1" customWidth="1"/>
  </cols>
  <sheetData>
    <row r="1" spans="1:4" ht="15.75" x14ac:dyDescent="0.25">
      <c r="A1" s="29" t="s">
        <v>0</v>
      </c>
      <c r="B1" s="29" t="s">
        <v>2305</v>
      </c>
      <c r="C1" s="29" t="s">
        <v>2134</v>
      </c>
      <c r="D1" s="29" t="s">
        <v>2118</v>
      </c>
    </row>
    <row r="2" spans="1:4" x14ac:dyDescent="0.25">
      <c r="A2" s="32" t="s">
        <v>20</v>
      </c>
      <c r="B2" t="s">
        <v>2305</v>
      </c>
      <c r="C2" s="21" t="s">
        <v>2294</v>
      </c>
      <c r="D2">
        <v>1</v>
      </c>
    </row>
    <row r="3" spans="1:4" ht="30" x14ac:dyDescent="0.25">
      <c r="A3" s="32" t="s">
        <v>22</v>
      </c>
      <c r="B3" t="s">
        <v>2305</v>
      </c>
      <c r="C3" s="21" t="s">
        <v>2560</v>
      </c>
      <c r="D3">
        <v>12</v>
      </c>
    </row>
    <row r="4" spans="1:4" x14ac:dyDescent="0.25">
      <c r="A4" s="32" t="s">
        <v>26</v>
      </c>
      <c r="B4" t="s">
        <v>2305</v>
      </c>
      <c r="C4" t="s">
        <v>2632</v>
      </c>
      <c r="D4">
        <v>6</v>
      </c>
    </row>
    <row r="5" spans="1:4" x14ac:dyDescent="0.25">
      <c r="A5" s="32" t="s">
        <v>32</v>
      </c>
      <c r="B5" t="s">
        <v>2305</v>
      </c>
      <c r="C5" t="s">
        <v>2294</v>
      </c>
      <c r="D5">
        <v>1</v>
      </c>
    </row>
    <row r="6" spans="1:4" x14ac:dyDescent="0.25">
      <c r="A6" s="32" t="s">
        <v>50</v>
      </c>
      <c r="B6" t="s">
        <v>2305</v>
      </c>
      <c r="C6" t="s">
        <v>2633</v>
      </c>
      <c r="D6">
        <v>3</v>
      </c>
    </row>
    <row r="7" spans="1:4" x14ac:dyDescent="0.25">
      <c r="A7" s="32" t="s">
        <v>53</v>
      </c>
      <c r="B7" t="s">
        <v>2305</v>
      </c>
      <c r="C7" t="s">
        <v>2294</v>
      </c>
      <c r="D7">
        <v>1</v>
      </c>
    </row>
    <row r="8" spans="1:4" x14ac:dyDescent="0.25">
      <c r="A8" s="32" t="s">
        <v>59</v>
      </c>
      <c r="B8" t="s">
        <v>2305</v>
      </c>
      <c r="C8" t="s">
        <v>2294</v>
      </c>
      <c r="D8">
        <v>1</v>
      </c>
    </row>
    <row r="9" spans="1:4" x14ac:dyDescent="0.25">
      <c r="A9" s="32" t="s">
        <v>60</v>
      </c>
      <c r="B9" t="s">
        <v>2305</v>
      </c>
      <c r="C9" t="s">
        <v>2294</v>
      </c>
      <c r="D9">
        <v>1</v>
      </c>
    </row>
    <row r="10" spans="1:4" x14ac:dyDescent="0.25">
      <c r="A10" s="32" t="s">
        <v>62</v>
      </c>
      <c r="B10" t="s">
        <v>2305</v>
      </c>
      <c r="C10" t="s">
        <v>2294</v>
      </c>
      <c r="D10">
        <v>1</v>
      </c>
    </row>
    <row r="11" spans="1:4" x14ac:dyDescent="0.25">
      <c r="A11" s="32" t="s">
        <v>66</v>
      </c>
      <c r="B11" t="s">
        <v>2305</v>
      </c>
      <c r="C11" t="s">
        <v>2634</v>
      </c>
      <c r="D11">
        <v>6</v>
      </c>
    </row>
    <row r="12" spans="1:4" x14ac:dyDescent="0.25">
      <c r="A12" s="32" t="s">
        <v>68</v>
      </c>
      <c r="B12" t="s">
        <v>2305</v>
      </c>
      <c r="C12" t="s">
        <v>2306</v>
      </c>
      <c r="D12">
        <v>2</v>
      </c>
    </row>
    <row r="13" spans="1:4" x14ac:dyDescent="0.25">
      <c r="A13" s="32" t="s">
        <v>71</v>
      </c>
      <c r="B13" t="s">
        <v>2305</v>
      </c>
      <c r="C13" t="s">
        <v>2294</v>
      </c>
      <c r="D13">
        <v>1</v>
      </c>
    </row>
    <row r="14" spans="1:4" x14ac:dyDescent="0.25">
      <c r="A14" s="32" t="s">
        <v>74</v>
      </c>
      <c r="B14" t="s">
        <v>2305</v>
      </c>
      <c r="C14" t="s">
        <v>2635</v>
      </c>
      <c r="D14">
        <v>3</v>
      </c>
    </row>
    <row r="15" spans="1:4" x14ac:dyDescent="0.25">
      <c r="A15" s="32" t="s">
        <v>78</v>
      </c>
      <c r="B15" t="s">
        <v>2305</v>
      </c>
      <c r="C15" t="s">
        <v>2636</v>
      </c>
      <c r="D15">
        <v>8</v>
      </c>
    </row>
    <row r="16" spans="1:4" x14ac:dyDescent="0.25">
      <c r="A16" s="32" t="s">
        <v>80</v>
      </c>
      <c r="B16" t="s">
        <v>2305</v>
      </c>
      <c r="C16" t="s">
        <v>2637</v>
      </c>
      <c r="D16">
        <v>4</v>
      </c>
    </row>
    <row r="17" spans="1:4" x14ac:dyDescent="0.25">
      <c r="A17" s="32" t="s">
        <v>82</v>
      </c>
      <c r="B17" t="s">
        <v>2305</v>
      </c>
      <c r="C17" t="s">
        <v>2307</v>
      </c>
      <c r="D17">
        <v>2</v>
      </c>
    </row>
    <row r="18" spans="1:4" x14ac:dyDescent="0.25">
      <c r="A18" s="32" t="s">
        <v>85</v>
      </c>
      <c r="B18" t="s">
        <v>2305</v>
      </c>
      <c r="C18" t="s">
        <v>2294</v>
      </c>
      <c r="D18">
        <v>1</v>
      </c>
    </row>
    <row r="19" spans="1:4" x14ac:dyDescent="0.25">
      <c r="A19" s="32" t="s">
        <v>87</v>
      </c>
      <c r="B19" t="s">
        <v>2305</v>
      </c>
      <c r="C19" t="s">
        <v>2638</v>
      </c>
      <c r="D19">
        <v>3</v>
      </c>
    </row>
    <row r="20" spans="1:4" x14ac:dyDescent="0.25">
      <c r="A20" s="32" t="s">
        <v>95</v>
      </c>
      <c r="B20" t="s">
        <v>2305</v>
      </c>
      <c r="C20" t="s">
        <v>2308</v>
      </c>
      <c r="D20">
        <v>3</v>
      </c>
    </row>
    <row r="21" spans="1:4" x14ac:dyDescent="0.25">
      <c r="A21" s="32" t="s">
        <v>103</v>
      </c>
      <c r="B21" t="s">
        <v>2305</v>
      </c>
      <c r="C21" t="s">
        <v>2639</v>
      </c>
      <c r="D21">
        <v>2</v>
      </c>
    </row>
    <row r="22" spans="1:4" x14ac:dyDescent="0.25">
      <c r="A22" s="32" t="s">
        <v>119</v>
      </c>
      <c r="B22" t="s">
        <v>2305</v>
      </c>
      <c r="C22" t="s">
        <v>2640</v>
      </c>
      <c r="D22">
        <v>3</v>
      </c>
    </row>
    <row r="23" spans="1:4" x14ac:dyDescent="0.25">
      <c r="A23" s="32" t="s">
        <v>120</v>
      </c>
      <c r="B23" t="s">
        <v>2305</v>
      </c>
      <c r="C23" t="s">
        <v>2294</v>
      </c>
      <c r="D23">
        <v>1</v>
      </c>
    </row>
    <row r="24" spans="1:4" x14ac:dyDescent="0.25">
      <c r="A24" s="32" t="s">
        <v>125</v>
      </c>
      <c r="B24" t="s">
        <v>2305</v>
      </c>
      <c r="C24" t="s">
        <v>2641</v>
      </c>
      <c r="D24">
        <v>11</v>
      </c>
    </row>
    <row r="25" spans="1:4" x14ac:dyDescent="0.25">
      <c r="A25" s="32" t="s">
        <v>128</v>
      </c>
      <c r="B25" t="s">
        <v>2305</v>
      </c>
      <c r="C25" t="s">
        <v>2642</v>
      </c>
      <c r="D25">
        <v>2</v>
      </c>
    </row>
    <row r="26" spans="1:4" x14ac:dyDescent="0.25">
      <c r="A26" s="32" t="s">
        <v>140</v>
      </c>
      <c r="B26" t="s">
        <v>2305</v>
      </c>
      <c r="C26" t="s">
        <v>2294</v>
      </c>
      <c r="D26">
        <v>1</v>
      </c>
    </row>
    <row r="27" spans="1:4" x14ac:dyDescent="0.25">
      <c r="A27" s="32" t="s">
        <v>149</v>
      </c>
      <c r="B27" t="s">
        <v>2305</v>
      </c>
      <c r="C27" t="s">
        <v>2643</v>
      </c>
      <c r="D27">
        <v>3</v>
      </c>
    </row>
    <row r="28" spans="1:4" x14ac:dyDescent="0.25">
      <c r="A28" s="32" t="s">
        <v>150</v>
      </c>
      <c r="B28" t="s">
        <v>2305</v>
      </c>
      <c r="C28" t="s">
        <v>2294</v>
      </c>
      <c r="D28">
        <v>1</v>
      </c>
    </row>
    <row r="29" spans="1:4" x14ac:dyDescent="0.25">
      <c r="A29" s="32" t="s">
        <v>321</v>
      </c>
      <c r="B29" t="s">
        <v>2305</v>
      </c>
      <c r="C29" t="s">
        <v>2649</v>
      </c>
      <c r="D29">
        <v>2</v>
      </c>
    </row>
    <row r="30" spans="1:4" x14ac:dyDescent="0.25">
      <c r="A30" s="32" t="s">
        <v>152</v>
      </c>
      <c r="B30" t="s">
        <v>2305</v>
      </c>
      <c r="C30" t="s">
        <v>2309</v>
      </c>
      <c r="D30">
        <v>2</v>
      </c>
    </row>
    <row r="31" spans="1:4" x14ac:dyDescent="0.25">
      <c r="A31" s="32" t="s">
        <v>153</v>
      </c>
      <c r="B31" t="s">
        <v>2305</v>
      </c>
      <c r="C31" t="s">
        <v>2650</v>
      </c>
      <c r="D31">
        <v>8</v>
      </c>
    </row>
    <row r="32" spans="1:4" x14ac:dyDescent="0.25">
      <c r="A32" s="32" t="s">
        <v>157</v>
      </c>
      <c r="B32" t="s">
        <v>2305</v>
      </c>
      <c r="C32" t="s">
        <v>2622</v>
      </c>
      <c r="D32">
        <v>1</v>
      </c>
    </row>
    <row r="33" spans="1:4" x14ac:dyDescent="0.25">
      <c r="A33" s="32" t="s">
        <v>158</v>
      </c>
      <c r="B33" t="s">
        <v>2305</v>
      </c>
      <c r="C33" t="s">
        <v>2651</v>
      </c>
      <c r="D33">
        <v>12</v>
      </c>
    </row>
    <row r="34" spans="1:4" x14ac:dyDescent="0.25">
      <c r="A34" s="32" t="s">
        <v>166</v>
      </c>
      <c r="B34" t="s">
        <v>2305</v>
      </c>
      <c r="C34" t="s">
        <v>2652</v>
      </c>
      <c r="D34">
        <v>3</v>
      </c>
    </row>
    <row r="35" spans="1:4" x14ac:dyDescent="0.25">
      <c r="A35" s="32" t="s">
        <v>167</v>
      </c>
      <c r="B35" t="s">
        <v>2305</v>
      </c>
      <c r="C35" t="s">
        <v>2294</v>
      </c>
      <c r="D35">
        <v>1</v>
      </c>
    </row>
    <row r="36" spans="1:4" x14ac:dyDescent="0.25">
      <c r="A36" s="32" t="s">
        <v>173</v>
      </c>
      <c r="B36" t="s">
        <v>2305</v>
      </c>
      <c r="C36" t="s">
        <v>2653</v>
      </c>
      <c r="D36">
        <v>8</v>
      </c>
    </row>
    <row r="37" spans="1:4" x14ac:dyDescent="0.25">
      <c r="A37" s="32" t="s">
        <v>175</v>
      </c>
      <c r="B37" t="s">
        <v>2305</v>
      </c>
      <c r="C37" t="s">
        <v>2654</v>
      </c>
      <c r="D37">
        <v>11</v>
      </c>
    </row>
    <row r="38" spans="1:4" x14ac:dyDescent="0.25">
      <c r="A38" s="32" t="s">
        <v>183</v>
      </c>
      <c r="B38" t="s">
        <v>2305</v>
      </c>
      <c r="C38" t="s">
        <v>2655</v>
      </c>
      <c r="D38">
        <v>4</v>
      </c>
    </row>
    <row r="39" spans="1:4" x14ac:dyDescent="0.25">
      <c r="A39" s="32" t="s">
        <v>185</v>
      </c>
      <c r="B39" t="s">
        <v>2305</v>
      </c>
      <c r="C39" t="s">
        <v>703</v>
      </c>
      <c r="D39">
        <v>1</v>
      </c>
    </row>
    <row r="40" spans="1:4" x14ac:dyDescent="0.25">
      <c r="A40" s="32" t="s">
        <v>187</v>
      </c>
      <c r="B40" t="s">
        <v>2305</v>
      </c>
      <c r="C40" t="s">
        <v>2294</v>
      </c>
      <c r="D40">
        <v>1</v>
      </c>
    </row>
    <row r="41" spans="1:4" x14ac:dyDescent="0.25">
      <c r="A41" s="32" t="s">
        <v>191</v>
      </c>
      <c r="B41" t="s">
        <v>2305</v>
      </c>
      <c r="C41" t="s">
        <v>2656</v>
      </c>
      <c r="D41">
        <v>2</v>
      </c>
    </row>
    <row r="42" spans="1:4" x14ac:dyDescent="0.25">
      <c r="A42" s="32" t="s">
        <v>196</v>
      </c>
      <c r="B42" t="s">
        <v>2305</v>
      </c>
      <c r="C42" t="s">
        <v>2294</v>
      </c>
      <c r="D42">
        <v>1</v>
      </c>
    </row>
    <row r="43" spans="1:4" x14ac:dyDescent="0.25">
      <c r="A43" s="32" t="s">
        <v>197</v>
      </c>
      <c r="B43" t="s">
        <v>2305</v>
      </c>
      <c r="C43" t="s">
        <v>2627</v>
      </c>
      <c r="D43">
        <v>1</v>
      </c>
    </row>
    <row r="44" spans="1:4" x14ac:dyDescent="0.25">
      <c r="A44" s="32" t="s">
        <v>202</v>
      </c>
      <c r="B44" t="s">
        <v>2305</v>
      </c>
      <c r="C44" t="s">
        <v>2657</v>
      </c>
      <c r="D44">
        <v>5</v>
      </c>
    </row>
    <row r="45" spans="1:4" x14ac:dyDescent="0.25">
      <c r="A45" s="32" t="s">
        <v>207</v>
      </c>
      <c r="B45" t="s">
        <v>2305</v>
      </c>
      <c r="C45" t="s">
        <v>2294</v>
      </c>
      <c r="D45">
        <v>1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4"/>
  <sheetViews>
    <sheetView workbookViewId="0">
      <selection activeCell="Q1" sqref="B1:Q1"/>
    </sheetView>
  </sheetViews>
  <sheetFormatPr defaultColWidth="9.140625" defaultRowHeight="15" x14ac:dyDescent="0.25"/>
  <cols>
    <col min="1" max="1" width="18.140625" bestFit="1" customWidth="1"/>
    <col min="2" max="2" width="11.28515625" customWidth="1"/>
    <col min="3" max="4" width="13.42578125" customWidth="1"/>
    <col min="5" max="5" width="10.85546875" customWidth="1"/>
    <col min="6" max="6" width="13.42578125" customWidth="1"/>
    <col min="7" max="9" width="10.85546875" customWidth="1"/>
    <col min="10" max="11" width="11.85546875" customWidth="1"/>
    <col min="12" max="12" width="13.5703125" customWidth="1"/>
    <col min="13" max="14" width="14.5703125" customWidth="1"/>
    <col min="15" max="16" width="15.5703125" customWidth="1"/>
    <col min="17" max="17" width="15.7109375" customWidth="1"/>
  </cols>
  <sheetData>
    <row r="1" spans="1:17" x14ac:dyDescent="0.25">
      <c r="A1" t="s">
        <v>0</v>
      </c>
      <c r="B1" t="s">
        <v>2310</v>
      </c>
      <c r="C1" t="s">
        <v>1841</v>
      </c>
      <c r="D1" t="s">
        <v>1842</v>
      </c>
      <c r="E1" t="s">
        <v>727</v>
      </c>
      <c r="F1" t="s">
        <v>1844</v>
      </c>
      <c r="G1" t="s">
        <v>642</v>
      </c>
      <c r="H1" t="s">
        <v>934</v>
      </c>
      <c r="I1" t="s">
        <v>935</v>
      </c>
      <c r="J1" t="s">
        <v>898</v>
      </c>
      <c r="K1" t="s">
        <v>652</v>
      </c>
      <c r="L1" t="s">
        <v>987</v>
      </c>
      <c r="M1" t="s">
        <v>988</v>
      </c>
      <c r="N1" t="s">
        <v>989</v>
      </c>
      <c r="O1" t="s">
        <v>990</v>
      </c>
      <c r="P1" t="s">
        <v>991</v>
      </c>
      <c r="Q1" t="s">
        <v>527</v>
      </c>
    </row>
    <row r="2" spans="1:17" x14ac:dyDescent="0.25">
      <c r="A2" t="s">
        <v>6</v>
      </c>
    </row>
    <row r="3" spans="1:17" x14ac:dyDescent="0.25">
      <c r="A3" t="s">
        <v>11</v>
      </c>
    </row>
    <row r="4" spans="1:17" x14ac:dyDescent="0.25">
      <c r="A4" t="s">
        <v>12</v>
      </c>
    </row>
    <row r="5" spans="1:17" x14ac:dyDescent="0.25">
      <c r="A5" t="s">
        <v>16</v>
      </c>
    </row>
    <row r="6" spans="1:17" x14ac:dyDescent="0.25">
      <c r="A6" t="s">
        <v>18</v>
      </c>
    </row>
    <row r="7" spans="1:17" x14ac:dyDescent="0.25">
      <c r="A7" t="s">
        <v>20</v>
      </c>
      <c r="B7">
        <v>128</v>
      </c>
    </row>
    <row r="8" spans="1:17" x14ac:dyDescent="0.25">
      <c r="A8" t="s">
        <v>22</v>
      </c>
    </row>
    <row r="9" spans="1:17" x14ac:dyDescent="0.25">
      <c r="A9" t="s">
        <v>24</v>
      </c>
    </row>
    <row r="10" spans="1:17" x14ac:dyDescent="0.25">
      <c r="A10" t="s">
        <v>26</v>
      </c>
    </row>
    <row r="11" spans="1:17" x14ac:dyDescent="0.25">
      <c r="A11" t="s">
        <v>28</v>
      </c>
    </row>
    <row r="12" spans="1:17" x14ac:dyDescent="0.25">
      <c r="A12" t="s">
        <v>30</v>
      </c>
    </row>
    <row r="13" spans="1:17" x14ac:dyDescent="0.25">
      <c r="A13" t="s">
        <v>32</v>
      </c>
    </row>
    <row r="14" spans="1:17" x14ac:dyDescent="0.25">
      <c r="A14" t="s">
        <v>34</v>
      </c>
    </row>
    <row r="15" spans="1:17" x14ac:dyDescent="0.25">
      <c r="A15" t="s">
        <v>36</v>
      </c>
    </row>
    <row r="16" spans="1:17" x14ac:dyDescent="0.25">
      <c r="A16" t="s">
        <v>37</v>
      </c>
    </row>
    <row r="17" spans="1:17" x14ac:dyDescent="0.25">
      <c r="A17" t="s">
        <v>40</v>
      </c>
    </row>
    <row r="18" spans="1:17" x14ac:dyDescent="0.25">
      <c r="A18" t="s">
        <v>42</v>
      </c>
    </row>
    <row r="19" spans="1:17" x14ac:dyDescent="0.25">
      <c r="A19" t="s">
        <v>43</v>
      </c>
    </row>
    <row r="20" spans="1:17" x14ac:dyDescent="0.25">
      <c r="A20" t="s">
        <v>44</v>
      </c>
      <c r="B20" t="s">
        <v>526</v>
      </c>
      <c r="Q20" t="s">
        <v>528</v>
      </c>
    </row>
    <row r="21" spans="1:17" x14ac:dyDescent="0.25">
      <c r="A21" t="s">
        <v>46</v>
      </c>
    </row>
    <row r="22" spans="1:17" x14ac:dyDescent="0.25">
      <c r="A22" t="s">
        <v>48</v>
      </c>
    </row>
    <row r="23" spans="1:17" x14ac:dyDescent="0.25">
      <c r="A23" t="s">
        <v>50</v>
      </c>
    </row>
    <row r="24" spans="1:17" x14ac:dyDescent="0.25">
      <c r="A24" t="s">
        <v>52</v>
      </c>
    </row>
    <row r="25" spans="1:17" x14ac:dyDescent="0.25">
      <c r="A25" t="s">
        <v>53</v>
      </c>
    </row>
    <row r="26" spans="1:17" x14ac:dyDescent="0.25">
      <c r="A26" t="s">
        <v>55</v>
      </c>
    </row>
    <row r="27" spans="1:17" x14ac:dyDescent="0.25">
      <c r="A27" t="s">
        <v>57</v>
      </c>
    </row>
    <row r="28" spans="1:17" x14ac:dyDescent="0.25">
      <c r="A28" t="s">
        <v>59</v>
      </c>
    </row>
    <row r="29" spans="1:17" x14ac:dyDescent="0.25">
      <c r="A29" t="s">
        <v>60</v>
      </c>
    </row>
    <row r="30" spans="1:17" x14ac:dyDescent="0.25">
      <c r="A30" t="s">
        <v>62</v>
      </c>
      <c r="B30">
        <v>1833</v>
      </c>
      <c r="C30">
        <v>1950</v>
      </c>
      <c r="D30">
        <v>481</v>
      </c>
    </row>
    <row r="31" spans="1:17" x14ac:dyDescent="0.25">
      <c r="A31" t="s">
        <v>64</v>
      </c>
    </row>
    <row r="32" spans="1:17" x14ac:dyDescent="0.25">
      <c r="A32" t="s">
        <v>65</v>
      </c>
    </row>
    <row r="33" spans="1:11" x14ac:dyDescent="0.25">
      <c r="A33" t="s">
        <v>66</v>
      </c>
    </row>
    <row r="34" spans="1:11" x14ac:dyDescent="0.25">
      <c r="A34" t="s">
        <v>68</v>
      </c>
    </row>
    <row r="35" spans="1:11" x14ac:dyDescent="0.25">
      <c r="A35" t="s">
        <v>69</v>
      </c>
    </row>
    <row r="36" spans="1:11" x14ac:dyDescent="0.25">
      <c r="A36" t="s">
        <v>71</v>
      </c>
    </row>
    <row r="37" spans="1:11" x14ac:dyDescent="0.25">
      <c r="A37" t="s">
        <v>73</v>
      </c>
    </row>
    <row r="38" spans="1:11" x14ac:dyDescent="0.25">
      <c r="A38" t="s">
        <v>74</v>
      </c>
      <c r="E38" t="s">
        <v>728</v>
      </c>
      <c r="G38">
        <v>258</v>
      </c>
      <c r="K38" t="s">
        <v>653</v>
      </c>
    </row>
    <row r="39" spans="1:11" x14ac:dyDescent="0.25">
      <c r="A39" t="s">
        <v>76</v>
      </c>
    </row>
    <row r="40" spans="1:11" x14ac:dyDescent="0.25">
      <c r="A40" t="s">
        <v>78</v>
      </c>
    </row>
    <row r="41" spans="1:11" x14ac:dyDescent="0.25">
      <c r="A41" t="s">
        <v>80</v>
      </c>
    </row>
    <row r="42" spans="1:11" x14ac:dyDescent="0.25">
      <c r="A42" t="s">
        <v>82</v>
      </c>
    </row>
    <row r="43" spans="1:11" x14ac:dyDescent="0.25">
      <c r="A43" t="s">
        <v>84</v>
      </c>
    </row>
    <row r="44" spans="1:11" x14ac:dyDescent="0.25">
      <c r="A44" t="s">
        <v>85</v>
      </c>
    </row>
    <row r="45" spans="1:11" x14ac:dyDescent="0.25">
      <c r="A45" t="s">
        <v>87</v>
      </c>
    </row>
    <row r="46" spans="1:11" x14ac:dyDescent="0.25">
      <c r="A46" t="s">
        <v>89</v>
      </c>
    </row>
    <row r="47" spans="1:11" x14ac:dyDescent="0.25">
      <c r="A47" t="s">
        <v>91</v>
      </c>
    </row>
    <row r="48" spans="1:11" x14ac:dyDescent="0.25">
      <c r="A48" t="s">
        <v>92</v>
      </c>
    </row>
    <row r="49" spans="1:1" x14ac:dyDescent="0.25">
      <c r="A49" t="s">
        <v>93</v>
      </c>
    </row>
    <row r="50" spans="1:1" x14ac:dyDescent="0.25">
      <c r="A50" t="s">
        <v>95</v>
      </c>
    </row>
    <row r="51" spans="1:1" x14ac:dyDescent="0.25">
      <c r="A51" t="s">
        <v>97</v>
      </c>
    </row>
    <row r="52" spans="1:1" x14ac:dyDescent="0.25">
      <c r="A52" t="s">
        <v>99</v>
      </c>
    </row>
    <row r="53" spans="1:1" x14ac:dyDescent="0.25">
      <c r="A53" t="s">
        <v>100</v>
      </c>
    </row>
    <row r="54" spans="1:1" x14ac:dyDescent="0.25">
      <c r="A54" t="s">
        <v>101</v>
      </c>
    </row>
    <row r="55" spans="1:1" x14ac:dyDescent="0.25">
      <c r="A55" t="s">
        <v>102</v>
      </c>
    </row>
    <row r="56" spans="1:1" x14ac:dyDescent="0.25">
      <c r="A56" t="s">
        <v>103</v>
      </c>
    </row>
    <row r="57" spans="1:1" x14ac:dyDescent="0.25">
      <c r="A57" t="s">
        <v>105</v>
      </c>
    </row>
    <row r="58" spans="1:1" x14ac:dyDescent="0.25">
      <c r="A58" t="s">
        <v>106</v>
      </c>
    </row>
    <row r="59" spans="1:1" x14ac:dyDescent="0.25">
      <c r="A59" t="s">
        <v>107</v>
      </c>
    </row>
    <row r="60" spans="1:1" x14ac:dyDescent="0.25">
      <c r="A60" t="s">
        <v>108</v>
      </c>
    </row>
    <row r="61" spans="1:1" x14ac:dyDescent="0.25">
      <c r="A61" t="s">
        <v>109</v>
      </c>
    </row>
    <row r="62" spans="1:1" x14ac:dyDescent="0.25">
      <c r="A62" t="s">
        <v>110</v>
      </c>
    </row>
    <row r="63" spans="1:1" x14ac:dyDescent="0.25">
      <c r="A63" t="s">
        <v>111</v>
      </c>
    </row>
    <row r="64" spans="1:1" x14ac:dyDescent="0.25">
      <c r="A64" t="s">
        <v>112</v>
      </c>
    </row>
    <row r="65" spans="1:1" x14ac:dyDescent="0.25">
      <c r="A65" t="s">
        <v>113</v>
      </c>
    </row>
    <row r="66" spans="1:1" x14ac:dyDescent="0.25">
      <c r="A66" t="s">
        <v>115</v>
      </c>
    </row>
    <row r="67" spans="1:1" x14ac:dyDescent="0.25">
      <c r="A67" t="s">
        <v>116</v>
      </c>
    </row>
    <row r="68" spans="1:1" x14ac:dyDescent="0.25">
      <c r="A68" t="s">
        <v>117</v>
      </c>
    </row>
    <row r="69" spans="1:1" x14ac:dyDescent="0.25">
      <c r="A69" t="s">
        <v>119</v>
      </c>
    </row>
    <row r="70" spans="1:1" x14ac:dyDescent="0.25">
      <c r="A70" t="s">
        <v>120</v>
      </c>
    </row>
    <row r="71" spans="1:1" x14ac:dyDescent="0.25">
      <c r="A71" t="s">
        <v>122</v>
      </c>
    </row>
    <row r="72" spans="1:1" x14ac:dyDescent="0.25">
      <c r="A72" t="s">
        <v>123</v>
      </c>
    </row>
    <row r="73" spans="1:1" x14ac:dyDescent="0.25">
      <c r="A73" t="s">
        <v>125</v>
      </c>
    </row>
    <row r="74" spans="1:1" x14ac:dyDescent="0.25">
      <c r="A74" t="s">
        <v>126</v>
      </c>
    </row>
    <row r="75" spans="1:1" x14ac:dyDescent="0.25">
      <c r="A75" t="s">
        <v>127</v>
      </c>
    </row>
    <row r="76" spans="1:1" x14ac:dyDescent="0.25">
      <c r="A76" t="s">
        <v>128</v>
      </c>
    </row>
    <row r="77" spans="1:1" x14ac:dyDescent="0.25">
      <c r="A77" t="s">
        <v>131</v>
      </c>
    </row>
    <row r="78" spans="1:1" x14ac:dyDescent="0.25">
      <c r="A78" t="s">
        <v>133</v>
      </c>
    </row>
    <row r="79" spans="1:1" x14ac:dyDescent="0.25">
      <c r="A79" t="s">
        <v>134</v>
      </c>
    </row>
    <row r="80" spans="1:1" x14ac:dyDescent="0.25">
      <c r="A80" t="s">
        <v>136</v>
      </c>
    </row>
    <row r="81" spans="1:11" x14ac:dyDescent="0.25">
      <c r="A81" t="s">
        <v>138</v>
      </c>
    </row>
    <row r="82" spans="1:11" x14ac:dyDescent="0.25">
      <c r="A82" t="s">
        <v>140</v>
      </c>
      <c r="B82" t="s">
        <v>894</v>
      </c>
      <c r="K82">
        <v>294</v>
      </c>
    </row>
    <row r="83" spans="1:11" x14ac:dyDescent="0.25">
      <c r="A83" t="s">
        <v>142</v>
      </c>
    </row>
    <row r="84" spans="1:11" x14ac:dyDescent="0.25">
      <c r="A84" t="s">
        <v>143</v>
      </c>
    </row>
    <row r="85" spans="1:11" x14ac:dyDescent="0.25">
      <c r="A85" t="s">
        <v>144</v>
      </c>
    </row>
    <row r="86" spans="1:11" x14ac:dyDescent="0.25">
      <c r="A86" t="s">
        <v>145</v>
      </c>
    </row>
    <row r="87" spans="1:11" x14ac:dyDescent="0.25">
      <c r="A87" t="s">
        <v>146</v>
      </c>
    </row>
    <row r="88" spans="1:11" x14ac:dyDescent="0.25">
      <c r="A88" t="s">
        <v>147</v>
      </c>
    </row>
    <row r="89" spans="1:11" x14ac:dyDescent="0.25">
      <c r="A89" t="s">
        <v>148</v>
      </c>
    </row>
    <row r="90" spans="1:11" x14ac:dyDescent="0.25">
      <c r="A90" t="s">
        <v>149</v>
      </c>
      <c r="B90" t="s">
        <v>897</v>
      </c>
      <c r="J90">
        <v>148</v>
      </c>
    </row>
    <row r="91" spans="1:11" x14ac:dyDescent="0.25">
      <c r="A91" t="s">
        <v>150</v>
      </c>
    </row>
    <row r="92" spans="1:11" x14ac:dyDescent="0.25">
      <c r="A92" t="s">
        <v>151</v>
      </c>
    </row>
    <row r="94" spans="1:11" x14ac:dyDescent="0.25">
      <c r="A94" t="s">
        <v>321</v>
      </c>
    </row>
    <row r="95" spans="1:11" x14ac:dyDescent="0.25">
      <c r="A95" t="s">
        <v>152</v>
      </c>
    </row>
    <row r="96" spans="1:11" x14ac:dyDescent="0.25">
      <c r="A96" t="s">
        <v>153</v>
      </c>
    </row>
    <row r="97" spans="1:16" x14ac:dyDescent="0.25">
      <c r="A97" t="s">
        <v>155</v>
      </c>
    </row>
    <row r="98" spans="1:16" x14ac:dyDescent="0.25">
      <c r="A98" t="s">
        <v>157</v>
      </c>
    </row>
    <row r="99" spans="1:16" x14ac:dyDescent="0.25">
      <c r="A99" t="s">
        <v>158</v>
      </c>
    </row>
    <row r="100" spans="1:16" x14ac:dyDescent="0.25">
      <c r="A100" t="s">
        <v>160</v>
      </c>
    </row>
    <row r="101" spans="1:16" x14ac:dyDescent="0.25">
      <c r="A101" t="s">
        <v>162</v>
      </c>
    </row>
    <row r="102" spans="1:16" x14ac:dyDescent="0.25">
      <c r="A102" t="s">
        <v>163</v>
      </c>
    </row>
    <row r="103" spans="1:16" x14ac:dyDescent="0.25">
      <c r="A103" t="s">
        <v>164</v>
      </c>
    </row>
    <row r="104" spans="1:16" x14ac:dyDescent="0.25">
      <c r="A104" t="s">
        <v>165</v>
      </c>
    </row>
    <row r="105" spans="1:16" x14ac:dyDescent="0.25">
      <c r="A105" t="s">
        <v>166</v>
      </c>
    </row>
    <row r="106" spans="1:16" x14ac:dyDescent="0.25">
      <c r="A106" t="s">
        <v>167</v>
      </c>
    </row>
    <row r="107" spans="1:16" x14ac:dyDescent="0.25">
      <c r="A107" t="s">
        <v>169</v>
      </c>
    </row>
    <row r="108" spans="1:16" x14ac:dyDescent="0.25">
      <c r="A108" t="s">
        <v>170</v>
      </c>
    </row>
    <row r="109" spans="1:16" x14ac:dyDescent="0.25">
      <c r="A109" t="s">
        <v>172</v>
      </c>
    </row>
    <row r="110" spans="1:16" x14ac:dyDescent="0.25">
      <c r="A110" t="s">
        <v>173</v>
      </c>
      <c r="B110" t="s">
        <v>1996</v>
      </c>
      <c r="C110" t="s">
        <v>1843</v>
      </c>
      <c r="E110" t="s">
        <v>1997</v>
      </c>
      <c r="F110" t="s">
        <v>1845</v>
      </c>
      <c r="G110" t="s">
        <v>936</v>
      </c>
      <c r="H110" t="s">
        <v>937</v>
      </c>
      <c r="I110" t="s">
        <v>938</v>
      </c>
    </row>
    <row r="111" spans="1:16" x14ac:dyDescent="0.25">
      <c r="A111" t="s">
        <v>175</v>
      </c>
      <c r="L111">
        <v>65</v>
      </c>
      <c r="M111" t="s">
        <v>992</v>
      </c>
      <c r="N111" t="s">
        <v>993</v>
      </c>
      <c r="O111" t="s">
        <v>994</v>
      </c>
      <c r="P111">
        <v>7</v>
      </c>
    </row>
    <row r="112" spans="1:16" x14ac:dyDescent="0.25">
      <c r="A112" t="s">
        <v>176</v>
      </c>
    </row>
    <row r="113" spans="1:2" x14ac:dyDescent="0.25">
      <c r="A113" t="s">
        <v>177</v>
      </c>
    </row>
    <row r="114" spans="1:2" x14ac:dyDescent="0.25">
      <c r="A114" t="s">
        <v>178</v>
      </c>
    </row>
    <row r="115" spans="1:2" x14ac:dyDescent="0.25">
      <c r="A115" t="s">
        <v>179</v>
      </c>
    </row>
    <row r="116" spans="1:2" x14ac:dyDescent="0.25">
      <c r="A116" t="s">
        <v>182</v>
      </c>
    </row>
    <row r="117" spans="1:2" x14ac:dyDescent="0.25">
      <c r="A117" t="s">
        <v>183</v>
      </c>
    </row>
    <row r="118" spans="1:2" x14ac:dyDescent="0.25">
      <c r="A118" t="s">
        <v>185</v>
      </c>
      <c r="B118">
        <v>324</v>
      </c>
    </row>
    <row r="119" spans="1:2" x14ac:dyDescent="0.25">
      <c r="A119" t="s">
        <v>187</v>
      </c>
      <c r="B119">
        <v>984</v>
      </c>
    </row>
    <row r="120" spans="1:2" x14ac:dyDescent="0.25">
      <c r="A120" t="s">
        <v>189</v>
      </c>
    </row>
    <row r="121" spans="1:2" x14ac:dyDescent="0.25">
      <c r="A121" t="s">
        <v>191</v>
      </c>
    </row>
    <row r="122" spans="1:2" x14ac:dyDescent="0.25">
      <c r="A122" t="s">
        <v>192</v>
      </c>
    </row>
    <row r="123" spans="1:2" x14ac:dyDescent="0.25">
      <c r="A123" t="s">
        <v>194</v>
      </c>
    </row>
    <row r="124" spans="1:2" x14ac:dyDescent="0.25">
      <c r="A124" t="s">
        <v>196</v>
      </c>
    </row>
    <row r="125" spans="1:2" x14ac:dyDescent="0.25">
      <c r="A125" t="s">
        <v>197</v>
      </c>
    </row>
    <row r="126" spans="1:2" x14ac:dyDescent="0.25">
      <c r="A126" t="s">
        <v>199</v>
      </c>
    </row>
    <row r="127" spans="1:2" x14ac:dyDescent="0.25">
      <c r="A127" t="s">
        <v>200</v>
      </c>
    </row>
    <row r="128" spans="1:2" x14ac:dyDescent="0.25">
      <c r="A128" t="s">
        <v>201</v>
      </c>
    </row>
    <row r="129" spans="1:1" x14ac:dyDescent="0.25">
      <c r="A129" t="s">
        <v>202</v>
      </c>
    </row>
    <row r="130" spans="1:1" x14ac:dyDescent="0.25">
      <c r="A130" t="s">
        <v>294</v>
      </c>
    </row>
    <row r="131" spans="1:1" x14ac:dyDescent="0.25">
      <c r="A131" t="s">
        <v>207</v>
      </c>
    </row>
    <row r="132" spans="1:1" x14ac:dyDescent="0.25">
      <c r="A132" t="s">
        <v>208</v>
      </c>
    </row>
    <row r="133" spans="1:1" x14ac:dyDescent="0.25">
      <c r="A133" t="s">
        <v>1589</v>
      </c>
    </row>
    <row r="134" spans="1:1" x14ac:dyDescent="0.25">
      <c r="A134" t="s">
        <v>209</v>
      </c>
    </row>
    <row r="135" spans="1:1" x14ac:dyDescent="0.25">
      <c r="A135" t="s">
        <v>211</v>
      </c>
    </row>
    <row r="136" spans="1:1" x14ac:dyDescent="0.25">
      <c r="A136" t="s">
        <v>212</v>
      </c>
    </row>
    <row r="137" spans="1:1" x14ac:dyDescent="0.25">
      <c r="A137" t="s">
        <v>214</v>
      </c>
    </row>
    <row r="138" spans="1:1" x14ac:dyDescent="0.25">
      <c r="A138" t="s">
        <v>216</v>
      </c>
    </row>
    <row r="139" spans="1:1" x14ac:dyDescent="0.25">
      <c r="A139" t="s">
        <v>218</v>
      </c>
    </row>
    <row r="140" spans="1:1" x14ac:dyDescent="0.25">
      <c r="A140" t="s">
        <v>220</v>
      </c>
    </row>
    <row r="141" spans="1:1" x14ac:dyDescent="0.25">
      <c r="A141" t="s">
        <v>222</v>
      </c>
    </row>
    <row r="142" spans="1:1" x14ac:dyDescent="0.25">
      <c r="A142" t="s">
        <v>224</v>
      </c>
    </row>
    <row r="143" spans="1:1" x14ac:dyDescent="0.25">
      <c r="A143" t="s">
        <v>225</v>
      </c>
    </row>
    <row r="144" spans="1:1" x14ac:dyDescent="0.25">
      <c r="A144" t="s">
        <v>227</v>
      </c>
    </row>
    <row r="145" spans="1:1" x14ac:dyDescent="0.25">
      <c r="A145" t="s">
        <v>229</v>
      </c>
    </row>
    <row r="146" spans="1:1" x14ac:dyDescent="0.25">
      <c r="A146" t="s">
        <v>231</v>
      </c>
    </row>
    <row r="147" spans="1:1" x14ac:dyDescent="0.25">
      <c r="A147" t="s">
        <v>232</v>
      </c>
    </row>
    <row r="148" spans="1:1" x14ac:dyDescent="0.25">
      <c r="A148" t="s">
        <v>234</v>
      </c>
    </row>
    <row r="149" spans="1:1" x14ac:dyDescent="0.25">
      <c r="A149" t="s">
        <v>236</v>
      </c>
    </row>
    <row r="150" spans="1:1" x14ac:dyDescent="0.25">
      <c r="A150" t="s">
        <v>1322</v>
      </c>
    </row>
    <row r="151" spans="1:1" x14ac:dyDescent="0.25">
      <c r="A151" t="s">
        <v>1323</v>
      </c>
    </row>
    <row r="152" spans="1:1" x14ac:dyDescent="0.25">
      <c r="A152" t="s">
        <v>1324</v>
      </c>
    </row>
    <row r="153" spans="1:1" x14ac:dyDescent="0.25">
      <c r="A153" t="s">
        <v>1325</v>
      </c>
    </row>
    <row r="154" spans="1:1" x14ac:dyDescent="0.25">
      <c r="A154" t="s">
        <v>1326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D11"/>
  <sheetViews>
    <sheetView workbookViewId="0">
      <selection activeCell="I34" sqref="I34"/>
    </sheetView>
  </sheetViews>
  <sheetFormatPr defaultColWidth="9.140625" defaultRowHeight="15" x14ac:dyDescent="0.25"/>
  <cols>
    <col min="1" max="1" width="14.5703125" bestFit="1" customWidth="1"/>
    <col min="2" max="2" width="8.140625" bestFit="1" customWidth="1"/>
    <col min="3" max="3" width="70.140625" bestFit="1" customWidth="1"/>
    <col min="4" max="4" width="30.42578125" bestFit="1" customWidth="1"/>
  </cols>
  <sheetData>
    <row r="1" spans="1:4" x14ac:dyDescent="0.25">
      <c r="A1" t="s">
        <v>0</v>
      </c>
      <c r="B1" t="s">
        <v>2311</v>
      </c>
      <c r="C1" t="s">
        <v>2081</v>
      </c>
      <c r="D1" t="s">
        <v>2118</v>
      </c>
    </row>
    <row r="2" spans="1:4" x14ac:dyDescent="0.25">
      <c r="A2" t="s">
        <v>20</v>
      </c>
      <c r="B2" t="s">
        <v>2311</v>
      </c>
      <c r="C2" t="s">
        <v>2310</v>
      </c>
      <c r="D2">
        <v>1</v>
      </c>
    </row>
    <row r="3" spans="1:4" x14ac:dyDescent="0.25">
      <c r="A3" t="s">
        <v>44</v>
      </c>
      <c r="B3" t="s">
        <v>2311</v>
      </c>
      <c r="C3" t="s">
        <v>2312</v>
      </c>
      <c r="D3">
        <v>2</v>
      </c>
    </row>
    <row r="4" spans="1:4" x14ac:dyDescent="0.25">
      <c r="A4" t="s">
        <v>62</v>
      </c>
      <c r="B4" t="s">
        <v>2311</v>
      </c>
      <c r="C4" t="s">
        <v>2313</v>
      </c>
      <c r="D4">
        <v>3</v>
      </c>
    </row>
    <row r="5" spans="1:4" x14ac:dyDescent="0.25">
      <c r="A5" t="s">
        <v>74</v>
      </c>
      <c r="B5" t="s">
        <v>2311</v>
      </c>
      <c r="C5" t="s">
        <v>2314</v>
      </c>
      <c r="D5">
        <v>3</v>
      </c>
    </row>
    <row r="6" spans="1:4" x14ac:dyDescent="0.25">
      <c r="A6" t="s">
        <v>140</v>
      </c>
      <c r="B6" t="s">
        <v>2311</v>
      </c>
      <c r="C6" t="s">
        <v>2315</v>
      </c>
      <c r="D6">
        <v>2</v>
      </c>
    </row>
    <row r="7" spans="1:4" x14ac:dyDescent="0.25">
      <c r="A7" t="s">
        <v>149</v>
      </c>
      <c r="B7" t="s">
        <v>2311</v>
      </c>
      <c r="C7" t="s">
        <v>2316</v>
      </c>
      <c r="D7">
        <v>2</v>
      </c>
    </row>
    <row r="8" spans="1:4" x14ac:dyDescent="0.25">
      <c r="A8" t="s">
        <v>173</v>
      </c>
      <c r="B8" t="s">
        <v>2311</v>
      </c>
      <c r="C8" t="s">
        <v>2317</v>
      </c>
      <c r="D8">
        <v>7</v>
      </c>
    </row>
    <row r="9" spans="1:4" x14ac:dyDescent="0.25">
      <c r="A9" t="s">
        <v>175</v>
      </c>
      <c r="B9" t="s">
        <v>2311</v>
      </c>
      <c r="C9" t="s">
        <v>2318</v>
      </c>
      <c r="D9">
        <v>5</v>
      </c>
    </row>
    <row r="10" spans="1:4" x14ac:dyDescent="0.25">
      <c r="A10" t="s">
        <v>185</v>
      </c>
      <c r="B10" t="s">
        <v>2311</v>
      </c>
      <c r="C10" t="s">
        <v>2310</v>
      </c>
      <c r="D10">
        <v>1</v>
      </c>
    </row>
    <row r="11" spans="1:4" x14ac:dyDescent="0.25">
      <c r="A11" t="s">
        <v>187</v>
      </c>
      <c r="B11" t="s">
        <v>2311</v>
      </c>
      <c r="C11" t="s">
        <v>2310</v>
      </c>
      <c r="D11">
        <v>1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54"/>
  <sheetViews>
    <sheetView topLeftCell="AT1" workbookViewId="0">
      <selection activeCell="B1" sqref="B1:BJ1"/>
    </sheetView>
  </sheetViews>
  <sheetFormatPr defaultColWidth="9.140625" defaultRowHeight="15" x14ac:dyDescent="0.25"/>
  <cols>
    <col min="1" max="1" width="14.42578125" customWidth="1"/>
    <col min="3" max="4" width="11" customWidth="1"/>
    <col min="6" max="7" width="11" customWidth="1"/>
    <col min="10" max="12" width="11" customWidth="1"/>
    <col min="14" max="14" width="11" customWidth="1"/>
    <col min="16" max="17" width="11" customWidth="1"/>
    <col min="21" max="46" width="9.42578125" customWidth="1"/>
    <col min="47" max="47" width="11.140625" customWidth="1"/>
    <col min="48" max="50" width="12.140625" customWidth="1"/>
    <col min="51" max="51" width="11.140625" customWidth="1"/>
    <col min="52" max="54" width="12.140625" customWidth="1"/>
    <col min="55" max="57" width="13.140625" customWidth="1"/>
    <col min="58" max="61" width="12.140625" customWidth="1"/>
    <col min="62" max="62" width="18.42578125" customWidth="1"/>
  </cols>
  <sheetData>
    <row r="1" spans="1:62" x14ac:dyDescent="0.25">
      <c r="A1" s="22" t="s">
        <v>0</v>
      </c>
      <c r="B1" t="s">
        <v>2319</v>
      </c>
      <c r="C1" t="s">
        <v>1846</v>
      </c>
      <c r="D1" t="s">
        <v>2320</v>
      </c>
      <c r="E1" t="s">
        <v>359</v>
      </c>
      <c r="F1" t="s">
        <v>1851</v>
      </c>
      <c r="G1" t="s">
        <v>2321</v>
      </c>
      <c r="H1" t="s">
        <v>464</v>
      </c>
      <c r="I1" t="s">
        <v>2322</v>
      </c>
      <c r="J1" t="s">
        <v>1853</v>
      </c>
      <c r="K1" t="s">
        <v>1854</v>
      </c>
      <c r="L1" t="s">
        <v>2323</v>
      </c>
      <c r="M1" t="s">
        <v>470</v>
      </c>
      <c r="N1" t="s">
        <v>1856</v>
      </c>
      <c r="O1" t="s">
        <v>2324</v>
      </c>
      <c r="P1" t="s">
        <v>1857</v>
      </c>
      <c r="Q1" t="s">
        <v>2325</v>
      </c>
      <c r="R1" t="s">
        <v>477</v>
      </c>
      <c r="S1" t="s">
        <v>360</v>
      </c>
      <c r="T1" t="s">
        <v>361</v>
      </c>
      <c r="U1" t="s">
        <v>658</v>
      </c>
      <c r="V1" t="s">
        <v>2326</v>
      </c>
      <c r="W1" t="s">
        <v>2327</v>
      </c>
      <c r="X1" t="s">
        <v>362</v>
      </c>
      <c r="Y1" t="s">
        <v>621</v>
      </c>
      <c r="Z1" t="s">
        <v>363</v>
      </c>
      <c r="AA1" t="s">
        <v>364</v>
      </c>
      <c r="AB1" t="s">
        <v>365</v>
      </c>
      <c r="AC1" t="s">
        <v>366</v>
      </c>
      <c r="AD1" t="s">
        <v>367</v>
      </c>
      <c r="AE1" t="s">
        <v>368</v>
      </c>
      <c r="AF1" t="s">
        <v>659</v>
      </c>
      <c r="AG1" t="s">
        <v>369</v>
      </c>
      <c r="AH1" t="s">
        <v>660</v>
      </c>
      <c r="AI1" t="s">
        <v>2328</v>
      </c>
      <c r="AJ1" t="s">
        <v>491</v>
      </c>
      <c r="AK1" t="s">
        <v>370</v>
      </c>
      <c r="AL1" t="s">
        <v>662</v>
      </c>
      <c r="AM1" t="s">
        <v>371</v>
      </c>
      <c r="AN1" t="s">
        <v>663</v>
      </c>
      <c r="AO1" t="s">
        <v>2329</v>
      </c>
      <c r="AP1" t="s">
        <v>2330</v>
      </c>
      <c r="AQ1" t="s">
        <v>2331</v>
      </c>
      <c r="AR1" t="s">
        <v>2332</v>
      </c>
      <c r="AS1" t="s">
        <v>665</v>
      </c>
      <c r="AT1" t="s">
        <v>2333</v>
      </c>
      <c r="AU1" t="s">
        <v>1054</v>
      </c>
      <c r="AV1" t="s">
        <v>2334</v>
      </c>
      <c r="AW1" t="s">
        <v>2335</v>
      </c>
      <c r="AX1" t="s">
        <v>2336</v>
      </c>
      <c r="AY1" t="s">
        <v>998</v>
      </c>
      <c r="AZ1" t="s">
        <v>999</v>
      </c>
      <c r="BA1" t="s">
        <v>1000</v>
      </c>
      <c r="BB1" t="s">
        <v>2337</v>
      </c>
      <c r="BC1" t="s">
        <v>2338</v>
      </c>
      <c r="BD1" t="s">
        <v>2339</v>
      </c>
      <c r="BE1" t="s">
        <v>2340</v>
      </c>
      <c r="BF1" t="s">
        <v>2341</v>
      </c>
      <c r="BG1" t="s">
        <v>2342</v>
      </c>
      <c r="BH1" t="s">
        <v>2343</v>
      </c>
      <c r="BI1" t="s">
        <v>2344</v>
      </c>
      <c r="BJ1" t="s">
        <v>2376</v>
      </c>
    </row>
    <row r="2" spans="1:62" x14ac:dyDescent="0.25">
      <c r="A2" s="23" t="s">
        <v>6</v>
      </c>
    </row>
    <row r="3" spans="1:62" x14ac:dyDescent="0.25">
      <c r="A3" s="24" t="s">
        <v>11</v>
      </c>
    </row>
    <row r="4" spans="1:62" x14ac:dyDescent="0.25">
      <c r="A4" s="23" t="s">
        <v>12</v>
      </c>
    </row>
    <row r="5" spans="1:62" x14ac:dyDescent="0.25">
      <c r="A5" s="24" t="s">
        <v>16</v>
      </c>
    </row>
    <row r="6" spans="1:62" x14ac:dyDescent="0.25">
      <c r="A6" s="23" t="s">
        <v>18</v>
      </c>
    </row>
    <row r="7" spans="1:62" x14ac:dyDescent="0.25">
      <c r="A7" s="24" t="s">
        <v>20</v>
      </c>
    </row>
    <row r="8" spans="1:62" x14ac:dyDescent="0.25">
      <c r="A8" s="23" t="s">
        <v>22</v>
      </c>
      <c r="B8">
        <v>203</v>
      </c>
      <c r="E8">
        <v>203</v>
      </c>
      <c r="T8">
        <v>164</v>
      </c>
      <c r="U8">
        <v>156</v>
      </c>
      <c r="Y8">
        <v>152</v>
      </c>
      <c r="AA8">
        <v>188</v>
      </c>
      <c r="AB8">
        <v>206</v>
      </c>
      <c r="AC8">
        <v>198</v>
      </c>
      <c r="AD8">
        <v>185</v>
      </c>
      <c r="AE8">
        <v>199</v>
      </c>
      <c r="AF8">
        <v>241</v>
      </c>
      <c r="AH8">
        <v>221</v>
      </c>
      <c r="AI8">
        <v>212</v>
      </c>
      <c r="AL8">
        <v>198</v>
      </c>
      <c r="AN8">
        <v>184</v>
      </c>
      <c r="AQ8">
        <v>174</v>
      </c>
      <c r="AS8">
        <v>159</v>
      </c>
      <c r="BJ8">
        <v>240</v>
      </c>
    </row>
    <row r="9" spans="1:62" x14ac:dyDescent="0.25">
      <c r="A9" s="24" t="s">
        <v>24</v>
      </c>
      <c r="B9">
        <v>446</v>
      </c>
    </row>
    <row r="10" spans="1:62" x14ac:dyDescent="0.25">
      <c r="A10" s="23" t="s">
        <v>26</v>
      </c>
      <c r="B10" t="s">
        <v>458</v>
      </c>
      <c r="H10">
        <v>4.9400000000000004</v>
      </c>
      <c r="M10">
        <v>144</v>
      </c>
      <c r="R10">
        <v>135</v>
      </c>
      <c r="S10">
        <v>129</v>
      </c>
      <c r="Z10">
        <v>211</v>
      </c>
      <c r="AJ10">
        <v>437</v>
      </c>
      <c r="AK10">
        <v>440</v>
      </c>
    </row>
    <row r="11" spans="1:62" x14ac:dyDescent="0.25">
      <c r="A11" s="24" t="s">
        <v>28</v>
      </c>
    </row>
    <row r="12" spans="1:62" x14ac:dyDescent="0.25">
      <c r="A12" s="23" t="s">
        <v>30</v>
      </c>
    </row>
    <row r="13" spans="1:62" x14ac:dyDescent="0.25">
      <c r="A13" s="24" t="s">
        <v>32</v>
      </c>
    </row>
    <row r="14" spans="1:62" x14ac:dyDescent="0.25">
      <c r="A14" s="23" t="s">
        <v>34</v>
      </c>
    </row>
    <row r="15" spans="1:62" x14ac:dyDescent="0.25">
      <c r="A15" s="24" t="s">
        <v>36</v>
      </c>
    </row>
    <row r="16" spans="1:62" x14ac:dyDescent="0.25">
      <c r="A16" s="23" t="s">
        <v>37</v>
      </c>
    </row>
    <row r="17" spans="1:29" x14ac:dyDescent="0.25">
      <c r="A17" s="24" t="s">
        <v>40</v>
      </c>
    </row>
    <row r="18" spans="1:29" x14ac:dyDescent="0.25">
      <c r="A18" s="23" t="s">
        <v>42</v>
      </c>
    </row>
    <row r="19" spans="1:29" x14ac:dyDescent="0.25">
      <c r="A19" s="24" t="s">
        <v>43</v>
      </c>
    </row>
    <row r="20" spans="1:29" x14ac:dyDescent="0.25">
      <c r="A20" s="23" t="s">
        <v>44</v>
      </c>
    </row>
    <row r="21" spans="1:29" x14ac:dyDescent="0.25">
      <c r="A21" s="24" t="s">
        <v>46</v>
      </c>
    </row>
    <row r="22" spans="1:29" x14ac:dyDescent="0.25">
      <c r="A22" s="23" t="s">
        <v>48</v>
      </c>
    </row>
    <row r="23" spans="1:29" x14ac:dyDescent="0.25">
      <c r="A23" s="24" t="s">
        <v>50</v>
      </c>
      <c r="H23">
        <v>10.9</v>
      </c>
      <c r="AC23">
        <v>21.4</v>
      </c>
    </row>
    <row r="24" spans="1:29" x14ac:dyDescent="0.25">
      <c r="A24" s="23" t="s">
        <v>52</v>
      </c>
    </row>
    <row r="25" spans="1:29" x14ac:dyDescent="0.25">
      <c r="A25" s="24" t="s">
        <v>53</v>
      </c>
      <c r="B25">
        <v>328</v>
      </c>
    </row>
    <row r="26" spans="1:29" x14ac:dyDescent="0.25">
      <c r="A26" s="23" t="s">
        <v>55</v>
      </c>
    </row>
    <row r="27" spans="1:29" x14ac:dyDescent="0.25">
      <c r="A27" s="24" t="s">
        <v>57</v>
      </c>
    </row>
    <row r="28" spans="1:29" x14ac:dyDescent="0.25">
      <c r="A28" s="23" t="s">
        <v>59</v>
      </c>
    </row>
    <row r="29" spans="1:29" x14ac:dyDescent="0.25">
      <c r="A29" s="24" t="s">
        <v>60</v>
      </c>
    </row>
    <row r="30" spans="1:29" x14ac:dyDescent="0.25">
      <c r="A30" s="23" t="s">
        <v>62</v>
      </c>
      <c r="B30" t="s">
        <v>1850</v>
      </c>
      <c r="C30" t="s">
        <v>1848</v>
      </c>
      <c r="D30" t="s">
        <v>1849</v>
      </c>
    </row>
    <row r="31" spans="1:29" x14ac:dyDescent="0.25">
      <c r="A31" s="24" t="s">
        <v>64</v>
      </c>
    </row>
    <row r="32" spans="1:29" x14ac:dyDescent="0.25">
      <c r="A32" s="23" t="s">
        <v>65</v>
      </c>
    </row>
    <row r="33" spans="1:46" x14ac:dyDescent="0.25">
      <c r="A33" s="24" t="s">
        <v>66</v>
      </c>
      <c r="B33">
        <v>75</v>
      </c>
      <c r="X33">
        <v>111</v>
      </c>
      <c r="Y33">
        <v>106</v>
      </c>
    </row>
    <row r="34" spans="1:46" x14ac:dyDescent="0.25">
      <c r="A34" s="23" t="s">
        <v>68</v>
      </c>
      <c r="B34">
        <v>808</v>
      </c>
    </row>
    <row r="35" spans="1:46" x14ac:dyDescent="0.25">
      <c r="A35" s="24" t="s">
        <v>69</v>
      </c>
    </row>
    <row r="36" spans="1:46" x14ac:dyDescent="0.25">
      <c r="A36" s="23" t="s">
        <v>71</v>
      </c>
    </row>
    <row r="37" spans="1:46" x14ac:dyDescent="0.25">
      <c r="A37" s="24" t="s">
        <v>73</v>
      </c>
    </row>
    <row r="38" spans="1:46" x14ac:dyDescent="0.25">
      <c r="A38" s="23" t="s">
        <v>74</v>
      </c>
      <c r="B38" t="s">
        <v>1966</v>
      </c>
      <c r="E38" t="s">
        <v>1998</v>
      </c>
      <c r="H38">
        <v>54</v>
      </c>
      <c r="R38" t="s">
        <v>1999</v>
      </c>
    </row>
    <row r="39" spans="1:46" x14ac:dyDescent="0.25">
      <c r="A39" s="24" t="s">
        <v>76</v>
      </c>
    </row>
    <row r="40" spans="1:46" x14ac:dyDescent="0.25">
      <c r="A40" s="23" t="s">
        <v>78</v>
      </c>
      <c r="B40">
        <v>60</v>
      </c>
      <c r="AO40">
        <v>60</v>
      </c>
      <c r="AP40">
        <v>31</v>
      </c>
      <c r="AR40">
        <v>131</v>
      </c>
      <c r="AS40">
        <v>163</v>
      </c>
      <c r="AT40">
        <v>153</v>
      </c>
    </row>
    <row r="41" spans="1:46" x14ac:dyDescent="0.25">
      <c r="A41" s="24" t="s">
        <v>80</v>
      </c>
      <c r="B41" t="s">
        <v>2000</v>
      </c>
      <c r="E41">
        <v>219</v>
      </c>
      <c r="M41" t="s">
        <v>2001</v>
      </c>
      <c r="S41" t="s">
        <v>2002</v>
      </c>
    </row>
    <row r="42" spans="1:46" x14ac:dyDescent="0.25">
      <c r="A42" s="23" t="s">
        <v>82</v>
      </c>
    </row>
    <row r="43" spans="1:46" x14ac:dyDescent="0.25">
      <c r="A43" s="24" t="s">
        <v>84</v>
      </c>
    </row>
    <row r="44" spans="1:46" x14ac:dyDescent="0.25">
      <c r="A44" s="23" t="s">
        <v>85</v>
      </c>
      <c r="B44">
        <v>83</v>
      </c>
      <c r="S44">
        <v>60</v>
      </c>
    </row>
    <row r="45" spans="1:46" x14ac:dyDescent="0.25">
      <c r="A45" s="24" t="s">
        <v>87</v>
      </c>
      <c r="B45" t="s">
        <v>2003</v>
      </c>
      <c r="E45">
        <v>189</v>
      </c>
      <c r="O45" t="s">
        <v>2004</v>
      </c>
      <c r="T45">
        <v>294</v>
      </c>
    </row>
    <row r="46" spans="1:46" x14ac:dyDescent="0.25">
      <c r="A46" s="23" t="s">
        <v>89</v>
      </c>
    </row>
    <row r="47" spans="1:46" x14ac:dyDescent="0.25">
      <c r="A47" s="24" t="s">
        <v>91</v>
      </c>
    </row>
    <row r="48" spans="1:46" x14ac:dyDescent="0.25">
      <c r="A48" s="23" t="s">
        <v>92</v>
      </c>
    </row>
    <row r="49" spans="1:61" x14ac:dyDescent="0.25">
      <c r="A49" s="24" t="s">
        <v>93</v>
      </c>
      <c r="B49">
        <v>93</v>
      </c>
      <c r="E49">
        <v>84</v>
      </c>
      <c r="S49">
        <v>94</v>
      </c>
      <c r="W49">
        <v>89</v>
      </c>
      <c r="AD49">
        <v>98</v>
      </c>
    </row>
    <row r="50" spans="1:61" x14ac:dyDescent="0.25">
      <c r="A50" s="23" t="s">
        <v>95</v>
      </c>
      <c r="B50">
        <v>139</v>
      </c>
      <c r="BE50">
        <v>159</v>
      </c>
      <c r="BF50">
        <v>142</v>
      </c>
      <c r="BG50">
        <v>138</v>
      </c>
      <c r="BH50">
        <v>137</v>
      </c>
      <c r="BI50">
        <v>131</v>
      </c>
    </row>
    <row r="51" spans="1:61" x14ac:dyDescent="0.25">
      <c r="A51" s="24" t="s">
        <v>97</v>
      </c>
    </row>
    <row r="52" spans="1:61" x14ac:dyDescent="0.25">
      <c r="A52" s="23" t="s">
        <v>99</v>
      </c>
    </row>
    <row r="53" spans="1:61" x14ac:dyDescent="0.25">
      <c r="A53" s="24" t="s">
        <v>100</v>
      </c>
    </row>
    <row r="54" spans="1:61" x14ac:dyDescent="0.25">
      <c r="A54" s="23" t="s">
        <v>101</v>
      </c>
    </row>
    <row r="55" spans="1:61" x14ac:dyDescent="0.25">
      <c r="A55" s="24" t="s">
        <v>102</v>
      </c>
    </row>
    <row r="56" spans="1:61" x14ac:dyDescent="0.25">
      <c r="A56" s="23" t="s">
        <v>103</v>
      </c>
      <c r="B56">
        <v>90</v>
      </c>
      <c r="I56" t="s">
        <v>2005</v>
      </c>
    </row>
    <row r="57" spans="1:61" x14ac:dyDescent="0.25">
      <c r="A57" s="24" t="s">
        <v>105</v>
      </c>
    </row>
    <row r="58" spans="1:61" x14ac:dyDescent="0.25">
      <c r="A58" s="23" t="s">
        <v>106</v>
      </c>
    </row>
    <row r="59" spans="1:61" x14ac:dyDescent="0.25">
      <c r="A59" s="24" t="s">
        <v>107</v>
      </c>
    </row>
    <row r="60" spans="1:61" x14ac:dyDescent="0.25">
      <c r="A60" s="23" t="s">
        <v>108</v>
      </c>
    </row>
    <row r="61" spans="1:61" x14ac:dyDescent="0.25">
      <c r="A61" s="24" t="s">
        <v>109</v>
      </c>
    </row>
    <row r="62" spans="1:61" x14ac:dyDescent="0.25">
      <c r="A62" s="23" t="s">
        <v>110</v>
      </c>
    </row>
    <row r="63" spans="1:61" x14ac:dyDescent="0.25">
      <c r="A63" s="24" t="s">
        <v>111</v>
      </c>
    </row>
    <row r="64" spans="1:61" x14ac:dyDescent="0.25">
      <c r="A64" s="23" t="s">
        <v>112</v>
      </c>
    </row>
    <row r="65" spans="1:38" x14ac:dyDescent="0.25">
      <c r="A65" s="24" t="s">
        <v>113</v>
      </c>
    </row>
    <row r="66" spans="1:38" x14ac:dyDescent="0.25">
      <c r="A66" s="23" t="s">
        <v>115</v>
      </c>
    </row>
    <row r="67" spans="1:38" x14ac:dyDescent="0.25">
      <c r="A67" s="24" t="s">
        <v>116</v>
      </c>
    </row>
    <row r="68" spans="1:38" x14ac:dyDescent="0.25">
      <c r="A68" s="23" t="s">
        <v>117</v>
      </c>
    </row>
    <row r="69" spans="1:38" x14ac:dyDescent="0.25">
      <c r="A69" s="24" t="s">
        <v>119</v>
      </c>
      <c r="B69">
        <v>101</v>
      </c>
      <c r="H69">
        <v>109</v>
      </c>
      <c r="R69">
        <v>101</v>
      </c>
    </row>
    <row r="70" spans="1:38" x14ac:dyDescent="0.25">
      <c r="A70" s="23" t="s">
        <v>120</v>
      </c>
    </row>
    <row r="71" spans="1:38" x14ac:dyDescent="0.25">
      <c r="A71" s="24" t="s">
        <v>122</v>
      </c>
    </row>
    <row r="72" spans="1:38" x14ac:dyDescent="0.25">
      <c r="A72" s="23" t="s">
        <v>123</v>
      </c>
    </row>
    <row r="73" spans="1:38" x14ac:dyDescent="0.25">
      <c r="A73" s="24" t="s">
        <v>125</v>
      </c>
      <c r="M73">
        <v>96</v>
      </c>
      <c r="O73">
        <v>125</v>
      </c>
      <c r="S73">
        <v>182</v>
      </c>
      <c r="T73">
        <v>175</v>
      </c>
      <c r="V73">
        <v>150</v>
      </c>
      <c r="W73">
        <v>188</v>
      </c>
      <c r="X73">
        <v>273</v>
      </c>
      <c r="Y73">
        <v>390</v>
      </c>
      <c r="Z73">
        <v>441</v>
      </c>
    </row>
    <row r="74" spans="1:38" x14ac:dyDescent="0.25">
      <c r="A74" s="23" t="s">
        <v>126</v>
      </c>
    </row>
    <row r="75" spans="1:38" x14ac:dyDescent="0.25">
      <c r="A75" s="24" t="s">
        <v>127</v>
      </c>
      <c r="B75">
        <v>87</v>
      </c>
      <c r="W75">
        <v>188</v>
      </c>
    </row>
    <row r="76" spans="1:38" x14ac:dyDescent="0.25">
      <c r="A76" s="23" t="s">
        <v>128</v>
      </c>
      <c r="B76">
        <v>79</v>
      </c>
      <c r="O76">
        <v>201</v>
      </c>
      <c r="AL76">
        <v>532</v>
      </c>
    </row>
    <row r="77" spans="1:38" x14ac:dyDescent="0.25">
      <c r="A77" s="24" t="s">
        <v>131</v>
      </c>
      <c r="B77" t="s">
        <v>893</v>
      </c>
    </row>
    <row r="78" spans="1:38" x14ac:dyDescent="0.25">
      <c r="A78" s="23" t="s">
        <v>133</v>
      </c>
    </row>
    <row r="79" spans="1:38" x14ac:dyDescent="0.25">
      <c r="A79" s="24" t="s">
        <v>134</v>
      </c>
      <c r="B79" t="s">
        <v>2006</v>
      </c>
    </row>
    <row r="80" spans="1:38" x14ac:dyDescent="0.25">
      <c r="A80" s="23" t="s">
        <v>136</v>
      </c>
    </row>
    <row r="81" spans="1:25" x14ac:dyDescent="0.25">
      <c r="A81" s="24" t="s">
        <v>138</v>
      </c>
      <c r="B81" t="s">
        <v>2007</v>
      </c>
      <c r="E81" t="s">
        <v>2008</v>
      </c>
      <c r="I81" t="s">
        <v>2009</v>
      </c>
      <c r="O81" t="s">
        <v>2007</v>
      </c>
    </row>
    <row r="82" spans="1:25" x14ac:dyDescent="0.25">
      <c r="A82" s="23" t="s">
        <v>140</v>
      </c>
      <c r="B82" t="s">
        <v>895</v>
      </c>
      <c r="Y82">
        <v>3.28</v>
      </c>
    </row>
    <row r="83" spans="1:25" x14ac:dyDescent="0.25">
      <c r="A83" s="24" t="s">
        <v>142</v>
      </c>
    </row>
    <row r="84" spans="1:25" x14ac:dyDescent="0.25">
      <c r="A84" s="23" t="s">
        <v>143</v>
      </c>
    </row>
    <row r="85" spans="1:25" x14ac:dyDescent="0.25">
      <c r="A85" s="24" t="s">
        <v>144</v>
      </c>
    </row>
    <row r="86" spans="1:25" x14ac:dyDescent="0.25">
      <c r="A86" s="23" t="s">
        <v>145</v>
      </c>
    </row>
    <row r="87" spans="1:25" x14ac:dyDescent="0.25">
      <c r="A87" s="24" t="s">
        <v>146</v>
      </c>
    </row>
    <row r="88" spans="1:25" x14ac:dyDescent="0.25">
      <c r="A88" s="23" t="s">
        <v>147</v>
      </c>
    </row>
    <row r="89" spans="1:25" x14ac:dyDescent="0.25">
      <c r="A89" s="24" t="s">
        <v>148</v>
      </c>
    </row>
    <row r="90" spans="1:25" x14ac:dyDescent="0.25">
      <c r="A90" s="23" t="s">
        <v>149</v>
      </c>
      <c r="B90" t="s">
        <v>899</v>
      </c>
      <c r="X90">
        <v>3.71</v>
      </c>
    </row>
    <row r="91" spans="1:25" x14ac:dyDescent="0.25">
      <c r="A91" s="24" t="s">
        <v>150</v>
      </c>
    </row>
    <row r="92" spans="1:25" x14ac:dyDescent="0.25">
      <c r="A92" s="23" t="s">
        <v>151</v>
      </c>
    </row>
    <row r="93" spans="1:25" x14ac:dyDescent="0.25">
      <c r="A93" s="24"/>
    </row>
    <row r="94" spans="1:25" x14ac:dyDescent="0.25">
      <c r="A94" s="23" t="s">
        <v>321</v>
      </c>
    </row>
    <row r="95" spans="1:25" x14ac:dyDescent="0.25">
      <c r="A95" s="24" t="s">
        <v>152</v>
      </c>
      <c r="B95">
        <v>152</v>
      </c>
      <c r="C95">
        <v>171</v>
      </c>
    </row>
    <row r="96" spans="1:25" x14ac:dyDescent="0.25">
      <c r="A96" s="23" t="s">
        <v>153</v>
      </c>
      <c r="B96">
        <v>278</v>
      </c>
      <c r="E96">
        <v>76</v>
      </c>
      <c r="H96">
        <v>73</v>
      </c>
      <c r="I96">
        <v>77</v>
      </c>
      <c r="J96">
        <v>184</v>
      </c>
      <c r="K96">
        <v>198</v>
      </c>
      <c r="L96">
        <v>224</v>
      </c>
      <c r="M96">
        <v>277</v>
      </c>
    </row>
    <row r="97" spans="1:56" x14ac:dyDescent="0.25">
      <c r="A97" s="24" t="s">
        <v>155</v>
      </c>
    </row>
    <row r="98" spans="1:56" x14ac:dyDescent="0.25">
      <c r="A98" s="23" t="s">
        <v>157</v>
      </c>
    </row>
    <row r="99" spans="1:56" x14ac:dyDescent="0.25">
      <c r="A99" s="24" t="s">
        <v>158</v>
      </c>
      <c r="B99">
        <v>47</v>
      </c>
      <c r="E99">
        <v>59</v>
      </c>
      <c r="F99">
        <v>50</v>
      </c>
      <c r="G99">
        <v>54</v>
      </c>
      <c r="H99">
        <v>58</v>
      </c>
      <c r="I99">
        <v>63</v>
      </c>
      <c r="M99">
        <v>229</v>
      </c>
      <c r="N99">
        <v>202</v>
      </c>
      <c r="O99">
        <v>197</v>
      </c>
      <c r="P99">
        <v>185</v>
      </c>
      <c r="Q99">
        <v>182</v>
      </c>
      <c r="R99">
        <v>155</v>
      </c>
    </row>
    <row r="100" spans="1:56" x14ac:dyDescent="0.25">
      <c r="A100" s="23" t="s">
        <v>160</v>
      </c>
    </row>
    <row r="101" spans="1:56" x14ac:dyDescent="0.25">
      <c r="A101" s="24" t="s">
        <v>162</v>
      </c>
    </row>
    <row r="102" spans="1:56" x14ac:dyDescent="0.25">
      <c r="A102" s="23" t="s">
        <v>163</v>
      </c>
      <c r="E102">
        <v>209</v>
      </c>
    </row>
    <row r="103" spans="1:56" x14ac:dyDescent="0.25">
      <c r="A103" s="24" t="s">
        <v>164</v>
      </c>
    </row>
    <row r="104" spans="1:56" x14ac:dyDescent="0.25">
      <c r="A104" s="23" t="s">
        <v>165</v>
      </c>
    </row>
    <row r="105" spans="1:56" x14ac:dyDescent="0.25">
      <c r="A105" s="24" t="s">
        <v>166</v>
      </c>
      <c r="B105">
        <v>106</v>
      </c>
      <c r="E105">
        <v>106</v>
      </c>
      <c r="H105">
        <v>94</v>
      </c>
    </row>
    <row r="106" spans="1:56" x14ac:dyDescent="0.25">
      <c r="A106" s="23" t="s">
        <v>167</v>
      </c>
    </row>
    <row r="107" spans="1:56" x14ac:dyDescent="0.25">
      <c r="A107" s="24" t="s">
        <v>169</v>
      </c>
    </row>
    <row r="108" spans="1:56" x14ac:dyDescent="0.25">
      <c r="A108" s="23" t="s">
        <v>170</v>
      </c>
    </row>
    <row r="109" spans="1:56" x14ac:dyDescent="0.25">
      <c r="A109" s="24" t="s">
        <v>172</v>
      </c>
    </row>
    <row r="110" spans="1:56" x14ac:dyDescent="0.25">
      <c r="A110" s="23" t="s">
        <v>173</v>
      </c>
      <c r="B110">
        <v>52</v>
      </c>
      <c r="C110">
        <v>58</v>
      </c>
      <c r="E110">
        <v>52</v>
      </c>
      <c r="H110">
        <v>57</v>
      </c>
      <c r="I110">
        <v>63</v>
      </c>
    </row>
    <row r="111" spans="1:56" x14ac:dyDescent="0.25">
      <c r="A111" s="24" t="s">
        <v>175</v>
      </c>
      <c r="AV111">
        <v>750</v>
      </c>
      <c r="AW111">
        <v>645</v>
      </c>
      <c r="AX111">
        <v>728</v>
      </c>
      <c r="AY111">
        <v>1227</v>
      </c>
      <c r="AZ111">
        <v>793</v>
      </c>
      <c r="BA111">
        <v>371</v>
      </c>
      <c r="BB111">
        <v>212</v>
      </c>
      <c r="BC111">
        <v>257</v>
      </c>
      <c r="BD111">
        <v>190</v>
      </c>
    </row>
    <row r="112" spans="1:56" x14ac:dyDescent="0.25">
      <c r="A112" s="23" t="s">
        <v>176</v>
      </c>
    </row>
    <row r="113" spans="1:47" x14ac:dyDescent="0.25">
      <c r="A113" s="24" t="s">
        <v>177</v>
      </c>
    </row>
    <row r="114" spans="1:47" x14ac:dyDescent="0.25">
      <c r="A114" s="23" t="s">
        <v>178</v>
      </c>
    </row>
    <row r="115" spans="1:47" x14ac:dyDescent="0.25">
      <c r="A115" s="24" t="s">
        <v>179</v>
      </c>
    </row>
    <row r="116" spans="1:47" x14ac:dyDescent="0.25">
      <c r="A116" s="23" t="s">
        <v>182</v>
      </c>
    </row>
    <row r="117" spans="1:47" x14ac:dyDescent="0.25">
      <c r="A117" s="24" t="s">
        <v>183</v>
      </c>
      <c r="E117">
        <v>160</v>
      </c>
      <c r="H117">
        <v>200</v>
      </c>
      <c r="I117">
        <v>155</v>
      </c>
    </row>
    <row r="118" spans="1:47" x14ac:dyDescent="0.25">
      <c r="A118" s="23" t="s">
        <v>185</v>
      </c>
      <c r="R118">
        <v>158</v>
      </c>
    </row>
    <row r="119" spans="1:47" x14ac:dyDescent="0.25">
      <c r="A119" s="24" t="s">
        <v>187</v>
      </c>
    </row>
    <row r="120" spans="1:47" x14ac:dyDescent="0.25">
      <c r="A120" s="23" t="s">
        <v>189</v>
      </c>
      <c r="E120" t="s">
        <v>1027</v>
      </c>
      <c r="H120">
        <v>311</v>
      </c>
      <c r="I120">
        <v>288</v>
      </c>
      <c r="O120">
        <v>381</v>
      </c>
      <c r="W120">
        <v>187</v>
      </c>
      <c r="Y120">
        <v>326</v>
      </c>
    </row>
    <row r="121" spans="1:47" x14ac:dyDescent="0.25">
      <c r="A121" s="24" t="s">
        <v>191</v>
      </c>
      <c r="B121">
        <v>244</v>
      </c>
      <c r="H121">
        <v>104</v>
      </c>
    </row>
    <row r="122" spans="1:47" x14ac:dyDescent="0.25">
      <c r="A122" s="23" t="s">
        <v>192</v>
      </c>
    </row>
    <row r="123" spans="1:47" x14ac:dyDescent="0.25">
      <c r="A123" s="24" t="s">
        <v>194</v>
      </c>
    </row>
    <row r="124" spans="1:47" x14ac:dyDescent="0.25">
      <c r="A124" s="23" t="s">
        <v>196</v>
      </c>
    </row>
    <row r="125" spans="1:47" x14ac:dyDescent="0.25">
      <c r="A125" s="24" t="s">
        <v>197</v>
      </c>
      <c r="AO125">
        <v>168</v>
      </c>
    </row>
    <row r="126" spans="1:47" x14ac:dyDescent="0.25">
      <c r="A126" s="23" t="s">
        <v>199</v>
      </c>
      <c r="B126">
        <v>239</v>
      </c>
      <c r="AU126">
        <v>109</v>
      </c>
    </row>
    <row r="127" spans="1:47" x14ac:dyDescent="0.25">
      <c r="A127" s="24" t="s">
        <v>200</v>
      </c>
    </row>
    <row r="128" spans="1:47" x14ac:dyDescent="0.25">
      <c r="A128" s="23" t="s">
        <v>201</v>
      </c>
    </row>
    <row r="129" spans="1:37" x14ac:dyDescent="0.25">
      <c r="A129" s="24" t="s">
        <v>202</v>
      </c>
      <c r="B129">
        <v>490</v>
      </c>
      <c r="O129">
        <v>572</v>
      </c>
      <c r="Y129">
        <v>395</v>
      </c>
      <c r="AF129">
        <v>312</v>
      </c>
      <c r="AK129">
        <v>262</v>
      </c>
    </row>
    <row r="130" spans="1:37" x14ac:dyDescent="0.25">
      <c r="A130" s="23" t="s">
        <v>294</v>
      </c>
      <c r="B130">
        <v>486</v>
      </c>
    </row>
    <row r="131" spans="1:37" x14ac:dyDescent="0.25">
      <c r="A131" s="24" t="s">
        <v>207</v>
      </c>
      <c r="B131">
        <v>191</v>
      </c>
      <c r="H131">
        <v>154</v>
      </c>
    </row>
    <row r="132" spans="1:37" x14ac:dyDescent="0.25">
      <c r="A132" s="23" t="s">
        <v>208</v>
      </c>
    </row>
    <row r="133" spans="1:37" x14ac:dyDescent="0.25">
      <c r="A133" s="24" t="s">
        <v>1589</v>
      </c>
    </row>
    <row r="134" spans="1:37" x14ac:dyDescent="0.25">
      <c r="A134" s="23" t="s">
        <v>209</v>
      </c>
    </row>
    <row r="135" spans="1:37" x14ac:dyDescent="0.25">
      <c r="A135" s="24" t="s">
        <v>211</v>
      </c>
    </row>
    <row r="136" spans="1:37" x14ac:dyDescent="0.25">
      <c r="A136" s="23" t="s">
        <v>212</v>
      </c>
    </row>
    <row r="137" spans="1:37" x14ac:dyDescent="0.25">
      <c r="A137" s="24" t="s">
        <v>214</v>
      </c>
    </row>
    <row r="138" spans="1:37" x14ac:dyDescent="0.25">
      <c r="A138" s="23" t="s">
        <v>216</v>
      </c>
    </row>
    <row r="139" spans="1:37" x14ac:dyDescent="0.25">
      <c r="A139" s="24" t="s">
        <v>218</v>
      </c>
    </row>
    <row r="140" spans="1:37" x14ac:dyDescent="0.25">
      <c r="A140" s="23" t="s">
        <v>220</v>
      </c>
    </row>
    <row r="141" spans="1:37" x14ac:dyDescent="0.25">
      <c r="A141" s="24" t="s">
        <v>222</v>
      </c>
    </row>
    <row r="142" spans="1:37" x14ac:dyDescent="0.25">
      <c r="A142" s="23" t="s">
        <v>224</v>
      </c>
    </row>
    <row r="143" spans="1:37" x14ac:dyDescent="0.25">
      <c r="A143" s="24" t="s">
        <v>225</v>
      </c>
    </row>
    <row r="144" spans="1:37" x14ac:dyDescent="0.25">
      <c r="A144" s="23" t="s">
        <v>227</v>
      </c>
    </row>
    <row r="145" spans="1:1" x14ac:dyDescent="0.25">
      <c r="A145" s="24" t="s">
        <v>229</v>
      </c>
    </row>
    <row r="146" spans="1:1" x14ac:dyDescent="0.25">
      <c r="A146" s="23" t="s">
        <v>231</v>
      </c>
    </row>
    <row r="147" spans="1:1" x14ac:dyDescent="0.25">
      <c r="A147" s="24" t="s">
        <v>232</v>
      </c>
    </row>
    <row r="148" spans="1:1" x14ac:dyDescent="0.25">
      <c r="A148" s="23" t="s">
        <v>234</v>
      </c>
    </row>
    <row r="149" spans="1:1" x14ac:dyDescent="0.25">
      <c r="A149" s="24" t="s">
        <v>236</v>
      </c>
    </row>
    <row r="150" spans="1:1" x14ac:dyDescent="0.25">
      <c r="A150" s="23" t="s">
        <v>1322</v>
      </c>
    </row>
    <row r="151" spans="1:1" x14ac:dyDescent="0.25">
      <c r="A151" s="24" t="s">
        <v>1323</v>
      </c>
    </row>
    <row r="152" spans="1:1" x14ac:dyDescent="0.25">
      <c r="A152" s="23" t="s">
        <v>1324</v>
      </c>
    </row>
    <row r="153" spans="1:1" x14ac:dyDescent="0.25">
      <c r="A153" s="24" t="s">
        <v>1325</v>
      </c>
    </row>
    <row r="154" spans="1:1" x14ac:dyDescent="0.25">
      <c r="A154" s="23" t="s">
        <v>1326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D42"/>
  <sheetViews>
    <sheetView workbookViewId="0">
      <selection activeCell="F3" sqref="F3"/>
    </sheetView>
  </sheetViews>
  <sheetFormatPr defaultColWidth="9.140625" defaultRowHeight="15" x14ac:dyDescent="0.25"/>
  <cols>
    <col min="1" max="1" width="18.140625" bestFit="1" customWidth="1"/>
    <col min="2" max="2" width="8.28515625" bestFit="1" customWidth="1"/>
    <col min="3" max="3" width="81.140625" bestFit="1" customWidth="1"/>
    <col min="4" max="4" width="35.85546875" bestFit="1" customWidth="1"/>
  </cols>
  <sheetData>
    <row r="1" spans="1:4" ht="15.75" x14ac:dyDescent="0.25">
      <c r="A1" s="29" t="s">
        <v>0</v>
      </c>
      <c r="B1" s="29" t="s">
        <v>2345</v>
      </c>
      <c r="C1" s="29" t="s">
        <v>2134</v>
      </c>
      <c r="D1" s="29" t="s">
        <v>2118</v>
      </c>
    </row>
    <row r="2" spans="1:4" ht="30" x14ac:dyDescent="0.25">
      <c r="A2" t="s">
        <v>22</v>
      </c>
      <c r="B2" t="s">
        <v>2345</v>
      </c>
      <c r="C2" s="21" t="s">
        <v>2377</v>
      </c>
      <c r="D2">
        <v>18</v>
      </c>
    </row>
    <row r="3" spans="1:4" x14ac:dyDescent="0.25">
      <c r="A3" t="s">
        <v>24</v>
      </c>
      <c r="B3" t="s">
        <v>2345</v>
      </c>
      <c r="C3" s="21" t="s">
        <v>2319</v>
      </c>
      <c r="D3">
        <v>1</v>
      </c>
    </row>
    <row r="4" spans="1:4" x14ac:dyDescent="0.25">
      <c r="A4" t="s">
        <v>26</v>
      </c>
      <c r="B4" t="s">
        <v>2345</v>
      </c>
      <c r="C4" s="21" t="s">
        <v>2346</v>
      </c>
      <c r="D4">
        <v>8</v>
      </c>
    </row>
    <row r="5" spans="1:4" x14ac:dyDescent="0.25">
      <c r="A5" t="s">
        <v>50</v>
      </c>
      <c r="B5" t="s">
        <v>2345</v>
      </c>
      <c r="C5" s="21" t="s">
        <v>2347</v>
      </c>
      <c r="D5">
        <v>2</v>
      </c>
    </row>
    <row r="6" spans="1:4" x14ac:dyDescent="0.25">
      <c r="A6" t="s">
        <v>53</v>
      </c>
      <c r="B6" t="s">
        <v>2345</v>
      </c>
      <c r="C6" s="21" t="s">
        <v>2319</v>
      </c>
      <c r="D6">
        <v>1</v>
      </c>
    </row>
    <row r="7" spans="1:4" x14ac:dyDescent="0.25">
      <c r="A7" t="s">
        <v>62</v>
      </c>
      <c r="B7" t="s">
        <v>2345</v>
      </c>
      <c r="C7" s="21" t="s">
        <v>2348</v>
      </c>
      <c r="D7">
        <v>3</v>
      </c>
    </row>
    <row r="8" spans="1:4" x14ac:dyDescent="0.25">
      <c r="A8" t="s">
        <v>66</v>
      </c>
      <c r="B8" t="s">
        <v>2345</v>
      </c>
      <c r="C8" s="21" t="s">
        <v>2349</v>
      </c>
      <c r="D8">
        <v>3</v>
      </c>
    </row>
    <row r="9" spans="1:4" x14ac:dyDescent="0.25">
      <c r="A9" t="s">
        <v>68</v>
      </c>
      <c r="B9" t="s">
        <v>2345</v>
      </c>
      <c r="C9" s="21" t="s">
        <v>2319</v>
      </c>
      <c r="D9">
        <v>1</v>
      </c>
    </row>
    <row r="10" spans="1:4" x14ac:dyDescent="0.25">
      <c r="A10" t="s">
        <v>74</v>
      </c>
      <c r="B10" t="s">
        <v>2345</v>
      </c>
      <c r="C10" s="21" t="s">
        <v>2350</v>
      </c>
      <c r="D10">
        <v>4</v>
      </c>
    </row>
    <row r="11" spans="1:4" x14ac:dyDescent="0.25">
      <c r="A11" t="s">
        <v>78</v>
      </c>
      <c r="B11" t="s">
        <v>2345</v>
      </c>
      <c r="C11" s="21" t="s">
        <v>2351</v>
      </c>
      <c r="D11">
        <v>6</v>
      </c>
    </row>
    <row r="12" spans="1:4" x14ac:dyDescent="0.25">
      <c r="A12" t="s">
        <v>80</v>
      </c>
      <c r="B12" t="s">
        <v>2345</v>
      </c>
      <c r="C12" s="21" t="s">
        <v>2352</v>
      </c>
      <c r="D12">
        <v>4</v>
      </c>
    </row>
    <row r="13" spans="1:4" x14ac:dyDescent="0.25">
      <c r="A13" t="s">
        <v>85</v>
      </c>
      <c r="B13" t="s">
        <v>2345</v>
      </c>
      <c r="C13" s="21" t="s">
        <v>2353</v>
      </c>
      <c r="D13">
        <v>2</v>
      </c>
    </row>
    <row r="14" spans="1:4" x14ac:dyDescent="0.25">
      <c r="A14" t="s">
        <v>87</v>
      </c>
      <c r="B14" t="s">
        <v>2345</v>
      </c>
      <c r="C14" s="21" t="s">
        <v>2354</v>
      </c>
      <c r="D14">
        <v>4</v>
      </c>
    </row>
    <row r="15" spans="1:4" x14ac:dyDescent="0.25">
      <c r="A15" t="s">
        <v>93</v>
      </c>
      <c r="B15" t="s">
        <v>2345</v>
      </c>
      <c r="C15" s="21" t="s">
        <v>2355</v>
      </c>
      <c r="D15">
        <v>5</v>
      </c>
    </row>
    <row r="16" spans="1:4" x14ac:dyDescent="0.25">
      <c r="A16" t="s">
        <v>95</v>
      </c>
      <c r="B16" t="s">
        <v>2345</v>
      </c>
      <c r="C16" s="21" t="s">
        <v>2356</v>
      </c>
      <c r="D16">
        <v>6</v>
      </c>
    </row>
    <row r="17" spans="1:4" x14ac:dyDescent="0.25">
      <c r="A17" t="s">
        <v>103</v>
      </c>
      <c r="B17" t="s">
        <v>2345</v>
      </c>
      <c r="C17" s="21" t="s">
        <v>2357</v>
      </c>
      <c r="D17">
        <v>2</v>
      </c>
    </row>
    <row r="18" spans="1:4" x14ac:dyDescent="0.25">
      <c r="A18" t="s">
        <v>119</v>
      </c>
      <c r="B18" t="s">
        <v>2345</v>
      </c>
      <c r="C18" s="21" t="s">
        <v>2358</v>
      </c>
      <c r="D18">
        <v>3</v>
      </c>
    </row>
    <row r="19" spans="1:4" x14ac:dyDescent="0.25">
      <c r="A19" t="s">
        <v>125</v>
      </c>
      <c r="B19" t="s">
        <v>2345</v>
      </c>
      <c r="C19" s="21" t="s">
        <v>2359</v>
      </c>
      <c r="D19">
        <v>9</v>
      </c>
    </row>
    <row r="20" spans="1:4" x14ac:dyDescent="0.25">
      <c r="A20" t="s">
        <v>127</v>
      </c>
      <c r="B20" t="s">
        <v>2345</v>
      </c>
      <c r="C20" s="21" t="s">
        <v>2360</v>
      </c>
      <c r="D20">
        <v>2</v>
      </c>
    </row>
    <row r="21" spans="1:4" x14ac:dyDescent="0.25">
      <c r="A21" t="s">
        <v>128</v>
      </c>
      <c r="B21" t="s">
        <v>2345</v>
      </c>
      <c r="C21" s="21" t="s">
        <v>2361</v>
      </c>
      <c r="D21">
        <v>3</v>
      </c>
    </row>
    <row r="22" spans="1:4" x14ac:dyDescent="0.25">
      <c r="A22" t="s">
        <v>131</v>
      </c>
      <c r="B22" t="s">
        <v>2345</v>
      </c>
      <c r="C22" s="21" t="s">
        <v>2319</v>
      </c>
      <c r="D22">
        <v>1</v>
      </c>
    </row>
    <row r="23" spans="1:4" x14ac:dyDescent="0.25">
      <c r="A23" t="s">
        <v>134</v>
      </c>
      <c r="B23" t="s">
        <v>2345</v>
      </c>
      <c r="C23" s="21" t="s">
        <v>2319</v>
      </c>
      <c r="D23">
        <v>1</v>
      </c>
    </row>
    <row r="24" spans="1:4" x14ac:dyDescent="0.25">
      <c r="A24" t="s">
        <v>138</v>
      </c>
      <c r="B24" t="s">
        <v>2345</v>
      </c>
      <c r="C24" s="21" t="s">
        <v>2362</v>
      </c>
      <c r="D24">
        <v>4</v>
      </c>
    </row>
    <row r="25" spans="1:4" x14ac:dyDescent="0.25">
      <c r="A25" t="s">
        <v>140</v>
      </c>
      <c r="B25" t="s">
        <v>2345</v>
      </c>
      <c r="C25" s="21" t="s">
        <v>2363</v>
      </c>
      <c r="D25">
        <v>2</v>
      </c>
    </row>
    <row r="26" spans="1:4" x14ac:dyDescent="0.25">
      <c r="A26" t="s">
        <v>149</v>
      </c>
      <c r="B26" t="s">
        <v>2345</v>
      </c>
      <c r="C26" s="21" t="s">
        <v>2364</v>
      </c>
      <c r="D26">
        <v>2</v>
      </c>
    </row>
    <row r="27" spans="1:4" x14ac:dyDescent="0.25">
      <c r="A27" t="s">
        <v>152</v>
      </c>
      <c r="B27" t="s">
        <v>2345</v>
      </c>
      <c r="C27" s="21" t="s">
        <v>2365</v>
      </c>
      <c r="D27">
        <v>2</v>
      </c>
    </row>
    <row r="28" spans="1:4" x14ac:dyDescent="0.25">
      <c r="A28" t="s">
        <v>153</v>
      </c>
      <c r="B28" t="s">
        <v>2345</v>
      </c>
      <c r="C28" s="21" t="s">
        <v>2366</v>
      </c>
      <c r="D28">
        <v>8</v>
      </c>
    </row>
    <row r="29" spans="1:4" ht="30" x14ac:dyDescent="0.25">
      <c r="A29" t="s">
        <v>158</v>
      </c>
      <c r="B29" t="s">
        <v>2345</v>
      </c>
      <c r="C29" s="21" t="s">
        <v>2367</v>
      </c>
      <c r="D29">
        <v>12</v>
      </c>
    </row>
    <row r="30" spans="1:4" x14ac:dyDescent="0.25">
      <c r="A30" t="s">
        <v>163</v>
      </c>
      <c r="B30" t="s">
        <v>2345</v>
      </c>
      <c r="C30" s="21" t="s">
        <v>359</v>
      </c>
      <c r="D30">
        <v>1</v>
      </c>
    </row>
    <row r="31" spans="1:4" x14ac:dyDescent="0.25">
      <c r="A31" t="s">
        <v>166</v>
      </c>
      <c r="B31" t="s">
        <v>2345</v>
      </c>
      <c r="C31" s="21" t="s">
        <v>2368</v>
      </c>
      <c r="D31">
        <v>3</v>
      </c>
    </row>
    <row r="32" spans="1:4" x14ac:dyDescent="0.25">
      <c r="A32" t="s">
        <v>173</v>
      </c>
      <c r="B32" t="s">
        <v>2345</v>
      </c>
      <c r="C32" s="21" t="s">
        <v>2369</v>
      </c>
      <c r="D32">
        <v>5</v>
      </c>
    </row>
    <row r="33" spans="1:4" ht="30" x14ac:dyDescent="0.25">
      <c r="A33" t="s">
        <v>175</v>
      </c>
      <c r="B33" t="s">
        <v>2345</v>
      </c>
      <c r="C33" s="21" t="s">
        <v>2370</v>
      </c>
      <c r="D33">
        <v>9</v>
      </c>
    </row>
    <row r="34" spans="1:4" x14ac:dyDescent="0.25">
      <c r="A34" t="s">
        <v>183</v>
      </c>
      <c r="B34" t="s">
        <v>2345</v>
      </c>
      <c r="C34" s="21" t="s">
        <v>2371</v>
      </c>
      <c r="D34">
        <v>3</v>
      </c>
    </row>
    <row r="35" spans="1:4" x14ac:dyDescent="0.25">
      <c r="A35" t="s">
        <v>185</v>
      </c>
      <c r="B35" t="s">
        <v>2345</v>
      </c>
      <c r="C35" s="21" t="s">
        <v>477</v>
      </c>
      <c r="D35">
        <v>1</v>
      </c>
    </row>
    <row r="36" spans="1:4" x14ac:dyDescent="0.25">
      <c r="A36" t="s">
        <v>189</v>
      </c>
      <c r="B36" t="s">
        <v>2345</v>
      </c>
      <c r="C36" s="21" t="s">
        <v>2372</v>
      </c>
      <c r="D36">
        <v>6</v>
      </c>
    </row>
    <row r="37" spans="1:4" x14ac:dyDescent="0.25">
      <c r="A37" t="s">
        <v>191</v>
      </c>
      <c r="B37" t="s">
        <v>2345</v>
      </c>
      <c r="C37" s="21" t="s">
        <v>2373</v>
      </c>
      <c r="D37">
        <v>2</v>
      </c>
    </row>
    <row r="38" spans="1:4" x14ac:dyDescent="0.25">
      <c r="A38" t="s">
        <v>197</v>
      </c>
      <c r="B38" t="s">
        <v>2345</v>
      </c>
      <c r="C38" s="21" t="s">
        <v>2329</v>
      </c>
      <c r="D38">
        <v>1</v>
      </c>
    </row>
    <row r="39" spans="1:4" x14ac:dyDescent="0.25">
      <c r="A39" t="s">
        <v>199</v>
      </c>
      <c r="B39" t="s">
        <v>2345</v>
      </c>
      <c r="C39" s="21" t="s">
        <v>2374</v>
      </c>
      <c r="D39">
        <v>2</v>
      </c>
    </row>
    <row r="40" spans="1:4" x14ac:dyDescent="0.25">
      <c r="A40" t="s">
        <v>202</v>
      </c>
      <c r="B40" t="s">
        <v>2345</v>
      </c>
      <c r="C40" s="21" t="s">
        <v>2375</v>
      </c>
      <c r="D40">
        <v>5</v>
      </c>
    </row>
    <row r="41" spans="1:4" x14ac:dyDescent="0.25">
      <c r="A41" t="s">
        <v>294</v>
      </c>
      <c r="B41" t="s">
        <v>2345</v>
      </c>
      <c r="C41" s="21" t="s">
        <v>2319</v>
      </c>
      <c r="D41">
        <v>1</v>
      </c>
    </row>
    <row r="42" spans="1:4" x14ac:dyDescent="0.25">
      <c r="A42" t="s">
        <v>207</v>
      </c>
      <c r="B42" t="s">
        <v>2345</v>
      </c>
      <c r="C42" s="21" t="s">
        <v>2373</v>
      </c>
      <c r="D42">
        <v>2</v>
      </c>
    </row>
  </sheetData>
  <conditionalFormatting sqref="A2:A42">
    <cfRule type="duplicateValues" dxfId="90" priority="2"/>
  </conditionalFormatting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54"/>
  <sheetViews>
    <sheetView topLeftCell="V1" workbookViewId="0">
      <selection activeCell="B1" sqref="B1:AE1"/>
    </sheetView>
  </sheetViews>
  <sheetFormatPr defaultColWidth="9.140625" defaultRowHeight="15" x14ac:dyDescent="0.25"/>
  <cols>
    <col min="1" max="1" width="14.42578125" customWidth="1"/>
    <col min="2" max="2" width="24" customWidth="1"/>
    <col min="3" max="3" width="21.85546875" customWidth="1"/>
    <col min="4" max="4" width="19.28515625" customWidth="1"/>
    <col min="5" max="6" width="21.85546875" customWidth="1"/>
    <col min="7" max="10" width="19.28515625" customWidth="1"/>
    <col min="11" max="11" width="21.85546875" customWidth="1"/>
    <col min="12" max="12" width="20.28515625" customWidth="1"/>
    <col min="13" max="14" width="21.85546875" customWidth="1"/>
    <col min="15" max="16" width="19.28515625" customWidth="1"/>
    <col min="17" max="20" width="20.28515625" customWidth="1"/>
    <col min="21" max="21" width="19.140625" customWidth="1"/>
    <col min="22" max="23" width="20.28515625" customWidth="1"/>
    <col min="24" max="25" width="19.140625" customWidth="1"/>
    <col min="26" max="26" width="23" customWidth="1"/>
    <col min="27" max="27" width="22" customWidth="1"/>
    <col min="28" max="30" width="23" customWidth="1"/>
    <col min="31" max="31" width="24" customWidth="1"/>
  </cols>
  <sheetData>
    <row r="1" spans="1:31" x14ac:dyDescent="0.25">
      <c r="A1" s="22" t="s">
        <v>0</v>
      </c>
      <c r="B1" t="s">
        <v>2381</v>
      </c>
      <c r="C1" t="s">
        <v>1859</v>
      </c>
      <c r="D1" t="s">
        <v>729</v>
      </c>
      <c r="E1" t="s">
        <v>1862</v>
      </c>
      <c r="F1" t="s">
        <v>2010</v>
      </c>
      <c r="G1" t="s">
        <v>644</v>
      </c>
      <c r="H1" t="s">
        <v>383</v>
      </c>
      <c r="I1" t="s">
        <v>384</v>
      </c>
      <c r="J1" t="s">
        <v>385</v>
      </c>
      <c r="K1" t="s">
        <v>1863</v>
      </c>
      <c r="L1" t="s">
        <v>2380</v>
      </c>
      <c r="M1" t="s">
        <v>1864</v>
      </c>
      <c r="N1" t="s">
        <v>1865</v>
      </c>
      <c r="O1" t="s">
        <v>647</v>
      </c>
      <c r="P1" t="s">
        <v>386</v>
      </c>
      <c r="Q1" t="s">
        <v>387</v>
      </c>
      <c r="R1" t="s">
        <v>618</v>
      </c>
      <c r="S1" t="s">
        <v>388</v>
      </c>
      <c r="T1" t="s">
        <v>671</v>
      </c>
      <c r="U1" t="s">
        <v>672</v>
      </c>
      <c r="V1" t="s">
        <v>673</v>
      </c>
      <c r="W1" t="s">
        <v>674</v>
      </c>
      <c r="X1" t="s">
        <v>675</v>
      </c>
      <c r="Y1" t="s">
        <v>676</v>
      </c>
      <c r="Z1" t="s">
        <v>1004</v>
      </c>
      <c r="AA1" t="s">
        <v>1005</v>
      </c>
      <c r="AB1" t="s">
        <v>1006</v>
      </c>
      <c r="AC1" t="s">
        <v>1007</v>
      </c>
      <c r="AD1" t="s">
        <v>1008</v>
      </c>
      <c r="AE1" t="s">
        <v>1009</v>
      </c>
    </row>
    <row r="2" spans="1:31" x14ac:dyDescent="0.25">
      <c r="A2" s="23" t="s">
        <v>6</v>
      </c>
    </row>
    <row r="3" spans="1:31" x14ac:dyDescent="0.25">
      <c r="A3" s="24" t="s">
        <v>11</v>
      </c>
    </row>
    <row r="4" spans="1:31" x14ac:dyDescent="0.25">
      <c r="A4" s="23" t="s">
        <v>12</v>
      </c>
    </row>
    <row r="5" spans="1:31" x14ac:dyDescent="0.25">
      <c r="A5" s="24" t="s">
        <v>16</v>
      </c>
    </row>
    <row r="6" spans="1:31" x14ac:dyDescent="0.25">
      <c r="A6" s="23" t="s">
        <v>18</v>
      </c>
    </row>
    <row r="7" spans="1:31" x14ac:dyDescent="0.25">
      <c r="A7" s="24" t="s">
        <v>20</v>
      </c>
    </row>
    <row r="8" spans="1:31" x14ac:dyDescent="0.25">
      <c r="A8" s="23" t="s">
        <v>22</v>
      </c>
      <c r="S8">
        <v>8.74</v>
      </c>
      <c r="T8">
        <v>5.89</v>
      </c>
      <c r="U8">
        <v>4.67</v>
      </c>
      <c r="V8">
        <v>5.54</v>
      </c>
      <c r="W8">
        <v>6.33</v>
      </c>
      <c r="X8">
        <v>6.55</v>
      </c>
      <c r="Y8">
        <v>7.66</v>
      </c>
    </row>
    <row r="9" spans="1:31" x14ac:dyDescent="0.25">
      <c r="A9" s="24" t="s">
        <v>24</v>
      </c>
    </row>
    <row r="10" spans="1:31" x14ac:dyDescent="0.25">
      <c r="A10" s="23" t="s">
        <v>26</v>
      </c>
    </row>
    <row r="11" spans="1:31" x14ac:dyDescent="0.25">
      <c r="A11" s="24" t="s">
        <v>28</v>
      </c>
    </row>
    <row r="12" spans="1:31" x14ac:dyDescent="0.25">
      <c r="A12" s="23" t="s">
        <v>30</v>
      </c>
    </row>
    <row r="13" spans="1:31" x14ac:dyDescent="0.25">
      <c r="A13" s="24" t="s">
        <v>32</v>
      </c>
      <c r="B13">
        <v>3300</v>
      </c>
    </row>
    <row r="14" spans="1:31" x14ac:dyDescent="0.25">
      <c r="A14" s="23" t="s">
        <v>34</v>
      </c>
    </row>
    <row r="15" spans="1:31" x14ac:dyDescent="0.25">
      <c r="A15" s="24" t="s">
        <v>36</v>
      </c>
    </row>
    <row r="16" spans="1:31" x14ac:dyDescent="0.25">
      <c r="A16" s="23" t="s">
        <v>37</v>
      </c>
      <c r="B16">
        <v>2.9</v>
      </c>
    </row>
    <row r="17" spans="1:3" x14ac:dyDescent="0.25">
      <c r="A17" s="24" t="s">
        <v>40</v>
      </c>
    </row>
    <row r="18" spans="1:3" x14ac:dyDescent="0.25">
      <c r="A18" s="23" t="s">
        <v>42</v>
      </c>
    </row>
    <row r="19" spans="1:3" x14ac:dyDescent="0.25">
      <c r="A19" s="24" t="s">
        <v>43</v>
      </c>
    </row>
    <row r="20" spans="1:3" x14ac:dyDescent="0.25">
      <c r="A20" s="23" t="s">
        <v>44</v>
      </c>
    </row>
    <row r="21" spans="1:3" x14ac:dyDescent="0.25">
      <c r="A21" s="24" t="s">
        <v>46</v>
      </c>
    </row>
    <row r="22" spans="1:3" x14ac:dyDescent="0.25">
      <c r="A22" s="23" t="s">
        <v>48</v>
      </c>
    </row>
    <row r="23" spans="1:3" x14ac:dyDescent="0.25">
      <c r="A23" s="24" t="s">
        <v>50</v>
      </c>
    </row>
    <row r="24" spans="1:3" x14ac:dyDescent="0.25">
      <c r="A24" s="23" t="s">
        <v>52</v>
      </c>
    </row>
    <row r="25" spans="1:3" x14ac:dyDescent="0.25">
      <c r="A25" s="24" t="s">
        <v>53</v>
      </c>
    </row>
    <row r="26" spans="1:3" x14ac:dyDescent="0.25">
      <c r="A26" s="23" t="s">
        <v>55</v>
      </c>
    </row>
    <row r="27" spans="1:3" x14ac:dyDescent="0.25">
      <c r="A27" s="24" t="s">
        <v>57</v>
      </c>
    </row>
    <row r="28" spans="1:3" x14ac:dyDescent="0.25">
      <c r="A28" s="23" t="s">
        <v>59</v>
      </c>
    </row>
    <row r="29" spans="1:3" x14ac:dyDescent="0.25">
      <c r="A29" s="24" t="s">
        <v>60</v>
      </c>
      <c r="B29">
        <v>5100</v>
      </c>
    </row>
    <row r="30" spans="1:3" x14ac:dyDescent="0.25">
      <c r="A30" s="23" t="s">
        <v>62</v>
      </c>
      <c r="B30" t="s">
        <v>1861</v>
      </c>
      <c r="C30" t="s">
        <v>1860</v>
      </c>
    </row>
    <row r="31" spans="1:3" x14ac:dyDescent="0.25">
      <c r="A31" s="24" t="s">
        <v>64</v>
      </c>
    </row>
    <row r="32" spans="1:3" x14ac:dyDescent="0.25">
      <c r="A32" s="23" t="s">
        <v>65</v>
      </c>
    </row>
    <row r="33" spans="1:18" x14ac:dyDescent="0.25">
      <c r="A33" s="24" t="s">
        <v>66</v>
      </c>
      <c r="R33" t="s">
        <v>602</v>
      </c>
    </row>
    <row r="34" spans="1:18" x14ac:dyDescent="0.25">
      <c r="A34" s="23" t="s">
        <v>68</v>
      </c>
    </row>
    <row r="35" spans="1:18" x14ac:dyDescent="0.25">
      <c r="A35" s="24" t="s">
        <v>69</v>
      </c>
    </row>
    <row r="36" spans="1:18" x14ac:dyDescent="0.25">
      <c r="A36" s="23" t="s">
        <v>71</v>
      </c>
    </row>
    <row r="37" spans="1:18" x14ac:dyDescent="0.25">
      <c r="A37" s="24" t="s">
        <v>73</v>
      </c>
    </row>
    <row r="38" spans="1:18" x14ac:dyDescent="0.25">
      <c r="A38" s="23" t="s">
        <v>74</v>
      </c>
      <c r="D38">
        <v>4020</v>
      </c>
      <c r="G38">
        <v>4200</v>
      </c>
      <c r="O38">
        <v>4380</v>
      </c>
    </row>
    <row r="39" spans="1:18" x14ac:dyDescent="0.25">
      <c r="A39" s="24" t="s">
        <v>76</v>
      </c>
    </row>
    <row r="40" spans="1:18" x14ac:dyDescent="0.25">
      <c r="A40" s="23" t="s">
        <v>78</v>
      </c>
    </row>
    <row r="41" spans="1:18" x14ac:dyDescent="0.25">
      <c r="A41" s="24" t="s">
        <v>80</v>
      </c>
    </row>
    <row r="42" spans="1:18" x14ac:dyDescent="0.25">
      <c r="A42" s="23" t="s">
        <v>82</v>
      </c>
    </row>
    <row r="43" spans="1:18" x14ac:dyDescent="0.25">
      <c r="A43" s="24" t="s">
        <v>84</v>
      </c>
    </row>
    <row r="44" spans="1:18" x14ac:dyDescent="0.25">
      <c r="A44" s="23" t="s">
        <v>85</v>
      </c>
    </row>
    <row r="45" spans="1:18" x14ac:dyDescent="0.25">
      <c r="A45" s="24" t="s">
        <v>87</v>
      </c>
    </row>
    <row r="46" spans="1:18" x14ac:dyDescent="0.25">
      <c r="A46" s="23" t="s">
        <v>89</v>
      </c>
    </row>
    <row r="47" spans="1:18" x14ac:dyDescent="0.25">
      <c r="A47" s="24" t="s">
        <v>91</v>
      </c>
    </row>
    <row r="48" spans="1:18" x14ac:dyDescent="0.25">
      <c r="A48" s="23" t="s">
        <v>92</v>
      </c>
    </row>
    <row r="49" spans="1:1" x14ac:dyDescent="0.25">
      <c r="A49" s="24" t="s">
        <v>93</v>
      </c>
    </row>
    <row r="50" spans="1:1" x14ac:dyDescent="0.25">
      <c r="A50" s="23" t="s">
        <v>95</v>
      </c>
    </row>
    <row r="51" spans="1:1" x14ac:dyDescent="0.25">
      <c r="A51" s="24" t="s">
        <v>97</v>
      </c>
    </row>
    <row r="52" spans="1:1" x14ac:dyDescent="0.25">
      <c r="A52" s="23" t="s">
        <v>99</v>
      </c>
    </row>
    <row r="53" spans="1:1" x14ac:dyDescent="0.25">
      <c r="A53" s="24" t="s">
        <v>100</v>
      </c>
    </row>
    <row r="54" spans="1:1" x14ac:dyDescent="0.25">
      <c r="A54" s="23" t="s">
        <v>101</v>
      </c>
    </row>
    <row r="55" spans="1:1" x14ac:dyDescent="0.25">
      <c r="A55" s="24" t="s">
        <v>102</v>
      </c>
    </row>
    <row r="56" spans="1:1" x14ac:dyDescent="0.25">
      <c r="A56" s="23" t="s">
        <v>103</v>
      </c>
    </row>
    <row r="57" spans="1:1" x14ac:dyDescent="0.25">
      <c r="A57" s="24" t="s">
        <v>105</v>
      </c>
    </row>
    <row r="58" spans="1:1" x14ac:dyDescent="0.25">
      <c r="A58" s="23" t="s">
        <v>106</v>
      </c>
    </row>
    <row r="59" spans="1:1" x14ac:dyDescent="0.25">
      <c r="A59" s="24" t="s">
        <v>107</v>
      </c>
    </row>
    <row r="60" spans="1:1" x14ac:dyDescent="0.25">
      <c r="A60" s="23" t="s">
        <v>108</v>
      </c>
    </row>
    <row r="61" spans="1:1" x14ac:dyDescent="0.25">
      <c r="A61" s="24" t="s">
        <v>109</v>
      </c>
    </row>
    <row r="62" spans="1:1" x14ac:dyDescent="0.25">
      <c r="A62" s="23" t="s">
        <v>110</v>
      </c>
    </row>
    <row r="63" spans="1:1" x14ac:dyDescent="0.25">
      <c r="A63" s="24" t="s">
        <v>111</v>
      </c>
    </row>
    <row r="64" spans="1:1" x14ac:dyDescent="0.25">
      <c r="A64" s="23" t="s">
        <v>112</v>
      </c>
    </row>
    <row r="65" spans="1:1" x14ac:dyDescent="0.25">
      <c r="A65" s="24" t="s">
        <v>113</v>
      </c>
    </row>
    <row r="66" spans="1:1" x14ac:dyDescent="0.25">
      <c r="A66" s="23" t="s">
        <v>115</v>
      </c>
    </row>
    <row r="67" spans="1:1" x14ac:dyDescent="0.25">
      <c r="A67" s="24" t="s">
        <v>116</v>
      </c>
    </row>
    <row r="68" spans="1:1" x14ac:dyDescent="0.25">
      <c r="A68" s="23" t="s">
        <v>117</v>
      </c>
    </row>
    <row r="69" spans="1:1" x14ac:dyDescent="0.25">
      <c r="A69" s="24" t="s">
        <v>119</v>
      </c>
    </row>
    <row r="70" spans="1:1" x14ac:dyDescent="0.25">
      <c r="A70" s="23" t="s">
        <v>120</v>
      </c>
    </row>
    <row r="71" spans="1:1" x14ac:dyDescent="0.25">
      <c r="A71" s="24" t="s">
        <v>122</v>
      </c>
    </row>
    <row r="72" spans="1:1" x14ac:dyDescent="0.25">
      <c r="A72" s="23" t="s">
        <v>123</v>
      </c>
    </row>
    <row r="73" spans="1:1" x14ac:dyDescent="0.25">
      <c r="A73" s="24" t="s">
        <v>125</v>
      </c>
    </row>
    <row r="74" spans="1:1" x14ac:dyDescent="0.25">
      <c r="A74" s="23" t="s">
        <v>126</v>
      </c>
    </row>
    <row r="75" spans="1:1" x14ac:dyDescent="0.25">
      <c r="A75" s="24" t="s">
        <v>127</v>
      </c>
    </row>
    <row r="76" spans="1:1" x14ac:dyDescent="0.25">
      <c r="A76" s="23" t="s">
        <v>128</v>
      </c>
    </row>
    <row r="77" spans="1:1" x14ac:dyDescent="0.25">
      <c r="A77" s="24" t="s">
        <v>131</v>
      </c>
    </row>
    <row r="78" spans="1:1" x14ac:dyDescent="0.25">
      <c r="A78" s="23" t="s">
        <v>133</v>
      </c>
    </row>
    <row r="79" spans="1:1" x14ac:dyDescent="0.25">
      <c r="A79" s="24" t="s">
        <v>134</v>
      </c>
    </row>
    <row r="80" spans="1:1" x14ac:dyDescent="0.25">
      <c r="A80" s="23" t="s">
        <v>136</v>
      </c>
    </row>
    <row r="81" spans="1:3" x14ac:dyDescent="0.25">
      <c r="A81" s="24" t="s">
        <v>138</v>
      </c>
    </row>
    <row r="82" spans="1:3" x14ac:dyDescent="0.25">
      <c r="A82" s="23" t="s">
        <v>140</v>
      </c>
    </row>
    <row r="83" spans="1:3" x14ac:dyDescent="0.25">
      <c r="A83" s="24" t="s">
        <v>142</v>
      </c>
    </row>
    <row r="84" spans="1:3" x14ac:dyDescent="0.25">
      <c r="A84" s="23" t="s">
        <v>143</v>
      </c>
    </row>
    <row r="85" spans="1:3" x14ac:dyDescent="0.25">
      <c r="A85" s="24" t="s">
        <v>144</v>
      </c>
    </row>
    <row r="86" spans="1:3" x14ac:dyDescent="0.25">
      <c r="A86" s="23" t="s">
        <v>145</v>
      </c>
    </row>
    <row r="87" spans="1:3" x14ac:dyDescent="0.25">
      <c r="A87" s="24" t="s">
        <v>146</v>
      </c>
    </row>
    <row r="88" spans="1:3" x14ac:dyDescent="0.25">
      <c r="A88" s="23" t="s">
        <v>147</v>
      </c>
    </row>
    <row r="89" spans="1:3" x14ac:dyDescent="0.25">
      <c r="A89" s="24" t="s">
        <v>148</v>
      </c>
    </row>
    <row r="90" spans="1:3" x14ac:dyDescent="0.25">
      <c r="A90" s="23" t="s">
        <v>149</v>
      </c>
    </row>
    <row r="91" spans="1:3" x14ac:dyDescent="0.25">
      <c r="A91" s="24" t="s">
        <v>150</v>
      </c>
    </row>
    <row r="92" spans="1:3" x14ac:dyDescent="0.25">
      <c r="A92" s="23" t="s">
        <v>151</v>
      </c>
    </row>
    <row r="93" spans="1:3" x14ac:dyDescent="0.25">
      <c r="A93" s="24"/>
    </row>
    <row r="94" spans="1:3" x14ac:dyDescent="0.25">
      <c r="A94" s="23" t="s">
        <v>321</v>
      </c>
    </row>
    <row r="95" spans="1:3" x14ac:dyDescent="0.25">
      <c r="A95" s="24" t="s">
        <v>152</v>
      </c>
      <c r="B95">
        <v>4059</v>
      </c>
      <c r="C95">
        <v>4098</v>
      </c>
    </row>
    <row r="96" spans="1:3" x14ac:dyDescent="0.25">
      <c r="A96" s="23" t="s">
        <v>153</v>
      </c>
    </row>
    <row r="97" spans="1:31" x14ac:dyDescent="0.25">
      <c r="A97" s="24" t="s">
        <v>155</v>
      </c>
    </row>
    <row r="98" spans="1:31" x14ac:dyDescent="0.25">
      <c r="A98" s="23" t="s">
        <v>157</v>
      </c>
    </row>
    <row r="99" spans="1:31" x14ac:dyDescent="0.25">
      <c r="A99" s="24" t="s">
        <v>158</v>
      </c>
      <c r="B99">
        <v>4338</v>
      </c>
      <c r="D99">
        <v>5310</v>
      </c>
      <c r="E99">
        <v>4307</v>
      </c>
      <c r="F99">
        <v>5466</v>
      </c>
      <c r="G99">
        <v>5899</v>
      </c>
      <c r="I99">
        <v>6377</v>
      </c>
      <c r="K99">
        <v>6119</v>
      </c>
      <c r="L99">
        <v>6016</v>
      </c>
      <c r="M99">
        <v>5958</v>
      </c>
      <c r="N99">
        <v>6145</v>
      </c>
    </row>
    <row r="100" spans="1:31" x14ac:dyDescent="0.25">
      <c r="A100" s="23" t="s">
        <v>160</v>
      </c>
    </row>
    <row r="101" spans="1:31" x14ac:dyDescent="0.25">
      <c r="A101" s="24" t="s">
        <v>162</v>
      </c>
    </row>
    <row r="102" spans="1:31" x14ac:dyDescent="0.25">
      <c r="A102" s="23" t="s">
        <v>163</v>
      </c>
      <c r="D102">
        <v>3470</v>
      </c>
    </row>
    <row r="103" spans="1:31" x14ac:dyDescent="0.25">
      <c r="A103" s="24" t="s">
        <v>164</v>
      </c>
    </row>
    <row r="104" spans="1:31" x14ac:dyDescent="0.25">
      <c r="A104" s="23" t="s">
        <v>165</v>
      </c>
    </row>
    <row r="105" spans="1:31" x14ac:dyDescent="0.25">
      <c r="A105" s="24" t="s">
        <v>166</v>
      </c>
    </row>
    <row r="106" spans="1:31" x14ac:dyDescent="0.25">
      <c r="A106" s="23" t="s">
        <v>167</v>
      </c>
    </row>
    <row r="107" spans="1:31" x14ac:dyDescent="0.25">
      <c r="A107" s="24" t="s">
        <v>169</v>
      </c>
    </row>
    <row r="108" spans="1:31" x14ac:dyDescent="0.25">
      <c r="A108" s="23" t="s">
        <v>170</v>
      </c>
    </row>
    <row r="109" spans="1:31" x14ac:dyDescent="0.25">
      <c r="A109" s="24" t="s">
        <v>172</v>
      </c>
    </row>
    <row r="110" spans="1:31" x14ac:dyDescent="0.25">
      <c r="A110" s="23" t="s">
        <v>173</v>
      </c>
      <c r="B110">
        <v>5741</v>
      </c>
      <c r="C110">
        <v>5153</v>
      </c>
      <c r="D110">
        <v>4925</v>
      </c>
      <c r="E110">
        <v>4682</v>
      </c>
      <c r="G110">
        <v>4014</v>
      </c>
      <c r="H110">
        <v>5770</v>
      </c>
      <c r="L110">
        <v>8244</v>
      </c>
    </row>
    <row r="111" spans="1:31" x14ac:dyDescent="0.25">
      <c r="A111" s="24" t="s">
        <v>175</v>
      </c>
      <c r="Z111">
        <v>2346</v>
      </c>
      <c r="AA111">
        <v>5884</v>
      </c>
      <c r="AB111">
        <v>6400</v>
      </c>
      <c r="AC111">
        <v>6918</v>
      </c>
      <c r="AD111">
        <v>6963</v>
      </c>
      <c r="AE111">
        <v>6572</v>
      </c>
    </row>
    <row r="112" spans="1:31" x14ac:dyDescent="0.25">
      <c r="A112" s="23" t="s">
        <v>176</v>
      </c>
    </row>
    <row r="113" spans="1:15" x14ac:dyDescent="0.25">
      <c r="A113" s="24" t="s">
        <v>177</v>
      </c>
    </row>
    <row r="114" spans="1:15" x14ac:dyDescent="0.25">
      <c r="A114" s="23" t="s">
        <v>178</v>
      </c>
    </row>
    <row r="115" spans="1:15" x14ac:dyDescent="0.25">
      <c r="A115" s="24" t="s">
        <v>179</v>
      </c>
    </row>
    <row r="116" spans="1:15" x14ac:dyDescent="0.25">
      <c r="A116" s="23" t="s">
        <v>182</v>
      </c>
    </row>
    <row r="117" spans="1:15" x14ac:dyDescent="0.25">
      <c r="A117" s="24" t="s">
        <v>183</v>
      </c>
      <c r="O117" t="s">
        <v>1021</v>
      </c>
    </row>
    <row r="118" spans="1:15" x14ac:dyDescent="0.25">
      <c r="A118" s="23" t="s">
        <v>185</v>
      </c>
    </row>
    <row r="119" spans="1:15" x14ac:dyDescent="0.25">
      <c r="A119" s="24" t="s">
        <v>187</v>
      </c>
    </row>
    <row r="120" spans="1:15" x14ac:dyDescent="0.25">
      <c r="A120" s="23" t="s">
        <v>189</v>
      </c>
      <c r="G120">
        <v>2082</v>
      </c>
    </row>
    <row r="121" spans="1:15" x14ac:dyDescent="0.25">
      <c r="A121" s="24" t="s">
        <v>191</v>
      </c>
      <c r="B121">
        <v>2600</v>
      </c>
      <c r="G121">
        <v>590</v>
      </c>
    </row>
    <row r="122" spans="1:15" x14ac:dyDescent="0.25">
      <c r="A122" s="23" t="s">
        <v>192</v>
      </c>
    </row>
    <row r="123" spans="1:15" x14ac:dyDescent="0.25">
      <c r="A123" s="24" t="s">
        <v>194</v>
      </c>
    </row>
    <row r="124" spans="1:15" x14ac:dyDescent="0.25">
      <c r="A124" s="23" t="s">
        <v>196</v>
      </c>
    </row>
    <row r="125" spans="1:15" x14ac:dyDescent="0.25">
      <c r="A125" s="24" t="s">
        <v>197</v>
      </c>
    </row>
    <row r="126" spans="1:15" x14ac:dyDescent="0.25">
      <c r="A126" s="23" t="s">
        <v>199</v>
      </c>
    </row>
    <row r="127" spans="1:15" x14ac:dyDescent="0.25">
      <c r="A127" s="24" t="s">
        <v>200</v>
      </c>
    </row>
    <row r="128" spans="1:15" x14ac:dyDescent="0.25">
      <c r="A128" s="23" t="s">
        <v>201</v>
      </c>
    </row>
    <row r="129" spans="1:1" x14ac:dyDescent="0.25">
      <c r="A129" s="24" t="s">
        <v>202</v>
      </c>
    </row>
    <row r="130" spans="1:1" x14ac:dyDescent="0.25">
      <c r="A130" s="23" t="s">
        <v>294</v>
      </c>
    </row>
    <row r="131" spans="1:1" x14ac:dyDescent="0.25">
      <c r="A131" s="24" t="s">
        <v>207</v>
      </c>
    </row>
    <row r="132" spans="1:1" x14ac:dyDescent="0.25">
      <c r="A132" s="23" t="s">
        <v>208</v>
      </c>
    </row>
    <row r="133" spans="1:1" x14ac:dyDescent="0.25">
      <c r="A133" s="24" t="s">
        <v>1589</v>
      </c>
    </row>
    <row r="134" spans="1:1" x14ac:dyDescent="0.25">
      <c r="A134" s="23" t="s">
        <v>209</v>
      </c>
    </row>
    <row r="135" spans="1:1" x14ac:dyDescent="0.25">
      <c r="A135" s="24" t="s">
        <v>211</v>
      </c>
    </row>
    <row r="136" spans="1:1" x14ac:dyDescent="0.25">
      <c r="A136" s="23" t="s">
        <v>212</v>
      </c>
    </row>
    <row r="137" spans="1:1" x14ac:dyDescent="0.25">
      <c r="A137" s="24" t="s">
        <v>214</v>
      </c>
    </row>
    <row r="138" spans="1:1" x14ac:dyDescent="0.25">
      <c r="A138" s="23" t="s">
        <v>216</v>
      </c>
    </row>
    <row r="139" spans="1:1" x14ac:dyDescent="0.25">
      <c r="A139" s="24" t="s">
        <v>218</v>
      </c>
    </row>
    <row r="140" spans="1:1" x14ac:dyDescent="0.25">
      <c r="A140" s="23" t="s">
        <v>220</v>
      </c>
    </row>
    <row r="141" spans="1:1" x14ac:dyDescent="0.25">
      <c r="A141" s="24" t="s">
        <v>222</v>
      </c>
    </row>
    <row r="142" spans="1:1" x14ac:dyDescent="0.25">
      <c r="A142" s="23" t="s">
        <v>224</v>
      </c>
    </row>
    <row r="143" spans="1:1" x14ac:dyDescent="0.25">
      <c r="A143" s="24" t="s">
        <v>225</v>
      </c>
    </row>
    <row r="144" spans="1:1" x14ac:dyDescent="0.25">
      <c r="A144" s="23" t="s">
        <v>227</v>
      </c>
    </row>
    <row r="145" spans="1:1" x14ac:dyDescent="0.25">
      <c r="A145" s="24" t="s">
        <v>229</v>
      </c>
    </row>
    <row r="146" spans="1:1" x14ac:dyDescent="0.25">
      <c r="A146" s="23" t="s">
        <v>231</v>
      </c>
    </row>
    <row r="147" spans="1:1" x14ac:dyDescent="0.25">
      <c r="A147" s="24" t="s">
        <v>232</v>
      </c>
    </row>
    <row r="148" spans="1:1" x14ac:dyDescent="0.25">
      <c r="A148" s="23" t="s">
        <v>234</v>
      </c>
    </row>
    <row r="149" spans="1:1" x14ac:dyDescent="0.25">
      <c r="A149" s="24" t="s">
        <v>236</v>
      </c>
    </row>
    <row r="150" spans="1:1" x14ac:dyDescent="0.25">
      <c r="A150" s="23" t="s">
        <v>1322</v>
      </c>
    </row>
    <row r="151" spans="1:1" x14ac:dyDescent="0.25">
      <c r="A151" s="24" t="s">
        <v>1323</v>
      </c>
    </row>
    <row r="152" spans="1:1" x14ac:dyDescent="0.25">
      <c r="A152" s="23" t="s">
        <v>1324</v>
      </c>
    </row>
    <row r="153" spans="1:1" x14ac:dyDescent="0.25">
      <c r="A153" s="24" t="s">
        <v>1325</v>
      </c>
    </row>
    <row r="154" spans="1:1" x14ac:dyDescent="0.25">
      <c r="A154" s="23" t="s">
        <v>1326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D16"/>
  <sheetViews>
    <sheetView workbookViewId="0">
      <selection activeCell="C23" sqref="C23"/>
    </sheetView>
  </sheetViews>
  <sheetFormatPr defaultColWidth="9.140625" defaultRowHeight="15" x14ac:dyDescent="0.25"/>
  <cols>
    <col min="1" max="1" width="18.140625" bestFit="1" customWidth="1"/>
    <col min="2" max="2" width="5.42578125" bestFit="1" customWidth="1"/>
    <col min="3" max="3" width="81.140625" bestFit="1" customWidth="1"/>
    <col min="4" max="4" width="30.42578125" bestFit="1" customWidth="1"/>
  </cols>
  <sheetData>
    <row r="1" spans="1:4" x14ac:dyDescent="0.25">
      <c r="A1" t="s">
        <v>0</v>
      </c>
      <c r="B1" t="s">
        <v>2382</v>
      </c>
      <c r="C1" t="s">
        <v>2081</v>
      </c>
      <c r="D1" t="s">
        <v>2118</v>
      </c>
    </row>
    <row r="2" spans="1:4" ht="30" x14ac:dyDescent="0.25">
      <c r="A2" t="s">
        <v>22</v>
      </c>
      <c r="B2" t="s">
        <v>2382</v>
      </c>
      <c r="C2" s="21" t="s">
        <v>2383</v>
      </c>
      <c r="D2">
        <v>7</v>
      </c>
    </row>
    <row r="3" spans="1:4" x14ac:dyDescent="0.25">
      <c r="A3" t="s">
        <v>32</v>
      </c>
      <c r="B3" t="s">
        <v>2382</v>
      </c>
      <c r="C3" t="s">
        <v>2381</v>
      </c>
      <c r="D3">
        <v>1</v>
      </c>
    </row>
    <row r="4" spans="1:4" x14ac:dyDescent="0.25">
      <c r="A4" t="s">
        <v>37</v>
      </c>
      <c r="B4" t="s">
        <v>2382</v>
      </c>
      <c r="C4" t="s">
        <v>2381</v>
      </c>
      <c r="D4">
        <v>1</v>
      </c>
    </row>
    <row r="5" spans="1:4" x14ac:dyDescent="0.25">
      <c r="A5" t="s">
        <v>60</v>
      </c>
      <c r="B5" t="s">
        <v>2382</v>
      </c>
      <c r="C5" t="s">
        <v>2381</v>
      </c>
      <c r="D5">
        <v>1</v>
      </c>
    </row>
    <row r="6" spans="1:4" x14ac:dyDescent="0.25">
      <c r="A6" t="s">
        <v>62</v>
      </c>
      <c r="B6" t="s">
        <v>2382</v>
      </c>
      <c r="C6" t="s">
        <v>2384</v>
      </c>
      <c r="D6">
        <v>2</v>
      </c>
    </row>
    <row r="7" spans="1:4" x14ac:dyDescent="0.25">
      <c r="A7" t="s">
        <v>66</v>
      </c>
      <c r="B7" t="s">
        <v>2382</v>
      </c>
      <c r="C7" t="s">
        <v>618</v>
      </c>
      <c r="D7">
        <v>1</v>
      </c>
    </row>
    <row r="8" spans="1:4" x14ac:dyDescent="0.25">
      <c r="A8" t="s">
        <v>74</v>
      </c>
      <c r="B8" t="s">
        <v>2382</v>
      </c>
      <c r="C8" t="s">
        <v>2385</v>
      </c>
      <c r="D8">
        <v>3</v>
      </c>
    </row>
    <row r="9" spans="1:4" x14ac:dyDescent="0.25">
      <c r="A9" t="s">
        <v>152</v>
      </c>
      <c r="B9" t="s">
        <v>2382</v>
      </c>
      <c r="C9" t="s">
        <v>2384</v>
      </c>
      <c r="D9">
        <v>2</v>
      </c>
    </row>
    <row r="10" spans="1:4" x14ac:dyDescent="0.25">
      <c r="A10" t="s">
        <v>158</v>
      </c>
      <c r="B10" t="s">
        <v>2382</v>
      </c>
      <c r="C10" t="s">
        <v>2648</v>
      </c>
      <c r="D10">
        <v>10</v>
      </c>
    </row>
    <row r="11" spans="1:4" x14ac:dyDescent="0.25">
      <c r="A11" t="s">
        <v>163</v>
      </c>
      <c r="B11" t="s">
        <v>2382</v>
      </c>
      <c r="C11" t="s">
        <v>729</v>
      </c>
      <c r="D11">
        <v>1</v>
      </c>
    </row>
    <row r="12" spans="1:4" x14ac:dyDescent="0.25">
      <c r="A12" t="s">
        <v>173</v>
      </c>
      <c r="B12" t="s">
        <v>2382</v>
      </c>
      <c r="C12" t="s">
        <v>2386</v>
      </c>
      <c r="D12">
        <v>7</v>
      </c>
    </row>
    <row r="13" spans="1:4" x14ac:dyDescent="0.25">
      <c r="A13" t="s">
        <v>175</v>
      </c>
      <c r="B13" t="s">
        <v>2382</v>
      </c>
      <c r="C13" t="s">
        <v>2387</v>
      </c>
      <c r="D13">
        <v>6</v>
      </c>
    </row>
    <row r="14" spans="1:4" x14ac:dyDescent="0.25">
      <c r="A14" t="s">
        <v>183</v>
      </c>
      <c r="B14" t="s">
        <v>2382</v>
      </c>
      <c r="C14" t="s">
        <v>647</v>
      </c>
      <c r="D14">
        <v>1</v>
      </c>
    </row>
    <row r="15" spans="1:4" x14ac:dyDescent="0.25">
      <c r="A15" t="s">
        <v>189</v>
      </c>
      <c r="B15" t="s">
        <v>2382</v>
      </c>
      <c r="C15" t="s">
        <v>644</v>
      </c>
      <c r="D15">
        <v>1</v>
      </c>
    </row>
    <row r="16" spans="1:4" x14ac:dyDescent="0.25">
      <c r="A16" t="s">
        <v>191</v>
      </c>
      <c r="B16" t="s">
        <v>2382</v>
      </c>
      <c r="C16" t="s">
        <v>2388</v>
      </c>
      <c r="D16">
        <v>2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54"/>
  <sheetViews>
    <sheetView topLeftCell="P1" workbookViewId="0">
      <selection activeCell="B1" sqref="B1:AC1"/>
    </sheetView>
  </sheetViews>
  <sheetFormatPr defaultColWidth="9.140625" defaultRowHeight="15" x14ac:dyDescent="0.25"/>
  <cols>
    <col min="1" max="1" width="14.42578125" customWidth="1"/>
    <col min="2" max="2" width="26" customWidth="1"/>
    <col min="3" max="3" width="16.7109375" customWidth="1"/>
    <col min="4" max="4" width="14.140625" customWidth="1"/>
    <col min="5" max="6" width="16.7109375" customWidth="1"/>
    <col min="7" max="8" width="14.140625" customWidth="1"/>
    <col min="9" max="11" width="16.7109375" customWidth="1"/>
    <col min="12" max="12" width="14.140625" customWidth="1"/>
    <col min="13" max="13" width="16.7109375" customWidth="1"/>
    <col min="14" max="14" width="14.140625" customWidth="1"/>
    <col min="15" max="16" width="16.7109375" customWidth="1"/>
    <col min="17" max="19" width="14.140625" customWidth="1"/>
    <col min="20" max="22" width="15.140625" customWidth="1"/>
    <col min="23" max="23" width="13.42578125" customWidth="1"/>
    <col min="24" max="28" width="15.140625" customWidth="1"/>
    <col min="29" max="29" width="18.85546875" customWidth="1"/>
  </cols>
  <sheetData>
    <row r="1" spans="1:29" x14ac:dyDescent="0.25">
      <c r="A1" s="22" t="s">
        <v>0</v>
      </c>
      <c r="B1" s="18" t="s">
        <v>2389</v>
      </c>
      <c r="C1" s="18" t="s">
        <v>1866</v>
      </c>
      <c r="D1" s="18" t="s">
        <v>776</v>
      </c>
      <c r="E1" s="18" t="s">
        <v>1870</v>
      </c>
      <c r="F1" s="18" t="s">
        <v>1871</v>
      </c>
      <c r="G1" s="18" t="s">
        <v>557</v>
      </c>
      <c r="H1" s="18" t="s">
        <v>563</v>
      </c>
      <c r="I1" s="18" t="s">
        <v>1875</v>
      </c>
      <c r="J1" s="18" t="s">
        <v>1876</v>
      </c>
      <c r="K1" s="18" t="s">
        <v>1880</v>
      </c>
      <c r="L1" s="18" t="s">
        <v>467</v>
      </c>
      <c r="M1" s="18" t="s">
        <v>1881</v>
      </c>
      <c r="N1" s="18" t="s">
        <v>865</v>
      </c>
      <c r="O1" s="18" t="s">
        <v>1883</v>
      </c>
      <c r="P1" s="18" t="s">
        <v>1884</v>
      </c>
      <c r="Q1" s="18" t="s">
        <v>472</v>
      </c>
      <c r="R1" s="18" t="s">
        <v>480</v>
      </c>
      <c r="S1" s="18" t="s">
        <v>777</v>
      </c>
      <c r="T1" s="18" t="s">
        <v>587</v>
      </c>
      <c r="U1" s="18" t="s">
        <v>594</v>
      </c>
      <c r="V1" s="18" t="s">
        <v>615</v>
      </c>
      <c r="W1" s="18" t="s">
        <v>2390</v>
      </c>
      <c r="X1" s="18" t="s">
        <v>1057</v>
      </c>
      <c r="Y1" s="18" t="s">
        <v>485</v>
      </c>
      <c r="Z1" s="18" t="s">
        <v>1048</v>
      </c>
      <c r="AA1" s="18" t="s">
        <v>1049</v>
      </c>
      <c r="AB1" s="18" t="s">
        <v>759</v>
      </c>
      <c r="AC1" s="18" t="s">
        <v>830</v>
      </c>
    </row>
    <row r="2" spans="1:29" x14ac:dyDescent="0.25">
      <c r="A2" s="23" t="s">
        <v>6</v>
      </c>
    </row>
    <row r="3" spans="1:29" x14ac:dyDescent="0.25">
      <c r="A3" s="24" t="s">
        <v>11</v>
      </c>
    </row>
    <row r="4" spans="1:29" x14ac:dyDescent="0.25">
      <c r="A4" s="23" t="s">
        <v>12</v>
      </c>
    </row>
    <row r="5" spans="1:29" x14ac:dyDescent="0.25">
      <c r="A5" s="24" t="s">
        <v>16</v>
      </c>
    </row>
    <row r="6" spans="1:29" x14ac:dyDescent="0.25">
      <c r="A6" s="23" t="s">
        <v>18</v>
      </c>
    </row>
    <row r="7" spans="1:29" x14ac:dyDescent="0.25">
      <c r="A7" s="24" t="s">
        <v>20</v>
      </c>
    </row>
    <row r="8" spans="1:29" x14ac:dyDescent="0.25">
      <c r="A8" s="23" t="s">
        <v>22</v>
      </c>
    </row>
    <row r="9" spans="1:29" x14ac:dyDescent="0.25">
      <c r="A9" s="24" t="s">
        <v>24</v>
      </c>
    </row>
    <row r="10" spans="1:29" x14ac:dyDescent="0.25">
      <c r="A10" s="23" t="s">
        <v>26</v>
      </c>
      <c r="B10">
        <v>78</v>
      </c>
      <c r="L10">
        <v>71.2</v>
      </c>
      <c r="Q10">
        <v>58.9</v>
      </c>
      <c r="R10">
        <v>51.3</v>
      </c>
      <c r="Y10">
        <v>61</v>
      </c>
    </row>
    <row r="11" spans="1:29" x14ac:dyDescent="0.25">
      <c r="A11" s="24" t="s">
        <v>28</v>
      </c>
    </row>
    <row r="12" spans="1:29" x14ac:dyDescent="0.25">
      <c r="A12" s="23" t="s">
        <v>30</v>
      </c>
    </row>
    <row r="13" spans="1:29" x14ac:dyDescent="0.25">
      <c r="A13" s="24" t="s">
        <v>32</v>
      </c>
    </row>
    <row r="14" spans="1:29" x14ac:dyDescent="0.25">
      <c r="A14" s="23" t="s">
        <v>34</v>
      </c>
    </row>
    <row r="15" spans="1:29" x14ac:dyDescent="0.25">
      <c r="A15" s="24" t="s">
        <v>36</v>
      </c>
    </row>
    <row r="16" spans="1:29" x14ac:dyDescent="0.25">
      <c r="A16" s="23" t="s">
        <v>37</v>
      </c>
    </row>
    <row r="17" spans="1:3" x14ac:dyDescent="0.25">
      <c r="A17" s="24" t="s">
        <v>40</v>
      </c>
    </row>
    <row r="18" spans="1:3" x14ac:dyDescent="0.25">
      <c r="A18" s="23" t="s">
        <v>42</v>
      </c>
    </row>
    <row r="19" spans="1:3" x14ac:dyDescent="0.25">
      <c r="A19" s="24" t="s">
        <v>43</v>
      </c>
    </row>
    <row r="20" spans="1:3" x14ac:dyDescent="0.25">
      <c r="A20" s="23" t="s">
        <v>44</v>
      </c>
    </row>
    <row r="21" spans="1:3" x14ac:dyDescent="0.25">
      <c r="A21" s="24" t="s">
        <v>46</v>
      </c>
      <c r="B21" t="s">
        <v>529</v>
      </c>
    </row>
    <row r="22" spans="1:3" x14ac:dyDescent="0.25">
      <c r="A22" s="23" t="s">
        <v>48</v>
      </c>
    </row>
    <row r="23" spans="1:3" x14ac:dyDescent="0.25">
      <c r="A23" s="24" t="s">
        <v>50</v>
      </c>
    </row>
    <row r="24" spans="1:3" x14ac:dyDescent="0.25">
      <c r="A24" s="23" t="s">
        <v>52</v>
      </c>
    </row>
    <row r="25" spans="1:3" x14ac:dyDescent="0.25">
      <c r="A25" s="24" t="s">
        <v>53</v>
      </c>
    </row>
    <row r="26" spans="1:3" x14ac:dyDescent="0.25">
      <c r="A26" s="23" t="s">
        <v>55</v>
      </c>
    </row>
    <row r="27" spans="1:3" x14ac:dyDescent="0.25">
      <c r="A27" s="24" t="s">
        <v>57</v>
      </c>
    </row>
    <row r="28" spans="1:3" x14ac:dyDescent="0.25">
      <c r="A28" s="23" t="s">
        <v>59</v>
      </c>
    </row>
    <row r="29" spans="1:3" x14ac:dyDescent="0.25">
      <c r="A29" s="24" t="s">
        <v>60</v>
      </c>
      <c r="B29" t="s">
        <v>543</v>
      </c>
    </row>
    <row r="30" spans="1:3" x14ac:dyDescent="0.25">
      <c r="A30" s="23" t="s">
        <v>62</v>
      </c>
      <c r="B30">
        <v>74</v>
      </c>
      <c r="C30">
        <v>90</v>
      </c>
    </row>
    <row r="31" spans="1:3" x14ac:dyDescent="0.25">
      <c r="A31" s="24" t="s">
        <v>64</v>
      </c>
    </row>
    <row r="32" spans="1:3" x14ac:dyDescent="0.25">
      <c r="A32" s="23" t="s">
        <v>65</v>
      </c>
    </row>
    <row r="33" spans="1:28" x14ac:dyDescent="0.25">
      <c r="A33" s="24" t="s">
        <v>66</v>
      </c>
      <c r="B33" t="s">
        <v>551</v>
      </c>
      <c r="G33" t="s">
        <v>558</v>
      </c>
      <c r="H33" t="s">
        <v>551</v>
      </c>
      <c r="L33" t="s">
        <v>575</v>
      </c>
      <c r="Q33">
        <v>132</v>
      </c>
      <c r="T33">
        <v>88</v>
      </c>
      <c r="U33" t="s">
        <v>595</v>
      </c>
      <c r="V33" t="s">
        <v>595</v>
      </c>
    </row>
    <row r="34" spans="1:28" x14ac:dyDescent="0.25">
      <c r="A34" s="23" t="s">
        <v>68</v>
      </c>
    </row>
    <row r="35" spans="1:28" x14ac:dyDescent="0.25">
      <c r="A35" s="24" t="s">
        <v>69</v>
      </c>
    </row>
    <row r="36" spans="1:28" x14ac:dyDescent="0.25">
      <c r="A36" s="23" t="s">
        <v>71</v>
      </c>
    </row>
    <row r="37" spans="1:28" x14ac:dyDescent="0.25">
      <c r="A37" s="24" t="s">
        <v>73</v>
      </c>
      <c r="B37">
        <v>132</v>
      </c>
      <c r="C37" t="s">
        <v>1867</v>
      </c>
    </row>
    <row r="38" spans="1:28" x14ac:dyDescent="0.25">
      <c r="A38" s="23" t="s">
        <v>74</v>
      </c>
      <c r="B38">
        <v>53</v>
      </c>
      <c r="G38">
        <v>61</v>
      </c>
    </row>
    <row r="39" spans="1:28" x14ac:dyDescent="0.25">
      <c r="A39" s="24" t="s">
        <v>76</v>
      </c>
      <c r="B39" t="s">
        <v>730</v>
      </c>
      <c r="L39" t="s">
        <v>731</v>
      </c>
    </row>
    <row r="40" spans="1:28" x14ac:dyDescent="0.25">
      <c r="A40" s="23" t="s">
        <v>78</v>
      </c>
      <c r="AB40" t="s">
        <v>760</v>
      </c>
    </row>
    <row r="41" spans="1:28" x14ac:dyDescent="0.25">
      <c r="A41" s="24" t="s">
        <v>80</v>
      </c>
      <c r="B41">
        <v>98</v>
      </c>
    </row>
    <row r="42" spans="1:28" x14ac:dyDescent="0.25">
      <c r="A42" s="23" t="s">
        <v>82</v>
      </c>
      <c r="B42">
        <v>52.3</v>
      </c>
    </row>
    <row r="43" spans="1:28" x14ac:dyDescent="0.25">
      <c r="A43" s="24" t="s">
        <v>84</v>
      </c>
    </row>
    <row r="44" spans="1:28" x14ac:dyDescent="0.25">
      <c r="A44" s="23" t="s">
        <v>85</v>
      </c>
    </row>
    <row r="45" spans="1:28" x14ac:dyDescent="0.25">
      <c r="A45" s="24" t="s">
        <v>87</v>
      </c>
      <c r="B45">
        <v>109</v>
      </c>
      <c r="D45">
        <v>92</v>
      </c>
      <c r="S45">
        <v>86</v>
      </c>
    </row>
    <row r="46" spans="1:28" x14ac:dyDescent="0.25">
      <c r="A46" s="23" t="s">
        <v>89</v>
      </c>
    </row>
    <row r="47" spans="1:28" x14ac:dyDescent="0.25">
      <c r="A47" s="24" t="s">
        <v>91</v>
      </c>
    </row>
    <row r="48" spans="1:28" x14ac:dyDescent="0.25">
      <c r="A48" s="23" t="s">
        <v>92</v>
      </c>
    </row>
    <row r="49" spans="1:29" x14ac:dyDescent="0.25">
      <c r="A49" s="24" t="s">
        <v>93</v>
      </c>
      <c r="B49">
        <v>88</v>
      </c>
      <c r="D49">
        <v>88</v>
      </c>
      <c r="R49" t="s">
        <v>731</v>
      </c>
      <c r="W49" t="s">
        <v>731</v>
      </c>
    </row>
    <row r="50" spans="1:29" x14ac:dyDescent="0.25">
      <c r="A50" s="23" t="s">
        <v>95</v>
      </c>
      <c r="B50">
        <v>88</v>
      </c>
      <c r="AC50">
        <v>88</v>
      </c>
    </row>
    <row r="51" spans="1:29" x14ac:dyDescent="0.25">
      <c r="A51" s="24" t="s">
        <v>97</v>
      </c>
    </row>
    <row r="52" spans="1:29" x14ac:dyDescent="0.25">
      <c r="A52" s="23" t="s">
        <v>99</v>
      </c>
      <c r="B52" t="s">
        <v>1868</v>
      </c>
      <c r="C52">
        <v>440</v>
      </c>
    </row>
    <row r="53" spans="1:29" x14ac:dyDescent="0.25">
      <c r="A53" s="24" t="s">
        <v>100</v>
      </c>
      <c r="B53" t="s">
        <v>1868</v>
      </c>
      <c r="C53">
        <v>440</v>
      </c>
    </row>
    <row r="54" spans="1:29" x14ac:dyDescent="0.25">
      <c r="A54" s="23" t="s">
        <v>101</v>
      </c>
      <c r="B54" t="s">
        <v>1868</v>
      </c>
      <c r="C54">
        <v>440</v>
      </c>
    </row>
    <row r="55" spans="1:29" x14ac:dyDescent="0.25">
      <c r="A55" s="24" t="s">
        <v>102</v>
      </c>
      <c r="B55" t="s">
        <v>837</v>
      </c>
    </row>
    <row r="56" spans="1:29" x14ac:dyDescent="0.25">
      <c r="A56" s="23" t="s">
        <v>103</v>
      </c>
      <c r="B56">
        <v>62</v>
      </c>
      <c r="H56">
        <v>175</v>
      </c>
    </row>
    <row r="57" spans="1:29" x14ac:dyDescent="0.25">
      <c r="A57" s="24" t="s">
        <v>105</v>
      </c>
      <c r="B57" t="s">
        <v>837</v>
      </c>
    </row>
    <row r="58" spans="1:29" x14ac:dyDescent="0.25">
      <c r="A58" s="23" t="s">
        <v>106</v>
      </c>
      <c r="B58" t="s">
        <v>837</v>
      </c>
    </row>
    <row r="59" spans="1:29" x14ac:dyDescent="0.25">
      <c r="A59" s="24" t="s">
        <v>107</v>
      </c>
      <c r="B59" t="s">
        <v>837</v>
      </c>
    </row>
    <row r="60" spans="1:29" x14ac:dyDescent="0.25">
      <c r="A60" s="23" t="s">
        <v>108</v>
      </c>
      <c r="B60" t="s">
        <v>837</v>
      </c>
    </row>
    <row r="61" spans="1:29" x14ac:dyDescent="0.25">
      <c r="A61" s="24" t="s">
        <v>109</v>
      </c>
      <c r="B61" t="s">
        <v>837</v>
      </c>
    </row>
    <row r="62" spans="1:29" x14ac:dyDescent="0.25">
      <c r="A62" s="23" t="s">
        <v>110</v>
      </c>
      <c r="B62" t="s">
        <v>837</v>
      </c>
    </row>
    <row r="63" spans="1:29" x14ac:dyDescent="0.25">
      <c r="A63" s="24" t="s">
        <v>111</v>
      </c>
      <c r="B63" t="s">
        <v>837</v>
      </c>
    </row>
    <row r="64" spans="1:29" x14ac:dyDescent="0.25">
      <c r="A64" s="23" t="s">
        <v>112</v>
      </c>
      <c r="B64" t="s">
        <v>837</v>
      </c>
    </row>
    <row r="65" spans="1:22" x14ac:dyDescent="0.25">
      <c r="A65" s="24" t="s">
        <v>113</v>
      </c>
    </row>
    <row r="66" spans="1:22" x14ac:dyDescent="0.25">
      <c r="A66" s="23" t="s">
        <v>115</v>
      </c>
      <c r="B66" t="s">
        <v>844</v>
      </c>
    </row>
    <row r="67" spans="1:22" x14ac:dyDescent="0.25">
      <c r="A67" s="24" t="s">
        <v>116</v>
      </c>
      <c r="B67" t="s">
        <v>844</v>
      </c>
    </row>
    <row r="68" spans="1:22" x14ac:dyDescent="0.25">
      <c r="A68" s="23" t="s">
        <v>117</v>
      </c>
    </row>
    <row r="69" spans="1:22" x14ac:dyDescent="0.25">
      <c r="A69" s="24" t="s">
        <v>119</v>
      </c>
      <c r="B69" t="s">
        <v>529</v>
      </c>
      <c r="G69" t="s">
        <v>1716</v>
      </c>
      <c r="Q69" t="s">
        <v>1717</v>
      </c>
    </row>
    <row r="70" spans="1:22" x14ac:dyDescent="0.25">
      <c r="A70" s="23" t="s">
        <v>120</v>
      </c>
    </row>
    <row r="71" spans="1:22" x14ac:dyDescent="0.25">
      <c r="A71" s="24" t="s">
        <v>122</v>
      </c>
    </row>
    <row r="72" spans="1:22" x14ac:dyDescent="0.25">
      <c r="A72" s="23" t="s">
        <v>123</v>
      </c>
    </row>
    <row r="73" spans="1:22" x14ac:dyDescent="0.25">
      <c r="A73" s="24" t="s">
        <v>125</v>
      </c>
      <c r="B73" t="s">
        <v>1719</v>
      </c>
      <c r="D73" t="s">
        <v>1720</v>
      </c>
      <c r="H73" t="s">
        <v>1721</v>
      </c>
      <c r="L73" t="s">
        <v>1722</v>
      </c>
      <c r="N73" t="s">
        <v>1723</v>
      </c>
      <c r="R73" t="s">
        <v>1724</v>
      </c>
      <c r="S73" t="s">
        <v>1725</v>
      </c>
      <c r="T73" t="s">
        <v>1725</v>
      </c>
      <c r="U73" t="s">
        <v>1724</v>
      </c>
      <c r="V73" t="s">
        <v>1726</v>
      </c>
    </row>
    <row r="74" spans="1:22" x14ac:dyDescent="0.25">
      <c r="A74" s="23" t="s">
        <v>126</v>
      </c>
    </row>
    <row r="75" spans="1:22" x14ac:dyDescent="0.25">
      <c r="A75" s="24" t="s">
        <v>127</v>
      </c>
    </row>
    <row r="76" spans="1:22" x14ac:dyDescent="0.25">
      <c r="A76" s="23" t="s">
        <v>128</v>
      </c>
    </row>
    <row r="77" spans="1:22" x14ac:dyDescent="0.25">
      <c r="A77" s="24" t="s">
        <v>131</v>
      </c>
    </row>
    <row r="78" spans="1:22" x14ac:dyDescent="0.25">
      <c r="A78" s="23" t="s">
        <v>133</v>
      </c>
    </row>
    <row r="79" spans="1:22" x14ac:dyDescent="0.25">
      <c r="A79" s="24" t="s">
        <v>134</v>
      </c>
    </row>
    <row r="80" spans="1:22" x14ac:dyDescent="0.25">
      <c r="A80" s="23" t="s">
        <v>136</v>
      </c>
    </row>
    <row r="81" spans="1:12" x14ac:dyDescent="0.25">
      <c r="A81" s="24" t="s">
        <v>138</v>
      </c>
      <c r="B81">
        <v>78</v>
      </c>
    </row>
    <row r="82" spans="1:12" x14ac:dyDescent="0.25">
      <c r="A82" s="23" t="s">
        <v>140</v>
      </c>
      <c r="B82">
        <v>52</v>
      </c>
    </row>
    <row r="83" spans="1:12" x14ac:dyDescent="0.25">
      <c r="A83" s="24" t="s">
        <v>142</v>
      </c>
    </row>
    <row r="84" spans="1:12" x14ac:dyDescent="0.25">
      <c r="A84" s="23" t="s">
        <v>143</v>
      </c>
    </row>
    <row r="85" spans="1:12" x14ac:dyDescent="0.25">
      <c r="A85" s="24" t="s">
        <v>144</v>
      </c>
    </row>
    <row r="86" spans="1:12" x14ac:dyDescent="0.25">
      <c r="A86" s="23" t="s">
        <v>145</v>
      </c>
    </row>
    <row r="87" spans="1:12" x14ac:dyDescent="0.25">
      <c r="A87" s="24" t="s">
        <v>146</v>
      </c>
    </row>
    <row r="88" spans="1:12" x14ac:dyDescent="0.25">
      <c r="A88" s="23" t="s">
        <v>147</v>
      </c>
    </row>
    <row r="89" spans="1:12" x14ac:dyDescent="0.25">
      <c r="A89" s="24" t="s">
        <v>148</v>
      </c>
    </row>
    <row r="90" spans="1:12" x14ac:dyDescent="0.25">
      <c r="A90" s="23" t="s">
        <v>149</v>
      </c>
      <c r="B90">
        <v>47</v>
      </c>
    </row>
    <row r="91" spans="1:12" x14ac:dyDescent="0.25">
      <c r="A91" s="24" t="s">
        <v>150</v>
      </c>
    </row>
    <row r="92" spans="1:12" x14ac:dyDescent="0.25">
      <c r="A92" s="23" t="s">
        <v>151</v>
      </c>
    </row>
    <row r="93" spans="1:12" x14ac:dyDescent="0.25">
      <c r="A93" s="24"/>
    </row>
    <row r="94" spans="1:12" x14ac:dyDescent="0.25">
      <c r="A94" s="23" t="s">
        <v>321</v>
      </c>
    </row>
    <row r="95" spans="1:12" x14ac:dyDescent="0.25">
      <c r="A95" s="24" t="s">
        <v>152</v>
      </c>
      <c r="B95">
        <v>66</v>
      </c>
    </row>
    <row r="96" spans="1:12" x14ac:dyDescent="0.25">
      <c r="A96" s="23" t="s">
        <v>153</v>
      </c>
      <c r="B96" t="s">
        <v>1727</v>
      </c>
      <c r="D96" t="s">
        <v>1873</v>
      </c>
      <c r="E96" t="s">
        <v>1872</v>
      </c>
      <c r="G96" t="s">
        <v>1721</v>
      </c>
      <c r="H96" t="s">
        <v>1879</v>
      </c>
      <c r="I96" t="s">
        <v>1877</v>
      </c>
      <c r="J96" t="s">
        <v>1734</v>
      </c>
      <c r="K96" t="s">
        <v>1878</v>
      </c>
      <c r="L96" t="s">
        <v>1728</v>
      </c>
    </row>
    <row r="97" spans="1:22" x14ac:dyDescent="0.25">
      <c r="A97" s="24" t="s">
        <v>155</v>
      </c>
    </row>
    <row r="98" spans="1:22" x14ac:dyDescent="0.25">
      <c r="A98" s="23" t="s">
        <v>157</v>
      </c>
      <c r="B98" t="s">
        <v>1729</v>
      </c>
      <c r="H98" t="s">
        <v>1730</v>
      </c>
      <c r="R98" t="s">
        <v>1729</v>
      </c>
      <c r="V98">
        <v>0.7</v>
      </c>
    </row>
    <row r="99" spans="1:22" x14ac:dyDescent="0.25">
      <c r="A99" s="24" t="s">
        <v>158</v>
      </c>
      <c r="B99" t="s">
        <v>1731</v>
      </c>
      <c r="D99" t="s">
        <v>1874</v>
      </c>
      <c r="E99">
        <v>88</v>
      </c>
      <c r="F99" t="s">
        <v>1718</v>
      </c>
      <c r="G99" t="s">
        <v>1718</v>
      </c>
      <c r="H99" t="s">
        <v>1732</v>
      </c>
      <c r="L99" t="s">
        <v>1868</v>
      </c>
      <c r="M99" t="s">
        <v>1882</v>
      </c>
      <c r="N99" t="s">
        <v>1882</v>
      </c>
      <c r="O99" t="s">
        <v>1885</v>
      </c>
      <c r="P99" t="s">
        <v>1886</v>
      </c>
      <c r="Q99">
        <v>154</v>
      </c>
    </row>
    <row r="100" spans="1:22" x14ac:dyDescent="0.25">
      <c r="A100" s="23" t="s">
        <v>160</v>
      </c>
    </row>
    <row r="101" spans="1:22" x14ac:dyDescent="0.25">
      <c r="A101" s="24" t="s">
        <v>162</v>
      </c>
    </row>
    <row r="102" spans="1:22" x14ac:dyDescent="0.25">
      <c r="A102" s="23" t="s">
        <v>163</v>
      </c>
      <c r="B102" t="s">
        <v>543</v>
      </c>
      <c r="D102" t="s">
        <v>1733</v>
      </c>
      <c r="G102" t="s">
        <v>1734</v>
      </c>
      <c r="H102" t="s">
        <v>1733</v>
      </c>
    </row>
    <row r="103" spans="1:22" x14ac:dyDescent="0.25">
      <c r="A103" s="24" t="s">
        <v>164</v>
      </c>
    </row>
    <row r="104" spans="1:22" x14ac:dyDescent="0.25">
      <c r="A104" s="23" t="s">
        <v>165</v>
      </c>
    </row>
    <row r="105" spans="1:22" x14ac:dyDescent="0.25">
      <c r="A105" s="24" t="s">
        <v>166</v>
      </c>
      <c r="B105" t="s">
        <v>1735</v>
      </c>
      <c r="D105" t="s">
        <v>1736</v>
      </c>
      <c r="G105" t="s">
        <v>529</v>
      </c>
    </row>
    <row r="106" spans="1:22" x14ac:dyDescent="0.25">
      <c r="A106" s="23" t="s">
        <v>167</v>
      </c>
      <c r="B106" t="s">
        <v>1737</v>
      </c>
    </row>
    <row r="107" spans="1:22" x14ac:dyDescent="0.25">
      <c r="A107" s="24" t="s">
        <v>169</v>
      </c>
    </row>
    <row r="108" spans="1:22" x14ac:dyDescent="0.25">
      <c r="A108" s="23" t="s">
        <v>170</v>
      </c>
    </row>
    <row r="109" spans="1:22" x14ac:dyDescent="0.25">
      <c r="A109" s="24" t="s">
        <v>172</v>
      </c>
    </row>
    <row r="110" spans="1:22" x14ac:dyDescent="0.25">
      <c r="A110" s="23" t="s">
        <v>173</v>
      </c>
      <c r="B110" t="s">
        <v>1869</v>
      </c>
      <c r="C110" t="s">
        <v>1736</v>
      </c>
      <c r="D110" t="s">
        <v>543</v>
      </c>
      <c r="E110" t="s">
        <v>1729</v>
      </c>
      <c r="G110" t="s">
        <v>1729</v>
      </c>
      <c r="H110" t="s">
        <v>543</v>
      </c>
      <c r="N110" t="s">
        <v>543</v>
      </c>
    </row>
    <row r="111" spans="1:22" x14ac:dyDescent="0.25">
      <c r="A111" s="24" t="s">
        <v>175</v>
      </c>
    </row>
    <row r="112" spans="1:22" x14ac:dyDescent="0.25">
      <c r="A112" s="23" t="s">
        <v>176</v>
      </c>
    </row>
    <row r="113" spans="1:27" x14ac:dyDescent="0.25">
      <c r="A113" s="24" t="s">
        <v>177</v>
      </c>
      <c r="B113" t="s">
        <v>551</v>
      </c>
    </row>
    <row r="114" spans="1:27" x14ac:dyDescent="0.25">
      <c r="A114" s="23" t="s">
        <v>178</v>
      </c>
    </row>
    <row r="115" spans="1:27" x14ac:dyDescent="0.25">
      <c r="A115" s="24" t="s">
        <v>179</v>
      </c>
    </row>
    <row r="116" spans="1:27" x14ac:dyDescent="0.25">
      <c r="A116" s="23" t="s">
        <v>182</v>
      </c>
    </row>
    <row r="117" spans="1:27" x14ac:dyDescent="0.25">
      <c r="A117" s="24" t="s">
        <v>183</v>
      </c>
    </row>
    <row r="118" spans="1:27" x14ac:dyDescent="0.25">
      <c r="A118" s="23" t="s">
        <v>185</v>
      </c>
    </row>
    <row r="119" spans="1:27" x14ac:dyDescent="0.25">
      <c r="A119" s="24" t="s">
        <v>187</v>
      </c>
    </row>
    <row r="120" spans="1:27" x14ac:dyDescent="0.25">
      <c r="A120" s="23" t="s">
        <v>189</v>
      </c>
    </row>
    <row r="121" spans="1:27" x14ac:dyDescent="0.25">
      <c r="A121" s="24" t="s">
        <v>191</v>
      </c>
      <c r="B121" t="s">
        <v>1729</v>
      </c>
      <c r="G121">
        <v>44</v>
      </c>
    </row>
    <row r="122" spans="1:27" x14ac:dyDescent="0.25">
      <c r="A122" s="23" t="s">
        <v>192</v>
      </c>
    </row>
    <row r="123" spans="1:27" x14ac:dyDescent="0.25">
      <c r="A123" s="24" t="s">
        <v>194</v>
      </c>
    </row>
    <row r="124" spans="1:27" x14ac:dyDescent="0.25">
      <c r="A124" s="23" t="s">
        <v>196</v>
      </c>
    </row>
    <row r="125" spans="1:27" x14ac:dyDescent="0.25">
      <c r="A125" s="24" t="s">
        <v>197</v>
      </c>
      <c r="Y125" t="s">
        <v>1050</v>
      </c>
      <c r="Z125">
        <v>185</v>
      </c>
      <c r="AA125">
        <v>120</v>
      </c>
    </row>
    <row r="126" spans="1:27" x14ac:dyDescent="0.25">
      <c r="A126" s="23" t="s">
        <v>199</v>
      </c>
    </row>
    <row r="127" spans="1:27" x14ac:dyDescent="0.25">
      <c r="A127" s="24" t="s">
        <v>200</v>
      </c>
    </row>
    <row r="128" spans="1:27" x14ac:dyDescent="0.25">
      <c r="A128" s="23" t="s">
        <v>201</v>
      </c>
    </row>
    <row r="129" spans="1:24" x14ac:dyDescent="0.25">
      <c r="A129" s="24" t="s">
        <v>202</v>
      </c>
      <c r="B129" t="s">
        <v>1738</v>
      </c>
      <c r="N129" t="s">
        <v>1718</v>
      </c>
      <c r="V129" t="s">
        <v>1718</v>
      </c>
      <c r="X129" t="s">
        <v>1739</v>
      </c>
    </row>
    <row r="130" spans="1:24" x14ac:dyDescent="0.25">
      <c r="A130" s="23" t="s">
        <v>294</v>
      </c>
    </row>
    <row r="131" spans="1:24" x14ac:dyDescent="0.25">
      <c r="A131" s="24" t="s">
        <v>207</v>
      </c>
      <c r="B131" t="s">
        <v>544</v>
      </c>
    </row>
    <row r="132" spans="1:24" x14ac:dyDescent="0.25">
      <c r="A132" s="23" t="s">
        <v>208</v>
      </c>
    </row>
    <row r="133" spans="1:24" x14ac:dyDescent="0.25">
      <c r="A133" s="24" t="s">
        <v>1589</v>
      </c>
    </row>
    <row r="134" spans="1:24" x14ac:dyDescent="0.25">
      <c r="A134" s="23" t="s">
        <v>209</v>
      </c>
    </row>
    <row r="135" spans="1:24" x14ac:dyDescent="0.25">
      <c r="A135" s="24" t="s">
        <v>211</v>
      </c>
    </row>
    <row r="136" spans="1:24" x14ac:dyDescent="0.25">
      <c r="A136" s="23" t="s">
        <v>212</v>
      </c>
    </row>
    <row r="137" spans="1:24" x14ac:dyDescent="0.25">
      <c r="A137" s="24" t="s">
        <v>214</v>
      </c>
    </row>
    <row r="138" spans="1:24" x14ac:dyDescent="0.25">
      <c r="A138" s="23" t="s">
        <v>216</v>
      </c>
    </row>
    <row r="139" spans="1:24" x14ac:dyDescent="0.25">
      <c r="A139" s="24" t="s">
        <v>218</v>
      </c>
    </row>
    <row r="140" spans="1:24" x14ac:dyDescent="0.25">
      <c r="A140" s="23" t="s">
        <v>220</v>
      </c>
    </row>
    <row r="141" spans="1:24" x14ac:dyDescent="0.25">
      <c r="A141" s="24" t="s">
        <v>222</v>
      </c>
    </row>
    <row r="142" spans="1:24" x14ac:dyDescent="0.25">
      <c r="A142" s="23" t="s">
        <v>224</v>
      </c>
      <c r="B142" t="s">
        <v>1740</v>
      </c>
    </row>
    <row r="143" spans="1:24" x14ac:dyDescent="0.25">
      <c r="A143" s="24" t="s">
        <v>225</v>
      </c>
    </row>
    <row r="144" spans="1:24" x14ac:dyDescent="0.25">
      <c r="A144" s="23" t="s">
        <v>227</v>
      </c>
    </row>
    <row r="145" spans="1:1" x14ac:dyDescent="0.25">
      <c r="A145" s="24" t="s">
        <v>229</v>
      </c>
    </row>
    <row r="146" spans="1:1" x14ac:dyDescent="0.25">
      <c r="A146" s="23" t="s">
        <v>231</v>
      </c>
    </row>
    <row r="147" spans="1:1" x14ac:dyDescent="0.25">
      <c r="A147" s="24" t="s">
        <v>232</v>
      </c>
    </row>
    <row r="148" spans="1:1" x14ac:dyDescent="0.25">
      <c r="A148" s="23" t="s">
        <v>234</v>
      </c>
    </row>
    <row r="149" spans="1:1" x14ac:dyDescent="0.25">
      <c r="A149" s="24" t="s">
        <v>236</v>
      </c>
    </row>
    <row r="150" spans="1:1" x14ac:dyDescent="0.25">
      <c r="A150" s="23" t="s">
        <v>1322</v>
      </c>
    </row>
    <row r="151" spans="1:1" x14ac:dyDescent="0.25">
      <c r="A151" s="24" t="s">
        <v>1323</v>
      </c>
    </row>
    <row r="152" spans="1:1" x14ac:dyDescent="0.25">
      <c r="A152" s="23" t="s">
        <v>1324</v>
      </c>
    </row>
    <row r="153" spans="1:1" x14ac:dyDescent="0.25">
      <c r="A153" s="24" t="s">
        <v>1325</v>
      </c>
    </row>
    <row r="154" spans="1:1" x14ac:dyDescent="0.25">
      <c r="A154" s="23" t="s">
        <v>1326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D49"/>
  <sheetViews>
    <sheetView workbookViewId="0">
      <selection activeCell="I12" sqref="I12"/>
    </sheetView>
  </sheetViews>
  <sheetFormatPr defaultColWidth="9.140625" defaultRowHeight="15" x14ac:dyDescent="0.25"/>
  <cols>
    <col min="1" max="1" width="18.140625" bestFit="1" customWidth="1"/>
    <col min="2" max="2" width="14.5703125" bestFit="1" customWidth="1"/>
    <col min="3" max="3" width="81.140625" bestFit="1" customWidth="1"/>
    <col min="4" max="4" width="35.85546875" bestFit="1" customWidth="1"/>
  </cols>
  <sheetData>
    <row r="1" spans="1:4" ht="15.75" x14ac:dyDescent="0.25">
      <c r="A1" s="29" t="s">
        <v>0</v>
      </c>
      <c r="B1" s="29" t="s">
        <v>2391</v>
      </c>
      <c r="C1" s="29" t="s">
        <v>2081</v>
      </c>
      <c r="D1" s="29" t="s">
        <v>2118</v>
      </c>
    </row>
    <row r="2" spans="1:4" x14ac:dyDescent="0.25">
      <c r="A2" t="s">
        <v>158</v>
      </c>
      <c r="B2" s="33" t="s">
        <v>2391</v>
      </c>
      <c r="C2" s="21" t="s">
        <v>2405</v>
      </c>
      <c r="D2">
        <v>12</v>
      </c>
    </row>
    <row r="3" spans="1:4" x14ac:dyDescent="0.25">
      <c r="A3" t="s">
        <v>125</v>
      </c>
      <c r="B3" s="33" t="s">
        <v>2391</v>
      </c>
      <c r="C3" s="21" t="s">
        <v>2402</v>
      </c>
      <c r="D3">
        <v>10</v>
      </c>
    </row>
    <row r="4" spans="1:4" x14ac:dyDescent="0.25">
      <c r="A4" t="s">
        <v>153</v>
      </c>
      <c r="B4" s="33" t="s">
        <v>2391</v>
      </c>
      <c r="C4" s="21" t="s">
        <v>2403</v>
      </c>
      <c r="D4">
        <v>9</v>
      </c>
    </row>
    <row r="5" spans="1:4" x14ac:dyDescent="0.25">
      <c r="A5" t="s">
        <v>66</v>
      </c>
      <c r="B5" s="33" t="s">
        <v>2391</v>
      </c>
      <c r="C5" s="21" t="s">
        <v>2394</v>
      </c>
      <c r="D5">
        <v>8</v>
      </c>
    </row>
    <row r="6" spans="1:4" ht="30" x14ac:dyDescent="0.25">
      <c r="A6" t="s">
        <v>173</v>
      </c>
      <c r="B6" s="33" t="s">
        <v>2391</v>
      </c>
      <c r="C6" s="21" t="s">
        <v>2408</v>
      </c>
      <c r="D6">
        <v>7</v>
      </c>
    </row>
    <row r="7" spans="1:4" x14ac:dyDescent="0.25">
      <c r="A7" t="s">
        <v>26</v>
      </c>
      <c r="B7" s="32" t="s">
        <v>2391</v>
      </c>
      <c r="C7" t="s">
        <v>2392</v>
      </c>
      <c r="D7">
        <v>5</v>
      </c>
    </row>
    <row r="8" spans="1:4" x14ac:dyDescent="0.25">
      <c r="A8" t="s">
        <v>93</v>
      </c>
      <c r="B8" s="32" t="s">
        <v>2391</v>
      </c>
      <c r="C8" t="s">
        <v>2398</v>
      </c>
      <c r="D8">
        <v>4</v>
      </c>
    </row>
    <row r="9" spans="1:4" x14ac:dyDescent="0.25">
      <c r="A9" t="s">
        <v>157</v>
      </c>
      <c r="B9" s="32" t="s">
        <v>2391</v>
      </c>
      <c r="C9" t="s">
        <v>2404</v>
      </c>
      <c r="D9">
        <v>4</v>
      </c>
    </row>
    <row r="10" spans="1:4" x14ac:dyDescent="0.25">
      <c r="A10" t="s">
        <v>163</v>
      </c>
      <c r="B10" s="32" t="s">
        <v>2391</v>
      </c>
      <c r="C10" t="s">
        <v>2406</v>
      </c>
      <c r="D10">
        <v>4</v>
      </c>
    </row>
    <row r="11" spans="1:4" x14ac:dyDescent="0.25">
      <c r="A11" t="s">
        <v>202</v>
      </c>
      <c r="B11" s="32" t="s">
        <v>2391</v>
      </c>
      <c r="C11" t="s">
        <v>2410</v>
      </c>
      <c r="D11">
        <v>4</v>
      </c>
    </row>
    <row r="12" spans="1:4" x14ac:dyDescent="0.25">
      <c r="A12" t="s">
        <v>87</v>
      </c>
      <c r="B12" s="32" t="s">
        <v>2391</v>
      </c>
      <c r="C12" t="s">
        <v>2397</v>
      </c>
      <c r="D12">
        <v>3</v>
      </c>
    </row>
    <row r="13" spans="1:4" x14ac:dyDescent="0.25">
      <c r="A13" t="s">
        <v>119</v>
      </c>
      <c r="B13" s="32" t="s">
        <v>2391</v>
      </c>
      <c r="C13" t="s">
        <v>2401</v>
      </c>
      <c r="D13">
        <v>3</v>
      </c>
    </row>
    <row r="14" spans="1:4" x14ac:dyDescent="0.25">
      <c r="A14" t="s">
        <v>166</v>
      </c>
      <c r="B14" s="32" t="s">
        <v>2391</v>
      </c>
      <c r="C14" t="s">
        <v>2407</v>
      </c>
      <c r="D14">
        <v>3</v>
      </c>
    </row>
    <row r="15" spans="1:4" x14ac:dyDescent="0.25">
      <c r="A15" t="s">
        <v>197</v>
      </c>
      <c r="B15" s="32" t="s">
        <v>2391</v>
      </c>
      <c r="C15" t="s">
        <v>2409</v>
      </c>
      <c r="D15">
        <v>3</v>
      </c>
    </row>
    <row r="16" spans="1:4" x14ac:dyDescent="0.25">
      <c r="A16" t="s">
        <v>62</v>
      </c>
      <c r="B16" s="32" t="s">
        <v>2391</v>
      </c>
      <c r="C16" t="s">
        <v>2393</v>
      </c>
      <c r="D16">
        <v>2</v>
      </c>
    </row>
    <row r="17" spans="1:4" x14ac:dyDescent="0.25">
      <c r="A17" t="s">
        <v>73</v>
      </c>
      <c r="B17" s="32" t="s">
        <v>2391</v>
      </c>
      <c r="C17" t="s">
        <v>2393</v>
      </c>
      <c r="D17">
        <v>2</v>
      </c>
    </row>
    <row r="18" spans="1:4" x14ac:dyDescent="0.25">
      <c r="A18" t="s">
        <v>74</v>
      </c>
      <c r="B18" s="32" t="s">
        <v>2391</v>
      </c>
      <c r="C18" t="s">
        <v>2395</v>
      </c>
      <c r="D18">
        <v>2</v>
      </c>
    </row>
    <row r="19" spans="1:4" x14ac:dyDescent="0.25">
      <c r="A19" t="s">
        <v>76</v>
      </c>
      <c r="B19" s="32" t="s">
        <v>2391</v>
      </c>
      <c r="C19" t="s">
        <v>2396</v>
      </c>
      <c r="D19">
        <v>2</v>
      </c>
    </row>
    <row r="20" spans="1:4" x14ac:dyDescent="0.25">
      <c r="A20" t="s">
        <v>95</v>
      </c>
      <c r="B20" s="32" t="s">
        <v>2391</v>
      </c>
      <c r="C20" t="s">
        <v>2399</v>
      </c>
      <c r="D20">
        <v>2</v>
      </c>
    </row>
    <row r="21" spans="1:4" x14ac:dyDescent="0.25">
      <c r="A21" t="s">
        <v>99</v>
      </c>
      <c r="B21" s="32" t="s">
        <v>2391</v>
      </c>
      <c r="C21" t="s">
        <v>2393</v>
      </c>
      <c r="D21">
        <v>2</v>
      </c>
    </row>
    <row r="22" spans="1:4" x14ac:dyDescent="0.25">
      <c r="A22" t="s">
        <v>100</v>
      </c>
      <c r="B22" s="32" t="s">
        <v>2391</v>
      </c>
      <c r="C22" t="s">
        <v>2393</v>
      </c>
      <c r="D22">
        <v>2</v>
      </c>
    </row>
    <row r="23" spans="1:4" x14ac:dyDescent="0.25">
      <c r="A23" t="s">
        <v>101</v>
      </c>
      <c r="B23" s="32" t="s">
        <v>2391</v>
      </c>
      <c r="C23" t="s">
        <v>2393</v>
      </c>
      <c r="D23">
        <v>2</v>
      </c>
    </row>
    <row r="24" spans="1:4" x14ac:dyDescent="0.25">
      <c r="A24" t="s">
        <v>103</v>
      </c>
      <c r="B24" s="32" t="s">
        <v>2391</v>
      </c>
      <c r="C24" t="s">
        <v>2400</v>
      </c>
      <c r="D24">
        <v>2</v>
      </c>
    </row>
    <row r="25" spans="1:4" x14ac:dyDescent="0.25">
      <c r="A25" t="s">
        <v>191</v>
      </c>
      <c r="B25" s="32" t="s">
        <v>2391</v>
      </c>
      <c r="C25" t="s">
        <v>2395</v>
      </c>
      <c r="D25">
        <v>2</v>
      </c>
    </row>
    <row r="26" spans="1:4" x14ac:dyDescent="0.25">
      <c r="A26" t="s">
        <v>46</v>
      </c>
      <c r="B26" s="32" t="s">
        <v>2391</v>
      </c>
      <c r="C26" t="s">
        <v>2389</v>
      </c>
      <c r="D26">
        <v>1</v>
      </c>
    </row>
    <row r="27" spans="1:4" x14ac:dyDescent="0.25">
      <c r="A27" t="s">
        <v>60</v>
      </c>
      <c r="B27" s="32" t="s">
        <v>2391</v>
      </c>
      <c r="C27" t="s">
        <v>2389</v>
      </c>
      <c r="D27">
        <v>1</v>
      </c>
    </row>
    <row r="28" spans="1:4" x14ac:dyDescent="0.25">
      <c r="A28" t="s">
        <v>78</v>
      </c>
      <c r="B28" s="32" t="s">
        <v>2391</v>
      </c>
      <c r="C28" t="s">
        <v>759</v>
      </c>
      <c r="D28">
        <v>1</v>
      </c>
    </row>
    <row r="29" spans="1:4" x14ac:dyDescent="0.25">
      <c r="A29" t="s">
        <v>80</v>
      </c>
      <c r="B29" s="32" t="s">
        <v>2391</v>
      </c>
      <c r="C29" t="s">
        <v>2389</v>
      </c>
      <c r="D29">
        <v>1</v>
      </c>
    </row>
    <row r="30" spans="1:4" x14ac:dyDescent="0.25">
      <c r="A30" t="s">
        <v>82</v>
      </c>
      <c r="B30" s="32" t="s">
        <v>2391</v>
      </c>
      <c r="C30" t="s">
        <v>2389</v>
      </c>
      <c r="D30">
        <v>1</v>
      </c>
    </row>
    <row r="31" spans="1:4" x14ac:dyDescent="0.25">
      <c r="A31" t="s">
        <v>102</v>
      </c>
      <c r="B31" s="32" t="s">
        <v>2391</v>
      </c>
      <c r="C31" t="s">
        <v>2389</v>
      </c>
      <c r="D31">
        <v>1</v>
      </c>
    </row>
    <row r="32" spans="1:4" x14ac:dyDescent="0.25">
      <c r="A32" t="s">
        <v>105</v>
      </c>
      <c r="B32" s="32" t="s">
        <v>2391</v>
      </c>
      <c r="C32" t="s">
        <v>2389</v>
      </c>
      <c r="D32">
        <v>1</v>
      </c>
    </row>
    <row r="33" spans="1:4" x14ac:dyDescent="0.25">
      <c r="A33" t="s">
        <v>106</v>
      </c>
      <c r="B33" s="32" t="s">
        <v>2391</v>
      </c>
      <c r="C33" t="s">
        <v>2389</v>
      </c>
      <c r="D33">
        <v>1</v>
      </c>
    </row>
    <row r="34" spans="1:4" x14ac:dyDescent="0.25">
      <c r="A34" t="s">
        <v>107</v>
      </c>
      <c r="B34" s="32" t="s">
        <v>2391</v>
      </c>
      <c r="C34" t="s">
        <v>2389</v>
      </c>
      <c r="D34">
        <v>1</v>
      </c>
    </row>
    <row r="35" spans="1:4" x14ac:dyDescent="0.25">
      <c r="A35" t="s">
        <v>108</v>
      </c>
      <c r="B35" s="32" t="s">
        <v>2391</v>
      </c>
      <c r="C35" t="s">
        <v>2389</v>
      </c>
      <c r="D35">
        <v>1</v>
      </c>
    </row>
    <row r="36" spans="1:4" x14ac:dyDescent="0.25">
      <c r="A36" t="s">
        <v>109</v>
      </c>
      <c r="B36" s="32" t="s">
        <v>2391</v>
      </c>
      <c r="C36" t="s">
        <v>2389</v>
      </c>
      <c r="D36">
        <v>1</v>
      </c>
    </row>
    <row r="37" spans="1:4" x14ac:dyDescent="0.25">
      <c r="A37" t="s">
        <v>110</v>
      </c>
      <c r="B37" s="32" t="s">
        <v>2391</v>
      </c>
      <c r="C37" t="s">
        <v>2389</v>
      </c>
      <c r="D37">
        <v>1</v>
      </c>
    </row>
    <row r="38" spans="1:4" x14ac:dyDescent="0.25">
      <c r="A38" t="s">
        <v>111</v>
      </c>
      <c r="B38" s="32" t="s">
        <v>2391</v>
      </c>
      <c r="C38" t="s">
        <v>2389</v>
      </c>
      <c r="D38">
        <v>1</v>
      </c>
    </row>
    <row r="39" spans="1:4" x14ac:dyDescent="0.25">
      <c r="A39" t="s">
        <v>112</v>
      </c>
      <c r="B39" s="32" t="s">
        <v>2391</v>
      </c>
      <c r="C39" t="s">
        <v>2389</v>
      </c>
      <c r="D39">
        <v>1</v>
      </c>
    </row>
    <row r="40" spans="1:4" x14ac:dyDescent="0.25">
      <c r="A40" t="s">
        <v>115</v>
      </c>
      <c r="B40" s="32" t="s">
        <v>2391</v>
      </c>
      <c r="C40" t="s">
        <v>2389</v>
      </c>
      <c r="D40">
        <v>1</v>
      </c>
    </row>
    <row r="41" spans="1:4" x14ac:dyDescent="0.25">
      <c r="A41" t="s">
        <v>116</v>
      </c>
      <c r="B41" s="32" t="s">
        <v>2391</v>
      </c>
      <c r="C41" t="s">
        <v>2389</v>
      </c>
      <c r="D41">
        <v>1</v>
      </c>
    </row>
    <row r="42" spans="1:4" x14ac:dyDescent="0.25">
      <c r="A42" t="s">
        <v>138</v>
      </c>
      <c r="B42" s="32" t="s">
        <v>2391</v>
      </c>
      <c r="C42" t="s">
        <v>2389</v>
      </c>
      <c r="D42">
        <v>1</v>
      </c>
    </row>
    <row r="43" spans="1:4" x14ac:dyDescent="0.25">
      <c r="A43" t="s">
        <v>140</v>
      </c>
      <c r="B43" s="32" t="s">
        <v>2391</v>
      </c>
      <c r="C43" t="s">
        <v>2389</v>
      </c>
      <c r="D43">
        <v>1</v>
      </c>
    </row>
    <row r="44" spans="1:4" x14ac:dyDescent="0.25">
      <c r="A44" t="s">
        <v>149</v>
      </c>
      <c r="B44" s="32" t="s">
        <v>2391</v>
      </c>
      <c r="C44" t="s">
        <v>2389</v>
      </c>
      <c r="D44">
        <v>1</v>
      </c>
    </row>
    <row r="45" spans="1:4" x14ac:dyDescent="0.25">
      <c r="A45" t="s">
        <v>152</v>
      </c>
      <c r="B45" s="32" t="s">
        <v>2391</v>
      </c>
      <c r="C45" t="s">
        <v>2389</v>
      </c>
      <c r="D45">
        <v>1</v>
      </c>
    </row>
    <row r="46" spans="1:4" x14ac:dyDescent="0.25">
      <c r="A46" t="s">
        <v>167</v>
      </c>
      <c r="B46" s="32" t="s">
        <v>2391</v>
      </c>
      <c r="C46" t="s">
        <v>2389</v>
      </c>
      <c r="D46">
        <v>1</v>
      </c>
    </row>
    <row r="47" spans="1:4" x14ac:dyDescent="0.25">
      <c r="A47" t="s">
        <v>177</v>
      </c>
      <c r="B47" s="32" t="s">
        <v>2391</v>
      </c>
      <c r="C47" t="s">
        <v>2389</v>
      </c>
      <c r="D47">
        <v>1</v>
      </c>
    </row>
    <row r="48" spans="1:4" x14ac:dyDescent="0.25">
      <c r="A48" t="s">
        <v>207</v>
      </c>
      <c r="B48" s="32" t="s">
        <v>2391</v>
      </c>
      <c r="C48" t="s">
        <v>2389</v>
      </c>
      <c r="D48">
        <v>1</v>
      </c>
    </row>
    <row r="49" spans="1:4" x14ac:dyDescent="0.25">
      <c r="A49" t="s">
        <v>224</v>
      </c>
      <c r="B49" s="32" t="s">
        <v>2391</v>
      </c>
      <c r="C49" t="s">
        <v>2389</v>
      </c>
      <c r="D49">
        <v>1</v>
      </c>
    </row>
  </sheetData>
  <conditionalFormatting sqref="A2:A49">
    <cfRule type="duplicateValues" dxfId="83" priority="1"/>
  </conditionalFormatting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4"/>
  <sheetViews>
    <sheetView workbookViewId="0">
      <selection activeCell="B1" sqref="B1:U1"/>
    </sheetView>
  </sheetViews>
  <sheetFormatPr defaultColWidth="9.140625" defaultRowHeight="15" x14ac:dyDescent="0.25"/>
  <cols>
    <col min="1" max="1" width="14.42578125" customWidth="1"/>
    <col min="2" max="2" width="9.5703125" customWidth="1"/>
    <col min="3" max="3" width="11.7109375" customWidth="1"/>
    <col min="5" max="5" width="11.7109375" customWidth="1"/>
    <col min="8" max="10" width="11.7109375" customWidth="1"/>
    <col min="15" max="21" width="10.140625" customWidth="1"/>
  </cols>
  <sheetData>
    <row r="1" spans="1:21" x14ac:dyDescent="0.25">
      <c r="A1" s="22" t="s">
        <v>0</v>
      </c>
      <c r="B1" s="18" t="s">
        <v>460</v>
      </c>
      <c r="C1" s="18" t="s">
        <v>1887</v>
      </c>
      <c r="D1" s="18" t="s">
        <v>784</v>
      </c>
      <c r="E1" s="18" t="s">
        <v>1890</v>
      </c>
      <c r="F1" s="18" t="s">
        <v>466</v>
      </c>
      <c r="G1" s="18" t="s">
        <v>566</v>
      </c>
      <c r="H1" s="18" t="s">
        <v>1893</v>
      </c>
      <c r="I1" s="18" t="s">
        <v>1894</v>
      </c>
      <c r="J1" s="18" t="s">
        <v>1895</v>
      </c>
      <c r="K1" s="18" t="s">
        <v>906</v>
      </c>
      <c r="L1" s="18" t="s">
        <v>785</v>
      </c>
      <c r="M1" s="18" t="s">
        <v>847</v>
      </c>
      <c r="N1" s="18" t="s">
        <v>882</v>
      </c>
      <c r="O1" s="18" t="s">
        <v>902</v>
      </c>
      <c r="P1" s="18" t="s">
        <v>590</v>
      </c>
      <c r="Q1" s="18" t="s">
        <v>606</v>
      </c>
      <c r="R1" s="18" t="s">
        <v>623</v>
      </c>
      <c r="S1" s="18" t="s">
        <v>885</v>
      </c>
      <c r="T1" s="18" t="s">
        <v>718</v>
      </c>
      <c r="U1" s="18" t="s">
        <v>753</v>
      </c>
    </row>
    <row r="2" spans="1:21" x14ac:dyDescent="0.25">
      <c r="A2" s="23" t="s">
        <v>6</v>
      </c>
    </row>
    <row r="3" spans="1:21" x14ac:dyDescent="0.25">
      <c r="A3" s="24" t="s">
        <v>11</v>
      </c>
    </row>
    <row r="4" spans="1:21" x14ac:dyDescent="0.25">
      <c r="A4" s="23" t="s">
        <v>12</v>
      </c>
    </row>
    <row r="5" spans="1:21" x14ac:dyDescent="0.25">
      <c r="A5" s="24" t="s">
        <v>16</v>
      </c>
    </row>
    <row r="6" spans="1:21" x14ac:dyDescent="0.25">
      <c r="A6" s="23" t="s">
        <v>18</v>
      </c>
    </row>
    <row r="7" spans="1:21" x14ac:dyDescent="0.25">
      <c r="A7" s="24" t="s">
        <v>20</v>
      </c>
    </row>
    <row r="8" spans="1:21" x14ac:dyDescent="0.25">
      <c r="A8" s="23" t="s">
        <v>22</v>
      </c>
    </row>
    <row r="9" spans="1:21" x14ac:dyDescent="0.25">
      <c r="A9" s="24" t="s">
        <v>24</v>
      </c>
    </row>
    <row r="10" spans="1:21" x14ac:dyDescent="0.25">
      <c r="A10" s="23" t="s">
        <v>26</v>
      </c>
      <c r="B10">
        <v>1.2</v>
      </c>
      <c r="F10">
        <v>1.73</v>
      </c>
    </row>
    <row r="11" spans="1:21" x14ac:dyDescent="0.25">
      <c r="A11" s="24" t="s">
        <v>28</v>
      </c>
    </row>
    <row r="12" spans="1:21" x14ac:dyDescent="0.25">
      <c r="A12" s="23" t="s">
        <v>30</v>
      </c>
    </row>
    <row r="13" spans="1:21" x14ac:dyDescent="0.25">
      <c r="A13" s="24" t="s">
        <v>32</v>
      </c>
    </row>
    <row r="14" spans="1:21" x14ac:dyDescent="0.25">
      <c r="A14" s="23" t="s">
        <v>34</v>
      </c>
    </row>
    <row r="15" spans="1:21" x14ac:dyDescent="0.25">
      <c r="A15" s="24" t="s">
        <v>36</v>
      </c>
    </row>
    <row r="16" spans="1:21" x14ac:dyDescent="0.25">
      <c r="A16" s="23" t="s">
        <v>37</v>
      </c>
    </row>
    <row r="17" spans="1:1" x14ac:dyDescent="0.25">
      <c r="A17" s="24" t="s">
        <v>40</v>
      </c>
    </row>
    <row r="18" spans="1:1" x14ac:dyDescent="0.25">
      <c r="A18" s="23" t="s">
        <v>42</v>
      </c>
    </row>
    <row r="19" spans="1:1" x14ac:dyDescent="0.25">
      <c r="A19" s="24" t="s">
        <v>43</v>
      </c>
    </row>
    <row r="20" spans="1:1" x14ac:dyDescent="0.25">
      <c r="A20" s="23" t="s">
        <v>44</v>
      </c>
    </row>
    <row r="21" spans="1:1" x14ac:dyDescent="0.25">
      <c r="A21" s="24" t="s">
        <v>46</v>
      </c>
    </row>
    <row r="22" spans="1:1" x14ac:dyDescent="0.25">
      <c r="A22" s="23" t="s">
        <v>48</v>
      </c>
    </row>
    <row r="23" spans="1:1" x14ac:dyDescent="0.25">
      <c r="A23" s="24" t="s">
        <v>50</v>
      </c>
    </row>
    <row r="24" spans="1:1" x14ac:dyDescent="0.25">
      <c r="A24" s="23" t="s">
        <v>52</v>
      </c>
    </row>
    <row r="25" spans="1:1" x14ac:dyDescent="0.25">
      <c r="A25" s="24" t="s">
        <v>53</v>
      </c>
    </row>
    <row r="26" spans="1:1" x14ac:dyDescent="0.25">
      <c r="A26" s="23" t="s">
        <v>55</v>
      </c>
    </row>
    <row r="27" spans="1:1" x14ac:dyDescent="0.25">
      <c r="A27" s="24" t="s">
        <v>57</v>
      </c>
    </row>
    <row r="28" spans="1:1" x14ac:dyDescent="0.25">
      <c r="A28" s="23" t="s">
        <v>59</v>
      </c>
    </row>
    <row r="29" spans="1:1" x14ac:dyDescent="0.25">
      <c r="A29" s="24" t="s">
        <v>60</v>
      </c>
    </row>
    <row r="30" spans="1:1" x14ac:dyDescent="0.25">
      <c r="A30" s="23" t="s">
        <v>62</v>
      </c>
    </row>
    <row r="31" spans="1:1" x14ac:dyDescent="0.25">
      <c r="A31" s="24" t="s">
        <v>64</v>
      </c>
    </row>
    <row r="32" spans="1:1" x14ac:dyDescent="0.25">
      <c r="A32" s="23" t="s">
        <v>65</v>
      </c>
    </row>
    <row r="33" spans="1:20" x14ac:dyDescent="0.25">
      <c r="A33" s="24" t="s">
        <v>66</v>
      </c>
      <c r="B33">
        <v>1</v>
      </c>
      <c r="F33" t="s">
        <v>559</v>
      </c>
      <c r="G33" t="s">
        <v>567</v>
      </c>
      <c r="P33" t="s">
        <v>591</v>
      </c>
      <c r="Q33" t="s">
        <v>607</v>
      </c>
      <c r="R33" t="s">
        <v>567</v>
      </c>
      <c r="T33">
        <v>1</v>
      </c>
    </row>
    <row r="34" spans="1:20" x14ac:dyDescent="0.25">
      <c r="A34" s="23" t="s">
        <v>68</v>
      </c>
    </row>
    <row r="35" spans="1:20" x14ac:dyDescent="0.25">
      <c r="A35" s="24" t="s">
        <v>69</v>
      </c>
    </row>
    <row r="36" spans="1:20" x14ac:dyDescent="0.25">
      <c r="A36" s="23" t="s">
        <v>71</v>
      </c>
    </row>
    <row r="37" spans="1:20" x14ac:dyDescent="0.25">
      <c r="A37" s="24" t="s">
        <v>73</v>
      </c>
    </row>
    <row r="38" spans="1:20" x14ac:dyDescent="0.25">
      <c r="A38" s="23" t="s">
        <v>74</v>
      </c>
      <c r="B38" t="s">
        <v>636</v>
      </c>
      <c r="F38" t="s">
        <v>567</v>
      </c>
    </row>
    <row r="39" spans="1:20" x14ac:dyDescent="0.25">
      <c r="A39" s="24" t="s">
        <v>76</v>
      </c>
    </row>
    <row r="40" spans="1:20" x14ac:dyDescent="0.25">
      <c r="A40" s="23" t="s">
        <v>78</v>
      </c>
      <c r="B40">
        <v>1</v>
      </c>
    </row>
    <row r="41" spans="1:20" x14ac:dyDescent="0.25">
      <c r="A41" s="24" t="s">
        <v>80</v>
      </c>
    </row>
    <row r="42" spans="1:20" x14ac:dyDescent="0.25">
      <c r="A42" s="23" t="s">
        <v>82</v>
      </c>
    </row>
    <row r="43" spans="1:20" x14ac:dyDescent="0.25">
      <c r="A43" s="24" t="s">
        <v>84</v>
      </c>
    </row>
    <row r="44" spans="1:20" x14ac:dyDescent="0.25">
      <c r="A44" s="23" t="s">
        <v>85</v>
      </c>
    </row>
    <row r="45" spans="1:20" x14ac:dyDescent="0.25">
      <c r="A45" s="24" t="s">
        <v>87</v>
      </c>
      <c r="D45">
        <v>1.3</v>
      </c>
      <c r="L45">
        <v>1.3</v>
      </c>
    </row>
    <row r="46" spans="1:20" x14ac:dyDescent="0.25">
      <c r="A46" s="23" t="s">
        <v>89</v>
      </c>
    </row>
    <row r="47" spans="1:20" x14ac:dyDescent="0.25">
      <c r="A47" s="24" t="s">
        <v>91</v>
      </c>
    </row>
    <row r="48" spans="1:20" x14ac:dyDescent="0.25">
      <c r="A48" s="23" t="s">
        <v>92</v>
      </c>
    </row>
    <row r="49" spans="1:2" x14ac:dyDescent="0.25">
      <c r="A49" s="24" t="s">
        <v>93</v>
      </c>
    </row>
    <row r="50" spans="1:2" x14ac:dyDescent="0.25">
      <c r="A50" s="23" t="s">
        <v>95</v>
      </c>
      <c r="B50">
        <v>0.93</v>
      </c>
    </row>
    <row r="51" spans="1:2" x14ac:dyDescent="0.25">
      <c r="A51" s="24" t="s">
        <v>97</v>
      </c>
    </row>
    <row r="52" spans="1:2" x14ac:dyDescent="0.25">
      <c r="A52" s="23" t="s">
        <v>99</v>
      </c>
    </row>
    <row r="53" spans="1:2" x14ac:dyDescent="0.25">
      <c r="A53" s="24" t="s">
        <v>100</v>
      </c>
    </row>
    <row r="54" spans="1:2" x14ac:dyDescent="0.25">
      <c r="A54" s="23" t="s">
        <v>101</v>
      </c>
    </row>
    <row r="55" spans="1:2" x14ac:dyDescent="0.25">
      <c r="A55" s="24" t="s">
        <v>102</v>
      </c>
    </row>
    <row r="56" spans="1:2" x14ac:dyDescent="0.25">
      <c r="A56" s="23" t="s">
        <v>103</v>
      </c>
    </row>
    <row r="57" spans="1:2" x14ac:dyDescent="0.25">
      <c r="A57" s="24" t="s">
        <v>105</v>
      </c>
    </row>
    <row r="58" spans="1:2" x14ac:dyDescent="0.25">
      <c r="A58" s="23" t="s">
        <v>106</v>
      </c>
    </row>
    <row r="59" spans="1:2" x14ac:dyDescent="0.25">
      <c r="A59" s="24" t="s">
        <v>107</v>
      </c>
    </row>
    <row r="60" spans="1:2" x14ac:dyDescent="0.25">
      <c r="A60" s="23" t="s">
        <v>108</v>
      </c>
    </row>
    <row r="61" spans="1:2" x14ac:dyDescent="0.25">
      <c r="A61" s="24" t="s">
        <v>109</v>
      </c>
    </row>
    <row r="62" spans="1:2" x14ac:dyDescent="0.25">
      <c r="A62" s="23" t="s">
        <v>110</v>
      </c>
    </row>
    <row r="63" spans="1:2" x14ac:dyDescent="0.25">
      <c r="A63" s="24" t="s">
        <v>111</v>
      </c>
    </row>
    <row r="64" spans="1:2" x14ac:dyDescent="0.25">
      <c r="A64" s="23" t="s">
        <v>112</v>
      </c>
    </row>
    <row r="65" spans="1:19" x14ac:dyDescent="0.25">
      <c r="A65" s="24" t="s">
        <v>113</v>
      </c>
    </row>
    <row r="66" spans="1:19" x14ac:dyDescent="0.25">
      <c r="A66" s="23" t="s">
        <v>115</v>
      </c>
    </row>
    <row r="67" spans="1:19" x14ac:dyDescent="0.25">
      <c r="A67" s="24" t="s">
        <v>116</v>
      </c>
    </row>
    <row r="68" spans="1:19" x14ac:dyDescent="0.25">
      <c r="A68" s="23" t="s">
        <v>117</v>
      </c>
    </row>
    <row r="69" spans="1:19" x14ac:dyDescent="0.25">
      <c r="A69" s="24" t="s">
        <v>119</v>
      </c>
      <c r="B69">
        <v>0.93</v>
      </c>
      <c r="F69">
        <v>0.92</v>
      </c>
      <c r="M69">
        <v>0.89</v>
      </c>
    </row>
    <row r="70" spans="1:19" x14ac:dyDescent="0.25">
      <c r="A70" s="23" t="s">
        <v>120</v>
      </c>
    </row>
    <row r="71" spans="1:19" x14ac:dyDescent="0.25">
      <c r="A71" s="24" t="s">
        <v>122</v>
      </c>
    </row>
    <row r="72" spans="1:19" x14ac:dyDescent="0.25">
      <c r="A72" s="23" t="s">
        <v>123</v>
      </c>
    </row>
    <row r="73" spans="1:19" x14ac:dyDescent="0.25">
      <c r="A73" s="24" t="s">
        <v>125</v>
      </c>
      <c r="N73">
        <v>1</v>
      </c>
      <c r="Q73">
        <v>0.9</v>
      </c>
      <c r="R73">
        <v>1</v>
      </c>
    </row>
    <row r="74" spans="1:19" x14ac:dyDescent="0.25">
      <c r="A74" s="23" t="s">
        <v>126</v>
      </c>
    </row>
    <row r="75" spans="1:19" x14ac:dyDescent="0.25">
      <c r="A75" s="24" t="s">
        <v>127</v>
      </c>
      <c r="G75">
        <v>0.96</v>
      </c>
      <c r="S75">
        <v>0.88</v>
      </c>
    </row>
    <row r="76" spans="1:19" x14ac:dyDescent="0.25">
      <c r="A76" s="23" t="s">
        <v>128</v>
      </c>
    </row>
    <row r="77" spans="1:19" x14ac:dyDescent="0.25">
      <c r="A77" s="24" t="s">
        <v>131</v>
      </c>
    </row>
    <row r="78" spans="1:19" x14ac:dyDescent="0.25">
      <c r="A78" s="23" t="s">
        <v>133</v>
      </c>
    </row>
    <row r="79" spans="1:19" x14ac:dyDescent="0.25">
      <c r="A79" s="24" t="s">
        <v>134</v>
      </c>
    </row>
    <row r="80" spans="1:19" x14ac:dyDescent="0.25">
      <c r="A80" s="23" t="s">
        <v>136</v>
      </c>
    </row>
    <row r="81" spans="1:15" x14ac:dyDescent="0.25">
      <c r="A81" s="24" t="s">
        <v>138</v>
      </c>
      <c r="B81">
        <v>1.01</v>
      </c>
    </row>
    <row r="82" spans="1:15" x14ac:dyDescent="0.25">
      <c r="A82" s="23" t="s">
        <v>140</v>
      </c>
    </row>
    <row r="83" spans="1:15" x14ac:dyDescent="0.25">
      <c r="A83" s="24" t="s">
        <v>142</v>
      </c>
    </row>
    <row r="84" spans="1:15" x14ac:dyDescent="0.25">
      <c r="A84" s="23" t="s">
        <v>143</v>
      </c>
    </row>
    <row r="85" spans="1:15" x14ac:dyDescent="0.25">
      <c r="A85" s="24" t="s">
        <v>144</v>
      </c>
    </row>
    <row r="86" spans="1:15" x14ac:dyDescent="0.25">
      <c r="A86" s="23" t="s">
        <v>145</v>
      </c>
    </row>
    <row r="87" spans="1:15" x14ac:dyDescent="0.25">
      <c r="A87" s="24" t="s">
        <v>146</v>
      </c>
    </row>
    <row r="88" spans="1:15" x14ac:dyDescent="0.25">
      <c r="A88" s="23" t="s">
        <v>147</v>
      </c>
    </row>
    <row r="89" spans="1:15" x14ac:dyDescent="0.25">
      <c r="A89" s="24" t="s">
        <v>148</v>
      </c>
    </row>
    <row r="90" spans="1:15" x14ac:dyDescent="0.25">
      <c r="A90" s="23" t="s">
        <v>149</v>
      </c>
    </row>
    <row r="91" spans="1:15" x14ac:dyDescent="0.25">
      <c r="A91" s="24" t="s">
        <v>150</v>
      </c>
      <c r="B91">
        <v>2.0499999999999998</v>
      </c>
    </row>
    <row r="92" spans="1:15" x14ac:dyDescent="0.25">
      <c r="A92" s="23" t="s">
        <v>151</v>
      </c>
    </row>
    <row r="93" spans="1:15" x14ac:dyDescent="0.25">
      <c r="A93" s="24"/>
    </row>
    <row r="94" spans="1:15" x14ac:dyDescent="0.25">
      <c r="A94" s="23" t="s">
        <v>321</v>
      </c>
      <c r="B94">
        <v>1.9</v>
      </c>
      <c r="O94">
        <v>0.93</v>
      </c>
    </row>
    <row r="95" spans="1:15" x14ac:dyDescent="0.25">
      <c r="A95" s="24" t="s">
        <v>152</v>
      </c>
      <c r="B95" t="s">
        <v>533</v>
      </c>
      <c r="C95" t="s">
        <v>1026</v>
      </c>
    </row>
    <row r="96" spans="1:15" x14ac:dyDescent="0.25">
      <c r="A96" s="23" t="s">
        <v>153</v>
      </c>
      <c r="B96">
        <v>0.85</v>
      </c>
      <c r="D96" t="s">
        <v>567</v>
      </c>
      <c r="E96" t="s">
        <v>559</v>
      </c>
      <c r="F96">
        <v>1.4</v>
      </c>
      <c r="G96" t="s">
        <v>1897</v>
      </c>
      <c r="H96" t="s">
        <v>576</v>
      </c>
      <c r="I96" t="s">
        <v>1896</v>
      </c>
      <c r="J96" t="s">
        <v>1674</v>
      </c>
      <c r="K96">
        <v>5.4</v>
      </c>
    </row>
    <row r="97" spans="1:12" x14ac:dyDescent="0.25">
      <c r="A97" s="24" t="s">
        <v>155</v>
      </c>
    </row>
    <row r="98" spans="1:12" x14ac:dyDescent="0.25">
      <c r="A98" s="23" t="s">
        <v>157</v>
      </c>
    </row>
    <row r="99" spans="1:12" x14ac:dyDescent="0.25">
      <c r="A99" s="24" t="s">
        <v>158</v>
      </c>
    </row>
    <row r="100" spans="1:12" x14ac:dyDescent="0.25">
      <c r="A100" s="23" t="s">
        <v>160</v>
      </c>
    </row>
    <row r="101" spans="1:12" x14ac:dyDescent="0.25">
      <c r="A101" s="24" t="s">
        <v>162</v>
      </c>
    </row>
    <row r="102" spans="1:12" x14ac:dyDescent="0.25">
      <c r="A102" s="23" t="s">
        <v>163</v>
      </c>
    </row>
    <row r="103" spans="1:12" x14ac:dyDescent="0.25">
      <c r="A103" s="24" t="s">
        <v>164</v>
      </c>
    </row>
    <row r="104" spans="1:12" x14ac:dyDescent="0.25">
      <c r="A104" s="23" t="s">
        <v>165</v>
      </c>
    </row>
    <row r="105" spans="1:12" x14ac:dyDescent="0.25">
      <c r="A105" s="24" t="s">
        <v>166</v>
      </c>
    </row>
    <row r="106" spans="1:12" x14ac:dyDescent="0.25">
      <c r="A106" s="23" t="s">
        <v>167</v>
      </c>
    </row>
    <row r="107" spans="1:12" x14ac:dyDescent="0.25">
      <c r="A107" s="24" t="s">
        <v>169</v>
      </c>
    </row>
    <row r="108" spans="1:12" x14ac:dyDescent="0.25">
      <c r="A108" s="23" t="s">
        <v>170</v>
      </c>
    </row>
    <row r="109" spans="1:12" x14ac:dyDescent="0.25">
      <c r="A109" s="24" t="s">
        <v>172</v>
      </c>
    </row>
    <row r="110" spans="1:12" x14ac:dyDescent="0.25">
      <c r="A110" s="23" t="s">
        <v>173</v>
      </c>
      <c r="B110" t="s">
        <v>1889</v>
      </c>
      <c r="C110" t="s">
        <v>1888</v>
      </c>
      <c r="D110" t="s">
        <v>1892</v>
      </c>
      <c r="E110" t="s">
        <v>1891</v>
      </c>
      <c r="F110" t="s">
        <v>939</v>
      </c>
      <c r="G110" t="s">
        <v>940</v>
      </c>
      <c r="L110" t="s">
        <v>643</v>
      </c>
    </row>
    <row r="111" spans="1:12" x14ac:dyDescent="0.25">
      <c r="A111" s="24" t="s">
        <v>175</v>
      </c>
    </row>
    <row r="112" spans="1:12" x14ac:dyDescent="0.25">
      <c r="A112" s="23" t="s">
        <v>176</v>
      </c>
    </row>
    <row r="113" spans="1:1" x14ac:dyDescent="0.25">
      <c r="A113" s="24" t="s">
        <v>177</v>
      </c>
    </row>
    <row r="114" spans="1:1" x14ac:dyDescent="0.25">
      <c r="A114" s="23" t="s">
        <v>178</v>
      </c>
    </row>
    <row r="115" spans="1:1" x14ac:dyDescent="0.25">
      <c r="A115" s="24" t="s">
        <v>179</v>
      </c>
    </row>
    <row r="116" spans="1:1" x14ac:dyDescent="0.25">
      <c r="A116" s="23" t="s">
        <v>182</v>
      </c>
    </row>
    <row r="117" spans="1:1" x14ac:dyDescent="0.25">
      <c r="A117" s="24" t="s">
        <v>183</v>
      </c>
    </row>
    <row r="118" spans="1:1" x14ac:dyDescent="0.25">
      <c r="A118" s="23" t="s">
        <v>185</v>
      </c>
    </row>
    <row r="119" spans="1:1" x14ac:dyDescent="0.25">
      <c r="A119" s="24" t="s">
        <v>187</v>
      </c>
    </row>
    <row r="120" spans="1:1" x14ac:dyDescent="0.25">
      <c r="A120" s="23" t="s">
        <v>189</v>
      </c>
    </row>
    <row r="121" spans="1:1" x14ac:dyDescent="0.25">
      <c r="A121" s="24" t="s">
        <v>191</v>
      </c>
    </row>
    <row r="122" spans="1:1" x14ac:dyDescent="0.25">
      <c r="A122" s="23" t="s">
        <v>192</v>
      </c>
    </row>
    <row r="123" spans="1:1" x14ac:dyDescent="0.25">
      <c r="A123" s="24" t="s">
        <v>194</v>
      </c>
    </row>
    <row r="124" spans="1:1" x14ac:dyDescent="0.25">
      <c r="A124" s="23" t="s">
        <v>196</v>
      </c>
    </row>
    <row r="125" spans="1:1" x14ac:dyDescent="0.25">
      <c r="A125" s="24" t="s">
        <v>197</v>
      </c>
    </row>
    <row r="126" spans="1:1" x14ac:dyDescent="0.25">
      <c r="A126" s="23" t="s">
        <v>199</v>
      </c>
    </row>
    <row r="127" spans="1:1" x14ac:dyDescent="0.25">
      <c r="A127" s="24" t="s">
        <v>200</v>
      </c>
    </row>
    <row r="128" spans="1:1" x14ac:dyDescent="0.25">
      <c r="A128" s="23" t="s">
        <v>201</v>
      </c>
    </row>
    <row r="129" spans="1:2" x14ac:dyDescent="0.25">
      <c r="A129" s="24" t="s">
        <v>202</v>
      </c>
    </row>
    <row r="130" spans="1:2" x14ac:dyDescent="0.25">
      <c r="A130" s="23" t="s">
        <v>294</v>
      </c>
    </row>
    <row r="131" spans="1:2" x14ac:dyDescent="0.25">
      <c r="A131" s="24" t="s">
        <v>207</v>
      </c>
    </row>
    <row r="132" spans="1:2" x14ac:dyDescent="0.25">
      <c r="A132" s="23" t="s">
        <v>208</v>
      </c>
    </row>
    <row r="133" spans="1:2" x14ac:dyDescent="0.25">
      <c r="A133" s="24" t="s">
        <v>1589</v>
      </c>
    </row>
    <row r="134" spans="1:2" x14ac:dyDescent="0.25">
      <c r="A134" s="23" t="s">
        <v>209</v>
      </c>
    </row>
    <row r="135" spans="1:2" x14ac:dyDescent="0.25">
      <c r="A135" s="24" t="s">
        <v>211</v>
      </c>
    </row>
    <row r="136" spans="1:2" x14ac:dyDescent="0.25">
      <c r="A136" s="23" t="s">
        <v>212</v>
      </c>
    </row>
    <row r="137" spans="1:2" x14ac:dyDescent="0.25">
      <c r="A137" s="24" t="s">
        <v>214</v>
      </c>
    </row>
    <row r="138" spans="1:2" x14ac:dyDescent="0.25">
      <c r="A138" s="23" t="s">
        <v>216</v>
      </c>
    </row>
    <row r="139" spans="1:2" x14ac:dyDescent="0.25">
      <c r="A139" s="24" t="s">
        <v>218</v>
      </c>
    </row>
    <row r="140" spans="1:2" x14ac:dyDescent="0.25">
      <c r="A140" s="23" t="s">
        <v>220</v>
      </c>
    </row>
    <row r="141" spans="1:2" x14ac:dyDescent="0.25">
      <c r="A141" s="24" t="s">
        <v>222</v>
      </c>
      <c r="B141" t="s">
        <v>1066</v>
      </c>
    </row>
    <row r="142" spans="1:2" x14ac:dyDescent="0.25">
      <c r="A142" s="23" t="s">
        <v>224</v>
      </c>
    </row>
    <row r="143" spans="1:2" x14ac:dyDescent="0.25">
      <c r="A143" s="24" t="s">
        <v>225</v>
      </c>
    </row>
    <row r="144" spans="1:2" x14ac:dyDescent="0.25">
      <c r="A144" s="23" t="s">
        <v>227</v>
      </c>
    </row>
    <row r="145" spans="1:1" x14ac:dyDescent="0.25">
      <c r="A145" s="24" t="s">
        <v>229</v>
      </c>
    </row>
    <row r="146" spans="1:1" x14ac:dyDescent="0.25">
      <c r="A146" s="23" t="s">
        <v>231</v>
      </c>
    </row>
    <row r="147" spans="1:1" x14ac:dyDescent="0.25">
      <c r="A147" s="24" t="s">
        <v>232</v>
      </c>
    </row>
    <row r="148" spans="1:1" x14ac:dyDescent="0.25">
      <c r="A148" s="23" t="s">
        <v>234</v>
      </c>
    </row>
    <row r="149" spans="1:1" x14ac:dyDescent="0.25">
      <c r="A149" s="24" t="s">
        <v>236</v>
      </c>
    </row>
    <row r="150" spans="1:1" x14ac:dyDescent="0.25">
      <c r="A150" s="23" t="s">
        <v>1322</v>
      </c>
    </row>
    <row r="151" spans="1:1" x14ac:dyDescent="0.25">
      <c r="A151" s="24" t="s">
        <v>1323</v>
      </c>
    </row>
    <row r="152" spans="1:1" x14ac:dyDescent="0.25">
      <c r="A152" s="23" t="s">
        <v>1324</v>
      </c>
    </row>
    <row r="153" spans="1:1" x14ac:dyDescent="0.25">
      <c r="A153" s="24" t="s">
        <v>1325</v>
      </c>
    </row>
    <row r="154" spans="1:1" x14ac:dyDescent="0.25">
      <c r="A154" s="23" t="s">
        <v>1326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D17"/>
  <sheetViews>
    <sheetView workbookViewId="0">
      <selection activeCell="A2" sqref="A2:A17"/>
    </sheetView>
  </sheetViews>
  <sheetFormatPr defaultColWidth="9.140625" defaultRowHeight="15" x14ac:dyDescent="0.25"/>
  <cols>
    <col min="1" max="1" width="18.140625" bestFit="1" customWidth="1"/>
    <col min="2" max="2" width="9" bestFit="1" customWidth="1"/>
    <col min="3" max="3" width="79.5703125" bestFit="1" customWidth="1"/>
    <col min="4" max="4" width="35" bestFit="1" customWidth="1"/>
  </cols>
  <sheetData>
    <row r="1" spans="1:4" ht="15.75" x14ac:dyDescent="0.25">
      <c r="A1" s="29" t="s">
        <v>0</v>
      </c>
      <c r="B1" s="29" t="s">
        <v>2411</v>
      </c>
      <c r="C1" s="29" t="s">
        <v>2134</v>
      </c>
      <c r="D1" s="29" t="s">
        <v>2412</v>
      </c>
    </row>
    <row r="2" spans="1:4" x14ac:dyDescent="0.25">
      <c r="A2" s="32" t="s">
        <v>153</v>
      </c>
      <c r="B2" s="32" t="s">
        <v>2411</v>
      </c>
      <c r="C2" t="s">
        <v>2421</v>
      </c>
      <c r="D2">
        <v>9</v>
      </c>
    </row>
    <row r="3" spans="1:4" x14ac:dyDescent="0.25">
      <c r="A3" s="32" t="s">
        <v>66</v>
      </c>
      <c r="B3" s="32" t="s">
        <v>2411</v>
      </c>
      <c r="C3" t="s">
        <v>2414</v>
      </c>
      <c r="D3">
        <v>7</v>
      </c>
    </row>
    <row r="4" spans="1:4" x14ac:dyDescent="0.25">
      <c r="A4" s="32" t="s">
        <v>173</v>
      </c>
      <c r="B4" s="32" t="s">
        <v>2411</v>
      </c>
      <c r="C4" t="s">
        <v>2422</v>
      </c>
      <c r="D4">
        <v>7</v>
      </c>
    </row>
    <row r="5" spans="1:4" x14ac:dyDescent="0.25">
      <c r="A5" s="32" t="s">
        <v>119</v>
      </c>
      <c r="B5" s="32" t="s">
        <v>2411</v>
      </c>
      <c r="C5" t="s">
        <v>2416</v>
      </c>
      <c r="D5">
        <v>3</v>
      </c>
    </row>
    <row r="6" spans="1:4" x14ac:dyDescent="0.25">
      <c r="A6" s="32" t="s">
        <v>125</v>
      </c>
      <c r="B6" s="32" t="s">
        <v>2411</v>
      </c>
      <c r="C6" t="s">
        <v>2417</v>
      </c>
      <c r="D6">
        <v>3</v>
      </c>
    </row>
    <row r="7" spans="1:4" x14ac:dyDescent="0.25">
      <c r="A7" s="32" t="s">
        <v>26</v>
      </c>
      <c r="B7" s="32" t="s">
        <v>2411</v>
      </c>
      <c r="C7" t="s">
        <v>2413</v>
      </c>
      <c r="D7">
        <v>2</v>
      </c>
    </row>
    <row r="8" spans="1:4" x14ac:dyDescent="0.25">
      <c r="A8" s="32" t="s">
        <v>74</v>
      </c>
      <c r="B8" s="32" t="s">
        <v>2411</v>
      </c>
      <c r="C8" t="s">
        <v>2413</v>
      </c>
      <c r="D8">
        <v>2</v>
      </c>
    </row>
    <row r="9" spans="1:4" x14ac:dyDescent="0.25">
      <c r="A9" s="32" t="s">
        <v>87</v>
      </c>
      <c r="B9" s="32" t="s">
        <v>2411</v>
      </c>
      <c r="C9" t="s">
        <v>2415</v>
      </c>
      <c r="D9">
        <v>2</v>
      </c>
    </row>
    <row r="10" spans="1:4" x14ac:dyDescent="0.25">
      <c r="A10" s="32" t="s">
        <v>127</v>
      </c>
      <c r="B10" s="32" t="s">
        <v>2411</v>
      </c>
      <c r="C10" t="s">
        <v>2418</v>
      </c>
      <c r="D10">
        <v>2</v>
      </c>
    </row>
    <row r="11" spans="1:4" x14ac:dyDescent="0.25">
      <c r="A11" s="32" t="s">
        <v>321</v>
      </c>
      <c r="B11" s="32" t="s">
        <v>2411</v>
      </c>
      <c r="C11" t="s">
        <v>2419</v>
      </c>
      <c r="D11">
        <v>2</v>
      </c>
    </row>
    <row r="12" spans="1:4" x14ac:dyDescent="0.25">
      <c r="A12" s="32" t="s">
        <v>152</v>
      </c>
      <c r="B12" s="32" t="s">
        <v>2411</v>
      </c>
      <c r="C12" t="s">
        <v>2420</v>
      </c>
      <c r="D12">
        <v>2</v>
      </c>
    </row>
    <row r="13" spans="1:4" x14ac:dyDescent="0.25">
      <c r="A13" s="32" t="s">
        <v>78</v>
      </c>
      <c r="B13" s="32" t="s">
        <v>2411</v>
      </c>
      <c r="C13" t="s">
        <v>460</v>
      </c>
      <c r="D13">
        <v>1</v>
      </c>
    </row>
    <row r="14" spans="1:4" x14ac:dyDescent="0.25">
      <c r="A14" s="32" t="s">
        <v>95</v>
      </c>
      <c r="B14" s="32" t="s">
        <v>2411</v>
      </c>
      <c r="C14" t="s">
        <v>460</v>
      </c>
      <c r="D14">
        <v>1</v>
      </c>
    </row>
    <row r="15" spans="1:4" x14ac:dyDescent="0.25">
      <c r="A15" s="32" t="s">
        <v>138</v>
      </c>
      <c r="B15" s="32" t="s">
        <v>2411</v>
      </c>
      <c r="C15" t="s">
        <v>460</v>
      </c>
      <c r="D15">
        <v>1</v>
      </c>
    </row>
    <row r="16" spans="1:4" x14ac:dyDescent="0.25">
      <c r="A16" s="32" t="s">
        <v>150</v>
      </c>
      <c r="B16" s="32" t="s">
        <v>2411</v>
      </c>
      <c r="C16" t="s">
        <v>460</v>
      </c>
      <c r="D16">
        <v>1</v>
      </c>
    </row>
    <row r="17" spans="1:4" x14ac:dyDescent="0.25">
      <c r="A17" s="32" t="s">
        <v>222</v>
      </c>
      <c r="B17" s="32" t="s">
        <v>2411</v>
      </c>
      <c r="C17" t="s">
        <v>460</v>
      </c>
      <c r="D17">
        <v>1</v>
      </c>
    </row>
  </sheetData>
  <conditionalFormatting sqref="A2:A17">
    <cfRule type="duplicateValues" dxfId="78" priority="1"/>
  </conditionalFormatting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4"/>
  <sheetViews>
    <sheetView topLeftCell="I1" workbookViewId="0">
      <selection activeCell="B1" sqref="B1:V1"/>
    </sheetView>
  </sheetViews>
  <sheetFormatPr defaultColWidth="9.140625" defaultRowHeight="15" x14ac:dyDescent="0.25"/>
  <cols>
    <col min="1" max="1" width="14.42578125" customWidth="1"/>
    <col min="2" max="2" width="18.28515625" customWidth="1"/>
    <col min="3" max="3" width="13.5703125" customWidth="1"/>
    <col min="4" max="5" width="16.140625" customWidth="1"/>
    <col min="6" max="7" width="13.5703125" customWidth="1"/>
    <col min="8" max="9" width="16.140625" customWidth="1"/>
    <col min="10" max="10" width="16" customWidth="1"/>
    <col min="11" max="11" width="13.5703125" customWidth="1"/>
    <col min="12" max="12" width="16.140625" customWidth="1"/>
    <col min="13" max="13" width="13.5703125" customWidth="1"/>
    <col min="14" max="15" width="16.140625" customWidth="1"/>
    <col min="16" max="17" width="13.5703125" customWidth="1"/>
    <col min="18" max="22" width="14.5703125" customWidth="1"/>
  </cols>
  <sheetData>
    <row r="1" spans="1:22" x14ac:dyDescent="0.25">
      <c r="A1" s="22" t="s">
        <v>0</v>
      </c>
      <c r="B1" s="18" t="s">
        <v>2423</v>
      </c>
      <c r="C1" s="18" t="s">
        <v>497</v>
      </c>
      <c r="D1" s="18" t="s">
        <v>1898</v>
      </c>
      <c r="E1" s="18" t="s">
        <v>1899</v>
      </c>
      <c r="F1" s="18" t="s">
        <v>848</v>
      </c>
      <c r="G1" s="18" t="s">
        <v>866</v>
      </c>
      <c r="H1" s="18" t="s">
        <v>1903</v>
      </c>
      <c r="I1" s="18" t="s">
        <v>1904</v>
      </c>
      <c r="J1" s="18" t="s">
        <v>2424</v>
      </c>
      <c r="K1" s="18" t="s">
        <v>909</v>
      </c>
      <c r="L1" s="18" t="s">
        <v>1906</v>
      </c>
      <c r="M1" s="18" t="s">
        <v>925</v>
      </c>
      <c r="N1" s="18" t="s">
        <v>1907</v>
      </c>
      <c r="O1" s="18" t="s">
        <v>1908</v>
      </c>
      <c r="P1" s="18" t="s">
        <v>849</v>
      </c>
      <c r="Q1" s="18" t="s">
        <v>1028</v>
      </c>
      <c r="R1" s="18" t="s">
        <v>1029</v>
      </c>
      <c r="S1" s="18" t="s">
        <v>650</v>
      </c>
      <c r="T1" s="18" t="s">
        <v>719</v>
      </c>
      <c r="U1" s="18" t="s">
        <v>704</v>
      </c>
      <c r="V1" s="18" t="s">
        <v>746</v>
      </c>
    </row>
    <row r="2" spans="1:22" x14ac:dyDescent="0.25">
      <c r="A2" s="23" t="s">
        <v>6</v>
      </c>
    </row>
    <row r="3" spans="1:22" x14ac:dyDescent="0.25">
      <c r="A3" s="24" t="s">
        <v>11</v>
      </c>
    </row>
    <row r="4" spans="1:22" x14ac:dyDescent="0.25">
      <c r="A4" s="23" t="s">
        <v>12</v>
      </c>
    </row>
    <row r="5" spans="1:22" x14ac:dyDescent="0.25">
      <c r="A5" s="24" t="s">
        <v>16</v>
      </c>
    </row>
    <row r="6" spans="1:22" x14ac:dyDescent="0.25">
      <c r="A6" s="23" t="s">
        <v>18</v>
      </c>
    </row>
    <row r="7" spans="1:22" x14ac:dyDescent="0.25">
      <c r="A7" s="24" t="s">
        <v>20</v>
      </c>
    </row>
    <row r="8" spans="1:22" x14ac:dyDescent="0.25">
      <c r="A8" s="23" t="s">
        <v>22</v>
      </c>
    </row>
    <row r="9" spans="1:22" x14ac:dyDescent="0.25">
      <c r="A9" s="24" t="s">
        <v>24</v>
      </c>
    </row>
    <row r="10" spans="1:22" x14ac:dyDescent="0.25">
      <c r="A10" s="23" t="s">
        <v>26</v>
      </c>
      <c r="B10">
        <v>152</v>
      </c>
      <c r="U10">
        <v>142</v>
      </c>
    </row>
    <row r="11" spans="1:22" x14ac:dyDescent="0.25">
      <c r="A11" s="24" t="s">
        <v>28</v>
      </c>
    </row>
    <row r="12" spans="1:22" x14ac:dyDescent="0.25">
      <c r="A12" s="23" t="s">
        <v>30</v>
      </c>
    </row>
    <row r="13" spans="1:22" x14ac:dyDescent="0.25">
      <c r="A13" s="24" t="s">
        <v>32</v>
      </c>
    </row>
    <row r="14" spans="1:22" x14ac:dyDescent="0.25">
      <c r="A14" s="23" t="s">
        <v>34</v>
      </c>
    </row>
    <row r="15" spans="1:22" x14ac:dyDescent="0.25">
      <c r="A15" s="24" t="s">
        <v>36</v>
      </c>
    </row>
    <row r="16" spans="1:22" x14ac:dyDescent="0.25">
      <c r="A16" s="23" t="s">
        <v>37</v>
      </c>
      <c r="B16">
        <v>196</v>
      </c>
    </row>
    <row r="17" spans="1:4" x14ac:dyDescent="0.25">
      <c r="A17" s="24" t="s">
        <v>40</v>
      </c>
    </row>
    <row r="18" spans="1:4" x14ac:dyDescent="0.25">
      <c r="A18" s="23" t="s">
        <v>42</v>
      </c>
    </row>
    <row r="19" spans="1:4" x14ac:dyDescent="0.25">
      <c r="A19" s="24" t="s">
        <v>43</v>
      </c>
    </row>
    <row r="20" spans="1:4" x14ac:dyDescent="0.25">
      <c r="A20" s="23" t="s">
        <v>44</v>
      </c>
    </row>
    <row r="21" spans="1:4" x14ac:dyDescent="0.25">
      <c r="A21" s="24" t="s">
        <v>46</v>
      </c>
    </row>
    <row r="22" spans="1:4" x14ac:dyDescent="0.25">
      <c r="A22" s="23" t="s">
        <v>48</v>
      </c>
    </row>
    <row r="23" spans="1:4" x14ac:dyDescent="0.25">
      <c r="A23" s="24" t="s">
        <v>50</v>
      </c>
    </row>
    <row r="24" spans="1:4" x14ac:dyDescent="0.25">
      <c r="A24" s="23" t="s">
        <v>52</v>
      </c>
    </row>
    <row r="25" spans="1:4" x14ac:dyDescent="0.25">
      <c r="A25" s="24" t="s">
        <v>53</v>
      </c>
    </row>
    <row r="26" spans="1:4" x14ac:dyDescent="0.25">
      <c r="A26" s="23" t="s">
        <v>55</v>
      </c>
    </row>
    <row r="27" spans="1:4" x14ac:dyDescent="0.25">
      <c r="A27" s="24" t="s">
        <v>57</v>
      </c>
    </row>
    <row r="28" spans="1:4" x14ac:dyDescent="0.25">
      <c r="A28" s="23" t="s">
        <v>59</v>
      </c>
    </row>
    <row r="29" spans="1:4" x14ac:dyDescent="0.25">
      <c r="A29" s="24" t="s">
        <v>60</v>
      </c>
    </row>
    <row r="30" spans="1:4" x14ac:dyDescent="0.25">
      <c r="A30" s="23" t="s">
        <v>62</v>
      </c>
      <c r="C30" t="s">
        <v>1901</v>
      </c>
      <c r="D30" t="s">
        <v>1900</v>
      </c>
    </row>
    <row r="31" spans="1:4" x14ac:dyDescent="0.25">
      <c r="A31" s="24" t="s">
        <v>64</v>
      </c>
    </row>
    <row r="32" spans="1:4" x14ac:dyDescent="0.25">
      <c r="A32" s="23" t="s">
        <v>65</v>
      </c>
    </row>
    <row r="33" spans="1:22" x14ac:dyDescent="0.25">
      <c r="A33" s="24" t="s">
        <v>66</v>
      </c>
      <c r="S33">
        <v>71</v>
      </c>
      <c r="T33">
        <v>51</v>
      </c>
    </row>
    <row r="34" spans="1:22" x14ac:dyDescent="0.25">
      <c r="A34" s="23" t="s">
        <v>68</v>
      </c>
    </row>
    <row r="35" spans="1:22" x14ac:dyDescent="0.25">
      <c r="A35" s="24" t="s">
        <v>69</v>
      </c>
    </row>
    <row r="36" spans="1:22" x14ac:dyDescent="0.25">
      <c r="A36" s="23" t="s">
        <v>71</v>
      </c>
    </row>
    <row r="37" spans="1:22" x14ac:dyDescent="0.25">
      <c r="A37" s="24" t="s">
        <v>73</v>
      </c>
    </row>
    <row r="38" spans="1:22" x14ac:dyDescent="0.25">
      <c r="A38" s="23" t="s">
        <v>74</v>
      </c>
      <c r="S38">
        <v>15</v>
      </c>
    </row>
    <row r="39" spans="1:22" x14ac:dyDescent="0.25">
      <c r="A39" s="24" t="s">
        <v>76</v>
      </c>
    </row>
    <row r="40" spans="1:22" x14ac:dyDescent="0.25">
      <c r="A40" s="23" t="s">
        <v>78</v>
      </c>
      <c r="B40">
        <v>5.77</v>
      </c>
      <c r="V40" t="s">
        <v>747</v>
      </c>
    </row>
    <row r="41" spans="1:22" x14ac:dyDescent="0.25">
      <c r="A41" s="24" t="s">
        <v>80</v>
      </c>
    </row>
    <row r="42" spans="1:22" x14ac:dyDescent="0.25">
      <c r="A42" s="23" t="s">
        <v>82</v>
      </c>
    </row>
    <row r="43" spans="1:22" x14ac:dyDescent="0.25">
      <c r="A43" s="24" t="s">
        <v>84</v>
      </c>
    </row>
    <row r="44" spans="1:22" x14ac:dyDescent="0.25">
      <c r="A44" s="23" t="s">
        <v>85</v>
      </c>
    </row>
    <row r="45" spans="1:22" x14ac:dyDescent="0.25">
      <c r="A45" s="24" t="s">
        <v>87</v>
      </c>
    </row>
    <row r="46" spans="1:22" x14ac:dyDescent="0.25">
      <c r="A46" s="23" t="s">
        <v>89</v>
      </c>
    </row>
    <row r="47" spans="1:22" x14ac:dyDescent="0.25">
      <c r="A47" s="24" t="s">
        <v>91</v>
      </c>
    </row>
    <row r="48" spans="1:22" x14ac:dyDescent="0.25">
      <c r="A48" s="23" t="s">
        <v>92</v>
      </c>
    </row>
    <row r="49" spans="1:2" x14ac:dyDescent="0.25">
      <c r="A49" s="24" t="s">
        <v>93</v>
      </c>
    </row>
    <row r="50" spans="1:2" x14ac:dyDescent="0.25">
      <c r="A50" s="23" t="s">
        <v>95</v>
      </c>
    </row>
    <row r="51" spans="1:2" x14ac:dyDescent="0.25">
      <c r="A51" s="24" t="s">
        <v>97</v>
      </c>
    </row>
    <row r="52" spans="1:2" x14ac:dyDescent="0.25">
      <c r="A52" s="23" t="s">
        <v>99</v>
      </c>
    </row>
    <row r="53" spans="1:2" x14ac:dyDescent="0.25">
      <c r="A53" s="24" t="s">
        <v>100</v>
      </c>
    </row>
    <row r="54" spans="1:2" x14ac:dyDescent="0.25">
      <c r="A54" s="23" t="s">
        <v>101</v>
      </c>
    </row>
    <row r="55" spans="1:2" x14ac:dyDescent="0.25">
      <c r="A55" s="24" t="s">
        <v>102</v>
      </c>
    </row>
    <row r="56" spans="1:2" x14ac:dyDescent="0.25">
      <c r="A56" s="23" t="s">
        <v>103</v>
      </c>
      <c r="B56" t="s">
        <v>2011</v>
      </c>
    </row>
    <row r="57" spans="1:2" x14ac:dyDescent="0.25">
      <c r="A57" s="24" t="s">
        <v>105</v>
      </c>
    </row>
    <row r="58" spans="1:2" x14ac:dyDescent="0.25">
      <c r="A58" s="23" t="s">
        <v>106</v>
      </c>
    </row>
    <row r="59" spans="1:2" x14ac:dyDescent="0.25">
      <c r="A59" s="24" t="s">
        <v>107</v>
      </c>
    </row>
    <row r="60" spans="1:2" x14ac:dyDescent="0.25">
      <c r="A60" s="23" t="s">
        <v>108</v>
      </c>
    </row>
    <row r="61" spans="1:2" x14ac:dyDescent="0.25">
      <c r="A61" s="24" t="s">
        <v>109</v>
      </c>
    </row>
    <row r="62" spans="1:2" x14ac:dyDescent="0.25">
      <c r="A62" s="23" t="s">
        <v>110</v>
      </c>
    </row>
    <row r="63" spans="1:2" x14ac:dyDescent="0.25">
      <c r="A63" s="24" t="s">
        <v>111</v>
      </c>
    </row>
    <row r="64" spans="1:2" x14ac:dyDescent="0.25">
      <c r="A64" s="23" t="s">
        <v>112</v>
      </c>
    </row>
    <row r="65" spans="1:16" x14ac:dyDescent="0.25">
      <c r="A65" s="24" t="s">
        <v>113</v>
      </c>
    </row>
    <row r="66" spans="1:16" x14ac:dyDescent="0.25">
      <c r="A66" s="23" t="s">
        <v>115</v>
      </c>
    </row>
    <row r="67" spans="1:16" x14ac:dyDescent="0.25">
      <c r="A67" s="24" t="s">
        <v>116</v>
      </c>
    </row>
    <row r="68" spans="1:16" x14ac:dyDescent="0.25">
      <c r="A68" s="23" t="s">
        <v>117</v>
      </c>
    </row>
    <row r="69" spans="1:16" x14ac:dyDescent="0.25">
      <c r="A69" s="24" t="s">
        <v>119</v>
      </c>
      <c r="B69">
        <v>37</v>
      </c>
      <c r="F69">
        <v>33.1</v>
      </c>
      <c r="P69">
        <v>77</v>
      </c>
    </row>
    <row r="70" spans="1:16" x14ac:dyDescent="0.25">
      <c r="A70" s="23" t="s">
        <v>120</v>
      </c>
    </row>
    <row r="71" spans="1:16" x14ac:dyDescent="0.25">
      <c r="A71" s="24" t="s">
        <v>122</v>
      </c>
    </row>
    <row r="72" spans="1:16" x14ac:dyDescent="0.25">
      <c r="A72" s="23" t="s">
        <v>123</v>
      </c>
    </row>
    <row r="73" spans="1:16" x14ac:dyDescent="0.25">
      <c r="A73" s="24" t="s">
        <v>125</v>
      </c>
      <c r="C73">
        <v>425</v>
      </c>
      <c r="G73">
        <v>12</v>
      </c>
    </row>
    <row r="74" spans="1:16" x14ac:dyDescent="0.25">
      <c r="A74" s="23" t="s">
        <v>126</v>
      </c>
    </row>
    <row r="75" spans="1:16" x14ac:dyDescent="0.25">
      <c r="A75" s="24" t="s">
        <v>127</v>
      </c>
    </row>
    <row r="76" spans="1:16" x14ac:dyDescent="0.25">
      <c r="A76" s="23" t="s">
        <v>128</v>
      </c>
    </row>
    <row r="77" spans="1:16" x14ac:dyDescent="0.25">
      <c r="A77" s="24" t="s">
        <v>131</v>
      </c>
    </row>
    <row r="78" spans="1:16" x14ac:dyDescent="0.25">
      <c r="A78" s="23" t="s">
        <v>133</v>
      </c>
    </row>
    <row r="79" spans="1:16" x14ac:dyDescent="0.25">
      <c r="A79" s="24" t="s">
        <v>134</v>
      </c>
    </row>
    <row r="80" spans="1:16" x14ac:dyDescent="0.25">
      <c r="A80" s="23" t="s">
        <v>136</v>
      </c>
    </row>
    <row r="81" spans="1:11" x14ac:dyDescent="0.25">
      <c r="A81" s="24" t="s">
        <v>138</v>
      </c>
    </row>
    <row r="82" spans="1:11" x14ac:dyDescent="0.25">
      <c r="A82" s="23" t="s">
        <v>140</v>
      </c>
    </row>
    <row r="83" spans="1:11" x14ac:dyDescent="0.25">
      <c r="A83" s="24" t="s">
        <v>142</v>
      </c>
    </row>
    <row r="84" spans="1:11" x14ac:dyDescent="0.25">
      <c r="A84" s="23" t="s">
        <v>143</v>
      </c>
    </row>
    <row r="85" spans="1:11" x14ac:dyDescent="0.25">
      <c r="A85" s="24" t="s">
        <v>144</v>
      </c>
    </row>
    <row r="86" spans="1:11" x14ac:dyDescent="0.25">
      <c r="A86" s="23" t="s">
        <v>145</v>
      </c>
    </row>
    <row r="87" spans="1:11" x14ac:dyDescent="0.25">
      <c r="A87" s="24" t="s">
        <v>146</v>
      </c>
    </row>
    <row r="88" spans="1:11" x14ac:dyDescent="0.25">
      <c r="A88" s="23" t="s">
        <v>147</v>
      </c>
    </row>
    <row r="89" spans="1:11" x14ac:dyDescent="0.25">
      <c r="A89" s="24" t="s">
        <v>148</v>
      </c>
    </row>
    <row r="90" spans="1:11" x14ac:dyDescent="0.25">
      <c r="A90" s="23" t="s">
        <v>149</v>
      </c>
    </row>
    <row r="91" spans="1:11" x14ac:dyDescent="0.25">
      <c r="A91" s="24" t="s">
        <v>150</v>
      </c>
    </row>
    <row r="92" spans="1:11" x14ac:dyDescent="0.25">
      <c r="A92" s="23" t="s">
        <v>151</v>
      </c>
    </row>
    <row r="93" spans="1:11" x14ac:dyDescent="0.25">
      <c r="A93" s="24"/>
    </row>
    <row r="94" spans="1:11" x14ac:dyDescent="0.25">
      <c r="A94" s="23" t="s">
        <v>321</v>
      </c>
    </row>
    <row r="95" spans="1:11" x14ac:dyDescent="0.25">
      <c r="A95" s="24" t="s">
        <v>152</v>
      </c>
      <c r="B95">
        <v>45</v>
      </c>
    </row>
    <row r="96" spans="1:11" x14ac:dyDescent="0.25">
      <c r="A96" s="23" t="s">
        <v>153</v>
      </c>
      <c r="B96" t="s">
        <v>907</v>
      </c>
      <c r="C96" t="s">
        <v>908</v>
      </c>
      <c r="F96">
        <v>8</v>
      </c>
      <c r="G96" t="s">
        <v>907</v>
      </c>
      <c r="H96">
        <v>9</v>
      </c>
      <c r="I96">
        <v>11</v>
      </c>
      <c r="J96">
        <v>12</v>
      </c>
      <c r="K96">
        <v>13</v>
      </c>
    </row>
    <row r="97" spans="1:16" x14ac:dyDescent="0.25">
      <c r="A97" s="24" t="s">
        <v>155</v>
      </c>
    </row>
    <row r="98" spans="1:16" x14ac:dyDescent="0.25">
      <c r="A98" s="23" t="s">
        <v>157</v>
      </c>
    </row>
    <row r="99" spans="1:16" x14ac:dyDescent="0.25">
      <c r="A99" s="24" t="s">
        <v>158</v>
      </c>
      <c r="B99">
        <v>18</v>
      </c>
      <c r="C99">
        <v>12</v>
      </c>
      <c r="D99">
        <v>19</v>
      </c>
      <c r="E99">
        <v>27</v>
      </c>
      <c r="F99">
        <v>31</v>
      </c>
      <c r="G99">
        <v>26</v>
      </c>
      <c r="K99">
        <v>13</v>
      </c>
      <c r="L99">
        <v>13</v>
      </c>
      <c r="M99">
        <v>13</v>
      </c>
      <c r="N99">
        <v>14</v>
      </c>
      <c r="O99">
        <v>12</v>
      </c>
      <c r="P99">
        <v>7</v>
      </c>
    </row>
    <row r="100" spans="1:16" x14ac:dyDescent="0.25">
      <c r="A100" s="23" t="s">
        <v>160</v>
      </c>
    </row>
    <row r="101" spans="1:16" x14ac:dyDescent="0.25">
      <c r="A101" s="24" t="s">
        <v>162</v>
      </c>
    </row>
    <row r="102" spans="1:16" x14ac:dyDescent="0.25">
      <c r="A102" s="23" t="s">
        <v>163</v>
      </c>
    </row>
    <row r="103" spans="1:16" x14ac:dyDescent="0.25">
      <c r="A103" s="24" t="s">
        <v>164</v>
      </c>
    </row>
    <row r="104" spans="1:16" x14ac:dyDescent="0.25">
      <c r="A104" s="23" t="s">
        <v>165</v>
      </c>
    </row>
    <row r="105" spans="1:16" x14ac:dyDescent="0.25">
      <c r="A105" s="24" t="s">
        <v>166</v>
      </c>
    </row>
    <row r="106" spans="1:16" x14ac:dyDescent="0.25">
      <c r="A106" s="23" t="s">
        <v>167</v>
      </c>
    </row>
    <row r="107" spans="1:16" x14ac:dyDescent="0.25">
      <c r="A107" s="24" t="s">
        <v>169</v>
      </c>
    </row>
    <row r="108" spans="1:16" x14ac:dyDescent="0.25">
      <c r="A108" s="23" t="s">
        <v>170</v>
      </c>
    </row>
    <row r="109" spans="1:16" x14ac:dyDescent="0.25">
      <c r="A109" s="24" t="s">
        <v>172</v>
      </c>
    </row>
    <row r="110" spans="1:16" x14ac:dyDescent="0.25">
      <c r="A110" s="23" t="s">
        <v>173</v>
      </c>
    </row>
    <row r="111" spans="1:16" x14ac:dyDescent="0.25">
      <c r="A111" s="24" t="s">
        <v>175</v>
      </c>
    </row>
    <row r="112" spans="1:16" x14ac:dyDescent="0.25">
      <c r="A112" s="23" t="s">
        <v>176</v>
      </c>
    </row>
    <row r="113" spans="1:19" x14ac:dyDescent="0.25">
      <c r="A113" s="24" t="s">
        <v>177</v>
      </c>
    </row>
    <row r="114" spans="1:19" x14ac:dyDescent="0.25">
      <c r="A114" s="23" t="s">
        <v>178</v>
      </c>
    </row>
    <row r="115" spans="1:19" x14ac:dyDescent="0.25">
      <c r="A115" s="24" t="s">
        <v>179</v>
      </c>
    </row>
    <row r="116" spans="1:19" x14ac:dyDescent="0.25">
      <c r="A116" s="23" t="s">
        <v>182</v>
      </c>
    </row>
    <row r="117" spans="1:19" x14ac:dyDescent="0.25">
      <c r="A117" s="24" t="s">
        <v>183</v>
      </c>
    </row>
    <row r="118" spans="1:19" x14ac:dyDescent="0.25">
      <c r="A118" s="23" t="s">
        <v>185</v>
      </c>
    </row>
    <row r="119" spans="1:19" x14ac:dyDescent="0.25">
      <c r="A119" s="24" t="s">
        <v>187</v>
      </c>
    </row>
    <row r="120" spans="1:19" x14ac:dyDescent="0.25">
      <c r="A120" s="23" t="s">
        <v>189</v>
      </c>
      <c r="C120" t="s">
        <v>1902</v>
      </c>
      <c r="D120">
        <v>400</v>
      </c>
      <c r="E120">
        <v>933</v>
      </c>
      <c r="F120">
        <v>1434</v>
      </c>
      <c r="G120">
        <v>1758</v>
      </c>
      <c r="M120">
        <v>332</v>
      </c>
      <c r="Q120">
        <v>24</v>
      </c>
      <c r="R120">
        <v>90</v>
      </c>
      <c r="S120">
        <v>99</v>
      </c>
    </row>
    <row r="121" spans="1:19" x14ac:dyDescent="0.25">
      <c r="A121" s="24" t="s">
        <v>191</v>
      </c>
    </row>
    <row r="122" spans="1:19" x14ac:dyDescent="0.25">
      <c r="A122" s="23" t="s">
        <v>192</v>
      </c>
    </row>
    <row r="123" spans="1:19" x14ac:dyDescent="0.25">
      <c r="A123" s="24" t="s">
        <v>194</v>
      </c>
    </row>
    <row r="124" spans="1:19" x14ac:dyDescent="0.25">
      <c r="A124" s="23" t="s">
        <v>196</v>
      </c>
    </row>
    <row r="125" spans="1:19" x14ac:dyDescent="0.25">
      <c r="A125" s="24" t="s">
        <v>197</v>
      </c>
    </row>
    <row r="126" spans="1:19" x14ac:dyDescent="0.25">
      <c r="A126" s="23" t="s">
        <v>199</v>
      </c>
    </row>
    <row r="127" spans="1:19" x14ac:dyDescent="0.25">
      <c r="A127" s="24" t="s">
        <v>200</v>
      </c>
    </row>
    <row r="128" spans="1:19" x14ac:dyDescent="0.25">
      <c r="A128" s="23" t="s">
        <v>201</v>
      </c>
    </row>
    <row r="129" spans="1:2" x14ac:dyDescent="0.25">
      <c r="A129" s="24" t="s">
        <v>202</v>
      </c>
    </row>
    <row r="130" spans="1:2" x14ac:dyDescent="0.25">
      <c r="A130" s="23" t="s">
        <v>294</v>
      </c>
    </row>
    <row r="131" spans="1:2" x14ac:dyDescent="0.25">
      <c r="A131" s="24" t="s">
        <v>207</v>
      </c>
      <c r="B131">
        <v>70</v>
      </c>
    </row>
    <row r="132" spans="1:2" x14ac:dyDescent="0.25">
      <c r="A132" s="23" t="s">
        <v>208</v>
      </c>
    </row>
    <row r="133" spans="1:2" x14ac:dyDescent="0.25">
      <c r="A133" s="24" t="s">
        <v>1589</v>
      </c>
    </row>
    <row r="134" spans="1:2" x14ac:dyDescent="0.25">
      <c r="A134" s="23" t="s">
        <v>209</v>
      </c>
    </row>
    <row r="135" spans="1:2" x14ac:dyDescent="0.25">
      <c r="A135" s="24" t="s">
        <v>211</v>
      </c>
    </row>
    <row r="136" spans="1:2" x14ac:dyDescent="0.25">
      <c r="A136" s="23" t="s">
        <v>212</v>
      </c>
    </row>
    <row r="137" spans="1:2" x14ac:dyDescent="0.25">
      <c r="A137" s="24" t="s">
        <v>214</v>
      </c>
    </row>
    <row r="138" spans="1:2" x14ac:dyDescent="0.25">
      <c r="A138" s="23" t="s">
        <v>216</v>
      </c>
    </row>
    <row r="139" spans="1:2" x14ac:dyDescent="0.25">
      <c r="A139" s="24" t="s">
        <v>218</v>
      </c>
    </row>
    <row r="140" spans="1:2" x14ac:dyDescent="0.25">
      <c r="A140" s="23" t="s">
        <v>220</v>
      </c>
    </row>
    <row r="141" spans="1:2" x14ac:dyDescent="0.25">
      <c r="A141" s="24" t="s">
        <v>222</v>
      </c>
      <c r="B141" t="s">
        <v>1067</v>
      </c>
    </row>
    <row r="142" spans="1:2" x14ac:dyDescent="0.25">
      <c r="A142" s="23" t="s">
        <v>224</v>
      </c>
    </row>
    <row r="143" spans="1:2" x14ac:dyDescent="0.25">
      <c r="A143" s="24" t="s">
        <v>225</v>
      </c>
    </row>
    <row r="144" spans="1:2" x14ac:dyDescent="0.25">
      <c r="A144" s="23" t="s">
        <v>227</v>
      </c>
    </row>
    <row r="145" spans="1:1" x14ac:dyDescent="0.25">
      <c r="A145" s="24" t="s">
        <v>229</v>
      </c>
    </row>
    <row r="146" spans="1:1" x14ac:dyDescent="0.25">
      <c r="A146" s="23" t="s">
        <v>231</v>
      </c>
    </row>
    <row r="147" spans="1:1" x14ac:dyDescent="0.25">
      <c r="A147" s="24" t="s">
        <v>232</v>
      </c>
    </row>
    <row r="148" spans="1:1" x14ac:dyDescent="0.25">
      <c r="A148" s="23" t="s">
        <v>234</v>
      </c>
    </row>
    <row r="149" spans="1:1" x14ac:dyDescent="0.25">
      <c r="A149" s="24" t="s">
        <v>236</v>
      </c>
    </row>
    <row r="150" spans="1:1" x14ac:dyDescent="0.25">
      <c r="A150" s="23" t="s">
        <v>1322</v>
      </c>
    </row>
    <row r="151" spans="1:1" x14ac:dyDescent="0.25">
      <c r="A151" s="24" t="s">
        <v>1323</v>
      </c>
    </row>
    <row r="152" spans="1:1" x14ac:dyDescent="0.25">
      <c r="A152" s="23" t="s">
        <v>1324</v>
      </c>
    </row>
    <row r="153" spans="1:1" x14ac:dyDescent="0.25">
      <c r="A153" s="24" t="s">
        <v>1325</v>
      </c>
    </row>
    <row r="154" spans="1:1" x14ac:dyDescent="0.25">
      <c r="A154" s="23" t="s">
        <v>1326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D16"/>
  <sheetViews>
    <sheetView workbookViewId="0">
      <selection sqref="A1:D1"/>
    </sheetView>
  </sheetViews>
  <sheetFormatPr defaultColWidth="9.140625" defaultRowHeight="15" x14ac:dyDescent="0.25"/>
  <cols>
    <col min="1" max="1" width="18" bestFit="1" customWidth="1"/>
    <col min="2" max="2" width="10" bestFit="1" customWidth="1"/>
    <col min="3" max="3" width="81.140625" bestFit="1" customWidth="1"/>
    <col min="4" max="4" width="35.85546875" bestFit="1" customWidth="1"/>
  </cols>
  <sheetData>
    <row r="1" spans="1:4" ht="15.75" x14ac:dyDescent="0.25">
      <c r="A1" s="29" t="s">
        <v>0</v>
      </c>
      <c r="B1" s="29" t="s">
        <v>2425</v>
      </c>
      <c r="C1" s="29" t="s">
        <v>2081</v>
      </c>
      <c r="D1" s="29" t="s">
        <v>2118</v>
      </c>
    </row>
    <row r="2" spans="1:4" x14ac:dyDescent="0.25">
      <c r="A2" t="s">
        <v>158</v>
      </c>
      <c r="B2" s="32" t="s">
        <v>2425</v>
      </c>
      <c r="C2" t="s">
        <v>2426</v>
      </c>
      <c r="D2">
        <v>12</v>
      </c>
    </row>
    <row r="3" spans="1:4" x14ac:dyDescent="0.25">
      <c r="A3" t="s">
        <v>189</v>
      </c>
      <c r="B3" s="32" t="s">
        <v>2425</v>
      </c>
      <c r="C3" t="s">
        <v>2427</v>
      </c>
      <c r="D3">
        <v>9</v>
      </c>
    </row>
    <row r="4" spans="1:4" x14ac:dyDescent="0.25">
      <c r="A4" t="s">
        <v>153</v>
      </c>
      <c r="B4" s="32" t="s">
        <v>2425</v>
      </c>
      <c r="C4" t="s">
        <v>2428</v>
      </c>
      <c r="D4">
        <v>8</v>
      </c>
    </row>
    <row r="5" spans="1:4" x14ac:dyDescent="0.25">
      <c r="A5" t="s">
        <v>119</v>
      </c>
      <c r="B5" s="32" t="s">
        <v>2425</v>
      </c>
      <c r="C5" t="s">
        <v>2429</v>
      </c>
      <c r="D5">
        <v>3</v>
      </c>
    </row>
    <row r="6" spans="1:4" x14ac:dyDescent="0.25">
      <c r="A6" t="s">
        <v>26</v>
      </c>
      <c r="B6" s="32" t="s">
        <v>2425</v>
      </c>
      <c r="C6" t="s">
        <v>2430</v>
      </c>
      <c r="D6">
        <v>2</v>
      </c>
    </row>
    <row r="7" spans="1:4" x14ac:dyDescent="0.25">
      <c r="A7" t="s">
        <v>125</v>
      </c>
      <c r="B7" s="32" t="s">
        <v>2425</v>
      </c>
      <c r="C7" t="s">
        <v>2431</v>
      </c>
      <c r="D7">
        <v>2</v>
      </c>
    </row>
    <row r="8" spans="1:4" x14ac:dyDescent="0.25">
      <c r="A8" t="s">
        <v>62</v>
      </c>
      <c r="B8" s="32" t="s">
        <v>2425</v>
      </c>
      <c r="C8" t="s">
        <v>2432</v>
      </c>
      <c r="D8">
        <v>2</v>
      </c>
    </row>
    <row r="9" spans="1:4" x14ac:dyDescent="0.25">
      <c r="A9" t="s">
        <v>78</v>
      </c>
      <c r="B9" s="32" t="s">
        <v>2425</v>
      </c>
      <c r="C9" t="s">
        <v>2433</v>
      </c>
      <c r="D9">
        <v>2</v>
      </c>
    </row>
    <row r="10" spans="1:4" x14ac:dyDescent="0.25">
      <c r="A10" t="s">
        <v>66</v>
      </c>
      <c r="B10" s="32" t="s">
        <v>2425</v>
      </c>
      <c r="C10" t="s">
        <v>2434</v>
      </c>
      <c r="D10">
        <v>2</v>
      </c>
    </row>
    <row r="11" spans="1:4" x14ac:dyDescent="0.25">
      <c r="A11" t="s">
        <v>222</v>
      </c>
      <c r="B11" s="32" t="s">
        <v>2425</v>
      </c>
      <c r="C11" t="s">
        <v>2423</v>
      </c>
      <c r="D11">
        <v>1</v>
      </c>
    </row>
    <row r="12" spans="1:4" x14ac:dyDescent="0.25">
      <c r="A12" t="s">
        <v>37</v>
      </c>
      <c r="B12" s="32" t="s">
        <v>2425</v>
      </c>
      <c r="C12" t="s">
        <v>2423</v>
      </c>
      <c r="D12">
        <v>1</v>
      </c>
    </row>
    <row r="13" spans="1:4" x14ac:dyDescent="0.25">
      <c r="A13" t="s">
        <v>207</v>
      </c>
      <c r="B13" s="32" t="s">
        <v>2425</v>
      </c>
      <c r="C13" t="s">
        <v>2423</v>
      </c>
      <c r="D13">
        <v>1</v>
      </c>
    </row>
    <row r="14" spans="1:4" x14ac:dyDescent="0.25">
      <c r="A14" t="s">
        <v>74</v>
      </c>
      <c r="B14" s="32" t="s">
        <v>2425</v>
      </c>
      <c r="C14" t="s">
        <v>650</v>
      </c>
      <c r="D14">
        <v>1</v>
      </c>
    </row>
    <row r="15" spans="1:4" x14ac:dyDescent="0.25">
      <c r="A15" t="s">
        <v>152</v>
      </c>
      <c r="B15" s="32" t="s">
        <v>2425</v>
      </c>
      <c r="C15" t="s">
        <v>2423</v>
      </c>
      <c r="D15">
        <v>1</v>
      </c>
    </row>
    <row r="16" spans="1:4" x14ac:dyDescent="0.25">
      <c r="A16" t="s">
        <v>103</v>
      </c>
      <c r="B16" s="32" t="s">
        <v>2425</v>
      </c>
      <c r="C16" t="s">
        <v>2423</v>
      </c>
      <c r="D16">
        <v>1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4"/>
  <sheetViews>
    <sheetView topLeftCell="E37" workbookViewId="0">
      <selection activeCell="B1" sqref="B1:T1"/>
    </sheetView>
  </sheetViews>
  <sheetFormatPr defaultColWidth="9.140625" defaultRowHeight="15" x14ac:dyDescent="0.25"/>
  <cols>
    <col min="1" max="1" width="18.140625" bestFit="1" customWidth="1"/>
    <col min="2" max="2" width="17" customWidth="1"/>
    <col min="3" max="3" width="14.140625" customWidth="1"/>
    <col min="4" max="4" width="11.5703125" customWidth="1"/>
    <col min="5" max="6" width="14.140625" customWidth="1"/>
    <col min="7" max="8" width="11.5703125" customWidth="1"/>
    <col min="9" max="11" width="14.140625" customWidth="1"/>
    <col min="12" max="12" width="11.5703125" customWidth="1"/>
    <col min="13" max="13" width="14.140625" customWidth="1"/>
    <col min="14" max="14" width="11.5703125" customWidth="1"/>
    <col min="15" max="16" width="14.140625" customWidth="1"/>
    <col min="17" max="17" width="11.5703125" customWidth="1"/>
    <col min="18" max="20" width="12.5703125" customWidth="1"/>
  </cols>
  <sheetData>
    <row r="1" spans="1:20" x14ac:dyDescent="0.25">
      <c r="A1" s="22" t="s">
        <v>0</v>
      </c>
      <c r="B1" s="18" t="s">
        <v>2435</v>
      </c>
      <c r="C1" s="18" t="s">
        <v>1909</v>
      </c>
      <c r="D1" s="18" t="s">
        <v>793</v>
      </c>
      <c r="E1" s="18" t="s">
        <v>1912</v>
      </c>
      <c r="F1" s="18" t="s">
        <v>1913</v>
      </c>
      <c r="G1" s="18" t="s">
        <v>641</v>
      </c>
      <c r="H1" s="18" t="s">
        <v>910</v>
      </c>
      <c r="I1" s="18" t="s">
        <v>1914</v>
      </c>
      <c r="J1" s="18" t="s">
        <v>1915</v>
      </c>
      <c r="K1" s="18" t="s">
        <v>1916</v>
      </c>
      <c r="L1" s="18" t="s">
        <v>911</v>
      </c>
      <c r="M1" s="18" t="s">
        <v>1917</v>
      </c>
      <c r="N1" s="18" t="s">
        <v>926</v>
      </c>
      <c r="O1" s="18" t="s">
        <v>1918</v>
      </c>
      <c r="P1" s="18" t="s">
        <v>1919</v>
      </c>
      <c r="Q1" s="18" t="s">
        <v>646</v>
      </c>
      <c r="R1" s="18" t="s">
        <v>651</v>
      </c>
      <c r="S1" s="18" t="s">
        <v>720</v>
      </c>
      <c r="T1" s="18" t="s">
        <v>705</v>
      </c>
    </row>
    <row r="2" spans="1:20" x14ac:dyDescent="0.25">
      <c r="A2" s="23" t="s">
        <v>6</v>
      </c>
    </row>
    <row r="3" spans="1:20" x14ac:dyDescent="0.25">
      <c r="A3" s="24" t="s">
        <v>11</v>
      </c>
    </row>
    <row r="4" spans="1:20" x14ac:dyDescent="0.25">
      <c r="A4" s="23" t="s">
        <v>12</v>
      </c>
    </row>
    <row r="5" spans="1:20" x14ac:dyDescent="0.25">
      <c r="A5" s="24" t="s">
        <v>16</v>
      </c>
    </row>
    <row r="6" spans="1:20" x14ac:dyDescent="0.25">
      <c r="A6" s="23" t="s">
        <v>18</v>
      </c>
    </row>
    <row r="7" spans="1:20" x14ac:dyDescent="0.25">
      <c r="A7" s="24" t="s">
        <v>20</v>
      </c>
    </row>
    <row r="8" spans="1:20" x14ac:dyDescent="0.25">
      <c r="A8" s="23" t="s">
        <v>22</v>
      </c>
    </row>
    <row r="9" spans="1:20" x14ac:dyDescent="0.25">
      <c r="A9" s="24" t="s">
        <v>24</v>
      </c>
    </row>
    <row r="10" spans="1:20" x14ac:dyDescent="0.25">
      <c r="A10" s="23" t="s">
        <v>26</v>
      </c>
      <c r="B10" t="s">
        <v>2436</v>
      </c>
      <c r="T10">
        <v>200</v>
      </c>
    </row>
    <row r="11" spans="1:20" x14ac:dyDescent="0.25">
      <c r="A11" s="24" t="s">
        <v>28</v>
      </c>
    </row>
    <row r="12" spans="1:20" x14ac:dyDescent="0.25">
      <c r="A12" s="23" t="s">
        <v>30</v>
      </c>
    </row>
    <row r="13" spans="1:20" x14ac:dyDescent="0.25">
      <c r="A13" s="24" t="s">
        <v>32</v>
      </c>
    </row>
    <row r="14" spans="1:20" x14ac:dyDescent="0.25">
      <c r="A14" s="23" t="s">
        <v>34</v>
      </c>
    </row>
    <row r="15" spans="1:20" x14ac:dyDescent="0.25">
      <c r="A15" s="24" t="s">
        <v>36</v>
      </c>
    </row>
    <row r="16" spans="1:20" x14ac:dyDescent="0.25">
      <c r="A16" s="23" t="s">
        <v>37</v>
      </c>
    </row>
    <row r="17" spans="1:3" x14ac:dyDescent="0.25">
      <c r="A17" s="24" t="s">
        <v>40</v>
      </c>
    </row>
    <row r="18" spans="1:3" x14ac:dyDescent="0.25">
      <c r="A18" s="23" t="s">
        <v>42</v>
      </c>
    </row>
    <row r="19" spans="1:3" x14ac:dyDescent="0.25">
      <c r="A19" s="24" t="s">
        <v>43</v>
      </c>
    </row>
    <row r="20" spans="1:3" x14ac:dyDescent="0.25">
      <c r="A20" s="23" t="s">
        <v>44</v>
      </c>
    </row>
    <row r="21" spans="1:3" x14ac:dyDescent="0.25">
      <c r="A21" s="24" t="s">
        <v>46</v>
      </c>
    </row>
    <row r="22" spans="1:3" x14ac:dyDescent="0.25">
      <c r="A22" s="23" t="s">
        <v>48</v>
      </c>
    </row>
    <row r="23" spans="1:3" x14ac:dyDescent="0.25">
      <c r="A23" s="24" t="s">
        <v>50</v>
      </c>
    </row>
    <row r="24" spans="1:3" x14ac:dyDescent="0.25">
      <c r="A24" s="23" t="s">
        <v>52</v>
      </c>
    </row>
    <row r="25" spans="1:3" x14ac:dyDescent="0.25">
      <c r="A25" s="24" t="s">
        <v>53</v>
      </c>
    </row>
    <row r="26" spans="1:3" x14ac:dyDescent="0.25">
      <c r="A26" s="23" t="s">
        <v>55</v>
      </c>
    </row>
    <row r="27" spans="1:3" x14ac:dyDescent="0.25">
      <c r="A27" s="24" t="s">
        <v>57</v>
      </c>
    </row>
    <row r="28" spans="1:3" x14ac:dyDescent="0.25">
      <c r="A28" s="23" t="s">
        <v>59</v>
      </c>
    </row>
    <row r="29" spans="1:3" x14ac:dyDescent="0.25">
      <c r="A29" s="24" t="s">
        <v>60</v>
      </c>
    </row>
    <row r="30" spans="1:3" x14ac:dyDescent="0.25">
      <c r="A30" s="23" t="s">
        <v>62</v>
      </c>
      <c r="B30" t="s">
        <v>1911</v>
      </c>
      <c r="C30" t="s">
        <v>1910</v>
      </c>
    </row>
    <row r="31" spans="1:3" x14ac:dyDescent="0.25">
      <c r="A31" s="24" t="s">
        <v>64</v>
      </c>
    </row>
    <row r="32" spans="1:3" x14ac:dyDescent="0.25">
      <c r="A32" s="23" t="s">
        <v>65</v>
      </c>
    </row>
    <row r="33" spans="1:19" x14ac:dyDescent="0.25">
      <c r="A33" s="24" t="s">
        <v>66</v>
      </c>
      <c r="R33">
        <v>483</v>
      </c>
      <c r="S33">
        <v>184</v>
      </c>
    </row>
    <row r="34" spans="1:19" x14ac:dyDescent="0.25">
      <c r="A34" s="23" t="s">
        <v>68</v>
      </c>
    </row>
    <row r="35" spans="1:19" x14ac:dyDescent="0.25">
      <c r="A35" s="24" t="s">
        <v>69</v>
      </c>
    </row>
    <row r="36" spans="1:19" x14ac:dyDescent="0.25">
      <c r="A36" s="23" t="s">
        <v>71</v>
      </c>
    </row>
    <row r="37" spans="1:19" x14ac:dyDescent="0.25">
      <c r="A37" s="24" t="s">
        <v>73</v>
      </c>
    </row>
    <row r="38" spans="1:19" x14ac:dyDescent="0.25">
      <c r="A38" s="23" t="s">
        <v>74</v>
      </c>
      <c r="B38" t="s">
        <v>1828</v>
      </c>
      <c r="G38" t="s">
        <v>2014</v>
      </c>
      <c r="Q38">
        <v>33</v>
      </c>
      <c r="R38" t="s">
        <v>1078</v>
      </c>
    </row>
    <row r="39" spans="1:19" x14ac:dyDescent="0.25">
      <c r="A39" s="24" t="s">
        <v>76</v>
      </c>
    </row>
    <row r="40" spans="1:19" x14ac:dyDescent="0.25">
      <c r="A40" s="23" t="s">
        <v>78</v>
      </c>
    </row>
    <row r="41" spans="1:19" x14ac:dyDescent="0.25">
      <c r="A41" s="24" t="s">
        <v>80</v>
      </c>
      <c r="B41" t="s">
        <v>2015</v>
      </c>
    </row>
    <row r="42" spans="1:19" x14ac:dyDescent="0.25">
      <c r="A42" s="23" t="s">
        <v>82</v>
      </c>
      <c r="B42">
        <v>48</v>
      </c>
    </row>
    <row r="43" spans="1:19" x14ac:dyDescent="0.25">
      <c r="A43" s="24" t="s">
        <v>84</v>
      </c>
    </row>
    <row r="44" spans="1:19" x14ac:dyDescent="0.25">
      <c r="A44" s="23" t="s">
        <v>85</v>
      </c>
      <c r="B44">
        <v>33</v>
      </c>
    </row>
    <row r="45" spans="1:19" x14ac:dyDescent="0.25">
      <c r="A45" s="24" t="s">
        <v>87</v>
      </c>
    </row>
    <row r="46" spans="1:19" x14ac:dyDescent="0.25">
      <c r="A46" s="23" t="s">
        <v>89</v>
      </c>
    </row>
    <row r="47" spans="1:19" x14ac:dyDescent="0.25">
      <c r="A47" s="24" t="s">
        <v>91</v>
      </c>
    </row>
    <row r="48" spans="1:19" x14ac:dyDescent="0.25">
      <c r="A48" s="23" t="s">
        <v>92</v>
      </c>
    </row>
    <row r="49" spans="1:5" x14ac:dyDescent="0.25">
      <c r="A49" s="24" t="s">
        <v>93</v>
      </c>
      <c r="D49">
        <v>155</v>
      </c>
      <c r="E49">
        <v>188</v>
      </c>
    </row>
    <row r="50" spans="1:5" x14ac:dyDescent="0.25">
      <c r="A50" s="23" t="s">
        <v>95</v>
      </c>
    </row>
    <row r="51" spans="1:5" x14ac:dyDescent="0.25">
      <c r="A51" s="24" t="s">
        <v>97</v>
      </c>
    </row>
    <row r="52" spans="1:5" x14ac:dyDescent="0.25">
      <c r="A52" s="23" t="s">
        <v>99</v>
      </c>
    </row>
    <row r="53" spans="1:5" x14ac:dyDescent="0.25">
      <c r="A53" s="24" t="s">
        <v>100</v>
      </c>
    </row>
    <row r="54" spans="1:5" x14ac:dyDescent="0.25">
      <c r="A54" s="23" t="s">
        <v>101</v>
      </c>
    </row>
    <row r="55" spans="1:5" x14ac:dyDescent="0.25">
      <c r="A55" s="24" t="s">
        <v>102</v>
      </c>
    </row>
    <row r="56" spans="1:5" x14ac:dyDescent="0.25">
      <c r="A56" s="23" t="s">
        <v>103</v>
      </c>
      <c r="B56">
        <v>27</v>
      </c>
    </row>
    <row r="57" spans="1:5" x14ac:dyDescent="0.25">
      <c r="A57" s="24" t="s">
        <v>105</v>
      </c>
    </row>
    <row r="58" spans="1:5" x14ac:dyDescent="0.25">
      <c r="A58" s="23" t="s">
        <v>106</v>
      </c>
    </row>
    <row r="59" spans="1:5" x14ac:dyDescent="0.25">
      <c r="A59" s="24" t="s">
        <v>107</v>
      </c>
    </row>
    <row r="60" spans="1:5" x14ac:dyDescent="0.25">
      <c r="A60" s="23" t="s">
        <v>108</v>
      </c>
    </row>
    <row r="61" spans="1:5" x14ac:dyDescent="0.25">
      <c r="A61" s="24" t="s">
        <v>109</v>
      </c>
    </row>
    <row r="62" spans="1:5" x14ac:dyDescent="0.25">
      <c r="A62" s="23" t="s">
        <v>110</v>
      </c>
    </row>
    <row r="63" spans="1:5" x14ac:dyDescent="0.25">
      <c r="A63" s="24" t="s">
        <v>111</v>
      </c>
    </row>
    <row r="64" spans="1:5" x14ac:dyDescent="0.25">
      <c r="A64" s="23" t="s">
        <v>112</v>
      </c>
    </row>
    <row r="65" spans="1:17" x14ac:dyDescent="0.25">
      <c r="A65" s="24" t="s">
        <v>113</v>
      </c>
    </row>
    <row r="66" spans="1:17" x14ac:dyDescent="0.25">
      <c r="A66" s="23" t="s">
        <v>115</v>
      </c>
    </row>
    <row r="67" spans="1:17" x14ac:dyDescent="0.25">
      <c r="A67" s="24" t="s">
        <v>116</v>
      </c>
    </row>
    <row r="68" spans="1:17" x14ac:dyDescent="0.25">
      <c r="A68" s="23" t="s">
        <v>117</v>
      </c>
    </row>
    <row r="69" spans="1:17" x14ac:dyDescent="0.25">
      <c r="A69" s="24" t="s">
        <v>119</v>
      </c>
      <c r="B69">
        <v>34</v>
      </c>
      <c r="G69">
        <v>36</v>
      </c>
      <c r="Q69">
        <v>75</v>
      </c>
    </row>
    <row r="70" spans="1:17" x14ac:dyDescent="0.25">
      <c r="A70" s="23" t="s">
        <v>120</v>
      </c>
    </row>
    <row r="71" spans="1:17" x14ac:dyDescent="0.25">
      <c r="A71" s="24" t="s">
        <v>122</v>
      </c>
    </row>
    <row r="72" spans="1:17" x14ac:dyDescent="0.25">
      <c r="A72" s="23" t="s">
        <v>123</v>
      </c>
    </row>
    <row r="73" spans="1:17" x14ac:dyDescent="0.25">
      <c r="A73" s="24" t="s">
        <v>125</v>
      </c>
    </row>
    <row r="74" spans="1:17" x14ac:dyDescent="0.25">
      <c r="A74" s="23" t="s">
        <v>126</v>
      </c>
    </row>
    <row r="75" spans="1:17" x14ac:dyDescent="0.25">
      <c r="A75" s="24" t="s">
        <v>127</v>
      </c>
    </row>
    <row r="76" spans="1:17" x14ac:dyDescent="0.25">
      <c r="A76" s="23" t="s">
        <v>128</v>
      </c>
    </row>
    <row r="77" spans="1:17" x14ac:dyDescent="0.25">
      <c r="A77" s="24" t="s">
        <v>131</v>
      </c>
    </row>
    <row r="78" spans="1:17" x14ac:dyDescent="0.25">
      <c r="A78" s="23" t="s">
        <v>133</v>
      </c>
    </row>
    <row r="79" spans="1:17" x14ac:dyDescent="0.25">
      <c r="A79" s="24" t="s">
        <v>134</v>
      </c>
    </row>
    <row r="80" spans="1:17" x14ac:dyDescent="0.25">
      <c r="A80" s="23" t="s">
        <v>136</v>
      </c>
    </row>
    <row r="81" spans="1:12" x14ac:dyDescent="0.25">
      <c r="A81" s="24" t="s">
        <v>138</v>
      </c>
    </row>
    <row r="82" spans="1:12" x14ac:dyDescent="0.25">
      <c r="A82" s="23" t="s">
        <v>140</v>
      </c>
    </row>
    <row r="83" spans="1:12" x14ac:dyDescent="0.25">
      <c r="A83" s="24" t="s">
        <v>142</v>
      </c>
    </row>
    <row r="84" spans="1:12" x14ac:dyDescent="0.25">
      <c r="A84" s="23" t="s">
        <v>143</v>
      </c>
    </row>
    <row r="85" spans="1:12" x14ac:dyDescent="0.25">
      <c r="A85" s="24" t="s">
        <v>144</v>
      </c>
    </row>
    <row r="86" spans="1:12" x14ac:dyDescent="0.25">
      <c r="A86" s="23" t="s">
        <v>145</v>
      </c>
    </row>
    <row r="87" spans="1:12" x14ac:dyDescent="0.25">
      <c r="A87" s="24" t="s">
        <v>146</v>
      </c>
    </row>
    <row r="88" spans="1:12" x14ac:dyDescent="0.25">
      <c r="A88" s="23" t="s">
        <v>147</v>
      </c>
    </row>
    <row r="89" spans="1:12" x14ac:dyDescent="0.25">
      <c r="A89" s="24" t="s">
        <v>148</v>
      </c>
    </row>
    <row r="90" spans="1:12" x14ac:dyDescent="0.25">
      <c r="A90" s="23" t="s">
        <v>149</v>
      </c>
    </row>
    <row r="91" spans="1:12" x14ac:dyDescent="0.25">
      <c r="A91" s="24" t="s">
        <v>150</v>
      </c>
    </row>
    <row r="92" spans="1:12" x14ac:dyDescent="0.25">
      <c r="A92" s="23" t="s">
        <v>151</v>
      </c>
    </row>
    <row r="93" spans="1:12" x14ac:dyDescent="0.25">
      <c r="A93" s="24"/>
    </row>
    <row r="94" spans="1:12" x14ac:dyDescent="0.25">
      <c r="A94" s="23" t="s">
        <v>321</v>
      </c>
    </row>
    <row r="95" spans="1:12" x14ac:dyDescent="0.25">
      <c r="A95" s="24" t="s">
        <v>152</v>
      </c>
      <c r="B95">
        <v>6</v>
      </c>
    </row>
    <row r="96" spans="1:12" x14ac:dyDescent="0.25">
      <c r="A96" s="23" t="s">
        <v>153</v>
      </c>
      <c r="B96">
        <v>19</v>
      </c>
      <c r="D96">
        <v>12</v>
      </c>
      <c r="G96">
        <v>10</v>
      </c>
      <c r="H96">
        <v>11</v>
      </c>
      <c r="I96">
        <v>13</v>
      </c>
      <c r="J96">
        <v>17</v>
      </c>
      <c r="K96">
        <v>15</v>
      </c>
      <c r="L96">
        <v>14</v>
      </c>
    </row>
    <row r="97" spans="1:17" x14ac:dyDescent="0.25">
      <c r="A97" s="24" t="s">
        <v>155</v>
      </c>
    </row>
    <row r="98" spans="1:17" x14ac:dyDescent="0.25">
      <c r="A98" s="23" t="s">
        <v>157</v>
      </c>
    </row>
    <row r="99" spans="1:17" x14ac:dyDescent="0.25">
      <c r="A99" s="24" t="s">
        <v>158</v>
      </c>
      <c r="B99">
        <v>14</v>
      </c>
      <c r="D99">
        <v>14</v>
      </c>
      <c r="E99">
        <v>13</v>
      </c>
      <c r="F99">
        <v>17</v>
      </c>
      <c r="G99">
        <v>16</v>
      </c>
      <c r="H99">
        <v>14</v>
      </c>
      <c r="L99">
        <v>13</v>
      </c>
      <c r="M99">
        <v>19</v>
      </c>
      <c r="N99">
        <v>18</v>
      </c>
      <c r="O99">
        <v>16</v>
      </c>
      <c r="P99">
        <v>14</v>
      </c>
      <c r="Q99">
        <v>13</v>
      </c>
    </row>
    <row r="100" spans="1:17" x14ac:dyDescent="0.25">
      <c r="A100" s="23" t="s">
        <v>160</v>
      </c>
    </row>
    <row r="101" spans="1:17" x14ac:dyDescent="0.25">
      <c r="A101" s="24" t="s">
        <v>162</v>
      </c>
    </row>
    <row r="102" spans="1:17" x14ac:dyDescent="0.25">
      <c r="A102" s="23" t="s">
        <v>163</v>
      </c>
    </row>
    <row r="103" spans="1:17" x14ac:dyDescent="0.25">
      <c r="A103" s="24" t="s">
        <v>164</v>
      </c>
    </row>
    <row r="104" spans="1:17" x14ac:dyDescent="0.25">
      <c r="A104" s="23" t="s">
        <v>165</v>
      </c>
    </row>
    <row r="105" spans="1:17" x14ac:dyDescent="0.25">
      <c r="A105" s="24" t="s">
        <v>166</v>
      </c>
    </row>
    <row r="106" spans="1:17" x14ac:dyDescent="0.25">
      <c r="A106" s="23" t="s">
        <v>167</v>
      </c>
    </row>
    <row r="107" spans="1:17" x14ac:dyDescent="0.25">
      <c r="A107" s="24" t="s">
        <v>169</v>
      </c>
    </row>
    <row r="108" spans="1:17" x14ac:dyDescent="0.25">
      <c r="A108" s="23" t="s">
        <v>170</v>
      </c>
    </row>
    <row r="109" spans="1:17" x14ac:dyDescent="0.25">
      <c r="A109" s="24" t="s">
        <v>172</v>
      </c>
    </row>
    <row r="110" spans="1:17" x14ac:dyDescent="0.25">
      <c r="A110" s="23" t="s">
        <v>173</v>
      </c>
    </row>
    <row r="111" spans="1:17" x14ac:dyDescent="0.25">
      <c r="A111" s="24" t="s">
        <v>175</v>
      </c>
    </row>
    <row r="112" spans="1:17" x14ac:dyDescent="0.25">
      <c r="A112" s="23" t="s">
        <v>176</v>
      </c>
    </row>
    <row r="113" spans="1:14" x14ac:dyDescent="0.25">
      <c r="A113" s="24" t="s">
        <v>177</v>
      </c>
    </row>
    <row r="114" spans="1:14" x14ac:dyDescent="0.25">
      <c r="A114" s="23" t="s">
        <v>178</v>
      </c>
    </row>
    <row r="115" spans="1:14" x14ac:dyDescent="0.25">
      <c r="A115" s="24" t="s">
        <v>179</v>
      </c>
    </row>
    <row r="116" spans="1:14" x14ac:dyDescent="0.25">
      <c r="A116" s="23" t="s">
        <v>182</v>
      </c>
    </row>
    <row r="117" spans="1:14" x14ac:dyDescent="0.25">
      <c r="A117" s="24" t="s">
        <v>183</v>
      </c>
    </row>
    <row r="118" spans="1:14" x14ac:dyDescent="0.25">
      <c r="A118" s="23" t="s">
        <v>185</v>
      </c>
    </row>
    <row r="119" spans="1:14" x14ac:dyDescent="0.25">
      <c r="A119" s="24" t="s">
        <v>187</v>
      </c>
    </row>
    <row r="120" spans="1:14" x14ac:dyDescent="0.25">
      <c r="A120" s="23" t="s">
        <v>189</v>
      </c>
      <c r="D120">
        <v>273</v>
      </c>
      <c r="G120">
        <v>1000</v>
      </c>
      <c r="H120">
        <v>1000</v>
      </c>
      <c r="N120">
        <v>892</v>
      </c>
    </row>
    <row r="121" spans="1:14" x14ac:dyDescent="0.25">
      <c r="A121" s="24" t="s">
        <v>191</v>
      </c>
      <c r="B121">
        <v>32</v>
      </c>
      <c r="G121">
        <v>19</v>
      </c>
    </row>
    <row r="122" spans="1:14" x14ac:dyDescent="0.25">
      <c r="A122" s="23" t="s">
        <v>192</v>
      </c>
    </row>
    <row r="123" spans="1:14" x14ac:dyDescent="0.25">
      <c r="A123" s="24" t="s">
        <v>194</v>
      </c>
    </row>
    <row r="124" spans="1:14" x14ac:dyDescent="0.25">
      <c r="A124" s="23" t="s">
        <v>196</v>
      </c>
    </row>
    <row r="125" spans="1:14" x14ac:dyDescent="0.25">
      <c r="A125" s="24" t="s">
        <v>197</v>
      </c>
    </row>
    <row r="126" spans="1:14" x14ac:dyDescent="0.25">
      <c r="A126" s="23" t="s">
        <v>199</v>
      </c>
    </row>
    <row r="127" spans="1:14" x14ac:dyDescent="0.25">
      <c r="A127" s="24" t="s">
        <v>200</v>
      </c>
    </row>
    <row r="128" spans="1:14" x14ac:dyDescent="0.25">
      <c r="A128" s="23" t="s">
        <v>201</v>
      </c>
    </row>
    <row r="129" spans="1:2" x14ac:dyDescent="0.25">
      <c r="A129" s="24" t="s">
        <v>202</v>
      </c>
    </row>
    <row r="130" spans="1:2" x14ac:dyDescent="0.25">
      <c r="A130" s="23" t="s">
        <v>294</v>
      </c>
    </row>
    <row r="131" spans="1:2" x14ac:dyDescent="0.25">
      <c r="A131" s="24" t="s">
        <v>207</v>
      </c>
      <c r="B131">
        <v>55</v>
      </c>
    </row>
    <row r="132" spans="1:2" x14ac:dyDescent="0.25">
      <c r="A132" s="23" t="s">
        <v>208</v>
      </c>
    </row>
    <row r="133" spans="1:2" x14ac:dyDescent="0.25">
      <c r="A133" s="24" t="s">
        <v>1589</v>
      </c>
    </row>
    <row r="134" spans="1:2" x14ac:dyDescent="0.25">
      <c r="A134" s="23" t="s">
        <v>209</v>
      </c>
    </row>
    <row r="135" spans="1:2" x14ac:dyDescent="0.25">
      <c r="A135" s="24" t="s">
        <v>211</v>
      </c>
    </row>
    <row r="136" spans="1:2" x14ac:dyDescent="0.25">
      <c r="A136" s="23" t="s">
        <v>212</v>
      </c>
    </row>
    <row r="137" spans="1:2" x14ac:dyDescent="0.25">
      <c r="A137" s="24" t="s">
        <v>214</v>
      </c>
    </row>
    <row r="138" spans="1:2" x14ac:dyDescent="0.25">
      <c r="A138" s="23" t="s">
        <v>216</v>
      </c>
    </row>
    <row r="139" spans="1:2" x14ac:dyDescent="0.25">
      <c r="A139" s="24" t="s">
        <v>218</v>
      </c>
    </row>
    <row r="140" spans="1:2" x14ac:dyDescent="0.25">
      <c r="A140" s="23" t="s">
        <v>220</v>
      </c>
    </row>
    <row r="141" spans="1:2" x14ac:dyDescent="0.25">
      <c r="A141" s="24" t="s">
        <v>222</v>
      </c>
    </row>
    <row r="142" spans="1:2" x14ac:dyDescent="0.25">
      <c r="A142" s="23" t="s">
        <v>224</v>
      </c>
    </row>
    <row r="143" spans="1:2" x14ac:dyDescent="0.25">
      <c r="A143" s="24" t="s">
        <v>225</v>
      </c>
    </row>
    <row r="144" spans="1:2" x14ac:dyDescent="0.25">
      <c r="A144" s="23" t="s">
        <v>227</v>
      </c>
    </row>
    <row r="145" spans="1:1" x14ac:dyDescent="0.25">
      <c r="A145" s="24" t="s">
        <v>229</v>
      </c>
    </row>
    <row r="146" spans="1:1" x14ac:dyDescent="0.25">
      <c r="A146" s="23" t="s">
        <v>231</v>
      </c>
    </row>
    <row r="147" spans="1:1" x14ac:dyDescent="0.25">
      <c r="A147" s="24" t="s">
        <v>232</v>
      </c>
    </row>
    <row r="148" spans="1:1" x14ac:dyDescent="0.25">
      <c r="A148" s="23" t="s">
        <v>234</v>
      </c>
    </row>
    <row r="149" spans="1:1" x14ac:dyDescent="0.25">
      <c r="A149" s="24" t="s">
        <v>236</v>
      </c>
    </row>
    <row r="150" spans="1:1" x14ac:dyDescent="0.25">
      <c r="A150" s="23" t="s">
        <v>1322</v>
      </c>
    </row>
    <row r="151" spans="1:1" x14ac:dyDescent="0.25">
      <c r="A151" s="24" t="s">
        <v>1323</v>
      </c>
    </row>
    <row r="152" spans="1:1" x14ac:dyDescent="0.25">
      <c r="A152" s="23" t="s">
        <v>1324</v>
      </c>
    </row>
    <row r="153" spans="1:1" x14ac:dyDescent="0.25">
      <c r="A153" s="24" t="s">
        <v>1325</v>
      </c>
    </row>
    <row r="154" spans="1:1" x14ac:dyDescent="0.25">
      <c r="A154" s="23" t="s">
        <v>1326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D17"/>
  <sheetViews>
    <sheetView workbookViewId="0">
      <selection activeCell="J30" sqref="J30"/>
    </sheetView>
  </sheetViews>
  <sheetFormatPr defaultColWidth="9.140625" defaultRowHeight="15" x14ac:dyDescent="0.25"/>
  <cols>
    <col min="1" max="1" width="18.140625" bestFit="1" customWidth="1"/>
    <col min="2" max="2" width="11.140625" bestFit="1" customWidth="1"/>
    <col min="3" max="3" width="81.140625" bestFit="1" customWidth="1"/>
    <col min="4" max="4" width="31.85546875" bestFit="1" customWidth="1"/>
  </cols>
  <sheetData>
    <row r="1" spans="1:4" x14ac:dyDescent="0.25">
      <c r="A1" s="36" t="s">
        <v>0</v>
      </c>
      <c r="B1" s="36" t="s">
        <v>2437</v>
      </c>
      <c r="C1" s="36" t="s">
        <v>2134</v>
      </c>
      <c r="D1" s="36" t="s">
        <v>2412</v>
      </c>
    </row>
    <row r="2" spans="1:4" x14ac:dyDescent="0.25">
      <c r="A2" s="32" t="s">
        <v>26</v>
      </c>
      <c r="B2" s="32" t="s">
        <v>2437</v>
      </c>
      <c r="C2" t="s">
        <v>2438</v>
      </c>
      <c r="D2">
        <v>2</v>
      </c>
    </row>
    <row r="3" spans="1:4" x14ac:dyDescent="0.25">
      <c r="A3" s="32" t="s">
        <v>62</v>
      </c>
      <c r="B3" s="32" t="s">
        <v>2437</v>
      </c>
      <c r="C3" t="s">
        <v>2439</v>
      </c>
      <c r="D3">
        <v>2</v>
      </c>
    </row>
    <row r="4" spans="1:4" x14ac:dyDescent="0.25">
      <c r="A4" s="32" t="s">
        <v>66</v>
      </c>
      <c r="B4" s="32" t="s">
        <v>2437</v>
      </c>
      <c r="C4" t="s">
        <v>2440</v>
      </c>
      <c r="D4">
        <v>2</v>
      </c>
    </row>
    <row r="5" spans="1:4" x14ac:dyDescent="0.25">
      <c r="A5" s="32" t="s">
        <v>74</v>
      </c>
      <c r="B5" s="32" t="s">
        <v>2437</v>
      </c>
      <c r="C5" t="s">
        <v>2441</v>
      </c>
      <c r="D5">
        <v>4</v>
      </c>
    </row>
    <row r="6" spans="1:4" x14ac:dyDescent="0.25">
      <c r="A6" s="32" t="s">
        <v>80</v>
      </c>
      <c r="B6" s="32" t="s">
        <v>2437</v>
      </c>
      <c r="C6" t="s">
        <v>2435</v>
      </c>
      <c r="D6">
        <v>1</v>
      </c>
    </row>
    <row r="7" spans="1:4" x14ac:dyDescent="0.25">
      <c r="A7" s="32" t="s">
        <v>82</v>
      </c>
      <c r="B7" s="32" t="s">
        <v>2437</v>
      </c>
      <c r="C7" t="s">
        <v>2435</v>
      </c>
      <c r="D7">
        <v>1</v>
      </c>
    </row>
    <row r="8" spans="1:4" x14ac:dyDescent="0.25">
      <c r="A8" s="32" t="s">
        <v>85</v>
      </c>
      <c r="B8" s="32" t="s">
        <v>2437</v>
      </c>
      <c r="C8" t="s">
        <v>2435</v>
      </c>
      <c r="D8">
        <v>1</v>
      </c>
    </row>
    <row r="9" spans="1:4" x14ac:dyDescent="0.25">
      <c r="A9" s="32" t="s">
        <v>93</v>
      </c>
      <c r="B9" s="32" t="s">
        <v>2437</v>
      </c>
      <c r="C9" t="s">
        <v>2442</v>
      </c>
      <c r="D9">
        <v>2</v>
      </c>
    </row>
    <row r="10" spans="1:4" x14ac:dyDescent="0.25">
      <c r="A10" s="32" t="s">
        <v>103</v>
      </c>
      <c r="B10" s="32" t="s">
        <v>2437</v>
      </c>
      <c r="C10" t="s">
        <v>2435</v>
      </c>
      <c r="D10">
        <v>1</v>
      </c>
    </row>
    <row r="11" spans="1:4" x14ac:dyDescent="0.25">
      <c r="A11" s="32" t="s">
        <v>119</v>
      </c>
      <c r="B11" s="32" t="s">
        <v>2437</v>
      </c>
      <c r="C11" t="s">
        <v>2443</v>
      </c>
      <c r="D11">
        <v>3</v>
      </c>
    </row>
    <row r="12" spans="1:4" x14ac:dyDescent="0.25">
      <c r="A12" s="32" t="s">
        <v>152</v>
      </c>
      <c r="B12" s="32" t="s">
        <v>2437</v>
      </c>
      <c r="C12" t="s">
        <v>2435</v>
      </c>
      <c r="D12">
        <v>1</v>
      </c>
    </row>
    <row r="13" spans="1:4" x14ac:dyDescent="0.25">
      <c r="A13" s="32" t="s">
        <v>153</v>
      </c>
      <c r="B13" s="32" t="s">
        <v>2437</v>
      </c>
      <c r="C13" t="s">
        <v>2444</v>
      </c>
      <c r="D13">
        <v>8</v>
      </c>
    </row>
    <row r="14" spans="1:4" x14ac:dyDescent="0.25">
      <c r="A14" s="32" t="s">
        <v>158</v>
      </c>
      <c r="B14" s="32" t="s">
        <v>2437</v>
      </c>
      <c r="C14" t="s">
        <v>2445</v>
      </c>
      <c r="D14">
        <v>12</v>
      </c>
    </row>
    <row r="15" spans="1:4" x14ac:dyDescent="0.25">
      <c r="A15" s="32" t="s">
        <v>189</v>
      </c>
      <c r="B15" s="32" t="s">
        <v>2437</v>
      </c>
      <c r="C15" t="s">
        <v>2446</v>
      </c>
      <c r="D15">
        <v>4</v>
      </c>
    </row>
    <row r="16" spans="1:4" x14ac:dyDescent="0.25">
      <c r="A16" s="32" t="s">
        <v>191</v>
      </c>
      <c r="B16" s="32" t="s">
        <v>2437</v>
      </c>
      <c r="C16" t="s">
        <v>2447</v>
      </c>
      <c r="D16">
        <v>2</v>
      </c>
    </row>
    <row r="17" spans="1:4" x14ac:dyDescent="0.25">
      <c r="A17" s="32" t="s">
        <v>207</v>
      </c>
      <c r="B17" s="32" t="s">
        <v>2437</v>
      </c>
      <c r="C17" t="s">
        <v>2435</v>
      </c>
      <c r="D17">
        <v>1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4"/>
  <sheetViews>
    <sheetView topLeftCell="B1" workbookViewId="0">
      <selection activeCell="B1" sqref="B1:T1"/>
    </sheetView>
  </sheetViews>
  <sheetFormatPr defaultColWidth="9.140625" defaultRowHeight="15" x14ac:dyDescent="0.25"/>
  <cols>
    <col min="1" max="1" width="18.140625" bestFit="1" customWidth="1"/>
    <col min="2" max="2" width="9.85546875" customWidth="1"/>
    <col min="3" max="3" width="12" customWidth="1"/>
    <col min="4" max="6" width="9.42578125" customWidth="1"/>
    <col min="7" max="9" width="12" customWidth="1"/>
    <col min="10" max="14" width="9.42578125" customWidth="1"/>
    <col min="15" max="17" width="10.42578125" customWidth="1"/>
    <col min="18" max="18" width="14.140625" customWidth="1"/>
    <col min="19" max="20" width="13.140625" customWidth="1"/>
  </cols>
  <sheetData>
    <row r="1" spans="1:20" x14ac:dyDescent="0.25">
      <c r="A1" s="22" t="s">
        <v>0</v>
      </c>
      <c r="B1" s="18" t="s">
        <v>2448</v>
      </c>
      <c r="C1" s="18" t="s">
        <v>1920</v>
      </c>
      <c r="D1" s="18" t="s">
        <v>2449</v>
      </c>
      <c r="E1" s="18" t="s">
        <v>2450</v>
      </c>
      <c r="F1" s="18" t="s">
        <v>2451</v>
      </c>
      <c r="G1" s="18" t="s">
        <v>1921</v>
      </c>
      <c r="H1" s="18" t="s">
        <v>1922</v>
      </c>
      <c r="I1" s="18" t="s">
        <v>1923</v>
      </c>
      <c r="J1" s="18" t="s">
        <v>2452</v>
      </c>
      <c r="K1" s="18" t="s">
        <v>2453</v>
      </c>
      <c r="L1" s="18" t="s">
        <v>2454</v>
      </c>
      <c r="M1" s="18" t="s">
        <v>2455</v>
      </c>
      <c r="N1" s="18" t="s">
        <v>2456</v>
      </c>
      <c r="O1" s="18" t="s">
        <v>609</v>
      </c>
      <c r="P1" s="18" t="s">
        <v>627</v>
      </c>
      <c r="Q1" s="18" t="s">
        <v>891</v>
      </c>
      <c r="R1" s="18" t="s">
        <v>831</v>
      </c>
      <c r="S1" s="18" t="s">
        <v>832</v>
      </c>
      <c r="T1" s="18" t="s">
        <v>833</v>
      </c>
    </row>
    <row r="2" spans="1:20" x14ac:dyDescent="0.25">
      <c r="A2" s="23" t="s">
        <v>6</v>
      </c>
    </row>
    <row r="3" spans="1:20" x14ac:dyDescent="0.25">
      <c r="A3" s="24" t="s">
        <v>11</v>
      </c>
    </row>
    <row r="4" spans="1:20" x14ac:dyDescent="0.25">
      <c r="A4" s="23" t="s">
        <v>12</v>
      </c>
    </row>
    <row r="5" spans="1:20" x14ac:dyDescent="0.25">
      <c r="A5" s="24" t="s">
        <v>16</v>
      </c>
    </row>
    <row r="6" spans="1:20" x14ac:dyDescent="0.25">
      <c r="A6" s="23" t="s">
        <v>18</v>
      </c>
    </row>
    <row r="7" spans="1:20" x14ac:dyDescent="0.25">
      <c r="A7" s="24" t="s">
        <v>20</v>
      </c>
    </row>
    <row r="8" spans="1:20" x14ac:dyDescent="0.25">
      <c r="A8" s="23" t="s">
        <v>22</v>
      </c>
    </row>
    <row r="9" spans="1:20" x14ac:dyDescent="0.25">
      <c r="A9" s="24" t="s">
        <v>24</v>
      </c>
    </row>
    <row r="10" spans="1:20" x14ac:dyDescent="0.25">
      <c r="A10" s="23" t="s">
        <v>26</v>
      </c>
      <c r="E10">
        <v>54</v>
      </c>
    </row>
    <row r="11" spans="1:20" x14ac:dyDescent="0.25">
      <c r="A11" s="24" t="s">
        <v>28</v>
      </c>
      <c r="B11">
        <v>11</v>
      </c>
    </row>
    <row r="12" spans="1:20" x14ac:dyDescent="0.25">
      <c r="A12" s="23" t="s">
        <v>30</v>
      </c>
    </row>
    <row r="13" spans="1:20" x14ac:dyDescent="0.25">
      <c r="A13" s="24" t="s">
        <v>32</v>
      </c>
      <c r="B13" t="s">
        <v>504</v>
      </c>
    </row>
    <row r="14" spans="1:20" x14ac:dyDescent="0.25">
      <c r="A14" s="23" t="s">
        <v>34</v>
      </c>
    </row>
    <row r="15" spans="1:20" x14ac:dyDescent="0.25">
      <c r="A15" s="24" t="s">
        <v>36</v>
      </c>
    </row>
    <row r="16" spans="1:20" x14ac:dyDescent="0.25">
      <c r="A16" s="23" t="s">
        <v>37</v>
      </c>
      <c r="B16">
        <v>22.5</v>
      </c>
    </row>
    <row r="17" spans="1:2" x14ac:dyDescent="0.25">
      <c r="A17" s="24" t="s">
        <v>40</v>
      </c>
    </row>
    <row r="18" spans="1:2" x14ac:dyDescent="0.25">
      <c r="A18" s="23" t="s">
        <v>42</v>
      </c>
    </row>
    <row r="19" spans="1:2" x14ac:dyDescent="0.25">
      <c r="A19" s="24" t="s">
        <v>43</v>
      </c>
    </row>
    <row r="20" spans="1:2" x14ac:dyDescent="0.25">
      <c r="A20" s="23" t="s">
        <v>44</v>
      </c>
    </row>
    <row r="21" spans="1:2" x14ac:dyDescent="0.25">
      <c r="A21" s="24" t="s">
        <v>46</v>
      </c>
    </row>
    <row r="22" spans="1:2" x14ac:dyDescent="0.25">
      <c r="A22" s="23" t="s">
        <v>48</v>
      </c>
    </row>
    <row r="23" spans="1:2" x14ac:dyDescent="0.25">
      <c r="A23" s="24" t="s">
        <v>50</v>
      </c>
      <c r="B23">
        <v>237.3</v>
      </c>
    </row>
    <row r="24" spans="1:2" x14ac:dyDescent="0.25">
      <c r="A24" s="23" t="s">
        <v>52</v>
      </c>
    </row>
    <row r="25" spans="1:2" x14ac:dyDescent="0.25">
      <c r="A25" s="24" t="s">
        <v>53</v>
      </c>
    </row>
    <row r="26" spans="1:2" x14ac:dyDescent="0.25">
      <c r="A26" s="23" t="s">
        <v>55</v>
      </c>
    </row>
    <row r="27" spans="1:2" x14ac:dyDescent="0.25">
      <c r="A27" s="24" t="s">
        <v>57</v>
      </c>
    </row>
    <row r="28" spans="1:2" x14ac:dyDescent="0.25">
      <c r="A28" s="23" t="s">
        <v>59</v>
      </c>
    </row>
    <row r="29" spans="1:2" x14ac:dyDescent="0.25">
      <c r="A29" s="24" t="s">
        <v>60</v>
      </c>
    </row>
    <row r="30" spans="1:2" x14ac:dyDescent="0.25">
      <c r="A30" s="23" t="s">
        <v>62</v>
      </c>
    </row>
    <row r="31" spans="1:2" x14ac:dyDescent="0.25">
      <c r="A31" s="24" t="s">
        <v>64</v>
      </c>
    </row>
    <row r="32" spans="1:2" x14ac:dyDescent="0.25">
      <c r="A32" s="23" t="s">
        <v>65</v>
      </c>
    </row>
    <row r="33" spans="1:16" x14ac:dyDescent="0.25">
      <c r="A33" s="24" t="s">
        <v>66</v>
      </c>
      <c r="B33" t="s">
        <v>554</v>
      </c>
      <c r="J33" t="s">
        <v>579</v>
      </c>
      <c r="L33" t="s">
        <v>585</v>
      </c>
      <c r="O33" t="s">
        <v>610</v>
      </c>
      <c r="P33" t="s">
        <v>628</v>
      </c>
    </row>
    <row r="34" spans="1:16" x14ac:dyDescent="0.25">
      <c r="A34" s="23" t="s">
        <v>68</v>
      </c>
    </row>
    <row r="35" spans="1:16" x14ac:dyDescent="0.25">
      <c r="A35" s="24" t="s">
        <v>69</v>
      </c>
    </row>
    <row r="36" spans="1:16" x14ac:dyDescent="0.25">
      <c r="A36" s="23" t="s">
        <v>71</v>
      </c>
    </row>
    <row r="37" spans="1:16" x14ac:dyDescent="0.25">
      <c r="A37" s="24" t="s">
        <v>73</v>
      </c>
      <c r="B37">
        <v>13</v>
      </c>
      <c r="C37">
        <v>28</v>
      </c>
    </row>
    <row r="38" spans="1:16" x14ac:dyDescent="0.25">
      <c r="A38" s="23" t="s">
        <v>74</v>
      </c>
      <c r="L38">
        <v>71.599999999999994</v>
      </c>
    </row>
    <row r="39" spans="1:16" x14ac:dyDescent="0.25">
      <c r="A39" s="24" t="s">
        <v>76</v>
      </c>
      <c r="B39">
        <v>71.2</v>
      </c>
      <c r="J39">
        <v>10.3</v>
      </c>
    </row>
    <row r="40" spans="1:16" x14ac:dyDescent="0.25">
      <c r="A40" s="23" t="s">
        <v>78</v>
      </c>
    </row>
    <row r="41" spans="1:16" x14ac:dyDescent="0.25">
      <c r="A41" s="24" t="s">
        <v>80</v>
      </c>
      <c r="B41">
        <v>5</v>
      </c>
    </row>
    <row r="42" spans="1:16" x14ac:dyDescent="0.25">
      <c r="A42" s="23" t="s">
        <v>82</v>
      </c>
    </row>
    <row r="43" spans="1:16" x14ac:dyDescent="0.25">
      <c r="A43" s="24" t="s">
        <v>84</v>
      </c>
    </row>
    <row r="44" spans="1:16" x14ac:dyDescent="0.25">
      <c r="A44" s="23" t="s">
        <v>85</v>
      </c>
      <c r="B44" t="s">
        <v>2026</v>
      </c>
    </row>
    <row r="45" spans="1:16" x14ac:dyDescent="0.25">
      <c r="A45" s="24" t="s">
        <v>87</v>
      </c>
      <c r="B45">
        <v>241</v>
      </c>
      <c r="D45">
        <v>180</v>
      </c>
      <c r="K45">
        <v>49</v>
      </c>
      <c r="N45">
        <v>12.9</v>
      </c>
    </row>
    <row r="46" spans="1:16" x14ac:dyDescent="0.25">
      <c r="A46" s="23" t="s">
        <v>89</v>
      </c>
    </row>
    <row r="47" spans="1:16" x14ac:dyDescent="0.25">
      <c r="A47" s="24" t="s">
        <v>91</v>
      </c>
    </row>
    <row r="48" spans="1:16" x14ac:dyDescent="0.25">
      <c r="A48" s="23" t="s">
        <v>92</v>
      </c>
    </row>
    <row r="49" spans="1:20" x14ac:dyDescent="0.25">
      <c r="A49" s="24" t="s">
        <v>93</v>
      </c>
      <c r="B49">
        <v>11</v>
      </c>
      <c r="E49">
        <v>3</v>
      </c>
      <c r="M49">
        <v>2</v>
      </c>
    </row>
    <row r="50" spans="1:20" x14ac:dyDescent="0.25">
      <c r="A50" s="23" t="s">
        <v>95</v>
      </c>
      <c r="B50">
        <v>33</v>
      </c>
      <c r="R50">
        <v>4.5</v>
      </c>
      <c r="S50">
        <v>1</v>
      </c>
      <c r="T50">
        <v>0.5</v>
      </c>
    </row>
    <row r="51" spans="1:20" x14ac:dyDescent="0.25">
      <c r="A51" s="24" t="s">
        <v>97</v>
      </c>
    </row>
    <row r="52" spans="1:20" x14ac:dyDescent="0.25">
      <c r="A52" s="23" t="s">
        <v>99</v>
      </c>
    </row>
    <row r="53" spans="1:20" x14ac:dyDescent="0.25">
      <c r="A53" s="24" t="s">
        <v>100</v>
      </c>
    </row>
    <row r="54" spans="1:20" x14ac:dyDescent="0.25">
      <c r="A54" s="23" t="s">
        <v>101</v>
      </c>
    </row>
    <row r="55" spans="1:20" x14ac:dyDescent="0.25">
      <c r="A55" s="24" t="s">
        <v>102</v>
      </c>
    </row>
    <row r="56" spans="1:20" x14ac:dyDescent="0.25">
      <c r="A56" s="23" t="s">
        <v>103</v>
      </c>
      <c r="B56">
        <v>24.5</v>
      </c>
    </row>
    <row r="57" spans="1:20" x14ac:dyDescent="0.25">
      <c r="A57" s="24" t="s">
        <v>105</v>
      </c>
    </row>
    <row r="58" spans="1:20" x14ac:dyDescent="0.25">
      <c r="A58" s="23" t="s">
        <v>106</v>
      </c>
    </row>
    <row r="59" spans="1:20" x14ac:dyDescent="0.25">
      <c r="A59" s="24" t="s">
        <v>107</v>
      </c>
    </row>
    <row r="60" spans="1:20" x14ac:dyDescent="0.25">
      <c r="A60" s="23" t="s">
        <v>108</v>
      </c>
    </row>
    <row r="61" spans="1:20" x14ac:dyDescent="0.25">
      <c r="A61" s="24" t="s">
        <v>109</v>
      </c>
    </row>
    <row r="62" spans="1:20" x14ac:dyDescent="0.25">
      <c r="A62" s="23" t="s">
        <v>110</v>
      </c>
    </row>
    <row r="63" spans="1:20" x14ac:dyDescent="0.25">
      <c r="A63" s="24" t="s">
        <v>111</v>
      </c>
    </row>
    <row r="64" spans="1:20" x14ac:dyDescent="0.25">
      <c r="A64" s="23" t="s">
        <v>112</v>
      </c>
    </row>
    <row r="65" spans="1:17" x14ac:dyDescent="0.25">
      <c r="A65" s="24" t="s">
        <v>113</v>
      </c>
    </row>
    <row r="66" spans="1:17" x14ac:dyDescent="0.25">
      <c r="A66" s="23" t="s">
        <v>115</v>
      </c>
    </row>
    <row r="67" spans="1:17" x14ac:dyDescent="0.25">
      <c r="A67" s="24" t="s">
        <v>116</v>
      </c>
    </row>
    <row r="68" spans="1:17" x14ac:dyDescent="0.25">
      <c r="A68" s="23" t="s">
        <v>117</v>
      </c>
    </row>
    <row r="69" spans="1:17" x14ac:dyDescent="0.25">
      <c r="A69" s="24" t="s">
        <v>119</v>
      </c>
      <c r="B69">
        <v>29</v>
      </c>
      <c r="E69">
        <v>15.3</v>
      </c>
      <c r="L69">
        <v>6.2</v>
      </c>
    </row>
    <row r="70" spans="1:17" x14ac:dyDescent="0.25">
      <c r="A70" s="23" t="s">
        <v>120</v>
      </c>
    </row>
    <row r="71" spans="1:17" x14ac:dyDescent="0.25">
      <c r="A71" s="24" t="s">
        <v>122</v>
      </c>
    </row>
    <row r="72" spans="1:17" x14ac:dyDescent="0.25">
      <c r="A72" s="23" t="s">
        <v>123</v>
      </c>
    </row>
    <row r="73" spans="1:17" x14ac:dyDescent="0.25">
      <c r="A73" s="24" t="s">
        <v>125</v>
      </c>
      <c r="B73">
        <v>449.5</v>
      </c>
      <c r="D73">
        <v>906</v>
      </c>
    </row>
    <row r="74" spans="1:17" x14ac:dyDescent="0.25">
      <c r="A74" s="23" t="s">
        <v>126</v>
      </c>
    </row>
    <row r="75" spans="1:17" x14ac:dyDescent="0.25">
      <c r="A75" s="24" t="s">
        <v>127</v>
      </c>
    </row>
    <row r="76" spans="1:17" x14ac:dyDescent="0.25">
      <c r="A76" s="23" t="s">
        <v>128</v>
      </c>
    </row>
    <row r="77" spans="1:17" x14ac:dyDescent="0.25">
      <c r="A77" s="24" t="s">
        <v>131</v>
      </c>
      <c r="D77" t="s">
        <v>890</v>
      </c>
      <c r="Q77" t="s">
        <v>892</v>
      </c>
    </row>
    <row r="78" spans="1:17" x14ac:dyDescent="0.25">
      <c r="A78" s="23" t="s">
        <v>133</v>
      </c>
    </row>
    <row r="79" spans="1:17" x14ac:dyDescent="0.25">
      <c r="A79" s="24" t="s">
        <v>134</v>
      </c>
    </row>
    <row r="80" spans="1:17" x14ac:dyDescent="0.25">
      <c r="A80" s="23" t="s">
        <v>136</v>
      </c>
    </row>
    <row r="81" spans="1:10" x14ac:dyDescent="0.25">
      <c r="A81" s="24" t="s">
        <v>138</v>
      </c>
    </row>
    <row r="82" spans="1:10" x14ac:dyDescent="0.25">
      <c r="A82" s="23" t="s">
        <v>140</v>
      </c>
    </row>
    <row r="83" spans="1:10" x14ac:dyDescent="0.25">
      <c r="A83" s="24" t="s">
        <v>142</v>
      </c>
    </row>
    <row r="84" spans="1:10" x14ac:dyDescent="0.25">
      <c r="A84" s="23" t="s">
        <v>143</v>
      </c>
    </row>
    <row r="85" spans="1:10" x14ac:dyDescent="0.25">
      <c r="A85" s="24" t="s">
        <v>144</v>
      </c>
    </row>
    <row r="86" spans="1:10" x14ac:dyDescent="0.25">
      <c r="A86" s="23" t="s">
        <v>145</v>
      </c>
    </row>
    <row r="87" spans="1:10" x14ac:dyDescent="0.25">
      <c r="A87" s="24" t="s">
        <v>146</v>
      </c>
    </row>
    <row r="88" spans="1:10" x14ac:dyDescent="0.25">
      <c r="A88" s="23" t="s">
        <v>147</v>
      </c>
    </row>
    <row r="89" spans="1:10" x14ac:dyDescent="0.25">
      <c r="A89" s="24" t="s">
        <v>148</v>
      </c>
    </row>
    <row r="90" spans="1:10" x14ac:dyDescent="0.25">
      <c r="A90" s="23" t="s">
        <v>149</v>
      </c>
      <c r="B90">
        <v>51.9</v>
      </c>
    </row>
    <row r="91" spans="1:10" x14ac:dyDescent="0.25">
      <c r="A91" s="24" t="s">
        <v>150</v>
      </c>
    </row>
    <row r="92" spans="1:10" x14ac:dyDescent="0.25">
      <c r="A92" s="23" t="s">
        <v>151</v>
      </c>
    </row>
    <row r="93" spans="1:10" x14ac:dyDescent="0.25">
      <c r="A93" s="24"/>
    </row>
    <row r="94" spans="1:10" x14ac:dyDescent="0.25">
      <c r="A94" s="23" t="s">
        <v>321</v>
      </c>
    </row>
    <row r="95" spans="1:10" x14ac:dyDescent="0.25">
      <c r="A95" s="24" t="s">
        <v>152</v>
      </c>
      <c r="B95">
        <v>600</v>
      </c>
    </row>
    <row r="96" spans="1:10" x14ac:dyDescent="0.25">
      <c r="A96" s="23" t="s">
        <v>153</v>
      </c>
      <c r="B96">
        <v>173</v>
      </c>
      <c r="D96">
        <v>35</v>
      </c>
      <c r="E96">
        <v>120</v>
      </c>
      <c r="F96">
        <v>50</v>
      </c>
      <c r="G96">
        <v>43</v>
      </c>
      <c r="H96">
        <v>39</v>
      </c>
      <c r="I96">
        <v>41</v>
      </c>
      <c r="J96">
        <v>41</v>
      </c>
    </row>
    <row r="97" spans="1:6" x14ac:dyDescent="0.25">
      <c r="A97" s="24" t="s">
        <v>155</v>
      </c>
    </row>
    <row r="98" spans="1:6" x14ac:dyDescent="0.25">
      <c r="A98" s="23" t="s">
        <v>157</v>
      </c>
    </row>
    <row r="99" spans="1:6" x14ac:dyDescent="0.25">
      <c r="A99" s="24" t="s">
        <v>158</v>
      </c>
    </row>
    <row r="100" spans="1:6" x14ac:dyDescent="0.25">
      <c r="A100" s="23" t="s">
        <v>160</v>
      </c>
    </row>
    <row r="101" spans="1:6" x14ac:dyDescent="0.25">
      <c r="A101" s="24" t="s">
        <v>162</v>
      </c>
    </row>
    <row r="102" spans="1:6" x14ac:dyDescent="0.25">
      <c r="A102" s="23" t="s">
        <v>163</v>
      </c>
      <c r="B102">
        <v>41</v>
      </c>
      <c r="D102">
        <v>32.1</v>
      </c>
      <c r="E102">
        <v>46.1</v>
      </c>
      <c r="F102">
        <v>85.1</v>
      </c>
    </row>
    <row r="103" spans="1:6" x14ac:dyDescent="0.25">
      <c r="A103" s="24" t="s">
        <v>164</v>
      </c>
    </row>
    <row r="104" spans="1:6" x14ac:dyDescent="0.25">
      <c r="A104" s="23" t="s">
        <v>165</v>
      </c>
    </row>
    <row r="105" spans="1:6" x14ac:dyDescent="0.25">
      <c r="A105" s="24" t="s">
        <v>166</v>
      </c>
      <c r="B105">
        <v>12.6</v>
      </c>
      <c r="D105">
        <v>13.7</v>
      </c>
      <c r="E105">
        <v>10.6</v>
      </c>
    </row>
    <row r="106" spans="1:6" x14ac:dyDescent="0.25">
      <c r="A106" s="23" t="s">
        <v>167</v>
      </c>
      <c r="B106">
        <v>200</v>
      </c>
    </row>
    <row r="107" spans="1:6" x14ac:dyDescent="0.25">
      <c r="A107" s="24" t="s">
        <v>169</v>
      </c>
    </row>
    <row r="108" spans="1:6" x14ac:dyDescent="0.25">
      <c r="A108" s="23" t="s">
        <v>170</v>
      </c>
    </row>
    <row r="109" spans="1:6" x14ac:dyDescent="0.25">
      <c r="A109" s="24" t="s">
        <v>172</v>
      </c>
    </row>
    <row r="110" spans="1:6" x14ac:dyDescent="0.25">
      <c r="A110" s="23" t="s">
        <v>173</v>
      </c>
      <c r="B110">
        <v>12</v>
      </c>
      <c r="D110">
        <v>12</v>
      </c>
    </row>
    <row r="111" spans="1:6" x14ac:dyDescent="0.25">
      <c r="A111" s="24" t="s">
        <v>175</v>
      </c>
    </row>
    <row r="112" spans="1:6" x14ac:dyDescent="0.25">
      <c r="A112" s="23" t="s">
        <v>176</v>
      </c>
    </row>
    <row r="113" spans="1:5" x14ac:dyDescent="0.25">
      <c r="A113" s="24" t="s">
        <v>177</v>
      </c>
    </row>
    <row r="114" spans="1:5" x14ac:dyDescent="0.25">
      <c r="A114" s="23" t="s">
        <v>178</v>
      </c>
    </row>
    <row r="115" spans="1:5" x14ac:dyDescent="0.25">
      <c r="A115" s="24" t="s">
        <v>179</v>
      </c>
    </row>
    <row r="116" spans="1:5" x14ac:dyDescent="0.25">
      <c r="A116" s="23" t="s">
        <v>182</v>
      </c>
    </row>
    <row r="117" spans="1:5" x14ac:dyDescent="0.25">
      <c r="A117" s="24" t="s">
        <v>183</v>
      </c>
    </row>
    <row r="118" spans="1:5" x14ac:dyDescent="0.25">
      <c r="A118" s="23" t="s">
        <v>185</v>
      </c>
    </row>
    <row r="119" spans="1:5" x14ac:dyDescent="0.25">
      <c r="A119" s="24" t="s">
        <v>187</v>
      </c>
    </row>
    <row r="120" spans="1:5" x14ac:dyDescent="0.25">
      <c r="A120" s="23" t="s">
        <v>189</v>
      </c>
    </row>
    <row r="121" spans="1:5" x14ac:dyDescent="0.25">
      <c r="A121" s="24" t="s">
        <v>191</v>
      </c>
      <c r="B121">
        <v>375</v>
      </c>
      <c r="E121">
        <v>242</v>
      </c>
    </row>
    <row r="122" spans="1:5" x14ac:dyDescent="0.25">
      <c r="A122" s="23" t="s">
        <v>192</v>
      </c>
    </row>
    <row r="123" spans="1:5" x14ac:dyDescent="0.25">
      <c r="A123" s="24" t="s">
        <v>194</v>
      </c>
    </row>
    <row r="124" spans="1:5" x14ac:dyDescent="0.25">
      <c r="A124" s="23" t="s">
        <v>196</v>
      </c>
    </row>
    <row r="125" spans="1:5" x14ac:dyDescent="0.25">
      <c r="A125" s="24" t="s">
        <v>197</v>
      </c>
    </row>
    <row r="126" spans="1:5" x14ac:dyDescent="0.25">
      <c r="A126" s="23" t="s">
        <v>199</v>
      </c>
    </row>
    <row r="127" spans="1:5" x14ac:dyDescent="0.25">
      <c r="A127" s="24" t="s">
        <v>200</v>
      </c>
      <c r="B127" t="s">
        <v>617</v>
      </c>
    </row>
    <row r="128" spans="1:5" x14ac:dyDescent="0.25">
      <c r="A128" s="23" t="s">
        <v>201</v>
      </c>
    </row>
    <row r="129" spans="1:2" x14ac:dyDescent="0.25">
      <c r="A129" s="24" t="s">
        <v>202</v>
      </c>
    </row>
    <row r="130" spans="1:2" x14ac:dyDescent="0.25">
      <c r="A130" s="23" t="s">
        <v>294</v>
      </c>
    </row>
    <row r="131" spans="1:2" x14ac:dyDescent="0.25">
      <c r="A131" s="24" t="s">
        <v>207</v>
      </c>
      <c r="B131" t="s">
        <v>2027</v>
      </c>
    </row>
    <row r="132" spans="1:2" x14ac:dyDescent="0.25">
      <c r="A132" s="23" t="s">
        <v>208</v>
      </c>
    </row>
    <row r="133" spans="1:2" x14ac:dyDescent="0.25">
      <c r="A133" s="24" t="s">
        <v>1589</v>
      </c>
    </row>
    <row r="134" spans="1:2" x14ac:dyDescent="0.25">
      <c r="A134" s="23" t="s">
        <v>209</v>
      </c>
    </row>
    <row r="135" spans="1:2" x14ac:dyDescent="0.25">
      <c r="A135" s="24" t="s">
        <v>211</v>
      </c>
    </row>
    <row r="136" spans="1:2" x14ac:dyDescent="0.25">
      <c r="A136" s="23" t="s">
        <v>212</v>
      </c>
    </row>
    <row r="137" spans="1:2" x14ac:dyDescent="0.25">
      <c r="A137" s="24" t="s">
        <v>214</v>
      </c>
    </row>
    <row r="138" spans="1:2" x14ac:dyDescent="0.25">
      <c r="A138" s="23" t="s">
        <v>216</v>
      </c>
    </row>
    <row r="139" spans="1:2" x14ac:dyDescent="0.25">
      <c r="A139" s="24" t="s">
        <v>218</v>
      </c>
    </row>
    <row r="140" spans="1:2" x14ac:dyDescent="0.25">
      <c r="A140" s="23" t="s">
        <v>220</v>
      </c>
    </row>
    <row r="141" spans="1:2" x14ac:dyDescent="0.25">
      <c r="A141" s="24" t="s">
        <v>222</v>
      </c>
    </row>
    <row r="142" spans="1:2" x14ac:dyDescent="0.25">
      <c r="A142" s="23" t="s">
        <v>224</v>
      </c>
    </row>
    <row r="143" spans="1:2" x14ac:dyDescent="0.25">
      <c r="A143" s="24" t="s">
        <v>225</v>
      </c>
    </row>
    <row r="144" spans="1:2" x14ac:dyDescent="0.25">
      <c r="A144" s="23" t="s">
        <v>227</v>
      </c>
    </row>
    <row r="145" spans="1:1" x14ac:dyDescent="0.25">
      <c r="A145" s="24" t="s">
        <v>229</v>
      </c>
    </row>
    <row r="146" spans="1:1" x14ac:dyDescent="0.25">
      <c r="A146" s="23" t="s">
        <v>231</v>
      </c>
    </row>
    <row r="147" spans="1:1" x14ac:dyDescent="0.25">
      <c r="A147" s="24" t="s">
        <v>232</v>
      </c>
    </row>
    <row r="148" spans="1:1" x14ac:dyDescent="0.25">
      <c r="A148" s="23" t="s">
        <v>234</v>
      </c>
    </row>
    <row r="149" spans="1:1" x14ac:dyDescent="0.25">
      <c r="A149" s="24" t="s">
        <v>236</v>
      </c>
    </row>
    <row r="150" spans="1:1" x14ac:dyDescent="0.25">
      <c r="A150" s="23" t="s">
        <v>1322</v>
      </c>
    </row>
    <row r="151" spans="1:1" x14ac:dyDescent="0.25">
      <c r="A151" s="24" t="s">
        <v>1323</v>
      </c>
    </row>
    <row r="152" spans="1:1" x14ac:dyDescent="0.25">
      <c r="A152" s="23" t="s">
        <v>1324</v>
      </c>
    </row>
    <row r="153" spans="1:1" x14ac:dyDescent="0.25">
      <c r="A153" s="24" t="s">
        <v>1325</v>
      </c>
    </row>
    <row r="154" spans="1:1" x14ac:dyDescent="0.25">
      <c r="A154" s="23" t="s">
        <v>1326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D29"/>
  <sheetViews>
    <sheetView workbookViewId="0">
      <selection activeCell="J31" sqref="J31"/>
    </sheetView>
  </sheetViews>
  <sheetFormatPr defaultColWidth="9.140625" defaultRowHeight="15" x14ac:dyDescent="0.25"/>
  <cols>
    <col min="1" max="1" width="18.140625" bestFit="1" customWidth="1"/>
    <col min="2" max="2" width="9.28515625" bestFit="1" customWidth="1"/>
    <col min="3" max="3" width="68.42578125" bestFit="1" customWidth="1"/>
    <col min="4" max="4" width="35.85546875" bestFit="1" customWidth="1"/>
  </cols>
  <sheetData>
    <row r="1" spans="1:4" ht="15.75" x14ac:dyDescent="0.25">
      <c r="A1" s="29" t="s">
        <v>0</v>
      </c>
      <c r="B1" s="29" t="s">
        <v>2457</v>
      </c>
      <c r="C1" s="29" t="s">
        <v>2081</v>
      </c>
      <c r="D1" s="29" t="s">
        <v>2118</v>
      </c>
    </row>
    <row r="2" spans="1:4" x14ac:dyDescent="0.25">
      <c r="A2" t="s">
        <v>153</v>
      </c>
      <c r="B2" s="32" t="s">
        <v>2457</v>
      </c>
      <c r="C2" t="s">
        <v>2467</v>
      </c>
      <c r="D2">
        <v>8</v>
      </c>
    </row>
    <row r="3" spans="1:4" x14ac:dyDescent="0.25">
      <c r="A3" t="s">
        <v>66</v>
      </c>
      <c r="B3" s="32" t="s">
        <v>2457</v>
      </c>
      <c r="C3" t="s">
        <v>2458</v>
      </c>
      <c r="D3">
        <v>5</v>
      </c>
    </row>
    <row r="4" spans="1:4" x14ac:dyDescent="0.25">
      <c r="A4" t="s">
        <v>87</v>
      </c>
      <c r="B4" s="32" t="s">
        <v>2457</v>
      </c>
      <c r="C4" t="s">
        <v>2461</v>
      </c>
      <c r="D4">
        <v>4</v>
      </c>
    </row>
    <row r="5" spans="1:4" x14ac:dyDescent="0.25">
      <c r="A5" t="s">
        <v>95</v>
      </c>
      <c r="B5" s="32" t="s">
        <v>2457</v>
      </c>
      <c r="C5" t="s">
        <v>2463</v>
      </c>
      <c r="D5">
        <v>4</v>
      </c>
    </row>
    <row r="6" spans="1:4" x14ac:dyDescent="0.25">
      <c r="A6" t="s">
        <v>163</v>
      </c>
      <c r="B6" s="32" t="s">
        <v>2457</v>
      </c>
      <c r="C6" t="s">
        <v>2468</v>
      </c>
      <c r="D6">
        <v>4</v>
      </c>
    </row>
    <row r="7" spans="1:4" x14ac:dyDescent="0.25">
      <c r="A7" t="s">
        <v>93</v>
      </c>
      <c r="B7" s="32" t="s">
        <v>2457</v>
      </c>
      <c r="C7" t="s">
        <v>2462</v>
      </c>
      <c r="D7">
        <v>3</v>
      </c>
    </row>
    <row r="8" spans="1:4" x14ac:dyDescent="0.25">
      <c r="A8" t="s">
        <v>119</v>
      </c>
      <c r="B8" s="32" t="s">
        <v>2457</v>
      </c>
      <c r="C8" t="s">
        <v>2464</v>
      </c>
      <c r="D8">
        <v>3</v>
      </c>
    </row>
    <row r="9" spans="1:4" x14ac:dyDescent="0.25">
      <c r="A9" t="s">
        <v>166</v>
      </c>
      <c r="B9" s="32" t="s">
        <v>2457</v>
      </c>
      <c r="C9" t="s">
        <v>2469</v>
      </c>
      <c r="D9">
        <v>3</v>
      </c>
    </row>
    <row r="10" spans="1:4" x14ac:dyDescent="0.25">
      <c r="A10" t="s">
        <v>73</v>
      </c>
      <c r="B10" s="32" t="s">
        <v>2457</v>
      </c>
      <c r="C10" t="s">
        <v>2459</v>
      </c>
      <c r="D10">
        <v>2</v>
      </c>
    </row>
    <row r="11" spans="1:4" x14ac:dyDescent="0.25">
      <c r="A11" t="s">
        <v>76</v>
      </c>
      <c r="B11" s="32" t="s">
        <v>2457</v>
      </c>
      <c r="C11" t="s">
        <v>2460</v>
      </c>
      <c r="D11">
        <v>2</v>
      </c>
    </row>
    <row r="12" spans="1:4" x14ac:dyDescent="0.25">
      <c r="A12" t="s">
        <v>125</v>
      </c>
      <c r="B12" s="32" t="s">
        <v>2457</v>
      </c>
      <c r="C12" t="s">
        <v>2465</v>
      </c>
      <c r="D12">
        <v>2</v>
      </c>
    </row>
    <row r="13" spans="1:4" x14ac:dyDescent="0.25">
      <c r="A13" t="s">
        <v>131</v>
      </c>
      <c r="B13" s="32" t="s">
        <v>2457</v>
      </c>
      <c r="C13" t="s">
        <v>2466</v>
      </c>
      <c r="D13">
        <v>2</v>
      </c>
    </row>
    <row r="14" spans="1:4" x14ac:dyDescent="0.25">
      <c r="A14" t="s">
        <v>173</v>
      </c>
      <c r="B14" s="32" t="s">
        <v>2457</v>
      </c>
      <c r="C14" t="s">
        <v>2465</v>
      </c>
      <c r="D14">
        <v>2</v>
      </c>
    </row>
    <row r="15" spans="1:4" x14ac:dyDescent="0.25">
      <c r="A15" t="s">
        <v>191</v>
      </c>
      <c r="B15" s="32" t="s">
        <v>2457</v>
      </c>
      <c r="C15" t="s">
        <v>2470</v>
      </c>
      <c r="D15">
        <v>2</v>
      </c>
    </row>
    <row r="16" spans="1:4" x14ac:dyDescent="0.25">
      <c r="A16" t="s">
        <v>26</v>
      </c>
      <c r="B16" s="32" t="s">
        <v>2457</v>
      </c>
      <c r="C16" t="s">
        <v>2450</v>
      </c>
      <c r="D16">
        <v>1</v>
      </c>
    </row>
    <row r="17" spans="1:4" x14ac:dyDescent="0.25">
      <c r="A17" t="s">
        <v>28</v>
      </c>
      <c r="B17" s="32" t="s">
        <v>2457</v>
      </c>
      <c r="C17" t="s">
        <v>2448</v>
      </c>
      <c r="D17">
        <v>1</v>
      </c>
    </row>
    <row r="18" spans="1:4" x14ac:dyDescent="0.25">
      <c r="A18" t="s">
        <v>32</v>
      </c>
      <c r="B18" s="32" t="s">
        <v>2457</v>
      </c>
      <c r="C18" t="s">
        <v>2448</v>
      </c>
      <c r="D18">
        <v>1</v>
      </c>
    </row>
    <row r="19" spans="1:4" x14ac:dyDescent="0.25">
      <c r="A19" t="s">
        <v>37</v>
      </c>
      <c r="B19" s="32" t="s">
        <v>2457</v>
      </c>
      <c r="C19" t="s">
        <v>2448</v>
      </c>
      <c r="D19">
        <v>1</v>
      </c>
    </row>
    <row r="20" spans="1:4" x14ac:dyDescent="0.25">
      <c r="A20" t="s">
        <v>50</v>
      </c>
      <c r="B20" s="32" t="s">
        <v>2457</v>
      </c>
      <c r="C20" t="s">
        <v>2448</v>
      </c>
      <c r="D20">
        <v>1</v>
      </c>
    </row>
    <row r="21" spans="1:4" x14ac:dyDescent="0.25">
      <c r="A21" t="s">
        <v>74</v>
      </c>
      <c r="B21" s="32" t="s">
        <v>2457</v>
      </c>
      <c r="C21" t="s">
        <v>2454</v>
      </c>
      <c r="D21">
        <v>1</v>
      </c>
    </row>
    <row r="22" spans="1:4" x14ac:dyDescent="0.25">
      <c r="A22" t="s">
        <v>80</v>
      </c>
      <c r="B22" s="32" t="s">
        <v>2457</v>
      </c>
      <c r="C22" t="s">
        <v>2448</v>
      </c>
      <c r="D22">
        <v>1</v>
      </c>
    </row>
    <row r="23" spans="1:4" x14ac:dyDescent="0.25">
      <c r="A23" t="s">
        <v>85</v>
      </c>
      <c r="B23" s="32" t="s">
        <v>2457</v>
      </c>
      <c r="C23" t="s">
        <v>2448</v>
      </c>
      <c r="D23">
        <v>1</v>
      </c>
    </row>
    <row r="24" spans="1:4" x14ac:dyDescent="0.25">
      <c r="A24" t="s">
        <v>103</v>
      </c>
      <c r="B24" s="32" t="s">
        <v>2457</v>
      </c>
      <c r="C24" t="s">
        <v>2448</v>
      </c>
      <c r="D24">
        <v>1</v>
      </c>
    </row>
    <row r="25" spans="1:4" x14ac:dyDescent="0.25">
      <c r="A25" t="s">
        <v>149</v>
      </c>
      <c r="B25" s="32" t="s">
        <v>2457</v>
      </c>
      <c r="C25" t="s">
        <v>2448</v>
      </c>
      <c r="D25">
        <v>1</v>
      </c>
    </row>
    <row r="26" spans="1:4" x14ac:dyDescent="0.25">
      <c r="A26" t="s">
        <v>152</v>
      </c>
      <c r="B26" s="32" t="s">
        <v>2457</v>
      </c>
      <c r="C26" t="s">
        <v>2448</v>
      </c>
      <c r="D26">
        <v>1</v>
      </c>
    </row>
    <row r="27" spans="1:4" x14ac:dyDescent="0.25">
      <c r="A27" t="s">
        <v>167</v>
      </c>
      <c r="B27" s="32" t="s">
        <v>2457</v>
      </c>
      <c r="C27" t="s">
        <v>2448</v>
      </c>
      <c r="D27">
        <v>1</v>
      </c>
    </row>
    <row r="28" spans="1:4" x14ac:dyDescent="0.25">
      <c r="A28" t="s">
        <v>200</v>
      </c>
      <c r="B28" s="32" t="s">
        <v>2457</v>
      </c>
      <c r="C28" t="s">
        <v>2448</v>
      </c>
      <c r="D28">
        <v>1</v>
      </c>
    </row>
    <row r="29" spans="1:4" x14ac:dyDescent="0.25">
      <c r="A29" t="s">
        <v>207</v>
      </c>
      <c r="B29" s="32" t="s">
        <v>2457</v>
      </c>
      <c r="C29" t="s">
        <v>2448</v>
      </c>
      <c r="D29">
        <v>1</v>
      </c>
    </row>
  </sheetData>
  <conditionalFormatting sqref="A2:A29">
    <cfRule type="duplicateValues" dxfId="63" priority="1"/>
  </conditionalFormatting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4"/>
  <sheetViews>
    <sheetView topLeftCell="J1" workbookViewId="0">
      <selection activeCell="B1" sqref="B1:V1"/>
    </sheetView>
  </sheetViews>
  <sheetFormatPr defaultColWidth="9.140625" defaultRowHeight="15" x14ac:dyDescent="0.25"/>
  <cols>
    <col min="1" max="1" width="18.140625" bestFit="1" customWidth="1"/>
    <col min="2" max="2" width="14.7109375" customWidth="1"/>
    <col min="3" max="3" width="14.28515625" customWidth="1"/>
    <col min="4" max="5" width="16.85546875" customWidth="1"/>
    <col min="6" max="7" width="14.28515625" customWidth="1"/>
    <col min="8" max="10" width="16.85546875" customWidth="1"/>
    <col min="11" max="11" width="14.28515625" customWidth="1"/>
    <col min="12" max="12" width="16.85546875" customWidth="1"/>
    <col min="13" max="13" width="14.28515625" customWidth="1"/>
    <col min="14" max="15" width="16.85546875" customWidth="1"/>
    <col min="16" max="16" width="14.28515625" customWidth="1"/>
    <col min="17" max="22" width="15.28515625" customWidth="1"/>
  </cols>
  <sheetData>
    <row r="1" spans="1:22" x14ac:dyDescent="0.25">
      <c r="A1" t="s">
        <v>0</v>
      </c>
      <c r="B1" t="s">
        <v>2471</v>
      </c>
      <c r="C1" t="s">
        <v>914</v>
      </c>
      <c r="D1" t="s">
        <v>1924</v>
      </c>
      <c r="E1" t="s">
        <v>1925</v>
      </c>
      <c r="F1" t="s">
        <v>556</v>
      </c>
      <c r="G1" t="s">
        <v>562</v>
      </c>
      <c r="H1" t="s">
        <v>1926</v>
      </c>
      <c r="I1" t="s">
        <v>1927</v>
      </c>
      <c r="J1" t="s">
        <v>1928</v>
      </c>
      <c r="K1" t="s">
        <v>574</v>
      </c>
      <c r="L1" t="s">
        <v>2472</v>
      </c>
      <c r="M1" t="s">
        <v>927</v>
      </c>
      <c r="N1" t="s">
        <v>1930</v>
      </c>
      <c r="O1" t="s">
        <v>1931</v>
      </c>
      <c r="P1" t="s">
        <v>581</v>
      </c>
      <c r="Q1" t="s">
        <v>883</v>
      </c>
      <c r="R1" t="s">
        <v>593</v>
      </c>
      <c r="S1" t="s">
        <v>612</v>
      </c>
      <c r="T1" t="s">
        <v>1058</v>
      </c>
      <c r="U1" t="s">
        <v>711</v>
      </c>
      <c r="V1" t="s">
        <v>1059</v>
      </c>
    </row>
    <row r="2" spans="1:22" x14ac:dyDescent="0.25">
      <c r="A2" t="s">
        <v>6</v>
      </c>
    </row>
    <row r="3" spans="1:22" x14ac:dyDescent="0.25">
      <c r="A3" t="s">
        <v>11</v>
      </c>
    </row>
    <row r="4" spans="1:22" x14ac:dyDescent="0.25">
      <c r="A4" t="s">
        <v>12</v>
      </c>
    </row>
    <row r="5" spans="1:22" x14ac:dyDescent="0.25">
      <c r="A5" t="s">
        <v>16</v>
      </c>
    </row>
    <row r="6" spans="1:22" x14ac:dyDescent="0.25">
      <c r="A6" t="s">
        <v>18</v>
      </c>
    </row>
    <row r="7" spans="1:22" x14ac:dyDescent="0.25">
      <c r="A7" t="s">
        <v>20</v>
      </c>
    </row>
    <row r="8" spans="1:22" x14ac:dyDescent="0.25">
      <c r="A8" t="s">
        <v>22</v>
      </c>
    </row>
    <row r="9" spans="1:22" x14ac:dyDescent="0.25">
      <c r="A9" t="s">
        <v>24</v>
      </c>
    </row>
    <row r="10" spans="1:22" x14ac:dyDescent="0.25">
      <c r="A10" t="s">
        <v>26</v>
      </c>
      <c r="U10">
        <v>4.6500000000000004</v>
      </c>
    </row>
    <row r="11" spans="1:22" x14ac:dyDescent="0.25">
      <c r="A11" t="s">
        <v>28</v>
      </c>
    </row>
    <row r="12" spans="1:22" x14ac:dyDescent="0.25">
      <c r="A12" t="s">
        <v>30</v>
      </c>
    </row>
    <row r="13" spans="1:22" x14ac:dyDescent="0.25">
      <c r="A13" t="s">
        <v>32</v>
      </c>
    </row>
    <row r="14" spans="1:22" x14ac:dyDescent="0.25">
      <c r="A14" t="s">
        <v>34</v>
      </c>
    </row>
    <row r="15" spans="1:22" x14ac:dyDescent="0.25">
      <c r="A15" t="s">
        <v>36</v>
      </c>
    </row>
    <row r="16" spans="1:22" x14ac:dyDescent="0.25">
      <c r="A16" t="s">
        <v>37</v>
      </c>
    </row>
    <row r="17" spans="1:1" x14ac:dyDescent="0.25">
      <c r="A17" t="s">
        <v>40</v>
      </c>
    </row>
    <row r="18" spans="1:1" x14ac:dyDescent="0.25">
      <c r="A18" t="s">
        <v>42</v>
      </c>
    </row>
    <row r="19" spans="1:1" x14ac:dyDescent="0.25">
      <c r="A19" t="s">
        <v>43</v>
      </c>
    </row>
    <row r="20" spans="1:1" x14ac:dyDescent="0.25">
      <c r="A20" t="s">
        <v>44</v>
      </c>
    </row>
    <row r="21" spans="1:1" x14ac:dyDescent="0.25">
      <c r="A21" t="s">
        <v>46</v>
      </c>
    </row>
    <row r="22" spans="1:1" x14ac:dyDescent="0.25">
      <c r="A22" t="s">
        <v>48</v>
      </c>
    </row>
    <row r="23" spans="1:1" x14ac:dyDescent="0.25">
      <c r="A23" t="s">
        <v>50</v>
      </c>
    </row>
    <row r="24" spans="1:1" x14ac:dyDescent="0.25">
      <c r="A24" t="s">
        <v>52</v>
      </c>
    </row>
    <row r="25" spans="1:1" x14ac:dyDescent="0.25">
      <c r="A25" t="s">
        <v>53</v>
      </c>
    </row>
    <row r="26" spans="1:1" x14ac:dyDescent="0.25">
      <c r="A26" t="s">
        <v>55</v>
      </c>
    </row>
    <row r="27" spans="1:1" x14ac:dyDescent="0.25">
      <c r="A27" t="s">
        <v>57</v>
      </c>
    </row>
    <row r="28" spans="1:1" x14ac:dyDescent="0.25">
      <c r="A28" t="s">
        <v>59</v>
      </c>
    </row>
    <row r="29" spans="1:1" x14ac:dyDescent="0.25">
      <c r="A29" t="s">
        <v>60</v>
      </c>
    </row>
    <row r="30" spans="1:1" x14ac:dyDescent="0.25">
      <c r="A30" t="s">
        <v>62</v>
      </c>
    </row>
    <row r="31" spans="1:1" x14ac:dyDescent="0.25">
      <c r="A31" t="s">
        <v>64</v>
      </c>
    </row>
    <row r="32" spans="1:1" x14ac:dyDescent="0.25">
      <c r="A32" t="s">
        <v>65</v>
      </c>
    </row>
    <row r="33" spans="1:19" x14ac:dyDescent="0.25">
      <c r="A33" t="s">
        <v>66</v>
      </c>
      <c r="B33">
        <v>0.53</v>
      </c>
      <c r="F33">
        <v>0.33</v>
      </c>
      <c r="G33">
        <v>0.31</v>
      </c>
      <c r="K33">
        <v>17</v>
      </c>
      <c r="P33">
        <v>0.26</v>
      </c>
      <c r="R33">
        <v>0.08</v>
      </c>
      <c r="S33">
        <v>0.11</v>
      </c>
    </row>
    <row r="34" spans="1:19" x14ac:dyDescent="0.25">
      <c r="A34" t="s">
        <v>68</v>
      </c>
    </row>
    <row r="35" spans="1:19" x14ac:dyDescent="0.25">
      <c r="A35" t="s">
        <v>69</v>
      </c>
    </row>
    <row r="36" spans="1:19" x14ac:dyDescent="0.25">
      <c r="A36" t="s">
        <v>71</v>
      </c>
    </row>
    <row r="37" spans="1:19" x14ac:dyDescent="0.25">
      <c r="A37" t="s">
        <v>73</v>
      </c>
    </row>
    <row r="38" spans="1:19" x14ac:dyDescent="0.25">
      <c r="A38" t="s">
        <v>74</v>
      </c>
      <c r="B38" t="s">
        <v>634</v>
      </c>
      <c r="F38" t="s">
        <v>533</v>
      </c>
      <c r="S38" t="s">
        <v>649</v>
      </c>
    </row>
    <row r="39" spans="1:19" x14ac:dyDescent="0.25">
      <c r="A39" t="s">
        <v>76</v>
      </c>
    </row>
    <row r="40" spans="1:19" x14ac:dyDescent="0.25">
      <c r="A40" t="s">
        <v>78</v>
      </c>
    </row>
    <row r="41" spans="1:19" x14ac:dyDescent="0.25">
      <c r="A41" t="s">
        <v>80</v>
      </c>
    </row>
    <row r="42" spans="1:19" x14ac:dyDescent="0.25">
      <c r="A42" t="s">
        <v>82</v>
      </c>
    </row>
    <row r="43" spans="1:19" x14ac:dyDescent="0.25">
      <c r="A43" t="s">
        <v>84</v>
      </c>
    </row>
    <row r="44" spans="1:19" x14ac:dyDescent="0.25">
      <c r="A44" t="s">
        <v>85</v>
      </c>
    </row>
    <row r="45" spans="1:19" x14ac:dyDescent="0.25">
      <c r="A45" t="s">
        <v>87</v>
      </c>
    </row>
    <row r="46" spans="1:19" x14ac:dyDescent="0.25">
      <c r="A46" t="s">
        <v>89</v>
      </c>
    </row>
    <row r="47" spans="1:19" x14ac:dyDescent="0.25">
      <c r="A47" t="s">
        <v>91</v>
      </c>
    </row>
    <row r="48" spans="1:19" x14ac:dyDescent="0.25">
      <c r="A48" t="s">
        <v>92</v>
      </c>
    </row>
    <row r="49" spans="1:7" x14ac:dyDescent="0.25">
      <c r="A49" t="s">
        <v>93</v>
      </c>
      <c r="B49">
        <v>0.63</v>
      </c>
    </row>
    <row r="50" spans="1:7" x14ac:dyDescent="0.25">
      <c r="A50" t="s">
        <v>95</v>
      </c>
    </row>
    <row r="51" spans="1:7" x14ac:dyDescent="0.25">
      <c r="A51" t="s">
        <v>97</v>
      </c>
    </row>
    <row r="52" spans="1:7" x14ac:dyDescent="0.25">
      <c r="A52" t="s">
        <v>99</v>
      </c>
    </row>
    <row r="53" spans="1:7" x14ac:dyDescent="0.25">
      <c r="A53" t="s">
        <v>100</v>
      </c>
    </row>
    <row r="54" spans="1:7" x14ac:dyDescent="0.25">
      <c r="A54" t="s">
        <v>101</v>
      </c>
    </row>
    <row r="55" spans="1:7" x14ac:dyDescent="0.25">
      <c r="A55" t="s">
        <v>102</v>
      </c>
    </row>
    <row r="56" spans="1:7" x14ac:dyDescent="0.25">
      <c r="A56" t="s">
        <v>103</v>
      </c>
      <c r="B56">
        <v>5.43</v>
      </c>
      <c r="G56">
        <v>10.54</v>
      </c>
    </row>
    <row r="57" spans="1:7" x14ac:dyDescent="0.25">
      <c r="A57" t="s">
        <v>105</v>
      </c>
    </row>
    <row r="58" spans="1:7" x14ac:dyDescent="0.25">
      <c r="A58" t="s">
        <v>106</v>
      </c>
    </row>
    <row r="59" spans="1:7" x14ac:dyDescent="0.25">
      <c r="A59" t="s">
        <v>107</v>
      </c>
    </row>
    <row r="60" spans="1:7" x14ac:dyDescent="0.25">
      <c r="A60" t="s">
        <v>108</v>
      </c>
    </row>
    <row r="61" spans="1:7" x14ac:dyDescent="0.25">
      <c r="A61" t="s">
        <v>109</v>
      </c>
    </row>
    <row r="62" spans="1:7" x14ac:dyDescent="0.25">
      <c r="A62" t="s">
        <v>110</v>
      </c>
    </row>
    <row r="63" spans="1:7" x14ac:dyDescent="0.25">
      <c r="A63" t="s">
        <v>111</v>
      </c>
    </row>
    <row r="64" spans="1:7" x14ac:dyDescent="0.25">
      <c r="A64" t="s">
        <v>112</v>
      </c>
    </row>
    <row r="65" spans="1:17" x14ac:dyDescent="0.25">
      <c r="A65" t="s">
        <v>113</v>
      </c>
    </row>
    <row r="66" spans="1:17" x14ac:dyDescent="0.25">
      <c r="A66" t="s">
        <v>115</v>
      </c>
    </row>
    <row r="67" spans="1:17" x14ac:dyDescent="0.25">
      <c r="A67" t="s">
        <v>116</v>
      </c>
    </row>
    <row r="68" spans="1:17" x14ac:dyDescent="0.25">
      <c r="A68" t="s">
        <v>117</v>
      </c>
    </row>
    <row r="69" spans="1:17" x14ac:dyDescent="0.25">
      <c r="A69" t="s">
        <v>119</v>
      </c>
      <c r="B69">
        <v>0.49</v>
      </c>
      <c r="F69">
        <v>0.39</v>
      </c>
      <c r="P69">
        <v>0.54</v>
      </c>
    </row>
    <row r="70" spans="1:17" x14ac:dyDescent="0.25">
      <c r="A70" t="s">
        <v>120</v>
      </c>
    </row>
    <row r="71" spans="1:17" x14ac:dyDescent="0.25">
      <c r="A71" t="s">
        <v>122</v>
      </c>
    </row>
    <row r="72" spans="1:17" x14ac:dyDescent="0.25">
      <c r="A72" t="s">
        <v>123</v>
      </c>
    </row>
    <row r="73" spans="1:17" x14ac:dyDescent="0.25">
      <c r="A73" t="s">
        <v>125</v>
      </c>
      <c r="G73">
        <v>20.9</v>
      </c>
      <c r="Q73">
        <v>11.5</v>
      </c>
    </row>
    <row r="74" spans="1:17" x14ac:dyDescent="0.25">
      <c r="A74" t="s">
        <v>126</v>
      </c>
    </row>
    <row r="75" spans="1:17" x14ac:dyDescent="0.25">
      <c r="A75" t="s">
        <v>127</v>
      </c>
    </row>
    <row r="76" spans="1:17" x14ac:dyDescent="0.25">
      <c r="A76" t="s">
        <v>128</v>
      </c>
    </row>
    <row r="77" spans="1:17" x14ac:dyDescent="0.25">
      <c r="A77" t="s">
        <v>131</v>
      </c>
    </row>
    <row r="78" spans="1:17" x14ac:dyDescent="0.25">
      <c r="A78" t="s">
        <v>133</v>
      </c>
    </row>
    <row r="79" spans="1:17" x14ac:dyDescent="0.25">
      <c r="A79" t="s">
        <v>134</v>
      </c>
    </row>
    <row r="80" spans="1:17" x14ac:dyDescent="0.25">
      <c r="A80" t="s">
        <v>136</v>
      </c>
    </row>
    <row r="81" spans="1:11" x14ac:dyDescent="0.25">
      <c r="A81" t="s">
        <v>138</v>
      </c>
      <c r="B81">
        <v>4.9000000000000004</v>
      </c>
    </row>
    <row r="82" spans="1:11" x14ac:dyDescent="0.25">
      <c r="A82" t="s">
        <v>140</v>
      </c>
      <c r="B82">
        <v>2.7</v>
      </c>
    </row>
    <row r="83" spans="1:11" x14ac:dyDescent="0.25">
      <c r="A83" t="s">
        <v>142</v>
      </c>
    </row>
    <row r="84" spans="1:11" x14ac:dyDescent="0.25">
      <c r="A84" t="s">
        <v>143</v>
      </c>
    </row>
    <row r="85" spans="1:11" x14ac:dyDescent="0.25">
      <c r="A85" t="s">
        <v>144</v>
      </c>
    </row>
    <row r="86" spans="1:11" x14ac:dyDescent="0.25">
      <c r="A86" t="s">
        <v>145</v>
      </c>
    </row>
    <row r="87" spans="1:11" x14ac:dyDescent="0.25">
      <c r="A87" t="s">
        <v>146</v>
      </c>
    </row>
    <row r="88" spans="1:11" x14ac:dyDescent="0.25">
      <c r="A88" t="s">
        <v>147</v>
      </c>
    </row>
    <row r="89" spans="1:11" x14ac:dyDescent="0.25">
      <c r="A89" t="s">
        <v>148</v>
      </c>
    </row>
    <row r="90" spans="1:11" x14ac:dyDescent="0.25">
      <c r="A90" t="s">
        <v>149</v>
      </c>
      <c r="B90">
        <v>1.4</v>
      </c>
    </row>
    <row r="91" spans="1:11" x14ac:dyDescent="0.25">
      <c r="A91" t="s">
        <v>150</v>
      </c>
    </row>
    <row r="92" spans="1:11" x14ac:dyDescent="0.25">
      <c r="A92" t="s">
        <v>151</v>
      </c>
    </row>
    <row r="94" spans="1:11" x14ac:dyDescent="0.25">
      <c r="A94" t="s">
        <v>321</v>
      </c>
    </row>
    <row r="95" spans="1:11" x14ac:dyDescent="0.25">
      <c r="A95" t="s">
        <v>152</v>
      </c>
    </row>
    <row r="96" spans="1:11" x14ac:dyDescent="0.25">
      <c r="A96" t="s">
        <v>153</v>
      </c>
      <c r="B96">
        <v>0.46600000000000003</v>
      </c>
      <c r="C96">
        <v>0.28000000000000003</v>
      </c>
      <c r="F96">
        <v>0.28000000000000003</v>
      </c>
      <c r="G96">
        <v>0.28999999999999998</v>
      </c>
      <c r="H96" t="s">
        <v>2028</v>
      </c>
      <c r="I96">
        <v>0.51</v>
      </c>
      <c r="J96">
        <v>30</v>
      </c>
      <c r="K96">
        <v>24</v>
      </c>
    </row>
    <row r="97" spans="1:16" x14ac:dyDescent="0.25">
      <c r="A97" t="s">
        <v>155</v>
      </c>
    </row>
    <row r="98" spans="1:16" x14ac:dyDescent="0.25">
      <c r="A98" t="s">
        <v>157</v>
      </c>
    </row>
    <row r="99" spans="1:16" x14ac:dyDescent="0.25">
      <c r="A99" t="s">
        <v>158</v>
      </c>
      <c r="B99">
        <v>0.78</v>
      </c>
      <c r="C99" t="s">
        <v>2029</v>
      </c>
      <c r="D99">
        <v>0.83</v>
      </c>
      <c r="E99">
        <v>0.68</v>
      </c>
      <c r="F99">
        <v>0.61</v>
      </c>
      <c r="G99">
        <v>0.68</v>
      </c>
      <c r="K99">
        <v>1.48</v>
      </c>
      <c r="L99">
        <v>1.81</v>
      </c>
      <c r="M99">
        <v>1.89</v>
      </c>
      <c r="N99">
        <v>2.04</v>
      </c>
      <c r="O99">
        <v>1.98</v>
      </c>
      <c r="P99">
        <v>1.46</v>
      </c>
    </row>
    <row r="100" spans="1:16" x14ac:dyDescent="0.25">
      <c r="A100" t="s">
        <v>160</v>
      </c>
    </row>
    <row r="101" spans="1:16" x14ac:dyDescent="0.25">
      <c r="A101" t="s">
        <v>162</v>
      </c>
    </row>
    <row r="102" spans="1:16" x14ac:dyDescent="0.25">
      <c r="A102" t="s">
        <v>163</v>
      </c>
      <c r="B102">
        <v>0.61</v>
      </c>
      <c r="C102">
        <v>0.53</v>
      </c>
    </row>
    <row r="103" spans="1:16" x14ac:dyDescent="0.25">
      <c r="A103" t="s">
        <v>164</v>
      </c>
    </row>
    <row r="104" spans="1:16" x14ac:dyDescent="0.25">
      <c r="A104" t="s">
        <v>165</v>
      </c>
    </row>
    <row r="105" spans="1:16" x14ac:dyDescent="0.25">
      <c r="A105" t="s">
        <v>166</v>
      </c>
      <c r="B105">
        <v>0.21</v>
      </c>
      <c r="C105">
        <v>0.26</v>
      </c>
      <c r="F105">
        <v>0.24</v>
      </c>
    </row>
    <row r="106" spans="1:16" x14ac:dyDescent="0.25">
      <c r="A106" t="s">
        <v>167</v>
      </c>
    </row>
    <row r="107" spans="1:16" x14ac:dyDescent="0.25">
      <c r="A107" t="s">
        <v>169</v>
      </c>
    </row>
    <row r="108" spans="1:16" x14ac:dyDescent="0.25">
      <c r="A108" t="s">
        <v>170</v>
      </c>
    </row>
    <row r="109" spans="1:16" x14ac:dyDescent="0.25">
      <c r="A109" t="s">
        <v>172</v>
      </c>
    </row>
    <row r="110" spans="1:16" x14ac:dyDescent="0.25">
      <c r="A110" t="s">
        <v>173</v>
      </c>
      <c r="B110">
        <v>0.51</v>
      </c>
      <c r="C110">
        <v>0.38</v>
      </c>
      <c r="D110">
        <v>0.26600000000000001</v>
      </c>
      <c r="F110">
        <v>0.26600000000000001</v>
      </c>
      <c r="G110">
        <v>0.28999999999999998</v>
      </c>
      <c r="M110">
        <v>0.28999999999999998</v>
      </c>
    </row>
    <row r="111" spans="1:16" x14ac:dyDescent="0.25">
      <c r="A111" t="s">
        <v>175</v>
      </c>
    </row>
    <row r="112" spans="1:16" x14ac:dyDescent="0.25">
      <c r="A112" t="s">
        <v>176</v>
      </c>
    </row>
    <row r="113" spans="1:1" x14ac:dyDescent="0.25">
      <c r="A113" t="s">
        <v>177</v>
      </c>
    </row>
    <row r="114" spans="1:1" x14ac:dyDescent="0.25">
      <c r="A114" t="s">
        <v>178</v>
      </c>
    </row>
    <row r="115" spans="1:1" x14ac:dyDescent="0.25">
      <c r="A115" t="s">
        <v>179</v>
      </c>
    </row>
    <row r="116" spans="1:1" x14ac:dyDescent="0.25">
      <c r="A116" t="s">
        <v>182</v>
      </c>
    </row>
    <row r="117" spans="1:1" x14ac:dyDescent="0.25">
      <c r="A117" t="s">
        <v>183</v>
      </c>
    </row>
    <row r="118" spans="1:1" x14ac:dyDescent="0.25">
      <c r="A118" t="s">
        <v>185</v>
      </c>
    </row>
    <row r="119" spans="1:1" x14ac:dyDescent="0.25">
      <c r="A119" t="s">
        <v>187</v>
      </c>
    </row>
    <row r="120" spans="1:1" x14ac:dyDescent="0.25">
      <c r="A120" t="s">
        <v>189</v>
      </c>
    </row>
    <row r="121" spans="1:1" x14ac:dyDescent="0.25">
      <c r="A121" t="s">
        <v>191</v>
      </c>
    </row>
    <row r="122" spans="1:1" x14ac:dyDescent="0.25">
      <c r="A122" t="s">
        <v>192</v>
      </c>
    </row>
    <row r="123" spans="1:1" x14ac:dyDescent="0.25">
      <c r="A123" t="s">
        <v>194</v>
      </c>
    </row>
    <row r="124" spans="1:1" x14ac:dyDescent="0.25">
      <c r="A124" t="s">
        <v>196</v>
      </c>
    </row>
    <row r="125" spans="1:1" x14ac:dyDescent="0.25">
      <c r="A125" t="s">
        <v>197</v>
      </c>
    </row>
    <row r="126" spans="1:1" x14ac:dyDescent="0.25">
      <c r="A126" t="s">
        <v>199</v>
      </c>
    </row>
    <row r="127" spans="1:1" x14ac:dyDescent="0.25">
      <c r="A127" t="s">
        <v>200</v>
      </c>
    </row>
    <row r="128" spans="1:1" x14ac:dyDescent="0.25">
      <c r="A128" t="s">
        <v>201</v>
      </c>
    </row>
    <row r="129" spans="1:22" x14ac:dyDescent="0.25">
      <c r="A129" t="s">
        <v>202</v>
      </c>
      <c r="B129">
        <v>0.56599999999999995</v>
      </c>
      <c r="M129">
        <v>0.51</v>
      </c>
      <c r="S129">
        <v>0.51</v>
      </c>
      <c r="T129">
        <v>35</v>
      </c>
      <c r="V129">
        <v>0.51</v>
      </c>
    </row>
    <row r="130" spans="1:22" x14ac:dyDescent="0.25">
      <c r="A130" t="s">
        <v>294</v>
      </c>
    </row>
    <row r="131" spans="1:22" x14ac:dyDescent="0.25">
      <c r="A131" t="s">
        <v>207</v>
      </c>
      <c r="B131">
        <v>0.06</v>
      </c>
    </row>
    <row r="132" spans="1:22" x14ac:dyDescent="0.25">
      <c r="A132" t="s">
        <v>208</v>
      </c>
    </row>
    <row r="133" spans="1:22" x14ac:dyDescent="0.25">
      <c r="A133" t="s">
        <v>1589</v>
      </c>
    </row>
    <row r="134" spans="1:22" x14ac:dyDescent="0.25">
      <c r="A134" t="s">
        <v>209</v>
      </c>
      <c r="M134">
        <v>0.42</v>
      </c>
    </row>
    <row r="135" spans="1:22" x14ac:dyDescent="0.25">
      <c r="A135" t="s">
        <v>211</v>
      </c>
    </row>
    <row r="136" spans="1:22" x14ac:dyDescent="0.25">
      <c r="A136" t="s">
        <v>212</v>
      </c>
    </row>
    <row r="137" spans="1:22" x14ac:dyDescent="0.25">
      <c r="A137" t="s">
        <v>214</v>
      </c>
    </row>
    <row r="138" spans="1:22" x14ac:dyDescent="0.25">
      <c r="A138" t="s">
        <v>216</v>
      </c>
    </row>
    <row r="139" spans="1:22" x14ac:dyDescent="0.25">
      <c r="A139" t="s">
        <v>218</v>
      </c>
    </row>
    <row r="140" spans="1:22" x14ac:dyDescent="0.25">
      <c r="A140" t="s">
        <v>220</v>
      </c>
    </row>
    <row r="141" spans="1:22" x14ac:dyDescent="0.25">
      <c r="A141" t="s">
        <v>222</v>
      </c>
    </row>
    <row r="142" spans="1:22" x14ac:dyDescent="0.25">
      <c r="A142" t="s">
        <v>224</v>
      </c>
      <c r="B142">
        <v>2.36</v>
      </c>
    </row>
    <row r="143" spans="1:22" x14ac:dyDescent="0.25">
      <c r="A143" t="s">
        <v>225</v>
      </c>
    </row>
    <row r="144" spans="1:22" x14ac:dyDescent="0.25">
      <c r="A144" t="s">
        <v>227</v>
      </c>
    </row>
    <row r="145" spans="1:1" x14ac:dyDescent="0.25">
      <c r="A145" t="s">
        <v>229</v>
      </c>
    </row>
    <row r="146" spans="1:1" x14ac:dyDescent="0.25">
      <c r="A146" t="s">
        <v>231</v>
      </c>
    </row>
    <row r="147" spans="1:1" x14ac:dyDescent="0.25">
      <c r="A147" t="s">
        <v>232</v>
      </c>
    </row>
    <row r="148" spans="1:1" x14ac:dyDescent="0.25">
      <c r="A148" t="s">
        <v>234</v>
      </c>
    </row>
    <row r="149" spans="1:1" x14ac:dyDescent="0.25">
      <c r="A149" t="s">
        <v>236</v>
      </c>
    </row>
    <row r="150" spans="1:1" x14ac:dyDescent="0.25">
      <c r="A150" t="s">
        <v>1322</v>
      </c>
    </row>
    <row r="151" spans="1:1" x14ac:dyDescent="0.25">
      <c r="A151" t="s">
        <v>1323</v>
      </c>
    </row>
    <row r="152" spans="1:1" x14ac:dyDescent="0.25">
      <c r="A152" t="s">
        <v>1324</v>
      </c>
    </row>
    <row r="153" spans="1:1" x14ac:dyDescent="0.25">
      <c r="A153" t="s">
        <v>1325</v>
      </c>
    </row>
    <row r="154" spans="1:1" x14ac:dyDescent="0.25">
      <c r="A154" t="s">
        <v>1326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20"/>
  <sheetViews>
    <sheetView workbookViewId="0">
      <selection activeCell="C3" sqref="C3"/>
    </sheetView>
  </sheetViews>
  <sheetFormatPr defaultColWidth="9.140625" defaultRowHeight="15" x14ac:dyDescent="0.25"/>
  <cols>
    <col min="1" max="1" width="18" bestFit="1" customWidth="1"/>
    <col min="2" max="2" width="14.7109375" bestFit="1" customWidth="1"/>
    <col min="3" max="3" width="81.140625" bestFit="1" customWidth="1"/>
    <col min="4" max="4" width="35.85546875" bestFit="1" customWidth="1"/>
  </cols>
  <sheetData>
    <row r="1" spans="1:4" ht="15.75" x14ac:dyDescent="0.25">
      <c r="A1" s="29" t="s">
        <v>0</v>
      </c>
      <c r="B1" s="29" t="s">
        <v>2473</v>
      </c>
      <c r="C1" s="29" t="s">
        <v>2134</v>
      </c>
      <c r="D1" s="29" t="s">
        <v>2118</v>
      </c>
    </row>
    <row r="2" spans="1:4" x14ac:dyDescent="0.25">
      <c r="A2" t="s">
        <v>158</v>
      </c>
      <c r="B2" s="32" t="s">
        <v>2473</v>
      </c>
      <c r="C2" s="21" t="s">
        <v>2480</v>
      </c>
      <c r="D2">
        <v>12</v>
      </c>
    </row>
    <row r="3" spans="1:4" ht="30" x14ac:dyDescent="0.25">
      <c r="A3" t="s">
        <v>153</v>
      </c>
      <c r="B3" s="32" t="s">
        <v>2473</v>
      </c>
      <c r="C3" s="21" t="s">
        <v>2479</v>
      </c>
      <c r="D3">
        <v>8</v>
      </c>
    </row>
    <row r="4" spans="1:4" x14ac:dyDescent="0.25">
      <c r="A4" t="s">
        <v>66</v>
      </c>
      <c r="B4" s="32" t="s">
        <v>2473</v>
      </c>
      <c r="C4" t="s">
        <v>2474</v>
      </c>
      <c r="D4">
        <v>7</v>
      </c>
    </row>
    <row r="5" spans="1:4" x14ac:dyDescent="0.25">
      <c r="A5" t="s">
        <v>173</v>
      </c>
      <c r="B5" s="32" t="s">
        <v>2473</v>
      </c>
      <c r="C5" t="s">
        <v>2483</v>
      </c>
      <c r="D5">
        <v>6</v>
      </c>
    </row>
    <row r="6" spans="1:4" x14ac:dyDescent="0.25">
      <c r="A6" t="s">
        <v>202</v>
      </c>
      <c r="B6" s="32" t="s">
        <v>2473</v>
      </c>
      <c r="C6" t="s">
        <v>2484</v>
      </c>
      <c r="D6">
        <v>5</v>
      </c>
    </row>
    <row r="7" spans="1:4" x14ac:dyDescent="0.25">
      <c r="A7" t="s">
        <v>74</v>
      </c>
      <c r="B7" s="32" t="s">
        <v>2473</v>
      </c>
      <c r="C7" t="s">
        <v>2475</v>
      </c>
      <c r="D7">
        <v>3</v>
      </c>
    </row>
    <row r="8" spans="1:4" x14ac:dyDescent="0.25">
      <c r="A8" t="s">
        <v>119</v>
      </c>
      <c r="B8" s="32" t="s">
        <v>2473</v>
      </c>
      <c r="C8" t="s">
        <v>2477</v>
      </c>
      <c r="D8">
        <v>3</v>
      </c>
    </row>
    <row r="9" spans="1:4" x14ac:dyDescent="0.25">
      <c r="A9" t="s">
        <v>166</v>
      </c>
      <c r="B9" s="32" t="s">
        <v>2473</v>
      </c>
      <c r="C9" t="s">
        <v>2482</v>
      </c>
      <c r="D9">
        <v>3</v>
      </c>
    </row>
    <row r="10" spans="1:4" x14ac:dyDescent="0.25">
      <c r="A10" t="s">
        <v>103</v>
      </c>
      <c r="B10" s="32" t="s">
        <v>2473</v>
      </c>
      <c r="C10" t="s">
        <v>2476</v>
      </c>
      <c r="D10">
        <v>2</v>
      </c>
    </row>
    <row r="11" spans="1:4" x14ac:dyDescent="0.25">
      <c r="A11" t="s">
        <v>125</v>
      </c>
      <c r="B11" s="32" t="s">
        <v>2473</v>
      </c>
      <c r="C11" t="s">
        <v>2478</v>
      </c>
      <c r="D11">
        <v>2</v>
      </c>
    </row>
    <row r="12" spans="1:4" x14ac:dyDescent="0.25">
      <c r="A12" t="s">
        <v>163</v>
      </c>
      <c r="B12" s="32" t="s">
        <v>2473</v>
      </c>
      <c r="C12" t="s">
        <v>2481</v>
      </c>
      <c r="D12">
        <v>2</v>
      </c>
    </row>
    <row r="13" spans="1:4" x14ac:dyDescent="0.25">
      <c r="A13" t="s">
        <v>26</v>
      </c>
      <c r="B13" s="32" t="s">
        <v>2473</v>
      </c>
      <c r="C13" t="s">
        <v>711</v>
      </c>
      <c r="D13">
        <v>1</v>
      </c>
    </row>
    <row r="14" spans="1:4" x14ac:dyDescent="0.25">
      <c r="A14" t="s">
        <v>93</v>
      </c>
      <c r="B14" s="32" t="s">
        <v>2473</v>
      </c>
      <c r="C14" t="s">
        <v>2471</v>
      </c>
      <c r="D14">
        <v>1</v>
      </c>
    </row>
    <row r="15" spans="1:4" x14ac:dyDescent="0.25">
      <c r="A15" t="s">
        <v>138</v>
      </c>
      <c r="B15" s="32" t="s">
        <v>2473</v>
      </c>
      <c r="C15" t="s">
        <v>2471</v>
      </c>
      <c r="D15">
        <v>1</v>
      </c>
    </row>
    <row r="16" spans="1:4" x14ac:dyDescent="0.25">
      <c r="A16" t="s">
        <v>140</v>
      </c>
      <c r="B16" s="32" t="s">
        <v>2473</v>
      </c>
      <c r="C16" t="s">
        <v>2471</v>
      </c>
      <c r="D16">
        <v>1</v>
      </c>
    </row>
    <row r="17" spans="1:4" x14ac:dyDescent="0.25">
      <c r="A17" t="s">
        <v>149</v>
      </c>
      <c r="B17" s="32" t="s">
        <v>2473</v>
      </c>
      <c r="C17" t="s">
        <v>2471</v>
      </c>
      <c r="D17">
        <v>1</v>
      </c>
    </row>
    <row r="18" spans="1:4" x14ac:dyDescent="0.25">
      <c r="A18" t="s">
        <v>207</v>
      </c>
      <c r="B18" s="32" t="s">
        <v>2473</v>
      </c>
      <c r="C18" t="s">
        <v>2471</v>
      </c>
      <c r="D18">
        <v>1</v>
      </c>
    </row>
    <row r="19" spans="1:4" x14ac:dyDescent="0.25">
      <c r="A19" t="s">
        <v>209</v>
      </c>
      <c r="B19" s="32" t="s">
        <v>2473</v>
      </c>
      <c r="C19" t="s">
        <v>927</v>
      </c>
      <c r="D19">
        <v>1</v>
      </c>
    </row>
    <row r="20" spans="1:4" x14ac:dyDescent="0.25">
      <c r="A20" t="s">
        <v>224</v>
      </c>
      <c r="B20" s="32" t="s">
        <v>2473</v>
      </c>
      <c r="C20" t="s">
        <v>2471</v>
      </c>
      <c r="D20">
        <v>1</v>
      </c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4"/>
  <sheetViews>
    <sheetView topLeftCell="N1" workbookViewId="0">
      <selection activeCell="B1" sqref="B1:W1"/>
    </sheetView>
  </sheetViews>
  <sheetFormatPr defaultColWidth="9.140625" defaultRowHeight="15" x14ac:dyDescent="0.25"/>
  <cols>
    <col min="1" max="1" width="18.140625" bestFit="1" customWidth="1"/>
    <col min="2" max="2" width="25.7109375" customWidth="1"/>
    <col min="3" max="3" width="21.42578125" customWidth="1"/>
    <col min="4" max="4" width="18.85546875" customWidth="1"/>
    <col min="5" max="6" width="21.42578125" customWidth="1"/>
    <col min="7" max="7" width="18.85546875" customWidth="1"/>
    <col min="8" max="8" width="20.28515625" customWidth="1"/>
    <col min="9" max="10" width="18.85546875" customWidth="1"/>
    <col min="11" max="11" width="21.42578125" customWidth="1"/>
    <col min="12" max="12" width="18.85546875" customWidth="1"/>
    <col min="13" max="14" width="21.42578125" customWidth="1"/>
    <col min="15" max="17" width="18.85546875" customWidth="1"/>
    <col min="18" max="23" width="19.85546875" customWidth="1"/>
  </cols>
  <sheetData>
    <row r="1" spans="1:23" x14ac:dyDescent="0.25">
      <c r="A1" t="s">
        <v>0</v>
      </c>
      <c r="B1" t="s">
        <v>2486</v>
      </c>
      <c r="C1" t="s">
        <v>1932</v>
      </c>
      <c r="D1" t="s">
        <v>781</v>
      </c>
      <c r="E1" t="s">
        <v>2497</v>
      </c>
      <c r="F1" t="s">
        <v>1934</v>
      </c>
      <c r="G1" t="s">
        <v>572</v>
      </c>
      <c r="H1" t="s">
        <v>2502</v>
      </c>
      <c r="I1" t="s">
        <v>573</v>
      </c>
      <c r="J1" t="s">
        <v>580</v>
      </c>
      <c r="K1" t="s">
        <v>1936</v>
      </c>
      <c r="L1" t="s">
        <v>867</v>
      </c>
      <c r="M1" t="s">
        <v>1937</v>
      </c>
      <c r="N1" t="s">
        <v>2498</v>
      </c>
      <c r="O1" t="s">
        <v>583</v>
      </c>
      <c r="P1" t="s">
        <v>795</v>
      </c>
      <c r="Q1" t="s">
        <v>782</v>
      </c>
      <c r="R1" t="s">
        <v>1034</v>
      </c>
      <c r="S1" t="s">
        <v>608</v>
      </c>
      <c r="T1" t="s">
        <v>614</v>
      </c>
      <c r="U1" t="s">
        <v>884</v>
      </c>
      <c r="V1" t="s">
        <v>1033</v>
      </c>
      <c r="W1" t="s">
        <v>721</v>
      </c>
    </row>
    <row r="2" spans="1:23" x14ac:dyDescent="0.25">
      <c r="A2" t="s">
        <v>6</v>
      </c>
    </row>
    <row r="3" spans="1:23" x14ac:dyDescent="0.25">
      <c r="A3" t="s">
        <v>11</v>
      </c>
    </row>
    <row r="4" spans="1:23" x14ac:dyDescent="0.25">
      <c r="A4" t="s">
        <v>12</v>
      </c>
    </row>
    <row r="5" spans="1:23" x14ac:dyDescent="0.25">
      <c r="A5" t="s">
        <v>16</v>
      </c>
    </row>
    <row r="6" spans="1:23" x14ac:dyDescent="0.25">
      <c r="A6" t="s">
        <v>18</v>
      </c>
    </row>
    <row r="7" spans="1:23" x14ac:dyDescent="0.25">
      <c r="A7" t="s">
        <v>20</v>
      </c>
    </row>
    <row r="8" spans="1:23" x14ac:dyDescent="0.25">
      <c r="A8" t="s">
        <v>22</v>
      </c>
    </row>
    <row r="9" spans="1:23" x14ac:dyDescent="0.25">
      <c r="A9" t="s">
        <v>24</v>
      </c>
    </row>
    <row r="10" spans="1:23" x14ac:dyDescent="0.25">
      <c r="A10" t="s">
        <v>26</v>
      </c>
      <c r="B10">
        <v>156</v>
      </c>
    </row>
    <row r="11" spans="1:23" x14ac:dyDescent="0.25">
      <c r="A11" t="s">
        <v>28</v>
      </c>
    </row>
    <row r="12" spans="1:23" x14ac:dyDescent="0.25">
      <c r="A12" t="s">
        <v>30</v>
      </c>
    </row>
    <row r="13" spans="1:23" x14ac:dyDescent="0.25">
      <c r="A13" t="s">
        <v>32</v>
      </c>
      <c r="B13">
        <v>288</v>
      </c>
    </row>
    <row r="14" spans="1:23" x14ac:dyDescent="0.25">
      <c r="A14" t="s">
        <v>34</v>
      </c>
    </row>
    <row r="15" spans="1:23" x14ac:dyDescent="0.25">
      <c r="A15" t="s">
        <v>36</v>
      </c>
    </row>
    <row r="16" spans="1:23" x14ac:dyDescent="0.25">
      <c r="A16" t="s">
        <v>37</v>
      </c>
    </row>
    <row r="17" spans="1:2" x14ac:dyDescent="0.25">
      <c r="A17" t="s">
        <v>40</v>
      </c>
    </row>
    <row r="18" spans="1:2" x14ac:dyDescent="0.25">
      <c r="A18" t="s">
        <v>42</v>
      </c>
    </row>
    <row r="19" spans="1:2" x14ac:dyDescent="0.25">
      <c r="A19" t="s">
        <v>43</v>
      </c>
    </row>
    <row r="20" spans="1:2" x14ac:dyDescent="0.25">
      <c r="A20" t="s">
        <v>44</v>
      </c>
    </row>
    <row r="21" spans="1:2" x14ac:dyDescent="0.25">
      <c r="A21" t="s">
        <v>46</v>
      </c>
    </row>
    <row r="22" spans="1:2" x14ac:dyDescent="0.25">
      <c r="A22" t="s">
        <v>48</v>
      </c>
    </row>
    <row r="23" spans="1:2" x14ac:dyDescent="0.25">
      <c r="A23" t="s">
        <v>50</v>
      </c>
    </row>
    <row r="24" spans="1:2" x14ac:dyDescent="0.25">
      <c r="A24" t="s">
        <v>52</v>
      </c>
    </row>
    <row r="25" spans="1:2" x14ac:dyDescent="0.25">
      <c r="A25" t="s">
        <v>53</v>
      </c>
    </row>
    <row r="26" spans="1:2" x14ac:dyDescent="0.25">
      <c r="A26" t="s">
        <v>55</v>
      </c>
    </row>
    <row r="27" spans="1:2" x14ac:dyDescent="0.25">
      <c r="A27" t="s">
        <v>57</v>
      </c>
    </row>
    <row r="28" spans="1:2" x14ac:dyDescent="0.25">
      <c r="A28" t="s">
        <v>59</v>
      </c>
    </row>
    <row r="29" spans="1:2" x14ac:dyDescent="0.25">
      <c r="A29" t="s">
        <v>60</v>
      </c>
      <c r="B29">
        <v>340</v>
      </c>
    </row>
    <row r="30" spans="1:2" x14ac:dyDescent="0.25">
      <c r="A30" t="s">
        <v>62</v>
      </c>
    </row>
    <row r="31" spans="1:2" x14ac:dyDescent="0.25">
      <c r="A31" t="s">
        <v>64</v>
      </c>
    </row>
    <row r="32" spans="1:2" x14ac:dyDescent="0.25">
      <c r="A32" t="s">
        <v>65</v>
      </c>
    </row>
    <row r="33" spans="1:23" x14ac:dyDescent="0.25">
      <c r="A33" t="s">
        <v>66</v>
      </c>
      <c r="B33">
        <v>236</v>
      </c>
      <c r="G33">
        <v>200</v>
      </c>
      <c r="I33">
        <v>288</v>
      </c>
      <c r="J33">
        <v>178</v>
      </c>
      <c r="O33">
        <v>232</v>
      </c>
      <c r="S33">
        <v>411</v>
      </c>
      <c r="T33">
        <v>553</v>
      </c>
      <c r="W33">
        <v>853</v>
      </c>
    </row>
    <row r="34" spans="1:23" x14ac:dyDescent="0.25">
      <c r="A34" t="s">
        <v>68</v>
      </c>
    </row>
    <row r="35" spans="1:23" x14ac:dyDescent="0.25">
      <c r="A35" t="s">
        <v>69</v>
      </c>
    </row>
    <row r="36" spans="1:23" x14ac:dyDescent="0.25">
      <c r="A36" t="s">
        <v>71</v>
      </c>
    </row>
    <row r="37" spans="1:23" x14ac:dyDescent="0.25">
      <c r="A37" t="s">
        <v>73</v>
      </c>
    </row>
    <row r="38" spans="1:23" x14ac:dyDescent="0.25">
      <c r="A38" t="s">
        <v>74</v>
      </c>
      <c r="B38">
        <v>222</v>
      </c>
    </row>
    <row r="39" spans="1:23" x14ac:dyDescent="0.25">
      <c r="A39" t="s">
        <v>76</v>
      </c>
    </row>
    <row r="40" spans="1:23" x14ac:dyDescent="0.25">
      <c r="A40" t="s">
        <v>78</v>
      </c>
    </row>
    <row r="41" spans="1:23" x14ac:dyDescent="0.25">
      <c r="A41" t="s">
        <v>80</v>
      </c>
    </row>
    <row r="42" spans="1:23" x14ac:dyDescent="0.25">
      <c r="A42" t="s">
        <v>82</v>
      </c>
    </row>
    <row r="43" spans="1:23" x14ac:dyDescent="0.25">
      <c r="A43" t="s">
        <v>84</v>
      </c>
    </row>
    <row r="44" spans="1:23" x14ac:dyDescent="0.25">
      <c r="A44" t="s">
        <v>85</v>
      </c>
    </row>
    <row r="45" spans="1:23" x14ac:dyDescent="0.25">
      <c r="A45" t="s">
        <v>87</v>
      </c>
      <c r="B45">
        <v>113</v>
      </c>
      <c r="D45">
        <v>108</v>
      </c>
      <c r="Q45" t="s">
        <v>783</v>
      </c>
    </row>
    <row r="46" spans="1:23" x14ac:dyDescent="0.25">
      <c r="A46" t="s">
        <v>89</v>
      </c>
    </row>
    <row r="47" spans="1:23" x14ac:dyDescent="0.25">
      <c r="A47" t="s">
        <v>91</v>
      </c>
    </row>
    <row r="48" spans="1:23" x14ac:dyDescent="0.25">
      <c r="A48" t="s">
        <v>92</v>
      </c>
    </row>
    <row r="49" spans="1:16" x14ac:dyDescent="0.25">
      <c r="A49" t="s">
        <v>93</v>
      </c>
      <c r="B49" t="s">
        <v>835</v>
      </c>
      <c r="D49" t="s">
        <v>836</v>
      </c>
      <c r="P49" t="s">
        <v>796</v>
      </c>
    </row>
    <row r="50" spans="1:16" x14ac:dyDescent="0.25">
      <c r="A50" t="s">
        <v>95</v>
      </c>
      <c r="B50" t="s">
        <v>834</v>
      </c>
    </row>
    <row r="51" spans="1:16" x14ac:dyDescent="0.25">
      <c r="A51" t="s">
        <v>97</v>
      </c>
    </row>
    <row r="52" spans="1:16" x14ac:dyDescent="0.25">
      <c r="A52" t="s">
        <v>99</v>
      </c>
    </row>
    <row r="53" spans="1:16" x14ac:dyDescent="0.25">
      <c r="A53" t="s">
        <v>100</v>
      </c>
    </row>
    <row r="54" spans="1:16" x14ac:dyDescent="0.25">
      <c r="A54" t="s">
        <v>101</v>
      </c>
    </row>
    <row r="55" spans="1:16" x14ac:dyDescent="0.25">
      <c r="A55" t="s">
        <v>102</v>
      </c>
    </row>
    <row r="56" spans="1:16" x14ac:dyDescent="0.25">
      <c r="A56" t="s">
        <v>103</v>
      </c>
      <c r="D56">
        <v>305</v>
      </c>
      <c r="G56">
        <v>170</v>
      </c>
      <c r="I56">
        <v>86</v>
      </c>
    </row>
    <row r="57" spans="1:16" x14ac:dyDescent="0.25">
      <c r="A57" t="s">
        <v>105</v>
      </c>
    </row>
    <row r="58" spans="1:16" x14ac:dyDescent="0.25">
      <c r="A58" t="s">
        <v>106</v>
      </c>
    </row>
    <row r="59" spans="1:16" x14ac:dyDescent="0.25">
      <c r="A59" t="s">
        <v>107</v>
      </c>
    </row>
    <row r="60" spans="1:16" x14ac:dyDescent="0.25">
      <c r="A60" t="s">
        <v>108</v>
      </c>
    </row>
    <row r="61" spans="1:16" x14ac:dyDescent="0.25">
      <c r="A61" t="s">
        <v>109</v>
      </c>
    </row>
    <row r="62" spans="1:16" x14ac:dyDescent="0.25">
      <c r="A62" t="s">
        <v>110</v>
      </c>
    </row>
    <row r="63" spans="1:16" x14ac:dyDescent="0.25">
      <c r="A63" t="s">
        <v>111</v>
      </c>
    </row>
    <row r="64" spans="1:16" x14ac:dyDescent="0.25">
      <c r="A64" t="s">
        <v>112</v>
      </c>
    </row>
    <row r="65" spans="1:21" x14ac:dyDescent="0.25">
      <c r="A65" t="s">
        <v>113</v>
      </c>
    </row>
    <row r="66" spans="1:21" x14ac:dyDescent="0.25">
      <c r="A66" t="s">
        <v>115</v>
      </c>
    </row>
    <row r="67" spans="1:21" x14ac:dyDescent="0.25">
      <c r="A67" t="s">
        <v>116</v>
      </c>
    </row>
    <row r="68" spans="1:21" x14ac:dyDescent="0.25">
      <c r="A68" t="s">
        <v>117</v>
      </c>
    </row>
    <row r="69" spans="1:21" x14ac:dyDescent="0.25">
      <c r="A69" t="s">
        <v>119</v>
      </c>
      <c r="B69">
        <v>309</v>
      </c>
      <c r="G69">
        <v>278</v>
      </c>
      <c r="O69">
        <v>358</v>
      </c>
    </row>
    <row r="70" spans="1:21" x14ac:dyDescent="0.25">
      <c r="A70" t="s">
        <v>120</v>
      </c>
    </row>
    <row r="71" spans="1:21" x14ac:dyDescent="0.25">
      <c r="A71" t="s">
        <v>122</v>
      </c>
    </row>
    <row r="72" spans="1:21" x14ac:dyDescent="0.25">
      <c r="A72" t="s">
        <v>123</v>
      </c>
    </row>
    <row r="73" spans="1:21" x14ac:dyDescent="0.25">
      <c r="A73" t="s">
        <v>125</v>
      </c>
      <c r="B73">
        <v>311</v>
      </c>
      <c r="D73">
        <v>252</v>
      </c>
      <c r="I73">
        <v>307</v>
      </c>
      <c r="J73">
        <v>248</v>
      </c>
      <c r="L73">
        <v>278</v>
      </c>
      <c r="P73">
        <v>317</v>
      </c>
      <c r="Q73">
        <v>320</v>
      </c>
      <c r="S73">
        <v>409</v>
      </c>
      <c r="T73">
        <v>477</v>
      </c>
      <c r="U73">
        <v>615</v>
      </c>
    </row>
    <row r="74" spans="1:21" x14ac:dyDescent="0.25">
      <c r="A74" t="s">
        <v>126</v>
      </c>
    </row>
    <row r="75" spans="1:21" x14ac:dyDescent="0.25">
      <c r="A75" t="s">
        <v>127</v>
      </c>
    </row>
    <row r="76" spans="1:21" x14ac:dyDescent="0.25">
      <c r="A76" t="s">
        <v>128</v>
      </c>
    </row>
    <row r="77" spans="1:21" x14ac:dyDescent="0.25">
      <c r="A77" t="s">
        <v>131</v>
      </c>
    </row>
    <row r="78" spans="1:21" x14ac:dyDescent="0.25">
      <c r="A78" t="s">
        <v>133</v>
      </c>
    </row>
    <row r="79" spans="1:21" x14ac:dyDescent="0.25">
      <c r="A79" t="s">
        <v>134</v>
      </c>
    </row>
    <row r="80" spans="1:21" x14ac:dyDescent="0.25">
      <c r="A80" t="s">
        <v>136</v>
      </c>
    </row>
    <row r="81" spans="1:4" x14ac:dyDescent="0.25">
      <c r="A81" t="s">
        <v>138</v>
      </c>
    </row>
    <row r="82" spans="1:4" x14ac:dyDescent="0.25">
      <c r="A82" t="s">
        <v>140</v>
      </c>
    </row>
    <row r="83" spans="1:4" x14ac:dyDescent="0.25">
      <c r="A83" t="s">
        <v>142</v>
      </c>
    </row>
    <row r="84" spans="1:4" x14ac:dyDescent="0.25">
      <c r="A84" t="s">
        <v>143</v>
      </c>
    </row>
    <row r="85" spans="1:4" x14ac:dyDescent="0.25">
      <c r="A85" t="s">
        <v>144</v>
      </c>
    </row>
    <row r="86" spans="1:4" x14ac:dyDescent="0.25">
      <c r="A86" t="s">
        <v>145</v>
      </c>
    </row>
    <row r="87" spans="1:4" x14ac:dyDescent="0.25">
      <c r="A87" t="s">
        <v>146</v>
      </c>
    </row>
    <row r="88" spans="1:4" x14ac:dyDescent="0.25">
      <c r="A88" t="s">
        <v>147</v>
      </c>
    </row>
    <row r="89" spans="1:4" x14ac:dyDescent="0.25">
      <c r="A89" t="s">
        <v>148</v>
      </c>
    </row>
    <row r="90" spans="1:4" x14ac:dyDescent="0.25">
      <c r="A90" t="s">
        <v>149</v>
      </c>
    </row>
    <row r="91" spans="1:4" x14ac:dyDescent="0.25">
      <c r="A91" t="s">
        <v>150</v>
      </c>
    </row>
    <row r="92" spans="1:4" x14ac:dyDescent="0.25">
      <c r="A92" t="s">
        <v>151</v>
      </c>
    </row>
    <row r="94" spans="1:4" x14ac:dyDescent="0.25">
      <c r="A94" t="s">
        <v>321</v>
      </c>
    </row>
    <row r="95" spans="1:4" x14ac:dyDescent="0.25">
      <c r="A95" t="s">
        <v>152</v>
      </c>
      <c r="B95">
        <v>152</v>
      </c>
    </row>
    <row r="96" spans="1:4" x14ac:dyDescent="0.25">
      <c r="A96" t="s">
        <v>153</v>
      </c>
      <c r="B96" t="s">
        <v>915</v>
      </c>
      <c r="D96">
        <v>212</v>
      </c>
    </row>
    <row r="97" spans="1:15" x14ac:dyDescent="0.25">
      <c r="A97" t="s">
        <v>155</v>
      </c>
    </row>
    <row r="98" spans="1:15" x14ac:dyDescent="0.25">
      <c r="A98" t="s">
        <v>157</v>
      </c>
    </row>
    <row r="99" spans="1:15" x14ac:dyDescent="0.25">
      <c r="A99" t="s">
        <v>158</v>
      </c>
      <c r="B99" t="s">
        <v>928</v>
      </c>
      <c r="D99">
        <v>143</v>
      </c>
      <c r="E99">
        <v>116</v>
      </c>
      <c r="F99">
        <v>89</v>
      </c>
      <c r="G99">
        <v>97</v>
      </c>
      <c r="I99">
        <v>118</v>
      </c>
      <c r="J99">
        <v>123</v>
      </c>
      <c r="K99">
        <v>101</v>
      </c>
      <c r="L99">
        <v>104</v>
      </c>
      <c r="M99">
        <v>101</v>
      </c>
      <c r="N99">
        <v>113</v>
      </c>
      <c r="O99">
        <v>129</v>
      </c>
    </row>
    <row r="100" spans="1:15" x14ac:dyDescent="0.25">
      <c r="A100" t="s">
        <v>160</v>
      </c>
    </row>
    <row r="101" spans="1:15" x14ac:dyDescent="0.25">
      <c r="A101" t="s">
        <v>162</v>
      </c>
    </row>
    <row r="102" spans="1:15" x14ac:dyDescent="0.25">
      <c r="A102" t="s">
        <v>163</v>
      </c>
      <c r="B102">
        <v>67</v>
      </c>
      <c r="C102">
        <v>64</v>
      </c>
      <c r="D102">
        <v>87</v>
      </c>
      <c r="E102">
        <v>81</v>
      </c>
      <c r="G102">
        <v>116</v>
      </c>
      <c r="H102">
        <v>118</v>
      </c>
      <c r="I102">
        <v>163</v>
      </c>
    </row>
    <row r="103" spans="1:15" x14ac:dyDescent="0.25">
      <c r="A103" t="s">
        <v>164</v>
      </c>
    </row>
    <row r="104" spans="1:15" x14ac:dyDescent="0.25">
      <c r="A104" t="s">
        <v>165</v>
      </c>
    </row>
    <row r="105" spans="1:15" x14ac:dyDescent="0.25">
      <c r="A105" t="s">
        <v>166</v>
      </c>
      <c r="B105">
        <v>182</v>
      </c>
      <c r="D105">
        <v>235</v>
      </c>
      <c r="G105">
        <v>226</v>
      </c>
    </row>
    <row r="106" spans="1:15" x14ac:dyDescent="0.25">
      <c r="A106" t="s">
        <v>167</v>
      </c>
    </row>
    <row r="107" spans="1:15" x14ac:dyDescent="0.25">
      <c r="A107" t="s">
        <v>169</v>
      </c>
    </row>
    <row r="108" spans="1:15" x14ac:dyDescent="0.25">
      <c r="A108" t="s">
        <v>170</v>
      </c>
      <c r="B108">
        <v>270</v>
      </c>
    </row>
    <row r="109" spans="1:15" x14ac:dyDescent="0.25">
      <c r="A109" t="s">
        <v>172</v>
      </c>
    </row>
    <row r="110" spans="1:15" x14ac:dyDescent="0.25">
      <c r="A110" t="s">
        <v>173</v>
      </c>
      <c r="B110" t="s">
        <v>941</v>
      </c>
      <c r="D110">
        <v>134</v>
      </c>
      <c r="E110">
        <v>178</v>
      </c>
      <c r="G110">
        <v>188</v>
      </c>
      <c r="I110">
        <v>216</v>
      </c>
      <c r="L110">
        <v>217</v>
      </c>
    </row>
    <row r="111" spans="1:15" x14ac:dyDescent="0.25">
      <c r="A111" t="s">
        <v>175</v>
      </c>
    </row>
    <row r="112" spans="1:15" x14ac:dyDescent="0.25">
      <c r="A112" t="s">
        <v>176</v>
      </c>
    </row>
    <row r="113" spans="1:21" x14ac:dyDescent="0.25">
      <c r="A113" t="s">
        <v>177</v>
      </c>
    </row>
    <row r="114" spans="1:21" x14ac:dyDescent="0.25">
      <c r="A114" t="s">
        <v>178</v>
      </c>
    </row>
    <row r="115" spans="1:21" x14ac:dyDescent="0.25">
      <c r="A115" t="s">
        <v>179</v>
      </c>
    </row>
    <row r="116" spans="1:21" x14ac:dyDescent="0.25">
      <c r="A116" t="s">
        <v>182</v>
      </c>
    </row>
    <row r="117" spans="1:21" x14ac:dyDescent="0.25">
      <c r="A117" t="s">
        <v>183</v>
      </c>
    </row>
    <row r="118" spans="1:21" x14ac:dyDescent="0.25">
      <c r="A118" t="s">
        <v>185</v>
      </c>
      <c r="O118" t="s">
        <v>1022</v>
      </c>
    </row>
    <row r="119" spans="1:21" x14ac:dyDescent="0.25">
      <c r="A119" t="s">
        <v>187</v>
      </c>
    </row>
    <row r="120" spans="1:21" x14ac:dyDescent="0.25">
      <c r="A120" t="s">
        <v>189</v>
      </c>
      <c r="B120" t="s">
        <v>1035</v>
      </c>
      <c r="D120">
        <v>123</v>
      </c>
      <c r="E120">
        <v>107</v>
      </c>
      <c r="G120">
        <v>107</v>
      </c>
      <c r="I120">
        <v>99</v>
      </c>
      <c r="L120">
        <v>156</v>
      </c>
      <c r="Q120">
        <v>239</v>
      </c>
      <c r="R120">
        <v>86</v>
      </c>
      <c r="S120">
        <v>61</v>
      </c>
      <c r="U120">
        <v>97</v>
      </c>
    </row>
    <row r="121" spans="1:21" x14ac:dyDescent="0.25">
      <c r="A121" t="s">
        <v>191</v>
      </c>
      <c r="B121">
        <v>299</v>
      </c>
      <c r="G121">
        <v>79</v>
      </c>
    </row>
    <row r="122" spans="1:21" x14ac:dyDescent="0.25">
      <c r="A122" t="s">
        <v>192</v>
      </c>
    </row>
    <row r="123" spans="1:21" x14ac:dyDescent="0.25">
      <c r="A123" t="s">
        <v>194</v>
      </c>
    </row>
    <row r="124" spans="1:21" x14ac:dyDescent="0.25">
      <c r="A124" t="s">
        <v>196</v>
      </c>
    </row>
    <row r="125" spans="1:21" x14ac:dyDescent="0.25">
      <c r="A125" t="s">
        <v>197</v>
      </c>
    </row>
    <row r="126" spans="1:21" x14ac:dyDescent="0.25">
      <c r="A126" t="s">
        <v>199</v>
      </c>
    </row>
    <row r="127" spans="1:21" x14ac:dyDescent="0.25">
      <c r="A127" t="s">
        <v>200</v>
      </c>
      <c r="B127">
        <v>301</v>
      </c>
    </row>
    <row r="128" spans="1:21" x14ac:dyDescent="0.25">
      <c r="A128" t="s">
        <v>201</v>
      </c>
    </row>
    <row r="129" spans="1:2" x14ac:dyDescent="0.25">
      <c r="A129" t="s">
        <v>202</v>
      </c>
    </row>
    <row r="130" spans="1:2" x14ac:dyDescent="0.25">
      <c r="A130" t="s">
        <v>294</v>
      </c>
    </row>
    <row r="131" spans="1:2" x14ac:dyDescent="0.25">
      <c r="A131" t="s">
        <v>207</v>
      </c>
      <c r="B131">
        <v>495</v>
      </c>
    </row>
    <row r="132" spans="1:2" x14ac:dyDescent="0.25">
      <c r="A132" t="s">
        <v>208</v>
      </c>
    </row>
    <row r="133" spans="1:2" x14ac:dyDescent="0.25">
      <c r="A133" t="s">
        <v>1589</v>
      </c>
    </row>
    <row r="134" spans="1:2" x14ac:dyDescent="0.25">
      <c r="A134" t="s">
        <v>209</v>
      </c>
    </row>
    <row r="135" spans="1:2" x14ac:dyDescent="0.25">
      <c r="A135" t="s">
        <v>211</v>
      </c>
    </row>
    <row r="136" spans="1:2" x14ac:dyDescent="0.25">
      <c r="A136" t="s">
        <v>212</v>
      </c>
    </row>
    <row r="137" spans="1:2" x14ac:dyDescent="0.25">
      <c r="A137" t="s">
        <v>214</v>
      </c>
    </row>
    <row r="138" spans="1:2" x14ac:dyDescent="0.25">
      <c r="A138" t="s">
        <v>216</v>
      </c>
    </row>
    <row r="139" spans="1:2" x14ac:dyDescent="0.25">
      <c r="A139" t="s">
        <v>218</v>
      </c>
    </row>
    <row r="140" spans="1:2" x14ac:dyDescent="0.25">
      <c r="A140" t="s">
        <v>220</v>
      </c>
    </row>
    <row r="141" spans="1:2" x14ac:dyDescent="0.25">
      <c r="A141" t="s">
        <v>222</v>
      </c>
    </row>
    <row r="142" spans="1:2" x14ac:dyDescent="0.25">
      <c r="A142" t="s">
        <v>224</v>
      </c>
    </row>
    <row r="143" spans="1:2" x14ac:dyDescent="0.25">
      <c r="A143" t="s">
        <v>225</v>
      </c>
    </row>
    <row r="144" spans="1:2" x14ac:dyDescent="0.25">
      <c r="A144" t="s">
        <v>227</v>
      </c>
    </row>
    <row r="145" spans="1:1" x14ac:dyDescent="0.25">
      <c r="A145" t="s">
        <v>229</v>
      </c>
    </row>
    <row r="146" spans="1:1" x14ac:dyDescent="0.25">
      <c r="A146" t="s">
        <v>231</v>
      </c>
    </row>
    <row r="147" spans="1:1" x14ac:dyDescent="0.25">
      <c r="A147" t="s">
        <v>232</v>
      </c>
    </row>
    <row r="148" spans="1:1" x14ac:dyDescent="0.25">
      <c r="A148" t="s">
        <v>234</v>
      </c>
    </row>
    <row r="149" spans="1:1" x14ac:dyDescent="0.25">
      <c r="A149" t="s">
        <v>236</v>
      </c>
    </row>
    <row r="150" spans="1:1" x14ac:dyDescent="0.25">
      <c r="A150" t="s">
        <v>1322</v>
      </c>
    </row>
    <row r="151" spans="1:1" x14ac:dyDescent="0.25">
      <c r="A151" t="s">
        <v>1323</v>
      </c>
    </row>
    <row r="152" spans="1:1" x14ac:dyDescent="0.25">
      <c r="A152" t="s">
        <v>1324</v>
      </c>
    </row>
    <row r="153" spans="1:1" x14ac:dyDescent="0.25">
      <c r="A153" t="s">
        <v>1325</v>
      </c>
    </row>
    <row r="154" spans="1:1" x14ac:dyDescent="0.25">
      <c r="A154" t="s">
        <v>1326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24"/>
  <sheetViews>
    <sheetView workbookViewId="0">
      <selection activeCell="G34" sqref="G34"/>
    </sheetView>
  </sheetViews>
  <sheetFormatPr defaultColWidth="9.140625" defaultRowHeight="15" x14ac:dyDescent="0.25"/>
  <cols>
    <col min="1" max="1" width="18.140625" bestFit="1" customWidth="1"/>
    <col min="2" max="2" width="18.7109375" bestFit="1" customWidth="1"/>
    <col min="3" max="3" width="81.140625" bestFit="1" customWidth="1"/>
    <col min="4" max="4" width="34" bestFit="1" customWidth="1"/>
  </cols>
  <sheetData>
    <row r="1" spans="1:4" ht="15.75" x14ac:dyDescent="0.25">
      <c r="A1" s="34" t="s">
        <v>0</v>
      </c>
      <c r="B1" s="34" t="s">
        <v>2487</v>
      </c>
      <c r="C1" s="34" t="s">
        <v>2134</v>
      </c>
      <c r="D1" s="34" t="s">
        <v>2118</v>
      </c>
    </row>
    <row r="2" spans="1:4" x14ac:dyDescent="0.25">
      <c r="A2" t="s">
        <v>158</v>
      </c>
      <c r="B2" s="32" t="s">
        <v>2487</v>
      </c>
      <c r="C2" t="s">
        <v>2499</v>
      </c>
      <c r="D2">
        <v>12</v>
      </c>
    </row>
    <row r="3" spans="1:4" x14ac:dyDescent="0.25">
      <c r="A3" t="s">
        <v>125</v>
      </c>
      <c r="B3" s="32" t="s">
        <v>2487</v>
      </c>
      <c r="C3" t="s">
        <v>2493</v>
      </c>
      <c r="D3">
        <v>10</v>
      </c>
    </row>
    <row r="4" spans="1:4" x14ac:dyDescent="0.25">
      <c r="A4" t="s">
        <v>189</v>
      </c>
      <c r="B4" s="32" t="s">
        <v>2487</v>
      </c>
      <c r="C4" t="s">
        <v>2501</v>
      </c>
      <c r="D4">
        <v>10</v>
      </c>
    </row>
    <row r="5" spans="1:4" x14ac:dyDescent="0.25">
      <c r="A5" t="s">
        <v>66</v>
      </c>
      <c r="B5" s="32" t="s">
        <v>2487</v>
      </c>
      <c r="C5" t="s">
        <v>2488</v>
      </c>
      <c r="D5">
        <v>8</v>
      </c>
    </row>
    <row r="6" spans="1:4" x14ac:dyDescent="0.25">
      <c r="A6" t="s">
        <v>163</v>
      </c>
      <c r="B6" s="32" t="s">
        <v>2487</v>
      </c>
      <c r="C6" t="s">
        <v>2503</v>
      </c>
      <c r="D6">
        <v>7</v>
      </c>
    </row>
    <row r="7" spans="1:4" x14ac:dyDescent="0.25">
      <c r="A7" t="s">
        <v>173</v>
      </c>
      <c r="B7" s="32" t="s">
        <v>2487</v>
      </c>
      <c r="C7" t="s">
        <v>2500</v>
      </c>
      <c r="D7">
        <v>6</v>
      </c>
    </row>
    <row r="8" spans="1:4" x14ac:dyDescent="0.25">
      <c r="A8" t="s">
        <v>87</v>
      </c>
      <c r="B8" s="32" t="s">
        <v>2487</v>
      </c>
      <c r="C8" t="s">
        <v>2489</v>
      </c>
      <c r="D8">
        <v>3</v>
      </c>
    </row>
    <row r="9" spans="1:4" x14ac:dyDescent="0.25">
      <c r="A9" t="s">
        <v>93</v>
      </c>
      <c r="B9" s="32" t="s">
        <v>2487</v>
      </c>
      <c r="C9" t="s">
        <v>2490</v>
      </c>
      <c r="D9">
        <v>3</v>
      </c>
    </row>
    <row r="10" spans="1:4" x14ac:dyDescent="0.25">
      <c r="A10" t="s">
        <v>103</v>
      </c>
      <c r="B10" s="32" t="s">
        <v>2487</v>
      </c>
      <c r="C10" t="s">
        <v>2491</v>
      </c>
      <c r="D10">
        <v>3</v>
      </c>
    </row>
    <row r="11" spans="1:4" x14ac:dyDescent="0.25">
      <c r="A11" t="s">
        <v>119</v>
      </c>
      <c r="B11" s="32" t="s">
        <v>2487</v>
      </c>
      <c r="C11" t="s">
        <v>2492</v>
      </c>
      <c r="D11">
        <v>3</v>
      </c>
    </row>
    <row r="12" spans="1:4" x14ac:dyDescent="0.25">
      <c r="A12" t="s">
        <v>166</v>
      </c>
      <c r="B12" s="32" t="s">
        <v>2487</v>
      </c>
      <c r="C12" t="s">
        <v>2495</v>
      </c>
      <c r="D12">
        <v>3</v>
      </c>
    </row>
    <row r="13" spans="1:4" x14ac:dyDescent="0.25">
      <c r="A13" t="s">
        <v>153</v>
      </c>
      <c r="B13" s="32" t="s">
        <v>2487</v>
      </c>
      <c r="C13" t="s">
        <v>2494</v>
      </c>
      <c r="D13">
        <v>2</v>
      </c>
    </row>
    <row r="14" spans="1:4" x14ac:dyDescent="0.25">
      <c r="A14" t="s">
        <v>191</v>
      </c>
      <c r="B14" s="32" t="s">
        <v>2487</v>
      </c>
      <c r="C14" t="s">
        <v>2496</v>
      </c>
      <c r="D14">
        <v>2</v>
      </c>
    </row>
    <row r="15" spans="1:4" x14ac:dyDescent="0.25">
      <c r="A15" t="s">
        <v>26</v>
      </c>
      <c r="B15" s="32" t="s">
        <v>2487</v>
      </c>
      <c r="C15" t="s">
        <v>2486</v>
      </c>
      <c r="D15">
        <v>1</v>
      </c>
    </row>
    <row r="16" spans="1:4" x14ac:dyDescent="0.25">
      <c r="A16" t="s">
        <v>32</v>
      </c>
      <c r="B16" s="32" t="s">
        <v>2487</v>
      </c>
      <c r="C16" t="s">
        <v>2486</v>
      </c>
      <c r="D16">
        <v>1</v>
      </c>
    </row>
    <row r="17" spans="1:4" x14ac:dyDescent="0.25">
      <c r="A17" t="s">
        <v>60</v>
      </c>
      <c r="B17" s="32" t="s">
        <v>2487</v>
      </c>
      <c r="C17" t="s">
        <v>2486</v>
      </c>
      <c r="D17">
        <v>1</v>
      </c>
    </row>
    <row r="18" spans="1:4" x14ac:dyDescent="0.25">
      <c r="A18" t="s">
        <v>74</v>
      </c>
      <c r="B18" s="32" t="s">
        <v>2487</v>
      </c>
      <c r="C18" t="s">
        <v>2486</v>
      </c>
      <c r="D18">
        <v>1</v>
      </c>
    </row>
    <row r="19" spans="1:4" x14ac:dyDescent="0.25">
      <c r="A19" t="s">
        <v>95</v>
      </c>
      <c r="B19" s="32" t="s">
        <v>2487</v>
      </c>
      <c r="C19" t="s">
        <v>2486</v>
      </c>
      <c r="D19">
        <v>1</v>
      </c>
    </row>
    <row r="20" spans="1:4" x14ac:dyDescent="0.25">
      <c r="A20" t="s">
        <v>152</v>
      </c>
      <c r="B20" s="32" t="s">
        <v>2487</v>
      </c>
      <c r="C20" t="s">
        <v>2486</v>
      </c>
      <c r="D20">
        <v>1</v>
      </c>
    </row>
    <row r="21" spans="1:4" x14ac:dyDescent="0.25">
      <c r="A21" t="s">
        <v>170</v>
      </c>
      <c r="B21" s="32" t="s">
        <v>2487</v>
      </c>
      <c r="C21" t="s">
        <v>2486</v>
      </c>
      <c r="D21">
        <v>1</v>
      </c>
    </row>
    <row r="22" spans="1:4" x14ac:dyDescent="0.25">
      <c r="A22" t="s">
        <v>185</v>
      </c>
      <c r="B22" s="32" t="s">
        <v>2487</v>
      </c>
      <c r="C22" t="s">
        <v>583</v>
      </c>
      <c r="D22">
        <v>1</v>
      </c>
    </row>
    <row r="23" spans="1:4" x14ac:dyDescent="0.25">
      <c r="A23" t="s">
        <v>200</v>
      </c>
      <c r="B23" s="32" t="s">
        <v>2487</v>
      </c>
      <c r="C23" t="s">
        <v>2486</v>
      </c>
      <c r="D23">
        <v>1</v>
      </c>
    </row>
    <row r="24" spans="1:4" x14ac:dyDescent="0.25">
      <c r="A24" t="s">
        <v>207</v>
      </c>
      <c r="B24" s="32" t="s">
        <v>2487</v>
      </c>
      <c r="C24" t="s">
        <v>2486</v>
      </c>
      <c r="D24">
        <v>1</v>
      </c>
    </row>
  </sheetData>
  <conditionalFormatting sqref="A2:A24">
    <cfRule type="duplicateValues" dxfId="58" priority="1"/>
    <cfRule type="duplicateValues" dxfId="57" priority="5"/>
  </conditionalFormatting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4"/>
  <sheetViews>
    <sheetView workbookViewId="0">
      <selection activeCell="B1" sqref="B1:N1"/>
    </sheetView>
  </sheetViews>
  <sheetFormatPr defaultColWidth="9.140625" defaultRowHeight="15" x14ac:dyDescent="0.25"/>
  <cols>
    <col min="1" max="1" width="18.140625" bestFit="1" customWidth="1"/>
    <col min="2" max="2" width="9.42578125" customWidth="1"/>
    <col min="3" max="3" width="10" customWidth="1"/>
    <col min="4" max="4" width="13.7109375" customWidth="1"/>
    <col min="5" max="5" width="26.42578125" customWidth="1"/>
    <col min="6" max="6" width="14" customWidth="1"/>
    <col min="7" max="7" width="16.140625" customWidth="1"/>
    <col min="8" max="10" width="13.5703125" customWidth="1"/>
    <col min="11" max="12" width="16.140625" customWidth="1"/>
    <col min="13" max="14" width="14.5703125" customWidth="1"/>
  </cols>
  <sheetData>
    <row r="1" spans="1:14" x14ac:dyDescent="0.25">
      <c r="A1" t="s">
        <v>0</v>
      </c>
      <c r="B1" s="18" t="s">
        <v>2504</v>
      </c>
      <c r="C1" s="18" t="s">
        <v>2505</v>
      </c>
      <c r="D1" s="18" t="s">
        <v>2506</v>
      </c>
      <c r="E1" s="18" t="s">
        <v>2507</v>
      </c>
      <c r="F1" s="18" t="s">
        <v>2508</v>
      </c>
      <c r="G1" s="18" t="s">
        <v>1940</v>
      </c>
      <c r="H1" s="18" t="s">
        <v>943</v>
      </c>
      <c r="I1" s="18" t="s">
        <v>555</v>
      </c>
      <c r="J1" s="18" t="s">
        <v>561</v>
      </c>
      <c r="K1" s="18" t="s">
        <v>1942</v>
      </c>
      <c r="L1" s="18" t="s">
        <v>1943</v>
      </c>
      <c r="M1" s="18" t="s">
        <v>900</v>
      </c>
      <c r="N1" s="18" t="s">
        <v>896</v>
      </c>
    </row>
    <row r="2" spans="1:14" x14ac:dyDescent="0.25">
      <c r="A2" t="s">
        <v>6</v>
      </c>
    </row>
    <row r="3" spans="1:14" x14ac:dyDescent="0.25">
      <c r="A3" t="s">
        <v>11</v>
      </c>
    </row>
    <row r="4" spans="1:14" x14ac:dyDescent="0.25">
      <c r="A4" t="s">
        <v>12</v>
      </c>
    </row>
    <row r="5" spans="1:14" x14ac:dyDescent="0.25">
      <c r="A5" t="s">
        <v>16</v>
      </c>
    </row>
    <row r="6" spans="1:14" x14ac:dyDescent="0.25">
      <c r="A6" t="s">
        <v>18</v>
      </c>
    </row>
    <row r="7" spans="1:14" x14ac:dyDescent="0.25">
      <c r="A7" t="s">
        <v>20</v>
      </c>
    </row>
    <row r="8" spans="1:14" x14ac:dyDescent="0.25">
      <c r="A8" t="s">
        <v>22</v>
      </c>
    </row>
    <row r="9" spans="1:14" x14ac:dyDescent="0.25">
      <c r="A9" t="s">
        <v>24</v>
      </c>
    </row>
    <row r="10" spans="1:14" x14ac:dyDescent="0.25">
      <c r="A10" t="s">
        <v>26</v>
      </c>
    </row>
    <row r="11" spans="1:14" x14ac:dyDescent="0.25">
      <c r="A11" t="s">
        <v>28</v>
      </c>
    </row>
    <row r="12" spans="1:14" x14ac:dyDescent="0.25">
      <c r="A12" t="s">
        <v>30</v>
      </c>
    </row>
    <row r="13" spans="1:14" x14ac:dyDescent="0.25">
      <c r="A13" t="s">
        <v>32</v>
      </c>
    </row>
    <row r="14" spans="1:14" x14ac:dyDescent="0.25">
      <c r="A14" t="s">
        <v>34</v>
      </c>
    </row>
    <row r="15" spans="1:14" x14ac:dyDescent="0.25">
      <c r="A15" t="s">
        <v>36</v>
      </c>
    </row>
    <row r="16" spans="1:14" x14ac:dyDescent="0.25">
      <c r="A16" t="s">
        <v>37</v>
      </c>
      <c r="B16" t="s">
        <v>522</v>
      </c>
      <c r="C16">
        <v>61</v>
      </c>
      <c r="D16">
        <v>22.4</v>
      </c>
      <c r="E16">
        <v>8.1999999999999993</v>
      </c>
    </row>
    <row r="17" spans="1:6" x14ac:dyDescent="0.25">
      <c r="A17" t="s">
        <v>40</v>
      </c>
    </row>
    <row r="18" spans="1:6" x14ac:dyDescent="0.25">
      <c r="A18" t="s">
        <v>42</v>
      </c>
    </row>
    <row r="19" spans="1:6" x14ac:dyDescent="0.25">
      <c r="A19" t="s">
        <v>43</v>
      </c>
    </row>
    <row r="20" spans="1:6" x14ac:dyDescent="0.25">
      <c r="A20" t="s">
        <v>44</v>
      </c>
    </row>
    <row r="21" spans="1:6" x14ac:dyDescent="0.25">
      <c r="A21" t="s">
        <v>46</v>
      </c>
      <c r="F21" s="9">
        <v>0.72299999999999998</v>
      </c>
    </row>
    <row r="22" spans="1:6" x14ac:dyDescent="0.25">
      <c r="A22" t="s">
        <v>48</v>
      </c>
    </row>
    <row r="23" spans="1:6" x14ac:dyDescent="0.25">
      <c r="A23" t="s">
        <v>50</v>
      </c>
    </row>
    <row r="24" spans="1:6" x14ac:dyDescent="0.25">
      <c r="A24" t="s">
        <v>52</v>
      </c>
    </row>
    <row r="25" spans="1:6" x14ac:dyDescent="0.25">
      <c r="A25" t="s">
        <v>53</v>
      </c>
    </row>
    <row r="26" spans="1:6" x14ac:dyDescent="0.25">
      <c r="A26" t="s">
        <v>55</v>
      </c>
    </row>
    <row r="27" spans="1:6" x14ac:dyDescent="0.25">
      <c r="A27" t="s">
        <v>57</v>
      </c>
    </row>
    <row r="28" spans="1:6" x14ac:dyDescent="0.25">
      <c r="A28" t="s">
        <v>59</v>
      </c>
    </row>
    <row r="29" spans="1:6" x14ac:dyDescent="0.25">
      <c r="A29" t="s">
        <v>60</v>
      </c>
    </row>
    <row r="30" spans="1:6" x14ac:dyDescent="0.25">
      <c r="A30" t="s">
        <v>62</v>
      </c>
    </row>
    <row r="31" spans="1:6" x14ac:dyDescent="0.25">
      <c r="A31" t="s">
        <v>64</v>
      </c>
    </row>
    <row r="32" spans="1:6" x14ac:dyDescent="0.25">
      <c r="A32" t="s">
        <v>65</v>
      </c>
    </row>
    <row r="33" spans="1:10" x14ac:dyDescent="0.25">
      <c r="A33" t="s">
        <v>66</v>
      </c>
      <c r="F33">
        <v>44</v>
      </c>
      <c r="I33">
        <v>24</v>
      </c>
      <c r="J33">
        <v>32</v>
      </c>
    </row>
    <row r="34" spans="1:10" x14ac:dyDescent="0.25">
      <c r="A34" t="s">
        <v>68</v>
      </c>
      <c r="F34" s="9">
        <v>0.56299999999999994</v>
      </c>
    </row>
    <row r="35" spans="1:10" x14ac:dyDescent="0.25">
      <c r="A35" t="s">
        <v>69</v>
      </c>
    </row>
    <row r="36" spans="1:10" x14ac:dyDescent="0.25">
      <c r="A36" t="s">
        <v>71</v>
      </c>
    </row>
    <row r="37" spans="1:10" x14ac:dyDescent="0.25">
      <c r="A37" t="s">
        <v>73</v>
      </c>
    </row>
    <row r="38" spans="1:10" x14ac:dyDescent="0.25">
      <c r="A38" t="s">
        <v>74</v>
      </c>
      <c r="I38" s="9">
        <v>0.28299999999999997</v>
      </c>
    </row>
    <row r="39" spans="1:10" x14ac:dyDescent="0.25">
      <c r="A39" t="s">
        <v>76</v>
      </c>
    </row>
    <row r="40" spans="1:10" x14ac:dyDescent="0.25">
      <c r="A40" t="s">
        <v>78</v>
      </c>
    </row>
    <row r="41" spans="1:10" x14ac:dyDescent="0.25">
      <c r="A41" t="s">
        <v>80</v>
      </c>
    </row>
    <row r="42" spans="1:10" x14ac:dyDescent="0.25">
      <c r="A42" t="s">
        <v>82</v>
      </c>
    </row>
    <row r="43" spans="1:10" x14ac:dyDescent="0.25">
      <c r="A43" t="s">
        <v>84</v>
      </c>
    </row>
    <row r="44" spans="1:10" x14ac:dyDescent="0.25">
      <c r="A44" t="s">
        <v>85</v>
      </c>
    </row>
    <row r="45" spans="1:10" x14ac:dyDescent="0.25">
      <c r="A45" t="s">
        <v>87</v>
      </c>
    </row>
    <row r="46" spans="1:10" x14ac:dyDescent="0.25">
      <c r="A46" t="s">
        <v>89</v>
      </c>
    </row>
    <row r="47" spans="1:10" x14ac:dyDescent="0.25">
      <c r="A47" t="s">
        <v>91</v>
      </c>
    </row>
    <row r="48" spans="1:10" x14ac:dyDescent="0.25">
      <c r="A48" t="s">
        <v>92</v>
      </c>
    </row>
    <row r="49" spans="1:1" x14ac:dyDescent="0.25">
      <c r="A49" t="s">
        <v>93</v>
      </c>
    </row>
    <row r="50" spans="1:1" x14ac:dyDescent="0.25">
      <c r="A50" t="s">
        <v>95</v>
      </c>
    </row>
    <row r="51" spans="1:1" x14ac:dyDescent="0.25">
      <c r="A51" t="s">
        <v>97</v>
      </c>
    </row>
    <row r="52" spans="1:1" x14ac:dyDescent="0.25">
      <c r="A52" t="s">
        <v>99</v>
      </c>
    </row>
    <row r="53" spans="1:1" x14ac:dyDescent="0.25">
      <c r="A53" t="s">
        <v>100</v>
      </c>
    </row>
    <row r="54" spans="1:1" x14ac:dyDescent="0.25">
      <c r="A54" t="s">
        <v>101</v>
      </c>
    </row>
    <row r="55" spans="1:1" x14ac:dyDescent="0.25">
      <c r="A55" t="s">
        <v>102</v>
      </c>
    </row>
    <row r="56" spans="1:1" x14ac:dyDescent="0.25">
      <c r="A56" t="s">
        <v>103</v>
      </c>
    </row>
    <row r="57" spans="1:1" x14ac:dyDescent="0.25">
      <c r="A57" t="s">
        <v>105</v>
      </c>
    </row>
    <row r="58" spans="1:1" x14ac:dyDescent="0.25">
      <c r="A58" t="s">
        <v>106</v>
      </c>
    </row>
    <row r="59" spans="1:1" x14ac:dyDescent="0.25">
      <c r="A59" t="s">
        <v>107</v>
      </c>
    </row>
    <row r="60" spans="1:1" x14ac:dyDescent="0.25">
      <c r="A60" t="s">
        <v>108</v>
      </c>
    </row>
    <row r="61" spans="1:1" x14ac:dyDescent="0.25">
      <c r="A61" t="s">
        <v>109</v>
      </c>
    </row>
    <row r="62" spans="1:1" x14ac:dyDescent="0.25">
      <c r="A62" t="s">
        <v>110</v>
      </c>
    </row>
    <row r="63" spans="1:1" x14ac:dyDescent="0.25">
      <c r="A63" t="s">
        <v>111</v>
      </c>
    </row>
    <row r="64" spans="1:1" x14ac:dyDescent="0.25">
      <c r="A64" t="s">
        <v>112</v>
      </c>
    </row>
    <row r="65" spans="1:10" x14ac:dyDescent="0.25">
      <c r="A65" t="s">
        <v>113</v>
      </c>
    </row>
    <row r="66" spans="1:10" x14ac:dyDescent="0.25">
      <c r="A66" t="s">
        <v>115</v>
      </c>
    </row>
    <row r="67" spans="1:10" x14ac:dyDescent="0.25">
      <c r="A67" t="s">
        <v>116</v>
      </c>
    </row>
    <row r="68" spans="1:10" x14ac:dyDescent="0.25">
      <c r="A68" t="s">
        <v>117</v>
      </c>
    </row>
    <row r="69" spans="1:10" x14ac:dyDescent="0.25">
      <c r="A69" t="s">
        <v>119</v>
      </c>
    </row>
    <row r="70" spans="1:10" x14ac:dyDescent="0.25">
      <c r="A70" t="s">
        <v>120</v>
      </c>
    </row>
    <row r="71" spans="1:10" x14ac:dyDescent="0.25">
      <c r="A71" t="s">
        <v>122</v>
      </c>
    </row>
    <row r="72" spans="1:10" x14ac:dyDescent="0.25">
      <c r="A72" t="s">
        <v>123</v>
      </c>
    </row>
    <row r="73" spans="1:10" x14ac:dyDescent="0.25">
      <c r="A73" t="s">
        <v>125</v>
      </c>
      <c r="J73" t="s">
        <v>868</v>
      </c>
    </row>
    <row r="74" spans="1:10" x14ac:dyDescent="0.25">
      <c r="A74" t="s">
        <v>126</v>
      </c>
    </row>
    <row r="75" spans="1:10" x14ac:dyDescent="0.25">
      <c r="A75" t="s">
        <v>127</v>
      </c>
    </row>
    <row r="76" spans="1:10" x14ac:dyDescent="0.25">
      <c r="A76" t="s">
        <v>128</v>
      </c>
    </row>
    <row r="77" spans="1:10" x14ac:dyDescent="0.25">
      <c r="A77" t="s">
        <v>131</v>
      </c>
    </row>
    <row r="78" spans="1:10" x14ac:dyDescent="0.25">
      <c r="A78" t="s">
        <v>133</v>
      </c>
    </row>
    <row r="79" spans="1:10" x14ac:dyDescent="0.25">
      <c r="A79" t="s">
        <v>134</v>
      </c>
    </row>
    <row r="80" spans="1:10" x14ac:dyDescent="0.25">
      <c r="A80" t="s">
        <v>136</v>
      </c>
    </row>
    <row r="81" spans="1:14" x14ac:dyDescent="0.25">
      <c r="A81" t="s">
        <v>138</v>
      </c>
    </row>
    <row r="82" spans="1:14" x14ac:dyDescent="0.25">
      <c r="A82" t="s">
        <v>140</v>
      </c>
      <c r="F82">
        <v>32</v>
      </c>
      <c r="N82">
        <v>27</v>
      </c>
    </row>
    <row r="83" spans="1:14" x14ac:dyDescent="0.25">
      <c r="A83" t="s">
        <v>142</v>
      </c>
    </row>
    <row r="84" spans="1:14" x14ac:dyDescent="0.25">
      <c r="A84" t="s">
        <v>143</v>
      </c>
    </row>
    <row r="85" spans="1:14" x14ac:dyDescent="0.25">
      <c r="A85" t="s">
        <v>144</v>
      </c>
    </row>
    <row r="86" spans="1:14" x14ac:dyDescent="0.25">
      <c r="A86" t="s">
        <v>145</v>
      </c>
    </row>
    <row r="87" spans="1:14" x14ac:dyDescent="0.25">
      <c r="A87" t="s">
        <v>146</v>
      </c>
    </row>
    <row r="88" spans="1:14" x14ac:dyDescent="0.25">
      <c r="A88" t="s">
        <v>147</v>
      </c>
    </row>
    <row r="89" spans="1:14" x14ac:dyDescent="0.25">
      <c r="A89" t="s">
        <v>148</v>
      </c>
    </row>
    <row r="90" spans="1:14" x14ac:dyDescent="0.25">
      <c r="A90" t="s">
        <v>149</v>
      </c>
      <c r="F90">
        <v>20</v>
      </c>
      <c r="M90">
        <v>29</v>
      </c>
    </row>
    <row r="91" spans="1:14" x14ac:dyDescent="0.25">
      <c r="A91" t="s">
        <v>150</v>
      </c>
    </row>
    <row r="92" spans="1:14" x14ac:dyDescent="0.25">
      <c r="A92" t="s">
        <v>151</v>
      </c>
    </row>
    <row r="94" spans="1:14" x14ac:dyDescent="0.25">
      <c r="A94" t="s">
        <v>321</v>
      </c>
    </row>
    <row r="95" spans="1:14" x14ac:dyDescent="0.25">
      <c r="A95" t="s">
        <v>152</v>
      </c>
    </row>
    <row r="96" spans="1:14" x14ac:dyDescent="0.25">
      <c r="A96" t="s">
        <v>153</v>
      </c>
      <c r="J96">
        <v>14</v>
      </c>
      <c r="K96">
        <v>16</v>
      </c>
      <c r="L96">
        <v>23</v>
      </c>
    </row>
    <row r="97" spans="1:10" x14ac:dyDescent="0.25">
      <c r="A97" t="s">
        <v>155</v>
      </c>
    </row>
    <row r="98" spans="1:10" x14ac:dyDescent="0.25">
      <c r="A98" t="s">
        <v>157</v>
      </c>
    </row>
    <row r="99" spans="1:10" x14ac:dyDescent="0.25">
      <c r="A99" t="s">
        <v>158</v>
      </c>
    </row>
    <row r="100" spans="1:10" x14ac:dyDescent="0.25">
      <c r="A100" t="s">
        <v>160</v>
      </c>
    </row>
    <row r="101" spans="1:10" x14ac:dyDescent="0.25">
      <c r="A101" t="s">
        <v>162</v>
      </c>
    </row>
    <row r="102" spans="1:10" x14ac:dyDescent="0.25">
      <c r="A102" t="s">
        <v>163</v>
      </c>
      <c r="I102" s="7">
        <v>0.46</v>
      </c>
    </row>
    <row r="103" spans="1:10" x14ac:dyDescent="0.25">
      <c r="A103" t="s">
        <v>164</v>
      </c>
    </row>
    <row r="104" spans="1:10" x14ac:dyDescent="0.25">
      <c r="A104" t="s">
        <v>165</v>
      </c>
    </row>
    <row r="105" spans="1:10" x14ac:dyDescent="0.25">
      <c r="A105" t="s">
        <v>166</v>
      </c>
      <c r="F105" t="s">
        <v>2031</v>
      </c>
    </row>
    <row r="106" spans="1:10" x14ac:dyDescent="0.25">
      <c r="A106" t="s">
        <v>167</v>
      </c>
    </row>
    <row r="107" spans="1:10" x14ac:dyDescent="0.25">
      <c r="A107" t="s">
        <v>169</v>
      </c>
    </row>
    <row r="108" spans="1:10" x14ac:dyDescent="0.25">
      <c r="A108" t="s">
        <v>170</v>
      </c>
    </row>
    <row r="109" spans="1:10" x14ac:dyDescent="0.25">
      <c r="A109" t="s">
        <v>172</v>
      </c>
    </row>
    <row r="110" spans="1:10" x14ac:dyDescent="0.25">
      <c r="A110" t="s">
        <v>173</v>
      </c>
      <c r="F110">
        <v>37.799999999999997</v>
      </c>
      <c r="G110" t="s">
        <v>1941</v>
      </c>
      <c r="H110" t="s">
        <v>944</v>
      </c>
      <c r="I110" t="s">
        <v>945</v>
      </c>
      <c r="J110" t="s">
        <v>946</v>
      </c>
    </row>
    <row r="111" spans="1:10" x14ac:dyDescent="0.25">
      <c r="A111" t="s">
        <v>175</v>
      </c>
    </row>
    <row r="112" spans="1:10" x14ac:dyDescent="0.25">
      <c r="A112" t="s">
        <v>176</v>
      </c>
    </row>
    <row r="113" spans="1:1" x14ac:dyDescent="0.25">
      <c r="A113" t="s">
        <v>177</v>
      </c>
    </row>
    <row r="114" spans="1:1" x14ac:dyDescent="0.25">
      <c r="A114" t="s">
        <v>178</v>
      </c>
    </row>
    <row r="115" spans="1:1" x14ac:dyDescent="0.25">
      <c r="A115" t="s">
        <v>179</v>
      </c>
    </row>
    <row r="116" spans="1:1" x14ac:dyDescent="0.25">
      <c r="A116" t="s">
        <v>182</v>
      </c>
    </row>
    <row r="117" spans="1:1" x14ac:dyDescent="0.25">
      <c r="A117" t="s">
        <v>183</v>
      </c>
    </row>
    <row r="118" spans="1:1" x14ac:dyDescent="0.25">
      <c r="A118" t="s">
        <v>185</v>
      </c>
    </row>
    <row r="119" spans="1:1" x14ac:dyDescent="0.25">
      <c r="A119" t="s">
        <v>187</v>
      </c>
    </row>
    <row r="120" spans="1:1" x14ac:dyDescent="0.25">
      <c r="A120" t="s">
        <v>189</v>
      </c>
    </row>
    <row r="121" spans="1:1" x14ac:dyDescent="0.25">
      <c r="A121" t="s">
        <v>191</v>
      </c>
    </row>
    <row r="122" spans="1:1" x14ac:dyDescent="0.25">
      <c r="A122" t="s">
        <v>192</v>
      </c>
    </row>
    <row r="123" spans="1:1" x14ac:dyDescent="0.25">
      <c r="A123" t="s">
        <v>194</v>
      </c>
    </row>
    <row r="124" spans="1:1" x14ac:dyDescent="0.25">
      <c r="A124" t="s">
        <v>196</v>
      </c>
    </row>
    <row r="125" spans="1:1" x14ac:dyDescent="0.25">
      <c r="A125" t="s">
        <v>197</v>
      </c>
    </row>
    <row r="126" spans="1:1" x14ac:dyDescent="0.25">
      <c r="A126" t="s">
        <v>199</v>
      </c>
    </row>
    <row r="127" spans="1:1" x14ac:dyDescent="0.25">
      <c r="A127" t="s">
        <v>200</v>
      </c>
    </row>
    <row r="128" spans="1:1" x14ac:dyDescent="0.25">
      <c r="A128" t="s">
        <v>201</v>
      </c>
    </row>
    <row r="129" spans="1:1" x14ac:dyDescent="0.25">
      <c r="A129" t="s">
        <v>202</v>
      </c>
    </row>
    <row r="130" spans="1:1" x14ac:dyDescent="0.25">
      <c r="A130" t="s">
        <v>294</v>
      </c>
    </row>
    <row r="131" spans="1:1" x14ac:dyDescent="0.25">
      <c r="A131" t="s">
        <v>207</v>
      </c>
    </row>
    <row r="132" spans="1:1" x14ac:dyDescent="0.25">
      <c r="A132" t="s">
        <v>208</v>
      </c>
    </row>
    <row r="133" spans="1:1" x14ac:dyDescent="0.25">
      <c r="A133" t="s">
        <v>1589</v>
      </c>
    </row>
    <row r="134" spans="1:1" x14ac:dyDescent="0.25">
      <c r="A134" t="s">
        <v>209</v>
      </c>
    </row>
    <row r="135" spans="1:1" x14ac:dyDescent="0.25">
      <c r="A135" t="s">
        <v>211</v>
      </c>
    </row>
    <row r="136" spans="1:1" x14ac:dyDescent="0.25">
      <c r="A136" t="s">
        <v>212</v>
      </c>
    </row>
    <row r="137" spans="1:1" x14ac:dyDescent="0.25">
      <c r="A137" t="s">
        <v>214</v>
      </c>
    </row>
    <row r="138" spans="1:1" x14ac:dyDescent="0.25">
      <c r="A138" t="s">
        <v>216</v>
      </c>
    </row>
    <row r="139" spans="1:1" x14ac:dyDescent="0.25">
      <c r="A139" t="s">
        <v>218</v>
      </c>
    </row>
    <row r="140" spans="1:1" x14ac:dyDescent="0.25">
      <c r="A140" t="s">
        <v>220</v>
      </c>
    </row>
    <row r="141" spans="1:1" x14ac:dyDescent="0.25">
      <c r="A141" t="s">
        <v>222</v>
      </c>
    </row>
    <row r="142" spans="1:1" x14ac:dyDescent="0.25">
      <c r="A142" t="s">
        <v>224</v>
      </c>
    </row>
    <row r="143" spans="1:1" x14ac:dyDescent="0.25">
      <c r="A143" t="s">
        <v>225</v>
      </c>
    </row>
    <row r="144" spans="1:1" x14ac:dyDescent="0.25">
      <c r="A144" t="s">
        <v>227</v>
      </c>
    </row>
    <row r="145" spans="1:1" x14ac:dyDescent="0.25">
      <c r="A145" t="s">
        <v>229</v>
      </c>
    </row>
    <row r="146" spans="1:1" x14ac:dyDescent="0.25">
      <c r="A146" t="s">
        <v>231</v>
      </c>
    </row>
    <row r="147" spans="1:1" x14ac:dyDescent="0.25">
      <c r="A147" t="s">
        <v>232</v>
      </c>
    </row>
    <row r="148" spans="1:1" x14ac:dyDescent="0.25">
      <c r="A148" t="s">
        <v>234</v>
      </c>
    </row>
    <row r="149" spans="1:1" x14ac:dyDescent="0.25">
      <c r="A149" t="s">
        <v>236</v>
      </c>
    </row>
    <row r="150" spans="1:1" x14ac:dyDescent="0.25">
      <c r="A150" t="s">
        <v>1322</v>
      </c>
    </row>
    <row r="151" spans="1:1" x14ac:dyDescent="0.25">
      <c r="A151" t="s">
        <v>1323</v>
      </c>
    </row>
    <row r="152" spans="1:1" x14ac:dyDescent="0.25">
      <c r="A152" t="s">
        <v>1324</v>
      </c>
    </row>
    <row r="153" spans="1:1" x14ac:dyDescent="0.25">
      <c r="A153" t="s">
        <v>1325</v>
      </c>
    </row>
    <row r="154" spans="1:1" x14ac:dyDescent="0.25">
      <c r="A154" t="s">
        <v>1326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J14"/>
  <sheetViews>
    <sheetView workbookViewId="0">
      <selection activeCell="C25" sqref="C25"/>
    </sheetView>
  </sheetViews>
  <sheetFormatPr defaultColWidth="9.140625" defaultRowHeight="15" x14ac:dyDescent="0.25"/>
  <cols>
    <col min="1" max="1" width="18" bestFit="1" customWidth="1"/>
    <col min="2" max="2" width="13.85546875" bestFit="1" customWidth="1"/>
    <col min="3" max="3" width="63.7109375" bestFit="1" customWidth="1"/>
    <col min="4" max="4" width="35" bestFit="1" customWidth="1"/>
  </cols>
  <sheetData>
    <row r="1" spans="1:10" ht="15.75" x14ac:dyDescent="0.25">
      <c r="A1" s="39" t="s">
        <v>0</v>
      </c>
      <c r="B1" s="39" t="s">
        <v>2509</v>
      </c>
      <c r="C1" s="39" t="s">
        <v>2081</v>
      </c>
      <c r="D1" s="39" t="s">
        <v>2510</v>
      </c>
    </row>
    <row r="2" spans="1:10" x14ac:dyDescent="0.25">
      <c r="A2" s="32" t="s">
        <v>173</v>
      </c>
      <c r="B2" s="32" t="s">
        <v>2511</v>
      </c>
      <c r="C2" t="s">
        <v>2517</v>
      </c>
      <c r="D2">
        <v>5</v>
      </c>
    </row>
    <row r="3" spans="1:10" x14ac:dyDescent="0.25">
      <c r="A3" s="32" t="s">
        <v>37</v>
      </c>
      <c r="B3" s="32" t="s">
        <v>2511</v>
      </c>
      <c r="C3" t="s">
        <v>2512</v>
      </c>
      <c r="D3">
        <v>4</v>
      </c>
    </row>
    <row r="4" spans="1:10" x14ac:dyDescent="0.25">
      <c r="A4" s="32" t="s">
        <v>66</v>
      </c>
      <c r="B4" s="32" t="s">
        <v>2511</v>
      </c>
      <c r="C4" t="s">
        <v>2513</v>
      </c>
      <c r="D4">
        <v>3</v>
      </c>
    </row>
    <row r="5" spans="1:10" x14ac:dyDescent="0.25">
      <c r="A5" s="32" t="s">
        <v>153</v>
      </c>
      <c r="B5" s="32" t="s">
        <v>2511</v>
      </c>
      <c r="C5" t="s">
        <v>2516</v>
      </c>
      <c r="D5">
        <v>3</v>
      </c>
    </row>
    <row r="6" spans="1:10" x14ac:dyDescent="0.25">
      <c r="A6" s="32" t="s">
        <v>140</v>
      </c>
      <c r="B6" s="32" t="s">
        <v>2511</v>
      </c>
      <c r="C6" t="s">
        <v>2514</v>
      </c>
      <c r="D6">
        <v>2</v>
      </c>
    </row>
    <row r="7" spans="1:10" x14ac:dyDescent="0.25">
      <c r="A7" s="32" t="s">
        <v>149</v>
      </c>
      <c r="B7" s="32" t="s">
        <v>2511</v>
      </c>
      <c r="C7" t="s">
        <v>2515</v>
      </c>
      <c r="D7">
        <v>2</v>
      </c>
    </row>
    <row r="8" spans="1:10" x14ac:dyDescent="0.25">
      <c r="A8" s="32" t="s">
        <v>46</v>
      </c>
      <c r="B8" s="32" t="s">
        <v>2511</v>
      </c>
      <c r="C8" t="s">
        <v>2508</v>
      </c>
      <c r="D8">
        <v>1</v>
      </c>
    </row>
    <row r="9" spans="1:10" x14ac:dyDescent="0.25">
      <c r="A9" s="32" t="s">
        <v>68</v>
      </c>
      <c r="B9" s="32" t="s">
        <v>2511</v>
      </c>
      <c r="C9" t="s">
        <v>2508</v>
      </c>
      <c r="D9">
        <v>1</v>
      </c>
    </row>
    <row r="10" spans="1:10" x14ac:dyDescent="0.25">
      <c r="A10" s="32" t="s">
        <v>74</v>
      </c>
      <c r="B10" s="32" t="s">
        <v>2511</v>
      </c>
      <c r="C10" t="s">
        <v>555</v>
      </c>
      <c r="D10">
        <v>1</v>
      </c>
    </row>
    <row r="11" spans="1:10" x14ac:dyDescent="0.25">
      <c r="A11" s="32" t="s">
        <v>125</v>
      </c>
      <c r="B11" s="32" t="s">
        <v>2511</v>
      </c>
      <c r="C11" t="s">
        <v>561</v>
      </c>
      <c r="D11">
        <v>1</v>
      </c>
    </row>
    <row r="12" spans="1:10" x14ac:dyDescent="0.25">
      <c r="A12" s="32" t="s">
        <v>163</v>
      </c>
      <c r="B12" s="32" t="s">
        <v>2511</v>
      </c>
      <c r="C12" t="s">
        <v>555</v>
      </c>
      <c r="D12">
        <v>1</v>
      </c>
    </row>
    <row r="13" spans="1:10" x14ac:dyDescent="0.25">
      <c r="A13" s="32" t="s">
        <v>166</v>
      </c>
      <c r="B13" s="32" t="s">
        <v>2511</v>
      </c>
      <c r="C13" t="s">
        <v>2508</v>
      </c>
      <c r="D13">
        <v>1</v>
      </c>
    </row>
    <row r="14" spans="1:10" ht="15.75" x14ac:dyDescent="0.25">
      <c r="J14" s="38"/>
    </row>
  </sheetData>
  <conditionalFormatting sqref="A2:A13">
    <cfRule type="duplicateValues" dxfId="53" priority="1"/>
  </conditionalFormatting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54"/>
  <sheetViews>
    <sheetView topLeftCell="AG1" workbookViewId="0">
      <selection activeCell="V1" sqref="V1:AP1"/>
    </sheetView>
  </sheetViews>
  <sheetFormatPr defaultColWidth="9.140625" defaultRowHeight="15" x14ac:dyDescent="0.25"/>
  <cols>
    <col min="1" max="1" width="18.140625" bestFit="1" customWidth="1"/>
    <col min="2" max="3" width="18.140625" customWidth="1"/>
    <col min="4" max="4" width="15.5703125" customWidth="1"/>
    <col min="5" max="5" width="18" customWidth="1"/>
    <col min="6" max="6" width="22.140625" customWidth="1"/>
    <col min="7" max="8" width="15" customWidth="1"/>
    <col min="9" max="10" width="16" customWidth="1"/>
    <col min="11" max="11" width="23.7109375" customWidth="1"/>
    <col min="12" max="15" width="16.28515625" customWidth="1"/>
    <col min="16" max="16" width="17.28515625" customWidth="1"/>
    <col min="17" max="17" width="19" customWidth="1"/>
    <col min="18" max="19" width="20" customWidth="1"/>
    <col min="20" max="21" width="21" customWidth="1"/>
    <col min="22" max="22" width="26.7109375" customWidth="1"/>
    <col min="23" max="23" width="19.85546875" customWidth="1"/>
    <col min="24" max="25" width="22.42578125" customWidth="1"/>
    <col min="26" max="27" width="19.85546875" customWidth="1"/>
    <col min="28" max="30" width="22.42578125" customWidth="1"/>
    <col min="31" max="31" width="19.85546875" customWidth="1"/>
    <col min="32" max="32" width="22.42578125" customWidth="1"/>
    <col min="33" max="33" width="19.85546875" customWidth="1"/>
    <col min="34" max="35" width="22.42578125" customWidth="1"/>
    <col min="36" max="36" width="19.85546875" customWidth="1"/>
    <col min="37" max="37" width="29.28515625" customWidth="1"/>
    <col min="38" max="38" width="12" customWidth="1"/>
    <col min="39" max="40" width="13" customWidth="1"/>
    <col min="41" max="42" width="14" customWidth="1"/>
  </cols>
  <sheetData>
    <row r="1" spans="1:42" x14ac:dyDescent="0.25">
      <c r="A1" t="s">
        <v>0</v>
      </c>
      <c r="B1" s="18" t="s">
        <v>2518</v>
      </c>
      <c r="C1" s="18" t="s">
        <v>2519</v>
      </c>
      <c r="D1" s="18" t="s">
        <v>2520</v>
      </c>
      <c r="E1" s="18" t="s">
        <v>2521</v>
      </c>
      <c r="F1" s="18" t="s">
        <v>2522</v>
      </c>
      <c r="G1" s="18" t="s">
        <v>577</v>
      </c>
      <c r="H1" s="18" t="s">
        <v>582</v>
      </c>
      <c r="I1" s="18" t="s">
        <v>616</v>
      </c>
      <c r="J1" s="18" t="s">
        <v>596</v>
      </c>
      <c r="K1" s="18" t="s">
        <v>2523</v>
      </c>
      <c r="L1" s="18" t="s">
        <v>850</v>
      </c>
      <c r="M1" s="18" t="s">
        <v>869</v>
      </c>
      <c r="N1" s="18" t="s">
        <v>851</v>
      </c>
      <c r="O1" s="18" t="s">
        <v>921</v>
      </c>
      <c r="P1" s="18" t="s">
        <v>922</v>
      </c>
      <c r="Q1" s="18" t="s">
        <v>1015</v>
      </c>
      <c r="R1" s="18" t="s">
        <v>1016</v>
      </c>
      <c r="S1" s="18" t="s">
        <v>1017</v>
      </c>
      <c r="T1" s="18" t="s">
        <v>1018</v>
      </c>
      <c r="U1" s="18" t="s">
        <v>1019</v>
      </c>
      <c r="V1" s="18" t="s">
        <v>2524</v>
      </c>
      <c r="W1" s="18" t="s">
        <v>916</v>
      </c>
      <c r="X1" s="18" t="s">
        <v>1944</v>
      </c>
      <c r="Y1" s="18" t="s">
        <v>1945</v>
      </c>
      <c r="Z1" s="18" t="s">
        <v>917</v>
      </c>
      <c r="AA1" s="18" t="s">
        <v>871</v>
      </c>
      <c r="AB1" s="18" t="s">
        <v>1946</v>
      </c>
      <c r="AC1" s="18" t="s">
        <v>1947</v>
      </c>
      <c r="AD1" s="18" t="s">
        <v>1948</v>
      </c>
      <c r="AE1" s="18" t="s">
        <v>918</v>
      </c>
      <c r="AF1" s="18" t="s">
        <v>1949</v>
      </c>
      <c r="AG1" s="18" t="s">
        <v>929</v>
      </c>
      <c r="AH1" s="18" t="s">
        <v>1950</v>
      </c>
      <c r="AI1" s="18" t="s">
        <v>1951</v>
      </c>
      <c r="AJ1" s="18" t="s">
        <v>853</v>
      </c>
      <c r="AK1" s="18" t="s">
        <v>852</v>
      </c>
      <c r="AL1" s="18" t="s">
        <v>2525</v>
      </c>
      <c r="AM1" s="18" t="s">
        <v>2526</v>
      </c>
      <c r="AN1" s="18" t="s">
        <v>2527</v>
      </c>
      <c r="AO1" s="18" t="s">
        <v>2528</v>
      </c>
      <c r="AP1" s="18" t="s">
        <v>2529</v>
      </c>
    </row>
    <row r="2" spans="1:42" x14ac:dyDescent="0.25">
      <c r="A2" t="s">
        <v>6</v>
      </c>
    </row>
    <row r="3" spans="1:42" x14ac:dyDescent="0.25">
      <c r="A3" t="s">
        <v>11</v>
      </c>
    </row>
    <row r="4" spans="1:42" x14ac:dyDescent="0.25">
      <c r="A4" t="s">
        <v>12</v>
      </c>
    </row>
    <row r="5" spans="1:42" x14ac:dyDescent="0.25">
      <c r="A5" t="s">
        <v>16</v>
      </c>
    </row>
    <row r="6" spans="1:42" x14ac:dyDescent="0.25">
      <c r="A6" t="s">
        <v>18</v>
      </c>
    </row>
    <row r="7" spans="1:42" x14ac:dyDescent="0.25">
      <c r="A7" t="s">
        <v>20</v>
      </c>
    </row>
    <row r="8" spans="1:42" x14ac:dyDescent="0.25">
      <c r="A8" t="s">
        <v>22</v>
      </c>
    </row>
    <row r="9" spans="1:42" x14ac:dyDescent="0.25">
      <c r="A9" t="s">
        <v>24</v>
      </c>
    </row>
    <row r="10" spans="1:42" x14ac:dyDescent="0.25">
      <c r="A10" t="s">
        <v>26</v>
      </c>
    </row>
    <row r="11" spans="1:42" x14ac:dyDescent="0.25">
      <c r="A11" t="s">
        <v>28</v>
      </c>
    </row>
    <row r="12" spans="1:42" x14ac:dyDescent="0.25">
      <c r="A12" t="s">
        <v>30</v>
      </c>
    </row>
    <row r="13" spans="1:42" x14ac:dyDescent="0.25">
      <c r="A13" t="s">
        <v>32</v>
      </c>
    </row>
    <row r="14" spans="1:42" x14ac:dyDescent="0.25">
      <c r="A14" t="s">
        <v>34</v>
      </c>
    </row>
    <row r="15" spans="1:42" x14ac:dyDescent="0.25">
      <c r="A15" t="s">
        <v>36</v>
      </c>
    </row>
    <row r="16" spans="1:42" x14ac:dyDescent="0.25">
      <c r="A16" t="s">
        <v>37</v>
      </c>
    </row>
    <row r="17" spans="1:6" x14ac:dyDescent="0.25">
      <c r="A17" t="s">
        <v>40</v>
      </c>
    </row>
    <row r="18" spans="1:6" x14ac:dyDescent="0.25">
      <c r="A18" t="s">
        <v>42</v>
      </c>
    </row>
    <row r="19" spans="1:6" x14ac:dyDescent="0.25">
      <c r="A19" t="s">
        <v>43</v>
      </c>
    </row>
    <row r="20" spans="1:6" x14ac:dyDescent="0.25">
      <c r="A20" t="s">
        <v>44</v>
      </c>
    </row>
    <row r="21" spans="1:6" x14ac:dyDescent="0.25">
      <c r="A21" t="s">
        <v>46</v>
      </c>
      <c r="B21" t="s">
        <v>533</v>
      </c>
      <c r="C21" t="s">
        <v>534</v>
      </c>
      <c r="D21" t="s">
        <v>535</v>
      </c>
      <c r="E21" t="s">
        <v>537</v>
      </c>
    </row>
    <row r="22" spans="1:6" x14ac:dyDescent="0.25">
      <c r="A22" t="s">
        <v>48</v>
      </c>
    </row>
    <row r="23" spans="1:6" x14ac:dyDescent="0.25">
      <c r="A23" t="s">
        <v>50</v>
      </c>
    </row>
    <row r="24" spans="1:6" x14ac:dyDescent="0.25">
      <c r="A24" t="s">
        <v>52</v>
      </c>
    </row>
    <row r="25" spans="1:6" x14ac:dyDescent="0.25">
      <c r="A25" t="s">
        <v>53</v>
      </c>
    </row>
    <row r="26" spans="1:6" x14ac:dyDescent="0.25">
      <c r="A26" t="s">
        <v>55</v>
      </c>
    </row>
    <row r="27" spans="1:6" x14ac:dyDescent="0.25">
      <c r="A27" t="s">
        <v>57</v>
      </c>
    </row>
    <row r="28" spans="1:6" x14ac:dyDescent="0.25">
      <c r="A28" t="s">
        <v>59</v>
      </c>
    </row>
    <row r="29" spans="1:6" x14ac:dyDescent="0.25">
      <c r="A29" t="s">
        <v>60</v>
      </c>
      <c r="F29" t="s">
        <v>546</v>
      </c>
    </row>
    <row r="30" spans="1:6" x14ac:dyDescent="0.25">
      <c r="A30" t="s">
        <v>62</v>
      </c>
    </row>
    <row r="31" spans="1:6" x14ac:dyDescent="0.25">
      <c r="A31" t="s">
        <v>64</v>
      </c>
    </row>
    <row r="32" spans="1:6" x14ac:dyDescent="0.25">
      <c r="A32" t="s">
        <v>65</v>
      </c>
    </row>
    <row r="33" spans="1:37" x14ac:dyDescent="0.25">
      <c r="A33" t="s">
        <v>66</v>
      </c>
      <c r="F33" t="s">
        <v>552</v>
      </c>
      <c r="G33" t="s">
        <v>576</v>
      </c>
      <c r="H33" t="s">
        <v>353</v>
      </c>
      <c r="I33" t="s">
        <v>597</v>
      </c>
      <c r="J33" t="s">
        <v>617</v>
      </c>
    </row>
    <row r="34" spans="1:37" x14ac:dyDescent="0.25">
      <c r="A34" t="s">
        <v>68</v>
      </c>
      <c r="B34" t="s">
        <v>630</v>
      </c>
      <c r="C34" t="s">
        <v>631</v>
      </c>
      <c r="D34" t="s">
        <v>632</v>
      </c>
      <c r="E34" t="s">
        <v>633</v>
      </c>
    </row>
    <row r="35" spans="1:37" x14ac:dyDescent="0.25">
      <c r="A35" t="s">
        <v>69</v>
      </c>
    </row>
    <row r="36" spans="1:37" x14ac:dyDescent="0.25">
      <c r="A36" t="s">
        <v>71</v>
      </c>
    </row>
    <row r="37" spans="1:37" x14ac:dyDescent="0.25">
      <c r="A37" t="s">
        <v>73</v>
      </c>
    </row>
    <row r="38" spans="1:37" x14ac:dyDescent="0.25">
      <c r="A38" t="s">
        <v>74</v>
      </c>
      <c r="AK38" t="s">
        <v>654</v>
      </c>
    </row>
    <row r="39" spans="1:37" x14ac:dyDescent="0.25">
      <c r="A39" t="s">
        <v>76</v>
      </c>
    </row>
    <row r="40" spans="1:37" x14ac:dyDescent="0.25">
      <c r="A40" t="s">
        <v>78</v>
      </c>
    </row>
    <row r="41" spans="1:37" x14ac:dyDescent="0.25">
      <c r="A41" t="s">
        <v>80</v>
      </c>
    </row>
    <row r="42" spans="1:37" x14ac:dyDescent="0.25">
      <c r="A42" t="s">
        <v>82</v>
      </c>
    </row>
    <row r="43" spans="1:37" x14ac:dyDescent="0.25">
      <c r="A43" t="s">
        <v>84</v>
      </c>
    </row>
    <row r="44" spans="1:37" x14ac:dyDescent="0.25">
      <c r="A44" t="s">
        <v>85</v>
      </c>
    </row>
    <row r="45" spans="1:37" x14ac:dyDescent="0.25">
      <c r="A45" t="s">
        <v>87</v>
      </c>
    </row>
    <row r="46" spans="1:37" x14ac:dyDescent="0.25">
      <c r="A46" t="s">
        <v>89</v>
      </c>
    </row>
    <row r="47" spans="1:37" x14ac:dyDescent="0.25">
      <c r="A47" t="s">
        <v>91</v>
      </c>
    </row>
    <row r="48" spans="1:37" x14ac:dyDescent="0.25">
      <c r="A48" t="s">
        <v>92</v>
      </c>
    </row>
    <row r="49" spans="1:1" x14ac:dyDescent="0.25">
      <c r="A49" t="s">
        <v>93</v>
      </c>
    </row>
    <row r="50" spans="1:1" x14ac:dyDescent="0.25">
      <c r="A50" t="s">
        <v>95</v>
      </c>
    </row>
    <row r="51" spans="1:1" x14ac:dyDescent="0.25">
      <c r="A51" t="s">
        <v>97</v>
      </c>
    </row>
    <row r="52" spans="1:1" x14ac:dyDescent="0.25">
      <c r="A52" t="s">
        <v>99</v>
      </c>
    </row>
    <row r="53" spans="1:1" x14ac:dyDescent="0.25">
      <c r="A53" t="s">
        <v>100</v>
      </c>
    </row>
    <row r="54" spans="1:1" x14ac:dyDescent="0.25">
      <c r="A54" t="s">
        <v>101</v>
      </c>
    </row>
    <row r="55" spans="1:1" x14ac:dyDescent="0.25">
      <c r="A55" t="s">
        <v>102</v>
      </c>
    </row>
    <row r="56" spans="1:1" x14ac:dyDescent="0.25">
      <c r="A56" t="s">
        <v>103</v>
      </c>
    </row>
    <row r="57" spans="1:1" x14ac:dyDescent="0.25">
      <c r="A57" t="s">
        <v>105</v>
      </c>
    </row>
    <row r="58" spans="1:1" x14ac:dyDescent="0.25">
      <c r="A58" t="s">
        <v>106</v>
      </c>
    </row>
    <row r="59" spans="1:1" x14ac:dyDescent="0.25">
      <c r="A59" t="s">
        <v>107</v>
      </c>
    </row>
    <row r="60" spans="1:1" x14ac:dyDescent="0.25">
      <c r="A60" t="s">
        <v>108</v>
      </c>
    </row>
    <row r="61" spans="1:1" x14ac:dyDescent="0.25">
      <c r="A61" t="s">
        <v>109</v>
      </c>
    </row>
    <row r="62" spans="1:1" x14ac:dyDescent="0.25">
      <c r="A62" t="s">
        <v>110</v>
      </c>
    </row>
    <row r="63" spans="1:1" x14ac:dyDescent="0.25">
      <c r="A63" t="s">
        <v>111</v>
      </c>
    </row>
    <row r="64" spans="1:1" x14ac:dyDescent="0.25">
      <c r="A64" t="s">
        <v>112</v>
      </c>
    </row>
    <row r="65" spans="1:36" x14ac:dyDescent="0.25">
      <c r="A65" t="s">
        <v>113</v>
      </c>
    </row>
    <row r="66" spans="1:36" x14ac:dyDescent="0.25">
      <c r="A66" t="s">
        <v>115</v>
      </c>
    </row>
    <row r="67" spans="1:36" x14ac:dyDescent="0.25">
      <c r="A67" t="s">
        <v>116</v>
      </c>
    </row>
    <row r="68" spans="1:36" x14ac:dyDescent="0.25">
      <c r="A68" t="s">
        <v>117</v>
      </c>
    </row>
    <row r="69" spans="1:36" x14ac:dyDescent="0.25">
      <c r="A69" t="s">
        <v>119</v>
      </c>
      <c r="K69">
        <v>177</v>
      </c>
      <c r="L69">
        <v>205</v>
      </c>
      <c r="N69">
        <v>254</v>
      </c>
      <c r="V69">
        <v>241</v>
      </c>
      <c r="AJ69">
        <v>308</v>
      </c>
    </row>
    <row r="70" spans="1:36" x14ac:dyDescent="0.25">
      <c r="A70" t="s">
        <v>120</v>
      </c>
    </row>
    <row r="71" spans="1:36" x14ac:dyDescent="0.25">
      <c r="A71" t="s">
        <v>122</v>
      </c>
    </row>
    <row r="72" spans="1:36" x14ac:dyDescent="0.25">
      <c r="A72" t="s">
        <v>123</v>
      </c>
    </row>
    <row r="73" spans="1:36" x14ac:dyDescent="0.25">
      <c r="A73" t="s">
        <v>125</v>
      </c>
      <c r="M73" t="s">
        <v>870</v>
      </c>
      <c r="AA73">
        <v>80</v>
      </c>
    </row>
    <row r="74" spans="1:36" x14ac:dyDescent="0.25">
      <c r="A74" t="s">
        <v>126</v>
      </c>
    </row>
    <row r="75" spans="1:36" x14ac:dyDescent="0.25">
      <c r="A75" t="s">
        <v>127</v>
      </c>
    </row>
    <row r="76" spans="1:36" x14ac:dyDescent="0.25">
      <c r="A76" t="s">
        <v>128</v>
      </c>
    </row>
    <row r="77" spans="1:36" x14ac:dyDescent="0.25">
      <c r="A77" t="s">
        <v>131</v>
      </c>
    </row>
    <row r="78" spans="1:36" x14ac:dyDescent="0.25">
      <c r="A78" t="s">
        <v>133</v>
      </c>
    </row>
    <row r="79" spans="1:36" x14ac:dyDescent="0.25">
      <c r="A79" t="s">
        <v>134</v>
      </c>
    </row>
    <row r="80" spans="1:36" x14ac:dyDescent="0.25">
      <c r="A80" t="s">
        <v>136</v>
      </c>
    </row>
    <row r="81" spans="1:31" x14ac:dyDescent="0.25">
      <c r="A81" t="s">
        <v>138</v>
      </c>
      <c r="AA81" t="s">
        <v>2024</v>
      </c>
    </row>
    <row r="82" spans="1:31" x14ac:dyDescent="0.25">
      <c r="A82" t="s">
        <v>140</v>
      </c>
    </row>
    <row r="83" spans="1:31" x14ac:dyDescent="0.25">
      <c r="A83" t="s">
        <v>142</v>
      </c>
    </row>
    <row r="84" spans="1:31" x14ac:dyDescent="0.25">
      <c r="A84" t="s">
        <v>143</v>
      </c>
    </row>
    <row r="85" spans="1:31" x14ac:dyDescent="0.25">
      <c r="A85" t="s">
        <v>144</v>
      </c>
    </row>
    <row r="86" spans="1:31" x14ac:dyDescent="0.25">
      <c r="A86" t="s">
        <v>145</v>
      </c>
    </row>
    <row r="87" spans="1:31" x14ac:dyDescent="0.25">
      <c r="A87" t="s">
        <v>146</v>
      </c>
    </row>
    <row r="88" spans="1:31" x14ac:dyDescent="0.25">
      <c r="A88" t="s">
        <v>147</v>
      </c>
    </row>
    <row r="89" spans="1:31" x14ac:dyDescent="0.25">
      <c r="A89" t="s">
        <v>148</v>
      </c>
    </row>
    <row r="90" spans="1:31" x14ac:dyDescent="0.25">
      <c r="A90" t="s">
        <v>149</v>
      </c>
    </row>
    <row r="91" spans="1:31" x14ac:dyDescent="0.25">
      <c r="A91" t="s">
        <v>150</v>
      </c>
    </row>
    <row r="92" spans="1:31" x14ac:dyDescent="0.25">
      <c r="A92" t="s">
        <v>151</v>
      </c>
    </row>
    <row r="94" spans="1:31" x14ac:dyDescent="0.25">
      <c r="A94" t="s">
        <v>321</v>
      </c>
    </row>
    <row r="95" spans="1:31" x14ac:dyDescent="0.25">
      <c r="A95" t="s">
        <v>152</v>
      </c>
    </row>
    <row r="96" spans="1:31" x14ac:dyDescent="0.25">
      <c r="A96" t="s">
        <v>153</v>
      </c>
      <c r="W96">
        <v>69</v>
      </c>
      <c r="Z96">
        <v>36</v>
      </c>
      <c r="AA96">
        <v>12</v>
      </c>
      <c r="AB96">
        <v>20</v>
      </c>
      <c r="AC96">
        <v>29</v>
      </c>
      <c r="AD96">
        <v>91</v>
      </c>
      <c r="AE96">
        <v>116</v>
      </c>
    </row>
    <row r="97" spans="1:42" x14ac:dyDescent="0.25">
      <c r="A97" t="s">
        <v>155</v>
      </c>
    </row>
    <row r="98" spans="1:42" x14ac:dyDescent="0.25">
      <c r="A98" t="s">
        <v>157</v>
      </c>
      <c r="M98">
        <v>200</v>
      </c>
      <c r="O98">
        <v>207</v>
      </c>
      <c r="P98">
        <v>186</v>
      </c>
    </row>
    <row r="99" spans="1:42" x14ac:dyDescent="0.25">
      <c r="A99" t="s">
        <v>158</v>
      </c>
      <c r="V99">
        <v>36</v>
      </c>
      <c r="W99">
        <v>36</v>
      </c>
      <c r="X99">
        <v>27</v>
      </c>
      <c r="Y99">
        <v>48</v>
      </c>
      <c r="Z99">
        <v>48</v>
      </c>
      <c r="AA99">
        <v>38</v>
      </c>
      <c r="AE99">
        <v>80</v>
      </c>
      <c r="AF99">
        <v>78</v>
      </c>
      <c r="AG99">
        <v>62</v>
      </c>
      <c r="AH99">
        <v>57</v>
      </c>
      <c r="AI99">
        <v>76</v>
      </c>
      <c r="AJ99">
        <v>100</v>
      </c>
    </row>
    <row r="100" spans="1:42" x14ac:dyDescent="0.25">
      <c r="A100" t="s">
        <v>160</v>
      </c>
    </row>
    <row r="101" spans="1:42" x14ac:dyDescent="0.25">
      <c r="A101" t="s">
        <v>162</v>
      </c>
    </row>
    <row r="102" spans="1:42" x14ac:dyDescent="0.25">
      <c r="A102" t="s">
        <v>163</v>
      </c>
    </row>
    <row r="103" spans="1:42" x14ac:dyDescent="0.25">
      <c r="A103" t="s">
        <v>164</v>
      </c>
    </row>
    <row r="104" spans="1:42" x14ac:dyDescent="0.25">
      <c r="A104" t="s">
        <v>165</v>
      </c>
    </row>
    <row r="105" spans="1:42" x14ac:dyDescent="0.25">
      <c r="A105" t="s">
        <v>166</v>
      </c>
    </row>
    <row r="106" spans="1:42" x14ac:dyDescent="0.25">
      <c r="A106" t="s">
        <v>167</v>
      </c>
    </row>
    <row r="107" spans="1:42" x14ac:dyDescent="0.25">
      <c r="A107" t="s">
        <v>169</v>
      </c>
    </row>
    <row r="108" spans="1:42" x14ac:dyDescent="0.25">
      <c r="A108" t="s">
        <v>170</v>
      </c>
    </row>
    <row r="109" spans="1:42" x14ac:dyDescent="0.25">
      <c r="A109" t="s">
        <v>172</v>
      </c>
    </row>
    <row r="110" spans="1:42" x14ac:dyDescent="0.25">
      <c r="A110" t="s">
        <v>173</v>
      </c>
    </row>
    <row r="111" spans="1:42" x14ac:dyDescent="0.25">
      <c r="A111" t="s">
        <v>175</v>
      </c>
      <c r="K111">
        <v>242</v>
      </c>
      <c r="Q111">
        <v>209</v>
      </c>
      <c r="R111">
        <v>282</v>
      </c>
      <c r="S111">
        <v>279</v>
      </c>
      <c r="T111">
        <v>274</v>
      </c>
      <c r="U111">
        <v>243</v>
      </c>
      <c r="V111">
        <v>182</v>
      </c>
      <c r="AL111">
        <v>179</v>
      </c>
      <c r="AM111">
        <v>162</v>
      </c>
      <c r="AN111">
        <v>173</v>
      </c>
      <c r="AO111">
        <v>204</v>
      </c>
      <c r="AP111">
        <v>140</v>
      </c>
    </row>
    <row r="112" spans="1:42" x14ac:dyDescent="0.25">
      <c r="A112" t="s">
        <v>176</v>
      </c>
    </row>
    <row r="113" spans="1:26" x14ac:dyDescent="0.25">
      <c r="A113" t="s">
        <v>177</v>
      </c>
    </row>
    <row r="114" spans="1:26" x14ac:dyDescent="0.25">
      <c r="A114" t="s">
        <v>178</v>
      </c>
    </row>
    <row r="115" spans="1:26" x14ac:dyDescent="0.25">
      <c r="A115" t="s">
        <v>179</v>
      </c>
    </row>
    <row r="116" spans="1:26" x14ac:dyDescent="0.25">
      <c r="A116" t="s">
        <v>182</v>
      </c>
    </row>
    <row r="117" spans="1:26" x14ac:dyDescent="0.25">
      <c r="A117" t="s">
        <v>183</v>
      </c>
    </row>
    <row r="118" spans="1:26" x14ac:dyDescent="0.25">
      <c r="A118" t="s">
        <v>185</v>
      </c>
    </row>
    <row r="119" spans="1:26" x14ac:dyDescent="0.25">
      <c r="A119" t="s">
        <v>187</v>
      </c>
    </row>
    <row r="120" spans="1:26" x14ac:dyDescent="0.25">
      <c r="A120" t="s">
        <v>189</v>
      </c>
    </row>
    <row r="121" spans="1:26" x14ac:dyDescent="0.25">
      <c r="A121" t="s">
        <v>191</v>
      </c>
      <c r="K121">
        <v>126</v>
      </c>
      <c r="L121">
        <v>63</v>
      </c>
      <c r="V121">
        <v>148</v>
      </c>
      <c r="Z121">
        <v>62</v>
      </c>
    </row>
    <row r="122" spans="1:26" x14ac:dyDescent="0.25">
      <c r="A122" t="s">
        <v>192</v>
      </c>
    </row>
    <row r="123" spans="1:26" x14ac:dyDescent="0.25">
      <c r="A123" t="s">
        <v>194</v>
      </c>
    </row>
    <row r="124" spans="1:26" x14ac:dyDescent="0.25">
      <c r="A124" t="s">
        <v>196</v>
      </c>
    </row>
    <row r="125" spans="1:26" x14ac:dyDescent="0.25">
      <c r="A125" t="s">
        <v>197</v>
      </c>
    </row>
    <row r="126" spans="1:26" x14ac:dyDescent="0.25">
      <c r="A126" t="s">
        <v>199</v>
      </c>
    </row>
    <row r="127" spans="1:26" x14ac:dyDescent="0.25">
      <c r="A127" t="s">
        <v>200</v>
      </c>
    </row>
    <row r="128" spans="1:26" x14ac:dyDescent="0.25">
      <c r="A128" t="s">
        <v>201</v>
      </c>
    </row>
    <row r="129" spans="1:22" x14ac:dyDescent="0.25">
      <c r="A129" t="s">
        <v>202</v>
      </c>
    </row>
    <row r="130" spans="1:22" x14ac:dyDescent="0.25">
      <c r="A130" t="s">
        <v>294</v>
      </c>
    </row>
    <row r="131" spans="1:22" x14ac:dyDescent="0.25">
      <c r="A131" t="s">
        <v>207</v>
      </c>
      <c r="V131">
        <v>134</v>
      </c>
    </row>
    <row r="132" spans="1:22" x14ac:dyDescent="0.25">
      <c r="A132" t="s">
        <v>208</v>
      </c>
    </row>
    <row r="133" spans="1:22" x14ac:dyDescent="0.25">
      <c r="A133" t="s">
        <v>1589</v>
      </c>
    </row>
    <row r="134" spans="1:22" x14ac:dyDescent="0.25">
      <c r="A134" t="s">
        <v>209</v>
      </c>
    </row>
    <row r="135" spans="1:22" x14ac:dyDescent="0.25">
      <c r="A135" t="s">
        <v>211</v>
      </c>
    </row>
    <row r="136" spans="1:22" x14ac:dyDescent="0.25">
      <c r="A136" t="s">
        <v>212</v>
      </c>
    </row>
    <row r="137" spans="1:22" x14ac:dyDescent="0.25">
      <c r="A137" t="s">
        <v>214</v>
      </c>
    </row>
    <row r="138" spans="1:22" x14ac:dyDescent="0.25">
      <c r="A138" t="s">
        <v>216</v>
      </c>
    </row>
    <row r="139" spans="1:22" x14ac:dyDescent="0.25">
      <c r="A139" t="s">
        <v>218</v>
      </c>
    </row>
    <row r="140" spans="1:22" x14ac:dyDescent="0.25">
      <c r="A140" t="s">
        <v>220</v>
      </c>
    </row>
    <row r="141" spans="1:22" x14ac:dyDescent="0.25">
      <c r="A141" t="s">
        <v>222</v>
      </c>
    </row>
    <row r="142" spans="1:22" x14ac:dyDescent="0.25">
      <c r="A142" t="s">
        <v>224</v>
      </c>
    </row>
    <row r="143" spans="1:22" x14ac:dyDescent="0.25">
      <c r="A143" t="s">
        <v>225</v>
      </c>
    </row>
    <row r="144" spans="1:22" x14ac:dyDescent="0.25">
      <c r="A144" t="s">
        <v>227</v>
      </c>
    </row>
    <row r="145" spans="1:1" x14ac:dyDescent="0.25">
      <c r="A145" t="s">
        <v>229</v>
      </c>
    </row>
    <row r="146" spans="1:1" x14ac:dyDescent="0.25">
      <c r="A146" t="s">
        <v>231</v>
      </c>
    </row>
    <row r="147" spans="1:1" x14ac:dyDescent="0.25">
      <c r="A147" t="s">
        <v>232</v>
      </c>
    </row>
    <row r="148" spans="1:1" x14ac:dyDescent="0.25">
      <c r="A148" t="s">
        <v>234</v>
      </c>
    </row>
    <row r="149" spans="1:1" x14ac:dyDescent="0.25">
      <c r="A149" t="s">
        <v>236</v>
      </c>
    </row>
    <row r="150" spans="1:1" x14ac:dyDescent="0.25">
      <c r="A150" t="s">
        <v>1322</v>
      </c>
    </row>
    <row r="151" spans="1:1" x14ac:dyDescent="0.25">
      <c r="A151" t="s">
        <v>1323</v>
      </c>
    </row>
    <row r="152" spans="1:1" x14ac:dyDescent="0.25">
      <c r="A152" t="s">
        <v>1324</v>
      </c>
    </row>
    <row r="153" spans="1:1" x14ac:dyDescent="0.25">
      <c r="A153" t="s">
        <v>1325</v>
      </c>
    </row>
    <row r="154" spans="1:1" x14ac:dyDescent="0.25">
      <c r="A154" t="s">
        <v>1326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D15"/>
  <sheetViews>
    <sheetView workbookViewId="0">
      <selection sqref="A1:D15"/>
    </sheetView>
  </sheetViews>
  <sheetFormatPr defaultColWidth="9.140625" defaultRowHeight="15" x14ac:dyDescent="0.25"/>
  <cols>
    <col min="1" max="1" width="18.140625" bestFit="1" customWidth="1"/>
    <col min="2" max="2" width="14.85546875" bestFit="1" customWidth="1"/>
    <col min="3" max="3" width="81.140625" bestFit="1" customWidth="1"/>
    <col min="4" max="4" width="35.85546875" bestFit="1" customWidth="1"/>
  </cols>
  <sheetData>
    <row r="1" spans="1:4" ht="15.75" x14ac:dyDescent="0.25">
      <c r="A1" s="29" t="s">
        <v>0</v>
      </c>
      <c r="B1" s="29" t="s">
        <v>2530</v>
      </c>
      <c r="C1" s="29" t="s">
        <v>2081</v>
      </c>
      <c r="D1" s="29" t="s">
        <v>2118</v>
      </c>
    </row>
    <row r="2" spans="1:4" x14ac:dyDescent="0.25">
      <c r="A2" s="32" t="s">
        <v>158</v>
      </c>
      <c r="B2" s="32" t="s">
        <v>2530</v>
      </c>
      <c r="C2" t="s">
        <v>2537</v>
      </c>
      <c r="D2">
        <v>12</v>
      </c>
    </row>
    <row r="3" spans="1:4" x14ac:dyDescent="0.25">
      <c r="A3" s="32" t="s">
        <v>175</v>
      </c>
      <c r="B3" s="32" t="s">
        <v>2530</v>
      </c>
      <c r="C3" t="s">
        <v>2538</v>
      </c>
      <c r="D3">
        <v>12</v>
      </c>
    </row>
    <row r="4" spans="1:4" x14ac:dyDescent="0.25">
      <c r="A4" s="32" t="s">
        <v>153</v>
      </c>
      <c r="B4" s="32" t="s">
        <v>2530</v>
      </c>
      <c r="C4" t="s">
        <v>2535</v>
      </c>
      <c r="D4">
        <v>7</v>
      </c>
    </row>
    <row r="5" spans="1:4" x14ac:dyDescent="0.25">
      <c r="A5" s="32" t="s">
        <v>66</v>
      </c>
      <c r="B5" s="32" t="s">
        <v>2530</v>
      </c>
      <c r="C5" t="s">
        <v>2532</v>
      </c>
      <c r="D5">
        <v>5</v>
      </c>
    </row>
    <row r="6" spans="1:4" x14ac:dyDescent="0.25">
      <c r="A6" s="32" t="s">
        <v>119</v>
      </c>
      <c r="B6" s="32" t="s">
        <v>2530</v>
      </c>
      <c r="C6" t="s">
        <v>2533</v>
      </c>
      <c r="D6">
        <v>5</v>
      </c>
    </row>
    <row r="7" spans="1:4" x14ac:dyDescent="0.25">
      <c r="A7" s="32" t="s">
        <v>46</v>
      </c>
      <c r="B7" s="32" t="s">
        <v>2530</v>
      </c>
      <c r="C7" t="s">
        <v>2531</v>
      </c>
      <c r="D7">
        <v>4</v>
      </c>
    </row>
    <row r="8" spans="1:4" x14ac:dyDescent="0.25">
      <c r="A8" s="32" t="s">
        <v>68</v>
      </c>
      <c r="B8" s="32" t="s">
        <v>2530</v>
      </c>
      <c r="C8" t="s">
        <v>2531</v>
      </c>
      <c r="D8">
        <v>4</v>
      </c>
    </row>
    <row r="9" spans="1:4" x14ac:dyDescent="0.25">
      <c r="A9" s="32" t="s">
        <v>191</v>
      </c>
      <c r="B9" s="32" t="s">
        <v>2530</v>
      </c>
      <c r="C9" t="s">
        <v>2539</v>
      </c>
      <c r="D9">
        <v>4</v>
      </c>
    </row>
    <row r="10" spans="1:4" x14ac:dyDescent="0.25">
      <c r="A10" s="32" t="s">
        <v>157</v>
      </c>
      <c r="B10" s="32" t="s">
        <v>2530</v>
      </c>
      <c r="C10" t="s">
        <v>2536</v>
      </c>
      <c r="D10">
        <v>3</v>
      </c>
    </row>
    <row r="11" spans="1:4" x14ac:dyDescent="0.25">
      <c r="A11" s="32" t="s">
        <v>125</v>
      </c>
      <c r="B11" s="32" t="s">
        <v>2530</v>
      </c>
      <c r="C11" t="s">
        <v>2534</v>
      </c>
      <c r="D11">
        <v>2</v>
      </c>
    </row>
    <row r="12" spans="1:4" x14ac:dyDescent="0.25">
      <c r="A12" s="32" t="s">
        <v>60</v>
      </c>
      <c r="B12" s="32" t="s">
        <v>2530</v>
      </c>
      <c r="C12" t="s">
        <v>2522</v>
      </c>
      <c r="D12">
        <v>1</v>
      </c>
    </row>
    <row r="13" spans="1:4" x14ac:dyDescent="0.25">
      <c r="A13" s="32" t="s">
        <v>74</v>
      </c>
      <c r="B13" s="32" t="s">
        <v>2530</v>
      </c>
      <c r="C13" t="s">
        <v>852</v>
      </c>
      <c r="D13">
        <v>1</v>
      </c>
    </row>
    <row r="14" spans="1:4" x14ac:dyDescent="0.25">
      <c r="A14" s="32" t="s">
        <v>138</v>
      </c>
      <c r="B14" s="32" t="s">
        <v>2530</v>
      </c>
      <c r="C14" t="s">
        <v>871</v>
      </c>
      <c r="D14">
        <v>1</v>
      </c>
    </row>
    <row r="15" spans="1:4" x14ac:dyDescent="0.25">
      <c r="A15" s="32" t="s">
        <v>207</v>
      </c>
      <c r="B15" s="32" t="s">
        <v>2530</v>
      </c>
      <c r="C15" t="s">
        <v>2524</v>
      </c>
      <c r="D15">
        <v>1</v>
      </c>
    </row>
  </sheetData>
  <conditionalFormatting sqref="A2:A15">
    <cfRule type="duplicateValues" dxfId="48" priority="1"/>
  </conditionalFormatting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4"/>
  <sheetViews>
    <sheetView workbookViewId="0">
      <selection activeCell="B1" sqref="B1:P1"/>
    </sheetView>
  </sheetViews>
  <sheetFormatPr defaultColWidth="9.140625" defaultRowHeight="15" x14ac:dyDescent="0.25"/>
  <cols>
    <col min="1" max="1" width="18.140625" bestFit="1" customWidth="1"/>
    <col min="2" max="2" width="12.5703125" style="40" customWidth="1"/>
    <col min="3" max="3" width="10.42578125" style="40" customWidth="1"/>
    <col min="4" max="5" width="9.140625" style="40"/>
    <col min="6" max="6" width="10.140625" style="40" customWidth="1"/>
    <col min="7" max="7" width="19.7109375" style="40" customWidth="1"/>
    <col min="8" max="9" width="11.28515625" style="40" customWidth="1"/>
    <col min="10" max="10" width="14.7109375" style="40" bestFit="1" customWidth="1"/>
    <col min="11" max="11" width="15.140625" style="40" bestFit="1" customWidth="1"/>
    <col min="12" max="12" width="9.7109375" style="40" customWidth="1"/>
    <col min="13" max="16" width="11.42578125" style="40" customWidth="1"/>
  </cols>
  <sheetData>
    <row r="1" spans="1:16" x14ac:dyDescent="0.25">
      <c r="A1" t="s">
        <v>0</v>
      </c>
      <c r="B1" s="40" t="s">
        <v>2540</v>
      </c>
      <c r="C1" s="40" t="s">
        <v>708</v>
      </c>
      <c r="D1" s="40" t="s">
        <v>479</v>
      </c>
      <c r="E1" s="40" t="s">
        <v>709</v>
      </c>
      <c r="F1" s="40" t="s">
        <v>493</v>
      </c>
      <c r="G1" s="40" t="s">
        <v>2541</v>
      </c>
      <c r="H1" s="40" t="s">
        <v>722</v>
      </c>
      <c r="I1" s="40" t="s">
        <v>723</v>
      </c>
      <c r="J1" s="40" t="s">
        <v>856</v>
      </c>
      <c r="K1" s="40" t="s">
        <v>502</v>
      </c>
      <c r="L1" s="40" t="s">
        <v>931</v>
      </c>
      <c r="M1" s="40" t="s">
        <v>932</v>
      </c>
      <c r="N1" s="40" t="s">
        <v>919</v>
      </c>
      <c r="O1" s="40" t="s">
        <v>920</v>
      </c>
      <c r="P1" s="40" t="s">
        <v>858</v>
      </c>
    </row>
    <row r="2" spans="1:16" x14ac:dyDescent="0.25">
      <c r="A2" t="s">
        <v>6</v>
      </c>
    </row>
    <row r="3" spans="1:16" x14ac:dyDescent="0.25">
      <c r="A3" t="s">
        <v>11</v>
      </c>
    </row>
    <row r="4" spans="1:16" x14ac:dyDescent="0.25">
      <c r="A4" t="s">
        <v>12</v>
      </c>
    </row>
    <row r="5" spans="1:16" x14ac:dyDescent="0.25">
      <c r="A5" t="s">
        <v>16</v>
      </c>
    </row>
    <row r="6" spans="1:16" x14ac:dyDescent="0.25">
      <c r="A6" t="s">
        <v>18</v>
      </c>
    </row>
    <row r="7" spans="1:16" x14ac:dyDescent="0.25">
      <c r="A7" t="s">
        <v>20</v>
      </c>
    </row>
    <row r="8" spans="1:16" x14ac:dyDescent="0.25">
      <c r="A8" t="s">
        <v>22</v>
      </c>
    </row>
    <row r="9" spans="1:16" x14ac:dyDescent="0.25">
      <c r="A9" t="s">
        <v>24</v>
      </c>
    </row>
    <row r="10" spans="1:16" x14ac:dyDescent="0.25">
      <c r="A10" t="s">
        <v>26</v>
      </c>
      <c r="C10" s="40">
        <v>39</v>
      </c>
      <c r="D10" s="40">
        <v>62</v>
      </c>
      <c r="E10" s="40">
        <v>48</v>
      </c>
      <c r="F10" s="40">
        <v>88</v>
      </c>
    </row>
    <row r="11" spans="1:16" x14ac:dyDescent="0.25">
      <c r="A11" t="s">
        <v>28</v>
      </c>
    </row>
    <row r="12" spans="1:16" x14ac:dyDescent="0.25">
      <c r="A12" t="s">
        <v>30</v>
      </c>
    </row>
    <row r="13" spans="1:16" x14ac:dyDescent="0.25">
      <c r="A13" t="s">
        <v>32</v>
      </c>
      <c r="G13" s="40" t="s">
        <v>501</v>
      </c>
    </row>
    <row r="14" spans="1:16" x14ac:dyDescent="0.25">
      <c r="A14" t="s">
        <v>34</v>
      </c>
    </row>
    <row r="15" spans="1:16" x14ac:dyDescent="0.25">
      <c r="A15" t="s">
        <v>36</v>
      </c>
    </row>
    <row r="16" spans="1:16" x14ac:dyDescent="0.25">
      <c r="A16" t="s">
        <v>37</v>
      </c>
    </row>
    <row r="17" spans="1:11" x14ac:dyDescent="0.25">
      <c r="A17" t="s">
        <v>40</v>
      </c>
    </row>
    <row r="18" spans="1:11" x14ac:dyDescent="0.25">
      <c r="A18" t="s">
        <v>42</v>
      </c>
    </row>
    <row r="19" spans="1:11" x14ac:dyDescent="0.25">
      <c r="A19" t="s">
        <v>43</v>
      </c>
    </row>
    <row r="20" spans="1:11" x14ac:dyDescent="0.25">
      <c r="A20" t="s">
        <v>44</v>
      </c>
    </row>
    <row r="21" spans="1:11" x14ac:dyDescent="0.25">
      <c r="A21" t="s">
        <v>46</v>
      </c>
    </row>
    <row r="22" spans="1:11" x14ac:dyDescent="0.25">
      <c r="A22" t="s">
        <v>48</v>
      </c>
    </row>
    <row r="23" spans="1:11" x14ac:dyDescent="0.25">
      <c r="A23" t="s">
        <v>50</v>
      </c>
    </row>
    <row r="24" spans="1:11" x14ac:dyDescent="0.25">
      <c r="A24" t="s">
        <v>52</v>
      </c>
    </row>
    <row r="25" spans="1:11" x14ac:dyDescent="0.25">
      <c r="A25" t="s">
        <v>53</v>
      </c>
    </row>
    <row r="26" spans="1:11" x14ac:dyDescent="0.25">
      <c r="A26" t="s">
        <v>55</v>
      </c>
    </row>
    <row r="27" spans="1:11" x14ac:dyDescent="0.25">
      <c r="A27" t="s">
        <v>57</v>
      </c>
      <c r="G27" s="40" t="s">
        <v>2017</v>
      </c>
      <c r="K27" s="40">
        <v>700</v>
      </c>
    </row>
    <row r="28" spans="1:11" x14ac:dyDescent="0.25">
      <c r="A28" t="s">
        <v>59</v>
      </c>
    </row>
    <row r="29" spans="1:11" x14ac:dyDescent="0.25">
      <c r="A29" t="s">
        <v>60</v>
      </c>
      <c r="F29" s="40" t="s">
        <v>547</v>
      </c>
    </row>
    <row r="30" spans="1:11" x14ac:dyDescent="0.25">
      <c r="A30" t="s">
        <v>62</v>
      </c>
    </row>
    <row r="31" spans="1:11" x14ac:dyDescent="0.25">
      <c r="A31" t="s">
        <v>64</v>
      </c>
    </row>
    <row r="32" spans="1:11" x14ac:dyDescent="0.25">
      <c r="A32" t="s">
        <v>65</v>
      </c>
    </row>
    <row r="33" spans="1:9" x14ac:dyDescent="0.25">
      <c r="A33" t="s">
        <v>66</v>
      </c>
      <c r="H33" s="40" t="s">
        <v>2018</v>
      </c>
      <c r="I33" s="40" t="s">
        <v>2019</v>
      </c>
    </row>
    <row r="34" spans="1:9" x14ac:dyDescent="0.25">
      <c r="A34" t="s">
        <v>68</v>
      </c>
    </row>
    <row r="35" spans="1:9" x14ac:dyDescent="0.25">
      <c r="A35" t="s">
        <v>69</v>
      </c>
    </row>
    <row r="36" spans="1:9" x14ac:dyDescent="0.25">
      <c r="A36" t="s">
        <v>71</v>
      </c>
    </row>
    <row r="37" spans="1:9" x14ac:dyDescent="0.25">
      <c r="A37" t="s">
        <v>73</v>
      </c>
    </row>
    <row r="38" spans="1:9" x14ac:dyDescent="0.25">
      <c r="A38" t="s">
        <v>74</v>
      </c>
      <c r="B38" s="40">
        <v>98</v>
      </c>
    </row>
    <row r="39" spans="1:9" x14ac:dyDescent="0.25">
      <c r="A39" t="s">
        <v>76</v>
      </c>
    </row>
    <row r="40" spans="1:9" x14ac:dyDescent="0.25">
      <c r="A40" t="s">
        <v>78</v>
      </c>
    </row>
    <row r="41" spans="1:9" x14ac:dyDescent="0.25">
      <c r="A41" t="s">
        <v>80</v>
      </c>
    </row>
    <row r="42" spans="1:9" x14ac:dyDescent="0.25">
      <c r="A42" t="s">
        <v>82</v>
      </c>
      <c r="G42" s="40" t="s">
        <v>2020</v>
      </c>
    </row>
    <row r="43" spans="1:9" x14ac:dyDescent="0.25">
      <c r="A43" t="s">
        <v>84</v>
      </c>
    </row>
    <row r="44" spans="1:9" x14ac:dyDescent="0.25">
      <c r="A44" t="s">
        <v>85</v>
      </c>
    </row>
    <row r="45" spans="1:9" x14ac:dyDescent="0.25">
      <c r="A45" t="s">
        <v>87</v>
      </c>
    </row>
    <row r="46" spans="1:9" x14ac:dyDescent="0.25">
      <c r="A46" t="s">
        <v>89</v>
      </c>
      <c r="G46" s="41">
        <v>48.39</v>
      </c>
    </row>
    <row r="47" spans="1:9" x14ac:dyDescent="0.25">
      <c r="A47" t="s">
        <v>91</v>
      </c>
    </row>
    <row r="48" spans="1:9" x14ac:dyDescent="0.25">
      <c r="A48" t="s">
        <v>92</v>
      </c>
    </row>
    <row r="49" spans="1:1" x14ac:dyDescent="0.25">
      <c r="A49" t="s">
        <v>93</v>
      </c>
    </row>
    <row r="50" spans="1:1" x14ac:dyDescent="0.25">
      <c r="A50" t="s">
        <v>95</v>
      </c>
    </row>
    <row r="51" spans="1:1" x14ac:dyDescent="0.25">
      <c r="A51" t="s">
        <v>97</v>
      </c>
    </row>
    <row r="52" spans="1:1" x14ac:dyDescent="0.25">
      <c r="A52" t="s">
        <v>99</v>
      </c>
    </row>
    <row r="53" spans="1:1" x14ac:dyDescent="0.25">
      <c r="A53" t="s">
        <v>100</v>
      </c>
    </row>
    <row r="54" spans="1:1" x14ac:dyDescent="0.25">
      <c r="A54" t="s">
        <v>101</v>
      </c>
    </row>
    <row r="55" spans="1:1" x14ac:dyDescent="0.25">
      <c r="A55" t="s">
        <v>102</v>
      </c>
    </row>
    <row r="56" spans="1:1" x14ac:dyDescent="0.25">
      <c r="A56" t="s">
        <v>103</v>
      </c>
    </row>
    <row r="57" spans="1:1" x14ac:dyDescent="0.25">
      <c r="A57" t="s">
        <v>105</v>
      </c>
    </row>
    <row r="58" spans="1:1" x14ac:dyDescent="0.25">
      <c r="A58" t="s">
        <v>106</v>
      </c>
    </row>
    <row r="59" spans="1:1" x14ac:dyDescent="0.25">
      <c r="A59" t="s">
        <v>107</v>
      </c>
    </row>
    <row r="60" spans="1:1" x14ac:dyDescent="0.25">
      <c r="A60" t="s">
        <v>108</v>
      </c>
    </row>
    <row r="61" spans="1:1" x14ac:dyDescent="0.25">
      <c r="A61" t="s">
        <v>109</v>
      </c>
    </row>
    <row r="62" spans="1:1" x14ac:dyDescent="0.25">
      <c r="A62" t="s">
        <v>110</v>
      </c>
    </row>
    <row r="63" spans="1:1" x14ac:dyDescent="0.25">
      <c r="A63" t="s">
        <v>111</v>
      </c>
    </row>
    <row r="64" spans="1:1" x14ac:dyDescent="0.25">
      <c r="A64" t="s">
        <v>112</v>
      </c>
    </row>
    <row r="65" spans="1:16" x14ac:dyDescent="0.25">
      <c r="A65" t="s">
        <v>113</v>
      </c>
    </row>
    <row r="66" spans="1:16" x14ac:dyDescent="0.25">
      <c r="A66" t="s">
        <v>115</v>
      </c>
    </row>
    <row r="67" spans="1:16" x14ac:dyDescent="0.25">
      <c r="A67" t="s">
        <v>116</v>
      </c>
    </row>
    <row r="68" spans="1:16" x14ac:dyDescent="0.25">
      <c r="A68" t="s">
        <v>117</v>
      </c>
    </row>
    <row r="69" spans="1:16" x14ac:dyDescent="0.25">
      <c r="A69" t="s">
        <v>119</v>
      </c>
    </row>
    <row r="70" spans="1:16" x14ac:dyDescent="0.25">
      <c r="A70" t="s">
        <v>120</v>
      </c>
      <c r="J70" s="40">
        <v>100</v>
      </c>
      <c r="P70" s="40">
        <v>150</v>
      </c>
    </row>
    <row r="71" spans="1:16" x14ac:dyDescent="0.25">
      <c r="A71" t="s">
        <v>122</v>
      </c>
    </row>
    <row r="72" spans="1:16" x14ac:dyDescent="0.25">
      <c r="A72" t="s">
        <v>123</v>
      </c>
    </row>
    <row r="73" spans="1:16" x14ac:dyDescent="0.25">
      <c r="A73" t="s">
        <v>125</v>
      </c>
    </row>
    <row r="74" spans="1:16" x14ac:dyDescent="0.25">
      <c r="A74" t="s">
        <v>126</v>
      </c>
    </row>
    <row r="75" spans="1:16" x14ac:dyDescent="0.25">
      <c r="A75" t="s">
        <v>127</v>
      </c>
    </row>
    <row r="76" spans="1:16" x14ac:dyDescent="0.25">
      <c r="A76" t="s">
        <v>128</v>
      </c>
    </row>
    <row r="77" spans="1:16" x14ac:dyDescent="0.25">
      <c r="A77" t="s">
        <v>131</v>
      </c>
    </row>
    <row r="78" spans="1:16" x14ac:dyDescent="0.25">
      <c r="A78" t="s">
        <v>133</v>
      </c>
    </row>
    <row r="79" spans="1:16" x14ac:dyDescent="0.25">
      <c r="A79" t="s">
        <v>134</v>
      </c>
    </row>
    <row r="80" spans="1:16" x14ac:dyDescent="0.25">
      <c r="A80" t="s">
        <v>136</v>
      </c>
    </row>
    <row r="81" spans="1:15" x14ac:dyDescent="0.25">
      <c r="A81" t="s">
        <v>138</v>
      </c>
    </row>
    <row r="82" spans="1:15" x14ac:dyDescent="0.25">
      <c r="A82" t="s">
        <v>140</v>
      </c>
    </row>
    <row r="83" spans="1:15" x14ac:dyDescent="0.25">
      <c r="A83" t="s">
        <v>142</v>
      </c>
    </row>
    <row r="84" spans="1:15" x14ac:dyDescent="0.25">
      <c r="A84" t="s">
        <v>143</v>
      </c>
    </row>
    <row r="85" spans="1:15" x14ac:dyDescent="0.25">
      <c r="A85" t="s">
        <v>144</v>
      </c>
    </row>
    <row r="86" spans="1:15" x14ac:dyDescent="0.25">
      <c r="A86" t="s">
        <v>145</v>
      </c>
    </row>
    <row r="87" spans="1:15" x14ac:dyDescent="0.25">
      <c r="A87" t="s">
        <v>146</v>
      </c>
    </row>
    <row r="88" spans="1:15" x14ac:dyDescent="0.25">
      <c r="A88" t="s">
        <v>147</v>
      </c>
    </row>
    <row r="89" spans="1:15" x14ac:dyDescent="0.25">
      <c r="A89" t="s">
        <v>148</v>
      </c>
    </row>
    <row r="90" spans="1:15" x14ac:dyDescent="0.25">
      <c r="A90" t="s">
        <v>149</v>
      </c>
    </row>
    <row r="91" spans="1:15" x14ac:dyDescent="0.25">
      <c r="A91" t="s">
        <v>150</v>
      </c>
    </row>
    <row r="92" spans="1:15" x14ac:dyDescent="0.25">
      <c r="A92" t="s">
        <v>151</v>
      </c>
    </row>
    <row r="94" spans="1:15" x14ac:dyDescent="0.25">
      <c r="A94" t="s">
        <v>321</v>
      </c>
    </row>
    <row r="95" spans="1:15" x14ac:dyDescent="0.25">
      <c r="A95" t="s">
        <v>152</v>
      </c>
      <c r="K95" s="40">
        <v>67</v>
      </c>
    </row>
    <row r="96" spans="1:15" x14ac:dyDescent="0.25">
      <c r="A96" t="s">
        <v>153</v>
      </c>
      <c r="N96" s="40">
        <v>79</v>
      </c>
      <c r="O96" s="40">
        <v>62</v>
      </c>
    </row>
    <row r="97" spans="1:13" x14ac:dyDescent="0.25">
      <c r="A97" t="s">
        <v>155</v>
      </c>
    </row>
    <row r="98" spans="1:13" x14ac:dyDescent="0.25">
      <c r="A98" t="s">
        <v>157</v>
      </c>
    </row>
    <row r="99" spans="1:13" x14ac:dyDescent="0.25">
      <c r="A99" t="s">
        <v>158</v>
      </c>
    </row>
    <row r="100" spans="1:13" x14ac:dyDescent="0.25">
      <c r="A100" t="s">
        <v>160</v>
      </c>
    </row>
    <row r="101" spans="1:13" x14ac:dyDescent="0.25">
      <c r="A101" t="s">
        <v>162</v>
      </c>
    </row>
    <row r="102" spans="1:13" x14ac:dyDescent="0.25">
      <c r="A102" t="s">
        <v>163</v>
      </c>
    </row>
    <row r="103" spans="1:13" x14ac:dyDescent="0.25">
      <c r="A103" t="s">
        <v>164</v>
      </c>
    </row>
    <row r="104" spans="1:13" x14ac:dyDescent="0.25">
      <c r="A104" t="s">
        <v>165</v>
      </c>
    </row>
    <row r="105" spans="1:13" x14ac:dyDescent="0.25">
      <c r="A105" t="s">
        <v>166</v>
      </c>
      <c r="K105" s="40">
        <v>34</v>
      </c>
      <c r="L105" s="40">
        <v>32</v>
      </c>
      <c r="M105" s="40">
        <v>29</v>
      </c>
    </row>
    <row r="106" spans="1:13" x14ac:dyDescent="0.25">
      <c r="A106" t="s">
        <v>167</v>
      </c>
    </row>
    <row r="107" spans="1:13" x14ac:dyDescent="0.25">
      <c r="A107" t="s">
        <v>169</v>
      </c>
    </row>
    <row r="108" spans="1:13" x14ac:dyDescent="0.25">
      <c r="A108" t="s">
        <v>170</v>
      </c>
    </row>
    <row r="109" spans="1:13" x14ac:dyDescent="0.25">
      <c r="A109" t="s">
        <v>172</v>
      </c>
    </row>
    <row r="110" spans="1:13" x14ac:dyDescent="0.25">
      <c r="A110" t="s">
        <v>173</v>
      </c>
      <c r="K110" s="40">
        <v>20</v>
      </c>
    </row>
    <row r="111" spans="1:13" x14ac:dyDescent="0.25">
      <c r="A111" t="s">
        <v>175</v>
      </c>
    </row>
    <row r="112" spans="1:13" x14ac:dyDescent="0.25">
      <c r="A112" t="s">
        <v>176</v>
      </c>
    </row>
    <row r="113" spans="1:11" x14ac:dyDescent="0.25">
      <c r="A113" t="s">
        <v>177</v>
      </c>
    </row>
    <row r="114" spans="1:11" x14ac:dyDescent="0.25">
      <c r="A114" t="s">
        <v>178</v>
      </c>
    </row>
    <row r="115" spans="1:11" x14ac:dyDescent="0.25">
      <c r="A115" t="s">
        <v>179</v>
      </c>
    </row>
    <row r="116" spans="1:11" x14ac:dyDescent="0.25">
      <c r="A116" t="s">
        <v>182</v>
      </c>
    </row>
    <row r="117" spans="1:11" x14ac:dyDescent="0.25">
      <c r="A117" t="s">
        <v>183</v>
      </c>
    </row>
    <row r="118" spans="1:11" x14ac:dyDescent="0.25">
      <c r="A118" t="s">
        <v>185</v>
      </c>
    </row>
    <row r="119" spans="1:11" x14ac:dyDescent="0.25">
      <c r="A119" t="s">
        <v>187</v>
      </c>
      <c r="K119" s="40">
        <v>810</v>
      </c>
    </row>
    <row r="120" spans="1:11" x14ac:dyDescent="0.25">
      <c r="A120" t="s">
        <v>189</v>
      </c>
    </row>
    <row r="121" spans="1:11" x14ac:dyDescent="0.25">
      <c r="A121" t="s">
        <v>191</v>
      </c>
    </row>
    <row r="122" spans="1:11" x14ac:dyDescent="0.25">
      <c r="A122" t="s">
        <v>192</v>
      </c>
    </row>
    <row r="123" spans="1:11" x14ac:dyDescent="0.25">
      <c r="A123" t="s">
        <v>194</v>
      </c>
    </row>
    <row r="124" spans="1:11" x14ac:dyDescent="0.25">
      <c r="A124" t="s">
        <v>196</v>
      </c>
    </row>
    <row r="125" spans="1:11" x14ac:dyDescent="0.25">
      <c r="A125" t="s">
        <v>197</v>
      </c>
    </row>
    <row r="126" spans="1:11" x14ac:dyDescent="0.25">
      <c r="A126" t="s">
        <v>199</v>
      </c>
    </row>
    <row r="127" spans="1:11" x14ac:dyDescent="0.25">
      <c r="A127" t="s">
        <v>200</v>
      </c>
    </row>
    <row r="128" spans="1:11" x14ac:dyDescent="0.25">
      <c r="A128" t="s">
        <v>201</v>
      </c>
    </row>
    <row r="129" spans="1:1" x14ac:dyDescent="0.25">
      <c r="A129" t="s">
        <v>202</v>
      </c>
    </row>
    <row r="130" spans="1:1" x14ac:dyDescent="0.25">
      <c r="A130" t="s">
        <v>294</v>
      </c>
    </row>
    <row r="131" spans="1:1" x14ac:dyDescent="0.25">
      <c r="A131" t="s">
        <v>207</v>
      </c>
    </row>
    <row r="132" spans="1:1" x14ac:dyDescent="0.25">
      <c r="A132" t="s">
        <v>208</v>
      </c>
    </row>
    <row r="133" spans="1:1" x14ac:dyDescent="0.25">
      <c r="A133" t="s">
        <v>1589</v>
      </c>
    </row>
    <row r="134" spans="1:1" x14ac:dyDescent="0.25">
      <c r="A134" t="s">
        <v>209</v>
      </c>
    </row>
    <row r="135" spans="1:1" x14ac:dyDescent="0.25">
      <c r="A135" t="s">
        <v>211</v>
      </c>
    </row>
    <row r="136" spans="1:1" x14ac:dyDescent="0.25">
      <c r="A136" t="s">
        <v>212</v>
      </c>
    </row>
    <row r="137" spans="1:1" x14ac:dyDescent="0.25">
      <c r="A137" t="s">
        <v>214</v>
      </c>
    </row>
    <row r="138" spans="1:1" x14ac:dyDescent="0.25">
      <c r="A138" t="s">
        <v>216</v>
      </c>
    </row>
    <row r="139" spans="1:1" x14ac:dyDescent="0.25">
      <c r="A139" t="s">
        <v>218</v>
      </c>
    </row>
    <row r="140" spans="1:1" x14ac:dyDescent="0.25">
      <c r="A140" t="s">
        <v>220</v>
      </c>
    </row>
    <row r="141" spans="1:1" x14ac:dyDescent="0.25">
      <c r="A141" t="s">
        <v>222</v>
      </c>
    </row>
    <row r="142" spans="1:1" x14ac:dyDescent="0.25">
      <c r="A142" t="s">
        <v>224</v>
      </c>
    </row>
    <row r="143" spans="1:1" x14ac:dyDescent="0.25">
      <c r="A143" t="s">
        <v>225</v>
      </c>
    </row>
    <row r="144" spans="1:1" x14ac:dyDescent="0.25">
      <c r="A144" t="s">
        <v>227</v>
      </c>
    </row>
    <row r="145" spans="1:1" x14ac:dyDescent="0.25">
      <c r="A145" t="s">
        <v>229</v>
      </c>
    </row>
    <row r="146" spans="1:1" x14ac:dyDescent="0.25">
      <c r="A146" t="s">
        <v>231</v>
      </c>
    </row>
    <row r="147" spans="1:1" x14ac:dyDescent="0.25">
      <c r="A147" t="s">
        <v>232</v>
      </c>
    </row>
    <row r="148" spans="1:1" x14ac:dyDescent="0.25">
      <c r="A148" t="s">
        <v>234</v>
      </c>
    </row>
    <row r="149" spans="1:1" x14ac:dyDescent="0.25">
      <c r="A149" t="s">
        <v>236</v>
      </c>
    </row>
    <row r="150" spans="1:1" x14ac:dyDescent="0.25">
      <c r="A150" t="s">
        <v>1322</v>
      </c>
    </row>
    <row r="151" spans="1:1" x14ac:dyDescent="0.25">
      <c r="A151" t="s">
        <v>1323</v>
      </c>
    </row>
    <row r="152" spans="1:1" x14ac:dyDescent="0.25">
      <c r="A152" t="s">
        <v>1324</v>
      </c>
    </row>
    <row r="153" spans="1:1" x14ac:dyDescent="0.25">
      <c r="A153" t="s">
        <v>1325</v>
      </c>
    </row>
    <row r="154" spans="1:1" x14ac:dyDescent="0.25">
      <c r="A154" t="s">
        <v>1326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sqref="A1:D15"/>
    </sheetView>
  </sheetViews>
  <sheetFormatPr defaultColWidth="9.140625" defaultRowHeight="15" x14ac:dyDescent="0.25"/>
  <cols>
    <col min="1" max="1" width="18" bestFit="1" customWidth="1"/>
    <col min="2" max="2" width="20.85546875" bestFit="1" customWidth="1"/>
    <col min="3" max="3" width="31" bestFit="1" customWidth="1"/>
    <col min="4" max="4" width="35.85546875" bestFit="1" customWidth="1"/>
  </cols>
  <sheetData>
    <row r="1" spans="1:4" ht="15.75" x14ac:dyDescent="0.25">
      <c r="A1" s="29" t="s">
        <v>0</v>
      </c>
      <c r="B1" s="29" t="s">
        <v>2542</v>
      </c>
      <c r="C1" s="29" t="s">
        <v>2081</v>
      </c>
      <c r="D1" s="29" t="s">
        <v>2118</v>
      </c>
    </row>
    <row r="2" spans="1:4" x14ac:dyDescent="0.25">
      <c r="A2" s="32" t="s">
        <v>32</v>
      </c>
      <c r="B2" s="32" t="s">
        <v>2542</v>
      </c>
      <c r="C2" t="s">
        <v>2541</v>
      </c>
      <c r="D2">
        <v>1</v>
      </c>
    </row>
    <row r="3" spans="1:4" x14ac:dyDescent="0.25">
      <c r="A3" s="32" t="s">
        <v>82</v>
      </c>
      <c r="B3" s="32" t="s">
        <v>2542</v>
      </c>
      <c r="C3" t="s">
        <v>2541</v>
      </c>
      <c r="D3">
        <v>1</v>
      </c>
    </row>
    <row r="4" spans="1:4" x14ac:dyDescent="0.25">
      <c r="A4" s="32" t="s">
        <v>89</v>
      </c>
      <c r="B4" s="32" t="s">
        <v>2542</v>
      </c>
      <c r="C4" t="s">
        <v>2541</v>
      </c>
      <c r="D4">
        <v>1</v>
      </c>
    </row>
    <row r="5" spans="1:4" x14ac:dyDescent="0.25">
      <c r="A5" s="32" t="s">
        <v>57</v>
      </c>
      <c r="B5" s="32" t="s">
        <v>2542</v>
      </c>
      <c r="C5" t="s">
        <v>2544</v>
      </c>
      <c r="D5">
        <v>2</v>
      </c>
    </row>
    <row r="6" spans="1:4" x14ac:dyDescent="0.25">
      <c r="A6" s="32" t="s">
        <v>66</v>
      </c>
      <c r="B6" s="32" t="s">
        <v>2542</v>
      </c>
      <c r="C6" t="s">
        <v>2545</v>
      </c>
      <c r="D6">
        <v>2</v>
      </c>
    </row>
    <row r="7" spans="1:4" x14ac:dyDescent="0.25">
      <c r="A7" s="32" t="s">
        <v>120</v>
      </c>
      <c r="B7" s="32" t="s">
        <v>2542</v>
      </c>
      <c r="C7" t="s">
        <v>2546</v>
      </c>
      <c r="D7">
        <v>2</v>
      </c>
    </row>
    <row r="8" spans="1:4" x14ac:dyDescent="0.25">
      <c r="A8" s="32" t="s">
        <v>152</v>
      </c>
      <c r="B8" s="32" t="s">
        <v>2542</v>
      </c>
      <c r="C8" t="s">
        <v>502</v>
      </c>
      <c r="D8">
        <v>1</v>
      </c>
    </row>
    <row r="9" spans="1:4" x14ac:dyDescent="0.25">
      <c r="A9" s="32" t="s">
        <v>173</v>
      </c>
      <c r="B9" s="32" t="s">
        <v>2542</v>
      </c>
      <c r="C9" t="s">
        <v>502</v>
      </c>
      <c r="D9">
        <v>1</v>
      </c>
    </row>
    <row r="10" spans="1:4" x14ac:dyDescent="0.25">
      <c r="A10" s="32" t="s">
        <v>187</v>
      </c>
      <c r="B10" s="32" t="s">
        <v>2542</v>
      </c>
      <c r="C10" t="s">
        <v>502</v>
      </c>
      <c r="D10">
        <v>1</v>
      </c>
    </row>
    <row r="11" spans="1:4" x14ac:dyDescent="0.25">
      <c r="A11" s="32" t="s">
        <v>166</v>
      </c>
      <c r="B11" s="32" t="s">
        <v>2542</v>
      </c>
      <c r="C11" t="s">
        <v>2548</v>
      </c>
      <c r="D11">
        <v>3</v>
      </c>
    </row>
    <row r="12" spans="1:4" x14ac:dyDescent="0.25">
      <c r="A12" s="32" t="s">
        <v>153</v>
      </c>
      <c r="B12" s="32" t="s">
        <v>2542</v>
      </c>
      <c r="C12" t="s">
        <v>2547</v>
      </c>
      <c r="D12">
        <v>2</v>
      </c>
    </row>
    <row r="13" spans="1:4" x14ac:dyDescent="0.25">
      <c r="A13" s="32" t="s">
        <v>74</v>
      </c>
      <c r="B13" s="32" t="s">
        <v>2542</v>
      </c>
      <c r="C13" t="s">
        <v>2540</v>
      </c>
      <c r="D13">
        <v>1</v>
      </c>
    </row>
    <row r="14" spans="1:4" x14ac:dyDescent="0.25">
      <c r="A14" s="32" t="s">
        <v>60</v>
      </c>
      <c r="B14" s="32" t="s">
        <v>2542</v>
      </c>
      <c r="C14" t="s">
        <v>493</v>
      </c>
      <c r="D14">
        <v>1</v>
      </c>
    </row>
    <row r="15" spans="1:4" x14ac:dyDescent="0.25">
      <c r="A15" s="32" t="s">
        <v>26</v>
      </c>
      <c r="B15" s="32" t="s">
        <v>2542</v>
      </c>
      <c r="C15" t="s">
        <v>2543</v>
      </c>
      <c r="D15">
        <v>4</v>
      </c>
    </row>
  </sheetData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H153"/>
  <sheetViews>
    <sheetView workbookViewId="0">
      <selection sqref="A1:ACH153"/>
    </sheetView>
  </sheetViews>
  <sheetFormatPr defaultColWidth="9.140625" defaultRowHeight="15" x14ac:dyDescent="0.25"/>
  <cols>
    <col min="1" max="1" width="25" bestFit="1" customWidth="1"/>
    <col min="4" max="5" width="10.7109375" customWidth="1"/>
    <col min="8" max="10" width="10.7109375" customWidth="1"/>
    <col min="12" max="12" width="10.7109375" customWidth="1"/>
    <col min="14" max="15" width="10.7109375" customWidth="1"/>
    <col min="27" max="27" width="12.85546875" customWidth="1"/>
    <col min="28" max="28" width="11.5703125" customWidth="1"/>
    <col min="29" max="29" width="11.42578125" customWidth="1"/>
    <col min="30" max="30" width="13.5703125" customWidth="1"/>
    <col min="31" max="31" width="11.42578125" customWidth="1"/>
    <col min="32" max="32" width="13.5703125" customWidth="1"/>
    <col min="33" max="34" width="11" customWidth="1"/>
    <col min="35" max="36" width="13.5703125" customWidth="1"/>
    <col min="37" max="41" width="11" customWidth="1"/>
    <col min="42" max="48" width="12" customWidth="1"/>
    <col min="49" max="50" width="10.85546875" customWidth="1"/>
    <col min="51" max="51" width="12" customWidth="1"/>
    <col min="52" max="52" width="10.85546875" customWidth="1"/>
    <col min="53" max="53" width="12" customWidth="1"/>
    <col min="54" max="54" width="15.7109375" customWidth="1"/>
    <col min="55" max="55" width="13.85546875" customWidth="1"/>
    <col min="56" max="56" width="11.7109375" customWidth="1"/>
    <col min="58" max="58" width="11.7109375" customWidth="1"/>
    <col min="61" max="63" width="11.7109375" customWidth="1"/>
    <col min="69" max="81" width="10.140625" customWidth="1"/>
    <col min="82" max="82" width="13.85546875" customWidth="1"/>
    <col min="84" max="87" width="15.5703125" customWidth="1"/>
    <col min="88" max="89" width="18.140625" customWidth="1"/>
    <col min="90" max="92" width="15.5703125" customWidth="1"/>
    <col min="93" max="95" width="16.5703125" customWidth="1"/>
    <col min="96" max="96" width="10.85546875" customWidth="1"/>
    <col min="97" max="98" width="11" customWidth="1"/>
    <col min="99" max="99" width="13" customWidth="1"/>
    <col min="100" max="101" width="10" customWidth="1"/>
    <col min="102" max="102" width="9.42578125" customWidth="1"/>
    <col min="103" max="103" width="10" customWidth="1"/>
    <col min="104" max="104" width="10.42578125" customWidth="1"/>
    <col min="105" max="105" width="11.140625" customWidth="1"/>
    <col min="106" max="107" width="11.42578125" customWidth="1"/>
    <col min="108" max="108" width="16.5703125" customWidth="1"/>
    <col min="109" max="109" width="18.7109375" customWidth="1"/>
    <col min="110" max="110" width="16.140625" customWidth="1"/>
    <col min="111" max="112" width="18.7109375" customWidth="1"/>
    <col min="113" max="113" width="16.140625" customWidth="1"/>
    <col min="114" max="114" width="18.7109375" customWidth="1"/>
    <col min="115" max="115" width="16.140625" customWidth="1"/>
    <col min="116" max="118" width="18.7109375" customWidth="1"/>
    <col min="119" max="119" width="16.140625" customWidth="1"/>
    <col min="120" max="120" width="18.7109375" customWidth="1"/>
    <col min="121" max="121" width="16.140625" customWidth="1"/>
    <col min="122" max="123" width="18.7109375" customWidth="1"/>
    <col min="124" max="126" width="16.140625" customWidth="1"/>
    <col min="127" max="135" width="17.140625" customWidth="1"/>
    <col min="136" max="136" width="10.28515625" customWidth="1"/>
    <col min="137" max="139" width="12.42578125" customWidth="1"/>
    <col min="140" max="140" width="9.85546875" customWidth="1"/>
    <col min="141" max="142" width="12.42578125" customWidth="1"/>
    <col min="143" max="144" width="9.85546875" customWidth="1"/>
    <col min="145" max="147" width="12.42578125" customWidth="1"/>
    <col min="148" max="148" width="9.85546875" customWidth="1"/>
    <col min="149" max="149" width="12.42578125" customWidth="1"/>
    <col min="150" max="150" width="9.85546875" customWidth="1"/>
    <col min="151" max="152" width="12.42578125" customWidth="1"/>
    <col min="153" max="155" width="9.85546875" customWidth="1"/>
    <col min="156" max="175" width="10.85546875" customWidth="1"/>
    <col min="176" max="176" width="10.28515625" customWidth="1"/>
    <col min="177" max="181" width="10.85546875" customWidth="1"/>
    <col min="182" max="182" width="18.140625" customWidth="1"/>
    <col min="183" max="185" width="10.85546875" customWidth="1"/>
    <col min="186" max="187" width="12.5703125" customWidth="1"/>
    <col min="188" max="190" width="13.5703125" customWidth="1"/>
    <col min="191" max="193" width="12.5703125" customWidth="1"/>
    <col min="194" max="194" width="13.5703125" customWidth="1"/>
    <col min="195" max="197" width="14.5703125" customWidth="1"/>
    <col min="198" max="199" width="13.5703125" customWidth="1"/>
    <col min="200" max="201" width="14.42578125" customWidth="1"/>
    <col min="202" max="202" width="20.5703125" customWidth="1"/>
    <col min="203" max="203" width="9.5703125" customWidth="1"/>
    <col min="204" max="205" width="12.140625" customWidth="1"/>
    <col min="206" max="206" width="9.5703125" customWidth="1"/>
    <col min="207" max="208" width="12.140625" customWidth="1"/>
    <col min="209" max="210" width="9.5703125" customWidth="1"/>
    <col min="211" max="213" width="12.140625" customWidth="1"/>
    <col min="214" max="214" width="9.5703125" customWidth="1"/>
    <col min="215" max="215" width="12.140625" customWidth="1"/>
    <col min="216" max="216" width="9.5703125" customWidth="1"/>
    <col min="217" max="218" width="12.140625" customWidth="1"/>
    <col min="219" max="221" width="9.5703125" customWidth="1"/>
    <col min="222" max="250" width="10.5703125" customWidth="1"/>
    <col min="251" max="252" width="12.28515625" customWidth="1"/>
    <col min="253" max="255" width="13.28515625" customWidth="1"/>
    <col min="256" max="256" width="12.28515625" customWidth="1"/>
    <col min="257" max="259" width="13.28515625" customWidth="1"/>
    <col min="260" max="262" width="14.28515625" customWidth="1"/>
    <col min="263" max="263" width="14.140625" customWidth="1"/>
    <col min="264" max="266" width="13.28515625" customWidth="1"/>
    <col min="267" max="267" width="20.28515625" customWidth="1"/>
    <col min="268" max="268" width="10.28515625" customWidth="1"/>
    <col min="269" max="269" width="12.42578125" customWidth="1"/>
    <col min="270" max="270" width="9.85546875" customWidth="1"/>
    <col min="271" max="271" width="12.42578125" customWidth="1"/>
    <col min="272" max="273" width="9.85546875" customWidth="1"/>
    <col min="274" max="276" width="12.42578125" customWidth="1"/>
    <col min="277" max="277" width="9.85546875" customWidth="1"/>
    <col min="278" max="278" width="12.42578125" customWidth="1"/>
    <col min="279" max="279" width="9.85546875" customWidth="1"/>
    <col min="280" max="281" width="12.42578125" customWidth="1"/>
    <col min="282" max="284" width="9.85546875" customWidth="1"/>
    <col min="285" max="313" width="10.85546875" customWidth="1"/>
    <col min="314" max="315" width="12.5703125" customWidth="1"/>
    <col min="316" max="318" width="13.5703125" customWidth="1"/>
    <col min="319" max="319" width="12.5703125" customWidth="1"/>
    <col min="320" max="322" width="13.5703125" customWidth="1"/>
    <col min="323" max="324" width="14.5703125" customWidth="1"/>
    <col min="325" max="325" width="10.42578125" customWidth="1"/>
    <col min="326" max="326" width="14.5703125" customWidth="1"/>
    <col min="327" max="330" width="13.5703125" customWidth="1"/>
    <col min="331" max="331" width="20.140625" customWidth="1"/>
    <col min="332" max="332" width="9.85546875" customWidth="1"/>
    <col min="333" max="334" width="12" customWidth="1"/>
    <col min="335" max="335" width="9.42578125" customWidth="1"/>
    <col min="336" max="337" width="12" customWidth="1"/>
    <col min="338" max="339" width="9.42578125" customWidth="1"/>
    <col min="340" max="342" width="12" customWidth="1"/>
    <col min="343" max="343" width="9.42578125" customWidth="1"/>
    <col min="344" max="344" width="12" customWidth="1"/>
    <col min="345" max="345" width="9.42578125" customWidth="1"/>
    <col min="346" max="347" width="12" customWidth="1"/>
    <col min="348" max="349" width="9.42578125" customWidth="1"/>
    <col min="350" max="359" width="10.42578125" customWidth="1"/>
    <col min="360" max="361" width="9.28515625" customWidth="1"/>
    <col min="362" max="370" width="10.42578125" customWidth="1"/>
    <col min="371" max="371" width="14.140625" customWidth="1"/>
    <col min="372" max="373" width="13.140625" customWidth="1"/>
    <col min="374" max="374" width="18.28515625" customWidth="1"/>
    <col min="375" max="376" width="17.85546875" customWidth="1"/>
    <col min="377" max="377" width="22.5703125" customWidth="1"/>
    <col min="378" max="378" width="21.5703125" customWidth="1"/>
    <col min="379" max="379" width="14" customWidth="1"/>
    <col min="380" max="380" width="13.5703125" customWidth="1"/>
    <col min="381" max="381" width="16.140625" customWidth="1"/>
    <col min="382" max="382" width="14.5703125" customWidth="1"/>
    <col min="383" max="384" width="16.140625" customWidth="1"/>
    <col min="385" max="385" width="14.140625" customWidth="1"/>
    <col min="386" max="386" width="16.140625" customWidth="1"/>
    <col min="387" max="387" width="14.140625" customWidth="1"/>
    <col min="388" max="389" width="16.7109375" customWidth="1"/>
    <col min="390" max="390" width="16.140625" customWidth="1"/>
    <col min="391" max="391" width="14.140625" customWidth="1"/>
    <col min="392" max="392" width="16.7109375" customWidth="1"/>
    <col min="393" max="393" width="14.140625" customWidth="1"/>
    <col min="394" max="394" width="16.140625" customWidth="1"/>
    <col min="395" max="395" width="16.7109375" customWidth="1"/>
    <col min="396" max="396" width="13.5703125" customWidth="1"/>
    <col min="397" max="398" width="14.140625" customWidth="1"/>
    <col min="399" max="400" width="15.140625" customWidth="1"/>
    <col min="401" max="411" width="14.5703125" customWidth="1"/>
    <col min="412" max="412" width="13.42578125" customWidth="1"/>
    <col min="413" max="414" width="15.140625" customWidth="1"/>
    <col min="415" max="415" width="14.5703125" customWidth="1"/>
    <col min="416" max="419" width="15.140625" customWidth="1"/>
    <col min="420" max="420" width="14.5703125" customWidth="1"/>
    <col min="421" max="421" width="15.140625" customWidth="1"/>
    <col min="422" max="422" width="14.5703125" customWidth="1"/>
    <col min="423" max="423" width="16.28515625" customWidth="1"/>
    <col min="424" max="426" width="17.28515625" customWidth="1"/>
    <col min="427" max="427" width="16.28515625" customWidth="1"/>
    <col min="428" max="430" width="17.28515625" customWidth="1"/>
    <col min="431" max="432" width="18.28515625" customWidth="1"/>
    <col min="433" max="433" width="14.140625" customWidth="1"/>
    <col min="434" max="436" width="17.28515625" customWidth="1"/>
    <col min="437" max="437" width="11.28515625" customWidth="1"/>
    <col min="438" max="439" width="13.42578125" customWidth="1"/>
    <col min="440" max="440" width="10.85546875" customWidth="1"/>
    <col min="441" max="441" width="13.42578125" customWidth="1"/>
    <col min="442" max="444" width="10.85546875" customWidth="1"/>
    <col min="445" max="446" width="11.85546875" customWidth="1"/>
    <col min="447" max="447" width="13.5703125" customWidth="1"/>
    <col min="448" max="449" width="14.5703125" customWidth="1"/>
    <col min="450" max="451" width="15.5703125" customWidth="1"/>
    <col min="452" max="452" width="15.7109375" customWidth="1"/>
    <col min="454" max="455" width="11" customWidth="1"/>
    <col min="457" max="458" width="11" customWidth="1"/>
    <col min="461" max="463" width="11" customWidth="1"/>
    <col min="465" max="465" width="11" customWidth="1"/>
    <col min="467" max="468" width="11" customWidth="1"/>
    <col min="472" max="497" width="9.42578125" customWidth="1"/>
    <col min="498" max="498" width="11.140625" customWidth="1"/>
    <col min="499" max="501" width="12.140625" customWidth="1"/>
    <col min="502" max="502" width="11.140625" customWidth="1"/>
    <col min="503" max="505" width="12.140625" customWidth="1"/>
    <col min="506" max="508" width="13.140625" customWidth="1"/>
    <col min="509" max="512" width="12.140625" customWidth="1"/>
    <col min="513" max="513" width="19.140625" customWidth="1"/>
    <col min="514" max="514" width="19.7109375" customWidth="1"/>
    <col min="515" max="515" width="21.85546875" customWidth="1"/>
    <col min="516" max="516" width="19.28515625" customWidth="1"/>
    <col min="517" max="518" width="21.85546875" customWidth="1"/>
    <col min="519" max="522" width="19.28515625" customWidth="1"/>
    <col min="523" max="523" width="21.85546875" customWidth="1"/>
    <col min="524" max="524" width="20.28515625" customWidth="1"/>
    <col min="525" max="526" width="21.85546875" customWidth="1"/>
    <col min="527" max="528" width="19.28515625" customWidth="1"/>
    <col min="529" max="532" width="20.28515625" customWidth="1"/>
    <col min="533" max="533" width="19.140625" customWidth="1"/>
    <col min="534" max="535" width="20.28515625" customWidth="1"/>
    <col min="536" max="537" width="19.140625" customWidth="1"/>
    <col min="538" max="538" width="23" customWidth="1"/>
    <col min="539" max="539" width="22" customWidth="1"/>
    <col min="540" max="542" width="23" customWidth="1"/>
    <col min="543" max="543" width="24" customWidth="1"/>
    <col min="544" max="544" width="14.5703125" customWidth="1"/>
    <col min="545" max="545" width="16.7109375" customWidth="1"/>
    <col min="546" max="546" width="14.140625" customWidth="1"/>
    <col min="547" max="548" width="16.7109375" customWidth="1"/>
    <col min="549" max="550" width="14.140625" customWidth="1"/>
    <col min="551" max="553" width="16.7109375" customWidth="1"/>
    <col min="554" max="554" width="14.140625" customWidth="1"/>
    <col min="555" max="555" width="16.7109375" customWidth="1"/>
    <col min="556" max="556" width="14.140625" customWidth="1"/>
    <col min="557" max="558" width="16.7109375" customWidth="1"/>
    <col min="559" max="561" width="14.140625" customWidth="1"/>
    <col min="562" max="570" width="15.140625" customWidth="1"/>
    <col min="571" max="571" width="18.85546875" customWidth="1"/>
    <col min="572" max="572" width="9.5703125" customWidth="1"/>
    <col min="573" max="573" width="11.7109375" customWidth="1"/>
    <col min="575" max="575" width="11.7109375" customWidth="1"/>
    <col min="578" max="580" width="11.7109375" customWidth="1"/>
    <col min="585" max="591" width="10.140625" customWidth="1"/>
    <col min="592" max="593" width="13.5703125" customWidth="1"/>
    <col min="594" max="595" width="16.140625" customWidth="1"/>
    <col min="596" max="597" width="13.5703125" customWidth="1"/>
    <col min="598" max="600" width="16.140625" customWidth="1"/>
    <col min="601" max="601" width="13.5703125" customWidth="1"/>
    <col min="602" max="602" width="16.140625" customWidth="1"/>
    <col min="603" max="603" width="13.5703125" customWidth="1"/>
    <col min="604" max="605" width="16.140625" customWidth="1"/>
    <col min="606" max="607" width="13.5703125" customWidth="1"/>
    <col min="608" max="612" width="14.5703125" customWidth="1"/>
    <col min="613" max="613" width="12.42578125" customWidth="1"/>
    <col min="614" max="614" width="14.140625" customWidth="1"/>
    <col min="615" max="615" width="11.5703125" customWidth="1"/>
    <col min="616" max="617" width="14.140625" customWidth="1"/>
    <col min="618" max="619" width="11.5703125" customWidth="1"/>
    <col min="620" max="622" width="14.140625" customWidth="1"/>
    <col min="623" max="623" width="11.5703125" customWidth="1"/>
    <col min="624" max="624" width="14.140625" customWidth="1"/>
    <col min="625" max="625" width="11.5703125" customWidth="1"/>
    <col min="626" max="627" width="14.140625" customWidth="1"/>
    <col min="628" max="628" width="11.5703125" customWidth="1"/>
    <col min="629" max="631" width="12.5703125" customWidth="1"/>
    <col min="632" max="632" width="9.85546875" customWidth="1"/>
    <col min="633" max="633" width="12" customWidth="1"/>
    <col min="634" max="636" width="9.42578125" customWidth="1"/>
    <col min="637" max="639" width="12" customWidth="1"/>
    <col min="640" max="644" width="9.42578125" customWidth="1"/>
    <col min="645" max="647" width="10.42578125" customWidth="1"/>
    <col min="648" max="648" width="14.140625" customWidth="1"/>
    <col min="649" max="650" width="13.140625" customWidth="1"/>
    <col min="651" max="651" width="9.5703125" customWidth="1"/>
    <col min="655" max="655" width="10.140625" customWidth="1"/>
    <col min="656" max="656" width="14.7109375" customWidth="1"/>
    <col min="657" max="657" width="14.28515625" customWidth="1"/>
    <col min="658" max="659" width="16.85546875" customWidth="1"/>
    <col min="660" max="661" width="14.28515625" customWidth="1"/>
    <col min="662" max="664" width="16.85546875" customWidth="1"/>
    <col min="665" max="665" width="14.28515625" customWidth="1"/>
    <col min="666" max="666" width="16.85546875" customWidth="1"/>
    <col min="667" max="667" width="14.28515625" customWidth="1"/>
    <col min="668" max="669" width="16.85546875" customWidth="1"/>
    <col min="670" max="670" width="14.28515625" customWidth="1"/>
    <col min="671" max="676" width="15.28515625" customWidth="1"/>
    <col min="677" max="677" width="18.85546875" customWidth="1"/>
    <col min="678" max="678" width="21.42578125" customWidth="1"/>
    <col min="679" max="679" width="18.85546875" customWidth="1"/>
    <col min="680" max="681" width="21.42578125" customWidth="1"/>
    <col min="682" max="682" width="18.85546875" customWidth="1"/>
    <col min="683" max="683" width="21.42578125" customWidth="1"/>
    <col min="684" max="685" width="18.85546875" customWidth="1"/>
    <col min="686" max="686" width="21.42578125" customWidth="1"/>
    <col min="687" max="687" width="18.85546875" customWidth="1"/>
    <col min="688" max="689" width="21.42578125" customWidth="1"/>
    <col min="690" max="692" width="18.85546875" customWidth="1"/>
    <col min="693" max="698" width="19.85546875" customWidth="1"/>
    <col min="699" max="699" width="11.7109375" customWidth="1"/>
    <col min="700" max="702" width="11.28515625" customWidth="1"/>
    <col min="703" max="708" width="9.7109375" customWidth="1"/>
    <col min="709" max="709" width="9.42578125" customWidth="1"/>
    <col min="710" max="710" width="10" customWidth="1"/>
    <col min="711" max="711" width="13.7109375" customWidth="1"/>
    <col min="712" max="712" width="26.42578125" customWidth="1"/>
    <col min="713" max="713" width="14" customWidth="1"/>
    <col min="714" max="714" width="16.140625" customWidth="1"/>
    <col min="715" max="717" width="13.5703125" customWidth="1"/>
    <col min="718" max="719" width="16.140625" customWidth="1"/>
    <col min="720" max="721" width="14.5703125" customWidth="1"/>
    <col min="722" max="723" width="15.140625" customWidth="1"/>
    <col min="724" max="724" width="12.5703125" customWidth="1"/>
    <col min="725" max="725" width="14.5703125" customWidth="1"/>
    <col min="726" max="726" width="15.42578125" customWidth="1"/>
    <col min="727" max="728" width="15" customWidth="1"/>
    <col min="729" max="730" width="16" customWidth="1"/>
    <col min="731" max="735" width="16.28515625" customWidth="1"/>
    <col min="736" max="736" width="17.28515625" customWidth="1"/>
    <col min="737" max="737" width="19" customWidth="1"/>
    <col min="738" max="739" width="20" customWidth="1"/>
    <col min="740" max="741" width="21" customWidth="1"/>
    <col min="742" max="742" width="19.28515625" customWidth="1"/>
    <col min="743" max="743" width="19.85546875" customWidth="1"/>
    <col min="744" max="745" width="22.42578125" customWidth="1"/>
    <col min="746" max="747" width="19.85546875" customWidth="1"/>
    <col min="748" max="750" width="22.42578125" customWidth="1"/>
    <col min="751" max="751" width="19.85546875" customWidth="1"/>
    <col min="752" max="752" width="22.42578125" customWidth="1"/>
    <col min="753" max="753" width="19.85546875" customWidth="1"/>
    <col min="754" max="755" width="22.42578125" customWidth="1"/>
    <col min="756" max="756" width="19.85546875" customWidth="1"/>
    <col min="757" max="757" width="29.28515625" customWidth="1"/>
    <col min="758" max="758" width="22.5703125" customWidth="1"/>
    <col min="759" max="760" width="23.5703125" customWidth="1"/>
    <col min="761" max="762" width="24.5703125" customWidth="1"/>
  </cols>
  <sheetData>
    <row r="1" spans="1:762" x14ac:dyDescent="0.25">
      <c r="A1" s="57" t="s">
        <v>0</v>
      </c>
      <c r="B1" s="58" t="s">
        <v>2067</v>
      </c>
      <c r="C1" s="58" t="s">
        <v>389</v>
      </c>
      <c r="D1" s="58" t="s">
        <v>1752</v>
      </c>
      <c r="E1" s="58" t="s">
        <v>1751</v>
      </c>
      <c r="F1" s="58" t="s">
        <v>336</v>
      </c>
      <c r="G1" s="58" t="s">
        <v>838</v>
      </c>
      <c r="H1" s="58" t="s">
        <v>1753</v>
      </c>
      <c r="I1" s="58" t="s">
        <v>1754</v>
      </c>
      <c r="J1" s="58" t="s">
        <v>1755</v>
      </c>
      <c r="K1" s="58" t="s">
        <v>904</v>
      </c>
      <c r="L1" s="58" t="s">
        <v>1756</v>
      </c>
      <c r="M1" s="58" t="s">
        <v>390</v>
      </c>
      <c r="N1" s="58" t="s">
        <v>1757</v>
      </c>
      <c r="O1" s="58" t="s">
        <v>1758</v>
      </c>
      <c r="P1" s="58" t="s">
        <v>391</v>
      </c>
      <c r="Q1" s="58" t="s">
        <v>392</v>
      </c>
      <c r="R1" s="58" t="s">
        <v>393</v>
      </c>
      <c r="S1" s="58" t="s">
        <v>601</v>
      </c>
      <c r="T1" s="58" t="s">
        <v>620</v>
      </c>
      <c r="U1" s="58" t="s">
        <v>677</v>
      </c>
      <c r="V1" s="58" t="s">
        <v>678</v>
      </c>
      <c r="W1" s="58" t="s">
        <v>679</v>
      </c>
      <c r="X1" s="58" t="s">
        <v>680</v>
      </c>
      <c r="Y1" s="58" t="s">
        <v>681</v>
      </c>
      <c r="Z1" s="58" t="s">
        <v>1055</v>
      </c>
      <c r="AA1" s="58" t="s">
        <v>797</v>
      </c>
      <c r="AB1" s="58" t="s">
        <v>798</v>
      </c>
      <c r="AC1" s="58" t="s">
        <v>2082</v>
      </c>
      <c r="AD1" s="58" t="s">
        <v>1759</v>
      </c>
      <c r="AE1" s="58" t="s">
        <v>766</v>
      </c>
      <c r="AF1" s="58" t="s">
        <v>1761</v>
      </c>
      <c r="AG1" s="58" t="s">
        <v>339</v>
      </c>
      <c r="AH1" s="58" t="s">
        <v>565</v>
      </c>
      <c r="AI1" s="58" t="s">
        <v>1762</v>
      </c>
      <c r="AJ1" s="58" t="s">
        <v>1763</v>
      </c>
      <c r="AK1" s="58" t="s">
        <v>860</v>
      </c>
      <c r="AL1" s="58" t="s">
        <v>340</v>
      </c>
      <c r="AM1" s="58" t="s">
        <v>846</v>
      </c>
      <c r="AN1" s="58" t="s">
        <v>655</v>
      </c>
      <c r="AO1" s="58" t="s">
        <v>872</v>
      </c>
      <c r="AP1" s="58" t="s">
        <v>873</v>
      </c>
      <c r="AQ1" s="58" t="s">
        <v>588</v>
      </c>
      <c r="AR1" s="58" t="s">
        <v>603</v>
      </c>
      <c r="AS1" s="58" t="s">
        <v>622</v>
      </c>
      <c r="AT1" s="58" t="s">
        <v>874</v>
      </c>
      <c r="AU1" s="58" t="s">
        <v>697</v>
      </c>
      <c r="AV1" s="58" t="s">
        <v>629</v>
      </c>
      <c r="AW1" s="58" t="s">
        <v>698</v>
      </c>
      <c r="AX1" s="58" t="s">
        <v>699</v>
      </c>
      <c r="AY1" s="58" t="s">
        <v>1037</v>
      </c>
      <c r="AZ1" s="58" t="s">
        <v>700</v>
      </c>
      <c r="BA1" s="58" t="s">
        <v>1038</v>
      </c>
      <c r="BB1" s="58" t="s">
        <v>800</v>
      </c>
      <c r="BC1" s="59" t="s">
        <v>344</v>
      </c>
      <c r="BD1" s="59" t="s">
        <v>1742</v>
      </c>
      <c r="BE1" s="59" t="s">
        <v>767</v>
      </c>
      <c r="BF1" s="59" t="s">
        <v>1745</v>
      </c>
      <c r="BG1" s="59" t="s">
        <v>342</v>
      </c>
      <c r="BH1" s="59" t="s">
        <v>568</v>
      </c>
      <c r="BI1" s="59" t="s">
        <v>1746</v>
      </c>
      <c r="BJ1" s="59" t="s">
        <v>1747</v>
      </c>
      <c r="BK1" s="59" t="s">
        <v>1748</v>
      </c>
      <c r="BL1" s="59" t="s">
        <v>861</v>
      </c>
      <c r="BM1" s="59" t="s">
        <v>343</v>
      </c>
      <c r="BN1" s="59" t="s">
        <v>418</v>
      </c>
      <c r="BO1" s="59" t="s">
        <v>419</v>
      </c>
      <c r="BP1" s="59" t="s">
        <v>420</v>
      </c>
      <c r="BQ1" s="59" t="s">
        <v>421</v>
      </c>
      <c r="BR1" s="59" t="s">
        <v>875</v>
      </c>
      <c r="BS1" s="59" t="s">
        <v>589</v>
      </c>
      <c r="BT1" s="59" t="s">
        <v>604</v>
      </c>
      <c r="BU1" s="59" t="s">
        <v>625</v>
      </c>
      <c r="BV1" s="59" t="s">
        <v>788</v>
      </c>
      <c r="BW1" s="59" t="s">
        <v>690</v>
      </c>
      <c r="BX1" s="59" t="s">
        <v>691</v>
      </c>
      <c r="BY1" s="59" t="s">
        <v>692</v>
      </c>
      <c r="BZ1" s="59" t="s">
        <v>693</v>
      </c>
      <c r="CA1" s="59" t="s">
        <v>701</v>
      </c>
      <c r="CB1" s="59" t="s">
        <v>694</v>
      </c>
      <c r="CC1" s="59" t="s">
        <v>1039</v>
      </c>
      <c r="CD1" s="59" t="s">
        <v>801</v>
      </c>
      <c r="CE1" s="58" t="s">
        <v>347</v>
      </c>
      <c r="CF1" s="58" t="s">
        <v>2119</v>
      </c>
      <c r="CG1" s="58" t="s">
        <v>768</v>
      </c>
      <c r="CH1" s="58" t="s">
        <v>569</v>
      </c>
      <c r="CI1" s="58" t="s">
        <v>570</v>
      </c>
      <c r="CJ1" s="58" t="s">
        <v>1749</v>
      </c>
      <c r="CK1" s="58" t="s">
        <v>1750</v>
      </c>
      <c r="CL1" s="58" t="s">
        <v>905</v>
      </c>
      <c r="CM1" s="58" t="s">
        <v>710</v>
      </c>
      <c r="CN1" s="58" t="s">
        <v>484</v>
      </c>
      <c r="CO1" s="58" t="s">
        <v>592</v>
      </c>
      <c r="CP1" s="58" t="s">
        <v>605</v>
      </c>
      <c r="CQ1" s="58" t="s">
        <v>624</v>
      </c>
      <c r="CR1" s="57" t="s">
        <v>348</v>
      </c>
      <c r="CS1" s="58" t="s">
        <v>2125</v>
      </c>
      <c r="CT1" s="58" t="s">
        <v>2126</v>
      </c>
      <c r="CU1" s="58" t="s">
        <v>1765</v>
      </c>
      <c r="CV1" s="58" t="s">
        <v>769</v>
      </c>
      <c r="CW1" s="58" t="s">
        <v>1024</v>
      </c>
      <c r="CX1" s="58" t="s">
        <v>862</v>
      </c>
      <c r="CY1" s="58" t="s">
        <v>863</v>
      </c>
      <c r="CZ1" s="58" t="s">
        <v>702</v>
      </c>
      <c r="DA1" s="58" t="s">
        <v>717</v>
      </c>
      <c r="DB1" s="58" t="s">
        <v>1040</v>
      </c>
      <c r="DC1" s="58" t="s">
        <v>1041</v>
      </c>
      <c r="DD1" s="58" t="s">
        <v>2131</v>
      </c>
      <c r="DE1" s="58" t="s">
        <v>1766</v>
      </c>
      <c r="DF1" s="58" t="s">
        <v>499</v>
      </c>
      <c r="DG1" s="58" t="s">
        <v>1767</v>
      </c>
      <c r="DH1" s="58" t="s">
        <v>1768</v>
      </c>
      <c r="DI1" s="58" t="s">
        <v>560</v>
      </c>
      <c r="DJ1" s="58" t="s">
        <v>1769</v>
      </c>
      <c r="DK1" s="58" t="s">
        <v>571</v>
      </c>
      <c r="DL1" s="58" t="s">
        <v>1770</v>
      </c>
      <c r="DM1" s="58" t="s">
        <v>1771</v>
      </c>
      <c r="DN1" s="58" t="s">
        <v>1772</v>
      </c>
      <c r="DO1" s="58" t="s">
        <v>352</v>
      </c>
      <c r="DP1" s="58" t="s">
        <v>1773</v>
      </c>
      <c r="DQ1" s="58" t="s">
        <v>770</v>
      </c>
      <c r="DR1" s="58" t="s">
        <v>1774</v>
      </c>
      <c r="DS1" s="58" t="s">
        <v>1775</v>
      </c>
      <c r="DT1" s="58" t="s">
        <v>586</v>
      </c>
      <c r="DU1" s="58" t="s">
        <v>789</v>
      </c>
      <c r="DV1" s="58" t="s">
        <v>876</v>
      </c>
      <c r="DW1" s="58" t="s">
        <v>877</v>
      </c>
      <c r="DX1" s="58" t="s">
        <v>878</v>
      </c>
      <c r="DY1" s="58" t="s">
        <v>611</v>
      </c>
      <c r="DZ1" s="58" t="s">
        <v>626</v>
      </c>
      <c r="EA1" s="58" t="s">
        <v>1060</v>
      </c>
      <c r="EB1" s="58" t="s">
        <v>1062</v>
      </c>
      <c r="EC1" s="58" t="s">
        <v>2132</v>
      </c>
      <c r="ED1" s="58" t="s">
        <v>790</v>
      </c>
      <c r="EE1" s="58" t="s">
        <v>724</v>
      </c>
      <c r="EF1" s="57" t="s">
        <v>2147</v>
      </c>
      <c r="EG1" s="58" t="s">
        <v>1776</v>
      </c>
      <c r="EH1" s="58" t="s">
        <v>1777</v>
      </c>
      <c r="EI1" s="58" t="s">
        <v>1778</v>
      </c>
      <c r="EJ1" s="58" t="s">
        <v>656</v>
      </c>
      <c r="EK1" s="58" t="s">
        <v>1781</v>
      </c>
      <c r="EL1" s="58" t="s">
        <v>1782</v>
      </c>
      <c r="EM1" s="58" t="s">
        <v>462</v>
      </c>
      <c r="EN1" s="58" t="s">
        <v>839</v>
      </c>
      <c r="EO1" s="58" t="s">
        <v>1783</v>
      </c>
      <c r="EP1" s="58" t="s">
        <v>1784</v>
      </c>
      <c r="EQ1" s="58" t="s">
        <v>1785</v>
      </c>
      <c r="ER1" s="58" t="s">
        <v>468</v>
      </c>
      <c r="ES1" s="58" t="s">
        <v>1786</v>
      </c>
      <c r="ET1" s="58" t="s">
        <v>864</v>
      </c>
      <c r="EU1" s="58" t="s">
        <v>1787</v>
      </c>
      <c r="EV1" s="58" t="s">
        <v>2187</v>
      </c>
      <c r="EW1" s="58" t="s">
        <v>473</v>
      </c>
      <c r="EX1" s="58" t="s">
        <v>481</v>
      </c>
      <c r="EY1" s="58" t="s">
        <v>422</v>
      </c>
      <c r="EZ1" s="58" t="s">
        <v>423</v>
      </c>
      <c r="FA1" s="58" t="s">
        <v>505</v>
      </c>
      <c r="FB1" s="58" t="s">
        <v>511</v>
      </c>
      <c r="FC1" s="58" t="s">
        <v>598</v>
      </c>
      <c r="FD1" s="58" t="s">
        <v>424</v>
      </c>
      <c r="FE1" s="58" t="s">
        <v>425</v>
      </c>
      <c r="FF1" s="58" t="s">
        <v>426</v>
      </c>
      <c r="FG1" s="58" t="s">
        <v>427</v>
      </c>
      <c r="FH1" s="58" t="s">
        <v>428</v>
      </c>
      <c r="FI1" s="58" t="s">
        <v>429</v>
      </c>
      <c r="FJ1" s="58" t="s">
        <v>430</v>
      </c>
      <c r="FK1" s="58" t="s">
        <v>431</v>
      </c>
      <c r="FL1" s="58" t="s">
        <v>432</v>
      </c>
      <c r="FM1" s="58" t="s">
        <v>433</v>
      </c>
      <c r="FN1" s="58" t="s">
        <v>512</v>
      </c>
      <c r="FO1" s="58" t="s">
        <v>487</v>
      </c>
      <c r="FP1" s="58" t="s">
        <v>495</v>
      </c>
      <c r="FQ1" s="58" t="s">
        <v>434</v>
      </c>
      <c r="FR1" s="58" t="s">
        <v>435</v>
      </c>
      <c r="FS1" s="58" t="s">
        <v>438</v>
      </c>
      <c r="FT1" s="58" t="s">
        <v>1042</v>
      </c>
      <c r="FU1" s="58" t="s">
        <v>738</v>
      </c>
      <c r="FV1" s="58" t="s">
        <v>436</v>
      </c>
      <c r="FW1" s="58" t="s">
        <v>742</v>
      </c>
      <c r="FX1" s="58" t="s">
        <v>750</v>
      </c>
      <c r="FY1" s="58" t="s">
        <v>437</v>
      </c>
      <c r="FZ1" s="58" t="s">
        <v>2148</v>
      </c>
      <c r="GA1" s="58" t="s">
        <v>517</v>
      </c>
      <c r="GB1" s="58" t="s">
        <v>888</v>
      </c>
      <c r="GC1" s="58" t="s">
        <v>518</v>
      </c>
      <c r="GD1" s="58" t="s">
        <v>1051</v>
      </c>
      <c r="GE1" s="58" t="s">
        <v>947</v>
      </c>
      <c r="GF1" s="58" t="s">
        <v>948</v>
      </c>
      <c r="GG1" s="58" t="s">
        <v>949</v>
      </c>
      <c r="GH1" s="58" t="s">
        <v>950</v>
      </c>
      <c r="GI1" s="58" t="s">
        <v>951</v>
      </c>
      <c r="GJ1" s="58" t="s">
        <v>952</v>
      </c>
      <c r="GK1" s="58" t="s">
        <v>953</v>
      </c>
      <c r="GL1" s="58" t="s">
        <v>954</v>
      </c>
      <c r="GM1" s="58" t="s">
        <v>955</v>
      </c>
      <c r="GN1" s="58" t="s">
        <v>956</v>
      </c>
      <c r="GO1" s="58" t="s">
        <v>802</v>
      </c>
      <c r="GP1" s="58" t="s">
        <v>803</v>
      </c>
      <c r="GQ1" s="58" t="s">
        <v>804</v>
      </c>
      <c r="GR1" s="58" t="s">
        <v>2184</v>
      </c>
      <c r="GS1" s="58" t="s">
        <v>2185</v>
      </c>
      <c r="GT1" s="58" t="s">
        <v>2378</v>
      </c>
      <c r="GU1" s="57" t="s">
        <v>2190</v>
      </c>
      <c r="GV1" s="58" t="s">
        <v>1789</v>
      </c>
      <c r="GW1" s="58" t="s">
        <v>1790</v>
      </c>
      <c r="GX1" s="58" t="s">
        <v>637</v>
      </c>
      <c r="GY1" s="58" t="s">
        <v>1794</v>
      </c>
      <c r="GZ1" s="58" t="s">
        <v>2191</v>
      </c>
      <c r="HA1" s="58" t="s">
        <v>463</v>
      </c>
      <c r="HB1" s="58" t="s">
        <v>840</v>
      </c>
      <c r="HC1" s="58" t="s">
        <v>1796</v>
      </c>
      <c r="HD1" s="58" t="s">
        <v>1797</v>
      </c>
      <c r="HE1" s="58" t="s">
        <v>1798</v>
      </c>
      <c r="HF1" s="58" t="s">
        <v>469</v>
      </c>
      <c r="HG1" s="58" t="s">
        <v>1799</v>
      </c>
      <c r="HH1" s="58" t="s">
        <v>771</v>
      </c>
      <c r="HI1" s="58" t="s">
        <v>1800</v>
      </c>
      <c r="HJ1" s="58" t="s">
        <v>1801</v>
      </c>
      <c r="HK1" s="58" t="s">
        <v>474</v>
      </c>
      <c r="HL1" s="58" t="s">
        <v>482</v>
      </c>
      <c r="HM1" s="58" t="s">
        <v>439</v>
      </c>
      <c r="HN1" s="58" t="s">
        <v>440</v>
      </c>
      <c r="HO1" s="58" t="s">
        <v>506</v>
      </c>
      <c r="HP1" s="58" t="s">
        <v>513</v>
      </c>
      <c r="HQ1" s="58" t="s">
        <v>599</v>
      </c>
      <c r="HR1" s="58" t="s">
        <v>441</v>
      </c>
      <c r="HS1" s="58" t="s">
        <v>442</v>
      </c>
      <c r="HT1" s="58" t="s">
        <v>443</v>
      </c>
      <c r="HU1" s="58" t="s">
        <v>444</v>
      </c>
      <c r="HV1" s="58" t="s">
        <v>445</v>
      </c>
      <c r="HW1" s="58" t="s">
        <v>446</v>
      </c>
      <c r="HX1" s="58" t="s">
        <v>447</v>
      </c>
      <c r="HY1" s="58" t="s">
        <v>448</v>
      </c>
      <c r="HZ1" s="58" t="s">
        <v>449</v>
      </c>
      <c r="IA1" s="58" t="s">
        <v>450</v>
      </c>
      <c r="IB1" s="58" t="s">
        <v>514</v>
      </c>
      <c r="IC1" s="58" t="s">
        <v>488</v>
      </c>
      <c r="ID1" s="58" t="s">
        <v>496</v>
      </c>
      <c r="IE1" s="58" t="s">
        <v>451</v>
      </c>
      <c r="IF1" s="58" t="s">
        <v>452</v>
      </c>
      <c r="IG1" s="58" t="s">
        <v>453</v>
      </c>
      <c r="IH1" s="58" t="s">
        <v>1043</v>
      </c>
      <c r="II1" s="58" t="s">
        <v>739</v>
      </c>
      <c r="IJ1" s="58" t="s">
        <v>454</v>
      </c>
      <c r="IK1" s="58" t="s">
        <v>743</v>
      </c>
      <c r="IL1" s="58" t="s">
        <v>751</v>
      </c>
      <c r="IM1" s="58" t="s">
        <v>455</v>
      </c>
      <c r="IN1" s="58" t="s">
        <v>519</v>
      </c>
      <c r="IO1" s="58" t="s">
        <v>889</v>
      </c>
      <c r="IP1" s="58" t="s">
        <v>520</v>
      </c>
      <c r="IQ1" s="58" t="s">
        <v>1052</v>
      </c>
      <c r="IR1" s="58" t="s">
        <v>957</v>
      </c>
      <c r="IS1" s="58" t="s">
        <v>958</v>
      </c>
      <c r="IT1" s="58" t="s">
        <v>959</v>
      </c>
      <c r="IU1" s="58" t="s">
        <v>960</v>
      </c>
      <c r="IV1" s="58" t="s">
        <v>961</v>
      </c>
      <c r="IW1" s="58" t="s">
        <v>962</v>
      </c>
      <c r="IX1" s="58" t="s">
        <v>963</v>
      </c>
      <c r="IY1" s="58" t="s">
        <v>964</v>
      </c>
      <c r="IZ1" s="58" t="s">
        <v>965</v>
      </c>
      <c r="JA1" s="58" t="s">
        <v>966</v>
      </c>
      <c r="JB1" s="58" t="s">
        <v>807</v>
      </c>
      <c r="JC1" s="58" t="s">
        <v>808</v>
      </c>
      <c r="JD1" s="58" t="s">
        <v>2192</v>
      </c>
      <c r="JE1" s="58" t="s">
        <v>2193</v>
      </c>
      <c r="JF1" s="58" t="s">
        <v>2194</v>
      </c>
      <c r="JG1" s="58" t="s">
        <v>2189</v>
      </c>
      <c r="JH1" s="57" t="s">
        <v>2232</v>
      </c>
      <c r="JI1" s="58" t="s">
        <v>1802</v>
      </c>
      <c r="JJ1" s="58" t="s">
        <v>638</v>
      </c>
      <c r="JK1" s="58" t="s">
        <v>1804</v>
      </c>
      <c r="JL1" s="58" t="s">
        <v>465</v>
      </c>
      <c r="JM1" s="58" t="s">
        <v>841</v>
      </c>
      <c r="JN1" s="58" t="s">
        <v>1805</v>
      </c>
      <c r="JO1" s="58" t="s">
        <v>1806</v>
      </c>
      <c r="JP1" s="58" t="s">
        <v>1807</v>
      </c>
      <c r="JQ1" s="58" t="s">
        <v>471</v>
      </c>
      <c r="JR1" s="58" t="s">
        <v>1808</v>
      </c>
      <c r="JS1" s="58" t="s">
        <v>772</v>
      </c>
      <c r="JT1" s="58" t="s">
        <v>1809</v>
      </c>
      <c r="JU1" s="58" t="s">
        <v>1810</v>
      </c>
      <c r="JV1" s="58" t="s">
        <v>478</v>
      </c>
      <c r="JW1" s="58" t="s">
        <v>395</v>
      </c>
      <c r="JX1" s="58" t="s">
        <v>396</v>
      </c>
      <c r="JY1" s="58" t="s">
        <v>682</v>
      </c>
      <c r="JZ1" s="58" t="s">
        <v>879</v>
      </c>
      <c r="KA1" s="58" t="s">
        <v>508</v>
      </c>
      <c r="KB1" s="58" t="s">
        <v>405</v>
      </c>
      <c r="KC1" s="58" t="s">
        <v>397</v>
      </c>
      <c r="KD1" s="58" t="s">
        <v>398</v>
      </c>
      <c r="KE1" s="58" t="s">
        <v>399</v>
      </c>
      <c r="KF1" s="58" t="s">
        <v>400</v>
      </c>
      <c r="KG1" s="58" t="s">
        <v>401</v>
      </c>
      <c r="KH1" s="58" t="s">
        <v>403</v>
      </c>
      <c r="KI1" s="58" t="s">
        <v>402</v>
      </c>
      <c r="KJ1" s="58" t="s">
        <v>509</v>
      </c>
      <c r="KK1" s="58" t="s">
        <v>683</v>
      </c>
      <c r="KL1" s="58" t="s">
        <v>684</v>
      </c>
      <c r="KM1" s="58" t="s">
        <v>510</v>
      </c>
      <c r="KN1" s="58" t="s">
        <v>492</v>
      </c>
      <c r="KO1" s="58" t="s">
        <v>404</v>
      </c>
      <c r="KP1" s="58" t="s">
        <v>685</v>
      </c>
      <c r="KQ1" s="58" t="s">
        <v>686</v>
      </c>
      <c r="KR1" s="58" t="s">
        <v>732</v>
      </c>
      <c r="KS1" s="58" t="s">
        <v>1044</v>
      </c>
      <c r="KT1" s="58" t="s">
        <v>406</v>
      </c>
      <c r="KU1" s="58" t="s">
        <v>687</v>
      </c>
      <c r="KV1" s="58" t="s">
        <v>744</v>
      </c>
      <c r="KW1" s="58" t="s">
        <v>752</v>
      </c>
      <c r="KX1" s="58" t="s">
        <v>688</v>
      </c>
      <c r="KY1" s="58" t="s">
        <v>515</v>
      </c>
      <c r="KZ1" s="58" t="s">
        <v>761</v>
      </c>
      <c r="LA1" s="58" t="s">
        <v>516</v>
      </c>
      <c r="LB1" s="58" t="s">
        <v>1053</v>
      </c>
      <c r="LC1" s="58" t="s">
        <v>967</v>
      </c>
      <c r="LD1" s="58" t="s">
        <v>968</v>
      </c>
      <c r="LE1" s="58" t="s">
        <v>969</v>
      </c>
      <c r="LF1" s="58" t="s">
        <v>970</v>
      </c>
      <c r="LG1" s="58" t="s">
        <v>971</v>
      </c>
      <c r="LH1" s="58" t="s">
        <v>976</v>
      </c>
      <c r="LI1" s="58" t="s">
        <v>972</v>
      </c>
      <c r="LJ1" s="58" t="s">
        <v>973</v>
      </c>
      <c r="LK1" s="58" t="s">
        <v>974</v>
      </c>
      <c r="LL1" s="58" t="s">
        <v>975</v>
      </c>
      <c r="LM1" s="58" t="s">
        <v>725</v>
      </c>
      <c r="LN1" s="58" t="s">
        <v>812</v>
      </c>
      <c r="LO1" s="58" t="s">
        <v>2233</v>
      </c>
      <c r="LP1" s="58" t="s">
        <v>2234</v>
      </c>
      <c r="LQ1" s="58" t="s">
        <v>2235</v>
      </c>
      <c r="LR1" s="58" t="s">
        <v>2236</v>
      </c>
      <c r="LS1" s="58" t="s">
        <v>2237</v>
      </c>
      <c r="LT1" s="57" t="s">
        <v>2271</v>
      </c>
      <c r="LU1" s="58" t="s">
        <v>1811</v>
      </c>
      <c r="LV1" s="58" t="s">
        <v>1813</v>
      </c>
      <c r="LW1" s="58" t="s">
        <v>639</v>
      </c>
      <c r="LX1" s="58" t="s">
        <v>1814</v>
      </c>
      <c r="LY1" s="58" t="s">
        <v>1815</v>
      </c>
      <c r="LZ1" s="58" t="s">
        <v>645</v>
      </c>
      <c r="MA1" s="58" t="s">
        <v>842</v>
      </c>
      <c r="MB1" s="58" t="s">
        <v>1816</v>
      </c>
      <c r="MC1" s="58" t="s">
        <v>1817</v>
      </c>
      <c r="MD1" s="58" t="s">
        <v>1818</v>
      </c>
      <c r="ME1" s="58" t="s">
        <v>764</v>
      </c>
      <c r="MF1" s="58" t="s">
        <v>1819</v>
      </c>
      <c r="MG1" s="58" t="s">
        <v>924</v>
      </c>
      <c r="MH1" s="58" t="s">
        <v>1820</v>
      </c>
      <c r="MI1" s="58" t="s">
        <v>1821</v>
      </c>
      <c r="MJ1" s="58" t="s">
        <v>648</v>
      </c>
      <c r="MK1" s="58" t="s">
        <v>765</v>
      </c>
      <c r="ML1" s="58" t="s">
        <v>507</v>
      </c>
      <c r="MM1" s="58" t="s">
        <v>600</v>
      </c>
      <c r="MN1" s="58" t="s">
        <v>407</v>
      </c>
      <c r="MO1" s="58" t="s">
        <v>408</v>
      </c>
      <c r="MP1" s="58" t="s">
        <v>409</v>
      </c>
      <c r="MQ1" s="58" t="s">
        <v>410</v>
      </c>
      <c r="MR1" s="58" t="s">
        <v>411</v>
      </c>
      <c r="MS1" s="58" t="s">
        <v>412</v>
      </c>
      <c r="MT1" s="58" t="s">
        <v>413</v>
      </c>
      <c r="MU1" s="58" t="s">
        <v>414</v>
      </c>
      <c r="MV1" s="58" t="s">
        <v>415</v>
      </c>
      <c r="MW1" s="58" t="s">
        <v>416</v>
      </c>
      <c r="MX1" s="58" t="s">
        <v>1045</v>
      </c>
      <c r="MY1" s="58" t="s">
        <v>2272</v>
      </c>
      <c r="MZ1" s="58" t="s">
        <v>417</v>
      </c>
      <c r="NA1" s="58" t="s">
        <v>1047</v>
      </c>
      <c r="NB1" s="58" t="s">
        <v>1046</v>
      </c>
      <c r="NC1" s="58" t="s">
        <v>740</v>
      </c>
      <c r="ND1" s="58" t="s">
        <v>749</v>
      </c>
      <c r="NE1" s="58" t="s">
        <v>755</v>
      </c>
      <c r="NF1" s="58" t="s">
        <v>756</v>
      </c>
      <c r="NG1" s="58" t="s">
        <v>817</v>
      </c>
      <c r="NH1" s="58" t="s">
        <v>818</v>
      </c>
      <c r="NI1" s="58" t="s">
        <v>819</v>
      </c>
      <c r="NJ1" s="60" t="s">
        <v>2549</v>
      </c>
      <c r="NK1" s="61" t="s">
        <v>657</v>
      </c>
      <c r="NL1" s="61" t="s">
        <v>1061</v>
      </c>
      <c r="NM1" s="61" t="s">
        <v>820</v>
      </c>
      <c r="NN1" s="61" t="s">
        <v>821</v>
      </c>
      <c r="NO1" s="58" t="s">
        <v>2294</v>
      </c>
      <c r="NP1" s="58" t="s">
        <v>372</v>
      </c>
      <c r="NQ1" s="58" t="s">
        <v>1822</v>
      </c>
      <c r="NR1" s="58" t="s">
        <v>2293</v>
      </c>
      <c r="NS1" s="58" t="s">
        <v>1825</v>
      </c>
      <c r="NT1" s="58" t="s">
        <v>1826</v>
      </c>
      <c r="NU1" s="58" t="s">
        <v>2613</v>
      </c>
      <c r="NV1" s="58" t="s">
        <v>1829</v>
      </c>
      <c r="NW1" s="58" t="s">
        <v>2614</v>
      </c>
      <c r="NX1" s="58" t="s">
        <v>2615</v>
      </c>
      <c r="NY1" s="58" t="s">
        <v>2616</v>
      </c>
      <c r="NZ1" s="58" t="s">
        <v>1832</v>
      </c>
      <c r="OA1" s="58" t="s">
        <v>2617</v>
      </c>
      <c r="OB1" s="58" t="s">
        <v>2618</v>
      </c>
      <c r="OC1" s="58" t="s">
        <v>2619</v>
      </c>
      <c r="OD1" s="58" t="s">
        <v>1838</v>
      </c>
      <c r="OE1" s="58" t="s">
        <v>2620</v>
      </c>
      <c r="OF1" s="58" t="s">
        <v>703</v>
      </c>
      <c r="OG1" s="58" t="s">
        <v>2621</v>
      </c>
      <c r="OH1" s="58" t="s">
        <v>2622</v>
      </c>
      <c r="OI1" s="58" t="s">
        <v>2623</v>
      </c>
      <c r="OJ1" s="58" t="s">
        <v>2624</v>
      </c>
      <c r="OK1" s="58" t="s">
        <v>379</v>
      </c>
      <c r="OL1" s="58" t="s">
        <v>373</v>
      </c>
      <c r="OM1" s="58" t="s">
        <v>619</v>
      </c>
      <c r="ON1" s="58" t="s">
        <v>380</v>
      </c>
      <c r="OO1" s="58" t="s">
        <v>374</v>
      </c>
      <c r="OP1" s="58" t="s">
        <v>375</v>
      </c>
      <c r="OQ1" s="58" t="s">
        <v>376</v>
      </c>
      <c r="OR1" s="58" t="s">
        <v>667</v>
      </c>
      <c r="OS1" s="58" t="s">
        <v>381</v>
      </c>
      <c r="OT1" s="58" t="s">
        <v>377</v>
      </c>
      <c r="OU1" s="58" t="s">
        <v>668</v>
      </c>
      <c r="OV1" s="58" t="s">
        <v>669</v>
      </c>
      <c r="OW1" s="58" t="s">
        <v>2625</v>
      </c>
      <c r="OX1" s="58" t="s">
        <v>2626</v>
      </c>
      <c r="OY1" s="58" t="s">
        <v>670</v>
      </c>
      <c r="OZ1" s="58" t="s">
        <v>2627</v>
      </c>
      <c r="PA1" s="58" t="s">
        <v>2628</v>
      </c>
      <c r="PB1" s="58" t="s">
        <v>2629</v>
      </c>
      <c r="PC1" s="58" t="s">
        <v>2630</v>
      </c>
      <c r="PD1" s="58" t="s">
        <v>498</v>
      </c>
      <c r="PE1" s="58" t="s">
        <v>2631</v>
      </c>
      <c r="PF1" s="58" t="s">
        <v>762</v>
      </c>
      <c r="PG1" s="58" t="s">
        <v>2295</v>
      </c>
      <c r="PH1" s="58" t="s">
        <v>2296</v>
      </c>
      <c r="PI1" s="58" t="s">
        <v>2297</v>
      </c>
      <c r="PJ1" s="58" t="s">
        <v>2298</v>
      </c>
      <c r="PK1" s="58" t="s">
        <v>2299</v>
      </c>
      <c r="PL1" s="58" t="s">
        <v>2300</v>
      </c>
      <c r="PM1" s="58" t="s">
        <v>2301</v>
      </c>
      <c r="PN1" s="58" t="s">
        <v>2302</v>
      </c>
      <c r="PO1" s="58" t="s">
        <v>2303</v>
      </c>
      <c r="PP1" s="58" t="s">
        <v>2304</v>
      </c>
      <c r="PQ1" s="58" t="s">
        <v>726</v>
      </c>
      <c r="PR1" s="58" t="s">
        <v>822</v>
      </c>
      <c r="PS1" s="58" t="s">
        <v>823</v>
      </c>
      <c r="PT1" s="58" t="s">
        <v>824</v>
      </c>
      <c r="PU1" s="58" t="s">
        <v>2310</v>
      </c>
      <c r="PV1" s="58" t="s">
        <v>1841</v>
      </c>
      <c r="PW1" s="58" t="s">
        <v>1842</v>
      </c>
      <c r="PX1" s="58" t="s">
        <v>727</v>
      </c>
      <c r="PY1" s="58" t="s">
        <v>1844</v>
      </c>
      <c r="PZ1" s="58" t="s">
        <v>642</v>
      </c>
      <c r="QA1" s="58" t="s">
        <v>934</v>
      </c>
      <c r="QB1" s="58" t="s">
        <v>935</v>
      </c>
      <c r="QC1" s="58" t="s">
        <v>898</v>
      </c>
      <c r="QD1" s="58" t="s">
        <v>652</v>
      </c>
      <c r="QE1" s="58" t="s">
        <v>987</v>
      </c>
      <c r="QF1" s="58" t="s">
        <v>988</v>
      </c>
      <c r="QG1" s="58" t="s">
        <v>989</v>
      </c>
      <c r="QH1" s="58" t="s">
        <v>990</v>
      </c>
      <c r="QI1" s="58" t="s">
        <v>991</v>
      </c>
      <c r="QJ1" s="58" t="s">
        <v>527</v>
      </c>
      <c r="QK1" s="57" t="s">
        <v>2319</v>
      </c>
      <c r="QL1" s="58" t="s">
        <v>1846</v>
      </c>
      <c r="QM1" s="58" t="s">
        <v>2320</v>
      </c>
      <c r="QN1" s="58" t="s">
        <v>359</v>
      </c>
      <c r="QO1" s="58" t="s">
        <v>1851</v>
      </c>
      <c r="QP1" s="58" t="s">
        <v>2321</v>
      </c>
      <c r="QQ1" s="58" t="s">
        <v>464</v>
      </c>
      <c r="QR1" s="58" t="s">
        <v>2322</v>
      </c>
      <c r="QS1" s="58" t="s">
        <v>1853</v>
      </c>
      <c r="QT1" s="58" t="s">
        <v>1854</v>
      </c>
      <c r="QU1" s="58" t="s">
        <v>2323</v>
      </c>
      <c r="QV1" s="58" t="s">
        <v>470</v>
      </c>
      <c r="QW1" s="58" t="s">
        <v>1856</v>
      </c>
      <c r="QX1" s="58" t="s">
        <v>2324</v>
      </c>
      <c r="QY1" s="58" t="s">
        <v>1857</v>
      </c>
      <c r="QZ1" s="58" t="s">
        <v>2325</v>
      </c>
      <c r="RA1" s="58" t="s">
        <v>477</v>
      </c>
      <c r="RB1" s="58" t="s">
        <v>360</v>
      </c>
      <c r="RC1" s="58" t="s">
        <v>361</v>
      </c>
      <c r="RD1" s="58" t="s">
        <v>658</v>
      </c>
      <c r="RE1" s="58" t="s">
        <v>2326</v>
      </c>
      <c r="RF1" s="58" t="s">
        <v>2327</v>
      </c>
      <c r="RG1" s="58" t="s">
        <v>362</v>
      </c>
      <c r="RH1" s="58" t="s">
        <v>621</v>
      </c>
      <c r="RI1" s="58" t="s">
        <v>363</v>
      </c>
      <c r="RJ1" s="58" t="s">
        <v>364</v>
      </c>
      <c r="RK1" s="58" t="s">
        <v>365</v>
      </c>
      <c r="RL1" s="58" t="s">
        <v>366</v>
      </c>
      <c r="RM1" s="58" t="s">
        <v>367</v>
      </c>
      <c r="RN1" s="58" t="s">
        <v>368</v>
      </c>
      <c r="RO1" s="58" t="s">
        <v>659</v>
      </c>
      <c r="RP1" s="58" t="s">
        <v>369</v>
      </c>
      <c r="RQ1" s="58" t="s">
        <v>660</v>
      </c>
      <c r="RR1" s="58" t="s">
        <v>2328</v>
      </c>
      <c r="RS1" s="58" t="s">
        <v>491</v>
      </c>
      <c r="RT1" s="58" t="s">
        <v>370</v>
      </c>
      <c r="RU1" s="58" t="s">
        <v>662</v>
      </c>
      <c r="RV1" s="58" t="s">
        <v>371</v>
      </c>
      <c r="RW1" s="58" t="s">
        <v>663</v>
      </c>
      <c r="RX1" s="58" t="s">
        <v>2329</v>
      </c>
      <c r="RY1" s="58" t="s">
        <v>2330</v>
      </c>
      <c r="RZ1" s="58" t="s">
        <v>2331</v>
      </c>
      <c r="SA1" s="58" t="s">
        <v>2332</v>
      </c>
      <c r="SB1" s="58" t="s">
        <v>665</v>
      </c>
      <c r="SC1" s="58" t="s">
        <v>2333</v>
      </c>
      <c r="SD1" s="58" t="s">
        <v>1054</v>
      </c>
      <c r="SE1" s="58" t="s">
        <v>2334</v>
      </c>
      <c r="SF1" s="58" t="s">
        <v>2335</v>
      </c>
      <c r="SG1" s="58" t="s">
        <v>2336</v>
      </c>
      <c r="SH1" s="58" t="s">
        <v>998</v>
      </c>
      <c r="SI1" s="58" t="s">
        <v>999</v>
      </c>
      <c r="SJ1" s="58" t="s">
        <v>1000</v>
      </c>
      <c r="SK1" s="58" t="s">
        <v>2337</v>
      </c>
      <c r="SL1" s="58" t="s">
        <v>2338</v>
      </c>
      <c r="SM1" s="58" t="s">
        <v>2339</v>
      </c>
      <c r="SN1" s="58" t="s">
        <v>2340</v>
      </c>
      <c r="SO1" s="58" t="s">
        <v>2341</v>
      </c>
      <c r="SP1" s="58" t="s">
        <v>2342</v>
      </c>
      <c r="SQ1" s="58" t="s">
        <v>2343</v>
      </c>
      <c r="SR1" s="58" t="s">
        <v>2344</v>
      </c>
      <c r="SS1" s="58" t="s">
        <v>2376</v>
      </c>
      <c r="ST1" s="57" t="s">
        <v>2381</v>
      </c>
      <c r="SU1" s="58" t="s">
        <v>1859</v>
      </c>
      <c r="SV1" s="58" t="s">
        <v>729</v>
      </c>
      <c r="SW1" s="58" t="s">
        <v>1862</v>
      </c>
      <c r="SX1" s="58" t="s">
        <v>2010</v>
      </c>
      <c r="SY1" s="58" t="s">
        <v>644</v>
      </c>
      <c r="SZ1" s="58" t="s">
        <v>383</v>
      </c>
      <c r="TA1" s="58" t="s">
        <v>384</v>
      </c>
      <c r="TB1" s="58" t="s">
        <v>385</v>
      </c>
      <c r="TC1" s="58" t="s">
        <v>1863</v>
      </c>
      <c r="TD1" s="58" t="s">
        <v>2380</v>
      </c>
      <c r="TE1" s="58" t="s">
        <v>1864</v>
      </c>
      <c r="TF1" s="58" t="s">
        <v>1865</v>
      </c>
      <c r="TG1" s="58" t="s">
        <v>647</v>
      </c>
      <c r="TH1" s="58" t="s">
        <v>386</v>
      </c>
      <c r="TI1" s="58" t="s">
        <v>387</v>
      </c>
      <c r="TJ1" s="58" t="s">
        <v>618</v>
      </c>
      <c r="TK1" s="58" t="s">
        <v>388</v>
      </c>
      <c r="TL1" s="58" t="s">
        <v>671</v>
      </c>
      <c r="TM1" s="58" t="s">
        <v>672</v>
      </c>
      <c r="TN1" s="58" t="s">
        <v>673</v>
      </c>
      <c r="TO1" s="58" t="s">
        <v>674</v>
      </c>
      <c r="TP1" s="58" t="s">
        <v>675</v>
      </c>
      <c r="TQ1" s="58" t="s">
        <v>676</v>
      </c>
      <c r="TR1" s="58" t="s">
        <v>1004</v>
      </c>
      <c r="TS1" s="58" t="s">
        <v>1005</v>
      </c>
      <c r="TT1" s="58" t="s">
        <v>1006</v>
      </c>
      <c r="TU1" s="58" t="s">
        <v>1007</v>
      </c>
      <c r="TV1" s="58" t="s">
        <v>1008</v>
      </c>
      <c r="TW1" s="58" t="s">
        <v>1009</v>
      </c>
      <c r="TX1" s="62" t="s">
        <v>2389</v>
      </c>
      <c r="TY1" s="59" t="s">
        <v>1866</v>
      </c>
      <c r="TZ1" s="59" t="s">
        <v>776</v>
      </c>
      <c r="UA1" s="59" t="s">
        <v>1870</v>
      </c>
      <c r="UB1" s="59" t="s">
        <v>1871</v>
      </c>
      <c r="UC1" s="59" t="s">
        <v>557</v>
      </c>
      <c r="UD1" s="59" t="s">
        <v>563</v>
      </c>
      <c r="UE1" s="59" t="s">
        <v>1875</v>
      </c>
      <c r="UF1" s="59" t="s">
        <v>1876</v>
      </c>
      <c r="UG1" s="59" t="s">
        <v>1880</v>
      </c>
      <c r="UH1" s="59" t="s">
        <v>467</v>
      </c>
      <c r="UI1" s="59" t="s">
        <v>1881</v>
      </c>
      <c r="UJ1" s="59" t="s">
        <v>865</v>
      </c>
      <c r="UK1" s="59" t="s">
        <v>1883</v>
      </c>
      <c r="UL1" s="59" t="s">
        <v>1884</v>
      </c>
      <c r="UM1" s="59" t="s">
        <v>472</v>
      </c>
      <c r="UN1" s="59" t="s">
        <v>480</v>
      </c>
      <c r="UO1" s="59" t="s">
        <v>777</v>
      </c>
      <c r="UP1" s="59" t="s">
        <v>587</v>
      </c>
      <c r="UQ1" s="59" t="s">
        <v>594</v>
      </c>
      <c r="UR1" s="59" t="s">
        <v>615</v>
      </c>
      <c r="US1" s="59" t="s">
        <v>2390</v>
      </c>
      <c r="UT1" s="59" t="s">
        <v>1057</v>
      </c>
      <c r="UU1" s="59" t="s">
        <v>485</v>
      </c>
      <c r="UV1" s="59" t="s">
        <v>1048</v>
      </c>
      <c r="UW1" s="59" t="s">
        <v>1049</v>
      </c>
      <c r="UX1" s="59" t="s">
        <v>759</v>
      </c>
      <c r="UY1" s="59" t="s">
        <v>830</v>
      </c>
      <c r="UZ1" s="59" t="s">
        <v>460</v>
      </c>
      <c r="VA1" s="59" t="s">
        <v>1887</v>
      </c>
      <c r="VB1" s="59" t="s">
        <v>784</v>
      </c>
      <c r="VC1" s="59" t="s">
        <v>1890</v>
      </c>
      <c r="VD1" s="59" t="s">
        <v>466</v>
      </c>
      <c r="VE1" s="59" t="s">
        <v>566</v>
      </c>
      <c r="VF1" s="59" t="s">
        <v>1893</v>
      </c>
      <c r="VG1" s="59" t="s">
        <v>1894</v>
      </c>
      <c r="VH1" s="59" t="s">
        <v>1895</v>
      </c>
      <c r="VI1" s="59" t="s">
        <v>906</v>
      </c>
      <c r="VJ1" s="59" t="s">
        <v>785</v>
      </c>
      <c r="VK1" s="59" t="s">
        <v>847</v>
      </c>
      <c r="VL1" s="59" t="s">
        <v>882</v>
      </c>
      <c r="VM1" s="59" t="s">
        <v>902</v>
      </c>
      <c r="VN1" s="59" t="s">
        <v>590</v>
      </c>
      <c r="VO1" s="59" t="s">
        <v>606</v>
      </c>
      <c r="VP1" s="59" t="s">
        <v>623</v>
      </c>
      <c r="VQ1" s="59" t="s">
        <v>885</v>
      </c>
      <c r="VR1" s="59" t="s">
        <v>718</v>
      </c>
      <c r="VS1" s="59" t="s">
        <v>753</v>
      </c>
      <c r="VT1" s="59" t="s">
        <v>2423</v>
      </c>
      <c r="VU1" s="59" t="s">
        <v>497</v>
      </c>
      <c r="VV1" s="59" t="s">
        <v>1898</v>
      </c>
      <c r="VW1" s="59" t="s">
        <v>1899</v>
      </c>
      <c r="VX1" s="59" t="s">
        <v>848</v>
      </c>
      <c r="VY1" s="59" t="s">
        <v>866</v>
      </c>
      <c r="VZ1" s="59" t="s">
        <v>1903</v>
      </c>
      <c r="WA1" s="59" t="s">
        <v>1904</v>
      </c>
      <c r="WB1" s="59" t="s">
        <v>2424</v>
      </c>
      <c r="WC1" s="59" t="s">
        <v>909</v>
      </c>
      <c r="WD1" s="59" t="s">
        <v>1906</v>
      </c>
      <c r="WE1" s="59" t="s">
        <v>925</v>
      </c>
      <c r="WF1" s="59" t="s">
        <v>1907</v>
      </c>
      <c r="WG1" s="59" t="s">
        <v>1908</v>
      </c>
      <c r="WH1" s="59" t="s">
        <v>849</v>
      </c>
      <c r="WI1" s="59" t="s">
        <v>1028</v>
      </c>
      <c r="WJ1" s="59" t="s">
        <v>1029</v>
      </c>
      <c r="WK1" s="59" t="s">
        <v>650</v>
      </c>
      <c r="WL1" s="59" t="s">
        <v>719</v>
      </c>
      <c r="WM1" s="59" t="s">
        <v>704</v>
      </c>
      <c r="WN1" s="59" t="s">
        <v>746</v>
      </c>
      <c r="WO1" s="59" t="s">
        <v>2435</v>
      </c>
      <c r="WP1" s="59" t="s">
        <v>1909</v>
      </c>
      <c r="WQ1" s="59" t="s">
        <v>793</v>
      </c>
      <c r="WR1" s="59" t="s">
        <v>1912</v>
      </c>
      <c r="WS1" s="59" t="s">
        <v>1913</v>
      </c>
      <c r="WT1" s="59" t="s">
        <v>641</v>
      </c>
      <c r="WU1" s="59" t="s">
        <v>910</v>
      </c>
      <c r="WV1" s="59" t="s">
        <v>1914</v>
      </c>
      <c r="WW1" s="59" t="s">
        <v>1915</v>
      </c>
      <c r="WX1" s="59" t="s">
        <v>1916</v>
      </c>
      <c r="WY1" s="59" t="s">
        <v>911</v>
      </c>
      <c r="WZ1" s="59" t="s">
        <v>1917</v>
      </c>
      <c r="XA1" s="59" t="s">
        <v>926</v>
      </c>
      <c r="XB1" s="59" t="s">
        <v>1918</v>
      </c>
      <c r="XC1" s="59" t="s">
        <v>1919</v>
      </c>
      <c r="XD1" s="59" t="s">
        <v>646</v>
      </c>
      <c r="XE1" s="59" t="s">
        <v>651</v>
      </c>
      <c r="XF1" s="59" t="s">
        <v>720</v>
      </c>
      <c r="XG1" s="59" t="s">
        <v>705</v>
      </c>
      <c r="XH1" s="59" t="s">
        <v>2448</v>
      </c>
      <c r="XI1" s="59" t="s">
        <v>1920</v>
      </c>
      <c r="XJ1" s="59" t="s">
        <v>2449</v>
      </c>
      <c r="XK1" s="59" t="s">
        <v>2450</v>
      </c>
      <c r="XL1" s="59" t="s">
        <v>2451</v>
      </c>
      <c r="XM1" s="59" t="s">
        <v>1921</v>
      </c>
      <c r="XN1" s="59" t="s">
        <v>1922</v>
      </c>
      <c r="XO1" s="59" t="s">
        <v>1923</v>
      </c>
      <c r="XP1" s="59" t="s">
        <v>2452</v>
      </c>
      <c r="XQ1" s="59" t="s">
        <v>2453</v>
      </c>
      <c r="XR1" s="59" t="s">
        <v>2454</v>
      </c>
      <c r="XS1" s="59" t="s">
        <v>2455</v>
      </c>
      <c r="XT1" s="59" t="s">
        <v>2456</v>
      </c>
      <c r="XU1" s="59" t="s">
        <v>609</v>
      </c>
      <c r="XV1" s="59" t="s">
        <v>627</v>
      </c>
      <c r="XW1" s="59" t="s">
        <v>891</v>
      </c>
      <c r="XX1" s="59" t="s">
        <v>831</v>
      </c>
      <c r="XY1" s="59" t="s">
        <v>832</v>
      </c>
      <c r="XZ1" s="59" t="s">
        <v>833</v>
      </c>
      <c r="YA1" s="58" t="s">
        <v>2540</v>
      </c>
      <c r="YB1" s="58" t="s">
        <v>708</v>
      </c>
      <c r="YC1" s="58" t="s">
        <v>479</v>
      </c>
      <c r="YD1" s="58" t="s">
        <v>709</v>
      </c>
      <c r="YE1" s="58" t="s">
        <v>493</v>
      </c>
      <c r="YF1" s="58" t="s">
        <v>2471</v>
      </c>
      <c r="YG1" s="58" t="s">
        <v>914</v>
      </c>
      <c r="YH1" s="58" t="s">
        <v>1924</v>
      </c>
      <c r="YI1" s="58" t="s">
        <v>1925</v>
      </c>
      <c r="YJ1" s="58" t="s">
        <v>556</v>
      </c>
      <c r="YK1" s="58" t="s">
        <v>562</v>
      </c>
      <c r="YL1" s="58" t="s">
        <v>1926</v>
      </c>
      <c r="YM1" s="58" t="s">
        <v>1927</v>
      </c>
      <c r="YN1" s="58" t="s">
        <v>1928</v>
      </c>
      <c r="YO1" s="58" t="s">
        <v>574</v>
      </c>
      <c r="YP1" s="58" t="s">
        <v>2472</v>
      </c>
      <c r="YQ1" s="58" t="s">
        <v>927</v>
      </c>
      <c r="YR1" s="58" t="s">
        <v>1930</v>
      </c>
      <c r="YS1" s="58" t="s">
        <v>1931</v>
      </c>
      <c r="YT1" s="58" t="s">
        <v>581</v>
      </c>
      <c r="YU1" s="58" t="s">
        <v>883</v>
      </c>
      <c r="YV1" s="58" t="s">
        <v>593</v>
      </c>
      <c r="YW1" s="58" t="s">
        <v>612</v>
      </c>
      <c r="YX1" s="58" t="s">
        <v>1058</v>
      </c>
      <c r="YY1" s="58" t="s">
        <v>711</v>
      </c>
      <c r="YZ1" s="58" t="s">
        <v>1059</v>
      </c>
      <c r="ZA1" s="58" t="s">
        <v>2486</v>
      </c>
      <c r="ZB1" s="58" t="s">
        <v>1932</v>
      </c>
      <c r="ZC1" s="58" t="s">
        <v>781</v>
      </c>
      <c r="ZD1" s="58" t="s">
        <v>2497</v>
      </c>
      <c r="ZE1" s="58" t="s">
        <v>1934</v>
      </c>
      <c r="ZF1" s="58" t="s">
        <v>572</v>
      </c>
      <c r="ZG1" s="58" t="s">
        <v>2502</v>
      </c>
      <c r="ZH1" s="58" t="s">
        <v>573</v>
      </c>
      <c r="ZI1" s="58" t="s">
        <v>580</v>
      </c>
      <c r="ZJ1" s="58" t="s">
        <v>1936</v>
      </c>
      <c r="ZK1" s="58" t="s">
        <v>867</v>
      </c>
      <c r="ZL1" s="58" t="s">
        <v>1937</v>
      </c>
      <c r="ZM1" s="58" t="s">
        <v>2498</v>
      </c>
      <c r="ZN1" s="58" t="s">
        <v>583</v>
      </c>
      <c r="ZO1" s="58" t="s">
        <v>795</v>
      </c>
      <c r="ZP1" s="58" t="s">
        <v>782</v>
      </c>
      <c r="ZQ1" s="58" t="s">
        <v>1034</v>
      </c>
      <c r="ZR1" s="58" t="s">
        <v>608</v>
      </c>
      <c r="ZS1" s="58" t="s">
        <v>614</v>
      </c>
      <c r="ZT1" s="58" t="s">
        <v>884</v>
      </c>
      <c r="ZU1" s="58" t="s">
        <v>1033</v>
      </c>
      <c r="ZV1" s="58" t="s">
        <v>721</v>
      </c>
      <c r="ZW1" s="58" t="s">
        <v>2541</v>
      </c>
      <c r="ZX1" s="58" t="s">
        <v>722</v>
      </c>
      <c r="ZY1" s="58" t="s">
        <v>723</v>
      </c>
      <c r="ZZ1" s="58" t="s">
        <v>856</v>
      </c>
      <c r="AAA1" s="58" t="s">
        <v>502</v>
      </c>
      <c r="AAB1" s="58" t="s">
        <v>931</v>
      </c>
      <c r="AAC1" s="58" t="s">
        <v>932</v>
      </c>
      <c r="AAD1" s="58" t="s">
        <v>919</v>
      </c>
      <c r="AAE1" s="58" t="s">
        <v>920</v>
      </c>
      <c r="AAF1" s="58" t="s">
        <v>858</v>
      </c>
      <c r="AAG1" s="62" t="s">
        <v>2504</v>
      </c>
      <c r="AAH1" s="59" t="s">
        <v>2505</v>
      </c>
      <c r="AAI1" s="59" t="s">
        <v>2506</v>
      </c>
      <c r="AAJ1" s="59" t="s">
        <v>2507</v>
      </c>
      <c r="AAK1" s="59" t="s">
        <v>2508</v>
      </c>
      <c r="AAL1" s="59" t="s">
        <v>1940</v>
      </c>
      <c r="AAM1" s="59" t="s">
        <v>943</v>
      </c>
      <c r="AAN1" s="59" t="s">
        <v>555</v>
      </c>
      <c r="AAO1" s="59" t="s">
        <v>561</v>
      </c>
      <c r="AAP1" s="59" t="s">
        <v>1942</v>
      </c>
      <c r="AAQ1" s="59" t="s">
        <v>1943</v>
      </c>
      <c r="AAR1" s="59" t="s">
        <v>900</v>
      </c>
      <c r="AAS1" s="59" t="s">
        <v>896</v>
      </c>
      <c r="AAT1" s="59" t="s">
        <v>2518</v>
      </c>
      <c r="AAU1" s="59" t="s">
        <v>2519</v>
      </c>
      <c r="AAV1" s="59" t="s">
        <v>2520</v>
      </c>
      <c r="AAW1" s="59" t="s">
        <v>2521</v>
      </c>
      <c r="AAX1" s="59" t="s">
        <v>2522</v>
      </c>
      <c r="AAY1" s="59" t="s">
        <v>577</v>
      </c>
      <c r="AAZ1" s="59" t="s">
        <v>582</v>
      </c>
      <c r="ABA1" s="59" t="s">
        <v>616</v>
      </c>
      <c r="ABB1" s="59" t="s">
        <v>596</v>
      </c>
      <c r="ABC1" s="59" t="s">
        <v>2523</v>
      </c>
      <c r="ABD1" s="59" t="s">
        <v>850</v>
      </c>
      <c r="ABE1" s="59" t="s">
        <v>869</v>
      </c>
      <c r="ABF1" s="59" t="s">
        <v>851</v>
      </c>
      <c r="ABG1" s="59" t="s">
        <v>921</v>
      </c>
      <c r="ABH1" s="59" t="s">
        <v>922</v>
      </c>
      <c r="ABI1" s="59" t="s">
        <v>1015</v>
      </c>
      <c r="ABJ1" s="59" t="s">
        <v>1016</v>
      </c>
      <c r="ABK1" s="59" t="s">
        <v>1017</v>
      </c>
      <c r="ABL1" s="59" t="s">
        <v>1018</v>
      </c>
      <c r="ABM1" s="59" t="s">
        <v>1019</v>
      </c>
      <c r="ABN1" s="59" t="s">
        <v>2524</v>
      </c>
      <c r="ABO1" s="59" t="s">
        <v>916</v>
      </c>
      <c r="ABP1" s="59" t="s">
        <v>1944</v>
      </c>
      <c r="ABQ1" s="59" t="s">
        <v>1945</v>
      </c>
      <c r="ABR1" s="59" t="s">
        <v>917</v>
      </c>
      <c r="ABS1" s="59" t="s">
        <v>871</v>
      </c>
      <c r="ABT1" s="59" t="s">
        <v>1946</v>
      </c>
      <c r="ABU1" s="59" t="s">
        <v>1947</v>
      </c>
      <c r="ABV1" s="59" t="s">
        <v>1948</v>
      </c>
      <c r="ABW1" s="59" t="s">
        <v>918</v>
      </c>
      <c r="ABX1" s="59" t="s">
        <v>1949</v>
      </c>
      <c r="ABY1" s="59" t="s">
        <v>929</v>
      </c>
      <c r="ABZ1" s="59" t="s">
        <v>1950</v>
      </c>
      <c r="ACA1" s="59" t="s">
        <v>1951</v>
      </c>
      <c r="ACB1" s="59" t="s">
        <v>853</v>
      </c>
      <c r="ACC1" s="59" t="s">
        <v>852</v>
      </c>
      <c r="ACD1" s="59" t="s">
        <v>2525</v>
      </c>
      <c r="ACE1" s="59" t="s">
        <v>2526</v>
      </c>
      <c r="ACF1" s="59" t="s">
        <v>2527</v>
      </c>
      <c r="ACG1" s="59" t="s">
        <v>2528</v>
      </c>
      <c r="ACH1" s="63" t="s">
        <v>2529</v>
      </c>
    </row>
    <row r="2" spans="1:762" x14ac:dyDescent="0.25">
      <c r="A2" s="42" t="s">
        <v>6</v>
      </c>
      <c r="B2" s="43">
        <v>124</v>
      </c>
      <c r="C2" s="43"/>
      <c r="D2" s="43"/>
      <c r="E2" s="43"/>
      <c r="F2" s="43">
        <v>41</v>
      </c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 t="s">
        <v>341</v>
      </c>
      <c r="AD2" s="43"/>
      <c r="AE2" s="43"/>
      <c r="AF2" s="43"/>
      <c r="AG2" s="43">
        <v>20</v>
      </c>
      <c r="AH2" s="43"/>
      <c r="AI2" s="43"/>
      <c r="AJ2" s="43"/>
      <c r="AK2" s="43"/>
      <c r="AL2" s="43">
        <v>75</v>
      </c>
      <c r="AM2" s="43"/>
      <c r="AN2" s="43">
        <v>74</v>
      </c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 t="s">
        <v>345</v>
      </c>
      <c r="BD2" s="43"/>
      <c r="BE2" s="43"/>
      <c r="BF2" s="43"/>
      <c r="BG2" s="43">
        <v>61</v>
      </c>
      <c r="BH2" s="43"/>
      <c r="BI2" s="43"/>
      <c r="BJ2" s="43"/>
      <c r="BK2" s="43"/>
      <c r="BL2" s="43"/>
      <c r="BM2" s="43" t="s">
        <v>346</v>
      </c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 t="s">
        <v>335</v>
      </c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43"/>
      <c r="GE2" s="43"/>
      <c r="GF2" s="43"/>
      <c r="GG2" s="43"/>
      <c r="GH2" s="43"/>
      <c r="GI2" s="43"/>
      <c r="GJ2" s="43"/>
      <c r="GK2" s="43"/>
      <c r="GL2" s="43"/>
      <c r="GM2" s="43"/>
      <c r="GN2" s="43"/>
      <c r="GO2" s="43"/>
      <c r="GP2" s="43"/>
      <c r="GQ2" s="43"/>
      <c r="GR2" s="43"/>
      <c r="GS2" s="43"/>
      <c r="GT2" s="43"/>
      <c r="GU2" s="43"/>
      <c r="GV2" s="43"/>
      <c r="GW2" s="43"/>
      <c r="GX2" s="43"/>
      <c r="GY2" s="43"/>
      <c r="GZ2" s="43"/>
      <c r="HA2" s="43"/>
      <c r="HB2" s="43"/>
      <c r="HC2" s="43"/>
      <c r="HD2" s="43"/>
      <c r="HE2" s="43"/>
      <c r="HF2" s="43"/>
      <c r="HG2" s="43"/>
      <c r="HH2" s="43"/>
      <c r="HI2" s="43"/>
      <c r="HJ2" s="43"/>
      <c r="HK2" s="43"/>
      <c r="HL2" s="43"/>
      <c r="HM2" s="43"/>
      <c r="HN2" s="43"/>
      <c r="HO2" s="43"/>
      <c r="HP2" s="43"/>
      <c r="HQ2" s="43"/>
      <c r="HR2" s="43"/>
      <c r="HS2" s="43"/>
      <c r="HT2" s="43"/>
      <c r="HU2" s="43"/>
      <c r="HV2" s="43"/>
      <c r="HW2" s="43"/>
      <c r="HX2" s="43"/>
      <c r="HY2" s="43"/>
      <c r="HZ2" s="43"/>
      <c r="IA2" s="43"/>
      <c r="IB2" s="43"/>
      <c r="IC2" s="43"/>
      <c r="ID2" s="43"/>
      <c r="IE2" s="43"/>
      <c r="IF2" s="43"/>
      <c r="IG2" s="43"/>
      <c r="IH2" s="43"/>
      <c r="II2" s="43"/>
      <c r="IJ2" s="43"/>
      <c r="IK2" s="43"/>
      <c r="IL2" s="43"/>
      <c r="IM2" s="43"/>
      <c r="IN2" s="43"/>
      <c r="IO2" s="43"/>
      <c r="IP2" s="43"/>
      <c r="IQ2" s="43"/>
      <c r="IR2" s="43"/>
      <c r="IS2" s="43"/>
      <c r="IT2" s="43"/>
      <c r="IU2" s="43"/>
      <c r="IV2" s="43"/>
      <c r="IW2" s="43"/>
      <c r="IX2" s="43"/>
      <c r="IY2" s="43"/>
      <c r="IZ2" s="43"/>
      <c r="JA2" s="43"/>
      <c r="JB2" s="43"/>
      <c r="JC2" s="43"/>
      <c r="JD2" s="43"/>
      <c r="JE2" s="43"/>
      <c r="JF2" s="43"/>
      <c r="JG2" s="43"/>
      <c r="JH2" s="43"/>
      <c r="JI2" s="43"/>
      <c r="JJ2" s="43"/>
      <c r="JK2" s="43"/>
      <c r="JL2" s="43"/>
      <c r="JM2" s="43"/>
      <c r="JN2" s="43"/>
      <c r="JO2" s="43"/>
      <c r="JP2" s="43"/>
      <c r="JQ2" s="43"/>
      <c r="JR2" s="43"/>
      <c r="JS2" s="43"/>
      <c r="JT2" s="43"/>
      <c r="JU2" s="43"/>
      <c r="JV2" s="43"/>
      <c r="JW2" s="43"/>
      <c r="JX2" s="43"/>
      <c r="JY2" s="43"/>
      <c r="JZ2" s="43"/>
      <c r="KA2" s="43"/>
      <c r="KB2" s="43"/>
      <c r="KC2" s="43"/>
      <c r="KD2" s="43"/>
      <c r="KE2" s="43"/>
      <c r="KF2" s="43"/>
      <c r="KG2" s="43"/>
      <c r="KH2" s="43"/>
      <c r="KI2" s="43"/>
      <c r="KJ2" s="43"/>
      <c r="KK2" s="43"/>
      <c r="KL2" s="43"/>
      <c r="KM2" s="43"/>
      <c r="KN2" s="43"/>
      <c r="KO2" s="43"/>
      <c r="KP2" s="43"/>
      <c r="KQ2" s="43"/>
      <c r="KR2" s="43"/>
      <c r="KS2" s="43"/>
      <c r="KT2" s="43"/>
      <c r="KU2" s="43"/>
      <c r="KV2" s="43"/>
      <c r="KW2" s="43"/>
      <c r="KX2" s="43"/>
      <c r="KY2" s="43"/>
      <c r="KZ2" s="43"/>
      <c r="LA2" s="43"/>
      <c r="LB2" s="43"/>
      <c r="LC2" s="43"/>
      <c r="LD2" s="43"/>
      <c r="LE2" s="43"/>
      <c r="LF2" s="43"/>
      <c r="LG2" s="43"/>
      <c r="LH2" s="43"/>
      <c r="LI2" s="43"/>
      <c r="LJ2" s="43"/>
      <c r="LK2" s="43"/>
      <c r="LL2" s="43"/>
      <c r="LM2" s="43"/>
      <c r="LN2" s="43"/>
      <c r="LO2" s="43"/>
      <c r="LP2" s="43"/>
      <c r="LQ2" s="43"/>
      <c r="LR2" s="43"/>
      <c r="LS2" s="43"/>
      <c r="LT2" s="43"/>
      <c r="LU2" s="43"/>
      <c r="LV2" s="43"/>
      <c r="LW2" s="43"/>
      <c r="LX2" s="43"/>
      <c r="LY2" s="43"/>
      <c r="LZ2" s="43"/>
      <c r="MA2" s="43"/>
      <c r="MB2" s="43"/>
      <c r="MC2" s="43"/>
      <c r="MD2" s="43"/>
      <c r="ME2" s="43"/>
      <c r="MF2" s="43"/>
      <c r="MG2" s="43"/>
      <c r="MH2" s="43"/>
      <c r="MI2" s="43"/>
      <c r="MJ2" s="43"/>
      <c r="MK2" s="43"/>
      <c r="ML2" s="43"/>
      <c r="MM2" s="43"/>
      <c r="MN2" s="43"/>
      <c r="MO2" s="43"/>
      <c r="MP2" s="43"/>
      <c r="MQ2" s="43"/>
      <c r="MR2" s="43"/>
      <c r="MS2" s="43"/>
      <c r="MT2" s="43"/>
      <c r="MU2" s="43"/>
      <c r="MV2" s="43"/>
      <c r="MW2" s="43"/>
      <c r="MX2" s="43"/>
      <c r="MY2" s="43"/>
      <c r="MZ2" s="43"/>
      <c r="NA2" s="43"/>
      <c r="NB2" s="43"/>
      <c r="NC2" s="43"/>
      <c r="ND2" s="43"/>
      <c r="NE2" s="43"/>
      <c r="NF2" s="43"/>
      <c r="NG2" s="43"/>
      <c r="NH2" s="43"/>
      <c r="NI2" s="43"/>
      <c r="NJ2" s="44"/>
      <c r="NK2" s="44"/>
      <c r="NL2" s="44"/>
      <c r="NM2" s="44"/>
      <c r="NN2" s="44"/>
      <c r="NO2" s="43"/>
      <c r="NP2" s="43"/>
      <c r="NQ2" s="43"/>
      <c r="NR2" s="43"/>
      <c r="NS2" s="43"/>
      <c r="NT2" s="43"/>
      <c r="NU2" s="43"/>
      <c r="NV2" s="43"/>
      <c r="NW2" s="43"/>
      <c r="NX2" s="43"/>
      <c r="NY2" s="43"/>
      <c r="NZ2" s="43"/>
      <c r="OA2" s="43"/>
      <c r="OB2" s="43"/>
      <c r="OC2" s="43"/>
      <c r="OD2" s="43"/>
      <c r="OE2" s="43"/>
      <c r="OF2" s="43"/>
      <c r="OG2" s="43"/>
      <c r="OH2" s="43"/>
      <c r="OI2" s="43"/>
      <c r="OJ2" s="43"/>
      <c r="OK2" s="43"/>
      <c r="OL2" s="43"/>
      <c r="OM2" s="43"/>
      <c r="ON2" s="43"/>
      <c r="OO2" s="43"/>
      <c r="OP2" s="43"/>
      <c r="OQ2" s="43"/>
      <c r="OR2" s="43"/>
      <c r="OS2" s="43"/>
      <c r="OT2" s="43"/>
      <c r="OU2" s="43"/>
      <c r="OV2" s="43"/>
      <c r="OW2" s="43"/>
      <c r="OX2" s="43"/>
      <c r="OY2" s="43"/>
      <c r="OZ2" s="43"/>
      <c r="PA2" s="43"/>
      <c r="PB2" s="43"/>
      <c r="PC2" s="43"/>
      <c r="PD2" s="43"/>
      <c r="PE2" s="43"/>
      <c r="PF2" s="43"/>
      <c r="PG2" s="43"/>
      <c r="PH2" s="43"/>
      <c r="PI2" s="43"/>
      <c r="PJ2" s="43"/>
      <c r="PK2" s="43"/>
      <c r="PL2" s="43"/>
      <c r="PM2" s="43"/>
      <c r="PN2" s="43"/>
      <c r="PO2" s="43"/>
      <c r="PP2" s="43"/>
      <c r="PQ2" s="43"/>
      <c r="PR2" s="43"/>
      <c r="PS2" s="43"/>
      <c r="PT2" s="43"/>
      <c r="PU2" s="43"/>
      <c r="PV2" s="43"/>
      <c r="PW2" s="43"/>
      <c r="PX2" s="43"/>
      <c r="PY2" s="43"/>
      <c r="PZ2" s="43"/>
      <c r="QA2" s="43"/>
      <c r="QB2" s="43"/>
      <c r="QC2" s="43"/>
      <c r="QD2" s="43"/>
      <c r="QE2" s="43"/>
      <c r="QF2" s="43"/>
      <c r="QG2" s="43"/>
      <c r="QH2" s="43"/>
      <c r="QI2" s="43"/>
      <c r="QJ2" s="43"/>
      <c r="QK2" s="43"/>
      <c r="QL2" s="43"/>
      <c r="QM2" s="43"/>
      <c r="QN2" s="43"/>
      <c r="QO2" s="43"/>
      <c r="QP2" s="43"/>
      <c r="QQ2" s="43"/>
      <c r="QR2" s="43"/>
      <c r="QS2" s="43"/>
      <c r="QT2" s="43"/>
      <c r="QU2" s="43"/>
      <c r="QV2" s="43"/>
      <c r="QW2" s="43"/>
      <c r="QX2" s="43"/>
      <c r="QY2" s="43"/>
      <c r="QZ2" s="43"/>
      <c r="RA2" s="43"/>
      <c r="RB2" s="43"/>
      <c r="RC2" s="43"/>
      <c r="RD2" s="43"/>
      <c r="RE2" s="43"/>
      <c r="RF2" s="43"/>
      <c r="RG2" s="43"/>
      <c r="RH2" s="43"/>
      <c r="RI2" s="43"/>
      <c r="RJ2" s="43"/>
      <c r="RK2" s="43"/>
      <c r="RL2" s="43"/>
      <c r="RM2" s="43"/>
      <c r="RN2" s="43"/>
      <c r="RO2" s="43"/>
      <c r="RP2" s="43"/>
      <c r="RQ2" s="43"/>
      <c r="RR2" s="43"/>
      <c r="RS2" s="43"/>
      <c r="RT2" s="43"/>
      <c r="RU2" s="43"/>
      <c r="RV2" s="43"/>
      <c r="RW2" s="43"/>
      <c r="RX2" s="43"/>
      <c r="RY2" s="43"/>
      <c r="RZ2" s="43"/>
      <c r="SA2" s="43"/>
      <c r="SB2" s="43"/>
      <c r="SC2" s="43"/>
      <c r="SD2" s="43"/>
      <c r="SE2" s="43"/>
      <c r="SF2" s="43"/>
      <c r="SG2" s="43"/>
      <c r="SH2" s="43"/>
      <c r="SI2" s="43"/>
      <c r="SJ2" s="43"/>
      <c r="SK2" s="43"/>
      <c r="SL2" s="43"/>
      <c r="SM2" s="43"/>
      <c r="SN2" s="43"/>
      <c r="SO2" s="43"/>
      <c r="SP2" s="43"/>
      <c r="SQ2" s="43"/>
      <c r="SR2" s="43"/>
      <c r="SS2" s="43"/>
      <c r="ST2" s="43"/>
      <c r="SU2" s="43"/>
      <c r="SV2" s="43"/>
      <c r="SW2" s="43"/>
      <c r="SX2" s="43"/>
      <c r="SY2" s="43"/>
      <c r="SZ2" s="43"/>
      <c r="TA2" s="43"/>
      <c r="TB2" s="43"/>
      <c r="TC2" s="43"/>
      <c r="TD2" s="43"/>
      <c r="TE2" s="43"/>
      <c r="TF2" s="43"/>
      <c r="TG2" s="43"/>
      <c r="TH2" s="43"/>
      <c r="TI2" s="43"/>
      <c r="TJ2" s="43"/>
      <c r="TK2" s="43"/>
      <c r="TL2" s="43"/>
      <c r="TM2" s="43"/>
      <c r="TN2" s="43"/>
      <c r="TO2" s="43"/>
      <c r="TP2" s="43"/>
      <c r="TQ2" s="43"/>
      <c r="TR2" s="43"/>
      <c r="TS2" s="43"/>
      <c r="TT2" s="43"/>
      <c r="TU2" s="43"/>
      <c r="TV2" s="43"/>
      <c r="TW2" s="43"/>
      <c r="TX2" s="43"/>
      <c r="TY2" s="43"/>
      <c r="TZ2" s="43"/>
      <c r="UA2" s="43"/>
      <c r="UB2" s="43"/>
      <c r="UC2" s="43"/>
      <c r="UD2" s="43"/>
      <c r="UE2" s="43"/>
      <c r="UF2" s="43"/>
      <c r="UG2" s="43"/>
      <c r="UH2" s="43"/>
      <c r="UI2" s="43"/>
      <c r="UJ2" s="43"/>
      <c r="UK2" s="43"/>
      <c r="UL2" s="43"/>
      <c r="UM2" s="43"/>
      <c r="UN2" s="43"/>
      <c r="UO2" s="43"/>
      <c r="UP2" s="43"/>
      <c r="UQ2" s="43"/>
      <c r="UR2" s="43"/>
      <c r="US2" s="43"/>
      <c r="UT2" s="43"/>
      <c r="UU2" s="43"/>
      <c r="UV2" s="43"/>
      <c r="UW2" s="43"/>
      <c r="UX2" s="43"/>
      <c r="UY2" s="43"/>
      <c r="UZ2" s="43"/>
      <c r="VA2" s="43"/>
      <c r="VB2" s="43"/>
      <c r="VC2" s="43"/>
      <c r="VD2" s="43"/>
      <c r="VE2" s="43"/>
      <c r="VF2" s="43"/>
      <c r="VG2" s="43"/>
      <c r="VH2" s="43"/>
      <c r="VI2" s="43"/>
      <c r="VJ2" s="43"/>
      <c r="VK2" s="43"/>
      <c r="VL2" s="43"/>
      <c r="VM2" s="43"/>
      <c r="VN2" s="43"/>
      <c r="VO2" s="43"/>
      <c r="VP2" s="43"/>
      <c r="VQ2" s="43"/>
      <c r="VR2" s="43"/>
      <c r="VS2" s="43"/>
      <c r="VT2" s="43"/>
      <c r="VU2" s="43"/>
      <c r="VV2" s="43"/>
      <c r="VW2" s="43"/>
      <c r="VX2" s="43"/>
      <c r="VY2" s="43"/>
      <c r="VZ2" s="43"/>
      <c r="WA2" s="43"/>
      <c r="WB2" s="43"/>
      <c r="WC2" s="43"/>
      <c r="WD2" s="43"/>
      <c r="WE2" s="43"/>
      <c r="WF2" s="43"/>
      <c r="WG2" s="43"/>
      <c r="WH2" s="43"/>
      <c r="WI2" s="43"/>
      <c r="WJ2" s="43"/>
      <c r="WK2" s="43"/>
      <c r="WL2" s="43"/>
      <c r="WM2" s="43"/>
      <c r="WN2" s="43"/>
      <c r="WO2" s="43"/>
      <c r="WP2" s="43"/>
      <c r="WQ2" s="43"/>
      <c r="WR2" s="43"/>
      <c r="WS2" s="43"/>
      <c r="WT2" s="43"/>
      <c r="WU2" s="43"/>
      <c r="WV2" s="43"/>
      <c r="WW2" s="43"/>
      <c r="WX2" s="43"/>
      <c r="WY2" s="43"/>
      <c r="WZ2" s="43"/>
      <c r="XA2" s="43"/>
      <c r="XB2" s="43"/>
      <c r="XC2" s="43"/>
      <c r="XD2" s="43"/>
      <c r="XE2" s="43"/>
      <c r="XF2" s="43"/>
      <c r="XG2" s="43"/>
      <c r="XH2" s="43"/>
      <c r="XI2" s="43"/>
      <c r="XJ2" s="43"/>
      <c r="XK2" s="43"/>
      <c r="XL2" s="43"/>
      <c r="XM2" s="43"/>
      <c r="XN2" s="43"/>
      <c r="XO2" s="43"/>
      <c r="XP2" s="43"/>
      <c r="XQ2" s="43"/>
      <c r="XR2" s="43"/>
      <c r="XS2" s="43"/>
      <c r="XT2" s="43"/>
      <c r="XU2" s="43"/>
      <c r="XV2" s="43"/>
      <c r="XW2" s="43"/>
      <c r="XX2" s="43"/>
      <c r="XY2" s="43"/>
      <c r="XZ2" s="43"/>
      <c r="YA2" s="44"/>
      <c r="YB2" s="44"/>
      <c r="YC2" s="44"/>
      <c r="YD2" s="44"/>
      <c r="YE2" s="44"/>
      <c r="YF2" s="43"/>
      <c r="YG2" s="43"/>
      <c r="YH2" s="43"/>
      <c r="YI2" s="43"/>
      <c r="YJ2" s="43"/>
      <c r="YK2" s="43"/>
      <c r="YL2" s="43"/>
      <c r="YM2" s="43"/>
      <c r="YN2" s="43"/>
      <c r="YO2" s="43"/>
      <c r="YP2" s="43"/>
      <c r="YQ2" s="43"/>
      <c r="YR2" s="43"/>
      <c r="YS2" s="43"/>
      <c r="YT2" s="43"/>
      <c r="YU2" s="43"/>
      <c r="YV2" s="43"/>
      <c r="YW2" s="43"/>
      <c r="YX2" s="43"/>
      <c r="YY2" s="43"/>
      <c r="YZ2" s="43"/>
      <c r="ZA2" s="43"/>
      <c r="ZB2" s="43"/>
      <c r="ZC2" s="43"/>
      <c r="ZD2" s="43"/>
      <c r="ZE2" s="43"/>
      <c r="ZF2" s="43"/>
      <c r="ZG2" s="43"/>
      <c r="ZH2" s="43"/>
      <c r="ZI2" s="43"/>
      <c r="ZJ2" s="43"/>
      <c r="ZK2" s="43"/>
      <c r="ZL2" s="43"/>
      <c r="ZM2" s="43"/>
      <c r="ZN2" s="43"/>
      <c r="ZO2" s="43"/>
      <c r="ZP2" s="43"/>
      <c r="ZQ2" s="43"/>
      <c r="ZR2" s="43"/>
      <c r="ZS2" s="43"/>
      <c r="ZT2" s="43"/>
      <c r="ZU2" s="43"/>
      <c r="ZV2" s="43"/>
      <c r="ZW2" s="44"/>
      <c r="ZX2" s="44"/>
      <c r="ZY2" s="44"/>
      <c r="ZZ2" s="44"/>
      <c r="AAA2" s="44"/>
      <c r="AAB2" s="44"/>
      <c r="AAC2" s="44"/>
      <c r="AAD2" s="44"/>
      <c r="AAE2" s="44"/>
      <c r="AAF2" s="44"/>
      <c r="AAG2" s="43"/>
      <c r="AAH2" s="43"/>
      <c r="AAI2" s="43"/>
      <c r="AAJ2" s="43"/>
      <c r="AAK2" s="43"/>
      <c r="AAL2" s="43"/>
      <c r="AAM2" s="43"/>
      <c r="AAN2" s="43"/>
      <c r="AAO2" s="43"/>
      <c r="AAP2" s="43"/>
      <c r="AAQ2" s="43"/>
      <c r="AAR2" s="43"/>
      <c r="AAS2" s="43"/>
      <c r="AAT2" s="43"/>
      <c r="AAU2" s="43"/>
      <c r="AAV2" s="43"/>
      <c r="AAW2" s="43"/>
      <c r="AAX2" s="43"/>
      <c r="AAY2" s="43"/>
      <c r="AAZ2" s="43"/>
      <c r="ABA2" s="43"/>
      <c r="ABB2" s="43"/>
      <c r="ABC2" s="43"/>
      <c r="ABD2" s="43"/>
      <c r="ABE2" s="43"/>
      <c r="ABF2" s="43"/>
      <c r="ABG2" s="43"/>
      <c r="ABH2" s="43"/>
      <c r="ABI2" s="43"/>
      <c r="ABJ2" s="43"/>
      <c r="ABK2" s="43"/>
      <c r="ABL2" s="43"/>
      <c r="ABM2" s="43"/>
      <c r="ABN2" s="43"/>
      <c r="ABO2" s="43"/>
      <c r="ABP2" s="43"/>
      <c r="ABQ2" s="43"/>
      <c r="ABR2" s="43"/>
      <c r="ABS2" s="43"/>
      <c r="ABT2" s="43"/>
      <c r="ABU2" s="43"/>
      <c r="ABV2" s="43"/>
      <c r="ABW2" s="43"/>
      <c r="ABX2" s="43"/>
      <c r="ABY2" s="43"/>
      <c r="ABZ2" s="43"/>
      <c r="ACA2" s="43"/>
      <c r="ACB2" s="43"/>
      <c r="ACC2" s="43"/>
      <c r="ACD2" s="43"/>
      <c r="ACE2" s="43"/>
      <c r="ACF2" s="43"/>
      <c r="ACG2" s="43"/>
      <c r="ACH2" s="45"/>
    </row>
    <row r="3" spans="1:762" x14ac:dyDescent="0.25">
      <c r="A3" s="46" t="s">
        <v>11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7"/>
      <c r="CR3" s="47"/>
      <c r="CS3" s="47"/>
      <c r="CT3" s="47"/>
      <c r="CU3" s="47"/>
      <c r="CV3" s="47"/>
      <c r="CW3" s="47"/>
      <c r="CX3" s="47"/>
      <c r="CY3" s="47"/>
      <c r="CZ3" s="47"/>
      <c r="DA3" s="47"/>
      <c r="DB3" s="47"/>
      <c r="DC3" s="47"/>
      <c r="DD3" s="47"/>
      <c r="DE3" s="47"/>
      <c r="DF3" s="47"/>
      <c r="DG3" s="47"/>
      <c r="DH3" s="47"/>
      <c r="DI3" s="47"/>
      <c r="DJ3" s="47"/>
      <c r="DK3" s="47"/>
      <c r="DL3" s="47"/>
      <c r="DM3" s="47"/>
      <c r="DN3" s="47"/>
      <c r="DO3" s="47"/>
      <c r="DP3" s="47"/>
      <c r="DQ3" s="47"/>
      <c r="DR3" s="47"/>
      <c r="DS3" s="47"/>
      <c r="DT3" s="47"/>
      <c r="DU3" s="47"/>
      <c r="DV3" s="47"/>
      <c r="DW3" s="47"/>
      <c r="DX3" s="47"/>
      <c r="DY3" s="47"/>
      <c r="DZ3" s="47"/>
      <c r="EA3" s="47"/>
      <c r="EB3" s="47"/>
      <c r="EC3" s="47"/>
      <c r="ED3" s="47"/>
      <c r="EE3" s="47"/>
      <c r="EF3" s="47">
        <v>13</v>
      </c>
      <c r="EG3" s="47"/>
      <c r="EH3" s="47"/>
      <c r="EI3" s="47"/>
      <c r="EJ3" s="47"/>
      <c r="EK3" s="47"/>
      <c r="EL3" s="47"/>
      <c r="EM3" s="47"/>
      <c r="EN3" s="47"/>
      <c r="EO3" s="47"/>
      <c r="EP3" s="47"/>
      <c r="EQ3" s="47"/>
      <c r="ER3" s="47"/>
      <c r="ES3" s="47"/>
      <c r="ET3" s="47"/>
      <c r="EU3" s="47"/>
      <c r="EV3" s="47"/>
      <c r="EW3" s="47"/>
      <c r="EX3" s="47"/>
      <c r="EY3" s="47"/>
      <c r="EZ3" s="47"/>
      <c r="FA3" s="47"/>
      <c r="FB3" s="47"/>
      <c r="FC3" s="47"/>
      <c r="FD3" s="47"/>
      <c r="FE3" s="47"/>
      <c r="FF3" s="47"/>
      <c r="FG3" s="47"/>
      <c r="FH3" s="47"/>
      <c r="FI3" s="47"/>
      <c r="FJ3" s="47"/>
      <c r="FK3" s="47"/>
      <c r="FL3" s="47"/>
      <c r="FM3" s="47"/>
      <c r="FN3" s="47"/>
      <c r="FO3" s="47"/>
      <c r="FP3" s="47"/>
      <c r="FQ3" s="47"/>
      <c r="FR3" s="47"/>
      <c r="FS3" s="47"/>
      <c r="FT3" s="47"/>
      <c r="FU3" s="47"/>
      <c r="FV3" s="47"/>
      <c r="FW3" s="47"/>
      <c r="FX3" s="47"/>
      <c r="FY3" s="47"/>
      <c r="FZ3" s="47"/>
      <c r="GA3" s="47"/>
      <c r="GB3" s="47"/>
      <c r="GC3" s="47"/>
      <c r="GD3" s="47"/>
      <c r="GE3" s="47"/>
      <c r="GF3" s="47"/>
      <c r="GG3" s="47"/>
      <c r="GH3" s="47"/>
      <c r="GI3" s="47"/>
      <c r="GJ3" s="47"/>
      <c r="GK3" s="47"/>
      <c r="GL3" s="47"/>
      <c r="GM3" s="47"/>
      <c r="GN3" s="47"/>
      <c r="GO3" s="47"/>
      <c r="GP3" s="47"/>
      <c r="GQ3" s="47"/>
      <c r="GR3" s="47"/>
      <c r="GS3" s="47"/>
      <c r="GT3" s="47"/>
      <c r="GU3" s="47">
        <v>24</v>
      </c>
      <c r="GV3" s="47"/>
      <c r="GW3" s="47"/>
      <c r="GX3" s="47"/>
      <c r="GY3" s="47"/>
      <c r="GZ3" s="47"/>
      <c r="HA3" s="47"/>
      <c r="HB3" s="47"/>
      <c r="HC3" s="47"/>
      <c r="HD3" s="47"/>
      <c r="HE3" s="47"/>
      <c r="HF3" s="47"/>
      <c r="HG3" s="47"/>
      <c r="HH3" s="47"/>
      <c r="HI3" s="47"/>
      <c r="HJ3" s="47"/>
      <c r="HK3" s="47"/>
      <c r="HL3" s="47"/>
      <c r="HM3" s="47"/>
      <c r="HN3" s="47"/>
      <c r="HO3" s="47"/>
      <c r="HP3" s="47"/>
      <c r="HQ3" s="47"/>
      <c r="HR3" s="47"/>
      <c r="HS3" s="47"/>
      <c r="HT3" s="47"/>
      <c r="HU3" s="47"/>
      <c r="HV3" s="47"/>
      <c r="HW3" s="47"/>
      <c r="HX3" s="47"/>
      <c r="HY3" s="47"/>
      <c r="HZ3" s="47"/>
      <c r="IA3" s="47"/>
      <c r="IB3" s="47"/>
      <c r="IC3" s="47"/>
      <c r="ID3" s="47"/>
      <c r="IE3" s="47"/>
      <c r="IF3" s="47"/>
      <c r="IG3" s="47"/>
      <c r="IH3" s="47"/>
      <c r="II3" s="47"/>
      <c r="IJ3" s="47"/>
      <c r="IK3" s="47"/>
      <c r="IL3" s="47"/>
      <c r="IM3" s="47"/>
      <c r="IN3" s="47"/>
      <c r="IO3" s="47"/>
      <c r="IP3" s="47"/>
      <c r="IQ3" s="47"/>
      <c r="IR3" s="47"/>
      <c r="IS3" s="47"/>
      <c r="IT3" s="47"/>
      <c r="IU3" s="47"/>
      <c r="IV3" s="47"/>
      <c r="IW3" s="47"/>
      <c r="IX3" s="47"/>
      <c r="IY3" s="47"/>
      <c r="IZ3" s="47"/>
      <c r="JA3" s="47"/>
      <c r="JB3" s="47"/>
      <c r="JC3" s="47"/>
      <c r="JD3" s="47"/>
      <c r="JE3" s="47"/>
      <c r="JF3" s="47"/>
      <c r="JG3" s="47"/>
      <c r="JH3" s="47">
        <v>49</v>
      </c>
      <c r="JI3" s="47"/>
      <c r="JJ3" s="47"/>
      <c r="JK3" s="47"/>
      <c r="JL3" s="47"/>
      <c r="JM3" s="47"/>
      <c r="JN3" s="47"/>
      <c r="JO3" s="47"/>
      <c r="JP3" s="47"/>
      <c r="JQ3" s="47"/>
      <c r="JR3" s="47"/>
      <c r="JS3" s="47"/>
      <c r="JT3" s="47"/>
      <c r="JU3" s="47"/>
      <c r="JV3" s="47"/>
      <c r="JW3" s="47"/>
      <c r="JX3" s="47"/>
      <c r="JY3" s="47"/>
      <c r="JZ3" s="47"/>
      <c r="KA3" s="47"/>
      <c r="KB3" s="47"/>
      <c r="KC3" s="47"/>
      <c r="KD3" s="47"/>
      <c r="KE3" s="47"/>
      <c r="KF3" s="47"/>
      <c r="KG3" s="47"/>
      <c r="KH3" s="47"/>
      <c r="KI3" s="47"/>
      <c r="KJ3" s="47"/>
      <c r="KK3" s="47"/>
      <c r="KL3" s="47"/>
      <c r="KM3" s="47"/>
      <c r="KN3" s="47"/>
      <c r="KO3" s="47"/>
      <c r="KP3" s="47"/>
      <c r="KQ3" s="47"/>
      <c r="KR3" s="47"/>
      <c r="KS3" s="47"/>
      <c r="KT3" s="47"/>
      <c r="KU3" s="47"/>
      <c r="KV3" s="47"/>
      <c r="KW3" s="47"/>
      <c r="KX3" s="47"/>
      <c r="KY3" s="47"/>
      <c r="KZ3" s="47"/>
      <c r="LA3" s="47"/>
      <c r="LB3" s="47"/>
      <c r="LC3" s="47"/>
      <c r="LD3" s="47"/>
      <c r="LE3" s="47"/>
      <c r="LF3" s="47"/>
      <c r="LG3" s="47"/>
      <c r="LH3" s="47"/>
      <c r="LI3" s="47"/>
      <c r="LJ3" s="47"/>
      <c r="LK3" s="47"/>
      <c r="LL3" s="47"/>
      <c r="LM3" s="47"/>
      <c r="LN3" s="47"/>
      <c r="LO3" s="47"/>
      <c r="LP3" s="47"/>
      <c r="LQ3" s="47"/>
      <c r="LR3" s="47"/>
      <c r="LS3" s="47"/>
      <c r="LT3" s="47">
        <v>222</v>
      </c>
      <c r="LU3" s="47"/>
      <c r="LV3" s="47"/>
      <c r="LW3" s="47"/>
      <c r="LX3" s="47"/>
      <c r="LY3" s="47"/>
      <c r="LZ3" s="47"/>
      <c r="MA3" s="47"/>
      <c r="MB3" s="47"/>
      <c r="MC3" s="47"/>
      <c r="MD3" s="47"/>
      <c r="ME3" s="47"/>
      <c r="MF3" s="47"/>
      <c r="MG3" s="47"/>
      <c r="MH3" s="47"/>
      <c r="MI3" s="47"/>
      <c r="MJ3" s="47"/>
      <c r="MK3" s="47"/>
      <c r="ML3" s="47"/>
      <c r="MM3" s="47"/>
      <c r="MN3" s="47"/>
      <c r="MO3" s="47"/>
      <c r="MP3" s="47"/>
      <c r="MQ3" s="47"/>
      <c r="MR3" s="47"/>
      <c r="MS3" s="47"/>
      <c r="MT3" s="47"/>
      <c r="MU3" s="47"/>
      <c r="MV3" s="47"/>
      <c r="MW3" s="47"/>
      <c r="MX3" s="47"/>
      <c r="MY3" s="47"/>
      <c r="MZ3" s="47"/>
      <c r="NA3" s="47"/>
      <c r="NB3" s="47"/>
      <c r="NC3" s="47"/>
      <c r="ND3" s="47"/>
      <c r="NE3" s="47"/>
      <c r="NF3" s="47"/>
      <c r="NG3" s="47"/>
      <c r="NH3" s="47"/>
      <c r="NI3" s="47"/>
      <c r="NJ3" s="44"/>
      <c r="NK3" s="44"/>
      <c r="NL3" s="44"/>
      <c r="NM3" s="44"/>
      <c r="NN3" s="44"/>
      <c r="NO3" s="47"/>
      <c r="NP3" s="47"/>
      <c r="NQ3" s="47"/>
      <c r="NR3" s="47"/>
      <c r="NS3" s="47"/>
      <c r="NT3" s="47"/>
      <c r="NU3" s="47"/>
      <c r="NV3" s="47"/>
      <c r="NW3" s="47"/>
      <c r="NX3" s="47"/>
      <c r="NY3" s="47"/>
      <c r="NZ3" s="47"/>
      <c r="OA3" s="47"/>
      <c r="OB3" s="47"/>
      <c r="OC3" s="47"/>
      <c r="OD3" s="47"/>
      <c r="OE3" s="47"/>
      <c r="OF3" s="47"/>
      <c r="OG3" s="47"/>
      <c r="OH3" s="47"/>
      <c r="OI3" s="47"/>
      <c r="OJ3" s="47"/>
      <c r="OK3" s="47"/>
      <c r="OL3" s="47"/>
      <c r="OM3" s="47"/>
      <c r="ON3" s="47"/>
      <c r="OO3" s="47"/>
      <c r="OP3" s="47"/>
      <c r="OQ3" s="47"/>
      <c r="OR3" s="47"/>
      <c r="OS3" s="47"/>
      <c r="OT3" s="47"/>
      <c r="OU3" s="47"/>
      <c r="OV3" s="47"/>
      <c r="OW3" s="47"/>
      <c r="OX3" s="47"/>
      <c r="OY3" s="47"/>
      <c r="OZ3" s="47"/>
      <c r="PA3" s="47"/>
      <c r="PB3" s="47"/>
      <c r="PC3" s="47"/>
      <c r="PD3" s="47"/>
      <c r="PE3" s="47"/>
      <c r="PF3" s="47"/>
      <c r="PG3" s="47"/>
      <c r="PH3" s="47"/>
      <c r="PI3" s="47"/>
      <c r="PJ3" s="47"/>
      <c r="PK3" s="47"/>
      <c r="PL3" s="47"/>
      <c r="PM3" s="47"/>
      <c r="PN3" s="47"/>
      <c r="PO3" s="47"/>
      <c r="PP3" s="47"/>
      <c r="PQ3" s="47"/>
      <c r="PR3" s="47"/>
      <c r="PS3" s="47"/>
      <c r="PT3" s="47"/>
      <c r="PU3" s="47"/>
      <c r="PV3" s="47"/>
      <c r="PW3" s="47"/>
      <c r="PX3" s="47"/>
      <c r="PY3" s="47"/>
      <c r="PZ3" s="47"/>
      <c r="QA3" s="47"/>
      <c r="QB3" s="47"/>
      <c r="QC3" s="47"/>
      <c r="QD3" s="47"/>
      <c r="QE3" s="47"/>
      <c r="QF3" s="47"/>
      <c r="QG3" s="47"/>
      <c r="QH3" s="47"/>
      <c r="QI3" s="47"/>
      <c r="QJ3" s="47"/>
      <c r="QK3" s="47"/>
      <c r="QL3" s="47"/>
      <c r="QM3" s="47"/>
      <c r="QN3" s="47"/>
      <c r="QO3" s="47"/>
      <c r="QP3" s="47"/>
      <c r="QQ3" s="47"/>
      <c r="QR3" s="47"/>
      <c r="QS3" s="47"/>
      <c r="QT3" s="47"/>
      <c r="QU3" s="47"/>
      <c r="QV3" s="47"/>
      <c r="QW3" s="47"/>
      <c r="QX3" s="47"/>
      <c r="QY3" s="47"/>
      <c r="QZ3" s="47"/>
      <c r="RA3" s="47"/>
      <c r="RB3" s="47"/>
      <c r="RC3" s="47"/>
      <c r="RD3" s="47"/>
      <c r="RE3" s="47"/>
      <c r="RF3" s="47"/>
      <c r="RG3" s="47"/>
      <c r="RH3" s="47"/>
      <c r="RI3" s="47"/>
      <c r="RJ3" s="47"/>
      <c r="RK3" s="47"/>
      <c r="RL3" s="47"/>
      <c r="RM3" s="47"/>
      <c r="RN3" s="47"/>
      <c r="RO3" s="47"/>
      <c r="RP3" s="47"/>
      <c r="RQ3" s="47"/>
      <c r="RR3" s="47"/>
      <c r="RS3" s="47"/>
      <c r="RT3" s="47"/>
      <c r="RU3" s="47"/>
      <c r="RV3" s="47"/>
      <c r="RW3" s="47"/>
      <c r="RX3" s="47"/>
      <c r="RY3" s="47"/>
      <c r="RZ3" s="47"/>
      <c r="SA3" s="47"/>
      <c r="SB3" s="47"/>
      <c r="SC3" s="47"/>
      <c r="SD3" s="47"/>
      <c r="SE3" s="47"/>
      <c r="SF3" s="47"/>
      <c r="SG3" s="47"/>
      <c r="SH3" s="47"/>
      <c r="SI3" s="47"/>
      <c r="SJ3" s="47"/>
      <c r="SK3" s="47"/>
      <c r="SL3" s="47"/>
      <c r="SM3" s="47"/>
      <c r="SN3" s="47"/>
      <c r="SO3" s="47"/>
      <c r="SP3" s="47"/>
      <c r="SQ3" s="47"/>
      <c r="SR3" s="47"/>
      <c r="SS3" s="47"/>
      <c r="ST3" s="47"/>
      <c r="SU3" s="47"/>
      <c r="SV3" s="47"/>
      <c r="SW3" s="47"/>
      <c r="SX3" s="47"/>
      <c r="SY3" s="47"/>
      <c r="SZ3" s="47"/>
      <c r="TA3" s="47"/>
      <c r="TB3" s="47"/>
      <c r="TC3" s="47"/>
      <c r="TD3" s="47"/>
      <c r="TE3" s="47"/>
      <c r="TF3" s="47"/>
      <c r="TG3" s="47"/>
      <c r="TH3" s="47"/>
      <c r="TI3" s="47"/>
      <c r="TJ3" s="47"/>
      <c r="TK3" s="47"/>
      <c r="TL3" s="47"/>
      <c r="TM3" s="47"/>
      <c r="TN3" s="47"/>
      <c r="TO3" s="47"/>
      <c r="TP3" s="47"/>
      <c r="TQ3" s="47"/>
      <c r="TR3" s="47"/>
      <c r="TS3" s="47"/>
      <c r="TT3" s="47"/>
      <c r="TU3" s="47"/>
      <c r="TV3" s="47"/>
      <c r="TW3" s="47"/>
      <c r="TX3" s="47"/>
      <c r="TY3" s="47"/>
      <c r="TZ3" s="47"/>
      <c r="UA3" s="47"/>
      <c r="UB3" s="47"/>
      <c r="UC3" s="47"/>
      <c r="UD3" s="47"/>
      <c r="UE3" s="47"/>
      <c r="UF3" s="47"/>
      <c r="UG3" s="47"/>
      <c r="UH3" s="47"/>
      <c r="UI3" s="47"/>
      <c r="UJ3" s="47"/>
      <c r="UK3" s="47"/>
      <c r="UL3" s="47"/>
      <c r="UM3" s="47"/>
      <c r="UN3" s="47"/>
      <c r="UO3" s="47"/>
      <c r="UP3" s="47"/>
      <c r="UQ3" s="47"/>
      <c r="UR3" s="47"/>
      <c r="US3" s="47"/>
      <c r="UT3" s="47"/>
      <c r="UU3" s="47"/>
      <c r="UV3" s="47"/>
      <c r="UW3" s="47"/>
      <c r="UX3" s="47"/>
      <c r="UY3" s="47"/>
      <c r="UZ3" s="47"/>
      <c r="VA3" s="47"/>
      <c r="VB3" s="47"/>
      <c r="VC3" s="47"/>
      <c r="VD3" s="47"/>
      <c r="VE3" s="47"/>
      <c r="VF3" s="47"/>
      <c r="VG3" s="47"/>
      <c r="VH3" s="47"/>
      <c r="VI3" s="47"/>
      <c r="VJ3" s="47"/>
      <c r="VK3" s="47"/>
      <c r="VL3" s="47"/>
      <c r="VM3" s="47"/>
      <c r="VN3" s="47"/>
      <c r="VO3" s="47"/>
      <c r="VP3" s="47"/>
      <c r="VQ3" s="47"/>
      <c r="VR3" s="47"/>
      <c r="VS3" s="47"/>
      <c r="VT3" s="47"/>
      <c r="VU3" s="47"/>
      <c r="VV3" s="47"/>
      <c r="VW3" s="47"/>
      <c r="VX3" s="47"/>
      <c r="VY3" s="47"/>
      <c r="VZ3" s="47"/>
      <c r="WA3" s="47"/>
      <c r="WB3" s="47"/>
      <c r="WC3" s="47"/>
      <c r="WD3" s="47"/>
      <c r="WE3" s="47"/>
      <c r="WF3" s="47"/>
      <c r="WG3" s="47"/>
      <c r="WH3" s="47"/>
      <c r="WI3" s="47"/>
      <c r="WJ3" s="47"/>
      <c r="WK3" s="47"/>
      <c r="WL3" s="47"/>
      <c r="WM3" s="47"/>
      <c r="WN3" s="47"/>
      <c r="WO3" s="47"/>
      <c r="WP3" s="47"/>
      <c r="WQ3" s="47"/>
      <c r="WR3" s="47"/>
      <c r="WS3" s="47"/>
      <c r="WT3" s="47"/>
      <c r="WU3" s="47"/>
      <c r="WV3" s="47"/>
      <c r="WW3" s="47"/>
      <c r="WX3" s="47"/>
      <c r="WY3" s="47"/>
      <c r="WZ3" s="47"/>
      <c r="XA3" s="47"/>
      <c r="XB3" s="47"/>
      <c r="XC3" s="47"/>
      <c r="XD3" s="47"/>
      <c r="XE3" s="47"/>
      <c r="XF3" s="47"/>
      <c r="XG3" s="47"/>
      <c r="XH3" s="47"/>
      <c r="XI3" s="47"/>
      <c r="XJ3" s="47"/>
      <c r="XK3" s="47"/>
      <c r="XL3" s="47"/>
      <c r="XM3" s="47"/>
      <c r="XN3" s="47"/>
      <c r="XO3" s="47"/>
      <c r="XP3" s="47"/>
      <c r="XQ3" s="47"/>
      <c r="XR3" s="47"/>
      <c r="XS3" s="47"/>
      <c r="XT3" s="47"/>
      <c r="XU3" s="47"/>
      <c r="XV3" s="47"/>
      <c r="XW3" s="47"/>
      <c r="XX3" s="47"/>
      <c r="XY3" s="47"/>
      <c r="XZ3" s="47"/>
      <c r="YA3" s="44"/>
      <c r="YB3" s="44"/>
      <c r="YC3" s="44"/>
      <c r="YD3" s="44"/>
      <c r="YE3" s="44"/>
      <c r="YF3" s="47"/>
      <c r="YG3" s="47"/>
      <c r="YH3" s="47"/>
      <c r="YI3" s="47"/>
      <c r="YJ3" s="47"/>
      <c r="YK3" s="47"/>
      <c r="YL3" s="47"/>
      <c r="YM3" s="47"/>
      <c r="YN3" s="47"/>
      <c r="YO3" s="47"/>
      <c r="YP3" s="47"/>
      <c r="YQ3" s="47"/>
      <c r="YR3" s="47"/>
      <c r="YS3" s="47"/>
      <c r="YT3" s="47"/>
      <c r="YU3" s="47"/>
      <c r="YV3" s="47"/>
      <c r="YW3" s="47"/>
      <c r="YX3" s="47"/>
      <c r="YY3" s="47"/>
      <c r="YZ3" s="47"/>
      <c r="ZA3" s="47"/>
      <c r="ZB3" s="47"/>
      <c r="ZC3" s="47"/>
      <c r="ZD3" s="47"/>
      <c r="ZE3" s="47"/>
      <c r="ZF3" s="47"/>
      <c r="ZG3" s="47"/>
      <c r="ZH3" s="47"/>
      <c r="ZI3" s="47"/>
      <c r="ZJ3" s="47"/>
      <c r="ZK3" s="47"/>
      <c r="ZL3" s="47"/>
      <c r="ZM3" s="47"/>
      <c r="ZN3" s="47"/>
      <c r="ZO3" s="47"/>
      <c r="ZP3" s="47"/>
      <c r="ZQ3" s="47"/>
      <c r="ZR3" s="47"/>
      <c r="ZS3" s="47"/>
      <c r="ZT3" s="47"/>
      <c r="ZU3" s="47"/>
      <c r="ZV3" s="47"/>
      <c r="ZW3" s="44"/>
      <c r="ZX3" s="44"/>
      <c r="ZY3" s="44"/>
      <c r="ZZ3" s="44"/>
      <c r="AAA3" s="44"/>
      <c r="AAB3" s="44"/>
      <c r="AAC3" s="44"/>
      <c r="AAD3" s="44"/>
      <c r="AAE3" s="44"/>
      <c r="AAF3" s="44"/>
      <c r="AAG3" s="47"/>
      <c r="AAH3" s="47"/>
      <c r="AAI3" s="47"/>
      <c r="AAJ3" s="47"/>
      <c r="AAK3" s="47"/>
      <c r="AAL3" s="47"/>
      <c r="AAM3" s="47"/>
      <c r="AAN3" s="47"/>
      <c r="AAO3" s="47"/>
      <c r="AAP3" s="47"/>
      <c r="AAQ3" s="47"/>
      <c r="AAR3" s="47"/>
      <c r="AAS3" s="47"/>
      <c r="AAT3" s="47"/>
      <c r="AAU3" s="47"/>
      <c r="AAV3" s="47"/>
      <c r="AAW3" s="47"/>
      <c r="AAX3" s="47"/>
      <c r="AAY3" s="47"/>
      <c r="AAZ3" s="47"/>
      <c r="ABA3" s="47"/>
      <c r="ABB3" s="47"/>
      <c r="ABC3" s="47"/>
      <c r="ABD3" s="47"/>
      <c r="ABE3" s="47"/>
      <c r="ABF3" s="47"/>
      <c r="ABG3" s="47"/>
      <c r="ABH3" s="47"/>
      <c r="ABI3" s="47"/>
      <c r="ABJ3" s="47"/>
      <c r="ABK3" s="47"/>
      <c r="ABL3" s="47"/>
      <c r="ABM3" s="47"/>
      <c r="ABN3" s="47"/>
      <c r="ABO3" s="47"/>
      <c r="ABP3" s="47"/>
      <c r="ABQ3" s="47"/>
      <c r="ABR3" s="47"/>
      <c r="ABS3" s="47"/>
      <c r="ABT3" s="47"/>
      <c r="ABU3" s="47"/>
      <c r="ABV3" s="47"/>
      <c r="ABW3" s="47"/>
      <c r="ABX3" s="47"/>
      <c r="ABY3" s="47"/>
      <c r="ABZ3" s="47"/>
      <c r="ACA3" s="47"/>
      <c r="ACB3" s="47"/>
      <c r="ACC3" s="47"/>
      <c r="ACD3" s="47"/>
      <c r="ACE3" s="47"/>
      <c r="ACF3" s="47"/>
      <c r="ACG3" s="47"/>
      <c r="ACH3" s="48"/>
    </row>
    <row r="4" spans="1:762" x14ac:dyDescent="0.25">
      <c r="A4" s="42" t="s">
        <v>12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3"/>
      <c r="CR4" s="43"/>
      <c r="CS4" s="43"/>
      <c r="CT4" s="43"/>
      <c r="CU4" s="43"/>
      <c r="CV4" s="43"/>
      <c r="CW4" s="43"/>
      <c r="CX4" s="43"/>
      <c r="CY4" s="43"/>
      <c r="CZ4" s="43"/>
      <c r="DA4" s="43"/>
      <c r="DB4" s="43"/>
      <c r="DC4" s="43"/>
      <c r="DD4" s="43"/>
      <c r="DE4" s="43"/>
      <c r="DF4" s="43"/>
      <c r="DG4" s="43"/>
      <c r="DH4" s="43"/>
      <c r="DI4" s="43"/>
      <c r="DJ4" s="43"/>
      <c r="DK4" s="43"/>
      <c r="DL4" s="43"/>
      <c r="DM4" s="43"/>
      <c r="DN4" s="43"/>
      <c r="DO4" s="43">
        <v>200</v>
      </c>
      <c r="DP4" s="43"/>
      <c r="DQ4" s="43"/>
      <c r="DR4" s="43"/>
      <c r="DS4" s="43"/>
      <c r="DT4" s="43"/>
      <c r="DU4" s="43"/>
      <c r="DV4" s="43"/>
      <c r="DW4" s="43"/>
      <c r="DX4" s="43"/>
      <c r="DY4" s="43"/>
      <c r="DZ4" s="43"/>
      <c r="EA4" s="43"/>
      <c r="EB4" s="43"/>
      <c r="EC4" s="43"/>
      <c r="ED4" s="43"/>
      <c r="EE4" s="43"/>
      <c r="EF4" s="43"/>
      <c r="EG4" s="43"/>
      <c r="EH4" s="43"/>
      <c r="EI4" s="43"/>
      <c r="EJ4" s="43">
        <v>28</v>
      </c>
      <c r="EK4" s="43"/>
      <c r="EL4" s="43"/>
      <c r="EM4" s="43"/>
      <c r="EN4" s="43"/>
      <c r="EO4" s="43"/>
      <c r="EP4" s="43"/>
      <c r="EQ4" s="43"/>
      <c r="ER4" s="43"/>
      <c r="ES4" s="43"/>
      <c r="ET4" s="43"/>
      <c r="EU4" s="43"/>
      <c r="EV4" s="43"/>
      <c r="EW4" s="43"/>
      <c r="EX4" s="43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>
        <v>32</v>
      </c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  <c r="IU4" s="43"/>
      <c r="IV4" s="43"/>
      <c r="IW4" s="43"/>
      <c r="IX4" s="43"/>
      <c r="IY4" s="43"/>
      <c r="IZ4" s="43"/>
      <c r="JA4" s="43"/>
      <c r="JB4" s="43"/>
      <c r="JC4" s="43"/>
      <c r="JD4" s="43"/>
      <c r="JE4" s="43"/>
      <c r="JF4" s="43"/>
      <c r="JG4" s="43"/>
      <c r="JH4" s="43"/>
      <c r="JI4" s="43"/>
      <c r="JJ4" s="43"/>
      <c r="JK4" s="43"/>
      <c r="JL4" s="43"/>
      <c r="JM4" s="43"/>
      <c r="JN4" s="43"/>
      <c r="JO4" s="43"/>
      <c r="JP4" s="43"/>
      <c r="JQ4" s="43"/>
      <c r="JR4" s="43"/>
      <c r="JS4" s="43"/>
      <c r="JT4" s="43"/>
      <c r="JU4" s="43"/>
      <c r="JV4" s="43"/>
      <c r="JW4" s="43"/>
      <c r="JX4" s="43"/>
      <c r="JY4" s="43"/>
      <c r="JZ4" s="43"/>
      <c r="KA4" s="43"/>
      <c r="KB4" s="43"/>
      <c r="KC4" s="43"/>
      <c r="KD4" s="43"/>
      <c r="KE4" s="43"/>
      <c r="KF4" s="43"/>
      <c r="KG4" s="43"/>
      <c r="KH4" s="43"/>
      <c r="KI4" s="43"/>
      <c r="KJ4" s="43"/>
      <c r="KK4" s="43"/>
      <c r="KL4" s="43"/>
      <c r="KM4" s="43"/>
      <c r="KN4" s="43"/>
      <c r="KO4" s="43"/>
      <c r="KP4" s="43"/>
      <c r="KQ4" s="43"/>
      <c r="KR4" s="43"/>
      <c r="KS4" s="43"/>
      <c r="KT4" s="43"/>
      <c r="KU4" s="43"/>
      <c r="KV4" s="43"/>
      <c r="KW4" s="43"/>
      <c r="KX4" s="43"/>
      <c r="KY4" s="43"/>
      <c r="KZ4" s="43"/>
      <c r="LA4" s="43"/>
      <c r="LB4" s="43"/>
      <c r="LC4" s="43"/>
      <c r="LD4" s="43"/>
      <c r="LE4" s="43"/>
      <c r="LF4" s="43"/>
      <c r="LG4" s="43"/>
      <c r="LH4" s="43"/>
      <c r="LI4" s="43"/>
      <c r="LJ4" s="43"/>
      <c r="LK4" s="43"/>
      <c r="LL4" s="43"/>
      <c r="LM4" s="43"/>
      <c r="LN4" s="43"/>
      <c r="LO4" s="43"/>
      <c r="LP4" s="43"/>
      <c r="LQ4" s="43"/>
      <c r="LR4" s="43"/>
      <c r="LS4" s="43"/>
      <c r="LT4" s="43"/>
      <c r="LU4" s="43"/>
      <c r="LV4" s="43"/>
      <c r="LW4" s="43">
        <v>249</v>
      </c>
      <c r="LX4" s="43"/>
      <c r="LY4" s="43"/>
      <c r="LZ4" s="43"/>
      <c r="MA4" s="43"/>
      <c r="MB4" s="43"/>
      <c r="MC4" s="43"/>
      <c r="MD4" s="43"/>
      <c r="ME4" s="43"/>
      <c r="MF4" s="43"/>
      <c r="MG4" s="43"/>
      <c r="MH4" s="43"/>
      <c r="MI4" s="43"/>
      <c r="MJ4" s="43"/>
      <c r="MK4" s="43"/>
      <c r="ML4" s="43"/>
      <c r="MM4" s="43"/>
      <c r="MN4" s="43"/>
      <c r="MO4" s="43"/>
      <c r="MP4" s="43"/>
      <c r="MQ4" s="43"/>
      <c r="MR4" s="43"/>
      <c r="MS4" s="43"/>
      <c r="MT4" s="43"/>
      <c r="MU4" s="43"/>
      <c r="MV4" s="43"/>
      <c r="MW4" s="43"/>
      <c r="MX4" s="43"/>
      <c r="MY4" s="43"/>
      <c r="MZ4" s="43"/>
      <c r="NA4" s="43"/>
      <c r="NB4" s="43"/>
      <c r="NC4" s="43"/>
      <c r="ND4" s="43"/>
      <c r="NE4" s="43"/>
      <c r="NF4" s="43"/>
      <c r="NG4" s="43"/>
      <c r="NH4" s="43"/>
      <c r="NI4" s="43"/>
      <c r="NJ4" s="44" t="s">
        <v>355</v>
      </c>
      <c r="NK4" s="44"/>
      <c r="NL4" s="44"/>
      <c r="NM4" s="44"/>
      <c r="NN4" s="44"/>
      <c r="NO4" s="43"/>
      <c r="NP4" s="43"/>
      <c r="NQ4" s="43"/>
      <c r="NR4" s="43"/>
      <c r="NS4" s="43"/>
      <c r="NT4" s="43"/>
      <c r="NU4" s="43"/>
      <c r="NV4" s="43"/>
      <c r="NW4" s="43"/>
      <c r="NX4" s="43"/>
      <c r="NY4" s="43"/>
      <c r="NZ4" s="43"/>
      <c r="OA4" s="43"/>
      <c r="OB4" s="43"/>
      <c r="OC4" s="43"/>
      <c r="OD4" s="43"/>
      <c r="OE4" s="43"/>
      <c r="OF4" s="43"/>
      <c r="OG4" s="43"/>
      <c r="OH4" s="43"/>
      <c r="OI4" s="43"/>
      <c r="OJ4" s="43"/>
      <c r="OK4" s="43"/>
      <c r="OL4" s="43"/>
      <c r="OM4" s="43"/>
      <c r="ON4" s="43"/>
      <c r="OO4" s="43"/>
      <c r="OP4" s="43"/>
      <c r="OQ4" s="43"/>
      <c r="OR4" s="43"/>
      <c r="OS4" s="43"/>
      <c r="OT4" s="43"/>
      <c r="OU4" s="43"/>
      <c r="OV4" s="43"/>
      <c r="OW4" s="43"/>
      <c r="OX4" s="43"/>
      <c r="OY4" s="43"/>
      <c r="OZ4" s="43"/>
      <c r="PA4" s="43"/>
      <c r="PB4" s="43"/>
      <c r="PC4" s="43"/>
      <c r="PD4" s="43"/>
      <c r="PE4" s="43"/>
      <c r="PF4" s="43"/>
      <c r="PG4" s="43"/>
      <c r="PH4" s="43"/>
      <c r="PI4" s="43"/>
      <c r="PJ4" s="43"/>
      <c r="PK4" s="43"/>
      <c r="PL4" s="43"/>
      <c r="PM4" s="43"/>
      <c r="PN4" s="43"/>
      <c r="PO4" s="43"/>
      <c r="PP4" s="43"/>
      <c r="PQ4" s="43"/>
      <c r="PR4" s="43"/>
      <c r="PS4" s="43"/>
      <c r="PT4" s="43"/>
      <c r="PU4" s="43"/>
      <c r="PV4" s="43"/>
      <c r="PW4" s="43"/>
      <c r="PX4" s="43"/>
      <c r="PY4" s="43"/>
      <c r="PZ4" s="43"/>
      <c r="QA4" s="43"/>
      <c r="QB4" s="43"/>
      <c r="QC4" s="43"/>
      <c r="QD4" s="43"/>
      <c r="QE4" s="43"/>
      <c r="QF4" s="43"/>
      <c r="QG4" s="43"/>
      <c r="QH4" s="43"/>
      <c r="QI4" s="43"/>
      <c r="QJ4" s="43"/>
      <c r="QK4" s="43"/>
      <c r="QL4" s="43"/>
      <c r="QM4" s="43"/>
      <c r="QN4" s="43"/>
      <c r="QO4" s="43"/>
      <c r="QP4" s="43"/>
      <c r="QQ4" s="43"/>
      <c r="QR4" s="43"/>
      <c r="QS4" s="43"/>
      <c r="QT4" s="43"/>
      <c r="QU4" s="43"/>
      <c r="QV4" s="43"/>
      <c r="QW4" s="43"/>
      <c r="QX4" s="43"/>
      <c r="QY4" s="43"/>
      <c r="QZ4" s="43"/>
      <c r="RA4" s="43"/>
      <c r="RB4" s="43"/>
      <c r="RC4" s="43"/>
      <c r="RD4" s="43"/>
      <c r="RE4" s="43"/>
      <c r="RF4" s="43"/>
      <c r="RG4" s="43"/>
      <c r="RH4" s="43"/>
      <c r="RI4" s="43"/>
      <c r="RJ4" s="43"/>
      <c r="RK4" s="43"/>
      <c r="RL4" s="43"/>
      <c r="RM4" s="43"/>
      <c r="RN4" s="43"/>
      <c r="RO4" s="43"/>
      <c r="RP4" s="43"/>
      <c r="RQ4" s="43"/>
      <c r="RR4" s="43"/>
      <c r="RS4" s="43"/>
      <c r="RT4" s="43"/>
      <c r="RU4" s="43"/>
      <c r="RV4" s="43"/>
      <c r="RW4" s="43"/>
      <c r="RX4" s="43"/>
      <c r="RY4" s="43"/>
      <c r="RZ4" s="43"/>
      <c r="SA4" s="43"/>
      <c r="SB4" s="43"/>
      <c r="SC4" s="43"/>
      <c r="SD4" s="43"/>
      <c r="SE4" s="43"/>
      <c r="SF4" s="43"/>
      <c r="SG4" s="43"/>
      <c r="SH4" s="43"/>
      <c r="SI4" s="43"/>
      <c r="SJ4" s="43"/>
      <c r="SK4" s="43"/>
      <c r="SL4" s="43"/>
      <c r="SM4" s="43"/>
      <c r="SN4" s="43"/>
      <c r="SO4" s="43"/>
      <c r="SP4" s="43"/>
      <c r="SQ4" s="43"/>
      <c r="SR4" s="43"/>
      <c r="SS4" s="43"/>
      <c r="ST4" s="43"/>
      <c r="SU4" s="43"/>
      <c r="SV4" s="43"/>
      <c r="SW4" s="43"/>
      <c r="SX4" s="43"/>
      <c r="SY4" s="43"/>
      <c r="SZ4" s="43"/>
      <c r="TA4" s="43"/>
      <c r="TB4" s="43"/>
      <c r="TC4" s="43"/>
      <c r="TD4" s="43"/>
      <c r="TE4" s="43"/>
      <c r="TF4" s="43"/>
      <c r="TG4" s="43"/>
      <c r="TH4" s="43"/>
      <c r="TI4" s="43"/>
      <c r="TJ4" s="43"/>
      <c r="TK4" s="43"/>
      <c r="TL4" s="43"/>
      <c r="TM4" s="43"/>
      <c r="TN4" s="43"/>
      <c r="TO4" s="43"/>
      <c r="TP4" s="43"/>
      <c r="TQ4" s="43"/>
      <c r="TR4" s="43"/>
      <c r="TS4" s="43"/>
      <c r="TT4" s="43"/>
      <c r="TU4" s="43"/>
      <c r="TV4" s="43"/>
      <c r="TW4" s="43"/>
      <c r="TX4" s="43"/>
      <c r="TY4" s="43"/>
      <c r="TZ4" s="43"/>
      <c r="UA4" s="43"/>
      <c r="UB4" s="43"/>
      <c r="UC4" s="43"/>
      <c r="UD4" s="43"/>
      <c r="UE4" s="43"/>
      <c r="UF4" s="43"/>
      <c r="UG4" s="43"/>
      <c r="UH4" s="43"/>
      <c r="UI4" s="43"/>
      <c r="UJ4" s="43"/>
      <c r="UK4" s="43"/>
      <c r="UL4" s="43"/>
      <c r="UM4" s="43"/>
      <c r="UN4" s="43"/>
      <c r="UO4" s="43"/>
      <c r="UP4" s="43"/>
      <c r="UQ4" s="43"/>
      <c r="UR4" s="43"/>
      <c r="US4" s="43"/>
      <c r="UT4" s="43"/>
      <c r="UU4" s="43"/>
      <c r="UV4" s="43"/>
      <c r="UW4" s="43"/>
      <c r="UX4" s="43"/>
      <c r="UY4" s="43"/>
      <c r="UZ4" s="43"/>
      <c r="VA4" s="43"/>
      <c r="VB4" s="43"/>
      <c r="VC4" s="43"/>
      <c r="VD4" s="43"/>
      <c r="VE4" s="43"/>
      <c r="VF4" s="43"/>
      <c r="VG4" s="43"/>
      <c r="VH4" s="43"/>
      <c r="VI4" s="43"/>
      <c r="VJ4" s="43"/>
      <c r="VK4" s="43"/>
      <c r="VL4" s="43"/>
      <c r="VM4" s="43"/>
      <c r="VN4" s="43"/>
      <c r="VO4" s="43"/>
      <c r="VP4" s="43"/>
      <c r="VQ4" s="43"/>
      <c r="VR4" s="43"/>
      <c r="VS4" s="43"/>
      <c r="VT4" s="43"/>
      <c r="VU4" s="43"/>
      <c r="VV4" s="43"/>
      <c r="VW4" s="43"/>
      <c r="VX4" s="43"/>
      <c r="VY4" s="43"/>
      <c r="VZ4" s="43"/>
      <c r="WA4" s="43"/>
      <c r="WB4" s="43"/>
      <c r="WC4" s="43"/>
      <c r="WD4" s="43"/>
      <c r="WE4" s="43"/>
      <c r="WF4" s="43"/>
      <c r="WG4" s="43"/>
      <c r="WH4" s="43"/>
      <c r="WI4" s="43"/>
      <c r="WJ4" s="43"/>
      <c r="WK4" s="43"/>
      <c r="WL4" s="43"/>
      <c r="WM4" s="43"/>
      <c r="WN4" s="43"/>
      <c r="WO4" s="43"/>
      <c r="WP4" s="43"/>
      <c r="WQ4" s="43"/>
      <c r="WR4" s="43"/>
      <c r="WS4" s="43"/>
      <c r="WT4" s="43"/>
      <c r="WU4" s="43"/>
      <c r="WV4" s="43"/>
      <c r="WW4" s="43"/>
      <c r="WX4" s="43"/>
      <c r="WY4" s="43"/>
      <c r="WZ4" s="43"/>
      <c r="XA4" s="43"/>
      <c r="XB4" s="43"/>
      <c r="XC4" s="43"/>
      <c r="XD4" s="43"/>
      <c r="XE4" s="43"/>
      <c r="XF4" s="43"/>
      <c r="XG4" s="43"/>
      <c r="XH4" s="43"/>
      <c r="XI4" s="43"/>
      <c r="XJ4" s="43"/>
      <c r="XK4" s="43"/>
      <c r="XL4" s="43"/>
      <c r="XM4" s="43"/>
      <c r="XN4" s="43"/>
      <c r="XO4" s="43"/>
      <c r="XP4" s="43"/>
      <c r="XQ4" s="43"/>
      <c r="XR4" s="43"/>
      <c r="XS4" s="43"/>
      <c r="XT4" s="43"/>
      <c r="XU4" s="43"/>
      <c r="XV4" s="43"/>
      <c r="XW4" s="43"/>
      <c r="XX4" s="43"/>
      <c r="XY4" s="43"/>
      <c r="XZ4" s="43"/>
      <c r="YA4" s="44"/>
      <c r="YB4" s="44"/>
      <c r="YC4" s="44"/>
      <c r="YD4" s="44"/>
      <c r="YE4" s="44"/>
      <c r="YF4" s="43"/>
      <c r="YG4" s="43"/>
      <c r="YH4" s="43"/>
      <c r="YI4" s="43"/>
      <c r="YJ4" s="43"/>
      <c r="YK4" s="43"/>
      <c r="YL4" s="43"/>
      <c r="YM4" s="43"/>
      <c r="YN4" s="43"/>
      <c r="YO4" s="43"/>
      <c r="YP4" s="43"/>
      <c r="YQ4" s="43"/>
      <c r="YR4" s="43"/>
      <c r="YS4" s="43"/>
      <c r="YT4" s="43"/>
      <c r="YU4" s="43"/>
      <c r="YV4" s="43"/>
      <c r="YW4" s="43"/>
      <c r="YX4" s="43"/>
      <c r="YY4" s="43"/>
      <c r="YZ4" s="43"/>
      <c r="ZA4" s="43"/>
      <c r="ZB4" s="43"/>
      <c r="ZC4" s="43"/>
      <c r="ZD4" s="43"/>
      <c r="ZE4" s="43"/>
      <c r="ZF4" s="43"/>
      <c r="ZG4" s="43"/>
      <c r="ZH4" s="43"/>
      <c r="ZI4" s="43"/>
      <c r="ZJ4" s="43"/>
      <c r="ZK4" s="43"/>
      <c r="ZL4" s="43"/>
      <c r="ZM4" s="43"/>
      <c r="ZN4" s="43"/>
      <c r="ZO4" s="43"/>
      <c r="ZP4" s="43"/>
      <c r="ZQ4" s="43"/>
      <c r="ZR4" s="43"/>
      <c r="ZS4" s="43"/>
      <c r="ZT4" s="43"/>
      <c r="ZU4" s="43"/>
      <c r="ZV4" s="43"/>
      <c r="ZW4" s="44"/>
      <c r="ZX4" s="44"/>
      <c r="ZY4" s="44"/>
      <c r="ZZ4" s="44"/>
      <c r="AAA4" s="44"/>
      <c r="AAB4" s="44"/>
      <c r="AAC4" s="44"/>
      <c r="AAD4" s="44"/>
      <c r="AAE4" s="44"/>
      <c r="AAF4" s="44"/>
      <c r="AAG4" s="43"/>
      <c r="AAH4" s="43"/>
      <c r="AAI4" s="43"/>
      <c r="AAJ4" s="43"/>
      <c r="AAK4" s="43"/>
      <c r="AAL4" s="43"/>
      <c r="AAM4" s="43"/>
      <c r="AAN4" s="43"/>
      <c r="AAO4" s="43"/>
      <c r="AAP4" s="43"/>
      <c r="AAQ4" s="43"/>
      <c r="AAR4" s="43"/>
      <c r="AAS4" s="43"/>
      <c r="AAT4" s="43"/>
      <c r="AAU4" s="43"/>
      <c r="AAV4" s="43"/>
      <c r="AAW4" s="43"/>
      <c r="AAX4" s="43"/>
      <c r="AAY4" s="43"/>
      <c r="AAZ4" s="43"/>
      <c r="ABA4" s="43"/>
      <c r="ABB4" s="43"/>
      <c r="ABC4" s="43"/>
      <c r="ABD4" s="43"/>
      <c r="ABE4" s="43"/>
      <c r="ABF4" s="43"/>
      <c r="ABG4" s="43"/>
      <c r="ABH4" s="43"/>
      <c r="ABI4" s="43"/>
      <c r="ABJ4" s="43"/>
      <c r="ABK4" s="43"/>
      <c r="ABL4" s="43"/>
      <c r="ABM4" s="43"/>
      <c r="ABN4" s="43"/>
      <c r="ABO4" s="43"/>
      <c r="ABP4" s="43"/>
      <c r="ABQ4" s="43"/>
      <c r="ABR4" s="43"/>
      <c r="ABS4" s="43"/>
      <c r="ABT4" s="43"/>
      <c r="ABU4" s="43"/>
      <c r="ABV4" s="43"/>
      <c r="ABW4" s="43"/>
      <c r="ABX4" s="43"/>
      <c r="ABY4" s="43"/>
      <c r="ABZ4" s="43"/>
      <c r="ACA4" s="43"/>
      <c r="ACB4" s="43"/>
      <c r="ACC4" s="43"/>
      <c r="ACD4" s="43"/>
      <c r="ACE4" s="43"/>
      <c r="ACF4" s="43"/>
      <c r="ACG4" s="43"/>
      <c r="ACH4" s="45"/>
    </row>
    <row r="5" spans="1:762" x14ac:dyDescent="0.25">
      <c r="A5" s="46" t="s">
        <v>16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>
        <v>11.64</v>
      </c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>
        <v>15</v>
      </c>
      <c r="EG5" s="47"/>
      <c r="EH5" s="47"/>
      <c r="EI5" s="47"/>
      <c r="EJ5" s="47"/>
      <c r="EK5" s="47"/>
      <c r="EL5" s="47"/>
      <c r="EM5" s="47"/>
      <c r="EN5" s="47"/>
      <c r="EO5" s="47"/>
      <c r="EP5" s="47"/>
      <c r="EQ5" s="47"/>
      <c r="ER5" s="47"/>
      <c r="ES5" s="47"/>
      <c r="ET5" s="47"/>
      <c r="EU5" s="47"/>
      <c r="EV5" s="47"/>
      <c r="EW5" s="47"/>
      <c r="EX5" s="47"/>
      <c r="EY5" s="47"/>
      <c r="EZ5" s="47"/>
      <c r="FA5" s="47"/>
      <c r="FB5" s="47"/>
      <c r="FC5" s="47"/>
      <c r="FD5" s="47"/>
      <c r="FE5" s="47"/>
      <c r="FF5" s="47"/>
      <c r="FG5" s="47"/>
      <c r="FH5" s="47"/>
      <c r="FI5" s="47"/>
      <c r="FJ5" s="47"/>
      <c r="FK5" s="47"/>
      <c r="FL5" s="47"/>
      <c r="FM5" s="47"/>
      <c r="FN5" s="47"/>
      <c r="FO5" s="47"/>
      <c r="FP5" s="47"/>
      <c r="FQ5" s="47"/>
      <c r="FR5" s="47"/>
      <c r="FS5" s="47"/>
      <c r="FT5" s="47"/>
      <c r="FU5" s="47"/>
      <c r="FV5" s="47"/>
      <c r="FW5" s="47"/>
      <c r="FX5" s="47"/>
      <c r="FY5" s="47"/>
      <c r="FZ5" s="47"/>
      <c r="GA5" s="47"/>
      <c r="GB5" s="47"/>
      <c r="GC5" s="47"/>
      <c r="GD5" s="47"/>
      <c r="GE5" s="47"/>
      <c r="GF5" s="47"/>
      <c r="GG5" s="47"/>
      <c r="GH5" s="47"/>
      <c r="GI5" s="47"/>
      <c r="GJ5" s="47"/>
      <c r="GK5" s="47"/>
      <c r="GL5" s="47"/>
      <c r="GM5" s="47"/>
      <c r="GN5" s="47"/>
      <c r="GO5" s="47"/>
      <c r="GP5" s="47"/>
      <c r="GQ5" s="47"/>
      <c r="GR5" s="47"/>
      <c r="GS5" s="47"/>
      <c r="GT5" s="47"/>
      <c r="GU5" s="47">
        <v>28</v>
      </c>
      <c r="GV5" s="47"/>
      <c r="GW5" s="47"/>
      <c r="GX5" s="47"/>
      <c r="GY5" s="47"/>
      <c r="GZ5" s="47"/>
      <c r="HA5" s="47"/>
      <c r="HB5" s="47"/>
      <c r="HC5" s="47"/>
      <c r="HD5" s="47"/>
      <c r="HE5" s="47"/>
      <c r="HF5" s="47"/>
      <c r="HG5" s="47"/>
      <c r="HH5" s="47"/>
      <c r="HI5" s="47"/>
      <c r="HJ5" s="47"/>
      <c r="HK5" s="47"/>
      <c r="HL5" s="47"/>
      <c r="HM5" s="47"/>
      <c r="HN5" s="47"/>
      <c r="HO5" s="47"/>
      <c r="HP5" s="47"/>
      <c r="HQ5" s="47"/>
      <c r="HR5" s="47"/>
      <c r="HS5" s="47"/>
      <c r="HT5" s="47"/>
      <c r="HU5" s="47"/>
      <c r="HV5" s="47"/>
      <c r="HW5" s="47"/>
      <c r="HX5" s="47"/>
      <c r="HY5" s="47"/>
      <c r="HZ5" s="47"/>
      <c r="IA5" s="47"/>
      <c r="IB5" s="47"/>
      <c r="IC5" s="47"/>
      <c r="ID5" s="47"/>
      <c r="IE5" s="47"/>
      <c r="IF5" s="47"/>
      <c r="IG5" s="47"/>
      <c r="IH5" s="47"/>
      <c r="II5" s="47"/>
      <c r="IJ5" s="47"/>
      <c r="IK5" s="47"/>
      <c r="IL5" s="47"/>
      <c r="IM5" s="47"/>
      <c r="IN5" s="47"/>
      <c r="IO5" s="47"/>
      <c r="IP5" s="47"/>
      <c r="IQ5" s="47"/>
      <c r="IR5" s="47"/>
      <c r="IS5" s="47"/>
      <c r="IT5" s="47"/>
      <c r="IU5" s="47"/>
      <c r="IV5" s="47"/>
      <c r="IW5" s="47"/>
      <c r="IX5" s="47"/>
      <c r="IY5" s="47"/>
      <c r="IZ5" s="47"/>
      <c r="JA5" s="47"/>
      <c r="JB5" s="47"/>
      <c r="JC5" s="47"/>
      <c r="JD5" s="47"/>
      <c r="JE5" s="47"/>
      <c r="JF5" s="47"/>
      <c r="JG5" s="47"/>
      <c r="JH5" s="47">
        <v>45</v>
      </c>
      <c r="JI5" s="47"/>
      <c r="JJ5" s="47"/>
      <c r="JK5" s="47"/>
      <c r="JL5" s="47"/>
      <c r="JM5" s="47"/>
      <c r="JN5" s="47"/>
      <c r="JO5" s="47"/>
      <c r="JP5" s="47"/>
      <c r="JQ5" s="47"/>
      <c r="JR5" s="47"/>
      <c r="JS5" s="47"/>
      <c r="JT5" s="47"/>
      <c r="JU5" s="47"/>
      <c r="JV5" s="47"/>
      <c r="JW5" s="47"/>
      <c r="JX5" s="47"/>
      <c r="JY5" s="47"/>
      <c r="JZ5" s="47"/>
      <c r="KA5" s="47"/>
      <c r="KB5" s="47"/>
      <c r="KC5" s="47"/>
      <c r="KD5" s="47"/>
      <c r="KE5" s="47"/>
      <c r="KF5" s="47"/>
      <c r="KG5" s="47"/>
      <c r="KH5" s="47"/>
      <c r="KI5" s="47"/>
      <c r="KJ5" s="47"/>
      <c r="KK5" s="47"/>
      <c r="KL5" s="47"/>
      <c r="KM5" s="47"/>
      <c r="KN5" s="47"/>
      <c r="KO5" s="47"/>
      <c r="KP5" s="47"/>
      <c r="KQ5" s="47"/>
      <c r="KR5" s="47"/>
      <c r="KS5" s="47"/>
      <c r="KT5" s="47"/>
      <c r="KU5" s="47"/>
      <c r="KV5" s="47"/>
      <c r="KW5" s="47"/>
      <c r="KX5" s="47"/>
      <c r="KY5" s="47"/>
      <c r="KZ5" s="47"/>
      <c r="LA5" s="47"/>
      <c r="LB5" s="47"/>
      <c r="LC5" s="47"/>
      <c r="LD5" s="47"/>
      <c r="LE5" s="47"/>
      <c r="LF5" s="47"/>
      <c r="LG5" s="47"/>
      <c r="LH5" s="47"/>
      <c r="LI5" s="47"/>
      <c r="LJ5" s="47"/>
      <c r="LK5" s="47"/>
      <c r="LL5" s="47"/>
      <c r="LM5" s="47"/>
      <c r="LN5" s="47"/>
      <c r="LO5" s="47"/>
      <c r="LP5" s="47"/>
      <c r="LQ5" s="47"/>
      <c r="LR5" s="47"/>
      <c r="LS5" s="47"/>
      <c r="LT5" s="47">
        <v>144</v>
      </c>
      <c r="LU5" s="47"/>
      <c r="LV5" s="47"/>
      <c r="LW5" s="47"/>
      <c r="LX5" s="47"/>
      <c r="LY5" s="47"/>
      <c r="LZ5" s="47"/>
      <c r="MA5" s="47"/>
      <c r="MB5" s="47"/>
      <c r="MC5" s="47"/>
      <c r="MD5" s="47"/>
      <c r="ME5" s="47"/>
      <c r="MF5" s="47"/>
      <c r="MG5" s="47"/>
      <c r="MH5" s="47"/>
      <c r="MI5" s="47"/>
      <c r="MJ5" s="47"/>
      <c r="MK5" s="47"/>
      <c r="ML5" s="47"/>
      <c r="MM5" s="47"/>
      <c r="MN5" s="47"/>
      <c r="MO5" s="47"/>
      <c r="MP5" s="47"/>
      <c r="MQ5" s="47"/>
      <c r="MR5" s="47"/>
      <c r="MS5" s="47"/>
      <c r="MT5" s="47"/>
      <c r="MU5" s="47"/>
      <c r="MV5" s="47"/>
      <c r="MW5" s="47"/>
      <c r="MX5" s="47"/>
      <c r="MY5" s="47"/>
      <c r="MZ5" s="47"/>
      <c r="NA5" s="47"/>
      <c r="NB5" s="47"/>
      <c r="NC5" s="47"/>
      <c r="ND5" s="47"/>
      <c r="NE5" s="47"/>
      <c r="NF5" s="47"/>
      <c r="NG5" s="47"/>
      <c r="NH5" s="47"/>
      <c r="NI5" s="47"/>
      <c r="NJ5" s="44"/>
      <c r="NK5" s="44">
        <v>6.8</v>
      </c>
      <c r="NL5" s="44"/>
      <c r="NM5" s="44"/>
      <c r="NN5" s="44"/>
      <c r="NO5" s="47"/>
      <c r="NP5" s="47"/>
      <c r="NQ5" s="47"/>
      <c r="NR5" s="47"/>
      <c r="NS5" s="47"/>
      <c r="NT5" s="47"/>
      <c r="NU5" s="47"/>
      <c r="NV5" s="47"/>
      <c r="NW5" s="47"/>
      <c r="NX5" s="47"/>
      <c r="NY5" s="47"/>
      <c r="NZ5" s="47"/>
      <c r="OA5" s="47"/>
      <c r="OB5" s="47"/>
      <c r="OC5" s="47"/>
      <c r="OD5" s="47"/>
      <c r="OE5" s="47"/>
      <c r="OF5" s="47"/>
      <c r="OG5" s="47"/>
      <c r="OH5" s="47"/>
      <c r="OI5" s="47"/>
      <c r="OJ5" s="47"/>
      <c r="OK5" s="47"/>
      <c r="OL5" s="47"/>
      <c r="OM5" s="47"/>
      <c r="ON5" s="47"/>
      <c r="OO5" s="47"/>
      <c r="OP5" s="47"/>
      <c r="OQ5" s="47"/>
      <c r="OR5" s="47"/>
      <c r="OS5" s="47"/>
      <c r="OT5" s="47"/>
      <c r="OU5" s="47"/>
      <c r="OV5" s="47"/>
      <c r="OW5" s="47"/>
      <c r="OX5" s="47"/>
      <c r="OY5" s="47"/>
      <c r="OZ5" s="47"/>
      <c r="PA5" s="47"/>
      <c r="PB5" s="47"/>
      <c r="PC5" s="47"/>
      <c r="PD5" s="47"/>
      <c r="PE5" s="47"/>
      <c r="PF5" s="47"/>
      <c r="PG5" s="47"/>
      <c r="PH5" s="47"/>
      <c r="PI5" s="47"/>
      <c r="PJ5" s="47"/>
      <c r="PK5" s="47"/>
      <c r="PL5" s="47"/>
      <c r="PM5" s="47"/>
      <c r="PN5" s="47"/>
      <c r="PO5" s="47"/>
      <c r="PP5" s="47"/>
      <c r="PQ5" s="47"/>
      <c r="PR5" s="47"/>
      <c r="PS5" s="47"/>
      <c r="PT5" s="47"/>
      <c r="PU5" s="47"/>
      <c r="PV5" s="47"/>
      <c r="PW5" s="47"/>
      <c r="PX5" s="47"/>
      <c r="PY5" s="47"/>
      <c r="PZ5" s="47"/>
      <c r="QA5" s="47"/>
      <c r="QB5" s="47"/>
      <c r="QC5" s="47"/>
      <c r="QD5" s="47"/>
      <c r="QE5" s="47"/>
      <c r="QF5" s="47"/>
      <c r="QG5" s="47"/>
      <c r="QH5" s="47"/>
      <c r="QI5" s="47"/>
      <c r="QJ5" s="47"/>
      <c r="QK5" s="47"/>
      <c r="QL5" s="47"/>
      <c r="QM5" s="47"/>
      <c r="QN5" s="47"/>
      <c r="QO5" s="47"/>
      <c r="QP5" s="47"/>
      <c r="QQ5" s="47"/>
      <c r="QR5" s="47"/>
      <c r="QS5" s="47"/>
      <c r="QT5" s="47"/>
      <c r="QU5" s="47"/>
      <c r="QV5" s="47"/>
      <c r="QW5" s="47"/>
      <c r="QX5" s="47"/>
      <c r="QY5" s="47"/>
      <c r="QZ5" s="47"/>
      <c r="RA5" s="47"/>
      <c r="RB5" s="47"/>
      <c r="RC5" s="47"/>
      <c r="RD5" s="47"/>
      <c r="RE5" s="47"/>
      <c r="RF5" s="47"/>
      <c r="RG5" s="47"/>
      <c r="RH5" s="47"/>
      <c r="RI5" s="47"/>
      <c r="RJ5" s="47"/>
      <c r="RK5" s="47"/>
      <c r="RL5" s="47"/>
      <c r="RM5" s="47"/>
      <c r="RN5" s="47"/>
      <c r="RO5" s="47"/>
      <c r="RP5" s="47"/>
      <c r="RQ5" s="47"/>
      <c r="RR5" s="47"/>
      <c r="RS5" s="47"/>
      <c r="RT5" s="47"/>
      <c r="RU5" s="47"/>
      <c r="RV5" s="47"/>
      <c r="RW5" s="47"/>
      <c r="RX5" s="47"/>
      <c r="RY5" s="47"/>
      <c r="RZ5" s="47"/>
      <c r="SA5" s="47"/>
      <c r="SB5" s="47"/>
      <c r="SC5" s="47"/>
      <c r="SD5" s="47"/>
      <c r="SE5" s="47"/>
      <c r="SF5" s="47"/>
      <c r="SG5" s="47"/>
      <c r="SH5" s="47"/>
      <c r="SI5" s="47"/>
      <c r="SJ5" s="47"/>
      <c r="SK5" s="47"/>
      <c r="SL5" s="47"/>
      <c r="SM5" s="47"/>
      <c r="SN5" s="47"/>
      <c r="SO5" s="47"/>
      <c r="SP5" s="47"/>
      <c r="SQ5" s="47"/>
      <c r="SR5" s="47"/>
      <c r="SS5" s="47"/>
      <c r="ST5" s="47"/>
      <c r="SU5" s="47"/>
      <c r="SV5" s="47"/>
      <c r="SW5" s="47"/>
      <c r="SX5" s="47"/>
      <c r="SY5" s="47"/>
      <c r="SZ5" s="47"/>
      <c r="TA5" s="47"/>
      <c r="TB5" s="47"/>
      <c r="TC5" s="47"/>
      <c r="TD5" s="47"/>
      <c r="TE5" s="47"/>
      <c r="TF5" s="47"/>
      <c r="TG5" s="47"/>
      <c r="TH5" s="47"/>
      <c r="TI5" s="47"/>
      <c r="TJ5" s="47"/>
      <c r="TK5" s="47"/>
      <c r="TL5" s="47"/>
      <c r="TM5" s="47"/>
      <c r="TN5" s="47"/>
      <c r="TO5" s="47"/>
      <c r="TP5" s="47"/>
      <c r="TQ5" s="47"/>
      <c r="TR5" s="47"/>
      <c r="TS5" s="47"/>
      <c r="TT5" s="47"/>
      <c r="TU5" s="47"/>
      <c r="TV5" s="47"/>
      <c r="TW5" s="47"/>
      <c r="TX5" s="47"/>
      <c r="TY5" s="47"/>
      <c r="TZ5" s="47"/>
      <c r="UA5" s="47"/>
      <c r="UB5" s="47"/>
      <c r="UC5" s="47"/>
      <c r="UD5" s="47"/>
      <c r="UE5" s="47"/>
      <c r="UF5" s="47"/>
      <c r="UG5" s="47"/>
      <c r="UH5" s="47"/>
      <c r="UI5" s="47"/>
      <c r="UJ5" s="47"/>
      <c r="UK5" s="47"/>
      <c r="UL5" s="47"/>
      <c r="UM5" s="47"/>
      <c r="UN5" s="47"/>
      <c r="UO5" s="47"/>
      <c r="UP5" s="47"/>
      <c r="UQ5" s="47"/>
      <c r="UR5" s="47"/>
      <c r="US5" s="47"/>
      <c r="UT5" s="47"/>
      <c r="UU5" s="47"/>
      <c r="UV5" s="47"/>
      <c r="UW5" s="47"/>
      <c r="UX5" s="47"/>
      <c r="UY5" s="47"/>
      <c r="UZ5" s="47"/>
      <c r="VA5" s="47"/>
      <c r="VB5" s="47"/>
      <c r="VC5" s="47"/>
      <c r="VD5" s="47"/>
      <c r="VE5" s="47"/>
      <c r="VF5" s="47"/>
      <c r="VG5" s="47"/>
      <c r="VH5" s="47"/>
      <c r="VI5" s="47"/>
      <c r="VJ5" s="47"/>
      <c r="VK5" s="47"/>
      <c r="VL5" s="47"/>
      <c r="VM5" s="47"/>
      <c r="VN5" s="47"/>
      <c r="VO5" s="47"/>
      <c r="VP5" s="47"/>
      <c r="VQ5" s="47"/>
      <c r="VR5" s="47"/>
      <c r="VS5" s="47"/>
      <c r="VT5" s="47"/>
      <c r="VU5" s="47"/>
      <c r="VV5" s="47"/>
      <c r="VW5" s="47"/>
      <c r="VX5" s="47"/>
      <c r="VY5" s="47"/>
      <c r="VZ5" s="47"/>
      <c r="WA5" s="47"/>
      <c r="WB5" s="47"/>
      <c r="WC5" s="47"/>
      <c r="WD5" s="47"/>
      <c r="WE5" s="47"/>
      <c r="WF5" s="47"/>
      <c r="WG5" s="47"/>
      <c r="WH5" s="47"/>
      <c r="WI5" s="47"/>
      <c r="WJ5" s="47"/>
      <c r="WK5" s="47"/>
      <c r="WL5" s="47"/>
      <c r="WM5" s="47"/>
      <c r="WN5" s="47"/>
      <c r="WO5" s="47"/>
      <c r="WP5" s="47"/>
      <c r="WQ5" s="47"/>
      <c r="WR5" s="47"/>
      <c r="WS5" s="47"/>
      <c r="WT5" s="47"/>
      <c r="WU5" s="47"/>
      <c r="WV5" s="47"/>
      <c r="WW5" s="47"/>
      <c r="WX5" s="47"/>
      <c r="WY5" s="47"/>
      <c r="WZ5" s="47"/>
      <c r="XA5" s="47"/>
      <c r="XB5" s="47"/>
      <c r="XC5" s="47"/>
      <c r="XD5" s="47"/>
      <c r="XE5" s="47"/>
      <c r="XF5" s="47"/>
      <c r="XG5" s="47"/>
      <c r="XH5" s="47"/>
      <c r="XI5" s="47"/>
      <c r="XJ5" s="47"/>
      <c r="XK5" s="47"/>
      <c r="XL5" s="47"/>
      <c r="XM5" s="47"/>
      <c r="XN5" s="47"/>
      <c r="XO5" s="47"/>
      <c r="XP5" s="47"/>
      <c r="XQ5" s="47"/>
      <c r="XR5" s="47"/>
      <c r="XS5" s="47"/>
      <c r="XT5" s="47"/>
      <c r="XU5" s="47"/>
      <c r="XV5" s="47"/>
      <c r="XW5" s="47"/>
      <c r="XX5" s="47"/>
      <c r="XY5" s="47"/>
      <c r="XZ5" s="47"/>
      <c r="YA5" s="44"/>
      <c r="YB5" s="44"/>
      <c r="YC5" s="44"/>
      <c r="YD5" s="44"/>
      <c r="YE5" s="44"/>
      <c r="YF5" s="47"/>
      <c r="YG5" s="47"/>
      <c r="YH5" s="47"/>
      <c r="YI5" s="47"/>
      <c r="YJ5" s="47"/>
      <c r="YK5" s="47"/>
      <c r="YL5" s="47"/>
      <c r="YM5" s="47"/>
      <c r="YN5" s="47"/>
      <c r="YO5" s="47"/>
      <c r="YP5" s="47"/>
      <c r="YQ5" s="47"/>
      <c r="YR5" s="47"/>
      <c r="YS5" s="47"/>
      <c r="YT5" s="47"/>
      <c r="YU5" s="47"/>
      <c r="YV5" s="47"/>
      <c r="YW5" s="47"/>
      <c r="YX5" s="47"/>
      <c r="YY5" s="47"/>
      <c r="YZ5" s="47"/>
      <c r="ZA5" s="47"/>
      <c r="ZB5" s="47"/>
      <c r="ZC5" s="47"/>
      <c r="ZD5" s="47"/>
      <c r="ZE5" s="47"/>
      <c r="ZF5" s="47"/>
      <c r="ZG5" s="47"/>
      <c r="ZH5" s="47"/>
      <c r="ZI5" s="47"/>
      <c r="ZJ5" s="47"/>
      <c r="ZK5" s="47"/>
      <c r="ZL5" s="47"/>
      <c r="ZM5" s="47"/>
      <c r="ZN5" s="47"/>
      <c r="ZO5" s="47"/>
      <c r="ZP5" s="47"/>
      <c r="ZQ5" s="47"/>
      <c r="ZR5" s="47"/>
      <c r="ZS5" s="47"/>
      <c r="ZT5" s="47"/>
      <c r="ZU5" s="47"/>
      <c r="ZV5" s="47"/>
      <c r="ZW5" s="44"/>
      <c r="ZX5" s="44"/>
      <c r="ZY5" s="44"/>
      <c r="ZZ5" s="44"/>
      <c r="AAA5" s="44"/>
      <c r="AAB5" s="44"/>
      <c r="AAC5" s="44"/>
      <c r="AAD5" s="44"/>
      <c r="AAE5" s="44"/>
      <c r="AAF5" s="44"/>
      <c r="AAG5" s="47"/>
      <c r="AAH5" s="47"/>
      <c r="AAI5" s="47"/>
      <c r="AAJ5" s="47"/>
      <c r="AAK5" s="47"/>
      <c r="AAL5" s="47"/>
      <c r="AAM5" s="47"/>
      <c r="AAN5" s="47"/>
      <c r="AAO5" s="47"/>
      <c r="AAP5" s="47"/>
      <c r="AAQ5" s="47"/>
      <c r="AAR5" s="47"/>
      <c r="AAS5" s="47"/>
      <c r="AAT5" s="47"/>
      <c r="AAU5" s="47"/>
      <c r="AAV5" s="47"/>
      <c r="AAW5" s="47"/>
      <c r="AAX5" s="47"/>
      <c r="AAY5" s="47"/>
      <c r="AAZ5" s="47"/>
      <c r="ABA5" s="47"/>
      <c r="ABB5" s="47"/>
      <c r="ABC5" s="47"/>
      <c r="ABD5" s="47"/>
      <c r="ABE5" s="47"/>
      <c r="ABF5" s="47"/>
      <c r="ABG5" s="47"/>
      <c r="ABH5" s="47"/>
      <c r="ABI5" s="47"/>
      <c r="ABJ5" s="47"/>
      <c r="ABK5" s="47"/>
      <c r="ABL5" s="47"/>
      <c r="ABM5" s="47"/>
      <c r="ABN5" s="47"/>
      <c r="ABO5" s="47"/>
      <c r="ABP5" s="47"/>
      <c r="ABQ5" s="47"/>
      <c r="ABR5" s="47"/>
      <c r="ABS5" s="47"/>
      <c r="ABT5" s="47"/>
      <c r="ABU5" s="47"/>
      <c r="ABV5" s="47"/>
      <c r="ABW5" s="47"/>
      <c r="ABX5" s="47"/>
      <c r="ABY5" s="47"/>
      <c r="ABZ5" s="47"/>
      <c r="ACA5" s="47"/>
      <c r="ACB5" s="47"/>
      <c r="ACC5" s="47"/>
      <c r="ACD5" s="47"/>
      <c r="ACE5" s="47"/>
      <c r="ACF5" s="47"/>
      <c r="ACG5" s="47"/>
      <c r="ACH5" s="48"/>
    </row>
    <row r="6" spans="1:762" x14ac:dyDescent="0.25">
      <c r="A6" s="42" t="s">
        <v>18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>
        <v>7</v>
      </c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  <c r="EV6" s="43"/>
      <c r="EW6" s="43"/>
      <c r="EX6" s="43"/>
      <c r="EY6" s="43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4"/>
      <c r="NK6" s="44"/>
      <c r="NL6" s="44"/>
      <c r="NM6" s="44"/>
      <c r="NN6" s="44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4"/>
      <c r="YB6" s="44"/>
      <c r="YC6" s="44"/>
      <c r="YD6" s="44"/>
      <c r="YE6" s="44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5"/>
    </row>
    <row r="7" spans="1:762" x14ac:dyDescent="0.25">
      <c r="A7" s="46" t="s">
        <v>20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>
        <v>18</v>
      </c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>
        <v>5300</v>
      </c>
      <c r="EG7" s="47">
        <v>136</v>
      </c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  <c r="EY7" s="47"/>
      <c r="EZ7" s="47"/>
      <c r="FA7" s="47"/>
      <c r="FB7" s="47"/>
      <c r="FC7" s="47"/>
      <c r="FD7" s="47"/>
      <c r="FE7" s="47"/>
      <c r="FF7" s="47"/>
      <c r="FG7" s="47"/>
      <c r="FH7" s="47"/>
      <c r="FI7" s="47"/>
      <c r="FJ7" s="47"/>
      <c r="FK7" s="47"/>
      <c r="FL7" s="47"/>
      <c r="FM7" s="47"/>
      <c r="FN7" s="47"/>
      <c r="FO7" s="47"/>
      <c r="FP7" s="47"/>
      <c r="FQ7" s="47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>
        <v>849</v>
      </c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4"/>
      <c r="NK7" s="44"/>
      <c r="NL7" s="44"/>
      <c r="NM7" s="44"/>
      <c r="NN7" s="44"/>
      <c r="NO7" s="47">
        <v>100</v>
      </c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>
        <v>128</v>
      </c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7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7"/>
      <c r="UZ7" s="47"/>
      <c r="VA7" s="47"/>
      <c r="VB7" s="47"/>
      <c r="VC7" s="47"/>
      <c r="VD7" s="47"/>
      <c r="VE7" s="47"/>
      <c r="VF7" s="47"/>
      <c r="VG7" s="47"/>
      <c r="VH7" s="47"/>
      <c r="VI7" s="47"/>
      <c r="VJ7" s="47"/>
      <c r="VK7" s="47"/>
      <c r="VL7" s="47"/>
      <c r="VM7" s="47"/>
      <c r="VN7" s="47"/>
      <c r="VO7" s="47"/>
      <c r="VP7" s="47"/>
      <c r="VQ7" s="47"/>
      <c r="VR7" s="47"/>
      <c r="VS7" s="47"/>
      <c r="VT7" s="47"/>
      <c r="VU7" s="47"/>
      <c r="VV7" s="47"/>
      <c r="VW7" s="47"/>
      <c r="VX7" s="47"/>
      <c r="VY7" s="47"/>
      <c r="VZ7" s="47"/>
      <c r="WA7" s="47"/>
      <c r="WB7" s="47"/>
      <c r="WC7" s="47"/>
      <c r="WD7" s="47"/>
      <c r="WE7" s="47"/>
      <c r="WF7" s="47"/>
      <c r="WG7" s="47"/>
      <c r="WH7" s="47"/>
      <c r="WI7" s="47"/>
      <c r="WJ7" s="47"/>
      <c r="WK7" s="47"/>
      <c r="WL7" s="47"/>
      <c r="WM7" s="47"/>
      <c r="WN7" s="47"/>
      <c r="WO7" s="47"/>
      <c r="WP7" s="47"/>
      <c r="WQ7" s="47"/>
      <c r="WR7" s="47"/>
      <c r="WS7" s="47"/>
      <c r="WT7" s="47"/>
      <c r="WU7" s="47"/>
      <c r="WV7" s="47"/>
      <c r="WW7" s="47"/>
      <c r="WX7" s="47"/>
      <c r="WY7" s="47"/>
      <c r="WZ7" s="47"/>
      <c r="XA7" s="47"/>
      <c r="XB7" s="47"/>
      <c r="XC7" s="47"/>
      <c r="XD7" s="47"/>
      <c r="XE7" s="47"/>
      <c r="XF7" s="47"/>
      <c r="XG7" s="47"/>
      <c r="XH7" s="47"/>
      <c r="XI7" s="47"/>
      <c r="XJ7" s="47"/>
      <c r="XK7" s="47"/>
      <c r="XL7" s="47"/>
      <c r="XM7" s="47"/>
      <c r="XN7" s="47"/>
      <c r="XO7" s="47"/>
      <c r="XP7" s="47"/>
      <c r="XQ7" s="47"/>
      <c r="XR7" s="47"/>
      <c r="XS7" s="47"/>
      <c r="XT7" s="47"/>
      <c r="XU7" s="47"/>
      <c r="XV7" s="47"/>
      <c r="XW7" s="47"/>
      <c r="XX7" s="47"/>
      <c r="XY7" s="47"/>
      <c r="XZ7" s="47"/>
      <c r="YA7" s="44"/>
      <c r="YB7" s="44"/>
      <c r="YC7" s="44"/>
      <c r="YD7" s="44"/>
      <c r="YE7" s="44"/>
      <c r="YF7" s="47"/>
      <c r="YG7" s="47"/>
      <c r="YH7" s="47"/>
      <c r="YI7" s="47"/>
      <c r="YJ7" s="47"/>
      <c r="YK7" s="47"/>
      <c r="YL7" s="47"/>
      <c r="YM7" s="47"/>
      <c r="YN7" s="47"/>
      <c r="YO7" s="47"/>
      <c r="YP7" s="47"/>
      <c r="YQ7" s="47"/>
      <c r="YR7" s="47"/>
      <c r="YS7" s="47"/>
      <c r="YT7" s="47"/>
      <c r="YU7" s="47"/>
      <c r="YV7" s="47"/>
      <c r="YW7" s="47"/>
      <c r="YX7" s="47"/>
      <c r="YY7" s="47"/>
      <c r="YZ7" s="47"/>
      <c r="ZA7" s="47"/>
      <c r="ZB7" s="47"/>
      <c r="ZC7" s="47"/>
      <c r="ZD7" s="47"/>
      <c r="ZE7" s="47"/>
      <c r="ZF7" s="47"/>
      <c r="ZG7" s="47"/>
      <c r="ZH7" s="47"/>
      <c r="ZI7" s="47"/>
      <c r="ZJ7" s="47"/>
      <c r="ZK7" s="47"/>
      <c r="ZL7" s="47"/>
      <c r="ZM7" s="47"/>
      <c r="ZN7" s="47"/>
      <c r="ZO7" s="47"/>
      <c r="ZP7" s="47"/>
      <c r="ZQ7" s="47"/>
      <c r="ZR7" s="47"/>
      <c r="ZS7" s="47"/>
      <c r="ZT7" s="47"/>
      <c r="ZU7" s="47"/>
      <c r="ZV7" s="47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7"/>
      <c r="AAH7" s="47"/>
      <c r="AAI7" s="47"/>
      <c r="AAJ7" s="47"/>
      <c r="AAK7" s="47"/>
      <c r="AAL7" s="47"/>
      <c r="AAM7" s="47"/>
      <c r="AAN7" s="47"/>
      <c r="AAO7" s="47"/>
      <c r="AAP7" s="47"/>
      <c r="AAQ7" s="47"/>
      <c r="AAR7" s="47"/>
      <c r="AAS7" s="47"/>
      <c r="AAT7" s="47"/>
      <c r="AAU7" s="47"/>
      <c r="AAV7" s="47"/>
      <c r="AAW7" s="47"/>
      <c r="AAX7" s="47"/>
      <c r="AAY7" s="47"/>
      <c r="AAZ7" s="47"/>
      <c r="ABA7" s="47"/>
      <c r="ABB7" s="47"/>
      <c r="ABC7" s="47"/>
      <c r="ABD7" s="47"/>
      <c r="ABE7" s="47"/>
      <c r="ABF7" s="47"/>
      <c r="ABG7" s="47"/>
      <c r="ABH7" s="47"/>
      <c r="ABI7" s="47"/>
      <c r="ABJ7" s="47"/>
      <c r="ABK7" s="47"/>
      <c r="ABL7" s="47"/>
      <c r="ABM7" s="47"/>
      <c r="ABN7" s="47"/>
      <c r="ABO7" s="47"/>
      <c r="ABP7" s="47"/>
      <c r="ABQ7" s="47"/>
      <c r="ABR7" s="47"/>
      <c r="ABS7" s="47"/>
      <c r="ABT7" s="47"/>
      <c r="ABU7" s="47"/>
      <c r="ABV7" s="47"/>
      <c r="ABW7" s="47"/>
      <c r="ABX7" s="47"/>
      <c r="ABY7" s="47"/>
      <c r="ABZ7" s="47"/>
      <c r="ACA7" s="47"/>
      <c r="ACB7" s="47"/>
      <c r="ACC7" s="47"/>
      <c r="ACD7" s="47"/>
      <c r="ACE7" s="47"/>
      <c r="ACF7" s="47"/>
      <c r="ACG7" s="47"/>
      <c r="ACH7" s="48"/>
    </row>
    <row r="8" spans="1:762" x14ac:dyDescent="0.25">
      <c r="A8" s="42" t="s">
        <v>22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>
        <v>20</v>
      </c>
      <c r="U8" s="43">
        <v>12</v>
      </c>
      <c r="V8" s="43">
        <v>8</v>
      </c>
      <c r="W8" s="43">
        <v>8</v>
      </c>
      <c r="X8" s="43">
        <v>8</v>
      </c>
      <c r="Y8" s="43">
        <v>9</v>
      </c>
      <c r="Z8" s="43"/>
      <c r="AA8" s="43"/>
      <c r="AB8" s="43"/>
      <c r="AC8" s="43">
        <v>100</v>
      </c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>
        <v>100</v>
      </c>
      <c r="AV8" s="43">
        <v>100</v>
      </c>
      <c r="AW8" s="43">
        <v>100</v>
      </c>
      <c r="AX8" s="43">
        <v>100</v>
      </c>
      <c r="AY8" s="43"/>
      <c r="AZ8" s="43">
        <v>100</v>
      </c>
      <c r="BA8" s="43"/>
      <c r="BB8" s="43"/>
      <c r="BC8" s="43">
        <v>25</v>
      </c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>
        <v>43</v>
      </c>
      <c r="BO8" s="43">
        <v>37</v>
      </c>
      <c r="BP8" s="43">
        <v>25</v>
      </c>
      <c r="BQ8" s="43">
        <v>26</v>
      </c>
      <c r="BR8" s="43"/>
      <c r="BS8" s="43"/>
      <c r="BT8" s="43"/>
      <c r="BU8" s="43"/>
      <c r="BV8" s="43"/>
      <c r="BW8" s="43">
        <v>29</v>
      </c>
      <c r="BX8" s="43">
        <v>26</v>
      </c>
      <c r="BY8" s="43">
        <v>23</v>
      </c>
      <c r="BZ8" s="43">
        <v>23</v>
      </c>
      <c r="CA8" s="43"/>
      <c r="CB8" s="43">
        <v>23</v>
      </c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43"/>
      <c r="DR8" s="43"/>
      <c r="DS8" s="43"/>
      <c r="DT8" s="43"/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43">
        <v>14</v>
      </c>
      <c r="EG8" s="43"/>
      <c r="EH8" s="43"/>
      <c r="EI8" s="43"/>
      <c r="EJ8" s="43"/>
      <c r="EK8" s="43"/>
      <c r="EL8" s="43"/>
      <c r="EM8" s="43"/>
      <c r="EN8" s="43"/>
      <c r="EO8" s="43"/>
      <c r="EP8" s="43"/>
      <c r="EQ8" s="43"/>
      <c r="ER8" s="43"/>
      <c r="ES8" s="43"/>
      <c r="ET8" s="43"/>
      <c r="EU8" s="43"/>
      <c r="EV8" s="43"/>
      <c r="EW8" s="43"/>
      <c r="EX8" s="43"/>
      <c r="EY8" s="43">
        <v>13</v>
      </c>
      <c r="EZ8" s="43">
        <v>26</v>
      </c>
      <c r="FA8" s="43"/>
      <c r="FB8" s="43"/>
      <c r="FC8" s="43"/>
      <c r="FD8" s="43">
        <v>42</v>
      </c>
      <c r="FE8" s="43">
        <v>88</v>
      </c>
      <c r="FF8" s="43">
        <v>104</v>
      </c>
      <c r="FG8" s="43">
        <v>125</v>
      </c>
      <c r="FH8" s="43">
        <v>105</v>
      </c>
      <c r="FI8" s="43">
        <v>70</v>
      </c>
      <c r="FJ8" s="43">
        <v>51</v>
      </c>
      <c r="FK8" s="43">
        <v>41</v>
      </c>
      <c r="FL8" s="43">
        <v>36</v>
      </c>
      <c r="FM8" s="43">
        <v>21</v>
      </c>
      <c r="FN8" s="43"/>
      <c r="FO8" s="43"/>
      <c r="FP8" s="43"/>
      <c r="FQ8" s="43">
        <v>17</v>
      </c>
      <c r="FR8" s="43">
        <v>14</v>
      </c>
      <c r="FS8" s="43">
        <v>12</v>
      </c>
      <c r="FT8" s="43"/>
      <c r="FU8" s="43"/>
      <c r="FV8" s="43">
        <v>13</v>
      </c>
      <c r="FW8" s="43"/>
      <c r="FX8" s="43"/>
      <c r="FY8" s="43">
        <v>13</v>
      </c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>
        <v>125</v>
      </c>
      <c r="GU8" s="43">
        <v>27</v>
      </c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>
        <v>36</v>
      </c>
      <c r="HN8" s="43">
        <v>58</v>
      </c>
      <c r="HO8" s="43"/>
      <c r="HP8" s="43"/>
      <c r="HQ8" s="43"/>
      <c r="HR8" s="43">
        <v>110</v>
      </c>
      <c r="HS8" s="43">
        <v>205</v>
      </c>
      <c r="HT8" s="43">
        <v>277</v>
      </c>
      <c r="HU8" s="43">
        <v>343</v>
      </c>
      <c r="HV8" s="43">
        <v>302</v>
      </c>
      <c r="HW8" s="43">
        <v>278</v>
      </c>
      <c r="HX8" s="43">
        <v>241</v>
      </c>
      <c r="HY8" s="43">
        <v>195</v>
      </c>
      <c r="HZ8" s="43">
        <v>145</v>
      </c>
      <c r="IA8" s="43">
        <v>102</v>
      </c>
      <c r="IB8" s="43"/>
      <c r="IC8" s="43"/>
      <c r="ID8" s="43"/>
      <c r="IE8" s="43">
        <v>48</v>
      </c>
      <c r="IF8" s="43">
        <v>29</v>
      </c>
      <c r="IG8" s="43">
        <v>23</v>
      </c>
      <c r="IH8" s="43"/>
      <c r="II8" s="43"/>
      <c r="IJ8" s="43">
        <v>22</v>
      </c>
      <c r="IK8" s="43"/>
      <c r="IL8" s="43"/>
      <c r="IM8" s="43">
        <v>21</v>
      </c>
      <c r="IN8" s="43"/>
      <c r="IO8" s="43"/>
      <c r="IP8" s="43"/>
      <c r="IQ8" s="43"/>
      <c r="IR8" s="43"/>
      <c r="IS8" s="43"/>
      <c r="IT8" s="43"/>
      <c r="IU8" s="43"/>
      <c r="IV8" s="43"/>
      <c r="IW8" s="43"/>
      <c r="IX8" s="43"/>
      <c r="IY8" s="43"/>
      <c r="IZ8" s="43"/>
      <c r="JA8" s="43"/>
      <c r="JB8" s="43"/>
      <c r="JC8" s="43"/>
      <c r="JD8" s="43"/>
      <c r="JE8" s="43"/>
      <c r="JF8" s="43"/>
      <c r="JG8" s="43">
        <v>343</v>
      </c>
      <c r="JH8" s="43"/>
      <c r="JI8" s="43"/>
      <c r="JJ8" s="43">
        <v>42</v>
      </c>
      <c r="JK8" s="43"/>
      <c r="JL8" s="43"/>
      <c r="JM8" s="43"/>
      <c r="JN8" s="43"/>
      <c r="JO8" s="43"/>
      <c r="JP8" s="43"/>
      <c r="JQ8" s="43"/>
      <c r="JR8" s="43"/>
      <c r="JS8" s="43"/>
      <c r="JT8" s="43"/>
      <c r="JU8" s="43"/>
      <c r="JV8" s="43"/>
      <c r="JW8" s="43"/>
      <c r="JX8" s="43">
        <v>33</v>
      </c>
      <c r="JY8" s="43">
        <v>38</v>
      </c>
      <c r="JZ8" s="43"/>
      <c r="KA8" s="43"/>
      <c r="KB8" s="43"/>
      <c r="KC8" s="43">
        <v>82</v>
      </c>
      <c r="KD8" s="43">
        <v>174</v>
      </c>
      <c r="KE8" s="43">
        <v>216</v>
      </c>
      <c r="KF8" s="43">
        <v>242</v>
      </c>
      <c r="KG8" s="43">
        <v>221</v>
      </c>
      <c r="KH8" s="43">
        <v>215</v>
      </c>
      <c r="KI8" s="43">
        <v>216</v>
      </c>
      <c r="KJ8" s="43">
        <v>191</v>
      </c>
      <c r="KK8" s="43">
        <v>192</v>
      </c>
      <c r="KL8" s="43">
        <v>168</v>
      </c>
      <c r="KM8" s="43"/>
      <c r="KN8" s="43"/>
      <c r="KO8" s="43"/>
      <c r="KP8" s="43">
        <v>135</v>
      </c>
      <c r="KQ8" s="43">
        <v>42</v>
      </c>
      <c r="KR8" s="43"/>
      <c r="KS8" s="43"/>
      <c r="KT8" s="43"/>
      <c r="KU8" s="43">
        <v>78</v>
      </c>
      <c r="KV8" s="43"/>
      <c r="KW8" s="43"/>
      <c r="KX8" s="43">
        <v>56</v>
      </c>
      <c r="KY8" s="43"/>
      <c r="KZ8" s="43"/>
      <c r="LA8" s="43"/>
      <c r="LB8" s="43"/>
      <c r="LC8" s="43"/>
      <c r="LD8" s="43"/>
      <c r="LE8" s="43"/>
      <c r="LF8" s="43"/>
      <c r="LG8" s="43"/>
      <c r="LH8" s="43"/>
      <c r="LI8" s="43"/>
      <c r="LJ8" s="43"/>
      <c r="LK8" s="43"/>
      <c r="LL8" s="43"/>
      <c r="LM8" s="43"/>
      <c r="LN8" s="43"/>
      <c r="LO8" s="43"/>
      <c r="LP8" s="43"/>
      <c r="LQ8" s="43"/>
      <c r="LR8" s="43"/>
      <c r="LS8" s="43">
        <v>240</v>
      </c>
      <c r="LT8" s="43">
        <v>166</v>
      </c>
      <c r="LU8" s="43"/>
      <c r="LV8" s="43"/>
      <c r="LW8" s="43"/>
      <c r="LX8" s="43"/>
      <c r="LY8" s="43"/>
      <c r="LZ8" s="43"/>
      <c r="MA8" s="43"/>
      <c r="MB8" s="43"/>
      <c r="MC8" s="43"/>
      <c r="MD8" s="43"/>
      <c r="ME8" s="43"/>
      <c r="MF8" s="43"/>
      <c r="MG8" s="43"/>
      <c r="MH8" s="43"/>
      <c r="MI8" s="43"/>
      <c r="MJ8" s="43"/>
      <c r="MK8" s="43"/>
      <c r="ML8" s="43"/>
      <c r="MM8" s="43"/>
      <c r="MN8" s="43">
        <v>170</v>
      </c>
      <c r="MO8" s="43">
        <v>222</v>
      </c>
      <c r="MP8" s="43">
        <v>248</v>
      </c>
      <c r="MQ8" s="43">
        <v>257</v>
      </c>
      <c r="MR8" s="43">
        <v>245</v>
      </c>
      <c r="MS8" s="43">
        <v>193</v>
      </c>
      <c r="MT8" s="43">
        <v>182</v>
      </c>
      <c r="MU8" s="43">
        <v>169</v>
      </c>
      <c r="MV8" s="43">
        <v>157</v>
      </c>
      <c r="MW8" s="43">
        <v>147</v>
      </c>
      <c r="MX8" s="43"/>
      <c r="MY8" s="43"/>
      <c r="MZ8" s="43">
        <v>156</v>
      </c>
      <c r="NA8" s="43"/>
      <c r="NB8" s="43"/>
      <c r="NC8" s="43"/>
      <c r="ND8" s="43"/>
      <c r="NE8" s="43"/>
      <c r="NF8" s="43"/>
      <c r="NG8" s="43"/>
      <c r="NH8" s="43"/>
      <c r="NI8" s="43"/>
      <c r="NJ8" s="44"/>
      <c r="NK8" s="44"/>
      <c r="NL8" s="44"/>
      <c r="NM8" s="44"/>
      <c r="NN8" s="44"/>
      <c r="NO8" s="43"/>
      <c r="NP8" s="43">
        <v>7.14</v>
      </c>
      <c r="NQ8" s="43"/>
      <c r="NR8" s="43">
        <v>7.14</v>
      </c>
      <c r="NS8" s="43"/>
      <c r="NT8" s="43"/>
      <c r="NU8" s="43"/>
      <c r="NV8" s="43"/>
      <c r="NW8" s="43"/>
      <c r="NX8" s="43"/>
      <c r="NY8" s="43"/>
      <c r="NZ8" s="43"/>
      <c r="OA8" s="43"/>
      <c r="OB8" s="43"/>
      <c r="OC8" s="43"/>
      <c r="OD8" s="43"/>
      <c r="OE8" s="43"/>
      <c r="OF8" s="43"/>
      <c r="OG8" s="43"/>
      <c r="OH8" s="43"/>
      <c r="OI8" s="43"/>
      <c r="OJ8" s="43"/>
      <c r="OK8" s="43"/>
      <c r="OL8" s="43"/>
      <c r="OM8" s="43"/>
      <c r="ON8" s="43">
        <v>12.41</v>
      </c>
      <c r="OO8" s="43">
        <v>11.9</v>
      </c>
      <c r="OP8" s="43"/>
      <c r="OQ8" s="43">
        <v>9.86</v>
      </c>
      <c r="OR8" s="43">
        <v>9.35</v>
      </c>
      <c r="OS8" s="43">
        <v>10.3</v>
      </c>
      <c r="OT8" s="43">
        <v>7.65</v>
      </c>
      <c r="OU8" s="43">
        <v>9.18</v>
      </c>
      <c r="OV8" s="43">
        <v>8.16</v>
      </c>
      <c r="OW8" s="43"/>
      <c r="OX8" s="43"/>
      <c r="OY8" s="43">
        <v>7.14</v>
      </c>
      <c r="OZ8" s="43"/>
      <c r="PA8" s="43"/>
      <c r="PB8" s="43"/>
      <c r="PC8" s="43"/>
      <c r="PD8" s="43">
        <v>8.67</v>
      </c>
      <c r="PE8" s="43"/>
      <c r="PF8" s="43"/>
      <c r="PG8" s="43"/>
      <c r="PH8" s="43"/>
      <c r="PI8" s="43"/>
      <c r="PJ8" s="43"/>
      <c r="PK8" s="43"/>
      <c r="PL8" s="43"/>
      <c r="PM8" s="43"/>
      <c r="PN8" s="43"/>
      <c r="PO8" s="43"/>
      <c r="PP8" s="43"/>
      <c r="PQ8" s="43"/>
      <c r="PR8" s="43"/>
      <c r="PS8" s="43"/>
      <c r="PT8" s="43"/>
      <c r="PU8" s="43"/>
      <c r="PV8" s="43"/>
      <c r="PW8" s="43"/>
      <c r="PX8" s="43"/>
      <c r="PY8" s="43"/>
      <c r="PZ8" s="43"/>
      <c r="QA8" s="43"/>
      <c r="QB8" s="43"/>
      <c r="QC8" s="43"/>
      <c r="QD8" s="43"/>
      <c r="QE8" s="43"/>
      <c r="QF8" s="43"/>
      <c r="QG8" s="43"/>
      <c r="QH8" s="43"/>
      <c r="QI8" s="43"/>
      <c r="QJ8" s="43"/>
      <c r="QK8" s="43">
        <v>203</v>
      </c>
      <c r="QL8" s="43"/>
      <c r="QM8" s="43"/>
      <c r="QN8" s="43">
        <v>203</v>
      </c>
      <c r="QO8" s="43"/>
      <c r="QP8" s="43"/>
      <c r="QQ8" s="43"/>
      <c r="QR8" s="43"/>
      <c r="QS8" s="43"/>
      <c r="QT8" s="43"/>
      <c r="QU8" s="43"/>
      <c r="QV8" s="43"/>
      <c r="QW8" s="43"/>
      <c r="QX8" s="43"/>
      <c r="QY8" s="43"/>
      <c r="QZ8" s="43"/>
      <c r="RA8" s="43"/>
      <c r="RB8" s="43"/>
      <c r="RC8" s="43">
        <v>164</v>
      </c>
      <c r="RD8" s="43">
        <v>156</v>
      </c>
      <c r="RE8" s="43"/>
      <c r="RF8" s="43"/>
      <c r="RG8" s="43"/>
      <c r="RH8" s="43">
        <v>152</v>
      </c>
      <c r="RI8" s="43"/>
      <c r="RJ8" s="43">
        <v>188</v>
      </c>
      <c r="RK8" s="43">
        <v>206</v>
      </c>
      <c r="RL8" s="43">
        <v>198</v>
      </c>
      <c r="RM8" s="43">
        <v>185</v>
      </c>
      <c r="RN8" s="43">
        <v>199</v>
      </c>
      <c r="RO8" s="43">
        <v>241</v>
      </c>
      <c r="RP8" s="43"/>
      <c r="RQ8" s="43">
        <v>221</v>
      </c>
      <c r="RR8" s="43">
        <v>212</v>
      </c>
      <c r="RS8" s="43"/>
      <c r="RT8" s="43"/>
      <c r="RU8" s="43">
        <v>198</v>
      </c>
      <c r="RV8" s="43"/>
      <c r="RW8" s="43">
        <v>184</v>
      </c>
      <c r="RX8" s="43"/>
      <c r="RY8" s="43"/>
      <c r="RZ8" s="43">
        <v>174</v>
      </c>
      <c r="SA8" s="43"/>
      <c r="SB8" s="43">
        <v>159</v>
      </c>
      <c r="SC8" s="43"/>
      <c r="SD8" s="43"/>
      <c r="SE8" s="43"/>
      <c r="SF8" s="43"/>
      <c r="SG8" s="43"/>
      <c r="SH8" s="43"/>
      <c r="SI8" s="43"/>
      <c r="SJ8" s="43"/>
      <c r="SK8" s="43"/>
      <c r="SL8" s="43"/>
      <c r="SM8" s="43"/>
      <c r="SN8" s="43"/>
      <c r="SO8" s="43"/>
      <c r="SP8" s="43"/>
      <c r="SQ8" s="43"/>
      <c r="SR8" s="43"/>
      <c r="SS8" s="43">
        <v>240</v>
      </c>
      <c r="ST8" s="43"/>
      <c r="SU8" s="43"/>
      <c r="SV8" s="43"/>
      <c r="SW8" s="43"/>
      <c r="SX8" s="43"/>
      <c r="SY8" s="43"/>
      <c r="SZ8" s="43"/>
      <c r="TA8" s="43"/>
      <c r="TB8" s="43"/>
      <c r="TC8" s="43"/>
      <c r="TD8" s="43"/>
      <c r="TE8" s="43"/>
      <c r="TF8" s="43"/>
      <c r="TG8" s="43"/>
      <c r="TH8" s="43"/>
      <c r="TI8" s="43"/>
      <c r="TJ8" s="43"/>
      <c r="TK8" s="43">
        <v>8.74</v>
      </c>
      <c r="TL8" s="43">
        <v>5.89</v>
      </c>
      <c r="TM8" s="43">
        <v>4.67</v>
      </c>
      <c r="TN8" s="43">
        <v>5.54</v>
      </c>
      <c r="TO8" s="43">
        <v>6.33</v>
      </c>
      <c r="TP8" s="43">
        <v>6.55</v>
      </c>
      <c r="TQ8" s="43">
        <v>7.66</v>
      </c>
      <c r="TR8" s="43"/>
      <c r="TS8" s="43"/>
      <c r="TT8" s="43"/>
      <c r="TU8" s="43"/>
      <c r="TV8" s="43"/>
      <c r="TW8" s="43"/>
      <c r="TX8" s="43"/>
      <c r="TY8" s="43"/>
      <c r="TZ8" s="43"/>
      <c r="UA8" s="43"/>
      <c r="UB8" s="43"/>
      <c r="UC8" s="43"/>
      <c r="UD8" s="43"/>
      <c r="UE8" s="43"/>
      <c r="UF8" s="43"/>
      <c r="UG8" s="43"/>
      <c r="UH8" s="43"/>
      <c r="UI8" s="43"/>
      <c r="UJ8" s="43"/>
      <c r="UK8" s="43"/>
      <c r="UL8" s="43"/>
      <c r="UM8" s="43"/>
      <c r="UN8" s="43"/>
      <c r="UO8" s="43"/>
      <c r="UP8" s="43"/>
      <c r="UQ8" s="43"/>
      <c r="UR8" s="43"/>
      <c r="US8" s="43"/>
      <c r="UT8" s="43"/>
      <c r="UU8" s="43"/>
      <c r="UV8" s="43"/>
      <c r="UW8" s="43"/>
      <c r="UX8" s="43"/>
      <c r="UY8" s="43"/>
      <c r="UZ8" s="43"/>
      <c r="VA8" s="43"/>
      <c r="VB8" s="43"/>
      <c r="VC8" s="43"/>
      <c r="VD8" s="43"/>
      <c r="VE8" s="43"/>
      <c r="VF8" s="43"/>
      <c r="VG8" s="43"/>
      <c r="VH8" s="43"/>
      <c r="VI8" s="43"/>
      <c r="VJ8" s="43"/>
      <c r="VK8" s="43"/>
      <c r="VL8" s="43"/>
      <c r="VM8" s="43"/>
      <c r="VN8" s="43"/>
      <c r="VO8" s="43"/>
      <c r="VP8" s="43"/>
      <c r="VQ8" s="43"/>
      <c r="VR8" s="43"/>
      <c r="VS8" s="43"/>
      <c r="VT8" s="43"/>
      <c r="VU8" s="43"/>
      <c r="VV8" s="43"/>
      <c r="VW8" s="43"/>
      <c r="VX8" s="43"/>
      <c r="VY8" s="43"/>
      <c r="VZ8" s="43"/>
      <c r="WA8" s="43"/>
      <c r="WB8" s="43"/>
      <c r="WC8" s="43"/>
      <c r="WD8" s="43"/>
      <c r="WE8" s="43"/>
      <c r="WF8" s="43"/>
      <c r="WG8" s="43"/>
      <c r="WH8" s="43"/>
      <c r="WI8" s="43"/>
      <c r="WJ8" s="43"/>
      <c r="WK8" s="43"/>
      <c r="WL8" s="43"/>
      <c r="WM8" s="43"/>
      <c r="WN8" s="43"/>
      <c r="WO8" s="43"/>
      <c r="WP8" s="43"/>
      <c r="WQ8" s="43"/>
      <c r="WR8" s="43"/>
      <c r="WS8" s="43"/>
      <c r="WT8" s="43"/>
      <c r="WU8" s="43"/>
      <c r="WV8" s="43"/>
      <c r="WW8" s="43"/>
      <c r="WX8" s="43"/>
      <c r="WY8" s="43"/>
      <c r="WZ8" s="43"/>
      <c r="XA8" s="43"/>
      <c r="XB8" s="43"/>
      <c r="XC8" s="43"/>
      <c r="XD8" s="43"/>
      <c r="XE8" s="43"/>
      <c r="XF8" s="43"/>
      <c r="XG8" s="43"/>
      <c r="XH8" s="43"/>
      <c r="XI8" s="43"/>
      <c r="XJ8" s="43"/>
      <c r="XK8" s="43"/>
      <c r="XL8" s="43"/>
      <c r="XM8" s="43"/>
      <c r="XN8" s="43"/>
      <c r="XO8" s="43"/>
      <c r="XP8" s="43"/>
      <c r="XQ8" s="43"/>
      <c r="XR8" s="43"/>
      <c r="XS8" s="43"/>
      <c r="XT8" s="43"/>
      <c r="XU8" s="43"/>
      <c r="XV8" s="43"/>
      <c r="XW8" s="43"/>
      <c r="XX8" s="43"/>
      <c r="XY8" s="43"/>
      <c r="XZ8" s="43"/>
      <c r="YA8" s="44"/>
      <c r="YB8" s="44"/>
      <c r="YC8" s="44"/>
      <c r="YD8" s="44"/>
      <c r="YE8" s="44"/>
      <c r="YF8" s="43"/>
      <c r="YG8" s="43"/>
      <c r="YH8" s="43"/>
      <c r="YI8" s="43"/>
      <c r="YJ8" s="43"/>
      <c r="YK8" s="43"/>
      <c r="YL8" s="43"/>
      <c r="YM8" s="43"/>
      <c r="YN8" s="43"/>
      <c r="YO8" s="43"/>
      <c r="YP8" s="43"/>
      <c r="YQ8" s="43"/>
      <c r="YR8" s="43"/>
      <c r="YS8" s="43"/>
      <c r="YT8" s="43"/>
      <c r="YU8" s="43"/>
      <c r="YV8" s="43"/>
      <c r="YW8" s="43"/>
      <c r="YX8" s="43"/>
      <c r="YY8" s="43"/>
      <c r="YZ8" s="43"/>
      <c r="ZA8" s="43"/>
      <c r="ZB8" s="43"/>
      <c r="ZC8" s="43"/>
      <c r="ZD8" s="43"/>
      <c r="ZE8" s="43"/>
      <c r="ZF8" s="43"/>
      <c r="ZG8" s="43"/>
      <c r="ZH8" s="43"/>
      <c r="ZI8" s="43"/>
      <c r="ZJ8" s="43"/>
      <c r="ZK8" s="43"/>
      <c r="ZL8" s="43"/>
      <c r="ZM8" s="43"/>
      <c r="ZN8" s="43"/>
      <c r="ZO8" s="43"/>
      <c r="ZP8" s="43"/>
      <c r="ZQ8" s="43"/>
      <c r="ZR8" s="43"/>
      <c r="ZS8" s="43"/>
      <c r="ZT8" s="43"/>
      <c r="ZU8" s="43"/>
      <c r="ZV8" s="43"/>
      <c r="ZW8" s="44"/>
      <c r="ZX8" s="44"/>
      <c r="ZY8" s="44"/>
      <c r="ZZ8" s="44"/>
      <c r="AAA8" s="44"/>
      <c r="AAB8" s="44"/>
      <c r="AAC8" s="44"/>
      <c r="AAD8" s="44"/>
      <c r="AAE8" s="44"/>
      <c r="AAF8" s="44"/>
      <c r="AAG8" s="43"/>
      <c r="AAH8" s="43"/>
      <c r="AAI8" s="43"/>
      <c r="AAJ8" s="43"/>
      <c r="AAK8" s="43"/>
      <c r="AAL8" s="43"/>
      <c r="AAM8" s="43"/>
      <c r="AAN8" s="43"/>
      <c r="AAO8" s="43"/>
      <c r="AAP8" s="43"/>
      <c r="AAQ8" s="43"/>
      <c r="AAR8" s="43"/>
      <c r="AAS8" s="43"/>
      <c r="AAT8" s="43"/>
      <c r="AAU8" s="43"/>
      <c r="AAV8" s="43"/>
      <c r="AAW8" s="43"/>
      <c r="AAX8" s="43"/>
      <c r="AAY8" s="43"/>
      <c r="AAZ8" s="43"/>
      <c r="ABA8" s="43"/>
      <c r="ABB8" s="43"/>
      <c r="ABC8" s="43"/>
      <c r="ABD8" s="43"/>
      <c r="ABE8" s="43"/>
      <c r="ABF8" s="43"/>
      <c r="ABG8" s="43"/>
      <c r="ABH8" s="43"/>
      <c r="ABI8" s="43"/>
      <c r="ABJ8" s="43"/>
      <c r="ABK8" s="43"/>
      <c r="ABL8" s="43"/>
      <c r="ABM8" s="43"/>
      <c r="ABN8" s="43"/>
      <c r="ABO8" s="43"/>
      <c r="ABP8" s="43"/>
      <c r="ABQ8" s="43"/>
      <c r="ABR8" s="43"/>
      <c r="ABS8" s="43"/>
      <c r="ABT8" s="43"/>
      <c r="ABU8" s="43"/>
      <c r="ABV8" s="43"/>
      <c r="ABW8" s="43"/>
      <c r="ABX8" s="43"/>
      <c r="ABY8" s="43"/>
      <c r="ABZ8" s="43"/>
      <c r="ACA8" s="43"/>
      <c r="ACB8" s="43"/>
      <c r="ACC8" s="43"/>
      <c r="ACD8" s="43"/>
      <c r="ACE8" s="43"/>
      <c r="ACF8" s="43"/>
      <c r="ACG8" s="43"/>
      <c r="ACH8" s="45"/>
    </row>
    <row r="9" spans="1:762" x14ac:dyDescent="0.25">
      <c r="A9" s="46" t="s">
        <v>24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/>
      <c r="DR9" s="4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7">
        <v>40</v>
      </c>
      <c r="EG9" s="47"/>
      <c r="EH9" s="47"/>
      <c r="EI9" s="47"/>
      <c r="EJ9" s="47"/>
      <c r="EK9" s="47"/>
      <c r="EL9" s="47"/>
      <c r="EM9" s="47"/>
      <c r="EN9" s="47"/>
      <c r="EO9" s="47"/>
      <c r="EP9" s="47"/>
      <c r="EQ9" s="47"/>
      <c r="ER9" s="47"/>
      <c r="ES9" s="47"/>
      <c r="ET9" s="47"/>
      <c r="EU9" s="47"/>
      <c r="EV9" s="47"/>
      <c r="EW9" s="47"/>
      <c r="EX9" s="47"/>
      <c r="EY9" s="47"/>
      <c r="EZ9" s="47"/>
      <c r="FA9" s="47"/>
      <c r="FB9" s="47"/>
      <c r="FC9" s="47"/>
      <c r="FD9" s="47"/>
      <c r="FE9" s="47"/>
      <c r="FF9" s="47"/>
      <c r="FG9" s="47"/>
      <c r="FH9" s="47"/>
      <c r="FI9" s="47"/>
      <c r="FJ9" s="47"/>
      <c r="FK9" s="47"/>
      <c r="FL9" s="47"/>
      <c r="FM9" s="47"/>
      <c r="FN9" s="47"/>
      <c r="FO9" s="47"/>
      <c r="FP9" s="47"/>
      <c r="FQ9" s="47"/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  <c r="GL9" s="47"/>
      <c r="GM9" s="47"/>
      <c r="GN9" s="47"/>
      <c r="GO9" s="47"/>
      <c r="GP9" s="47"/>
      <c r="GQ9" s="47"/>
      <c r="GR9" s="47"/>
      <c r="GS9" s="47"/>
      <c r="GT9" s="47"/>
      <c r="GU9" s="47">
        <v>128</v>
      </c>
      <c r="GV9" s="47"/>
      <c r="GW9" s="47"/>
      <c r="GX9" s="47"/>
      <c r="GY9" s="47"/>
      <c r="GZ9" s="47"/>
      <c r="HA9" s="47"/>
      <c r="HB9" s="47"/>
      <c r="HC9" s="47"/>
      <c r="HD9" s="47"/>
      <c r="HE9" s="47"/>
      <c r="HF9" s="47"/>
      <c r="HG9" s="47"/>
      <c r="HH9" s="47"/>
      <c r="HI9" s="47"/>
      <c r="HJ9" s="47"/>
      <c r="HK9" s="47"/>
      <c r="HL9" s="47"/>
      <c r="HM9" s="47"/>
      <c r="HN9" s="47"/>
      <c r="HO9" s="47"/>
      <c r="HP9" s="47"/>
      <c r="HQ9" s="47"/>
      <c r="HR9" s="47"/>
      <c r="HS9" s="47"/>
      <c r="HT9" s="47"/>
      <c r="HU9" s="47"/>
      <c r="HV9" s="47"/>
      <c r="HW9" s="47"/>
      <c r="HX9" s="47"/>
      <c r="HY9" s="47"/>
      <c r="HZ9" s="47"/>
      <c r="IA9" s="47"/>
      <c r="IB9" s="47"/>
      <c r="IC9" s="47"/>
      <c r="ID9" s="47"/>
      <c r="IE9" s="47"/>
      <c r="IF9" s="47"/>
      <c r="IG9" s="47"/>
      <c r="IH9" s="47"/>
      <c r="II9" s="47"/>
      <c r="IJ9" s="47"/>
      <c r="IK9" s="47"/>
      <c r="IL9" s="47"/>
      <c r="IM9" s="47"/>
      <c r="IN9" s="47"/>
      <c r="IO9" s="47"/>
      <c r="IP9" s="47"/>
      <c r="IQ9" s="47"/>
      <c r="IR9" s="47"/>
      <c r="IS9" s="47"/>
      <c r="IT9" s="47"/>
      <c r="IU9" s="47"/>
      <c r="IV9" s="47"/>
      <c r="IW9" s="47"/>
      <c r="IX9" s="47"/>
      <c r="IY9" s="47"/>
      <c r="IZ9" s="47"/>
      <c r="JA9" s="47"/>
      <c r="JB9" s="47"/>
      <c r="JC9" s="47"/>
      <c r="JD9" s="47"/>
      <c r="JE9" s="47"/>
      <c r="JF9" s="47"/>
      <c r="JG9" s="47"/>
      <c r="JH9" s="47">
        <v>35</v>
      </c>
      <c r="JI9" s="47">
        <v>168</v>
      </c>
      <c r="JJ9" s="47"/>
      <c r="JK9" s="47"/>
      <c r="JL9" s="47"/>
      <c r="JM9" s="47"/>
      <c r="JN9" s="47"/>
      <c r="JO9" s="47"/>
      <c r="JP9" s="47"/>
      <c r="JQ9" s="47"/>
      <c r="JR9" s="47"/>
      <c r="JS9" s="47"/>
      <c r="JT9" s="47"/>
      <c r="JU9" s="47"/>
      <c r="JV9" s="47"/>
      <c r="JW9" s="47"/>
      <c r="JX9" s="47"/>
      <c r="JY9" s="47"/>
      <c r="JZ9" s="47"/>
      <c r="KA9" s="47"/>
      <c r="KB9" s="47"/>
      <c r="KC9" s="47"/>
      <c r="KD9" s="47"/>
      <c r="KE9" s="47"/>
      <c r="KF9" s="47"/>
      <c r="KG9" s="47"/>
      <c r="KH9" s="47"/>
      <c r="KI9" s="47"/>
      <c r="KJ9" s="47"/>
      <c r="KK9" s="47"/>
      <c r="KL9" s="47"/>
      <c r="KM9" s="47"/>
      <c r="KN9" s="47"/>
      <c r="KO9" s="47"/>
      <c r="KP9" s="47"/>
      <c r="KQ9" s="47"/>
      <c r="KR9" s="47"/>
      <c r="KS9" s="47"/>
      <c r="KT9" s="47"/>
      <c r="KU9" s="47"/>
      <c r="KV9" s="47"/>
      <c r="KW9" s="47"/>
      <c r="KX9" s="47"/>
      <c r="KY9" s="47"/>
      <c r="KZ9" s="47"/>
      <c r="LA9" s="47"/>
      <c r="LB9" s="47"/>
      <c r="LC9" s="47"/>
      <c r="LD9" s="47"/>
      <c r="LE9" s="47"/>
      <c r="LF9" s="47"/>
      <c r="LG9" s="47"/>
      <c r="LH9" s="47"/>
      <c r="LI9" s="47"/>
      <c r="LJ9" s="47"/>
      <c r="LK9" s="47"/>
      <c r="LL9" s="47"/>
      <c r="LM9" s="47"/>
      <c r="LN9" s="47"/>
      <c r="LO9" s="47"/>
      <c r="LP9" s="47"/>
      <c r="LQ9" s="47"/>
      <c r="LR9" s="47"/>
      <c r="LS9" s="47"/>
      <c r="LT9" s="47"/>
      <c r="LU9" s="47"/>
      <c r="LV9" s="47"/>
      <c r="LW9" s="47"/>
      <c r="LX9" s="47"/>
      <c r="LY9" s="47"/>
      <c r="LZ9" s="47"/>
      <c r="MA9" s="47"/>
      <c r="MB9" s="47"/>
      <c r="MC9" s="47"/>
      <c r="MD9" s="47"/>
      <c r="ME9" s="47"/>
      <c r="MF9" s="47"/>
      <c r="MG9" s="47"/>
      <c r="MH9" s="47"/>
      <c r="MI9" s="47"/>
      <c r="MJ9" s="47"/>
      <c r="MK9" s="47"/>
      <c r="ML9" s="47"/>
      <c r="MM9" s="47"/>
      <c r="MN9" s="47"/>
      <c r="MO9" s="47"/>
      <c r="MP9" s="47"/>
      <c r="MQ9" s="47"/>
      <c r="MR9" s="47"/>
      <c r="MS9" s="47"/>
      <c r="MT9" s="47"/>
      <c r="MU9" s="47"/>
      <c r="MV9" s="47"/>
      <c r="MW9" s="47"/>
      <c r="MX9" s="47"/>
      <c r="MY9" s="47"/>
      <c r="MZ9" s="47"/>
      <c r="NA9" s="47"/>
      <c r="NB9" s="47"/>
      <c r="NC9" s="47"/>
      <c r="ND9" s="47"/>
      <c r="NE9" s="47"/>
      <c r="NF9" s="47"/>
      <c r="NG9" s="47"/>
      <c r="NH9" s="47"/>
      <c r="NI9" s="47"/>
      <c r="NJ9" s="44"/>
      <c r="NK9" s="44"/>
      <c r="NL9" s="44"/>
      <c r="NM9" s="44"/>
      <c r="NN9" s="44"/>
      <c r="NO9" s="47"/>
      <c r="NP9" s="47"/>
      <c r="NQ9" s="47"/>
      <c r="NR9" s="47"/>
      <c r="NS9" s="47"/>
      <c r="NT9" s="47"/>
      <c r="NU9" s="47"/>
      <c r="NV9" s="47"/>
      <c r="NW9" s="47"/>
      <c r="NX9" s="47"/>
      <c r="NY9" s="47"/>
      <c r="NZ9" s="47"/>
      <c r="OA9" s="47"/>
      <c r="OB9" s="47"/>
      <c r="OC9" s="47"/>
      <c r="OD9" s="47"/>
      <c r="OE9" s="47"/>
      <c r="OF9" s="47"/>
      <c r="OG9" s="47"/>
      <c r="OH9" s="47"/>
      <c r="OI9" s="47"/>
      <c r="OJ9" s="47"/>
      <c r="OK9" s="47"/>
      <c r="OL9" s="47"/>
      <c r="OM9" s="47"/>
      <c r="ON9" s="47"/>
      <c r="OO9" s="47"/>
      <c r="OP9" s="47"/>
      <c r="OQ9" s="47"/>
      <c r="OR9" s="47"/>
      <c r="OS9" s="47"/>
      <c r="OT9" s="47"/>
      <c r="OU9" s="47"/>
      <c r="OV9" s="47"/>
      <c r="OW9" s="47"/>
      <c r="OX9" s="47"/>
      <c r="OY9" s="47"/>
      <c r="OZ9" s="47"/>
      <c r="PA9" s="47"/>
      <c r="PB9" s="47"/>
      <c r="PC9" s="47"/>
      <c r="PD9" s="47"/>
      <c r="PE9" s="47"/>
      <c r="PF9" s="47"/>
      <c r="PG9" s="47"/>
      <c r="PH9" s="47"/>
      <c r="PI9" s="47"/>
      <c r="PJ9" s="47"/>
      <c r="PK9" s="47"/>
      <c r="PL9" s="47"/>
      <c r="PM9" s="47"/>
      <c r="PN9" s="47"/>
      <c r="PO9" s="47"/>
      <c r="PP9" s="47"/>
      <c r="PQ9" s="47"/>
      <c r="PR9" s="47"/>
      <c r="PS9" s="47"/>
      <c r="PT9" s="47"/>
      <c r="PU9" s="47"/>
      <c r="PV9" s="47"/>
      <c r="PW9" s="47"/>
      <c r="PX9" s="47"/>
      <c r="PY9" s="47"/>
      <c r="PZ9" s="47"/>
      <c r="QA9" s="47"/>
      <c r="QB9" s="47"/>
      <c r="QC9" s="47"/>
      <c r="QD9" s="47"/>
      <c r="QE9" s="47"/>
      <c r="QF9" s="47"/>
      <c r="QG9" s="47"/>
      <c r="QH9" s="47"/>
      <c r="QI9" s="47"/>
      <c r="QJ9" s="47"/>
      <c r="QK9" s="47">
        <v>446</v>
      </c>
      <c r="QL9" s="47"/>
      <c r="QM9" s="47"/>
      <c r="QN9" s="47"/>
      <c r="QO9" s="47"/>
      <c r="QP9" s="47"/>
      <c r="QQ9" s="47"/>
      <c r="QR9" s="47"/>
      <c r="QS9" s="47"/>
      <c r="QT9" s="47"/>
      <c r="QU9" s="47"/>
      <c r="QV9" s="47"/>
      <c r="QW9" s="47"/>
      <c r="QX9" s="47"/>
      <c r="QY9" s="47"/>
      <c r="QZ9" s="47"/>
      <c r="RA9" s="47"/>
      <c r="RB9" s="47"/>
      <c r="RC9" s="47"/>
      <c r="RD9" s="47"/>
      <c r="RE9" s="47"/>
      <c r="RF9" s="47"/>
      <c r="RG9" s="47"/>
      <c r="RH9" s="47"/>
      <c r="RI9" s="47"/>
      <c r="RJ9" s="47"/>
      <c r="RK9" s="47"/>
      <c r="RL9" s="47"/>
      <c r="RM9" s="47"/>
      <c r="RN9" s="47"/>
      <c r="RO9" s="47"/>
      <c r="RP9" s="47"/>
      <c r="RQ9" s="47"/>
      <c r="RR9" s="47"/>
      <c r="RS9" s="47"/>
      <c r="RT9" s="47"/>
      <c r="RU9" s="47"/>
      <c r="RV9" s="47"/>
      <c r="RW9" s="47"/>
      <c r="RX9" s="47"/>
      <c r="RY9" s="47"/>
      <c r="RZ9" s="47"/>
      <c r="SA9" s="47"/>
      <c r="SB9" s="47"/>
      <c r="SC9" s="47"/>
      <c r="SD9" s="47"/>
      <c r="SE9" s="47"/>
      <c r="SF9" s="47"/>
      <c r="SG9" s="47"/>
      <c r="SH9" s="47"/>
      <c r="SI9" s="47"/>
      <c r="SJ9" s="47"/>
      <c r="SK9" s="47"/>
      <c r="SL9" s="47"/>
      <c r="SM9" s="47"/>
      <c r="SN9" s="47"/>
      <c r="SO9" s="47"/>
      <c r="SP9" s="47"/>
      <c r="SQ9" s="47"/>
      <c r="SR9" s="47"/>
      <c r="SS9" s="47"/>
      <c r="ST9" s="47"/>
      <c r="SU9" s="47"/>
      <c r="SV9" s="47"/>
      <c r="SW9" s="47"/>
      <c r="SX9" s="47"/>
      <c r="SY9" s="47"/>
      <c r="SZ9" s="47"/>
      <c r="TA9" s="47"/>
      <c r="TB9" s="47"/>
      <c r="TC9" s="47"/>
      <c r="TD9" s="47"/>
      <c r="TE9" s="47"/>
      <c r="TF9" s="47"/>
      <c r="TG9" s="47"/>
      <c r="TH9" s="47"/>
      <c r="TI9" s="47"/>
      <c r="TJ9" s="47"/>
      <c r="TK9" s="47"/>
      <c r="TL9" s="47"/>
      <c r="TM9" s="47"/>
      <c r="TN9" s="47"/>
      <c r="TO9" s="47"/>
      <c r="TP9" s="47"/>
      <c r="TQ9" s="47"/>
      <c r="TR9" s="47"/>
      <c r="TS9" s="47"/>
      <c r="TT9" s="47"/>
      <c r="TU9" s="47"/>
      <c r="TV9" s="47"/>
      <c r="TW9" s="47"/>
      <c r="TX9" s="47"/>
      <c r="TY9" s="47"/>
      <c r="TZ9" s="47"/>
      <c r="UA9" s="47"/>
      <c r="UB9" s="47"/>
      <c r="UC9" s="47"/>
      <c r="UD9" s="47"/>
      <c r="UE9" s="47"/>
      <c r="UF9" s="47"/>
      <c r="UG9" s="47"/>
      <c r="UH9" s="47"/>
      <c r="UI9" s="47"/>
      <c r="UJ9" s="47"/>
      <c r="UK9" s="47"/>
      <c r="UL9" s="47"/>
      <c r="UM9" s="47"/>
      <c r="UN9" s="47"/>
      <c r="UO9" s="47"/>
      <c r="UP9" s="47"/>
      <c r="UQ9" s="47"/>
      <c r="UR9" s="47"/>
      <c r="US9" s="47"/>
      <c r="UT9" s="47"/>
      <c r="UU9" s="47"/>
      <c r="UV9" s="47"/>
      <c r="UW9" s="47"/>
      <c r="UX9" s="47"/>
      <c r="UY9" s="47"/>
      <c r="UZ9" s="47"/>
      <c r="VA9" s="47"/>
      <c r="VB9" s="47"/>
      <c r="VC9" s="47"/>
      <c r="VD9" s="47"/>
      <c r="VE9" s="47"/>
      <c r="VF9" s="47"/>
      <c r="VG9" s="47"/>
      <c r="VH9" s="47"/>
      <c r="VI9" s="47"/>
      <c r="VJ9" s="47"/>
      <c r="VK9" s="47"/>
      <c r="VL9" s="47"/>
      <c r="VM9" s="47"/>
      <c r="VN9" s="47"/>
      <c r="VO9" s="47"/>
      <c r="VP9" s="47"/>
      <c r="VQ9" s="47"/>
      <c r="VR9" s="47"/>
      <c r="VS9" s="47"/>
      <c r="VT9" s="47"/>
      <c r="VU9" s="47"/>
      <c r="VV9" s="47"/>
      <c r="VW9" s="47"/>
      <c r="VX9" s="47"/>
      <c r="VY9" s="47"/>
      <c r="VZ9" s="47"/>
      <c r="WA9" s="47"/>
      <c r="WB9" s="47"/>
      <c r="WC9" s="47"/>
      <c r="WD9" s="47"/>
      <c r="WE9" s="47"/>
      <c r="WF9" s="47"/>
      <c r="WG9" s="47"/>
      <c r="WH9" s="47"/>
      <c r="WI9" s="47"/>
      <c r="WJ9" s="47"/>
      <c r="WK9" s="47"/>
      <c r="WL9" s="47"/>
      <c r="WM9" s="47"/>
      <c r="WN9" s="47"/>
      <c r="WO9" s="47"/>
      <c r="WP9" s="47"/>
      <c r="WQ9" s="47"/>
      <c r="WR9" s="47"/>
      <c r="WS9" s="47"/>
      <c r="WT9" s="47"/>
      <c r="WU9" s="47"/>
      <c r="WV9" s="47"/>
      <c r="WW9" s="47"/>
      <c r="WX9" s="47"/>
      <c r="WY9" s="47"/>
      <c r="WZ9" s="47"/>
      <c r="XA9" s="47"/>
      <c r="XB9" s="47"/>
      <c r="XC9" s="47"/>
      <c r="XD9" s="47"/>
      <c r="XE9" s="47"/>
      <c r="XF9" s="47"/>
      <c r="XG9" s="47"/>
      <c r="XH9" s="47"/>
      <c r="XI9" s="47"/>
      <c r="XJ9" s="47"/>
      <c r="XK9" s="47"/>
      <c r="XL9" s="47"/>
      <c r="XM9" s="47"/>
      <c r="XN9" s="47"/>
      <c r="XO9" s="47"/>
      <c r="XP9" s="47"/>
      <c r="XQ9" s="47"/>
      <c r="XR9" s="47"/>
      <c r="XS9" s="47"/>
      <c r="XT9" s="47"/>
      <c r="XU9" s="47"/>
      <c r="XV9" s="47"/>
      <c r="XW9" s="47"/>
      <c r="XX9" s="47"/>
      <c r="XY9" s="47"/>
      <c r="XZ9" s="47"/>
      <c r="YA9" s="44"/>
      <c r="YB9" s="44"/>
      <c r="YC9" s="44"/>
      <c r="YD9" s="44"/>
      <c r="YE9" s="44"/>
      <c r="YF9" s="47"/>
      <c r="YG9" s="47"/>
      <c r="YH9" s="47"/>
      <c r="YI9" s="47"/>
      <c r="YJ9" s="47"/>
      <c r="YK9" s="47"/>
      <c r="YL9" s="47"/>
      <c r="YM9" s="47"/>
      <c r="YN9" s="47"/>
      <c r="YO9" s="47"/>
      <c r="YP9" s="47"/>
      <c r="YQ9" s="47"/>
      <c r="YR9" s="47"/>
      <c r="YS9" s="47"/>
      <c r="YT9" s="47"/>
      <c r="YU9" s="47"/>
      <c r="YV9" s="47"/>
      <c r="YW9" s="47"/>
      <c r="YX9" s="47"/>
      <c r="YY9" s="47"/>
      <c r="YZ9" s="47"/>
      <c r="ZA9" s="47"/>
      <c r="ZB9" s="47"/>
      <c r="ZC9" s="47"/>
      <c r="ZD9" s="47"/>
      <c r="ZE9" s="47"/>
      <c r="ZF9" s="47"/>
      <c r="ZG9" s="47"/>
      <c r="ZH9" s="47"/>
      <c r="ZI9" s="47"/>
      <c r="ZJ9" s="47"/>
      <c r="ZK9" s="47"/>
      <c r="ZL9" s="47"/>
      <c r="ZM9" s="47"/>
      <c r="ZN9" s="47"/>
      <c r="ZO9" s="47"/>
      <c r="ZP9" s="47"/>
      <c r="ZQ9" s="47"/>
      <c r="ZR9" s="47"/>
      <c r="ZS9" s="47"/>
      <c r="ZT9" s="47"/>
      <c r="ZU9" s="47"/>
      <c r="ZV9" s="47"/>
      <c r="ZW9" s="44"/>
      <c r="ZX9" s="44"/>
      <c r="ZY9" s="44"/>
      <c r="ZZ9" s="44"/>
      <c r="AAA9" s="44"/>
      <c r="AAB9" s="44"/>
      <c r="AAC9" s="44"/>
      <c r="AAD9" s="44"/>
      <c r="AAE9" s="44"/>
      <c r="AAF9" s="44"/>
      <c r="AAG9" s="47"/>
      <c r="AAH9" s="47"/>
      <c r="AAI9" s="47"/>
      <c r="AAJ9" s="47"/>
      <c r="AAK9" s="47"/>
      <c r="AAL9" s="47"/>
      <c r="AAM9" s="47"/>
      <c r="AAN9" s="47"/>
      <c r="AAO9" s="47"/>
      <c r="AAP9" s="47"/>
      <c r="AAQ9" s="47"/>
      <c r="AAR9" s="47"/>
      <c r="AAS9" s="47"/>
      <c r="AAT9" s="47"/>
      <c r="AAU9" s="47"/>
      <c r="AAV9" s="47"/>
      <c r="AAW9" s="47"/>
      <c r="AAX9" s="47"/>
      <c r="AAY9" s="47"/>
      <c r="AAZ9" s="47"/>
      <c r="ABA9" s="47"/>
      <c r="ABB9" s="47"/>
      <c r="ABC9" s="47"/>
      <c r="ABD9" s="47"/>
      <c r="ABE9" s="47"/>
      <c r="ABF9" s="47"/>
      <c r="ABG9" s="47"/>
      <c r="ABH9" s="47"/>
      <c r="ABI9" s="47"/>
      <c r="ABJ9" s="47"/>
      <c r="ABK9" s="47"/>
      <c r="ABL9" s="47"/>
      <c r="ABM9" s="47"/>
      <c r="ABN9" s="47"/>
      <c r="ABO9" s="47"/>
      <c r="ABP9" s="47"/>
      <c r="ABQ9" s="47"/>
      <c r="ABR9" s="47"/>
      <c r="ABS9" s="47"/>
      <c r="ABT9" s="47"/>
      <c r="ABU9" s="47"/>
      <c r="ABV9" s="47"/>
      <c r="ABW9" s="47"/>
      <c r="ABX9" s="47"/>
      <c r="ABY9" s="47"/>
      <c r="ABZ9" s="47"/>
      <c r="ACA9" s="47"/>
      <c r="ACB9" s="47"/>
      <c r="ACC9" s="47"/>
      <c r="ACD9" s="47"/>
      <c r="ACE9" s="47"/>
      <c r="ACF9" s="47"/>
      <c r="ACG9" s="47"/>
      <c r="ACH9" s="48"/>
    </row>
    <row r="10" spans="1:762" x14ac:dyDescent="0.25">
      <c r="A10" s="42" t="s">
        <v>26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>
        <v>31</v>
      </c>
      <c r="BD10" s="43"/>
      <c r="BE10" s="43"/>
      <c r="BF10" s="43"/>
      <c r="BG10" s="43">
        <v>36</v>
      </c>
      <c r="BH10" s="43"/>
      <c r="BI10" s="43"/>
      <c r="BJ10" s="43"/>
      <c r="BK10" s="43"/>
      <c r="BL10" s="43"/>
      <c r="BM10" s="43"/>
      <c r="BN10" s="43">
        <v>30.9</v>
      </c>
      <c r="BO10" s="43">
        <v>47.8</v>
      </c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43"/>
      <c r="CA10" s="43">
        <v>28</v>
      </c>
      <c r="CB10" s="43"/>
      <c r="CC10" s="43"/>
      <c r="CD10" s="43"/>
      <c r="CE10" s="43"/>
      <c r="CF10" s="43"/>
      <c r="CG10" s="43"/>
      <c r="CH10" s="43"/>
      <c r="CI10" s="43"/>
      <c r="CJ10" s="43"/>
      <c r="CK10" s="43"/>
      <c r="CL10" s="43"/>
      <c r="CM10" s="43">
        <v>240</v>
      </c>
      <c r="CN10" s="43">
        <v>250</v>
      </c>
      <c r="CO10" s="43"/>
      <c r="CP10" s="43"/>
      <c r="CQ10" s="43"/>
      <c r="CR10" s="49"/>
      <c r="CS10" s="43"/>
      <c r="CT10" s="43"/>
      <c r="CU10" s="43"/>
      <c r="CV10" s="43"/>
      <c r="CW10" s="43"/>
      <c r="CX10" s="43"/>
      <c r="CY10" s="43"/>
      <c r="CZ10" s="49">
        <v>0.25</v>
      </c>
      <c r="DA10" s="49"/>
      <c r="DB10" s="49"/>
      <c r="DC10" s="49"/>
      <c r="DD10" s="43"/>
      <c r="DE10" s="43"/>
      <c r="DF10" s="43"/>
      <c r="DG10" s="43"/>
      <c r="DH10" s="43"/>
      <c r="DI10" s="43"/>
      <c r="DJ10" s="43"/>
      <c r="DK10" s="43"/>
      <c r="DL10" s="43"/>
      <c r="DM10" s="43"/>
      <c r="DN10" s="43"/>
      <c r="DO10" s="43"/>
      <c r="DP10" s="43"/>
      <c r="DQ10" s="43"/>
      <c r="DR10" s="43"/>
      <c r="DS10" s="43"/>
      <c r="DT10" s="43"/>
      <c r="DU10" s="43"/>
      <c r="DV10" s="43"/>
      <c r="DW10" s="43"/>
      <c r="DX10" s="43"/>
      <c r="DY10" s="43"/>
      <c r="DZ10" s="43"/>
      <c r="EA10" s="43"/>
      <c r="EB10" s="43"/>
      <c r="EC10" s="43"/>
      <c r="ED10" s="43"/>
      <c r="EE10" s="43"/>
      <c r="EF10" s="43" t="s">
        <v>457</v>
      </c>
      <c r="EG10" s="43"/>
      <c r="EH10" s="43"/>
      <c r="EI10" s="43"/>
      <c r="EJ10" s="43"/>
      <c r="EK10" s="43"/>
      <c r="EL10" s="43"/>
      <c r="EM10" s="43">
        <v>52</v>
      </c>
      <c r="EN10" s="43"/>
      <c r="EO10" s="43"/>
      <c r="EP10" s="43"/>
      <c r="EQ10" s="43"/>
      <c r="ER10" s="43">
        <v>4125</v>
      </c>
      <c r="ES10" s="43"/>
      <c r="ET10" s="43"/>
      <c r="EU10" s="43"/>
      <c r="EV10" s="43"/>
      <c r="EW10" s="43">
        <v>2577</v>
      </c>
      <c r="EX10" s="43">
        <v>1223</v>
      </c>
      <c r="EY10" s="43"/>
      <c r="EZ10" s="43"/>
      <c r="FA10" s="43"/>
      <c r="FB10" s="43"/>
      <c r="FC10" s="43"/>
      <c r="FD10" s="43"/>
      <c r="FE10" s="43">
        <v>132</v>
      </c>
      <c r="FF10" s="43"/>
      <c r="FG10" s="43"/>
      <c r="FH10" s="43"/>
      <c r="FI10" s="43"/>
      <c r="FJ10" s="43"/>
      <c r="FK10" s="43"/>
      <c r="FL10" s="43"/>
      <c r="FM10" s="43"/>
      <c r="FN10" s="43"/>
      <c r="FO10" s="43">
        <v>269</v>
      </c>
      <c r="FP10" s="43">
        <v>125</v>
      </c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>
        <v>24.6</v>
      </c>
      <c r="GV10" s="43"/>
      <c r="GW10" s="43"/>
      <c r="GX10" s="43"/>
      <c r="GY10" s="43"/>
      <c r="GZ10" s="43"/>
      <c r="HA10" s="43">
        <v>8.6</v>
      </c>
      <c r="HB10" s="43"/>
      <c r="HC10" s="43"/>
      <c r="HD10" s="43"/>
      <c r="HE10" s="43"/>
      <c r="HF10" s="43">
        <v>4298</v>
      </c>
      <c r="HG10" s="43"/>
      <c r="HH10" s="43"/>
      <c r="HI10" s="43"/>
      <c r="HJ10" s="43"/>
      <c r="HK10" s="43">
        <v>3607</v>
      </c>
      <c r="HL10" s="43">
        <v>2361</v>
      </c>
      <c r="HM10" s="43"/>
      <c r="HN10" s="43"/>
      <c r="HO10" s="43"/>
      <c r="HP10" s="43"/>
      <c r="HQ10" s="43"/>
      <c r="HR10" s="43"/>
      <c r="HS10" s="43">
        <v>274</v>
      </c>
      <c r="HT10" s="43"/>
      <c r="HU10" s="43"/>
      <c r="HV10" s="43"/>
      <c r="HW10" s="43"/>
      <c r="HX10" s="43"/>
      <c r="HY10" s="43"/>
      <c r="HZ10" s="43"/>
      <c r="IA10" s="43"/>
      <c r="IB10" s="43"/>
      <c r="IC10" s="43">
        <v>186</v>
      </c>
      <c r="ID10" s="43">
        <v>76</v>
      </c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  <c r="IU10" s="43"/>
      <c r="IV10" s="43"/>
      <c r="IW10" s="43"/>
      <c r="IX10" s="43"/>
      <c r="IY10" s="43"/>
      <c r="IZ10" s="43"/>
      <c r="JA10" s="43"/>
      <c r="JB10" s="43"/>
      <c r="JC10" s="43"/>
      <c r="JD10" s="43"/>
      <c r="JE10" s="43"/>
      <c r="JF10" s="43"/>
      <c r="JG10" s="43"/>
      <c r="JH10" s="43" t="s">
        <v>459</v>
      </c>
      <c r="JI10" s="43"/>
      <c r="JJ10" s="43"/>
      <c r="JK10" s="43"/>
      <c r="JL10" s="43">
        <v>9.1199999999999992</v>
      </c>
      <c r="JM10" s="43"/>
      <c r="JN10" s="43"/>
      <c r="JO10" s="43"/>
      <c r="JP10" s="43"/>
      <c r="JQ10" s="43">
        <v>526</v>
      </c>
      <c r="JR10" s="43"/>
      <c r="JS10" s="43"/>
      <c r="JT10" s="43"/>
      <c r="JU10" s="43"/>
      <c r="JV10" s="43">
        <v>399</v>
      </c>
      <c r="JW10" s="43">
        <v>362</v>
      </c>
      <c r="JX10" s="43"/>
      <c r="JY10" s="43"/>
      <c r="JZ10" s="43"/>
      <c r="KA10" s="43"/>
      <c r="KB10" s="43"/>
      <c r="KC10" s="43"/>
      <c r="KD10" s="43">
        <v>399</v>
      </c>
      <c r="KE10" s="43"/>
      <c r="KF10" s="43"/>
      <c r="KG10" s="43"/>
      <c r="KH10" s="43"/>
      <c r="KI10" s="43"/>
      <c r="KJ10" s="43"/>
      <c r="KK10" s="43"/>
      <c r="KL10" s="43"/>
      <c r="KM10" s="43"/>
      <c r="KN10" s="43">
        <v>619</v>
      </c>
      <c r="KO10" s="43">
        <v>900</v>
      </c>
      <c r="KP10" s="43"/>
      <c r="KQ10" s="43"/>
      <c r="KR10" s="43"/>
      <c r="KS10" s="43"/>
      <c r="KT10" s="43"/>
      <c r="KU10" s="43"/>
      <c r="KV10" s="43"/>
      <c r="KW10" s="43"/>
      <c r="KX10" s="43"/>
      <c r="KY10" s="43"/>
      <c r="KZ10" s="43"/>
      <c r="LA10" s="43"/>
      <c r="LB10" s="43"/>
      <c r="LC10" s="43"/>
      <c r="LD10" s="43"/>
      <c r="LE10" s="43"/>
      <c r="LF10" s="43"/>
      <c r="LG10" s="43"/>
      <c r="LH10" s="43"/>
      <c r="LI10" s="43"/>
      <c r="LJ10" s="43"/>
      <c r="LK10" s="43"/>
      <c r="LL10" s="43"/>
      <c r="LM10" s="43"/>
      <c r="LN10" s="43"/>
      <c r="LO10" s="43"/>
      <c r="LP10" s="43"/>
      <c r="LQ10" s="43"/>
      <c r="LR10" s="43"/>
      <c r="LS10" s="43"/>
      <c r="LT10" s="43"/>
      <c r="LU10" s="43"/>
      <c r="LV10" s="43"/>
      <c r="LW10" s="43"/>
      <c r="LX10" s="43"/>
      <c r="LY10" s="43"/>
      <c r="LZ10" s="43"/>
      <c r="MA10" s="43"/>
      <c r="MB10" s="43"/>
      <c r="MC10" s="43"/>
      <c r="MD10" s="43"/>
      <c r="ME10" s="43"/>
      <c r="MF10" s="43"/>
      <c r="MG10" s="43"/>
      <c r="MH10" s="43"/>
      <c r="MI10" s="43"/>
      <c r="MJ10" s="43"/>
      <c r="MK10" s="43"/>
      <c r="ML10" s="43"/>
      <c r="MM10" s="43"/>
      <c r="MN10" s="43"/>
      <c r="MO10" s="43"/>
      <c r="MP10" s="43"/>
      <c r="MQ10" s="43"/>
      <c r="MR10" s="43"/>
      <c r="MS10" s="43"/>
      <c r="MT10" s="43"/>
      <c r="MU10" s="43"/>
      <c r="MV10" s="43"/>
      <c r="MW10" s="43"/>
      <c r="MX10" s="43"/>
      <c r="MY10" s="43"/>
      <c r="MZ10" s="43"/>
      <c r="NA10" s="43"/>
      <c r="NB10" s="43"/>
      <c r="NC10" s="43"/>
      <c r="ND10" s="43"/>
      <c r="NE10" s="43"/>
      <c r="NF10" s="43"/>
      <c r="NG10" s="43"/>
      <c r="NH10" s="43"/>
      <c r="NI10" s="43"/>
      <c r="NJ10" s="44"/>
      <c r="NK10" s="44"/>
      <c r="NL10" s="44"/>
      <c r="NM10" s="44"/>
      <c r="NN10" s="44"/>
      <c r="NO10" s="43"/>
      <c r="NP10" s="43"/>
      <c r="NQ10" s="43"/>
      <c r="NR10" s="43"/>
      <c r="NS10" s="43"/>
      <c r="NT10" s="43"/>
      <c r="NU10" s="43"/>
      <c r="NV10" s="43"/>
      <c r="NW10" s="43"/>
      <c r="NX10" s="43"/>
      <c r="NY10" s="43"/>
      <c r="NZ10" s="43"/>
      <c r="OA10" s="43">
        <v>311.8</v>
      </c>
      <c r="OB10" s="43"/>
      <c r="OC10" s="43"/>
      <c r="OD10" s="43"/>
      <c r="OE10" s="43"/>
      <c r="OF10" s="43">
        <v>356.1</v>
      </c>
      <c r="OG10" s="43">
        <v>356.2</v>
      </c>
      <c r="OH10" s="43"/>
      <c r="OI10" s="43"/>
      <c r="OJ10" s="43"/>
      <c r="OK10" s="43"/>
      <c r="OL10" s="43"/>
      <c r="OM10" s="43"/>
      <c r="ON10" s="43"/>
      <c r="OO10" s="43"/>
      <c r="OP10" s="43"/>
      <c r="OQ10" s="43"/>
      <c r="OR10" s="43"/>
      <c r="OS10" s="43"/>
      <c r="OT10" s="43">
        <v>427</v>
      </c>
      <c r="OU10" s="43"/>
      <c r="OV10" s="43"/>
      <c r="OW10" s="43">
        <v>427</v>
      </c>
      <c r="OX10" s="43">
        <v>210</v>
      </c>
      <c r="OY10" s="43"/>
      <c r="OZ10" s="43"/>
      <c r="PA10" s="43"/>
      <c r="PB10" s="43"/>
      <c r="PC10" s="43"/>
      <c r="PD10" s="43"/>
      <c r="PE10" s="43"/>
      <c r="PF10" s="43"/>
      <c r="PG10" s="43"/>
      <c r="PH10" s="43"/>
      <c r="PI10" s="43"/>
      <c r="PJ10" s="43"/>
      <c r="PK10" s="43"/>
      <c r="PL10" s="43"/>
      <c r="PM10" s="43"/>
      <c r="PN10" s="43"/>
      <c r="PO10" s="43"/>
      <c r="PP10" s="43"/>
      <c r="PQ10" s="43"/>
      <c r="PR10" s="43"/>
      <c r="PS10" s="43"/>
      <c r="PT10" s="43"/>
      <c r="PU10" s="43"/>
      <c r="PV10" s="43"/>
      <c r="PW10" s="43"/>
      <c r="PX10" s="43"/>
      <c r="PY10" s="43"/>
      <c r="PZ10" s="43"/>
      <c r="QA10" s="43"/>
      <c r="QB10" s="43"/>
      <c r="QC10" s="43"/>
      <c r="QD10" s="43"/>
      <c r="QE10" s="43"/>
      <c r="QF10" s="43"/>
      <c r="QG10" s="43"/>
      <c r="QH10" s="43"/>
      <c r="QI10" s="43"/>
      <c r="QJ10" s="43"/>
      <c r="QK10" s="43" t="s">
        <v>458</v>
      </c>
      <c r="QL10" s="43"/>
      <c r="QM10" s="43"/>
      <c r="QN10" s="43"/>
      <c r="QO10" s="43"/>
      <c r="QP10" s="43"/>
      <c r="QQ10" s="43">
        <v>4.9400000000000004</v>
      </c>
      <c r="QR10" s="43"/>
      <c r="QS10" s="43"/>
      <c r="QT10" s="43"/>
      <c r="QU10" s="43"/>
      <c r="QV10" s="43">
        <v>144</v>
      </c>
      <c r="QW10" s="43"/>
      <c r="QX10" s="43"/>
      <c r="QY10" s="43"/>
      <c r="QZ10" s="43"/>
      <c r="RA10" s="43">
        <v>135</v>
      </c>
      <c r="RB10" s="43">
        <v>129</v>
      </c>
      <c r="RC10" s="43"/>
      <c r="RD10" s="43"/>
      <c r="RE10" s="43"/>
      <c r="RF10" s="43"/>
      <c r="RG10" s="43"/>
      <c r="RH10" s="43"/>
      <c r="RI10" s="43">
        <v>211</v>
      </c>
      <c r="RJ10" s="43"/>
      <c r="RK10" s="43"/>
      <c r="RL10" s="43"/>
      <c r="RM10" s="43"/>
      <c r="RN10" s="43"/>
      <c r="RO10" s="43"/>
      <c r="RP10" s="43"/>
      <c r="RQ10" s="43"/>
      <c r="RR10" s="43"/>
      <c r="RS10" s="43">
        <v>437</v>
      </c>
      <c r="RT10" s="43">
        <v>440</v>
      </c>
      <c r="RU10" s="43"/>
      <c r="RV10" s="43"/>
      <c r="RW10" s="43"/>
      <c r="RX10" s="43"/>
      <c r="RY10" s="43"/>
      <c r="RZ10" s="43"/>
      <c r="SA10" s="43"/>
      <c r="SB10" s="43"/>
      <c r="SC10" s="43"/>
      <c r="SD10" s="43"/>
      <c r="SE10" s="43"/>
      <c r="SF10" s="43"/>
      <c r="SG10" s="43"/>
      <c r="SH10" s="43"/>
      <c r="SI10" s="43"/>
      <c r="SJ10" s="43"/>
      <c r="SK10" s="43"/>
      <c r="SL10" s="43"/>
      <c r="SM10" s="43"/>
      <c r="SN10" s="43"/>
      <c r="SO10" s="43"/>
      <c r="SP10" s="43"/>
      <c r="SQ10" s="43"/>
      <c r="SR10" s="43"/>
      <c r="SS10" s="43"/>
      <c r="ST10" s="43"/>
      <c r="SU10" s="43"/>
      <c r="SV10" s="43"/>
      <c r="SW10" s="43"/>
      <c r="SX10" s="43"/>
      <c r="SY10" s="43"/>
      <c r="SZ10" s="43"/>
      <c r="TA10" s="43"/>
      <c r="TB10" s="43"/>
      <c r="TC10" s="43"/>
      <c r="TD10" s="43"/>
      <c r="TE10" s="43"/>
      <c r="TF10" s="43"/>
      <c r="TG10" s="43"/>
      <c r="TH10" s="43"/>
      <c r="TI10" s="43"/>
      <c r="TJ10" s="43"/>
      <c r="TK10" s="43"/>
      <c r="TL10" s="43"/>
      <c r="TM10" s="43"/>
      <c r="TN10" s="43"/>
      <c r="TO10" s="43"/>
      <c r="TP10" s="43"/>
      <c r="TQ10" s="43"/>
      <c r="TR10" s="43"/>
      <c r="TS10" s="43"/>
      <c r="TT10" s="43"/>
      <c r="TU10" s="43"/>
      <c r="TV10" s="43"/>
      <c r="TW10" s="43"/>
      <c r="TX10" s="43">
        <v>78</v>
      </c>
      <c r="TY10" s="43"/>
      <c r="TZ10" s="43"/>
      <c r="UA10" s="43"/>
      <c r="UB10" s="43"/>
      <c r="UC10" s="43"/>
      <c r="UD10" s="43"/>
      <c r="UE10" s="43"/>
      <c r="UF10" s="43"/>
      <c r="UG10" s="43"/>
      <c r="UH10" s="43">
        <v>71.2</v>
      </c>
      <c r="UI10" s="43"/>
      <c r="UJ10" s="43"/>
      <c r="UK10" s="43"/>
      <c r="UL10" s="43"/>
      <c r="UM10" s="43">
        <v>58.9</v>
      </c>
      <c r="UN10" s="43">
        <v>51.3</v>
      </c>
      <c r="UO10" s="43"/>
      <c r="UP10" s="43"/>
      <c r="UQ10" s="43"/>
      <c r="UR10" s="43"/>
      <c r="US10" s="43"/>
      <c r="UT10" s="43"/>
      <c r="UU10" s="43">
        <v>61</v>
      </c>
      <c r="UV10" s="43"/>
      <c r="UW10" s="43"/>
      <c r="UX10" s="43"/>
      <c r="UY10" s="43"/>
      <c r="UZ10" s="43">
        <v>1.2</v>
      </c>
      <c r="VA10" s="43"/>
      <c r="VB10" s="43"/>
      <c r="VC10" s="43"/>
      <c r="VD10" s="43">
        <v>1.73</v>
      </c>
      <c r="VE10" s="43"/>
      <c r="VF10" s="43"/>
      <c r="VG10" s="43"/>
      <c r="VH10" s="43"/>
      <c r="VI10" s="43"/>
      <c r="VJ10" s="43"/>
      <c r="VK10" s="43"/>
      <c r="VL10" s="43"/>
      <c r="VM10" s="43"/>
      <c r="VN10" s="43"/>
      <c r="VO10" s="43"/>
      <c r="VP10" s="43"/>
      <c r="VQ10" s="43"/>
      <c r="VR10" s="43"/>
      <c r="VS10" s="43"/>
      <c r="VT10" s="43">
        <v>152</v>
      </c>
      <c r="VU10" s="43"/>
      <c r="VV10" s="43"/>
      <c r="VW10" s="43"/>
      <c r="VX10" s="43"/>
      <c r="VY10" s="43"/>
      <c r="VZ10" s="43"/>
      <c r="WA10" s="43"/>
      <c r="WB10" s="43"/>
      <c r="WC10" s="43"/>
      <c r="WD10" s="43"/>
      <c r="WE10" s="43"/>
      <c r="WF10" s="43"/>
      <c r="WG10" s="43"/>
      <c r="WH10" s="43"/>
      <c r="WI10" s="43"/>
      <c r="WJ10" s="43"/>
      <c r="WK10" s="43"/>
      <c r="WL10" s="43"/>
      <c r="WM10" s="43">
        <v>142</v>
      </c>
      <c r="WN10" s="43"/>
      <c r="WO10" s="43" t="s">
        <v>706</v>
      </c>
      <c r="WP10" s="43"/>
      <c r="WQ10" s="43"/>
      <c r="WR10" s="43"/>
      <c r="WS10" s="43"/>
      <c r="WT10" s="43"/>
      <c r="WU10" s="43"/>
      <c r="WV10" s="43"/>
      <c r="WW10" s="43"/>
      <c r="WX10" s="43"/>
      <c r="WY10" s="43"/>
      <c r="WZ10" s="43"/>
      <c r="XA10" s="43"/>
      <c r="XB10" s="43"/>
      <c r="XC10" s="43"/>
      <c r="XD10" s="43"/>
      <c r="XE10" s="43"/>
      <c r="XF10" s="43"/>
      <c r="XG10" s="43">
        <v>200</v>
      </c>
      <c r="XH10" s="43"/>
      <c r="XI10" s="43"/>
      <c r="XJ10" s="43"/>
      <c r="XK10" s="43">
        <v>54</v>
      </c>
      <c r="XL10" s="43"/>
      <c r="XM10" s="43"/>
      <c r="XN10" s="43"/>
      <c r="XO10" s="43"/>
      <c r="XP10" s="43"/>
      <c r="XQ10" s="43"/>
      <c r="XR10" s="43"/>
      <c r="XS10" s="43"/>
      <c r="XT10" s="43"/>
      <c r="XU10" s="43"/>
      <c r="XV10" s="43"/>
      <c r="XW10" s="43"/>
      <c r="XX10" s="43"/>
      <c r="XY10" s="43"/>
      <c r="XZ10" s="43"/>
      <c r="YA10" s="44"/>
      <c r="YB10" s="44">
        <v>39</v>
      </c>
      <c r="YC10" s="44">
        <v>62</v>
      </c>
      <c r="YD10" s="44">
        <v>48</v>
      </c>
      <c r="YE10" s="44">
        <v>88</v>
      </c>
      <c r="YF10" s="43"/>
      <c r="YG10" s="43"/>
      <c r="YH10" s="43"/>
      <c r="YI10" s="43"/>
      <c r="YJ10" s="43"/>
      <c r="YK10" s="43"/>
      <c r="YL10" s="43"/>
      <c r="YM10" s="43"/>
      <c r="YN10" s="43"/>
      <c r="YO10" s="43"/>
      <c r="YP10" s="43"/>
      <c r="YQ10" s="43"/>
      <c r="YR10" s="43"/>
      <c r="YS10" s="43"/>
      <c r="YT10" s="43"/>
      <c r="YU10" s="43"/>
      <c r="YV10" s="43"/>
      <c r="YW10" s="43"/>
      <c r="YX10" s="43"/>
      <c r="YY10" s="43">
        <v>4.6500000000000004</v>
      </c>
      <c r="YZ10" s="43"/>
      <c r="ZA10" s="43">
        <v>156</v>
      </c>
      <c r="ZB10" s="43"/>
      <c r="ZC10" s="43"/>
      <c r="ZD10" s="43"/>
      <c r="ZE10" s="43"/>
      <c r="ZF10" s="43"/>
      <c r="ZG10" s="43"/>
      <c r="ZH10" s="43"/>
      <c r="ZI10" s="43"/>
      <c r="ZJ10" s="43"/>
      <c r="ZK10" s="43"/>
      <c r="ZL10" s="43"/>
      <c r="ZM10" s="43"/>
      <c r="ZN10" s="43"/>
      <c r="ZO10" s="43"/>
      <c r="ZP10" s="43"/>
      <c r="ZQ10" s="43"/>
      <c r="ZR10" s="43"/>
      <c r="ZS10" s="43"/>
      <c r="ZT10" s="43"/>
      <c r="ZU10" s="43"/>
      <c r="ZV10" s="43"/>
      <c r="ZW10" s="44"/>
      <c r="ZX10" s="44"/>
      <c r="ZY10" s="44"/>
      <c r="ZZ10" s="44"/>
      <c r="AAA10" s="44"/>
      <c r="AAB10" s="44"/>
      <c r="AAC10" s="44"/>
      <c r="AAD10" s="44"/>
      <c r="AAE10" s="44"/>
      <c r="AAF10" s="44"/>
      <c r="AAG10" s="43"/>
      <c r="AAH10" s="43"/>
      <c r="AAI10" s="43"/>
      <c r="AAJ10" s="43"/>
      <c r="AAK10" s="43"/>
      <c r="AAL10" s="43"/>
      <c r="AAM10" s="43"/>
      <c r="AAN10" s="43"/>
      <c r="AAO10" s="43"/>
      <c r="AAP10" s="43"/>
      <c r="AAQ10" s="43"/>
      <c r="AAR10" s="43"/>
      <c r="AAS10" s="43"/>
      <c r="AAT10" s="43"/>
      <c r="AAU10" s="43"/>
      <c r="AAV10" s="43"/>
      <c r="AAW10" s="43"/>
      <c r="AAX10" s="43"/>
      <c r="AAY10" s="43"/>
      <c r="AAZ10" s="43"/>
      <c r="ABA10" s="43"/>
      <c r="ABB10" s="43"/>
      <c r="ABC10" s="43"/>
      <c r="ABD10" s="43"/>
      <c r="ABE10" s="43"/>
      <c r="ABF10" s="43"/>
      <c r="ABG10" s="43"/>
      <c r="ABH10" s="43"/>
      <c r="ABI10" s="43"/>
      <c r="ABJ10" s="43"/>
      <c r="ABK10" s="43"/>
      <c r="ABL10" s="43"/>
      <c r="ABM10" s="43"/>
      <c r="ABN10" s="43"/>
      <c r="ABO10" s="43"/>
      <c r="ABP10" s="43"/>
      <c r="ABQ10" s="43"/>
      <c r="ABR10" s="43"/>
      <c r="ABS10" s="43"/>
      <c r="ABT10" s="43"/>
      <c r="ABU10" s="43"/>
      <c r="ABV10" s="43"/>
      <c r="ABW10" s="43"/>
      <c r="ABX10" s="43"/>
      <c r="ABY10" s="43"/>
      <c r="ABZ10" s="43"/>
      <c r="ACA10" s="43"/>
      <c r="ACB10" s="43"/>
      <c r="ACC10" s="43"/>
      <c r="ACD10" s="43"/>
      <c r="ACE10" s="43"/>
      <c r="ACF10" s="43"/>
      <c r="ACG10" s="43"/>
      <c r="ACH10" s="45"/>
    </row>
    <row r="11" spans="1:762" x14ac:dyDescent="0.25">
      <c r="A11" s="46" t="s">
        <v>28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>
        <v>4000</v>
      </c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7"/>
      <c r="EG11" s="47"/>
      <c r="EH11" s="47"/>
      <c r="EI11" s="47"/>
      <c r="EJ11" s="47"/>
      <c r="EK11" s="47"/>
      <c r="EL11" s="47"/>
      <c r="EM11" s="47"/>
      <c r="EN11" s="47"/>
      <c r="EO11" s="47"/>
      <c r="EP11" s="47"/>
      <c r="EQ11" s="47"/>
      <c r="ER11" s="47"/>
      <c r="ES11" s="47"/>
      <c r="ET11" s="47"/>
      <c r="EU11" s="47"/>
      <c r="EV11" s="47"/>
      <c r="EW11" s="47"/>
      <c r="EX11" s="47"/>
      <c r="EY11" s="47"/>
      <c r="EZ11" s="47"/>
      <c r="FA11" s="47"/>
      <c r="FB11" s="47"/>
      <c r="FC11" s="47"/>
      <c r="FD11" s="47"/>
      <c r="FE11" s="47"/>
      <c r="FF11" s="47"/>
      <c r="FG11" s="47"/>
      <c r="FH11" s="47"/>
      <c r="FI11" s="47"/>
      <c r="FJ11" s="47"/>
      <c r="FK11" s="47"/>
      <c r="FL11" s="47"/>
      <c r="FM11" s="47"/>
      <c r="FN11" s="47"/>
      <c r="FO11" s="47"/>
      <c r="FP11" s="47"/>
      <c r="FQ11" s="47"/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47"/>
      <c r="GD11" s="47"/>
      <c r="GE11" s="47"/>
      <c r="GF11" s="47"/>
      <c r="GG11" s="47"/>
      <c r="GH11" s="47"/>
      <c r="GI11" s="47"/>
      <c r="GJ11" s="47"/>
      <c r="GK11" s="47"/>
      <c r="GL11" s="47"/>
      <c r="GM11" s="47"/>
      <c r="GN11" s="47"/>
      <c r="GO11" s="47"/>
      <c r="GP11" s="47"/>
      <c r="GQ11" s="47"/>
      <c r="GR11" s="47"/>
      <c r="GS11" s="47"/>
      <c r="GT11" s="47"/>
      <c r="GU11" s="47"/>
      <c r="GV11" s="47"/>
      <c r="GW11" s="47"/>
      <c r="GX11" s="47"/>
      <c r="GY11" s="47"/>
      <c r="GZ11" s="47"/>
      <c r="HA11" s="47"/>
      <c r="HB11" s="47"/>
      <c r="HC11" s="47"/>
      <c r="HD11" s="47"/>
      <c r="HE11" s="47"/>
      <c r="HF11" s="47"/>
      <c r="HG11" s="47"/>
      <c r="HH11" s="47"/>
      <c r="HI11" s="47"/>
      <c r="HJ11" s="47"/>
      <c r="HK11" s="47"/>
      <c r="HL11" s="47"/>
      <c r="HM11" s="47"/>
      <c r="HN11" s="47"/>
      <c r="HO11" s="47"/>
      <c r="HP11" s="47"/>
      <c r="HQ11" s="47"/>
      <c r="HR11" s="47"/>
      <c r="HS11" s="47"/>
      <c r="HT11" s="47"/>
      <c r="HU11" s="47"/>
      <c r="HV11" s="47"/>
      <c r="HW11" s="47"/>
      <c r="HX11" s="47"/>
      <c r="HY11" s="47"/>
      <c r="HZ11" s="47"/>
      <c r="IA11" s="47"/>
      <c r="IB11" s="47"/>
      <c r="IC11" s="47"/>
      <c r="ID11" s="47"/>
      <c r="IE11" s="47"/>
      <c r="IF11" s="47"/>
      <c r="IG11" s="47"/>
      <c r="IH11" s="47"/>
      <c r="II11" s="47"/>
      <c r="IJ11" s="47"/>
      <c r="IK11" s="47"/>
      <c r="IL11" s="47"/>
      <c r="IM11" s="47"/>
      <c r="IN11" s="47"/>
      <c r="IO11" s="47"/>
      <c r="IP11" s="47"/>
      <c r="IQ11" s="47"/>
      <c r="IR11" s="47"/>
      <c r="IS11" s="47"/>
      <c r="IT11" s="47"/>
      <c r="IU11" s="47"/>
      <c r="IV11" s="47"/>
      <c r="IW11" s="47"/>
      <c r="IX11" s="47"/>
      <c r="IY11" s="47"/>
      <c r="IZ11" s="47"/>
      <c r="JA11" s="47"/>
      <c r="JB11" s="47"/>
      <c r="JC11" s="47"/>
      <c r="JD11" s="47"/>
      <c r="JE11" s="47"/>
      <c r="JF11" s="47"/>
      <c r="JG11" s="47"/>
      <c r="JH11" s="47">
        <v>240</v>
      </c>
      <c r="JI11" s="47"/>
      <c r="JJ11" s="47"/>
      <c r="JK11" s="47"/>
      <c r="JL11" s="47"/>
      <c r="JM11" s="47"/>
      <c r="JN11" s="47"/>
      <c r="JO11" s="47"/>
      <c r="JP11" s="47"/>
      <c r="JQ11" s="47"/>
      <c r="JR11" s="47"/>
      <c r="JS11" s="47"/>
      <c r="JT11" s="47"/>
      <c r="JU11" s="47"/>
      <c r="JV11" s="47"/>
      <c r="JW11" s="47"/>
      <c r="JX11" s="47"/>
      <c r="JY11" s="47"/>
      <c r="JZ11" s="47"/>
      <c r="KA11" s="47"/>
      <c r="KB11" s="47"/>
      <c r="KC11" s="47"/>
      <c r="KD11" s="47"/>
      <c r="KE11" s="47"/>
      <c r="KF11" s="47"/>
      <c r="KG11" s="47"/>
      <c r="KH11" s="47"/>
      <c r="KI11" s="47"/>
      <c r="KJ11" s="47"/>
      <c r="KK11" s="47"/>
      <c r="KL11" s="47"/>
      <c r="KM11" s="47"/>
      <c r="KN11" s="47"/>
      <c r="KO11" s="47"/>
      <c r="KP11" s="47"/>
      <c r="KQ11" s="47"/>
      <c r="KR11" s="47"/>
      <c r="KS11" s="47"/>
      <c r="KT11" s="47"/>
      <c r="KU11" s="47"/>
      <c r="KV11" s="47"/>
      <c r="KW11" s="47"/>
      <c r="KX11" s="47"/>
      <c r="KY11" s="47"/>
      <c r="KZ11" s="47"/>
      <c r="LA11" s="47"/>
      <c r="LB11" s="47"/>
      <c r="LC11" s="47"/>
      <c r="LD11" s="47"/>
      <c r="LE11" s="47"/>
      <c r="LF11" s="47"/>
      <c r="LG11" s="47"/>
      <c r="LH11" s="47"/>
      <c r="LI11" s="47"/>
      <c r="LJ11" s="47"/>
      <c r="LK11" s="47"/>
      <c r="LL11" s="47"/>
      <c r="LM11" s="47"/>
      <c r="LN11" s="47"/>
      <c r="LO11" s="47"/>
      <c r="LP11" s="47"/>
      <c r="LQ11" s="47"/>
      <c r="LR11" s="47"/>
      <c r="LS11" s="47"/>
      <c r="LT11" s="47"/>
      <c r="LU11" s="47"/>
      <c r="LV11" s="47"/>
      <c r="LW11" s="47"/>
      <c r="LX11" s="47"/>
      <c r="LY11" s="47"/>
      <c r="LZ11" s="47"/>
      <c r="MA11" s="47"/>
      <c r="MB11" s="47"/>
      <c r="MC11" s="47"/>
      <c r="MD11" s="47"/>
      <c r="ME11" s="47"/>
      <c r="MF11" s="47"/>
      <c r="MG11" s="47"/>
      <c r="MH11" s="47"/>
      <c r="MI11" s="47"/>
      <c r="MJ11" s="47"/>
      <c r="MK11" s="47"/>
      <c r="ML11" s="47"/>
      <c r="MM11" s="47"/>
      <c r="MN11" s="47"/>
      <c r="MO11" s="47"/>
      <c r="MP11" s="47"/>
      <c r="MQ11" s="47"/>
      <c r="MR11" s="47"/>
      <c r="MS11" s="47"/>
      <c r="MT11" s="47"/>
      <c r="MU11" s="47"/>
      <c r="MV11" s="47"/>
      <c r="MW11" s="47"/>
      <c r="MX11" s="47"/>
      <c r="MY11" s="47"/>
      <c r="MZ11" s="47"/>
      <c r="NA11" s="47"/>
      <c r="NB11" s="47"/>
      <c r="NC11" s="47"/>
      <c r="ND11" s="47"/>
      <c r="NE11" s="47"/>
      <c r="NF11" s="47"/>
      <c r="NG11" s="47"/>
      <c r="NH11" s="47"/>
      <c r="NI11" s="47"/>
      <c r="NJ11" s="44" t="s">
        <v>712</v>
      </c>
      <c r="NK11" s="44"/>
      <c r="NL11" s="44"/>
      <c r="NM11" s="44"/>
      <c r="NN11" s="44"/>
      <c r="NO11" s="47"/>
      <c r="NP11" s="47"/>
      <c r="NQ11" s="47"/>
      <c r="NR11" s="47"/>
      <c r="NS11" s="47"/>
      <c r="NT11" s="47"/>
      <c r="NU11" s="47"/>
      <c r="NV11" s="47"/>
      <c r="NW11" s="47"/>
      <c r="NX11" s="47"/>
      <c r="NY11" s="47"/>
      <c r="NZ11" s="47"/>
      <c r="OA11" s="47"/>
      <c r="OB11" s="47"/>
      <c r="OC11" s="47"/>
      <c r="OD11" s="47"/>
      <c r="OE11" s="47"/>
      <c r="OF11" s="47"/>
      <c r="OG11" s="47"/>
      <c r="OH11" s="47"/>
      <c r="OI11" s="47"/>
      <c r="OJ11" s="47"/>
      <c r="OK11" s="47"/>
      <c r="OL11" s="47"/>
      <c r="OM11" s="47"/>
      <c r="ON11" s="47"/>
      <c r="OO11" s="47"/>
      <c r="OP11" s="47"/>
      <c r="OQ11" s="47"/>
      <c r="OR11" s="47"/>
      <c r="OS11" s="47"/>
      <c r="OT11" s="47"/>
      <c r="OU11" s="47"/>
      <c r="OV11" s="47"/>
      <c r="OW11" s="47"/>
      <c r="OX11" s="47"/>
      <c r="OY11" s="47"/>
      <c r="OZ11" s="47"/>
      <c r="PA11" s="47"/>
      <c r="PB11" s="47"/>
      <c r="PC11" s="47"/>
      <c r="PD11" s="47"/>
      <c r="PE11" s="47"/>
      <c r="PF11" s="47"/>
      <c r="PG11" s="47"/>
      <c r="PH11" s="47"/>
      <c r="PI11" s="47"/>
      <c r="PJ11" s="47"/>
      <c r="PK11" s="47"/>
      <c r="PL11" s="47"/>
      <c r="PM11" s="47"/>
      <c r="PN11" s="47"/>
      <c r="PO11" s="47"/>
      <c r="PP11" s="47"/>
      <c r="PQ11" s="47"/>
      <c r="PR11" s="47"/>
      <c r="PS11" s="47"/>
      <c r="PT11" s="47"/>
      <c r="PU11" s="47"/>
      <c r="PV11" s="47"/>
      <c r="PW11" s="47"/>
      <c r="PX11" s="47"/>
      <c r="PY11" s="47"/>
      <c r="PZ11" s="47"/>
      <c r="QA11" s="47"/>
      <c r="QB11" s="47"/>
      <c r="QC11" s="47"/>
      <c r="QD11" s="47"/>
      <c r="QE11" s="47"/>
      <c r="QF11" s="47"/>
      <c r="QG11" s="47"/>
      <c r="QH11" s="47"/>
      <c r="QI11" s="47"/>
      <c r="QJ11" s="47"/>
      <c r="QK11" s="47"/>
      <c r="QL11" s="47"/>
      <c r="QM11" s="47"/>
      <c r="QN11" s="47"/>
      <c r="QO11" s="47"/>
      <c r="QP11" s="47"/>
      <c r="QQ11" s="47"/>
      <c r="QR11" s="47"/>
      <c r="QS11" s="47"/>
      <c r="QT11" s="47"/>
      <c r="QU11" s="47"/>
      <c r="QV11" s="47"/>
      <c r="QW11" s="47"/>
      <c r="QX11" s="47"/>
      <c r="QY11" s="47"/>
      <c r="QZ11" s="47"/>
      <c r="RA11" s="47"/>
      <c r="RB11" s="47"/>
      <c r="RC11" s="47"/>
      <c r="RD11" s="47"/>
      <c r="RE11" s="47"/>
      <c r="RF11" s="47"/>
      <c r="RG11" s="47"/>
      <c r="RH11" s="47"/>
      <c r="RI11" s="47"/>
      <c r="RJ11" s="47"/>
      <c r="RK11" s="47"/>
      <c r="RL11" s="47"/>
      <c r="RM11" s="47"/>
      <c r="RN11" s="47"/>
      <c r="RO11" s="47"/>
      <c r="RP11" s="47"/>
      <c r="RQ11" s="47"/>
      <c r="RR11" s="47"/>
      <c r="RS11" s="47"/>
      <c r="RT11" s="47"/>
      <c r="RU11" s="47"/>
      <c r="RV11" s="47"/>
      <c r="RW11" s="47"/>
      <c r="RX11" s="47"/>
      <c r="RY11" s="47"/>
      <c r="RZ11" s="47"/>
      <c r="SA11" s="47"/>
      <c r="SB11" s="47"/>
      <c r="SC11" s="47"/>
      <c r="SD11" s="47"/>
      <c r="SE11" s="47"/>
      <c r="SF11" s="47"/>
      <c r="SG11" s="47"/>
      <c r="SH11" s="47"/>
      <c r="SI11" s="47"/>
      <c r="SJ11" s="47"/>
      <c r="SK11" s="47"/>
      <c r="SL11" s="47"/>
      <c r="SM11" s="47"/>
      <c r="SN11" s="47"/>
      <c r="SO11" s="47"/>
      <c r="SP11" s="47"/>
      <c r="SQ11" s="47"/>
      <c r="SR11" s="47"/>
      <c r="SS11" s="47"/>
      <c r="ST11" s="47"/>
      <c r="SU11" s="47"/>
      <c r="SV11" s="47"/>
      <c r="SW11" s="47"/>
      <c r="SX11" s="47"/>
      <c r="SY11" s="47"/>
      <c r="SZ11" s="47"/>
      <c r="TA11" s="47"/>
      <c r="TB11" s="47"/>
      <c r="TC11" s="47"/>
      <c r="TD11" s="47"/>
      <c r="TE11" s="47"/>
      <c r="TF11" s="47"/>
      <c r="TG11" s="47"/>
      <c r="TH11" s="47"/>
      <c r="TI11" s="47"/>
      <c r="TJ11" s="47"/>
      <c r="TK11" s="47"/>
      <c r="TL11" s="47"/>
      <c r="TM11" s="47"/>
      <c r="TN11" s="47"/>
      <c r="TO11" s="47"/>
      <c r="TP11" s="47"/>
      <c r="TQ11" s="47"/>
      <c r="TR11" s="47"/>
      <c r="TS11" s="47"/>
      <c r="TT11" s="47"/>
      <c r="TU11" s="47"/>
      <c r="TV11" s="47"/>
      <c r="TW11" s="47"/>
      <c r="TX11" s="47"/>
      <c r="TY11" s="47"/>
      <c r="TZ11" s="47"/>
      <c r="UA11" s="47"/>
      <c r="UB11" s="47"/>
      <c r="UC11" s="47"/>
      <c r="UD11" s="47"/>
      <c r="UE11" s="47"/>
      <c r="UF11" s="47"/>
      <c r="UG11" s="47"/>
      <c r="UH11" s="47"/>
      <c r="UI11" s="47"/>
      <c r="UJ11" s="47"/>
      <c r="UK11" s="47"/>
      <c r="UL11" s="47"/>
      <c r="UM11" s="47"/>
      <c r="UN11" s="47"/>
      <c r="UO11" s="47"/>
      <c r="UP11" s="47"/>
      <c r="UQ11" s="47"/>
      <c r="UR11" s="47"/>
      <c r="US11" s="47"/>
      <c r="UT11" s="47"/>
      <c r="UU11" s="47"/>
      <c r="UV11" s="47"/>
      <c r="UW11" s="47"/>
      <c r="UX11" s="47"/>
      <c r="UY11" s="47"/>
      <c r="UZ11" s="47"/>
      <c r="VA11" s="47"/>
      <c r="VB11" s="47"/>
      <c r="VC11" s="47"/>
      <c r="VD11" s="47"/>
      <c r="VE11" s="47"/>
      <c r="VF11" s="47"/>
      <c r="VG11" s="47"/>
      <c r="VH11" s="47"/>
      <c r="VI11" s="47"/>
      <c r="VJ11" s="47"/>
      <c r="VK11" s="47"/>
      <c r="VL11" s="47"/>
      <c r="VM11" s="47"/>
      <c r="VN11" s="47"/>
      <c r="VO11" s="47"/>
      <c r="VP11" s="47"/>
      <c r="VQ11" s="47"/>
      <c r="VR11" s="47"/>
      <c r="VS11" s="47"/>
      <c r="VT11" s="47"/>
      <c r="VU11" s="47"/>
      <c r="VV11" s="47"/>
      <c r="VW11" s="47"/>
      <c r="VX11" s="47"/>
      <c r="VY11" s="47"/>
      <c r="VZ11" s="47"/>
      <c r="WA11" s="47"/>
      <c r="WB11" s="47"/>
      <c r="WC11" s="47"/>
      <c r="WD11" s="47"/>
      <c r="WE11" s="47"/>
      <c r="WF11" s="47"/>
      <c r="WG11" s="47"/>
      <c r="WH11" s="47"/>
      <c r="WI11" s="47"/>
      <c r="WJ11" s="47"/>
      <c r="WK11" s="47"/>
      <c r="WL11" s="47"/>
      <c r="WM11" s="47"/>
      <c r="WN11" s="47"/>
      <c r="WO11" s="47"/>
      <c r="WP11" s="47"/>
      <c r="WQ11" s="47"/>
      <c r="WR11" s="47"/>
      <c r="WS11" s="47"/>
      <c r="WT11" s="47"/>
      <c r="WU11" s="47"/>
      <c r="WV11" s="47"/>
      <c r="WW11" s="47"/>
      <c r="WX11" s="47"/>
      <c r="WY11" s="47"/>
      <c r="WZ11" s="47"/>
      <c r="XA11" s="47"/>
      <c r="XB11" s="47"/>
      <c r="XC11" s="47"/>
      <c r="XD11" s="47"/>
      <c r="XE11" s="47"/>
      <c r="XF11" s="47"/>
      <c r="XG11" s="47"/>
      <c r="XH11" s="47">
        <v>11</v>
      </c>
      <c r="XI11" s="47"/>
      <c r="XJ11" s="47"/>
      <c r="XK11" s="47"/>
      <c r="XL11" s="47"/>
      <c r="XM11" s="47"/>
      <c r="XN11" s="47"/>
      <c r="XO11" s="47"/>
      <c r="XP11" s="47"/>
      <c r="XQ11" s="47"/>
      <c r="XR11" s="47"/>
      <c r="XS11" s="47"/>
      <c r="XT11" s="47"/>
      <c r="XU11" s="47"/>
      <c r="XV11" s="47"/>
      <c r="XW11" s="47"/>
      <c r="XX11" s="47"/>
      <c r="XY11" s="47"/>
      <c r="XZ11" s="47"/>
      <c r="YA11" s="44"/>
      <c r="YB11" s="44"/>
      <c r="YC11" s="44"/>
      <c r="YD11" s="44"/>
      <c r="YE11" s="44"/>
      <c r="YF11" s="47"/>
      <c r="YG11" s="47"/>
      <c r="YH11" s="47"/>
      <c r="YI11" s="47"/>
      <c r="YJ11" s="47"/>
      <c r="YK11" s="47"/>
      <c r="YL11" s="47"/>
      <c r="YM11" s="47"/>
      <c r="YN11" s="47"/>
      <c r="YO11" s="47"/>
      <c r="YP11" s="47"/>
      <c r="YQ11" s="47"/>
      <c r="YR11" s="47"/>
      <c r="YS11" s="47"/>
      <c r="YT11" s="47"/>
      <c r="YU11" s="47"/>
      <c r="YV11" s="47"/>
      <c r="YW11" s="47"/>
      <c r="YX11" s="47"/>
      <c r="YY11" s="47"/>
      <c r="YZ11" s="47"/>
      <c r="ZA11" s="47"/>
      <c r="ZB11" s="47"/>
      <c r="ZC11" s="47"/>
      <c r="ZD11" s="47"/>
      <c r="ZE11" s="47"/>
      <c r="ZF11" s="47"/>
      <c r="ZG11" s="47"/>
      <c r="ZH11" s="47"/>
      <c r="ZI11" s="47"/>
      <c r="ZJ11" s="47"/>
      <c r="ZK11" s="47"/>
      <c r="ZL11" s="47"/>
      <c r="ZM11" s="47"/>
      <c r="ZN11" s="47"/>
      <c r="ZO11" s="47"/>
      <c r="ZP11" s="47"/>
      <c r="ZQ11" s="47"/>
      <c r="ZR11" s="47"/>
      <c r="ZS11" s="47"/>
      <c r="ZT11" s="47"/>
      <c r="ZU11" s="47"/>
      <c r="ZV11" s="47"/>
      <c r="ZW11" s="44"/>
      <c r="ZX11" s="44"/>
      <c r="ZY11" s="44"/>
      <c r="ZZ11" s="44"/>
      <c r="AAA11" s="44"/>
      <c r="AAB11" s="44"/>
      <c r="AAC11" s="44"/>
      <c r="AAD11" s="44"/>
      <c r="AAE11" s="44"/>
      <c r="AAF11" s="44"/>
      <c r="AAG11" s="47"/>
      <c r="AAH11" s="47"/>
      <c r="AAI11" s="47"/>
      <c r="AAJ11" s="47"/>
      <c r="AAK11" s="47"/>
      <c r="AAL11" s="47"/>
      <c r="AAM11" s="47"/>
      <c r="AAN11" s="47"/>
      <c r="AAO11" s="47"/>
      <c r="AAP11" s="47"/>
      <c r="AAQ11" s="47"/>
      <c r="AAR11" s="47"/>
      <c r="AAS11" s="47"/>
      <c r="AAT11" s="47"/>
      <c r="AAU11" s="47"/>
      <c r="AAV11" s="47"/>
      <c r="AAW11" s="47"/>
      <c r="AAX11" s="47"/>
      <c r="AAY11" s="47"/>
      <c r="AAZ11" s="47"/>
      <c r="ABA11" s="47"/>
      <c r="ABB11" s="47"/>
      <c r="ABC11" s="47"/>
      <c r="ABD11" s="47"/>
      <c r="ABE11" s="47"/>
      <c r="ABF11" s="47"/>
      <c r="ABG11" s="47"/>
      <c r="ABH11" s="47"/>
      <c r="ABI11" s="47"/>
      <c r="ABJ11" s="47"/>
      <c r="ABK11" s="47"/>
      <c r="ABL11" s="47"/>
      <c r="ABM11" s="47"/>
      <c r="ABN11" s="47"/>
      <c r="ABO11" s="47"/>
      <c r="ABP11" s="47"/>
      <c r="ABQ11" s="47"/>
      <c r="ABR11" s="47"/>
      <c r="ABS11" s="47"/>
      <c r="ABT11" s="47"/>
      <c r="ABU11" s="47"/>
      <c r="ABV11" s="47"/>
      <c r="ABW11" s="47"/>
      <c r="ABX11" s="47"/>
      <c r="ABY11" s="47"/>
      <c r="ABZ11" s="47"/>
      <c r="ACA11" s="47"/>
      <c r="ACB11" s="47"/>
      <c r="ACC11" s="47"/>
      <c r="ACD11" s="47"/>
      <c r="ACE11" s="47"/>
      <c r="ACF11" s="47"/>
      <c r="ACG11" s="47"/>
      <c r="ACH11" s="48"/>
    </row>
    <row r="12" spans="1:762" x14ac:dyDescent="0.25">
      <c r="A12" s="42" t="s">
        <v>30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>
        <v>8900</v>
      </c>
      <c r="DG12" s="43"/>
      <c r="DH12" s="43"/>
      <c r="DI12" s="43">
        <v>10600</v>
      </c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  <c r="EB12" s="43"/>
      <c r="EC12" s="43"/>
      <c r="ED12" s="43"/>
      <c r="EE12" s="43"/>
      <c r="EF12" s="43"/>
      <c r="EG12" s="43"/>
      <c r="EH12" s="43"/>
      <c r="EI12" s="43"/>
      <c r="EJ12" s="43"/>
      <c r="EK12" s="43"/>
      <c r="EL12" s="43"/>
      <c r="EM12" s="43"/>
      <c r="EN12" s="43"/>
      <c r="EO12" s="43"/>
      <c r="EP12" s="43"/>
      <c r="EQ12" s="43"/>
      <c r="ER12" s="43">
        <v>25</v>
      </c>
      <c r="ES12" s="43"/>
      <c r="ET12" s="43"/>
      <c r="EU12" s="43"/>
      <c r="EV12" s="43"/>
      <c r="EW12" s="43"/>
      <c r="EX12" s="43"/>
      <c r="EY12" s="43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>
        <v>64</v>
      </c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  <c r="IU12" s="43"/>
      <c r="IV12" s="43"/>
      <c r="IW12" s="43"/>
      <c r="IX12" s="43"/>
      <c r="IY12" s="43"/>
      <c r="IZ12" s="43"/>
      <c r="JA12" s="43"/>
      <c r="JB12" s="43"/>
      <c r="JC12" s="43"/>
      <c r="JD12" s="43"/>
      <c r="JE12" s="43"/>
      <c r="JF12" s="43"/>
      <c r="JG12" s="43"/>
      <c r="JH12" s="43"/>
      <c r="JI12" s="43"/>
      <c r="JJ12" s="43"/>
      <c r="JK12" s="43"/>
      <c r="JL12" s="43">
        <v>51</v>
      </c>
      <c r="JM12" s="43"/>
      <c r="JN12" s="43"/>
      <c r="JO12" s="43"/>
      <c r="JP12" s="43"/>
      <c r="JQ12" s="43"/>
      <c r="JR12" s="43"/>
      <c r="JS12" s="43"/>
      <c r="JT12" s="43"/>
      <c r="JU12" s="43"/>
      <c r="JV12" s="43"/>
      <c r="JW12" s="43"/>
      <c r="JX12" s="43"/>
      <c r="JY12" s="43"/>
      <c r="JZ12" s="43"/>
      <c r="KA12" s="43"/>
      <c r="KB12" s="43"/>
      <c r="KC12" s="43"/>
      <c r="KD12" s="43"/>
      <c r="KE12" s="43"/>
      <c r="KF12" s="43"/>
      <c r="KG12" s="43"/>
      <c r="KH12" s="43"/>
      <c r="KI12" s="43"/>
      <c r="KJ12" s="43"/>
      <c r="KK12" s="43"/>
      <c r="KL12" s="43"/>
      <c r="KM12" s="43"/>
      <c r="KN12" s="43"/>
      <c r="KO12" s="43"/>
      <c r="KP12" s="43"/>
      <c r="KQ12" s="43"/>
      <c r="KR12" s="43"/>
      <c r="KS12" s="43"/>
      <c r="KT12" s="43"/>
      <c r="KU12" s="43"/>
      <c r="KV12" s="43"/>
      <c r="KW12" s="43"/>
      <c r="KX12" s="43"/>
      <c r="KY12" s="43"/>
      <c r="KZ12" s="43"/>
      <c r="LA12" s="43"/>
      <c r="LB12" s="43"/>
      <c r="LC12" s="43"/>
      <c r="LD12" s="43"/>
      <c r="LE12" s="43"/>
      <c r="LF12" s="43"/>
      <c r="LG12" s="43"/>
      <c r="LH12" s="43"/>
      <c r="LI12" s="43"/>
      <c r="LJ12" s="43"/>
      <c r="LK12" s="43"/>
      <c r="LL12" s="43"/>
      <c r="LM12" s="43"/>
      <c r="LN12" s="43"/>
      <c r="LO12" s="43"/>
      <c r="LP12" s="43"/>
      <c r="LQ12" s="43"/>
      <c r="LR12" s="43"/>
      <c r="LS12" s="43"/>
      <c r="LT12" s="43"/>
      <c r="LU12" s="43"/>
      <c r="LV12" s="43"/>
      <c r="LW12" s="43"/>
      <c r="LX12" s="43"/>
      <c r="LY12" s="43"/>
      <c r="LZ12" s="43"/>
      <c r="MA12" s="43"/>
      <c r="MB12" s="43"/>
      <c r="MC12" s="43"/>
      <c r="MD12" s="43"/>
      <c r="ME12" s="43"/>
      <c r="MF12" s="43"/>
      <c r="MG12" s="43"/>
      <c r="MH12" s="43"/>
      <c r="MI12" s="43"/>
      <c r="MJ12" s="43"/>
      <c r="MK12" s="43"/>
      <c r="ML12" s="43"/>
      <c r="MM12" s="43"/>
      <c r="MN12" s="43"/>
      <c r="MO12" s="43"/>
      <c r="MP12" s="43"/>
      <c r="MQ12" s="43"/>
      <c r="MR12" s="43"/>
      <c r="MS12" s="43"/>
      <c r="MT12" s="43"/>
      <c r="MU12" s="43"/>
      <c r="MV12" s="43"/>
      <c r="MW12" s="43"/>
      <c r="MX12" s="43"/>
      <c r="MY12" s="43"/>
      <c r="MZ12" s="43"/>
      <c r="NA12" s="43"/>
      <c r="NB12" s="43"/>
      <c r="NC12" s="43"/>
      <c r="ND12" s="43"/>
      <c r="NE12" s="43"/>
      <c r="NF12" s="43"/>
      <c r="NG12" s="43"/>
      <c r="NH12" s="43"/>
      <c r="NI12" s="43"/>
      <c r="NJ12" s="44" t="s">
        <v>713</v>
      </c>
      <c r="NK12" s="44"/>
      <c r="NL12" s="44"/>
      <c r="NM12" s="44"/>
      <c r="NN12" s="44"/>
      <c r="NO12" s="43"/>
      <c r="NP12" s="43"/>
      <c r="NQ12" s="43"/>
      <c r="NR12" s="43"/>
      <c r="NS12" s="43"/>
      <c r="NT12" s="43"/>
      <c r="NU12" s="43"/>
      <c r="NV12" s="43"/>
      <c r="NW12" s="43"/>
      <c r="NX12" s="43"/>
      <c r="NY12" s="43"/>
      <c r="NZ12" s="43"/>
      <c r="OA12" s="43"/>
      <c r="OB12" s="43"/>
      <c r="OC12" s="43"/>
      <c r="OD12" s="43"/>
      <c r="OE12" s="43"/>
      <c r="OF12" s="43"/>
      <c r="OG12" s="43"/>
      <c r="OH12" s="43"/>
      <c r="OI12" s="43"/>
      <c r="OJ12" s="43"/>
      <c r="OK12" s="43"/>
      <c r="OL12" s="43"/>
      <c r="OM12" s="43"/>
      <c r="ON12" s="43"/>
      <c r="OO12" s="43"/>
      <c r="OP12" s="43"/>
      <c r="OQ12" s="43"/>
      <c r="OR12" s="43"/>
      <c r="OS12" s="43"/>
      <c r="OT12" s="43"/>
      <c r="OU12" s="43"/>
      <c r="OV12" s="43"/>
      <c r="OW12" s="43"/>
      <c r="OX12" s="43"/>
      <c r="OY12" s="43"/>
      <c r="OZ12" s="43"/>
      <c r="PA12" s="43"/>
      <c r="PB12" s="43"/>
      <c r="PC12" s="43"/>
      <c r="PD12" s="43"/>
      <c r="PE12" s="43"/>
      <c r="PF12" s="43"/>
      <c r="PG12" s="43"/>
      <c r="PH12" s="43"/>
      <c r="PI12" s="43"/>
      <c r="PJ12" s="43"/>
      <c r="PK12" s="43"/>
      <c r="PL12" s="43"/>
      <c r="PM12" s="43"/>
      <c r="PN12" s="43"/>
      <c r="PO12" s="43"/>
      <c r="PP12" s="43"/>
      <c r="PQ12" s="43"/>
      <c r="PR12" s="43"/>
      <c r="PS12" s="43"/>
      <c r="PT12" s="43"/>
      <c r="PU12" s="43"/>
      <c r="PV12" s="43"/>
      <c r="PW12" s="43"/>
      <c r="PX12" s="43"/>
      <c r="PY12" s="43"/>
      <c r="PZ12" s="43"/>
      <c r="QA12" s="43"/>
      <c r="QB12" s="43"/>
      <c r="QC12" s="43"/>
      <c r="QD12" s="43"/>
      <c r="QE12" s="43"/>
      <c r="QF12" s="43"/>
      <c r="QG12" s="43"/>
      <c r="QH12" s="43"/>
      <c r="QI12" s="43"/>
      <c r="QJ12" s="43"/>
      <c r="QK12" s="43"/>
      <c r="QL12" s="43"/>
      <c r="QM12" s="43"/>
      <c r="QN12" s="43"/>
      <c r="QO12" s="43"/>
      <c r="QP12" s="43"/>
      <c r="QQ12" s="43"/>
      <c r="QR12" s="43"/>
      <c r="QS12" s="43"/>
      <c r="QT12" s="43"/>
      <c r="QU12" s="43"/>
      <c r="QV12" s="43"/>
      <c r="QW12" s="43"/>
      <c r="QX12" s="43"/>
      <c r="QY12" s="43"/>
      <c r="QZ12" s="43"/>
      <c r="RA12" s="43"/>
      <c r="RB12" s="43"/>
      <c r="RC12" s="43"/>
      <c r="RD12" s="43"/>
      <c r="RE12" s="43"/>
      <c r="RF12" s="43"/>
      <c r="RG12" s="43"/>
      <c r="RH12" s="43"/>
      <c r="RI12" s="43"/>
      <c r="RJ12" s="43"/>
      <c r="RK12" s="43"/>
      <c r="RL12" s="43"/>
      <c r="RM12" s="43"/>
      <c r="RN12" s="43"/>
      <c r="RO12" s="43"/>
      <c r="RP12" s="43"/>
      <c r="RQ12" s="43"/>
      <c r="RR12" s="43"/>
      <c r="RS12" s="43"/>
      <c r="RT12" s="43"/>
      <c r="RU12" s="43"/>
      <c r="RV12" s="43"/>
      <c r="RW12" s="43"/>
      <c r="RX12" s="43"/>
      <c r="RY12" s="43"/>
      <c r="RZ12" s="43"/>
      <c r="SA12" s="43"/>
      <c r="SB12" s="43"/>
      <c r="SC12" s="43"/>
      <c r="SD12" s="43"/>
      <c r="SE12" s="43"/>
      <c r="SF12" s="43"/>
      <c r="SG12" s="43"/>
      <c r="SH12" s="43"/>
      <c r="SI12" s="43"/>
      <c r="SJ12" s="43"/>
      <c r="SK12" s="43"/>
      <c r="SL12" s="43"/>
      <c r="SM12" s="43"/>
      <c r="SN12" s="43"/>
      <c r="SO12" s="43"/>
      <c r="SP12" s="43"/>
      <c r="SQ12" s="43"/>
      <c r="SR12" s="43"/>
      <c r="SS12" s="43"/>
      <c r="ST12" s="43"/>
      <c r="SU12" s="43"/>
      <c r="SV12" s="43"/>
      <c r="SW12" s="43"/>
      <c r="SX12" s="43"/>
      <c r="SY12" s="43"/>
      <c r="SZ12" s="43"/>
      <c r="TA12" s="43"/>
      <c r="TB12" s="43"/>
      <c r="TC12" s="43"/>
      <c r="TD12" s="43"/>
      <c r="TE12" s="43"/>
      <c r="TF12" s="43"/>
      <c r="TG12" s="43"/>
      <c r="TH12" s="43"/>
      <c r="TI12" s="43"/>
      <c r="TJ12" s="43"/>
      <c r="TK12" s="43"/>
      <c r="TL12" s="43"/>
      <c r="TM12" s="43"/>
      <c r="TN12" s="43"/>
      <c r="TO12" s="43"/>
      <c r="TP12" s="43"/>
      <c r="TQ12" s="43"/>
      <c r="TR12" s="43"/>
      <c r="TS12" s="43"/>
      <c r="TT12" s="43"/>
      <c r="TU12" s="43"/>
      <c r="TV12" s="43"/>
      <c r="TW12" s="43"/>
      <c r="TX12" s="43"/>
      <c r="TY12" s="43"/>
      <c r="TZ12" s="43"/>
      <c r="UA12" s="43"/>
      <c r="UB12" s="43"/>
      <c r="UC12" s="43"/>
      <c r="UD12" s="43"/>
      <c r="UE12" s="43"/>
      <c r="UF12" s="43"/>
      <c r="UG12" s="43"/>
      <c r="UH12" s="43"/>
      <c r="UI12" s="43"/>
      <c r="UJ12" s="43"/>
      <c r="UK12" s="43"/>
      <c r="UL12" s="43"/>
      <c r="UM12" s="43"/>
      <c r="UN12" s="43"/>
      <c r="UO12" s="43"/>
      <c r="UP12" s="43"/>
      <c r="UQ12" s="43"/>
      <c r="UR12" s="43"/>
      <c r="US12" s="43"/>
      <c r="UT12" s="43"/>
      <c r="UU12" s="43"/>
      <c r="UV12" s="43"/>
      <c r="UW12" s="43"/>
      <c r="UX12" s="43"/>
      <c r="UY12" s="43"/>
      <c r="UZ12" s="43"/>
      <c r="VA12" s="43"/>
      <c r="VB12" s="43"/>
      <c r="VC12" s="43"/>
      <c r="VD12" s="43"/>
      <c r="VE12" s="43"/>
      <c r="VF12" s="43"/>
      <c r="VG12" s="43"/>
      <c r="VH12" s="43"/>
      <c r="VI12" s="43"/>
      <c r="VJ12" s="43"/>
      <c r="VK12" s="43"/>
      <c r="VL12" s="43"/>
      <c r="VM12" s="43"/>
      <c r="VN12" s="43"/>
      <c r="VO12" s="43"/>
      <c r="VP12" s="43"/>
      <c r="VQ12" s="43"/>
      <c r="VR12" s="43"/>
      <c r="VS12" s="43"/>
      <c r="VT12" s="43"/>
      <c r="VU12" s="43"/>
      <c r="VV12" s="43"/>
      <c r="VW12" s="43"/>
      <c r="VX12" s="43"/>
      <c r="VY12" s="43"/>
      <c r="VZ12" s="43"/>
      <c r="WA12" s="43"/>
      <c r="WB12" s="43"/>
      <c r="WC12" s="43"/>
      <c r="WD12" s="43"/>
      <c r="WE12" s="43"/>
      <c r="WF12" s="43"/>
      <c r="WG12" s="43"/>
      <c r="WH12" s="43"/>
      <c r="WI12" s="43"/>
      <c r="WJ12" s="43"/>
      <c r="WK12" s="43"/>
      <c r="WL12" s="43"/>
      <c r="WM12" s="43"/>
      <c r="WN12" s="43"/>
      <c r="WO12" s="43"/>
      <c r="WP12" s="43"/>
      <c r="WQ12" s="43"/>
      <c r="WR12" s="43"/>
      <c r="WS12" s="43"/>
      <c r="WT12" s="43"/>
      <c r="WU12" s="43"/>
      <c r="WV12" s="43"/>
      <c r="WW12" s="43"/>
      <c r="WX12" s="43"/>
      <c r="WY12" s="43"/>
      <c r="WZ12" s="43"/>
      <c r="XA12" s="43"/>
      <c r="XB12" s="43"/>
      <c r="XC12" s="43"/>
      <c r="XD12" s="43"/>
      <c r="XE12" s="43"/>
      <c r="XF12" s="43"/>
      <c r="XG12" s="43"/>
      <c r="XH12" s="43"/>
      <c r="XI12" s="43"/>
      <c r="XJ12" s="43"/>
      <c r="XK12" s="43"/>
      <c r="XL12" s="43"/>
      <c r="XM12" s="43"/>
      <c r="XN12" s="43"/>
      <c r="XO12" s="43"/>
      <c r="XP12" s="43"/>
      <c r="XQ12" s="43"/>
      <c r="XR12" s="43"/>
      <c r="XS12" s="43"/>
      <c r="XT12" s="43"/>
      <c r="XU12" s="43"/>
      <c r="XV12" s="43"/>
      <c r="XW12" s="43"/>
      <c r="XX12" s="43"/>
      <c r="XY12" s="43"/>
      <c r="XZ12" s="43"/>
      <c r="YA12" s="44"/>
      <c r="YB12" s="44"/>
      <c r="YC12" s="44"/>
      <c r="YD12" s="44"/>
      <c r="YE12" s="44"/>
      <c r="YF12" s="43"/>
      <c r="YG12" s="43"/>
      <c r="YH12" s="43"/>
      <c r="YI12" s="43"/>
      <c r="YJ12" s="43"/>
      <c r="YK12" s="43"/>
      <c r="YL12" s="43"/>
      <c r="YM12" s="43"/>
      <c r="YN12" s="43"/>
      <c r="YO12" s="43"/>
      <c r="YP12" s="43"/>
      <c r="YQ12" s="43"/>
      <c r="YR12" s="43"/>
      <c r="YS12" s="43"/>
      <c r="YT12" s="43"/>
      <c r="YU12" s="43"/>
      <c r="YV12" s="43"/>
      <c r="YW12" s="43"/>
      <c r="YX12" s="43"/>
      <c r="YY12" s="43"/>
      <c r="YZ12" s="43"/>
      <c r="ZA12" s="43"/>
      <c r="ZB12" s="43"/>
      <c r="ZC12" s="43"/>
      <c r="ZD12" s="43"/>
      <c r="ZE12" s="43"/>
      <c r="ZF12" s="43"/>
      <c r="ZG12" s="43"/>
      <c r="ZH12" s="43"/>
      <c r="ZI12" s="43"/>
      <c r="ZJ12" s="43"/>
      <c r="ZK12" s="43"/>
      <c r="ZL12" s="43"/>
      <c r="ZM12" s="43"/>
      <c r="ZN12" s="43"/>
      <c r="ZO12" s="43"/>
      <c r="ZP12" s="43"/>
      <c r="ZQ12" s="43"/>
      <c r="ZR12" s="43"/>
      <c r="ZS12" s="43"/>
      <c r="ZT12" s="43"/>
      <c r="ZU12" s="43"/>
      <c r="ZV12" s="43"/>
      <c r="ZW12" s="44"/>
      <c r="ZX12" s="44"/>
      <c r="ZY12" s="44"/>
      <c r="ZZ12" s="44"/>
      <c r="AAA12" s="44"/>
      <c r="AAB12" s="44"/>
      <c r="AAC12" s="44"/>
      <c r="AAD12" s="44"/>
      <c r="AAE12" s="44"/>
      <c r="AAF12" s="44"/>
      <c r="AAG12" s="43"/>
      <c r="AAH12" s="43"/>
      <c r="AAI12" s="43"/>
      <c r="AAJ12" s="43"/>
      <c r="AAK12" s="43"/>
      <c r="AAL12" s="43"/>
      <c r="AAM12" s="43"/>
      <c r="AAN12" s="43"/>
      <c r="AAO12" s="43"/>
      <c r="AAP12" s="43"/>
      <c r="AAQ12" s="43"/>
      <c r="AAR12" s="43"/>
      <c r="AAS12" s="43"/>
      <c r="AAT12" s="43"/>
      <c r="AAU12" s="43"/>
      <c r="AAV12" s="43"/>
      <c r="AAW12" s="43"/>
      <c r="AAX12" s="43"/>
      <c r="AAY12" s="43"/>
      <c r="AAZ12" s="43"/>
      <c r="ABA12" s="43"/>
      <c r="ABB12" s="43"/>
      <c r="ABC12" s="43"/>
      <c r="ABD12" s="43"/>
      <c r="ABE12" s="43"/>
      <c r="ABF12" s="43"/>
      <c r="ABG12" s="43"/>
      <c r="ABH12" s="43"/>
      <c r="ABI12" s="43"/>
      <c r="ABJ12" s="43"/>
      <c r="ABK12" s="43"/>
      <c r="ABL12" s="43"/>
      <c r="ABM12" s="43"/>
      <c r="ABN12" s="43"/>
      <c r="ABO12" s="43"/>
      <c r="ABP12" s="43"/>
      <c r="ABQ12" s="43"/>
      <c r="ABR12" s="43"/>
      <c r="ABS12" s="43"/>
      <c r="ABT12" s="43"/>
      <c r="ABU12" s="43"/>
      <c r="ABV12" s="43"/>
      <c r="ABW12" s="43"/>
      <c r="ABX12" s="43"/>
      <c r="ABY12" s="43"/>
      <c r="ABZ12" s="43"/>
      <c r="ACA12" s="43"/>
      <c r="ACB12" s="43"/>
      <c r="ACC12" s="43"/>
      <c r="ACD12" s="43"/>
      <c r="ACE12" s="43"/>
      <c r="ACF12" s="43"/>
      <c r="ACG12" s="43"/>
      <c r="ACH12" s="45"/>
    </row>
    <row r="13" spans="1:762" x14ac:dyDescent="0.25">
      <c r="A13" s="46" t="s">
        <v>32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>
        <v>17</v>
      </c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 t="s">
        <v>503</v>
      </c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7"/>
      <c r="CW13" s="47"/>
      <c r="CX13" s="47"/>
      <c r="CY13" s="47"/>
      <c r="CZ13" s="47"/>
      <c r="DA13" s="47"/>
      <c r="DB13" s="47"/>
      <c r="DC13" s="47"/>
      <c r="DD13" s="47">
        <v>17700</v>
      </c>
      <c r="DE13" s="47"/>
      <c r="DF13" s="47"/>
      <c r="DG13" s="47"/>
      <c r="DH13" s="47"/>
      <c r="DI13" s="47"/>
      <c r="DJ13" s="47"/>
      <c r="DK13" s="47"/>
      <c r="DL13" s="47"/>
      <c r="DM13" s="47"/>
      <c r="DN13" s="47"/>
      <c r="DO13" s="47"/>
      <c r="DP13" s="47"/>
      <c r="DQ13" s="47"/>
      <c r="DR13" s="47"/>
      <c r="DS13" s="47"/>
      <c r="DT13" s="47"/>
      <c r="DU13" s="47"/>
      <c r="DV13" s="47"/>
      <c r="DW13" s="47"/>
      <c r="DX13" s="47"/>
      <c r="DY13" s="47"/>
      <c r="DZ13" s="47"/>
      <c r="EA13" s="47"/>
      <c r="EB13" s="47"/>
      <c r="EC13" s="47"/>
      <c r="ED13" s="47"/>
      <c r="EE13" s="47"/>
      <c r="EF13" s="47">
        <v>6600</v>
      </c>
      <c r="EG13" s="47"/>
      <c r="EH13" s="47"/>
      <c r="EI13" s="47"/>
      <c r="EJ13" s="47"/>
      <c r="EK13" s="47"/>
      <c r="EL13" s="47"/>
      <c r="EM13" s="47"/>
      <c r="EN13" s="47"/>
      <c r="EO13" s="47"/>
      <c r="EP13" s="47"/>
      <c r="EQ13" s="47"/>
      <c r="ER13" s="47"/>
      <c r="ES13" s="47"/>
      <c r="ET13" s="47"/>
      <c r="EU13" s="47"/>
      <c r="EV13" s="47"/>
      <c r="EW13" s="47"/>
      <c r="EX13" s="47"/>
      <c r="EY13" s="47"/>
      <c r="EZ13" s="47"/>
      <c r="FA13" s="47">
        <v>23</v>
      </c>
      <c r="FB13" s="47"/>
      <c r="FC13" s="47"/>
      <c r="FD13" s="47"/>
      <c r="FE13" s="47"/>
      <c r="FF13" s="47"/>
      <c r="FG13" s="47"/>
      <c r="FH13" s="47"/>
      <c r="FI13" s="47"/>
      <c r="FJ13" s="47"/>
      <c r="FK13" s="47"/>
      <c r="FL13" s="47"/>
      <c r="FM13" s="47"/>
      <c r="FN13" s="47"/>
      <c r="FO13" s="47"/>
      <c r="FP13" s="47"/>
      <c r="FQ13" s="47"/>
      <c r="FR13" s="47"/>
      <c r="FS13" s="47"/>
      <c r="FT13" s="47"/>
      <c r="FU13" s="47"/>
      <c r="FV13" s="47"/>
      <c r="FW13" s="47"/>
      <c r="FX13" s="47"/>
      <c r="FY13" s="47"/>
      <c r="FZ13" s="47">
        <v>23</v>
      </c>
      <c r="GA13" s="47"/>
      <c r="GB13" s="47"/>
      <c r="GC13" s="47"/>
      <c r="GD13" s="47"/>
      <c r="GE13" s="47"/>
      <c r="GF13" s="47"/>
      <c r="GG13" s="47"/>
      <c r="GH13" s="47"/>
      <c r="GI13" s="47"/>
      <c r="GJ13" s="47"/>
      <c r="GK13" s="47"/>
      <c r="GL13" s="47"/>
      <c r="GM13" s="47"/>
      <c r="GN13" s="47"/>
      <c r="GO13" s="47"/>
      <c r="GP13" s="47"/>
      <c r="GQ13" s="47"/>
      <c r="GR13" s="47"/>
      <c r="GS13" s="47"/>
      <c r="GT13" s="47"/>
      <c r="GU13" s="47">
        <v>6200</v>
      </c>
      <c r="GV13" s="47"/>
      <c r="GW13" s="47"/>
      <c r="GX13" s="47"/>
      <c r="GY13" s="47"/>
      <c r="GZ13" s="47"/>
      <c r="HA13" s="47"/>
      <c r="HB13" s="47"/>
      <c r="HC13" s="47"/>
      <c r="HD13" s="47"/>
      <c r="HE13" s="47"/>
      <c r="HF13" s="47"/>
      <c r="HG13" s="47"/>
      <c r="HH13" s="47"/>
      <c r="HI13" s="47"/>
      <c r="HJ13" s="47"/>
      <c r="HK13" s="47"/>
      <c r="HL13" s="47"/>
      <c r="HM13" s="47"/>
      <c r="HN13" s="47"/>
      <c r="HO13" s="47">
        <v>281</v>
      </c>
      <c r="HP13" s="47"/>
      <c r="HQ13" s="47"/>
      <c r="HR13" s="47"/>
      <c r="HS13" s="47"/>
      <c r="HT13" s="47"/>
      <c r="HU13" s="47"/>
      <c r="HV13" s="47"/>
      <c r="HW13" s="47"/>
      <c r="HX13" s="47"/>
      <c r="HY13" s="47"/>
      <c r="HZ13" s="47"/>
      <c r="IA13" s="47"/>
      <c r="IB13" s="47"/>
      <c r="IC13" s="47"/>
      <c r="ID13" s="47"/>
      <c r="IE13" s="47"/>
      <c r="IF13" s="47"/>
      <c r="IG13" s="47"/>
      <c r="IH13" s="47"/>
      <c r="II13" s="47"/>
      <c r="IJ13" s="47"/>
      <c r="IK13" s="47"/>
      <c r="IL13" s="47"/>
      <c r="IM13" s="47"/>
      <c r="IN13" s="47"/>
      <c r="IO13" s="47"/>
      <c r="IP13" s="47"/>
      <c r="IQ13" s="47"/>
      <c r="IR13" s="47"/>
      <c r="IS13" s="47"/>
      <c r="IT13" s="47"/>
      <c r="IU13" s="47"/>
      <c r="IV13" s="47"/>
      <c r="IW13" s="47"/>
      <c r="IX13" s="47"/>
      <c r="IY13" s="47"/>
      <c r="IZ13" s="47"/>
      <c r="JA13" s="47"/>
      <c r="JB13" s="47"/>
      <c r="JC13" s="47"/>
      <c r="JD13" s="47"/>
      <c r="JE13" s="47"/>
      <c r="JF13" s="47"/>
      <c r="JG13" s="47"/>
      <c r="JH13" s="47">
        <v>35</v>
      </c>
      <c r="JI13" s="47"/>
      <c r="JJ13" s="47"/>
      <c r="JK13" s="47"/>
      <c r="JL13" s="47"/>
      <c r="JM13" s="47"/>
      <c r="JN13" s="47"/>
      <c r="JO13" s="47"/>
      <c r="JP13" s="47"/>
      <c r="JQ13" s="47"/>
      <c r="JR13" s="47"/>
      <c r="JS13" s="47"/>
      <c r="JT13" s="47"/>
      <c r="JU13" s="47"/>
      <c r="JV13" s="47"/>
      <c r="JW13" s="47"/>
      <c r="JX13" s="47"/>
      <c r="JY13" s="47"/>
      <c r="JZ13" s="47"/>
      <c r="KA13" s="47"/>
      <c r="KB13" s="47"/>
      <c r="KC13" s="47"/>
      <c r="KD13" s="47"/>
      <c r="KE13" s="47"/>
      <c r="KF13" s="47"/>
      <c r="KG13" s="47"/>
      <c r="KH13" s="47"/>
      <c r="KI13" s="47"/>
      <c r="KJ13" s="47"/>
      <c r="KK13" s="47"/>
      <c r="KL13" s="47"/>
      <c r="KM13" s="47"/>
      <c r="KN13" s="47"/>
      <c r="KO13" s="47"/>
      <c r="KP13" s="47"/>
      <c r="KQ13" s="47"/>
      <c r="KR13" s="47"/>
      <c r="KS13" s="47"/>
      <c r="KT13" s="47"/>
      <c r="KU13" s="47"/>
      <c r="KV13" s="47"/>
      <c r="KW13" s="47"/>
      <c r="KX13" s="47"/>
      <c r="KY13" s="47"/>
      <c r="KZ13" s="47"/>
      <c r="LA13" s="47"/>
      <c r="LB13" s="47"/>
      <c r="LC13" s="47"/>
      <c r="LD13" s="47"/>
      <c r="LE13" s="47"/>
      <c r="LF13" s="47"/>
      <c r="LG13" s="47"/>
      <c r="LH13" s="47"/>
      <c r="LI13" s="47"/>
      <c r="LJ13" s="47"/>
      <c r="LK13" s="47"/>
      <c r="LL13" s="47"/>
      <c r="LM13" s="47"/>
      <c r="LN13" s="47"/>
      <c r="LO13" s="47"/>
      <c r="LP13" s="47"/>
      <c r="LQ13" s="47"/>
      <c r="LR13" s="47"/>
      <c r="LS13" s="47"/>
      <c r="LT13" s="47">
        <v>14800</v>
      </c>
      <c r="LU13" s="47"/>
      <c r="LV13" s="47"/>
      <c r="LW13" s="47"/>
      <c r="LX13" s="47"/>
      <c r="LY13" s="47"/>
      <c r="LZ13" s="47"/>
      <c r="MA13" s="47"/>
      <c r="MB13" s="47"/>
      <c r="MC13" s="47"/>
      <c r="MD13" s="47"/>
      <c r="ME13" s="47"/>
      <c r="MF13" s="47"/>
      <c r="MG13" s="47"/>
      <c r="MH13" s="47"/>
      <c r="MI13" s="47"/>
      <c r="MJ13" s="47"/>
      <c r="MK13" s="47"/>
      <c r="ML13" s="47">
        <v>2496</v>
      </c>
      <c r="MM13" s="47"/>
      <c r="MN13" s="47"/>
      <c r="MO13" s="47"/>
      <c r="MP13" s="47"/>
      <c r="MQ13" s="47"/>
      <c r="MR13" s="47"/>
      <c r="MS13" s="47"/>
      <c r="MT13" s="47"/>
      <c r="MU13" s="47"/>
      <c r="MV13" s="47"/>
      <c r="MW13" s="47"/>
      <c r="MX13" s="47"/>
      <c r="MY13" s="47"/>
      <c r="MZ13" s="47"/>
      <c r="NA13" s="47"/>
      <c r="NB13" s="47"/>
      <c r="NC13" s="47"/>
      <c r="ND13" s="47"/>
      <c r="NE13" s="47"/>
      <c r="NF13" s="47"/>
      <c r="NG13" s="47"/>
      <c r="NH13" s="47"/>
      <c r="NI13" s="47"/>
      <c r="NJ13" s="44"/>
      <c r="NK13" s="44"/>
      <c r="NL13" s="44"/>
      <c r="NM13" s="44"/>
      <c r="NN13" s="44"/>
      <c r="NO13" s="47" t="s">
        <v>378</v>
      </c>
      <c r="NP13" s="47"/>
      <c r="NQ13" s="47"/>
      <c r="NR13" s="47"/>
      <c r="NS13" s="47"/>
      <c r="NT13" s="47"/>
      <c r="NU13" s="47"/>
      <c r="NV13" s="47"/>
      <c r="NW13" s="47"/>
      <c r="NX13" s="47"/>
      <c r="NY13" s="47"/>
      <c r="NZ13" s="47"/>
      <c r="OA13" s="47"/>
      <c r="OB13" s="47"/>
      <c r="OC13" s="47"/>
      <c r="OD13" s="47"/>
      <c r="OE13" s="47"/>
      <c r="OF13" s="47"/>
      <c r="OG13" s="47"/>
      <c r="OH13" s="47"/>
      <c r="OI13" s="47"/>
      <c r="OJ13" s="47"/>
      <c r="OK13" s="47"/>
      <c r="OL13" s="47"/>
      <c r="OM13" s="47"/>
      <c r="ON13" s="47"/>
      <c r="OO13" s="47"/>
      <c r="OP13" s="47"/>
      <c r="OQ13" s="47"/>
      <c r="OR13" s="47"/>
      <c r="OS13" s="47"/>
      <c r="OT13" s="47"/>
      <c r="OU13" s="47"/>
      <c r="OV13" s="47"/>
      <c r="OW13" s="47"/>
      <c r="OX13" s="47"/>
      <c r="OY13" s="47"/>
      <c r="OZ13" s="47"/>
      <c r="PA13" s="47"/>
      <c r="PB13" s="47"/>
      <c r="PC13" s="47"/>
      <c r="PD13" s="47"/>
      <c r="PE13" s="47"/>
      <c r="PF13" s="47"/>
      <c r="PG13" s="47"/>
      <c r="PH13" s="47"/>
      <c r="PI13" s="47"/>
      <c r="PJ13" s="47"/>
      <c r="PK13" s="47"/>
      <c r="PL13" s="47"/>
      <c r="PM13" s="47"/>
      <c r="PN13" s="47"/>
      <c r="PO13" s="47"/>
      <c r="PP13" s="47"/>
      <c r="PQ13" s="47"/>
      <c r="PR13" s="47"/>
      <c r="PS13" s="47"/>
      <c r="PT13" s="47"/>
      <c r="PU13" s="47"/>
      <c r="PV13" s="47"/>
      <c r="PW13" s="47"/>
      <c r="PX13" s="47"/>
      <c r="PY13" s="47"/>
      <c r="PZ13" s="47"/>
      <c r="QA13" s="47"/>
      <c r="QB13" s="47"/>
      <c r="QC13" s="47"/>
      <c r="QD13" s="47"/>
      <c r="QE13" s="47"/>
      <c r="QF13" s="47"/>
      <c r="QG13" s="47"/>
      <c r="QH13" s="47"/>
      <c r="QI13" s="47"/>
      <c r="QJ13" s="47"/>
      <c r="QK13" s="47"/>
      <c r="QL13" s="47"/>
      <c r="QM13" s="47"/>
      <c r="QN13" s="47"/>
      <c r="QO13" s="47"/>
      <c r="QP13" s="47"/>
      <c r="QQ13" s="47"/>
      <c r="QR13" s="47"/>
      <c r="QS13" s="47"/>
      <c r="QT13" s="47"/>
      <c r="QU13" s="47"/>
      <c r="QV13" s="47"/>
      <c r="QW13" s="47"/>
      <c r="QX13" s="47"/>
      <c r="QY13" s="47"/>
      <c r="QZ13" s="47"/>
      <c r="RA13" s="47"/>
      <c r="RB13" s="47"/>
      <c r="RC13" s="47"/>
      <c r="RD13" s="47"/>
      <c r="RE13" s="47"/>
      <c r="RF13" s="47"/>
      <c r="RG13" s="47"/>
      <c r="RH13" s="47"/>
      <c r="RI13" s="47"/>
      <c r="RJ13" s="47"/>
      <c r="RK13" s="47"/>
      <c r="RL13" s="47"/>
      <c r="RM13" s="47"/>
      <c r="RN13" s="47"/>
      <c r="RO13" s="47"/>
      <c r="RP13" s="47"/>
      <c r="RQ13" s="47"/>
      <c r="RR13" s="47"/>
      <c r="RS13" s="47"/>
      <c r="RT13" s="47"/>
      <c r="RU13" s="47"/>
      <c r="RV13" s="47"/>
      <c r="RW13" s="47"/>
      <c r="RX13" s="47"/>
      <c r="RY13" s="47"/>
      <c r="RZ13" s="47"/>
      <c r="SA13" s="47"/>
      <c r="SB13" s="47"/>
      <c r="SC13" s="47"/>
      <c r="SD13" s="47"/>
      <c r="SE13" s="47"/>
      <c r="SF13" s="47"/>
      <c r="SG13" s="47"/>
      <c r="SH13" s="47"/>
      <c r="SI13" s="47"/>
      <c r="SJ13" s="47"/>
      <c r="SK13" s="47"/>
      <c r="SL13" s="47"/>
      <c r="SM13" s="47"/>
      <c r="SN13" s="47"/>
      <c r="SO13" s="47"/>
      <c r="SP13" s="47"/>
      <c r="SQ13" s="47"/>
      <c r="SR13" s="47"/>
      <c r="SS13" s="47"/>
      <c r="ST13" s="47">
        <v>3300</v>
      </c>
      <c r="SU13" s="47"/>
      <c r="SV13" s="47"/>
      <c r="SW13" s="47"/>
      <c r="SX13" s="47"/>
      <c r="SY13" s="47"/>
      <c r="SZ13" s="47"/>
      <c r="TA13" s="47"/>
      <c r="TB13" s="47"/>
      <c r="TC13" s="47"/>
      <c r="TD13" s="47"/>
      <c r="TE13" s="47"/>
      <c r="TF13" s="47"/>
      <c r="TG13" s="47"/>
      <c r="TH13" s="47"/>
      <c r="TI13" s="47"/>
      <c r="TJ13" s="47"/>
      <c r="TK13" s="47"/>
      <c r="TL13" s="47"/>
      <c r="TM13" s="47"/>
      <c r="TN13" s="47"/>
      <c r="TO13" s="47"/>
      <c r="TP13" s="47"/>
      <c r="TQ13" s="47"/>
      <c r="TR13" s="47"/>
      <c r="TS13" s="47"/>
      <c r="TT13" s="47"/>
      <c r="TU13" s="47"/>
      <c r="TV13" s="47"/>
      <c r="TW13" s="47"/>
      <c r="TX13" s="47"/>
      <c r="TY13" s="47"/>
      <c r="TZ13" s="47"/>
      <c r="UA13" s="47"/>
      <c r="UB13" s="47"/>
      <c r="UC13" s="47"/>
      <c r="UD13" s="47"/>
      <c r="UE13" s="47"/>
      <c r="UF13" s="47"/>
      <c r="UG13" s="47"/>
      <c r="UH13" s="47"/>
      <c r="UI13" s="47"/>
      <c r="UJ13" s="47"/>
      <c r="UK13" s="47"/>
      <c r="UL13" s="47"/>
      <c r="UM13" s="47"/>
      <c r="UN13" s="47"/>
      <c r="UO13" s="47"/>
      <c r="UP13" s="47"/>
      <c r="UQ13" s="47"/>
      <c r="UR13" s="47"/>
      <c r="US13" s="47"/>
      <c r="UT13" s="47"/>
      <c r="UU13" s="47"/>
      <c r="UV13" s="47"/>
      <c r="UW13" s="47"/>
      <c r="UX13" s="47"/>
      <c r="UY13" s="47"/>
      <c r="UZ13" s="47"/>
      <c r="VA13" s="47"/>
      <c r="VB13" s="47"/>
      <c r="VC13" s="47"/>
      <c r="VD13" s="47"/>
      <c r="VE13" s="47"/>
      <c r="VF13" s="47"/>
      <c r="VG13" s="47"/>
      <c r="VH13" s="47"/>
      <c r="VI13" s="47"/>
      <c r="VJ13" s="47"/>
      <c r="VK13" s="47"/>
      <c r="VL13" s="47"/>
      <c r="VM13" s="47"/>
      <c r="VN13" s="47"/>
      <c r="VO13" s="47"/>
      <c r="VP13" s="47"/>
      <c r="VQ13" s="47"/>
      <c r="VR13" s="47"/>
      <c r="VS13" s="47"/>
      <c r="VT13" s="47"/>
      <c r="VU13" s="47"/>
      <c r="VV13" s="47"/>
      <c r="VW13" s="47"/>
      <c r="VX13" s="47"/>
      <c r="VY13" s="47"/>
      <c r="VZ13" s="47"/>
      <c r="WA13" s="47"/>
      <c r="WB13" s="47"/>
      <c r="WC13" s="47"/>
      <c r="WD13" s="47"/>
      <c r="WE13" s="47"/>
      <c r="WF13" s="47"/>
      <c r="WG13" s="47"/>
      <c r="WH13" s="47"/>
      <c r="WI13" s="47"/>
      <c r="WJ13" s="47"/>
      <c r="WK13" s="47"/>
      <c r="WL13" s="47"/>
      <c r="WM13" s="47"/>
      <c r="WN13" s="47"/>
      <c r="WO13" s="47"/>
      <c r="WP13" s="47"/>
      <c r="WQ13" s="47"/>
      <c r="WR13" s="47"/>
      <c r="WS13" s="47"/>
      <c r="WT13" s="47"/>
      <c r="WU13" s="47"/>
      <c r="WV13" s="47"/>
      <c r="WW13" s="47"/>
      <c r="WX13" s="47"/>
      <c r="WY13" s="47"/>
      <c r="WZ13" s="47"/>
      <c r="XA13" s="47"/>
      <c r="XB13" s="47"/>
      <c r="XC13" s="47"/>
      <c r="XD13" s="47"/>
      <c r="XE13" s="47"/>
      <c r="XF13" s="47"/>
      <c r="XG13" s="47"/>
      <c r="XH13" s="47" t="s">
        <v>504</v>
      </c>
      <c r="XI13" s="47"/>
      <c r="XJ13" s="47"/>
      <c r="XK13" s="47"/>
      <c r="XL13" s="47"/>
      <c r="XM13" s="47"/>
      <c r="XN13" s="47"/>
      <c r="XO13" s="47"/>
      <c r="XP13" s="47"/>
      <c r="XQ13" s="47"/>
      <c r="XR13" s="47"/>
      <c r="XS13" s="47"/>
      <c r="XT13" s="47"/>
      <c r="XU13" s="47"/>
      <c r="XV13" s="47"/>
      <c r="XW13" s="47"/>
      <c r="XX13" s="47"/>
      <c r="XY13" s="47"/>
      <c r="XZ13" s="47"/>
      <c r="YA13" s="44"/>
      <c r="YB13" s="44"/>
      <c r="YC13" s="44"/>
      <c r="YD13" s="44"/>
      <c r="YE13" s="44"/>
      <c r="YF13" s="47"/>
      <c r="YG13" s="47"/>
      <c r="YH13" s="47"/>
      <c r="YI13" s="47"/>
      <c r="YJ13" s="47"/>
      <c r="YK13" s="47"/>
      <c r="YL13" s="47"/>
      <c r="YM13" s="47"/>
      <c r="YN13" s="47"/>
      <c r="YO13" s="47"/>
      <c r="YP13" s="47"/>
      <c r="YQ13" s="47"/>
      <c r="YR13" s="47"/>
      <c r="YS13" s="47"/>
      <c r="YT13" s="47"/>
      <c r="YU13" s="47"/>
      <c r="YV13" s="47"/>
      <c r="YW13" s="47"/>
      <c r="YX13" s="47"/>
      <c r="YY13" s="47"/>
      <c r="YZ13" s="47"/>
      <c r="ZA13" s="47">
        <v>288</v>
      </c>
      <c r="ZB13" s="47"/>
      <c r="ZC13" s="47"/>
      <c r="ZD13" s="47"/>
      <c r="ZE13" s="47"/>
      <c r="ZF13" s="47"/>
      <c r="ZG13" s="47"/>
      <c r="ZH13" s="47"/>
      <c r="ZI13" s="47"/>
      <c r="ZJ13" s="47"/>
      <c r="ZK13" s="47"/>
      <c r="ZL13" s="47"/>
      <c r="ZM13" s="47"/>
      <c r="ZN13" s="47"/>
      <c r="ZO13" s="47"/>
      <c r="ZP13" s="47"/>
      <c r="ZQ13" s="47"/>
      <c r="ZR13" s="47"/>
      <c r="ZS13" s="47"/>
      <c r="ZT13" s="47"/>
      <c r="ZU13" s="47"/>
      <c r="ZV13" s="47"/>
      <c r="ZW13" s="44" t="s">
        <v>501</v>
      </c>
      <c r="ZX13" s="44"/>
      <c r="ZY13" s="44"/>
      <c r="ZZ13" s="44"/>
      <c r="AAA13" s="44"/>
      <c r="AAB13" s="44"/>
      <c r="AAC13" s="44"/>
      <c r="AAD13" s="44"/>
      <c r="AAE13" s="44"/>
      <c r="AAF13" s="44"/>
      <c r="AAG13" s="47"/>
      <c r="AAH13" s="47"/>
      <c r="AAI13" s="47"/>
      <c r="AAJ13" s="47"/>
      <c r="AAK13" s="47"/>
      <c r="AAL13" s="47"/>
      <c r="AAM13" s="47"/>
      <c r="AAN13" s="47"/>
      <c r="AAO13" s="47"/>
      <c r="AAP13" s="47"/>
      <c r="AAQ13" s="47"/>
      <c r="AAR13" s="47"/>
      <c r="AAS13" s="47"/>
      <c r="AAT13" s="47"/>
      <c r="AAU13" s="47"/>
      <c r="AAV13" s="47"/>
      <c r="AAW13" s="47"/>
      <c r="AAX13" s="47"/>
      <c r="AAY13" s="47"/>
      <c r="AAZ13" s="47"/>
      <c r="ABA13" s="47"/>
      <c r="ABB13" s="47"/>
      <c r="ABC13" s="47"/>
      <c r="ABD13" s="47"/>
      <c r="ABE13" s="47"/>
      <c r="ABF13" s="47"/>
      <c r="ABG13" s="47"/>
      <c r="ABH13" s="47"/>
      <c r="ABI13" s="47"/>
      <c r="ABJ13" s="47"/>
      <c r="ABK13" s="47"/>
      <c r="ABL13" s="47"/>
      <c r="ABM13" s="47"/>
      <c r="ABN13" s="47"/>
      <c r="ABO13" s="47"/>
      <c r="ABP13" s="47"/>
      <c r="ABQ13" s="47"/>
      <c r="ABR13" s="47"/>
      <c r="ABS13" s="47"/>
      <c r="ABT13" s="47"/>
      <c r="ABU13" s="47"/>
      <c r="ABV13" s="47"/>
      <c r="ABW13" s="47"/>
      <c r="ABX13" s="47"/>
      <c r="ABY13" s="47"/>
      <c r="ABZ13" s="47"/>
      <c r="ACA13" s="47"/>
      <c r="ACB13" s="47"/>
      <c r="ACC13" s="47"/>
      <c r="ACD13" s="47"/>
      <c r="ACE13" s="47"/>
      <c r="ACF13" s="47"/>
      <c r="ACG13" s="47"/>
      <c r="ACH13" s="48"/>
    </row>
    <row r="14" spans="1:762" x14ac:dyDescent="0.25">
      <c r="A14" s="42" t="s">
        <v>34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  <c r="EE14" s="43"/>
      <c r="EF14" s="43">
        <v>9</v>
      </c>
      <c r="EG14" s="43"/>
      <c r="EH14" s="43"/>
      <c r="EI14" s="43"/>
      <c r="EJ14" s="43"/>
      <c r="EK14" s="43"/>
      <c r="EL14" s="43"/>
      <c r="EM14" s="43"/>
      <c r="EN14" s="43"/>
      <c r="EO14" s="43"/>
      <c r="EP14" s="43"/>
      <c r="EQ14" s="43"/>
      <c r="ER14" s="43"/>
      <c r="ES14" s="43"/>
      <c r="ET14" s="43"/>
      <c r="EU14" s="43"/>
      <c r="EV14" s="43"/>
      <c r="EW14" s="43"/>
      <c r="EX14" s="43"/>
      <c r="EY14" s="43"/>
      <c r="EZ14" s="43"/>
      <c r="FA14" s="43"/>
      <c r="FB14" s="43">
        <v>22</v>
      </c>
      <c r="FC14" s="43"/>
      <c r="FD14" s="43"/>
      <c r="FE14" s="43"/>
      <c r="FF14" s="43"/>
      <c r="FG14" s="43"/>
      <c r="FH14" s="43"/>
      <c r="FI14" s="43"/>
      <c r="FJ14" s="43"/>
      <c r="FK14" s="43">
        <v>47</v>
      </c>
      <c r="FL14" s="43"/>
      <c r="FM14" s="43"/>
      <c r="FN14" s="43">
        <v>18</v>
      </c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>
        <v>13</v>
      </c>
      <c r="GB14" s="43"/>
      <c r="GC14" s="43">
        <v>17</v>
      </c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>
        <v>34</v>
      </c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>
        <v>49</v>
      </c>
      <c r="HQ14" s="43"/>
      <c r="HR14" s="43"/>
      <c r="HS14" s="43"/>
      <c r="HT14" s="43"/>
      <c r="HU14" s="43"/>
      <c r="HV14" s="43"/>
      <c r="HW14" s="43"/>
      <c r="HX14" s="43"/>
      <c r="HY14" s="43">
        <v>190</v>
      </c>
      <c r="HZ14" s="43"/>
      <c r="IA14" s="43"/>
      <c r="IB14" s="43">
        <v>111</v>
      </c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>
        <v>30</v>
      </c>
      <c r="IO14" s="43"/>
      <c r="IP14" s="43">
        <v>50</v>
      </c>
      <c r="IQ14" s="43"/>
      <c r="IR14" s="43"/>
      <c r="IS14" s="43"/>
      <c r="IT14" s="43"/>
      <c r="IU14" s="43"/>
      <c r="IV14" s="43"/>
      <c r="IW14" s="43"/>
      <c r="IX14" s="43"/>
      <c r="IY14" s="43"/>
      <c r="IZ14" s="43"/>
      <c r="JA14" s="43"/>
      <c r="JB14" s="43"/>
      <c r="JC14" s="43"/>
      <c r="JD14" s="43"/>
      <c r="JE14" s="43"/>
      <c r="JF14" s="43"/>
      <c r="JG14" s="43"/>
      <c r="JH14" s="43">
        <v>17</v>
      </c>
      <c r="JI14" s="43"/>
      <c r="JJ14" s="43"/>
      <c r="JK14" s="43"/>
      <c r="JL14" s="43"/>
      <c r="JM14" s="43"/>
      <c r="JN14" s="43"/>
      <c r="JO14" s="43"/>
      <c r="JP14" s="43"/>
      <c r="JQ14" s="43"/>
      <c r="JR14" s="43"/>
      <c r="JS14" s="43"/>
      <c r="JT14" s="43"/>
      <c r="JU14" s="43"/>
      <c r="JV14" s="43"/>
      <c r="JW14" s="43"/>
      <c r="JX14" s="43"/>
      <c r="JY14" s="43"/>
      <c r="JZ14" s="43"/>
      <c r="KA14" s="43">
        <v>20</v>
      </c>
      <c r="KB14" s="43"/>
      <c r="KC14" s="43"/>
      <c r="KD14" s="43"/>
      <c r="KE14" s="43"/>
      <c r="KF14" s="43"/>
      <c r="KG14" s="43"/>
      <c r="KH14" s="43"/>
      <c r="KI14" s="43"/>
      <c r="KJ14" s="43">
        <v>57</v>
      </c>
      <c r="KK14" s="43"/>
      <c r="KL14" s="43"/>
      <c r="KM14" s="43">
        <v>45</v>
      </c>
      <c r="KN14" s="43"/>
      <c r="KO14" s="43"/>
      <c r="KP14" s="43"/>
      <c r="KQ14" s="43"/>
      <c r="KR14" s="43"/>
      <c r="KS14" s="43"/>
      <c r="KT14" s="43"/>
      <c r="KU14" s="43"/>
      <c r="KV14" s="43"/>
      <c r="KW14" s="43"/>
      <c r="KX14" s="43"/>
      <c r="KY14" s="43">
        <v>20</v>
      </c>
      <c r="KZ14" s="43"/>
      <c r="LA14" s="43">
        <v>30</v>
      </c>
      <c r="LB14" s="43"/>
      <c r="LC14" s="43"/>
      <c r="LD14" s="43"/>
      <c r="LE14" s="43"/>
      <c r="LF14" s="43"/>
      <c r="LG14" s="43"/>
      <c r="LH14" s="43"/>
      <c r="LI14" s="43"/>
      <c r="LJ14" s="43"/>
      <c r="LK14" s="43"/>
      <c r="LL14" s="43"/>
      <c r="LM14" s="43"/>
      <c r="LN14" s="43"/>
      <c r="LO14" s="43"/>
      <c r="LP14" s="43"/>
      <c r="LQ14" s="43"/>
      <c r="LR14" s="43"/>
      <c r="LS14" s="43"/>
      <c r="LT14" s="43"/>
      <c r="LU14" s="43"/>
      <c r="LV14" s="43"/>
      <c r="LW14" s="43"/>
      <c r="LX14" s="43"/>
      <c r="LY14" s="43"/>
      <c r="LZ14" s="43"/>
      <c r="MA14" s="43"/>
      <c r="MB14" s="43"/>
      <c r="MC14" s="43"/>
      <c r="MD14" s="43"/>
      <c r="ME14" s="43"/>
      <c r="MF14" s="43"/>
      <c r="MG14" s="43"/>
      <c r="MH14" s="43"/>
      <c r="MI14" s="43"/>
      <c r="MJ14" s="43"/>
      <c r="MK14" s="43"/>
      <c r="ML14" s="43"/>
      <c r="MM14" s="43"/>
      <c r="MN14" s="43"/>
      <c r="MO14" s="43"/>
      <c r="MP14" s="43"/>
      <c r="MQ14" s="43"/>
      <c r="MR14" s="43"/>
      <c r="MS14" s="43"/>
      <c r="MT14" s="43"/>
      <c r="MU14" s="43"/>
      <c r="MV14" s="43"/>
      <c r="MW14" s="43"/>
      <c r="MX14" s="43"/>
      <c r="MY14" s="43"/>
      <c r="MZ14" s="43"/>
      <c r="NA14" s="43"/>
      <c r="NB14" s="43"/>
      <c r="NC14" s="43"/>
      <c r="ND14" s="43"/>
      <c r="NE14" s="43"/>
      <c r="NF14" s="43"/>
      <c r="NG14" s="43"/>
      <c r="NH14" s="43"/>
      <c r="NI14" s="43"/>
      <c r="NJ14" s="44"/>
      <c r="NK14" s="44"/>
      <c r="NL14" s="44"/>
      <c r="NM14" s="44"/>
      <c r="NN14" s="44"/>
      <c r="NO14" s="43"/>
      <c r="NP14" s="43"/>
      <c r="NQ14" s="43"/>
      <c r="NR14" s="43"/>
      <c r="NS14" s="43"/>
      <c r="NT14" s="43"/>
      <c r="NU14" s="43"/>
      <c r="NV14" s="43"/>
      <c r="NW14" s="43"/>
      <c r="NX14" s="43"/>
      <c r="NY14" s="43"/>
      <c r="NZ14" s="43"/>
      <c r="OA14" s="43"/>
      <c r="OB14" s="43"/>
      <c r="OC14" s="43"/>
      <c r="OD14" s="43"/>
      <c r="OE14" s="43"/>
      <c r="OF14" s="43"/>
      <c r="OG14" s="43"/>
      <c r="OH14" s="43"/>
      <c r="OI14" s="43"/>
      <c r="OJ14" s="43"/>
      <c r="OK14" s="43"/>
      <c r="OL14" s="43"/>
      <c r="OM14" s="43"/>
      <c r="ON14" s="43"/>
      <c r="OO14" s="43"/>
      <c r="OP14" s="43"/>
      <c r="OQ14" s="43"/>
      <c r="OR14" s="43"/>
      <c r="OS14" s="43"/>
      <c r="OT14" s="43"/>
      <c r="OU14" s="43"/>
      <c r="OV14" s="43"/>
      <c r="OW14" s="43"/>
      <c r="OX14" s="43"/>
      <c r="OY14" s="43"/>
      <c r="OZ14" s="43"/>
      <c r="PA14" s="43"/>
      <c r="PB14" s="43"/>
      <c r="PC14" s="43"/>
      <c r="PD14" s="43"/>
      <c r="PE14" s="43"/>
      <c r="PF14" s="43"/>
      <c r="PG14" s="43"/>
      <c r="PH14" s="43"/>
      <c r="PI14" s="43"/>
      <c r="PJ14" s="43"/>
      <c r="PK14" s="43"/>
      <c r="PL14" s="43"/>
      <c r="PM14" s="43"/>
      <c r="PN14" s="43"/>
      <c r="PO14" s="43"/>
      <c r="PP14" s="43"/>
      <c r="PQ14" s="43"/>
      <c r="PR14" s="43"/>
      <c r="PS14" s="43"/>
      <c r="PT14" s="43"/>
      <c r="PU14" s="43"/>
      <c r="PV14" s="43"/>
      <c r="PW14" s="43"/>
      <c r="PX14" s="43"/>
      <c r="PY14" s="43"/>
      <c r="PZ14" s="43"/>
      <c r="QA14" s="43"/>
      <c r="QB14" s="43"/>
      <c r="QC14" s="43"/>
      <c r="QD14" s="43"/>
      <c r="QE14" s="43"/>
      <c r="QF14" s="43"/>
      <c r="QG14" s="43"/>
      <c r="QH14" s="43"/>
      <c r="QI14" s="43"/>
      <c r="QJ14" s="43"/>
      <c r="QK14" s="43"/>
      <c r="QL14" s="43"/>
      <c r="QM14" s="43"/>
      <c r="QN14" s="43"/>
      <c r="QO14" s="43"/>
      <c r="QP14" s="43"/>
      <c r="QQ14" s="43"/>
      <c r="QR14" s="43"/>
      <c r="QS14" s="43"/>
      <c r="QT14" s="43"/>
      <c r="QU14" s="43"/>
      <c r="QV14" s="43"/>
      <c r="QW14" s="43"/>
      <c r="QX14" s="43"/>
      <c r="QY14" s="43"/>
      <c r="QZ14" s="43"/>
      <c r="RA14" s="43"/>
      <c r="RB14" s="43"/>
      <c r="RC14" s="43"/>
      <c r="RD14" s="43"/>
      <c r="RE14" s="43"/>
      <c r="RF14" s="43"/>
      <c r="RG14" s="43"/>
      <c r="RH14" s="43"/>
      <c r="RI14" s="43"/>
      <c r="RJ14" s="43"/>
      <c r="RK14" s="43"/>
      <c r="RL14" s="43"/>
      <c r="RM14" s="43"/>
      <c r="RN14" s="43"/>
      <c r="RO14" s="43"/>
      <c r="RP14" s="43"/>
      <c r="RQ14" s="43"/>
      <c r="RR14" s="43"/>
      <c r="RS14" s="43"/>
      <c r="RT14" s="43"/>
      <c r="RU14" s="43"/>
      <c r="RV14" s="43"/>
      <c r="RW14" s="43"/>
      <c r="RX14" s="43"/>
      <c r="RY14" s="43"/>
      <c r="RZ14" s="43"/>
      <c r="SA14" s="43"/>
      <c r="SB14" s="43"/>
      <c r="SC14" s="43"/>
      <c r="SD14" s="43"/>
      <c r="SE14" s="43"/>
      <c r="SF14" s="43"/>
      <c r="SG14" s="43"/>
      <c r="SH14" s="43"/>
      <c r="SI14" s="43"/>
      <c r="SJ14" s="43"/>
      <c r="SK14" s="43"/>
      <c r="SL14" s="43"/>
      <c r="SM14" s="43"/>
      <c r="SN14" s="43"/>
      <c r="SO14" s="43"/>
      <c r="SP14" s="43"/>
      <c r="SQ14" s="43"/>
      <c r="SR14" s="43"/>
      <c r="SS14" s="43"/>
      <c r="ST14" s="43"/>
      <c r="SU14" s="43"/>
      <c r="SV14" s="43"/>
      <c r="SW14" s="43"/>
      <c r="SX14" s="43"/>
      <c r="SY14" s="43"/>
      <c r="SZ14" s="43"/>
      <c r="TA14" s="43"/>
      <c r="TB14" s="43"/>
      <c r="TC14" s="43"/>
      <c r="TD14" s="43"/>
      <c r="TE14" s="43"/>
      <c r="TF14" s="43"/>
      <c r="TG14" s="43"/>
      <c r="TH14" s="43"/>
      <c r="TI14" s="43"/>
      <c r="TJ14" s="43"/>
      <c r="TK14" s="43"/>
      <c r="TL14" s="43"/>
      <c r="TM14" s="43"/>
      <c r="TN14" s="43"/>
      <c r="TO14" s="43"/>
      <c r="TP14" s="43"/>
      <c r="TQ14" s="43"/>
      <c r="TR14" s="43"/>
      <c r="TS14" s="43"/>
      <c r="TT14" s="43"/>
      <c r="TU14" s="43"/>
      <c r="TV14" s="43"/>
      <c r="TW14" s="43"/>
      <c r="TX14" s="43"/>
      <c r="TY14" s="43"/>
      <c r="TZ14" s="43"/>
      <c r="UA14" s="43"/>
      <c r="UB14" s="43"/>
      <c r="UC14" s="43"/>
      <c r="UD14" s="43"/>
      <c r="UE14" s="43"/>
      <c r="UF14" s="43"/>
      <c r="UG14" s="43"/>
      <c r="UH14" s="43"/>
      <c r="UI14" s="43"/>
      <c r="UJ14" s="43"/>
      <c r="UK14" s="43"/>
      <c r="UL14" s="43"/>
      <c r="UM14" s="43"/>
      <c r="UN14" s="43"/>
      <c r="UO14" s="43"/>
      <c r="UP14" s="43"/>
      <c r="UQ14" s="43"/>
      <c r="UR14" s="43"/>
      <c r="US14" s="43"/>
      <c r="UT14" s="43"/>
      <c r="UU14" s="43"/>
      <c r="UV14" s="43"/>
      <c r="UW14" s="43"/>
      <c r="UX14" s="43"/>
      <c r="UY14" s="43"/>
      <c r="UZ14" s="43"/>
      <c r="VA14" s="43"/>
      <c r="VB14" s="43"/>
      <c r="VC14" s="43"/>
      <c r="VD14" s="43"/>
      <c r="VE14" s="43"/>
      <c r="VF14" s="43"/>
      <c r="VG14" s="43"/>
      <c r="VH14" s="43"/>
      <c r="VI14" s="43"/>
      <c r="VJ14" s="43"/>
      <c r="VK14" s="43"/>
      <c r="VL14" s="43"/>
      <c r="VM14" s="43"/>
      <c r="VN14" s="43"/>
      <c r="VO14" s="43"/>
      <c r="VP14" s="43"/>
      <c r="VQ14" s="43"/>
      <c r="VR14" s="43"/>
      <c r="VS14" s="43"/>
      <c r="VT14" s="43"/>
      <c r="VU14" s="43"/>
      <c r="VV14" s="43"/>
      <c r="VW14" s="43"/>
      <c r="VX14" s="43"/>
      <c r="VY14" s="43"/>
      <c r="VZ14" s="43"/>
      <c r="WA14" s="43"/>
      <c r="WB14" s="43"/>
      <c r="WC14" s="43"/>
      <c r="WD14" s="43"/>
      <c r="WE14" s="43"/>
      <c r="WF14" s="43"/>
      <c r="WG14" s="43"/>
      <c r="WH14" s="43"/>
      <c r="WI14" s="43"/>
      <c r="WJ14" s="43"/>
      <c r="WK14" s="43"/>
      <c r="WL14" s="43"/>
      <c r="WM14" s="43"/>
      <c r="WN14" s="43"/>
      <c r="WO14" s="43"/>
      <c r="WP14" s="43"/>
      <c r="WQ14" s="43"/>
      <c r="WR14" s="43"/>
      <c r="WS14" s="43"/>
      <c r="WT14" s="43"/>
      <c r="WU14" s="43"/>
      <c r="WV14" s="43"/>
      <c r="WW14" s="43"/>
      <c r="WX14" s="43"/>
      <c r="WY14" s="43"/>
      <c r="WZ14" s="43"/>
      <c r="XA14" s="43"/>
      <c r="XB14" s="43"/>
      <c r="XC14" s="43"/>
      <c r="XD14" s="43"/>
      <c r="XE14" s="43"/>
      <c r="XF14" s="43"/>
      <c r="XG14" s="43"/>
      <c r="XH14" s="43"/>
      <c r="XI14" s="43"/>
      <c r="XJ14" s="43"/>
      <c r="XK14" s="43"/>
      <c r="XL14" s="43"/>
      <c r="XM14" s="43"/>
      <c r="XN14" s="43"/>
      <c r="XO14" s="43"/>
      <c r="XP14" s="43"/>
      <c r="XQ14" s="43"/>
      <c r="XR14" s="43"/>
      <c r="XS14" s="43"/>
      <c r="XT14" s="43"/>
      <c r="XU14" s="43"/>
      <c r="XV14" s="43"/>
      <c r="XW14" s="43"/>
      <c r="XX14" s="43"/>
      <c r="XY14" s="43"/>
      <c r="XZ14" s="43"/>
      <c r="YA14" s="44"/>
      <c r="YB14" s="44"/>
      <c r="YC14" s="44"/>
      <c r="YD14" s="44"/>
      <c r="YE14" s="44"/>
      <c r="YF14" s="43"/>
      <c r="YG14" s="43"/>
      <c r="YH14" s="43"/>
      <c r="YI14" s="43"/>
      <c r="YJ14" s="43"/>
      <c r="YK14" s="43"/>
      <c r="YL14" s="43"/>
      <c r="YM14" s="43"/>
      <c r="YN14" s="43"/>
      <c r="YO14" s="43"/>
      <c r="YP14" s="43"/>
      <c r="YQ14" s="43"/>
      <c r="YR14" s="43"/>
      <c r="YS14" s="43"/>
      <c r="YT14" s="43"/>
      <c r="YU14" s="43"/>
      <c r="YV14" s="43"/>
      <c r="YW14" s="43"/>
      <c r="YX14" s="43"/>
      <c r="YY14" s="43"/>
      <c r="YZ14" s="43"/>
      <c r="ZA14" s="43"/>
      <c r="ZB14" s="43"/>
      <c r="ZC14" s="43"/>
      <c r="ZD14" s="43"/>
      <c r="ZE14" s="43"/>
      <c r="ZF14" s="43"/>
      <c r="ZG14" s="43"/>
      <c r="ZH14" s="43"/>
      <c r="ZI14" s="43"/>
      <c r="ZJ14" s="43"/>
      <c r="ZK14" s="43"/>
      <c r="ZL14" s="43"/>
      <c r="ZM14" s="43"/>
      <c r="ZN14" s="43"/>
      <c r="ZO14" s="43"/>
      <c r="ZP14" s="43"/>
      <c r="ZQ14" s="43"/>
      <c r="ZR14" s="43"/>
      <c r="ZS14" s="43"/>
      <c r="ZT14" s="43"/>
      <c r="ZU14" s="43"/>
      <c r="ZV14" s="43"/>
      <c r="ZW14" s="44"/>
      <c r="ZX14" s="44"/>
      <c r="ZY14" s="44"/>
      <c r="ZZ14" s="44"/>
      <c r="AAA14" s="44"/>
      <c r="AAB14" s="44"/>
      <c r="AAC14" s="44"/>
      <c r="AAD14" s="44"/>
      <c r="AAE14" s="44"/>
      <c r="AAF14" s="44"/>
      <c r="AAG14" s="43"/>
      <c r="AAH14" s="43"/>
      <c r="AAI14" s="43"/>
      <c r="AAJ14" s="43"/>
      <c r="AAK14" s="43"/>
      <c r="AAL14" s="43"/>
      <c r="AAM14" s="43"/>
      <c r="AAN14" s="43"/>
      <c r="AAO14" s="43"/>
      <c r="AAP14" s="43"/>
      <c r="AAQ14" s="43"/>
      <c r="AAR14" s="43"/>
      <c r="AAS14" s="43"/>
      <c r="AAT14" s="43"/>
      <c r="AAU14" s="43"/>
      <c r="AAV14" s="43"/>
      <c r="AAW14" s="43"/>
      <c r="AAX14" s="43"/>
      <c r="AAY14" s="43"/>
      <c r="AAZ14" s="43"/>
      <c r="ABA14" s="43"/>
      <c r="ABB14" s="43"/>
      <c r="ABC14" s="43"/>
      <c r="ABD14" s="43"/>
      <c r="ABE14" s="43"/>
      <c r="ABF14" s="43"/>
      <c r="ABG14" s="43"/>
      <c r="ABH14" s="43"/>
      <c r="ABI14" s="43"/>
      <c r="ABJ14" s="43"/>
      <c r="ABK14" s="43"/>
      <c r="ABL14" s="43"/>
      <c r="ABM14" s="43"/>
      <c r="ABN14" s="43"/>
      <c r="ABO14" s="43"/>
      <c r="ABP14" s="43"/>
      <c r="ABQ14" s="43"/>
      <c r="ABR14" s="43"/>
      <c r="ABS14" s="43"/>
      <c r="ABT14" s="43"/>
      <c r="ABU14" s="43"/>
      <c r="ABV14" s="43"/>
      <c r="ABW14" s="43"/>
      <c r="ABX14" s="43"/>
      <c r="ABY14" s="43"/>
      <c r="ABZ14" s="43"/>
      <c r="ACA14" s="43"/>
      <c r="ACB14" s="43"/>
      <c r="ACC14" s="43"/>
      <c r="ACD14" s="43"/>
      <c r="ACE14" s="43"/>
      <c r="ACF14" s="43"/>
      <c r="ACG14" s="43"/>
      <c r="ACH14" s="45"/>
    </row>
    <row r="15" spans="1:762" x14ac:dyDescent="0.25">
      <c r="A15" s="46" t="s">
        <v>36</v>
      </c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  <c r="DC15" s="47"/>
      <c r="DD15" s="47"/>
      <c r="DE15" s="47"/>
      <c r="DF15" s="47"/>
      <c r="DG15" s="47"/>
      <c r="DH15" s="47"/>
      <c r="DI15" s="47"/>
      <c r="DJ15" s="47"/>
      <c r="DK15" s="47"/>
      <c r="DL15" s="47"/>
      <c r="DM15" s="47"/>
      <c r="DN15" s="47"/>
      <c r="DO15" s="47"/>
      <c r="DP15" s="47"/>
      <c r="DQ15" s="47"/>
      <c r="DR15" s="47"/>
      <c r="DS15" s="47"/>
      <c r="DT15" s="47"/>
      <c r="DU15" s="47"/>
      <c r="DV15" s="47"/>
      <c r="DW15" s="47"/>
      <c r="DX15" s="47"/>
      <c r="DY15" s="47"/>
      <c r="DZ15" s="47"/>
      <c r="EA15" s="47"/>
      <c r="EB15" s="47"/>
      <c r="EC15" s="47"/>
      <c r="ED15" s="47"/>
      <c r="EE15" s="47"/>
      <c r="EF15" s="47"/>
      <c r="EG15" s="47"/>
      <c r="EH15" s="47"/>
      <c r="EI15" s="47"/>
      <c r="EJ15" s="47"/>
      <c r="EK15" s="47"/>
      <c r="EL15" s="47"/>
      <c r="EM15" s="47"/>
      <c r="EN15" s="47"/>
      <c r="EO15" s="47"/>
      <c r="EP15" s="47"/>
      <c r="EQ15" s="47"/>
      <c r="ER15" s="47"/>
      <c r="ES15" s="47"/>
      <c r="ET15" s="47"/>
      <c r="EU15" s="47"/>
      <c r="EV15" s="47"/>
      <c r="EW15" s="47"/>
      <c r="EX15" s="47"/>
      <c r="EY15" s="47"/>
      <c r="EZ15" s="47"/>
      <c r="FA15" s="47"/>
      <c r="FB15" s="47"/>
      <c r="FC15" s="47"/>
      <c r="FD15" s="47"/>
      <c r="FE15" s="47"/>
      <c r="FF15" s="47"/>
      <c r="FG15" s="47"/>
      <c r="FH15" s="47"/>
      <c r="FI15" s="47"/>
      <c r="FJ15" s="47"/>
      <c r="FK15" s="47"/>
      <c r="FL15" s="47"/>
      <c r="FM15" s="47"/>
      <c r="FN15" s="47"/>
      <c r="FO15" s="47"/>
      <c r="FP15" s="47"/>
      <c r="FQ15" s="47"/>
      <c r="FR15" s="47"/>
      <c r="FS15" s="47"/>
      <c r="FT15" s="47"/>
      <c r="FU15" s="47"/>
      <c r="FV15" s="47"/>
      <c r="FW15" s="47"/>
      <c r="FX15" s="47"/>
      <c r="FY15" s="47"/>
      <c r="FZ15" s="47"/>
      <c r="GA15" s="47"/>
      <c r="GB15" s="47"/>
      <c r="GC15" s="47"/>
      <c r="GD15" s="47"/>
      <c r="GE15" s="47"/>
      <c r="GF15" s="47"/>
      <c r="GG15" s="47"/>
      <c r="GH15" s="47"/>
      <c r="GI15" s="47"/>
      <c r="GJ15" s="47"/>
      <c r="GK15" s="47"/>
      <c r="GL15" s="47"/>
      <c r="GM15" s="47"/>
      <c r="GN15" s="47"/>
      <c r="GO15" s="47"/>
      <c r="GP15" s="47"/>
      <c r="GQ15" s="47"/>
      <c r="GR15" s="47"/>
      <c r="GS15" s="47"/>
      <c r="GT15" s="47"/>
      <c r="GU15" s="47"/>
      <c r="GV15" s="47"/>
      <c r="GW15" s="47"/>
      <c r="GX15" s="47"/>
      <c r="GY15" s="47"/>
      <c r="GZ15" s="47"/>
      <c r="HA15" s="47"/>
      <c r="HB15" s="47"/>
      <c r="HC15" s="47"/>
      <c r="HD15" s="47"/>
      <c r="HE15" s="47"/>
      <c r="HF15" s="47"/>
      <c r="HG15" s="47"/>
      <c r="HH15" s="47"/>
      <c r="HI15" s="47"/>
      <c r="HJ15" s="47"/>
      <c r="HK15" s="47"/>
      <c r="HL15" s="47"/>
      <c r="HM15" s="47"/>
      <c r="HN15" s="47"/>
      <c r="HO15" s="47"/>
      <c r="HP15" s="47"/>
      <c r="HQ15" s="47"/>
      <c r="HR15" s="47"/>
      <c r="HS15" s="47"/>
      <c r="HT15" s="47"/>
      <c r="HU15" s="47"/>
      <c r="HV15" s="47"/>
      <c r="HW15" s="47"/>
      <c r="HX15" s="47"/>
      <c r="HY15" s="47"/>
      <c r="HZ15" s="47"/>
      <c r="IA15" s="47"/>
      <c r="IB15" s="47"/>
      <c r="IC15" s="47"/>
      <c r="ID15" s="47"/>
      <c r="IE15" s="47"/>
      <c r="IF15" s="47"/>
      <c r="IG15" s="47"/>
      <c r="IH15" s="47"/>
      <c r="II15" s="47"/>
      <c r="IJ15" s="47"/>
      <c r="IK15" s="47"/>
      <c r="IL15" s="47"/>
      <c r="IM15" s="47"/>
      <c r="IN15" s="47"/>
      <c r="IO15" s="47"/>
      <c r="IP15" s="47"/>
      <c r="IQ15" s="47"/>
      <c r="IR15" s="47"/>
      <c r="IS15" s="47"/>
      <c r="IT15" s="47"/>
      <c r="IU15" s="47"/>
      <c r="IV15" s="47"/>
      <c r="IW15" s="47"/>
      <c r="IX15" s="47"/>
      <c r="IY15" s="47"/>
      <c r="IZ15" s="47"/>
      <c r="JA15" s="47"/>
      <c r="JB15" s="47"/>
      <c r="JC15" s="47"/>
      <c r="JD15" s="47"/>
      <c r="JE15" s="47"/>
      <c r="JF15" s="47"/>
      <c r="JG15" s="47"/>
      <c r="JH15" s="47"/>
      <c r="JI15" s="47"/>
      <c r="JJ15" s="47"/>
      <c r="JK15" s="47"/>
      <c r="JL15" s="47"/>
      <c r="JM15" s="47"/>
      <c r="JN15" s="47"/>
      <c r="JO15" s="47"/>
      <c r="JP15" s="47"/>
      <c r="JQ15" s="47"/>
      <c r="JR15" s="47"/>
      <c r="JS15" s="47"/>
      <c r="JT15" s="47"/>
      <c r="JU15" s="47"/>
      <c r="JV15" s="47"/>
      <c r="JW15" s="47"/>
      <c r="JX15" s="47"/>
      <c r="JY15" s="47"/>
      <c r="JZ15" s="47"/>
      <c r="KA15" s="47"/>
      <c r="KB15" s="47"/>
      <c r="KC15" s="47"/>
      <c r="KD15" s="47"/>
      <c r="KE15" s="47"/>
      <c r="KF15" s="47"/>
      <c r="KG15" s="47"/>
      <c r="KH15" s="47"/>
      <c r="KI15" s="47"/>
      <c r="KJ15" s="47"/>
      <c r="KK15" s="47"/>
      <c r="KL15" s="47"/>
      <c r="KM15" s="47"/>
      <c r="KN15" s="47"/>
      <c r="KO15" s="47"/>
      <c r="KP15" s="47"/>
      <c r="KQ15" s="47"/>
      <c r="KR15" s="47"/>
      <c r="KS15" s="47"/>
      <c r="KT15" s="47"/>
      <c r="KU15" s="47"/>
      <c r="KV15" s="47"/>
      <c r="KW15" s="47"/>
      <c r="KX15" s="47"/>
      <c r="KY15" s="47"/>
      <c r="KZ15" s="47"/>
      <c r="LA15" s="47"/>
      <c r="LB15" s="47"/>
      <c r="LC15" s="47"/>
      <c r="LD15" s="47"/>
      <c r="LE15" s="47"/>
      <c r="LF15" s="47"/>
      <c r="LG15" s="47"/>
      <c r="LH15" s="47"/>
      <c r="LI15" s="47"/>
      <c r="LJ15" s="47"/>
      <c r="LK15" s="47"/>
      <c r="LL15" s="47"/>
      <c r="LM15" s="47"/>
      <c r="LN15" s="47"/>
      <c r="LO15" s="47"/>
      <c r="LP15" s="47"/>
      <c r="LQ15" s="47"/>
      <c r="LR15" s="47"/>
      <c r="LS15" s="47"/>
      <c r="LT15" s="47"/>
      <c r="LU15" s="47"/>
      <c r="LV15" s="47"/>
      <c r="LW15" s="47"/>
      <c r="LX15" s="47"/>
      <c r="LY15" s="47"/>
      <c r="LZ15" s="47"/>
      <c r="MA15" s="47"/>
      <c r="MB15" s="47"/>
      <c r="MC15" s="47"/>
      <c r="MD15" s="47"/>
      <c r="ME15" s="47"/>
      <c r="MF15" s="47"/>
      <c r="MG15" s="47"/>
      <c r="MH15" s="47"/>
      <c r="MI15" s="47"/>
      <c r="MJ15" s="47"/>
      <c r="MK15" s="47"/>
      <c r="ML15" s="47"/>
      <c r="MM15" s="47"/>
      <c r="MN15" s="47"/>
      <c r="MO15" s="47"/>
      <c r="MP15" s="47"/>
      <c r="MQ15" s="47"/>
      <c r="MR15" s="47"/>
      <c r="MS15" s="47"/>
      <c r="MT15" s="47"/>
      <c r="MU15" s="47"/>
      <c r="MV15" s="47"/>
      <c r="MW15" s="47"/>
      <c r="MX15" s="47"/>
      <c r="MY15" s="47"/>
      <c r="MZ15" s="47"/>
      <c r="NA15" s="47"/>
      <c r="NB15" s="47"/>
      <c r="NC15" s="47"/>
      <c r="ND15" s="47"/>
      <c r="NE15" s="47"/>
      <c r="NF15" s="47"/>
      <c r="NG15" s="47"/>
      <c r="NH15" s="47"/>
      <c r="NI15" s="47"/>
      <c r="NJ15" s="44"/>
      <c r="NK15" s="44"/>
      <c r="NL15" s="44"/>
      <c r="NM15" s="44"/>
      <c r="NN15" s="44"/>
      <c r="NO15" s="47"/>
      <c r="NP15" s="47"/>
      <c r="NQ15" s="47"/>
      <c r="NR15" s="47"/>
      <c r="NS15" s="47"/>
      <c r="NT15" s="47"/>
      <c r="NU15" s="47"/>
      <c r="NV15" s="47"/>
      <c r="NW15" s="47"/>
      <c r="NX15" s="47"/>
      <c r="NY15" s="47"/>
      <c r="NZ15" s="47"/>
      <c r="OA15" s="47"/>
      <c r="OB15" s="47"/>
      <c r="OC15" s="47"/>
      <c r="OD15" s="47"/>
      <c r="OE15" s="47"/>
      <c r="OF15" s="47"/>
      <c r="OG15" s="47"/>
      <c r="OH15" s="47"/>
      <c r="OI15" s="47"/>
      <c r="OJ15" s="47"/>
      <c r="OK15" s="47"/>
      <c r="OL15" s="47"/>
      <c r="OM15" s="47"/>
      <c r="ON15" s="47"/>
      <c r="OO15" s="47"/>
      <c r="OP15" s="47"/>
      <c r="OQ15" s="47"/>
      <c r="OR15" s="47"/>
      <c r="OS15" s="47"/>
      <c r="OT15" s="47"/>
      <c r="OU15" s="47"/>
      <c r="OV15" s="47"/>
      <c r="OW15" s="47"/>
      <c r="OX15" s="47"/>
      <c r="OY15" s="47"/>
      <c r="OZ15" s="47"/>
      <c r="PA15" s="47"/>
      <c r="PB15" s="47"/>
      <c r="PC15" s="47"/>
      <c r="PD15" s="47"/>
      <c r="PE15" s="47"/>
      <c r="PF15" s="47"/>
      <c r="PG15" s="47"/>
      <c r="PH15" s="47"/>
      <c r="PI15" s="47"/>
      <c r="PJ15" s="47"/>
      <c r="PK15" s="47"/>
      <c r="PL15" s="47"/>
      <c r="PM15" s="47"/>
      <c r="PN15" s="47"/>
      <c r="PO15" s="47"/>
      <c r="PP15" s="47"/>
      <c r="PQ15" s="47"/>
      <c r="PR15" s="47"/>
      <c r="PS15" s="47"/>
      <c r="PT15" s="47"/>
      <c r="PU15" s="47"/>
      <c r="PV15" s="47"/>
      <c r="PW15" s="47"/>
      <c r="PX15" s="47"/>
      <c r="PY15" s="47"/>
      <c r="PZ15" s="47"/>
      <c r="QA15" s="47"/>
      <c r="QB15" s="47"/>
      <c r="QC15" s="47"/>
      <c r="QD15" s="47"/>
      <c r="QE15" s="47"/>
      <c r="QF15" s="47"/>
      <c r="QG15" s="47"/>
      <c r="QH15" s="47"/>
      <c r="QI15" s="47"/>
      <c r="QJ15" s="47"/>
      <c r="QK15" s="47"/>
      <c r="QL15" s="47"/>
      <c r="QM15" s="47"/>
      <c r="QN15" s="47"/>
      <c r="QO15" s="47"/>
      <c r="QP15" s="47"/>
      <c r="QQ15" s="47"/>
      <c r="QR15" s="47"/>
      <c r="QS15" s="47"/>
      <c r="QT15" s="47"/>
      <c r="QU15" s="47"/>
      <c r="QV15" s="47"/>
      <c r="QW15" s="47"/>
      <c r="QX15" s="47"/>
      <c r="QY15" s="47"/>
      <c r="QZ15" s="47"/>
      <c r="RA15" s="47"/>
      <c r="RB15" s="47"/>
      <c r="RC15" s="47"/>
      <c r="RD15" s="47"/>
      <c r="RE15" s="47"/>
      <c r="RF15" s="47"/>
      <c r="RG15" s="47"/>
      <c r="RH15" s="47"/>
      <c r="RI15" s="47"/>
      <c r="RJ15" s="47"/>
      <c r="RK15" s="47"/>
      <c r="RL15" s="47"/>
      <c r="RM15" s="47"/>
      <c r="RN15" s="47"/>
      <c r="RO15" s="47"/>
      <c r="RP15" s="47"/>
      <c r="RQ15" s="47"/>
      <c r="RR15" s="47"/>
      <c r="RS15" s="47"/>
      <c r="RT15" s="47"/>
      <c r="RU15" s="47"/>
      <c r="RV15" s="47"/>
      <c r="RW15" s="47"/>
      <c r="RX15" s="47"/>
      <c r="RY15" s="47"/>
      <c r="RZ15" s="47"/>
      <c r="SA15" s="47"/>
      <c r="SB15" s="47"/>
      <c r="SC15" s="47"/>
      <c r="SD15" s="47"/>
      <c r="SE15" s="47"/>
      <c r="SF15" s="47"/>
      <c r="SG15" s="47"/>
      <c r="SH15" s="47"/>
      <c r="SI15" s="47"/>
      <c r="SJ15" s="47"/>
      <c r="SK15" s="47"/>
      <c r="SL15" s="47"/>
      <c r="SM15" s="47"/>
      <c r="SN15" s="47"/>
      <c r="SO15" s="47"/>
      <c r="SP15" s="47"/>
      <c r="SQ15" s="47"/>
      <c r="SR15" s="47"/>
      <c r="SS15" s="47"/>
      <c r="ST15" s="47"/>
      <c r="SU15" s="47"/>
      <c r="SV15" s="47"/>
      <c r="SW15" s="47"/>
      <c r="SX15" s="47"/>
      <c r="SY15" s="47"/>
      <c r="SZ15" s="47"/>
      <c r="TA15" s="47"/>
      <c r="TB15" s="47"/>
      <c r="TC15" s="47"/>
      <c r="TD15" s="47"/>
      <c r="TE15" s="47"/>
      <c r="TF15" s="47"/>
      <c r="TG15" s="47"/>
      <c r="TH15" s="47"/>
      <c r="TI15" s="47"/>
      <c r="TJ15" s="47"/>
      <c r="TK15" s="47"/>
      <c r="TL15" s="47"/>
      <c r="TM15" s="47"/>
      <c r="TN15" s="47"/>
      <c r="TO15" s="47"/>
      <c r="TP15" s="47"/>
      <c r="TQ15" s="47"/>
      <c r="TR15" s="47"/>
      <c r="TS15" s="47"/>
      <c r="TT15" s="47"/>
      <c r="TU15" s="47"/>
      <c r="TV15" s="47"/>
      <c r="TW15" s="47"/>
      <c r="TX15" s="47"/>
      <c r="TY15" s="47"/>
      <c r="TZ15" s="47"/>
      <c r="UA15" s="47"/>
      <c r="UB15" s="47"/>
      <c r="UC15" s="47"/>
      <c r="UD15" s="47"/>
      <c r="UE15" s="47"/>
      <c r="UF15" s="47"/>
      <c r="UG15" s="47"/>
      <c r="UH15" s="47"/>
      <c r="UI15" s="47"/>
      <c r="UJ15" s="47"/>
      <c r="UK15" s="47"/>
      <c r="UL15" s="47"/>
      <c r="UM15" s="47"/>
      <c r="UN15" s="47"/>
      <c r="UO15" s="47"/>
      <c r="UP15" s="47"/>
      <c r="UQ15" s="47"/>
      <c r="UR15" s="47"/>
      <c r="US15" s="47"/>
      <c r="UT15" s="47"/>
      <c r="UU15" s="47"/>
      <c r="UV15" s="47"/>
      <c r="UW15" s="47"/>
      <c r="UX15" s="47"/>
      <c r="UY15" s="47"/>
      <c r="UZ15" s="47"/>
      <c r="VA15" s="47"/>
      <c r="VB15" s="47"/>
      <c r="VC15" s="47"/>
      <c r="VD15" s="47"/>
      <c r="VE15" s="47"/>
      <c r="VF15" s="47"/>
      <c r="VG15" s="47"/>
      <c r="VH15" s="47"/>
      <c r="VI15" s="47"/>
      <c r="VJ15" s="47"/>
      <c r="VK15" s="47"/>
      <c r="VL15" s="47"/>
      <c r="VM15" s="47"/>
      <c r="VN15" s="47"/>
      <c r="VO15" s="47"/>
      <c r="VP15" s="47"/>
      <c r="VQ15" s="47"/>
      <c r="VR15" s="47"/>
      <c r="VS15" s="47"/>
      <c r="VT15" s="47"/>
      <c r="VU15" s="47"/>
      <c r="VV15" s="47"/>
      <c r="VW15" s="47"/>
      <c r="VX15" s="47"/>
      <c r="VY15" s="47"/>
      <c r="VZ15" s="47"/>
      <c r="WA15" s="47"/>
      <c r="WB15" s="47"/>
      <c r="WC15" s="47"/>
      <c r="WD15" s="47"/>
      <c r="WE15" s="47"/>
      <c r="WF15" s="47"/>
      <c r="WG15" s="47"/>
      <c r="WH15" s="47"/>
      <c r="WI15" s="47"/>
      <c r="WJ15" s="47"/>
      <c r="WK15" s="47"/>
      <c r="WL15" s="47"/>
      <c r="WM15" s="47"/>
      <c r="WN15" s="47"/>
      <c r="WO15" s="47"/>
      <c r="WP15" s="47"/>
      <c r="WQ15" s="47"/>
      <c r="WR15" s="47"/>
      <c r="WS15" s="47"/>
      <c r="WT15" s="47"/>
      <c r="WU15" s="47"/>
      <c r="WV15" s="47"/>
      <c r="WW15" s="47"/>
      <c r="WX15" s="47"/>
      <c r="WY15" s="47"/>
      <c r="WZ15" s="47"/>
      <c r="XA15" s="47"/>
      <c r="XB15" s="47"/>
      <c r="XC15" s="47"/>
      <c r="XD15" s="47"/>
      <c r="XE15" s="47"/>
      <c r="XF15" s="47"/>
      <c r="XG15" s="47"/>
      <c r="XH15" s="47"/>
      <c r="XI15" s="47"/>
      <c r="XJ15" s="47"/>
      <c r="XK15" s="47"/>
      <c r="XL15" s="47"/>
      <c r="XM15" s="47"/>
      <c r="XN15" s="47"/>
      <c r="XO15" s="47"/>
      <c r="XP15" s="47"/>
      <c r="XQ15" s="47"/>
      <c r="XR15" s="47"/>
      <c r="XS15" s="47"/>
      <c r="XT15" s="47"/>
      <c r="XU15" s="47"/>
      <c r="XV15" s="47"/>
      <c r="XW15" s="47"/>
      <c r="XX15" s="47"/>
      <c r="XY15" s="47"/>
      <c r="XZ15" s="47"/>
      <c r="YA15" s="44"/>
      <c r="YB15" s="44"/>
      <c r="YC15" s="44"/>
      <c r="YD15" s="44"/>
      <c r="YE15" s="44"/>
      <c r="YF15" s="47"/>
      <c r="YG15" s="47"/>
      <c r="YH15" s="47"/>
      <c r="YI15" s="47"/>
      <c r="YJ15" s="47"/>
      <c r="YK15" s="47"/>
      <c r="YL15" s="47"/>
      <c r="YM15" s="47"/>
      <c r="YN15" s="47"/>
      <c r="YO15" s="47"/>
      <c r="YP15" s="47"/>
      <c r="YQ15" s="47"/>
      <c r="YR15" s="47"/>
      <c r="YS15" s="47"/>
      <c r="YT15" s="47"/>
      <c r="YU15" s="47"/>
      <c r="YV15" s="47"/>
      <c r="YW15" s="47"/>
      <c r="YX15" s="47"/>
      <c r="YY15" s="47"/>
      <c r="YZ15" s="47"/>
      <c r="ZA15" s="47"/>
      <c r="ZB15" s="47"/>
      <c r="ZC15" s="47"/>
      <c r="ZD15" s="47"/>
      <c r="ZE15" s="47"/>
      <c r="ZF15" s="47"/>
      <c r="ZG15" s="47"/>
      <c r="ZH15" s="47"/>
      <c r="ZI15" s="47"/>
      <c r="ZJ15" s="47"/>
      <c r="ZK15" s="47"/>
      <c r="ZL15" s="47"/>
      <c r="ZM15" s="47"/>
      <c r="ZN15" s="47"/>
      <c r="ZO15" s="47"/>
      <c r="ZP15" s="47"/>
      <c r="ZQ15" s="47"/>
      <c r="ZR15" s="47"/>
      <c r="ZS15" s="47"/>
      <c r="ZT15" s="47"/>
      <c r="ZU15" s="47"/>
      <c r="ZV15" s="47"/>
      <c r="ZW15" s="44"/>
      <c r="ZX15" s="44"/>
      <c r="ZY15" s="44"/>
      <c r="ZZ15" s="44"/>
      <c r="AAA15" s="44"/>
      <c r="AAB15" s="44"/>
      <c r="AAC15" s="44"/>
      <c r="AAD15" s="44"/>
      <c r="AAE15" s="44"/>
      <c r="AAF15" s="44"/>
      <c r="AAG15" s="47"/>
      <c r="AAH15" s="47"/>
      <c r="AAI15" s="47"/>
      <c r="AAJ15" s="47"/>
      <c r="AAK15" s="47"/>
      <c r="AAL15" s="47"/>
      <c r="AAM15" s="47"/>
      <c r="AAN15" s="47"/>
      <c r="AAO15" s="47"/>
      <c r="AAP15" s="47"/>
      <c r="AAQ15" s="47"/>
      <c r="AAR15" s="47"/>
      <c r="AAS15" s="47"/>
      <c r="AAT15" s="47"/>
      <c r="AAU15" s="47"/>
      <c r="AAV15" s="47"/>
      <c r="AAW15" s="47"/>
      <c r="AAX15" s="47"/>
      <c r="AAY15" s="47"/>
      <c r="AAZ15" s="47"/>
      <c r="ABA15" s="47"/>
      <c r="ABB15" s="47"/>
      <c r="ABC15" s="47"/>
      <c r="ABD15" s="47"/>
      <c r="ABE15" s="47"/>
      <c r="ABF15" s="47"/>
      <c r="ABG15" s="47"/>
      <c r="ABH15" s="47"/>
      <c r="ABI15" s="47"/>
      <c r="ABJ15" s="47"/>
      <c r="ABK15" s="47"/>
      <c r="ABL15" s="47"/>
      <c r="ABM15" s="47"/>
      <c r="ABN15" s="47"/>
      <c r="ABO15" s="47"/>
      <c r="ABP15" s="47"/>
      <c r="ABQ15" s="47"/>
      <c r="ABR15" s="47"/>
      <c r="ABS15" s="47"/>
      <c r="ABT15" s="47"/>
      <c r="ABU15" s="47"/>
      <c r="ABV15" s="47"/>
      <c r="ABW15" s="47"/>
      <c r="ABX15" s="47"/>
      <c r="ABY15" s="47"/>
      <c r="ABZ15" s="47"/>
      <c r="ACA15" s="47"/>
      <c r="ACB15" s="47"/>
      <c r="ACC15" s="47"/>
      <c r="ACD15" s="47"/>
      <c r="ACE15" s="47"/>
      <c r="ACF15" s="47"/>
      <c r="ACG15" s="47"/>
      <c r="ACH15" s="48"/>
    </row>
    <row r="16" spans="1:762" x14ac:dyDescent="0.25">
      <c r="A16" s="42" t="s">
        <v>37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  <c r="EB16" s="43"/>
      <c r="EC16" s="43"/>
      <c r="ED16" s="43"/>
      <c r="EE16" s="43"/>
      <c r="EF16" s="43">
        <v>20</v>
      </c>
      <c r="EG16" s="43"/>
      <c r="EH16" s="43"/>
      <c r="EI16" s="43"/>
      <c r="EJ16" s="43"/>
      <c r="EK16" s="43"/>
      <c r="EL16" s="43"/>
      <c r="EM16" s="43"/>
      <c r="EN16" s="43"/>
      <c r="EO16" s="43"/>
      <c r="EP16" s="43"/>
      <c r="EQ16" s="43"/>
      <c r="ER16" s="43"/>
      <c r="ES16" s="43"/>
      <c r="ET16" s="43"/>
      <c r="EU16" s="43"/>
      <c r="EV16" s="43"/>
      <c r="EW16" s="43"/>
      <c r="EX16" s="43"/>
      <c r="EY16" s="43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>
        <v>27</v>
      </c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  <c r="IU16" s="43"/>
      <c r="IV16" s="43"/>
      <c r="IW16" s="43"/>
      <c r="IX16" s="43"/>
      <c r="IY16" s="43"/>
      <c r="IZ16" s="43"/>
      <c r="JA16" s="43"/>
      <c r="JB16" s="43"/>
      <c r="JC16" s="43"/>
      <c r="JD16" s="43"/>
      <c r="JE16" s="43"/>
      <c r="JF16" s="43"/>
      <c r="JG16" s="43"/>
      <c r="JH16" s="43"/>
      <c r="JI16" s="43"/>
      <c r="JJ16" s="43"/>
      <c r="JK16" s="43"/>
      <c r="JL16" s="43"/>
      <c r="JM16" s="43"/>
      <c r="JN16" s="43"/>
      <c r="JO16" s="43"/>
      <c r="JP16" s="43"/>
      <c r="JQ16" s="43"/>
      <c r="JR16" s="43"/>
      <c r="JS16" s="43"/>
      <c r="JT16" s="43"/>
      <c r="JU16" s="43"/>
      <c r="JV16" s="43"/>
      <c r="JW16" s="43"/>
      <c r="JX16" s="43"/>
      <c r="JY16" s="43"/>
      <c r="JZ16" s="43"/>
      <c r="KA16" s="43"/>
      <c r="KB16" s="43"/>
      <c r="KC16" s="43"/>
      <c r="KD16" s="43"/>
      <c r="KE16" s="43"/>
      <c r="KF16" s="43"/>
      <c r="KG16" s="43"/>
      <c r="KH16" s="43"/>
      <c r="KI16" s="43"/>
      <c r="KJ16" s="43"/>
      <c r="KK16" s="43"/>
      <c r="KL16" s="43"/>
      <c r="KM16" s="43"/>
      <c r="KN16" s="43"/>
      <c r="KO16" s="43"/>
      <c r="KP16" s="43"/>
      <c r="KQ16" s="43"/>
      <c r="KR16" s="43"/>
      <c r="KS16" s="43"/>
      <c r="KT16" s="43"/>
      <c r="KU16" s="43"/>
      <c r="KV16" s="43"/>
      <c r="KW16" s="43"/>
      <c r="KX16" s="43"/>
      <c r="KY16" s="43"/>
      <c r="KZ16" s="43"/>
      <c r="LA16" s="43"/>
      <c r="LB16" s="43"/>
      <c r="LC16" s="43"/>
      <c r="LD16" s="43"/>
      <c r="LE16" s="43"/>
      <c r="LF16" s="43"/>
      <c r="LG16" s="43"/>
      <c r="LH16" s="43"/>
      <c r="LI16" s="43"/>
      <c r="LJ16" s="43"/>
      <c r="LK16" s="43"/>
      <c r="LL16" s="43"/>
      <c r="LM16" s="43"/>
      <c r="LN16" s="43"/>
      <c r="LO16" s="43"/>
      <c r="LP16" s="43"/>
      <c r="LQ16" s="43"/>
      <c r="LR16" s="43"/>
      <c r="LS16" s="43"/>
      <c r="LT16" s="43">
        <v>248</v>
      </c>
      <c r="LU16" s="43"/>
      <c r="LV16" s="43"/>
      <c r="LW16" s="43"/>
      <c r="LX16" s="43"/>
      <c r="LY16" s="43"/>
      <c r="LZ16" s="43"/>
      <c r="MA16" s="43"/>
      <c r="MB16" s="43"/>
      <c r="MC16" s="43"/>
      <c r="MD16" s="43"/>
      <c r="ME16" s="43"/>
      <c r="MF16" s="43"/>
      <c r="MG16" s="43"/>
      <c r="MH16" s="43"/>
      <c r="MI16" s="43"/>
      <c r="MJ16" s="43"/>
      <c r="MK16" s="43"/>
      <c r="ML16" s="43"/>
      <c r="MM16" s="43"/>
      <c r="MN16" s="43"/>
      <c r="MO16" s="43"/>
      <c r="MP16" s="43"/>
      <c r="MQ16" s="43"/>
      <c r="MR16" s="43"/>
      <c r="MS16" s="43"/>
      <c r="MT16" s="43"/>
      <c r="MU16" s="43"/>
      <c r="MV16" s="43"/>
      <c r="MW16" s="43"/>
      <c r="MX16" s="43"/>
      <c r="MY16" s="43"/>
      <c r="MZ16" s="43"/>
      <c r="NA16" s="43"/>
      <c r="NB16" s="43"/>
      <c r="NC16" s="43"/>
      <c r="ND16" s="43"/>
      <c r="NE16" s="43"/>
      <c r="NF16" s="43"/>
      <c r="NG16" s="43"/>
      <c r="NH16" s="43"/>
      <c r="NI16" s="43"/>
      <c r="NJ16" s="44"/>
      <c r="NK16" s="44"/>
      <c r="NL16" s="44"/>
      <c r="NM16" s="44"/>
      <c r="NN16" s="44"/>
      <c r="NO16" s="43"/>
      <c r="NP16" s="43"/>
      <c r="NQ16" s="43"/>
      <c r="NR16" s="43"/>
      <c r="NS16" s="43"/>
      <c r="NT16" s="43"/>
      <c r="NU16" s="43"/>
      <c r="NV16" s="43"/>
      <c r="NW16" s="43"/>
      <c r="NX16" s="43"/>
      <c r="NY16" s="43"/>
      <c r="NZ16" s="43"/>
      <c r="OA16" s="43"/>
      <c r="OB16" s="43"/>
      <c r="OC16" s="43"/>
      <c r="OD16" s="43"/>
      <c r="OE16" s="43"/>
      <c r="OF16" s="43"/>
      <c r="OG16" s="43"/>
      <c r="OH16" s="43"/>
      <c r="OI16" s="43"/>
      <c r="OJ16" s="43"/>
      <c r="OK16" s="43"/>
      <c r="OL16" s="43"/>
      <c r="OM16" s="43"/>
      <c r="ON16" s="43"/>
      <c r="OO16" s="43"/>
      <c r="OP16" s="43"/>
      <c r="OQ16" s="43"/>
      <c r="OR16" s="43"/>
      <c r="OS16" s="43"/>
      <c r="OT16" s="43"/>
      <c r="OU16" s="43"/>
      <c r="OV16" s="43"/>
      <c r="OW16" s="43"/>
      <c r="OX16" s="43"/>
      <c r="OY16" s="43"/>
      <c r="OZ16" s="43"/>
      <c r="PA16" s="43"/>
      <c r="PB16" s="43"/>
      <c r="PC16" s="43"/>
      <c r="PD16" s="43"/>
      <c r="PE16" s="43"/>
      <c r="PF16" s="43"/>
      <c r="PG16" s="43"/>
      <c r="PH16" s="43"/>
      <c r="PI16" s="43"/>
      <c r="PJ16" s="43"/>
      <c r="PK16" s="43"/>
      <c r="PL16" s="43"/>
      <c r="PM16" s="43"/>
      <c r="PN16" s="43"/>
      <c r="PO16" s="43"/>
      <c r="PP16" s="43"/>
      <c r="PQ16" s="43"/>
      <c r="PR16" s="43"/>
      <c r="PS16" s="43"/>
      <c r="PT16" s="43"/>
      <c r="PU16" s="43"/>
      <c r="PV16" s="43"/>
      <c r="PW16" s="43"/>
      <c r="PX16" s="43"/>
      <c r="PY16" s="43"/>
      <c r="PZ16" s="43"/>
      <c r="QA16" s="43"/>
      <c r="QB16" s="43"/>
      <c r="QC16" s="43"/>
      <c r="QD16" s="43"/>
      <c r="QE16" s="43"/>
      <c r="QF16" s="43"/>
      <c r="QG16" s="43"/>
      <c r="QH16" s="43"/>
      <c r="QI16" s="43"/>
      <c r="QJ16" s="43"/>
      <c r="QK16" s="43"/>
      <c r="QL16" s="43"/>
      <c r="QM16" s="43"/>
      <c r="QN16" s="43"/>
      <c r="QO16" s="43"/>
      <c r="QP16" s="43"/>
      <c r="QQ16" s="43"/>
      <c r="QR16" s="43"/>
      <c r="QS16" s="43"/>
      <c r="QT16" s="43"/>
      <c r="QU16" s="43"/>
      <c r="QV16" s="43"/>
      <c r="QW16" s="43"/>
      <c r="QX16" s="43"/>
      <c r="QY16" s="43"/>
      <c r="QZ16" s="43"/>
      <c r="RA16" s="43"/>
      <c r="RB16" s="43"/>
      <c r="RC16" s="43"/>
      <c r="RD16" s="43"/>
      <c r="RE16" s="43"/>
      <c r="RF16" s="43"/>
      <c r="RG16" s="43"/>
      <c r="RH16" s="43"/>
      <c r="RI16" s="43"/>
      <c r="RJ16" s="43"/>
      <c r="RK16" s="43"/>
      <c r="RL16" s="43"/>
      <c r="RM16" s="43"/>
      <c r="RN16" s="43"/>
      <c r="RO16" s="43"/>
      <c r="RP16" s="43"/>
      <c r="RQ16" s="43"/>
      <c r="RR16" s="43"/>
      <c r="RS16" s="43"/>
      <c r="RT16" s="43"/>
      <c r="RU16" s="43"/>
      <c r="RV16" s="43"/>
      <c r="RW16" s="43"/>
      <c r="RX16" s="43"/>
      <c r="RY16" s="43"/>
      <c r="RZ16" s="43"/>
      <c r="SA16" s="43"/>
      <c r="SB16" s="43"/>
      <c r="SC16" s="43"/>
      <c r="SD16" s="43"/>
      <c r="SE16" s="43"/>
      <c r="SF16" s="43"/>
      <c r="SG16" s="43"/>
      <c r="SH16" s="43"/>
      <c r="SI16" s="43"/>
      <c r="SJ16" s="43"/>
      <c r="SK16" s="43"/>
      <c r="SL16" s="43"/>
      <c r="SM16" s="43"/>
      <c r="SN16" s="43"/>
      <c r="SO16" s="43"/>
      <c r="SP16" s="43"/>
      <c r="SQ16" s="43"/>
      <c r="SR16" s="43"/>
      <c r="SS16" s="43"/>
      <c r="ST16" s="43">
        <v>2.9</v>
      </c>
      <c r="SU16" s="43"/>
      <c r="SV16" s="43"/>
      <c r="SW16" s="43"/>
      <c r="SX16" s="43"/>
      <c r="SY16" s="43"/>
      <c r="SZ16" s="43"/>
      <c r="TA16" s="43"/>
      <c r="TB16" s="43"/>
      <c r="TC16" s="43"/>
      <c r="TD16" s="43"/>
      <c r="TE16" s="43"/>
      <c r="TF16" s="43"/>
      <c r="TG16" s="43"/>
      <c r="TH16" s="43"/>
      <c r="TI16" s="43"/>
      <c r="TJ16" s="43"/>
      <c r="TK16" s="43"/>
      <c r="TL16" s="43"/>
      <c r="TM16" s="43"/>
      <c r="TN16" s="43"/>
      <c r="TO16" s="43"/>
      <c r="TP16" s="43"/>
      <c r="TQ16" s="43"/>
      <c r="TR16" s="43"/>
      <c r="TS16" s="43"/>
      <c r="TT16" s="43"/>
      <c r="TU16" s="43"/>
      <c r="TV16" s="43"/>
      <c r="TW16" s="43"/>
      <c r="TX16" s="43"/>
      <c r="TY16" s="43"/>
      <c r="TZ16" s="43"/>
      <c r="UA16" s="43"/>
      <c r="UB16" s="43"/>
      <c r="UC16" s="43"/>
      <c r="UD16" s="43"/>
      <c r="UE16" s="43"/>
      <c r="UF16" s="43"/>
      <c r="UG16" s="43"/>
      <c r="UH16" s="43"/>
      <c r="UI16" s="43"/>
      <c r="UJ16" s="43"/>
      <c r="UK16" s="43"/>
      <c r="UL16" s="43"/>
      <c r="UM16" s="43"/>
      <c r="UN16" s="43"/>
      <c r="UO16" s="43"/>
      <c r="UP16" s="43"/>
      <c r="UQ16" s="43"/>
      <c r="UR16" s="43"/>
      <c r="US16" s="43"/>
      <c r="UT16" s="43"/>
      <c r="UU16" s="43"/>
      <c r="UV16" s="43"/>
      <c r="UW16" s="43"/>
      <c r="UX16" s="43"/>
      <c r="UY16" s="43"/>
      <c r="UZ16" s="43"/>
      <c r="VA16" s="43"/>
      <c r="VB16" s="43"/>
      <c r="VC16" s="43"/>
      <c r="VD16" s="43"/>
      <c r="VE16" s="43"/>
      <c r="VF16" s="43"/>
      <c r="VG16" s="43"/>
      <c r="VH16" s="43"/>
      <c r="VI16" s="43"/>
      <c r="VJ16" s="43"/>
      <c r="VK16" s="43"/>
      <c r="VL16" s="43"/>
      <c r="VM16" s="43"/>
      <c r="VN16" s="43"/>
      <c r="VO16" s="43"/>
      <c r="VP16" s="43"/>
      <c r="VQ16" s="43"/>
      <c r="VR16" s="43"/>
      <c r="VS16" s="43"/>
      <c r="VT16" s="43">
        <v>196</v>
      </c>
      <c r="VU16" s="43"/>
      <c r="VV16" s="43"/>
      <c r="VW16" s="43"/>
      <c r="VX16" s="43"/>
      <c r="VY16" s="43"/>
      <c r="VZ16" s="43"/>
      <c r="WA16" s="43"/>
      <c r="WB16" s="43"/>
      <c r="WC16" s="43"/>
      <c r="WD16" s="43"/>
      <c r="WE16" s="43"/>
      <c r="WF16" s="43"/>
      <c r="WG16" s="43"/>
      <c r="WH16" s="43"/>
      <c r="WI16" s="43"/>
      <c r="WJ16" s="43"/>
      <c r="WK16" s="43"/>
      <c r="WL16" s="43"/>
      <c r="WM16" s="43"/>
      <c r="WN16" s="43"/>
      <c r="WO16" s="43"/>
      <c r="WP16" s="43"/>
      <c r="WQ16" s="43"/>
      <c r="WR16" s="43"/>
      <c r="WS16" s="43"/>
      <c r="WT16" s="43"/>
      <c r="WU16" s="43"/>
      <c r="WV16" s="43"/>
      <c r="WW16" s="43"/>
      <c r="WX16" s="43"/>
      <c r="WY16" s="43"/>
      <c r="WZ16" s="43"/>
      <c r="XA16" s="43"/>
      <c r="XB16" s="43"/>
      <c r="XC16" s="43"/>
      <c r="XD16" s="43"/>
      <c r="XE16" s="43"/>
      <c r="XF16" s="43"/>
      <c r="XG16" s="43"/>
      <c r="XH16" s="43">
        <v>22.5</v>
      </c>
      <c r="XI16" s="43"/>
      <c r="XJ16" s="43"/>
      <c r="XK16" s="43"/>
      <c r="XL16" s="43"/>
      <c r="XM16" s="43"/>
      <c r="XN16" s="43"/>
      <c r="XO16" s="43"/>
      <c r="XP16" s="43"/>
      <c r="XQ16" s="43"/>
      <c r="XR16" s="43"/>
      <c r="XS16" s="43"/>
      <c r="XT16" s="43"/>
      <c r="XU16" s="43"/>
      <c r="XV16" s="43"/>
      <c r="XW16" s="43"/>
      <c r="XX16" s="43"/>
      <c r="XY16" s="43"/>
      <c r="XZ16" s="43"/>
      <c r="YA16" s="44"/>
      <c r="YB16" s="44"/>
      <c r="YC16" s="44"/>
      <c r="YD16" s="44"/>
      <c r="YE16" s="44"/>
      <c r="YF16" s="43"/>
      <c r="YG16" s="43"/>
      <c r="YH16" s="43"/>
      <c r="YI16" s="43"/>
      <c r="YJ16" s="43"/>
      <c r="YK16" s="43"/>
      <c r="YL16" s="43"/>
      <c r="YM16" s="43"/>
      <c r="YN16" s="43"/>
      <c r="YO16" s="43"/>
      <c r="YP16" s="43"/>
      <c r="YQ16" s="43"/>
      <c r="YR16" s="43"/>
      <c r="YS16" s="43"/>
      <c r="YT16" s="43"/>
      <c r="YU16" s="43"/>
      <c r="YV16" s="43"/>
      <c r="YW16" s="43"/>
      <c r="YX16" s="43"/>
      <c r="YY16" s="43"/>
      <c r="YZ16" s="43"/>
      <c r="ZA16" s="43"/>
      <c r="ZB16" s="43"/>
      <c r="ZC16" s="43"/>
      <c r="ZD16" s="43"/>
      <c r="ZE16" s="43"/>
      <c r="ZF16" s="43"/>
      <c r="ZG16" s="43"/>
      <c r="ZH16" s="43"/>
      <c r="ZI16" s="43"/>
      <c r="ZJ16" s="43"/>
      <c r="ZK16" s="43"/>
      <c r="ZL16" s="43"/>
      <c r="ZM16" s="43"/>
      <c r="ZN16" s="43"/>
      <c r="ZO16" s="43"/>
      <c r="ZP16" s="43"/>
      <c r="ZQ16" s="43"/>
      <c r="ZR16" s="43"/>
      <c r="ZS16" s="43"/>
      <c r="ZT16" s="43"/>
      <c r="ZU16" s="43"/>
      <c r="ZV16" s="43"/>
      <c r="ZW16" s="44"/>
      <c r="ZX16" s="44"/>
      <c r="ZY16" s="44"/>
      <c r="ZZ16" s="44"/>
      <c r="AAA16" s="44"/>
      <c r="AAB16" s="44"/>
      <c r="AAC16" s="44"/>
      <c r="AAD16" s="44"/>
      <c r="AAE16" s="44"/>
      <c r="AAF16" s="44"/>
      <c r="AAG16" s="43" t="s">
        <v>522</v>
      </c>
      <c r="AAH16" s="43">
        <v>61</v>
      </c>
      <c r="AAI16" s="43">
        <v>22.4</v>
      </c>
      <c r="AAJ16" s="43">
        <v>8.1999999999999993</v>
      </c>
      <c r="AAK16" s="43"/>
      <c r="AAL16" s="43"/>
      <c r="AAM16" s="43"/>
      <c r="AAN16" s="43"/>
      <c r="AAO16" s="43"/>
      <c r="AAP16" s="43"/>
      <c r="AAQ16" s="43"/>
      <c r="AAR16" s="43"/>
      <c r="AAS16" s="43"/>
      <c r="AAT16" s="43"/>
      <c r="AAU16" s="43"/>
      <c r="AAV16" s="43"/>
      <c r="AAW16" s="43"/>
      <c r="AAX16" s="43"/>
      <c r="AAY16" s="43"/>
      <c r="AAZ16" s="43"/>
      <c r="ABA16" s="43"/>
      <c r="ABB16" s="43"/>
      <c r="ABC16" s="43"/>
      <c r="ABD16" s="43"/>
      <c r="ABE16" s="43"/>
      <c r="ABF16" s="43"/>
      <c r="ABG16" s="43"/>
      <c r="ABH16" s="43"/>
      <c r="ABI16" s="43"/>
      <c r="ABJ16" s="43"/>
      <c r="ABK16" s="43"/>
      <c r="ABL16" s="43"/>
      <c r="ABM16" s="43"/>
      <c r="ABN16" s="43"/>
      <c r="ABO16" s="43"/>
      <c r="ABP16" s="43"/>
      <c r="ABQ16" s="43"/>
      <c r="ABR16" s="43"/>
      <c r="ABS16" s="43"/>
      <c r="ABT16" s="43"/>
      <c r="ABU16" s="43"/>
      <c r="ABV16" s="43"/>
      <c r="ABW16" s="43"/>
      <c r="ABX16" s="43"/>
      <c r="ABY16" s="43"/>
      <c r="ABZ16" s="43"/>
      <c r="ACA16" s="43"/>
      <c r="ACB16" s="43"/>
      <c r="ACC16" s="43"/>
      <c r="ACD16" s="43"/>
      <c r="ACE16" s="43"/>
      <c r="ACF16" s="43"/>
      <c r="ACG16" s="43"/>
      <c r="ACH16" s="45"/>
    </row>
    <row r="17" spans="1:762" x14ac:dyDescent="0.25">
      <c r="A17" s="46" t="s">
        <v>40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  <c r="BW17" s="47"/>
      <c r="BX17" s="47"/>
      <c r="BY17" s="47"/>
      <c r="BZ17" s="47"/>
      <c r="CA17" s="47"/>
      <c r="CB17" s="47"/>
      <c r="CC17" s="47"/>
      <c r="CD17" s="47"/>
      <c r="CE17" s="47"/>
      <c r="CF17" s="47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7"/>
      <c r="CR17" s="47"/>
      <c r="CS17" s="47"/>
      <c r="CT17" s="47"/>
      <c r="CU17" s="47"/>
      <c r="CV17" s="47"/>
      <c r="CW17" s="47"/>
      <c r="CX17" s="47"/>
      <c r="CY17" s="47"/>
      <c r="CZ17" s="47"/>
      <c r="DA17" s="47"/>
      <c r="DB17" s="47"/>
      <c r="DC17" s="47"/>
      <c r="DD17" s="47"/>
      <c r="DE17" s="47"/>
      <c r="DF17" s="47"/>
      <c r="DG17" s="47"/>
      <c r="DH17" s="47"/>
      <c r="DI17" s="47"/>
      <c r="DJ17" s="47"/>
      <c r="DK17" s="47"/>
      <c r="DL17" s="47"/>
      <c r="DM17" s="47"/>
      <c r="DN17" s="47"/>
      <c r="DO17" s="47"/>
      <c r="DP17" s="47"/>
      <c r="DQ17" s="47"/>
      <c r="DR17" s="47"/>
      <c r="DS17" s="47"/>
      <c r="DT17" s="47"/>
      <c r="DU17" s="47"/>
      <c r="DV17" s="47"/>
      <c r="DW17" s="47"/>
      <c r="DX17" s="47"/>
      <c r="DY17" s="47"/>
      <c r="DZ17" s="47"/>
      <c r="EA17" s="47"/>
      <c r="EB17" s="47"/>
      <c r="EC17" s="47"/>
      <c r="ED17" s="47"/>
      <c r="EE17" s="47"/>
      <c r="EF17" s="47">
        <v>75</v>
      </c>
      <c r="EG17" s="47"/>
      <c r="EH17" s="47"/>
      <c r="EI17" s="47"/>
      <c r="EJ17" s="47"/>
      <c r="EK17" s="47"/>
      <c r="EL17" s="47"/>
      <c r="EM17" s="47"/>
      <c r="EN17" s="47"/>
      <c r="EO17" s="47"/>
      <c r="EP17" s="47"/>
      <c r="EQ17" s="47"/>
      <c r="ER17" s="47"/>
      <c r="ES17" s="47"/>
      <c r="ET17" s="47"/>
      <c r="EU17" s="47"/>
      <c r="EV17" s="47"/>
      <c r="EW17" s="47"/>
      <c r="EX17" s="47"/>
      <c r="EY17" s="47"/>
      <c r="EZ17" s="47"/>
      <c r="FA17" s="47"/>
      <c r="FB17" s="47"/>
      <c r="FC17" s="47"/>
      <c r="FD17" s="47"/>
      <c r="FE17" s="47"/>
      <c r="FF17" s="47"/>
      <c r="FG17" s="47"/>
      <c r="FH17" s="47"/>
      <c r="FI17" s="47"/>
      <c r="FJ17" s="47"/>
      <c r="FK17" s="47"/>
      <c r="FL17" s="47"/>
      <c r="FM17" s="47"/>
      <c r="FN17" s="47"/>
      <c r="FO17" s="47"/>
      <c r="FP17" s="47"/>
      <c r="FQ17" s="47"/>
      <c r="FR17" s="47"/>
      <c r="FS17" s="47"/>
      <c r="FT17" s="47"/>
      <c r="FU17" s="47"/>
      <c r="FV17" s="47"/>
      <c r="FW17" s="47"/>
      <c r="FX17" s="47"/>
      <c r="FY17" s="47"/>
      <c r="FZ17" s="47"/>
      <c r="GA17" s="47"/>
      <c r="GB17" s="47"/>
      <c r="GC17" s="47"/>
      <c r="GD17" s="47"/>
      <c r="GE17" s="47"/>
      <c r="GF17" s="47"/>
      <c r="GG17" s="47"/>
      <c r="GH17" s="47"/>
      <c r="GI17" s="47"/>
      <c r="GJ17" s="47"/>
      <c r="GK17" s="47"/>
      <c r="GL17" s="47"/>
      <c r="GM17" s="47"/>
      <c r="GN17" s="47"/>
      <c r="GO17" s="47"/>
      <c r="GP17" s="47"/>
      <c r="GQ17" s="47"/>
      <c r="GR17" s="47"/>
      <c r="GS17" s="47"/>
      <c r="GT17" s="47"/>
      <c r="GU17" s="47">
        <v>193</v>
      </c>
      <c r="GV17" s="47"/>
      <c r="GW17" s="47"/>
      <c r="GX17" s="47"/>
      <c r="GY17" s="47"/>
      <c r="GZ17" s="47"/>
      <c r="HA17" s="47"/>
      <c r="HB17" s="47"/>
      <c r="HC17" s="47"/>
      <c r="HD17" s="47"/>
      <c r="HE17" s="47"/>
      <c r="HF17" s="47"/>
      <c r="HG17" s="47"/>
      <c r="HH17" s="47"/>
      <c r="HI17" s="47"/>
      <c r="HJ17" s="47"/>
      <c r="HK17" s="47"/>
      <c r="HL17" s="47"/>
      <c r="HM17" s="47"/>
      <c r="HN17" s="47"/>
      <c r="HO17" s="47"/>
      <c r="HP17" s="47"/>
      <c r="HQ17" s="47"/>
      <c r="HR17" s="47"/>
      <c r="HS17" s="47"/>
      <c r="HT17" s="47"/>
      <c r="HU17" s="47"/>
      <c r="HV17" s="47"/>
      <c r="HW17" s="47"/>
      <c r="HX17" s="47"/>
      <c r="HY17" s="47"/>
      <c r="HZ17" s="47"/>
      <c r="IA17" s="47"/>
      <c r="IB17" s="47"/>
      <c r="IC17" s="47"/>
      <c r="ID17" s="47"/>
      <c r="IE17" s="47"/>
      <c r="IF17" s="47"/>
      <c r="IG17" s="47"/>
      <c r="IH17" s="47"/>
      <c r="II17" s="47"/>
      <c r="IJ17" s="47"/>
      <c r="IK17" s="47"/>
      <c r="IL17" s="47"/>
      <c r="IM17" s="47"/>
      <c r="IN17" s="47"/>
      <c r="IO17" s="47"/>
      <c r="IP17" s="47"/>
      <c r="IQ17" s="47"/>
      <c r="IR17" s="47"/>
      <c r="IS17" s="47"/>
      <c r="IT17" s="47"/>
      <c r="IU17" s="47"/>
      <c r="IV17" s="47"/>
      <c r="IW17" s="47"/>
      <c r="IX17" s="47"/>
      <c r="IY17" s="47"/>
      <c r="IZ17" s="47"/>
      <c r="JA17" s="47"/>
      <c r="JB17" s="47"/>
      <c r="JC17" s="47"/>
      <c r="JD17" s="47"/>
      <c r="JE17" s="47"/>
      <c r="JF17" s="47"/>
      <c r="JG17" s="47"/>
      <c r="JH17" s="47"/>
      <c r="JI17" s="47"/>
      <c r="JJ17" s="47"/>
      <c r="JK17" s="47"/>
      <c r="JL17" s="47"/>
      <c r="JM17" s="47"/>
      <c r="JN17" s="47"/>
      <c r="JO17" s="47"/>
      <c r="JP17" s="47"/>
      <c r="JQ17" s="47"/>
      <c r="JR17" s="47"/>
      <c r="JS17" s="47"/>
      <c r="JT17" s="47"/>
      <c r="JU17" s="47"/>
      <c r="JV17" s="47"/>
      <c r="JW17" s="47"/>
      <c r="JX17" s="47"/>
      <c r="JY17" s="47"/>
      <c r="JZ17" s="47"/>
      <c r="KA17" s="47"/>
      <c r="KB17" s="47"/>
      <c r="KC17" s="47"/>
      <c r="KD17" s="47"/>
      <c r="KE17" s="47"/>
      <c r="KF17" s="47"/>
      <c r="KG17" s="47"/>
      <c r="KH17" s="47"/>
      <c r="KI17" s="47"/>
      <c r="KJ17" s="47"/>
      <c r="KK17" s="47"/>
      <c r="KL17" s="47"/>
      <c r="KM17" s="47"/>
      <c r="KN17" s="47"/>
      <c r="KO17" s="47"/>
      <c r="KP17" s="47"/>
      <c r="KQ17" s="47"/>
      <c r="KR17" s="47"/>
      <c r="KS17" s="47"/>
      <c r="KT17" s="47">
        <v>158</v>
      </c>
      <c r="KU17" s="47"/>
      <c r="KV17" s="47"/>
      <c r="KW17" s="47"/>
      <c r="KX17" s="47"/>
      <c r="KY17" s="47"/>
      <c r="KZ17" s="47"/>
      <c r="LA17" s="47"/>
      <c r="LB17" s="47"/>
      <c r="LC17" s="47"/>
      <c r="LD17" s="47"/>
      <c r="LE17" s="47"/>
      <c r="LF17" s="47"/>
      <c r="LG17" s="47"/>
      <c r="LH17" s="47"/>
      <c r="LI17" s="47"/>
      <c r="LJ17" s="47"/>
      <c r="LK17" s="47"/>
      <c r="LL17" s="47"/>
      <c r="LM17" s="47"/>
      <c r="LN17" s="47"/>
      <c r="LO17" s="47"/>
      <c r="LP17" s="47"/>
      <c r="LQ17" s="47"/>
      <c r="LR17" s="47"/>
      <c r="LS17" s="47"/>
      <c r="LT17" s="47"/>
      <c r="LU17" s="47"/>
      <c r="LV17" s="47"/>
      <c r="LW17" s="47"/>
      <c r="LX17" s="47"/>
      <c r="LY17" s="47"/>
      <c r="LZ17" s="47"/>
      <c r="MA17" s="47"/>
      <c r="MB17" s="47"/>
      <c r="MC17" s="47"/>
      <c r="MD17" s="47"/>
      <c r="ME17" s="47"/>
      <c r="MF17" s="47"/>
      <c r="MG17" s="47"/>
      <c r="MH17" s="47"/>
      <c r="MI17" s="47"/>
      <c r="MJ17" s="47"/>
      <c r="MK17" s="47"/>
      <c r="ML17" s="47"/>
      <c r="MM17" s="47"/>
      <c r="MN17" s="47"/>
      <c r="MO17" s="47"/>
      <c r="MP17" s="47"/>
      <c r="MQ17" s="47"/>
      <c r="MR17" s="47"/>
      <c r="MS17" s="47"/>
      <c r="MT17" s="47"/>
      <c r="MU17" s="47"/>
      <c r="MV17" s="47"/>
      <c r="MW17" s="47"/>
      <c r="MX17" s="47"/>
      <c r="MY17" s="47"/>
      <c r="MZ17" s="47"/>
      <c r="NA17" s="47"/>
      <c r="NB17" s="47"/>
      <c r="NC17" s="47"/>
      <c r="ND17" s="47"/>
      <c r="NE17" s="47"/>
      <c r="NF17" s="47"/>
      <c r="NG17" s="47"/>
      <c r="NH17" s="47"/>
      <c r="NI17" s="47"/>
      <c r="NJ17" s="44"/>
      <c r="NK17" s="44"/>
      <c r="NL17" s="44"/>
      <c r="NM17" s="44"/>
      <c r="NN17" s="44"/>
      <c r="NO17" s="47"/>
      <c r="NP17" s="47"/>
      <c r="NQ17" s="47"/>
      <c r="NR17" s="47"/>
      <c r="NS17" s="47"/>
      <c r="NT17" s="47"/>
      <c r="NU17" s="47"/>
      <c r="NV17" s="47"/>
      <c r="NW17" s="47"/>
      <c r="NX17" s="47"/>
      <c r="NY17" s="47"/>
      <c r="NZ17" s="47"/>
      <c r="OA17" s="47"/>
      <c r="OB17" s="47"/>
      <c r="OC17" s="47"/>
      <c r="OD17" s="47"/>
      <c r="OE17" s="47"/>
      <c r="OF17" s="47"/>
      <c r="OG17" s="47"/>
      <c r="OH17" s="47"/>
      <c r="OI17" s="47"/>
      <c r="OJ17" s="47"/>
      <c r="OK17" s="47"/>
      <c r="OL17" s="47"/>
      <c r="OM17" s="47"/>
      <c r="ON17" s="47"/>
      <c r="OO17" s="47"/>
      <c r="OP17" s="47"/>
      <c r="OQ17" s="47"/>
      <c r="OR17" s="47"/>
      <c r="OS17" s="47"/>
      <c r="OT17" s="47"/>
      <c r="OU17" s="47"/>
      <c r="OV17" s="47"/>
      <c r="OW17" s="47"/>
      <c r="OX17" s="47"/>
      <c r="OY17" s="47"/>
      <c r="OZ17" s="47"/>
      <c r="PA17" s="47"/>
      <c r="PB17" s="47"/>
      <c r="PC17" s="47"/>
      <c r="PD17" s="47"/>
      <c r="PE17" s="47"/>
      <c r="PF17" s="47"/>
      <c r="PG17" s="47"/>
      <c r="PH17" s="47"/>
      <c r="PI17" s="47"/>
      <c r="PJ17" s="47"/>
      <c r="PK17" s="47"/>
      <c r="PL17" s="47"/>
      <c r="PM17" s="47"/>
      <c r="PN17" s="47"/>
      <c r="PO17" s="47"/>
      <c r="PP17" s="47"/>
      <c r="PQ17" s="47"/>
      <c r="PR17" s="47"/>
      <c r="PS17" s="47"/>
      <c r="PT17" s="47"/>
      <c r="PU17" s="47"/>
      <c r="PV17" s="47"/>
      <c r="PW17" s="47"/>
      <c r="PX17" s="47"/>
      <c r="PY17" s="47"/>
      <c r="PZ17" s="47"/>
      <c r="QA17" s="47"/>
      <c r="QB17" s="47"/>
      <c r="QC17" s="47"/>
      <c r="QD17" s="47"/>
      <c r="QE17" s="47"/>
      <c r="QF17" s="47"/>
      <c r="QG17" s="47"/>
      <c r="QH17" s="47"/>
      <c r="QI17" s="47"/>
      <c r="QJ17" s="47"/>
      <c r="QK17" s="47"/>
      <c r="QL17" s="47"/>
      <c r="QM17" s="47"/>
      <c r="QN17" s="47"/>
      <c r="QO17" s="47"/>
      <c r="QP17" s="47"/>
      <c r="QQ17" s="47"/>
      <c r="QR17" s="47"/>
      <c r="QS17" s="47"/>
      <c r="QT17" s="47"/>
      <c r="QU17" s="47"/>
      <c r="QV17" s="47"/>
      <c r="QW17" s="47"/>
      <c r="QX17" s="47"/>
      <c r="QY17" s="47"/>
      <c r="QZ17" s="47"/>
      <c r="RA17" s="47"/>
      <c r="RB17" s="47"/>
      <c r="RC17" s="47"/>
      <c r="RD17" s="47"/>
      <c r="RE17" s="47"/>
      <c r="RF17" s="47"/>
      <c r="RG17" s="47"/>
      <c r="RH17" s="47"/>
      <c r="RI17" s="47"/>
      <c r="RJ17" s="47"/>
      <c r="RK17" s="47"/>
      <c r="RL17" s="47"/>
      <c r="RM17" s="47"/>
      <c r="RN17" s="47"/>
      <c r="RO17" s="47"/>
      <c r="RP17" s="47"/>
      <c r="RQ17" s="47"/>
      <c r="RR17" s="47"/>
      <c r="RS17" s="47"/>
      <c r="RT17" s="47"/>
      <c r="RU17" s="47"/>
      <c r="RV17" s="47"/>
      <c r="RW17" s="47"/>
      <c r="RX17" s="47"/>
      <c r="RY17" s="47"/>
      <c r="RZ17" s="47"/>
      <c r="SA17" s="47"/>
      <c r="SB17" s="47"/>
      <c r="SC17" s="47"/>
      <c r="SD17" s="47"/>
      <c r="SE17" s="47"/>
      <c r="SF17" s="47"/>
      <c r="SG17" s="47"/>
      <c r="SH17" s="47"/>
      <c r="SI17" s="47"/>
      <c r="SJ17" s="47"/>
      <c r="SK17" s="47"/>
      <c r="SL17" s="47"/>
      <c r="SM17" s="47"/>
      <c r="SN17" s="47"/>
      <c r="SO17" s="47"/>
      <c r="SP17" s="47"/>
      <c r="SQ17" s="47"/>
      <c r="SR17" s="47"/>
      <c r="SS17" s="47"/>
      <c r="ST17" s="47"/>
      <c r="SU17" s="47"/>
      <c r="SV17" s="47"/>
      <c r="SW17" s="47"/>
      <c r="SX17" s="47"/>
      <c r="SY17" s="47"/>
      <c r="SZ17" s="47"/>
      <c r="TA17" s="47"/>
      <c r="TB17" s="47"/>
      <c r="TC17" s="47"/>
      <c r="TD17" s="47"/>
      <c r="TE17" s="47"/>
      <c r="TF17" s="47"/>
      <c r="TG17" s="47"/>
      <c r="TH17" s="47"/>
      <c r="TI17" s="47"/>
      <c r="TJ17" s="47"/>
      <c r="TK17" s="47"/>
      <c r="TL17" s="47"/>
      <c r="TM17" s="47"/>
      <c r="TN17" s="47"/>
      <c r="TO17" s="47"/>
      <c r="TP17" s="47"/>
      <c r="TQ17" s="47"/>
      <c r="TR17" s="47"/>
      <c r="TS17" s="47"/>
      <c r="TT17" s="47"/>
      <c r="TU17" s="47"/>
      <c r="TV17" s="47"/>
      <c r="TW17" s="47"/>
      <c r="TX17" s="47"/>
      <c r="TY17" s="47"/>
      <c r="TZ17" s="47"/>
      <c r="UA17" s="47"/>
      <c r="UB17" s="47"/>
      <c r="UC17" s="47"/>
      <c r="UD17" s="47"/>
      <c r="UE17" s="47"/>
      <c r="UF17" s="47"/>
      <c r="UG17" s="47"/>
      <c r="UH17" s="47"/>
      <c r="UI17" s="47"/>
      <c r="UJ17" s="47"/>
      <c r="UK17" s="47"/>
      <c r="UL17" s="47"/>
      <c r="UM17" s="47"/>
      <c r="UN17" s="47"/>
      <c r="UO17" s="47"/>
      <c r="UP17" s="47"/>
      <c r="UQ17" s="47"/>
      <c r="UR17" s="47"/>
      <c r="US17" s="47"/>
      <c r="UT17" s="47"/>
      <c r="UU17" s="47"/>
      <c r="UV17" s="47"/>
      <c r="UW17" s="47"/>
      <c r="UX17" s="47"/>
      <c r="UY17" s="47"/>
      <c r="UZ17" s="47"/>
      <c r="VA17" s="47"/>
      <c r="VB17" s="47"/>
      <c r="VC17" s="47"/>
      <c r="VD17" s="47"/>
      <c r="VE17" s="47"/>
      <c r="VF17" s="47"/>
      <c r="VG17" s="47"/>
      <c r="VH17" s="47"/>
      <c r="VI17" s="47"/>
      <c r="VJ17" s="47"/>
      <c r="VK17" s="47"/>
      <c r="VL17" s="47"/>
      <c r="VM17" s="47"/>
      <c r="VN17" s="47"/>
      <c r="VO17" s="47"/>
      <c r="VP17" s="47"/>
      <c r="VQ17" s="47"/>
      <c r="VR17" s="47"/>
      <c r="VS17" s="47"/>
      <c r="VT17" s="47"/>
      <c r="VU17" s="47"/>
      <c r="VV17" s="47"/>
      <c r="VW17" s="47"/>
      <c r="VX17" s="47"/>
      <c r="VY17" s="47"/>
      <c r="VZ17" s="47"/>
      <c r="WA17" s="47"/>
      <c r="WB17" s="47"/>
      <c r="WC17" s="47"/>
      <c r="WD17" s="47"/>
      <c r="WE17" s="47"/>
      <c r="WF17" s="47"/>
      <c r="WG17" s="47"/>
      <c r="WH17" s="47"/>
      <c r="WI17" s="47"/>
      <c r="WJ17" s="47"/>
      <c r="WK17" s="47"/>
      <c r="WL17" s="47"/>
      <c r="WM17" s="47"/>
      <c r="WN17" s="47"/>
      <c r="WO17" s="47"/>
      <c r="WP17" s="47"/>
      <c r="WQ17" s="47"/>
      <c r="WR17" s="47"/>
      <c r="WS17" s="47"/>
      <c r="WT17" s="47"/>
      <c r="WU17" s="47"/>
      <c r="WV17" s="47"/>
      <c r="WW17" s="47"/>
      <c r="WX17" s="47"/>
      <c r="WY17" s="47"/>
      <c r="WZ17" s="47"/>
      <c r="XA17" s="47"/>
      <c r="XB17" s="47"/>
      <c r="XC17" s="47"/>
      <c r="XD17" s="47"/>
      <c r="XE17" s="47"/>
      <c r="XF17" s="47"/>
      <c r="XG17" s="47"/>
      <c r="XH17" s="47"/>
      <c r="XI17" s="47"/>
      <c r="XJ17" s="47"/>
      <c r="XK17" s="47"/>
      <c r="XL17" s="47"/>
      <c r="XM17" s="47"/>
      <c r="XN17" s="47"/>
      <c r="XO17" s="47"/>
      <c r="XP17" s="47"/>
      <c r="XQ17" s="47"/>
      <c r="XR17" s="47"/>
      <c r="XS17" s="47"/>
      <c r="XT17" s="47"/>
      <c r="XU17" s="47"/>
      <c r="XV17" s="47"/>
      <c r="XW17" s="47"/>
      <c r="XX17" s="47"/>
      <c r="XY17" s="47"/>
      <c r="XZ17" s="47"/>
      <c r="YA17" s="44"/>
      <c r="YB17" s="44"/>
      <c r="YC17" s="44"/>
      <c r="YD17" s="44"/>
      <c r="YE17" s="44"/>
      <c r="YF17" s="47"/>
      <c r="YG17" s="47"/>
      <c r="YH17" s="47"/>
      <c r="YI17" s="47"/>
      <c r="YJ17" s="47"/>
      <c r="YK17" s="47"/>
      <c r="YL17" s="47"/>
      <c r="YM17" s="47"/>
      <c r="YN17" s="47"/>
      <c r="YO17" s="47"/>
      <c r="YP17" s="47"/>
      <c r="YQ17" s="47"/>
      <c r="YR17" s="47"/>
      <c r="YS17" s="47"/>
      <c r="YT17" s="47"/>
      <c r="YU17" s="47"/>
      <c r="YV17" s="47"/>
      <c r="YW17" s="47"/>
      <c r="YX17" s="47"/>
      <c r="YY17" s="47"/>
      <c r="YZ17" s="47"/>
      <c r="ZA17" s="47"/>
      <c r="ZB17" s="47"/>
      <c r="ZC17" s="47"/>
      <c r="ZD17" s="47"/>
      <c r="ZE17" s="47"/>
      <c r="ZF17" s="47"/>
      <c r="ZG17" s="47"/>
      <c r="ZH17" s="47"/>
      <c r="ZI17" s="47"/>
      <c r="ZJ17" s="47"/>
      <c r="ZK17" s="47"/>
      <c r="ZL17" s="47"/>
      <c r="ZM17" s="47"/>
      <c r="ZN17" s="47"/>
      <c r="ZO17" s="47"/>
      <c r="ZP17" s="47"/>
      <c r="ZQ17" s="47"/>
      <c r="ZR17" s="47"/>
      <c r="ZS17" s="47"/>
      <c r="ZT17" s="47"/>
      <c r="ZU17" s="47"/>
      <c r="ZV17" s="47"/>
      <c r="ZW17" s="44"/>
      <c r="ZX17" s="44"/>
      <c r="ZY17" s="44"/>
      <c r="ZZ17" s="44"/>
      <c r="AAA17" s="44"/>
      <c r="AAB17" s="44"/>
      <c r="AAC17" s="44"/>
      <c r="AAD17" s="44"/>
      <c r="AAE17" s="44"/>
      <c r="AAF17" s="44"/>
      <c r="AAG17" s="47"/>
      <c r="AAH17" s="47"/>
      <c r="AAI17" s="47"/>
      <c r="AAJ17" s="47"/>
      <c r="AAK17" s="47"/>
      <c r="AAL17" s="47"/>
      <c r="AAM17" s="47"/>
      <c r="AAN17" s="47"/>
      <c r="AAO17" s="47"/>
      <c r="AAP17" s="47"/>
      <c r="AAQ17" s="47"/>
      <c r="AAR17" s="47"/>
      <c r="AAS17" s="47"/>
      <c r="AAT17" s="47"/>
      <c r="AAU17" s="47"/>
      <c r="AAV17" s="47"/>
      <c r="AAW17" s="47"/>
      <c r="AAX17" s="47"/>
      <c r="AAY17" s="47"/>
      <c r="AAZ17" s="47"/>
      <c r="ABA17" s="47"/>
      <c r="ABB17" s="47"/>
      <c r="ABC17" s="47"/>
      <c r="ABD17" s="47"/>
      <c r="ABE17" s="47"/>
      <c r="ABF17" s="47"/>
      <c r="ABG17" s="47"/>
      <c r="ABH17" s="47"/>
      <c r="ABI17" s="47"/>
      <c r="ABJ17" s="47"/>
      <c r="ABK17" s="47"/>
      <c r="ABL17" s="47"/>
      <c r="ABM17" s="47"/>
      <c r="ABN17" s="47"/>
      <c r="ABO17" s="47"/>
      <c r="ABP17" s="47"/>
      <c r="ABQ17" s="47"/>
      <c r="ABR17" s="47"/>
      <c r="ABS17" s="47"/>
      <c r="ABT17" s="47"/>
      <c r="ABU17" s="47"/>
      <c r="ABV17" s="47"/>
      <c r="ABW17" s="47"/>
      <c r="ABX17" s="47"/>
      <c r="ABY17" s="47"/>
      <c r="ABZ17" s="47"/>
      <c r="ACA17" s="47"/>
      <c r="ACB17" s="47"/>
      <c r="ACC17" s="47"/>
      <c r="ACD17" s="47"/>
      <c r="ACE17" s="47"/>
      <c r="ACF17" s="47"/>
      <c r="ACG17" s="47"/>
      <c r="ACH17" s="48"/>
    </row>
    <row r="18" spans="1:762" x14ac:dyDescent="0.25">
      <c r="A18" s="42" t="s">
        <v>42</v>
      </c>
      <c r="B18" s="43"/>
      <c r="C18" s="43"/>
      <c r="D18" s="43"/>
      <c r="E18" s="43"/>
      <c r="F18" s="43" t="s">
        <v>2485</v>
      </c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43"/>
      <c r="CZ18" s="43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3"/>
      <c r="DL18" s="43"/>
      <c r="DM18" s="43"/>
      <c r="DN18" s="43"/>
      <c r="DO18" s="43"/>
      <c r="DP18" s="43"/>
      <c r="DQ18" s="43"/>
      <c r="DR18" s="43"/>
      <c r="DS18" s="43"/>
      <c r="DT18" s="43"/>
      <c r="DU18" s="43"/>
      <c r="DV18" s="43"/>
      <c r="DW18" s="43"/>
      <c r="DX18" s="43"/>
      <c r="DY18" s="43"/>
      <c r="DZ18" s="43"/>
      <c r="EA18" s="43"/>
      <c r="EB18" s="43"/>
      <c r="EC18" s="43"/>
      <c r="ED18" s="43"/>
      <c r="EE18" s="43"/>
      <c r="EF18" s="43"/>
      <c r="EG18" s="43"/>
      <c r="EH18" s="43"/>
      <c r="EI18" s="43"/>
      <c r="EJ18" s="43"/>
      <c r="EK18" s="43"/>
      <c r="EL18" s="43"/>
      <c r="EM18" s="43"/>
      <c r="EN18" s="43"/>
      <c r="EO18" s="43"/>
      <c r="EP18" s="43"/>
      <c r="EQ18" s="43"/>
      <c r="ER18" s="43"/>
      <c r="ES18" s="43"/>
      <c r="ET18" s="43"/>
      <c r="EU18" s="43"/>
      <c r="EV18" s="43"/>
      <c r="EW18" s="43"/>
      <c r="EX18" s="43"/>
      <c r="EY18" s="43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  <c r="IU18" s="43"/>
      <c r="IV18" s="43"/>
      <c r="IW18" s="43"/>
      <c r="IX18" s="43"/>
      <c r="IY18" s="43"/>
      <c r="IZ18" s="43"/>
      <c r="JA18" s="43"/>
      <c r="JB18" s="43"/>
      <c r="JC18" s="43"/>
      <c r="JD18" s="43"/>
      <c r="JE18" s="43"/>
      <c r="JF18" s="43"/>
      <c r="JG18" s="43"/>
      <c r="JH18" s="43"/>
      <c r="JI18" s="43"/>
      <c r="JJ18" s="43"/>
      <c r="JK18" s="43"/>
      <c r="JL18" s="43"/>
      <c r="JM18" s="43"/>
      <c r="JN18" s="43"/>
      <c r="JO18" s="43"/>
      <c r="JP18" s="43"/>
      <c r="JQ18" s="43"/>
      <c r="JR18" s="43"/>
      <c r="JS18" s="43"/>
      <c r="JT18" s="43"/>
      <c r="JU18" s="43"/>
      <c r="JV18" s="43"/>
      <c r="JW18" s="43"/>
      <c r="JX18" s="43"/>
      <c r="JY18" s="43"/>
      <c r="JZ18" s="43"/>
      <c r="KA18" s="43"/>
      <c r="KB18" s="43"/>
      <c r="KC18" s="43"/>
      <c r="KD18" s="43"/>
      <c r="KE18" s="43"/>
      <c r="KF18" s="43"/>
      <c r="KG18" s="43"/>
      <c r="KH18" s="43"/>
      <c r="KI18" s="43"/>
      <c r="KJ18" s="43"/>
      <c r="KK18" s="43"/>
      <c r="KL18" s="43"/>
      <c r="KM18" s="43"/>
      <c r="KN18" s="43"/>
      <c r="KO18" s="43"/>
      <c r="KP18" s="43"/>
      <c r="KQ18" s="43"/>
      <c r="KR18" s="43"/>
      <c r="KS18" s="43"/>
      <c r="KT18" s="43"/>
      <c r="KU18" s="43"/>
      <c r="KV18" s="43"/>
      <c r="KW18" s="43"/>
      <c r="KX18" s="43"/>
      <c r="KY18" s="43"/>
      <c r="KZ18" s="43"/>
      <c r="LA18" s="43"/>
      <c r="LB18" s="43"/>
      <c r="LC18" s="43"/>
      <c r="LD18" s="43"/>
      <c r="LE18" s="43"/>
      <c r="LF18" s="43"/>
      <c r="LG18" s="43"/>
      <c r="LH18" s="43"/>
      <c r="LI18" s="43"/>
      <c r="LJ18" s="43"/>
      <c r="LK18" s="43"/>
      <c r="LL18" s="43"/>
      <c r="LM18" s="43"/>
      <c r="LN18" s="43"/>
      <c r="LO18" s="43"/>
      <c r="LP18" s="43"/>
      <c r="LQ18" s="43"/>
      <c r="LR18" s="43"/>
      <c r="LS18" s="43"/>
      <c r="LT18" s="43"/>
      <c r="LU18" s="43"/>
      <c r="LV18" s="43"/>
      <c r="LW18" s="43"/>
      <c r="LX18" s="43"/>
      <c r="LY18" s="43"/>
      <c r="LZ18" s="43"/>
      <c r="MA18" s="43"/>
      <c r="MB18" s="43"/>
      <c r="MC18" s="43"/>
      <c r="MD18" s="43"/>
      <c r="ME18" s="43"/>
      <c r="MF18" s="43"/>
      <c r="MG18" s="43"/>
      <c r="MH18" s="43"/>
      <c r="MI18" s="43"/>
      <c r="MJ18" s="43"/>
      <c r="MK18" s="43"/>
      <c r="ML18" s="43"/>
      <c r="MM18" s="43"/>
      <c r="MN18" s="43"/>
      <c r="MO18" s="43"/>
      <c r="MP18" s="43"/>
      <c r="MQ18" s="43"/>
      <c r="MR18" s="43"/>
      <c r="MS18" s="43"/>
      <c r="MT18" s="43"/>
      <c r="MU18" s="43"/>
      <c r="MV18" s="43"/>
      <c r="MW18" s="43"/>
      <c r="MX18" s="43"/>
      <c r="MY18" s="43"/>
      <c r="MZ18" s="43"/>
      <c r="NA18" s="43"/>
      <c r="NB18" s="43"/>
      <c r="NC18" s="43"/>
      <c r="ND18" s="43"/>
      <c r="NE18" s="43"/>
      <c r="NF18" s="43"/>
      <c r="NG18" s="43"/>
      <c r="NH18" s="43"/>
      <c r="NI18" s="43"/>
      <c r="NJ18" s="44"/>
      <c r="NK18" s="44"/>
      <c r="NL18" s="44"/>
      <c r="NM18" s="44"/>
      <c r="NN18" s="44"/>
      <c r="NO18" s="43"/>
      <c r="NP18" s="43"/>
      <c r="NQ18" s="43"/>
      <c r="NR18" s="43"/>
      <c r="NS18" s="43"/>
      <c r="NT18" s="43"/>
      <c r="NU18" s="43"/>
      <c r="NV18" s="43"/>
      <c r="NW18" s="43"/>
      <c r="NX18" s="43"/>
      <c r="NY18" s="43"/>
      <c r="NZ18" s="43"/>
      <c r="OA18" s="43"/>
      <c r="OB18" s="43"/>
      <c r="OC18" s="43"/>
      <c r="OD18" s="43"/>
      <c r="OE18" s="43"/>
      <c r="OF18" s="43"/>
      <c r="OG18" s="43"/>
      <c r="OH18" s="43"/>
      <c r="OI18" s="43"/>
      <c r="OJ18" s="43"/>
      <c r="OK18" s="43"/>
      <c r="OL18" s="43"/>
      <c r="OM18" s="43"/>
      <c r="ON18" s="43"/>
      <c r="OO18" s="43"/>
      <c r="OP18" s="43"/>
      <c r="OQ18" s="43"/>
      <c r="OR18" s="43"/>
      <c r="OS18" s="43"/>
      <c r="OT18" s="43"/>
      <c r="OU18" s="43"/>
      <c r="OV18" s="43"/>
      <c r="OW18" s="43"/>
      <c r="OX18" s="43"/>
      <c r="OY18" s="43"/>
      <c r="OZ18" s="43"/>
      <c r="PA18" s="43"/>
      <c r="PB18" s="43"/>
      <c r="PC18" s="43"/>
      <c r="PD18" s="43"/>
      <c r="PE18" s="43"/>
      <c r="PF18" s="43"/>
      <c r="PG18" s="43"/>
      <c r="PH18" s="43"/>
      <c r="PI18" s="43"/>
      <c r="PJ18" s="43"/>
      <c r="PK18" s="43"/>
      <c r="PL18" s="43"/>
      <c r="PM18" s="43"/>
      <c r="PN18" s="43"/>
      <c r="PO18" s="43"/>
      <c r="PP18" s="43"/>
      <c r="PQ18" s="43"/>
      <c r="PR18" s="43"/>
      <c r="PS18" s="43"/>
      <c r="PT18" s="43"/>
      <c r="PU18" s="43"/>
      <c r="PV18" s="43"/>
      <c r="PW18" s="43"/>
      <c r="PX18" s="43"/>
      <c r="PY18" s="43"/>
      <c r="PZ18" s="43"/>
      <c r="QA18" s="43"/>
      <c r="QB18" s="43"/>
      <c r="QC18" s="43"/>
      <c r="QD18" s="43"/>
      <c r="QE18" s="43"/>
      <c r="QF18" s="43"/>
      <c r="QG18" s="43"/>
      <c r="QH18" s="43"/>
      <c r="QI18" s="43"/>
      <c r="QJ18" s="43"/>
      <c r="QK18" s="43"/>
      <c r="QL18" s="43"/>
      <c r="QM18" s="43"/>
      <c r="QN18" s="43"/>
      <c r="QO18" s="43"/>
      <c r="QP18" s="43"/>
      <c r="QQ18" s="43"/>
      <c r="QR18" s="43"/>
      <c r="QS18" s="43"/>
      <c r="QT18" s="43"/>
      <c r="QU18" s="43"/>
      <c r="QV18" s="43"/>
      <c r="QW18" s="43"/>
      <c r="QX18" s="43"/>
      <c r="QY18" s="43"/>
      <c r="QZ18" s="43"/>
      <c r="RA18" s="43"/>
      <c r="RB18" s="43"/>
      <c r="RC18" s="43"/>
      <c r="RD18" s="43"/>
      <c r="RE18" s="43"/>
      <c r="RF18" s="43"/>
      <c r="RG18" s="43"/>
      <c r="RH18" s="43"/>
      <c r="RI18" s="43"/>
      <c r="RJ18" s="43"/>
      <c r="RK18" s="43"/>
      <c r="RL18" s="43"/>
      <c r="RM18" s="43"/>
      <c r="RN18" s="43"/>
      <c r="RO18" s="43"/>
      <c r="RP18" s="43"/>
      <c r="RQ18" s="43"/>
      <c r="RR18" s="43"/>
      <c r="RS18" s="43"/>
      <c r="RT18" s="43"/>
      <c r="RU18" s="43"/>
      <c r="RV18" s="43"/>
      <c r="RW18" s="43"/>
      <c r="RX18" s="43"/>
      <c r="RY18" s="43"/>
      <c r="RZ18" s="43"/>
      <c r="SA18" s="43"/>
      <c r="SB18" s="43"/>
      <c r="SC18" s="43"/>
      <c r="SD18" s="43"/>
      <c r="SE18" s="43"/>
      <c r="SF18" s="43"/>
      <c r="SG18" s="43"/>
      <c r="SH18" s="43"/>
      <c r="SI18" s="43"/>
      <c r="SJ18" s="43"/>
      <c r="SK18" s="43"/>
      <c r="SL18" s="43"/>
      <c r="SM18" s="43"/>
      <c r="SN18" s="43"/>
      <c r="SO18" s="43"/>
      <c r="SP18" s="43"/>
      <c r="SQ18" s="43"/>
      <c r="SR18" s="43"/>
      <c r="SS18" s="43"/>
      <c r="ST18" s="43"/>
      <c r="SU18" s="43"/>
      <c r="SV18" s="43"/>
      <c r="SW18" s="43"/>
      <c r="SX18" s="43"/>
      <c r="SY18" s="43"/>
      <c r="SZ18" s="43"/>
      <c r="TA18" s="43"/>
      <c r="TB18" s="43"/>
      <c r="TC18" s="43"/>
      <c r="TD18" s="43"/>
      <c r="TE18" s="43"/>
      <c r="TF18" s="43"/>
      <c r="TG18" s="43"/>
      <c r="TH18" s="43"/>
      <c r="TI18" s="43"/>
      <c r="TJ18" s="43"/>
      <c r="TK18" s="43"/>
      <c r="TL18" s="43"/>
      <c r="TM18" s="43"/>
      <c r="TN18" s="43"/>
      <c r="TO18" s="43"/>
      <c r="TP18" s="43"/>
      <c r="TQ18" s="43"/>
      <c r="TR18" s="43"/>
      <c r="TS18" s="43"/>
      <c r="TT18" s="43"/>
      <c r="TU18" s="43"/>
      <c r="TV18" s="43"/>
      <c r="TW18" s="43"/>
      <c r="TX18" s="43"/>
      <c r="TY18" s="43"/>
      <c r="TZ18" s="43"/>
      <c r="UA18" s="43"/>
      <c r="UB18" s="43"/>
      <c r="UC18" s="43"/>
      <c r="UD18" s="43"/>
      <c r="UE18" s="43"/>
      <c r="UF18" s="43"/>
      <c r="UG18" s="43"/>
      <c r="UH18" s="43"/>
      <c r="UI18" s="43"/>
      <c r="UJ18" s="43"/>
      <c r="UK18" s="43"/>
      <c r="UL18" s="43"/>
      <c r="UM18" s="43"/>
      <c r="UN18" s="43"/>
      <c r="UO18" s="43"/>
      <c r="UP18" s="43"/>
      <c r="UQ18" s="43"/>
      <c r="UR18" s="43"/>
      <c r="US18" s="43"/>
      <c r="UT18" s="43"/>
      <c r="UU18" s="43"/>
      <c r="UV18" s="43"/>
      <c r="UW18" s="43"/>
      <c r="UX18" s="43"/>
      <c r="UY18" s="43"/>
      <c r="UZ18" s="43"/>
      <c r="VA18" s="43"/>
      <c r="VB18" s="43"/>
      <c r="VC18" s="43"/>
      <c r="VD18" s="43"/>
      <c r="VE18" s="43"/>
      <c r="VF18" s="43"/>
      <c r="VG18" s="43"/>
      <c r="VH18" s="43"/>
      <c r="VI18" s="43"/>
      <c r="VJ18" s="43"/>
      <c r="VK18" s="43"/>
      <c r="VL18" s="43"/>
      <c r="VM18" s="43"/>
      <c r="VN18" s="43"/>
      <c r="VO18" s="43"/>
      <c r="VP18" s="43"/>
      <c r="VQ18" s="43"/>
      <c r="VR18" s="43"/>
      <c r="VS18" s="43"/>
      <c r="VT18" s="43"/>
      <c r="VU18" s="43"/>
      <c r="VV18" s="43"/>
      <c r="VW18" s="43"/>
      <c r="VX18" s="43"/>
      <c r="VY18" s="43"/>
      <c r="VZ18" s="43"/>
      <c r="WA18" s="43"/>
      <c r="WB18" s="43"/>
      <c r="WC18" s="43"/>
      <c r="WD18" s="43"/>
      <c r="WE18" s="43"/>
      <c r="WF18" s="43"/>
      <c r="WG18" s="43"/>
      <c r="WH18" s="43"/>
      <c r="WI18" s="43"/>
      <c r="WJ18" s="43"/>
      <c r="WK18" s="43"/>
      <c r="WL18" s="43"/>
      <c r="WM18" s="43"/>
      <c r="WN18" s="43"/>
      <c r="WO18" s="43"/>
      <c r="WP18" s="43"/>
      <c r="WQ18" s="43"/>
      <c r="WR18" s="43"/>
      <c r="WS18" s="43"/>
      <c r="WT18" s="43"/>
      <c r="WU18" s="43"/>
      <c r="WV18" s="43"/>
      <c r="WW18" s="43"/>
      <c r="WX18" s="43"/>
      <c r="WY18" s="43"/>
      <c r="WZ18" s="43"/>
      <c r="XA18" s="43"/>
      <c r="XB18" s="43"/>
      <c r="XC18" s="43"/>
      <c r="XD18" s="43"/>
      <c r="XE18" s="43"/>
      <c r="XF18" s="43"/>
      <c r="XG18" s="43"/>
      <c r="XH18" s="43"/>
      <c r="XI18" s="43"/>
      <c r="XJ18" s="43"/>
      <c r="XK18" s="43"/>
      <c r="XL18" s="43"/>
      <c r="XM18" s="43"/>
      <c r="XN18" s="43"/>
      <c r="XO18" s="43"/>
      <c r="XP18" s="43"/>
      <c r="XQ18" s="43"/>
      <c r="XR18" s="43"/>
      <c r="XS18" s="43"/>
      <c r="XT18" s="43"/>
      <c r="XU18" s="43"/>
      <c r="XV18" s="43"/>
      <c r="XW18" s="43"/>
      <c r="XX18" s="43"/>
      <c r="XY18" s="43"/>
      <c r="XZ18" s="43"/>
      <c r="YA18" s="44"/>
      <c r="YB18" s="44"/>
      <c r="YC18" s="44"/>
      <c r="YD18" s="44"/>
      <c r="YE18" s="44"/>
      <c r="YF18" s="43"/>
      <c r="YG18" s="43"/>
      <c r="YH18" s="43"/>
      <c r="YI18" s="43"/>
      <c r="YJ18" s="43"/>
      <c r="YK18" s="43"/>
      <c r="YL18" s="43"/>
      <c r="YM18" s="43"/>
      <c r="YN18" s="43"/>
      <c r="YO18" s="43"/>
      <c r="YP18" s="43"/>
      <c r="YQ18" s="43"/>
      <c r="YR18" s="43"/>
      <c r="YS18" s="43"/>
      <c r="YT18" s="43"/>
      <c r="YU18" s="43"/>
      <c r="YV18" s="43"/>
      <c r="YW18" s="43"/>
      <c r="YX18" s="43"/>
      <c r="YY18" s="43"/>
      <c r="YZ18" s="43"/>
      <c r="ZA18" s="43"/>
      <c r="ZB18" s="43"/>
      <c r="ZC18" s="43"/>
      <c r="ZD18" s="43"/>
      <c r="ZE18" s="43"/>
      <c r="ZF18" s="43"/>
      <c r="ZG18" s="43"/>
      <c r="ZH18" s="43"/>
      <c r="ZI18" s="43"/>
      <c r="ZJ18" s="43"/>
      <c r="ZK18" s="43"/>
      <c r="ZL18" s="43"/>
      <c r="ZM18" s="43"/>
      <c r="ZN18" s="43"/>
      <c r="ZO18" s="43"/>
      <c r="ZP18" s="43"/>
      <c r="ZQ18" s="43"/>
      <c r="ZR18" s="43"/>
      <c r="ZS18" s="43"/>
      <c r="ZT18" s="43"/>
      <c r="ZU18" s="43"/>
      <c r="ZV18" s="43"/>
      <c r="ZW18" s="44"/>
      <c r="ZX18" s="44"/>
      <c r="ZY18" s="44"/>
      <c r="ZZ18" s="44"/>
      <c r="AAA18" s="44"/>
      <c r="AAB18" s="44"/>
      <c r="AAC18" s="44"/>
      <c r="AAD18" s="44"/>
      <c r="AAE18" s="44"/>
      <c r="AAF18" s="44"/>
      <c r="AAG18" s="43"/>
      <c r="AAH18" s="43"/>
      <c r="AAI18" s="43"/>
      <c r="AAJ18" s="43"/>
      <c r="AAK18" s="43"/>
      <c r="AAL18" s="43"/>
      <c r="AAM18" s="43"/>
      <c r="AAN18" s="43"/>
      <c r="AAO18" s="43"/>
      <c r="AAP18" s="43"/>
      <c r="AAQ18" s="43"/>
      <c r="AAR18" s="43"/>
      <c r="AAS18" s="43"/>
      <c r="AAT18" s="43"/>
      <c r="AAU18" s="43"/>
      <c r="AAV18" s="43"/>
      <c r="AAW18" s="43"/>
      <c r="AAX18" s="43"/>
      <c r="AAY18" s="43"/>
      <c r="AAZ18" s="43"/>
      <c r="ABA18" s="43"/>
      <c r="ABB18" s="43"/>
      <c r="ABC18" s="43"/>
      <c r="ABD18" s="43"/>
      <c r="ABE18" s="43"/>
      <c r="ABF18" s="43"/>
      <c r="ABG18" s="43"/>
      <c r="ABH18" s="43"/>
      <c r="ABI18" s="43"/>
      <c r="ABJ18" s="43"/>
      <c r="ABK18" s="43"/>
      <c r="ABL18" s="43"/>
      <c r="ABM18" s="43"/>
      <c r="ABN18" s="43"/>
      <c r="ABO18" s="43"/>
      <c r="ABP18" s="43"/>
      <c r="ABQ18" s="43"/>
      <c r="ABR18" s="43"/>
      <c r="ABS18" s="43"/>
      <c r="ABT18" s="43"/>
      <c r="ABU18" s="43"/>
      <c r="ABV18" s="43"/>
      <c r="ABW18" s="43"/>
      <c r="ABX18" s="43"/>
      <c r="ABY18" s="43"/>
      <c r="ABZ18" s="43"/>
      <c r="ACA18" s="43"/>
      <c r="ACB18" s="43"/>
      <c r="ACC18" s="43"/>
      <c r="ACD18" s="43"/>
      <c r="ACE18" s="43"/>
      <c r="ACF18" s="43"/>
      <c r="ACG18" s="43"/>
      <c r="ACH18" s="45"/>
    </row>
    <row r="19" spans="1:762" x14ac:dyDescent="0.25">
      <c r="A19" s="46" t="s">
        <v>43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  <c r="BW19" s="47"/>
      <c r="BX19" s="47"/>
      <c r="BY19" s="47"/>
      <c r="BZ19" s="47"/>
      <c r="CA19" s="47"/>
      <c r="CB19" s="47"/>
      <c r="CC19" s="47"/>
      <c r="CD19" s="47"/>
      <c r="CE19" s="47"/>
      <c r="CF19" s="47"/>
      <c r="CG19" s="47"/>
      <c r="CH19" s="47"/>
      <c r="CI19" s="47"/>
      <c r="CJ19" s="47"/>
      <c r="CK19" s="47"/>
      <c r="CL19" s="47"/>
      <c r="CM19" s="47"/>
      <c r="CN19" s="47"/>
      <c r="CO19" s="47"/>
      <c r="CP19" s="47"/>
      <c r="CQ19" s="47"/>
      <c r="CR19" s="47"/>
      <c r="CS19" s="47"/>
      <c r="CT19" s="47"/>
      <c r="CU19" s="47"/>
      <c r="CV19" s="47"/>
      <c r="CW19" s="47"/>
      <c r="CX19" s="47"/>
      <c r="CY19" s="47"/>
      <c r="CZ19" s="47"/>
      <c r="DA19" s="47"/>
      <c r="DB19" s="47"/>
      <c r="DC19" s="47"/>
      <c r="DD19" s="47"/>
      <c r="DE19" s="47"/>
      <c r="DF19" s="47"/>
      <c r="DG19" s="47"/>
      <c r="DH19" s="47"/>
      <c r="DI19" s="47"/>
      <c r="DJ19" s="47"/>
      <c r="DK19" s="47"/>
      <c r="DL19" s="47"/>
      <c r="DM19" s="47"/>
      <c r="DN19" s="47"/>
      <c r="DO19" s="47"/>
      <c r="DP19" s="47"/>
      <c r="DQ19" s="47"/>
      <c r="DR19" s="47"/>
      <c r="DS19" s="47"/>
      <c r="DT19" s="47"/>
      <c r="DU19" s="47"/>
      <c r="DV19" s="47"/>
      <c r="DW19" s="47"/>
      <c r="DX19" s="47"/>
      <c r="DY19" s="47"/>
      <c r="DZ19" s="47"/>
      <c r="EA19" s="47"/>
      <c r="EB19" s="47"/>
      <c r="EC19" s="47"/>
      <c r="ED19" s="47"/>
      <c r="EE19" s="47"/>
      <c r="EF19" s="47"/>
      <c r="EG19" s="47"/>
      <c r="EH19" s="47"/>
      <c r="EI19" s="47"/>
      <c r="EJ19" s="47"/>
      <c r="EK19" s="47"/>
      <c r="EL19" s="47"/>
      <c r="EM19" s="47"/>
      <c r="EN19" s="47"/>
      <c r="EO19" s="47"/>
      <c r="EP19" s="47"/>
      <c r="EQ19" s="47"/>
      <c r="ER19" s="47"/>
      <c r="ES19" s="47"/>
      <c r="ET19" s="47"/>
      <c r="EU19" s="47"/>
      <c r="EV19" s="47"/>
      <c r="EW19" s="47"/>
      <c r="EX19" s="47"/>
      <c r="EY19" s="47"/>
      <c r="EZ19" s="47"/>
      <c r="FA19" s="47"/>
      <c r="FB19" s="47"/>
      <c r="FC19" s="47"/>
      <c r="FD19" s="47"/>
      <c r="FE19" s="47"/>
      <c r="FF19" s="47"/>
      <c r="FG19" s="47"/>
      <c r="FH19" s="47"/>
      <c r="FI19" s="47"/>
      <c r="FJ19" s="47"/>
      <c r="FK19" s="47"/>
      <c r="FL19" s="47"/>
      <c r="FM19" s="47"/>
      <c r="FN19" s="47"/>
      <c r="FO19" s="47"/>
      <c r="FP19" s="47"/>
      <c r="FQ19" s="47"/>
      <c r="FR19" s="47"/>
      <c r="FS19" s="47"/>
      <c r="FT19" s="47"/>
      <c r="FU19" s="47"/>
      <c r="FV19" s="47"/>
      <c r="FW19" s="47"/>
      <c r="FX19" s="47"/>
      <c r="FY19" s="47"/>
      <c r="FZ19" s="47"/>
      <c r="GA19" s="47"/>
      <c r="GB19" s="47"/>
      <c r="GC19" s="47"/>
      <c r="GD19" s="47"/>
      <c r="GE19" s="47"/>
      <c r="GF19" s="47"/>
      <c r="GG19" s="47"/>
      <c r="GH19" s="47"/>
      <c r="GI19" s="47"/>
      <c r="GJ19" s="47"/>
      <c r="GK19" s="47"/>
      <c r="GL19" s="47"/>
      <c r="GM19" s="47"/>
      <c r="GN19" s="47"/>
      <c r="GO19" s="47"/>
      <c r="GP19" s="47"/>
      <c r="GQ19" s="47"/>
      <c r="GR19" s="47"/>
      <c r="GS19" s="47"/>
      <c r="GT19" s="47"/>
      <c r="GU19" s="47"/>
      <c r="GV19" s="47"/>
      <c r="GW19" s="47"/>
      <c r="GX19" s="47"/>
      <c r="GY19" s="47"/>
      <c r="GZ19" s="47"/>
      <c r="HA19" s="47"/>
      <c r="HB19" s="47"/>
      <c r="HC19" s="47"/>
      <c r="HD19" s="47"/>
      <c r="HE19" s="47"/>
      <c r="HF19" s="47"/>
      <c r="HG19" s="47"/>
      <c r="HH19" s="47"/>
      <c r="HI19" s="47"/>
      <c r="HJ19" s="47"/>
      <c r="HK19" s="47"/>
      <c r="HL19" s="47"/>
      <c r="HM19" s="47"/>
      <c r="HN19" s="47"/>
      <c r="HO19" s="47"/>
      <c r="HP19" s="47"/>
      <c r="HQ19" s="47"/>
      <c r="HR19" s="47"/>
      <c r="HS19" s="47"/>
      <c r="HT19" s="47"/>
      <c r="HU19" s="47"/>
      <c r="HV19" s="47"/>
      <c r="HW19" s="47"/>
      <c r="HX19" s="47"/>
      <c r="HY19" s="47"/>
      <c r="HZ19" s="47"/>
      <c r="IA19" s="47"/>
      <c r="IB19" s="47"/>
      <c r="IC19" s="47"/>
      <c r="ID19" s="47"/>
      <c r="IE19" s="47"/>
      <c r="IF19" s="47"/>
      <c r="IG19" s="47"/>
      <c r="IH19" s="47"/>
      <c r="II19" s="47"/>
      <c r="IJ19" s="47"/>
      <c r="IK19" s="47"/>
      <c r="IL19" s="47"/>
      <c r="IM19" s="47"/>
      <c r="IN19" s="47"/>
      <c r="IO19" s="47"/>
      <c r="IP19" s="47"/>
      <c r="IQ19" s="47"/>
      <c r="IR19" s="47"/>
      <c r="IS19" s="47"/>
      <c r="IT19" s="47"/>
      <c r="IU19" s="47"/>
      <c r="IV19" s="47"/>
      <c r="IW19" s="47"/>
      <c r="IX19" s="47"/>
      <c r="IY19" s="47"/>
      <c r="IZ19" s="47"/>
      <c r="JA19" s="47"/>
      <c r="JB19" s="47"/>
      <c r="JC19" s="47"/>
      <c r="JD19" s="47"/>
      <c r="JE19" s="47"/>
      <c r="JF19" s="47"/>
      <c r="JG19" s="47"/>
      <c r="JH19" s="47"/>
      <c r="JI19" s="47"/>
      <c r="JJ19" s="47"/>
      <c r="JK19" s="47"/>
      <c r="JL19" s="47"/>
      <c r="JM19" s="47"/>
      <c r="JN19" s="47"/>
      <c r="JO19" s="47"/>
      <c r="JP19" s="47"/>
      <c r="JQ19" s="47"/>
      <c r="JR19" s="47"/>
      <c r="JS19" s="47"/>
      <c r="JT19" s="47"/>
      <c r="JU19" s="47"/>
      <c r="JV19" s="47"/>
      <c r="JW19" s="47"/>
      <c r="JX19" s="47"/>
      <c r="JY19" s="47"/>
      <c r="JZ19" s="47"/>
      <c r="KA19" s="47"/>
      <c r="KB19" s="47"/>
      <c r="KC19" s="47"/>
      <c r="KD19" s="47"/>
      <c r="KE19" s="47"/>
      <c r="KF19" s="47"/>
      <c r="KG19" s="47"/>
      <c r="KH19" s="47"/>
      <c r="KI19" s="47"/>
      <c r="KJ19" s="47"/>
      <c r="KK19" s="47"/>
      <c r="KL19" s="47"/>
      <c r="KM19" s="47"/>
      <c r="KN19" s="47"/>
      <c r="KO19" s="47"/>
      <c r="KP19" s="47"/>
      <c r="KQ19" s="47"/>
      <c r="KR19" s="47"/>
      <c r="KS19" s="47"/>
      <c r="KT19" s="47"/>
      <c r="KU19" s="47"/>
      <c r="KV19" s="47"/>
      <c r="KW19" s="47"/>
      <c r="KX19" s="47"/>
      <c r="KY19" s="47"/>
      <c r="KZ19" s="47"/>
      <c r="LA19" s="47"/>
      <c r="LB19" s="47"/>
      <c r="LC19" s="47"/>
      <c r="LD19" s="47"/>
      <c r="LE19" s="47"/>
      <c r="LF19" s="47"/>
      <c r="LG19" s="47"/>
      <c r="LH19" s="47"/>
      <c r="LI19" s="47"/>
      <c r="LJ19" s="47"/>
      <c r="LK19" s="47"/>
      <c r="LL19" s="47"/>
      <c r="LM19" s="47"/>
      <c r="LN19" s="47"/>
      <c r="LO19" s="47"/>
      <c r="LP19" s="47"/>
      <c r="LQ19" s="47"/>
      <c r="LR19" s="47"/>
      <c r="LS19" s="47"/>
      <c r="LT19" s="47"/>
      <c r="LU19" s="47"/>
      <c r="LV19" s="47"/>
      <c r="LW19" s="47"/>
      <c r="LX19" s="47"/>
      <c r="LY19" s="47"/>
      <c r="LZ19" s="47"/>
      <c r="MA19" s="47"/>
      <c r="MB19" s="47"/>
      <c r="MC19" s="47"/>
      <c r="MD19" s="47"/>
      <c r="ME19" s="47"/>
      <c r="MF19" s="47"/>
      <c r="MG19" s="47"/>
      <c r="MH19" s="47"/>
      <c r="MI19" s="47"/>
      <c r="MJ19" s="47"/>
      <c r="MK19" s="47"/>
      <c r="ML19" s="47"/>
      <c r="MM19" s="47"/>
      <c r="MN19" s="47"/>
      <c r="MO19" s="47"/>
      <c r="MP19" s="47"/>
      <c r="MQ19" s="47"/>
      <c r="MR19" s="47"/>
      <c r="MS19" s="47"/>
      <c r="MT19" s="47"/>
      <c r="MU19" s="47"/>
      <c r="MV19" s="47"/>
      <c r="MW19" s="47"/>
      <c r="MX19" s="47"/>
      <c r="MY19" s="47"/>
      <c r="MZ19" s="47"/>
      <c r="NA19" s="47"/>
      <c r="NB19" s="47"/>
      <c r="NC19" s="47"/>
      <c r="ND19" s="47"/>
      <c r="NE19" s="47"/>
      <c r="NF19" s="47"/>
      <c r="NG19" s="47"/>
      <c r="NH19" s="47"/>
      <c r="NI19" s="47"/>
      <c r="NJ19" s="44"/>
      <c r="NK19" s="44"/>
      <c r="NL19" s="44"/>
      <c r="NM19" s="44"/>
      <c r="NN19" s="44"/>
      <c r="NO19" s="47"/>
      <c r="NP19" s="47"/>
      <c r="NQ19" s="47"/>
      <c r="NR19" s="47"/>
      <c r="NS19" s="47"/>
      <c r="NT19" s="47"/>
      <c r="NU19" s="47"/>
      <c r="NV19" s="47"/>
      <c r="NW19" s="47"/>
      <c r="NX19" s="47"/>
      <c r="NY19" s="47"/>
      <c r="NZ19" s="47"/>
      <c r="OA19" s="47"/>
      <c r="OB19" s="47"/>
      <c r="OC19" s="47"/>
      <c r="OD19" s="47"/>
      <c r="OE19" s="47"/>
      <c r="OF19" s="47"/>
      <c r="OG19" s="47"/>
      <c r="OH19" s="47"/>
      <c r="OI19" s="47"/>
      <c r="OJ19" s="47"/>
      <c r="OK19" s="47"/>
      <c r="OL19" s="47"/>
      <c r="OM19" s="47"/>
      <c r="ON19" s="47"/>
      <c r="OO19" s="47"/>
      <c r="OP19" s="47"/>
      <c r="OQ19" s="47"/>
      <c r="OR19" s="47"/>
      <c r="OS19" s="47"/>
      <c r="OT19" s="47"/>
      <c r="OU19" s="47"/>
      <c r="OV19" s="47"/>
      <c r="OW19" s="47"/>
      <c r="OX19" s="47"/>
      <c r="OY19" s="47"/>
      <c r="OZ19" s="47"/>
      <c r="PA19" s="47"/>
      <c r="PB19" s="47"/>
      <c r="PC19" s="47"/>
      <c r="PD19" s="47"/>
      <c r="PE19" s="47"/>
      <c r="PF19" s="47"/>
      <c r="PG19" s="47"/>
      <c r="PH19" s="47"/>
      <c r="PI19" s="47"/>
      <c r="PJ19" s="47"/>
      <c r="PK19" s="47"/>
      <c r="PL19" s="47"/>
      <c r="PM19" s="47"/>
      <c r="PN19" s="47"/>
      <c r="PO19" s="47"/>
      <c r="PP19" s="47"/>
      <c r="PQ19" s="47"/>
      <c r="PR19" s="47"/>
      <c r="PS19" s="47"/>
      <c r="PT19" s="47"/>
      <c r="PU19" s="47"/>
      <c r="PV19" s="47"/>
      <c r="PW19" s="47"/>
      <c r="PX19" s="47"/>
      <c r="PY19" s="47"/>
      <c r="PZ19" s="47"/>
      <c r="QA19" s="47"/>
      <c r="QB19" s="47"/>
      <c r="QC19" s="47"/>
      <c r="QD19" s="47"/>
      <c r="QE19" s="47"/>
      <c r="QF19" s="47"/>
      <c r="QG19" s="47"/>
      <c r="QH19" s="47"/>
      <c r="QI19" s="47"/>
      <c r="QJ19" s="47"/>
      <c r="QK19" s="47"/>
      <c r="QL19" s="47"/>
      <c r="QM19" s="47"/>
      <c r="QN19" s="47"/>
      <c r="QO19" s="47"/>
      <c r="QP19" s="47"/>
      <c r="QQ19" s="47"/>
      <c r="QR19" s="47"/>
      <c r="QS19" s="47"/>
      <c r="QT19" s="47"/>
      <c r="QU19" s="47"/>
      <c r="QV19" s="47"/>
      <c r="QW19" s="47"/>
      <c r="QX19" s="47"/>
      <c r="QY19" s="47"/>
      <c r="QZ19" s="47"/>
      <c r="RA19" s="47"/>
      <c r="RB19" s="47"/>
      <c r="RC19" s="47"/>
      <c r="RD19" s="47"/>
      <c r="RE19" s="47"/>
      <c r="RF19" s="47"/>
      <c r="RG19" s="47"/>
      <c r="RH19" s="47"/>
      <c r="RI19" s="47"/>
      <c r="RJ19" s="47"/>
      <c r="RK19" s="47"/>
      <c r="RL19" s="47"/>
      <c r="RM19" s="47"/>
      <c r="RN19" s="47"/>
      <c r="RO19" s="47"/>
      <c r="RP19" s="47"/>
      <c r="RQ19" s="47"/>
      <c r="RR19" s="47"/>
      <c r="RS19" s="47"/>
      <c r="RT19" s="47"/>
      <c r="RU19" s="47"/>
      <c r="RV19" s="47"/>
      <c r="RW19" s="47"/>
      <c r="RX19" s="47"/>
      <c r="RY19" s="47"/>
      <c r="RZ19" s="47"/>
      <c r="SA19" s="47"/>
      <c r="SB19" s="47"/>
      <c r="SC19" s="47"/>
      <c r="SD19" s="47"/>
      <c r="SE19" s="47"/>
      <c r="SF19" s="47"/>
      <c r="SG19" s="47"/>
      <c r="SH19" s="47"/>
      <c r="SI19" s="47"/>
      <c r="SJ19" s="47"/>
      <c r="SK19" s="47"/>
      <c r="SL19" s="47"/>
      <c r="SM19" s="47"/>
      <c r="SN19" s="47"/>
      <c r="SO19" s="47"/>
      <c r="SP19" s="47"/>
      <c r="SQ19" s="47"/>
      <c r="SR19" s="47"/>
      <c r="SS19" s="47"/>
      <c r="ST19" s="47"/>
      <c r="SU19" s="47"/>
      <c r="SV19" s="47"/>
      <c r="SW19" s="47"/>
      <c r="SX19" s="47"/>
      <c r="SY19" s="47"/>
      <c r="SZ19" s="47"/>
      <c r="TA19" s="47"/>
      <c r="TB19" s="47"/>
      <c r="TC19" s="47"/>
      <c r="TD19" s="47"/>
      <c r="TE19" s="47"/>
      <c r="TF19" s="47"/>
      <c r="TG19" s="47"/>
      <c r="TH19" s="47"/>
      <c r="TI19" s="47"/>
      <c r="TJ19" s="47"/>
      <c r="TK19" s="47"/>
      <c r="TL19" s="47"/>
      <c r="TM19" s="47"/>
      <c r="TN19" s="47"/>
      <c r="TO19" s="47"/>
      <c r="TP19" s="47"/>
      <c r="TQ19" s="47"/>
      <c r="TR19" s="47"/>
      <c r="TS19" s="47"/>
      <c r="TT19" s="47"/>
      <c r="TU19" s="47"/>
      <c r="TV19" s="47"/>
      <c r="TW19" s="47"/>
      <c r="TX19" s="47"/>
      <c r="TY19" s="47"/>
      <c r="TZ19" s="47"/>
      <c r="UA19" s="47"/>
      <c r="UB19" s="47"/>
      <c r="UC19" s="47"/>
      <c r="UD19" s="47"/>
      <c r="UE19" s="47"/>
      <c r="UF19" s="47"/>
      <c r="UG19" s="47"/>
      <c r="UH19" s="47"/>
      <c r="UI19" s="47"/>
      <c r="UJ19" s="47"/>
      <c r="UK19" s="47"/>
      <c r="UL19" s="47"/>
      <c r="UM19" s="47"/>
      <c r="UN19" s="47"/>
      <c r="UO19" s="47"/>
      <c r="UP19" s="47"/>
      <c r="UQ19" s="47"/>
      <c r="UR19" s="47"/>
      <c r="US19" s="47"/>
      <c r="UT19" s="47"/>
      <c r="UU19" s="47"/>
      <c r="UV19" s="47"/>
      <c r="UW19" s="47"/>
      <c r="UX19" s="47"/>
      <c r="UY19" s="47"/>
      <c r="UZ19" s="47"/>
      <c r="VA19" s="47"/>
      <c r="VB19" s="47"/>
      <c r="VC19" s="47"/>
      <c r="VD19" s="47"/>
      <c r="VE19" s="47"/>
      <c r="VF19" s="47"/>
      <c r="VG19" s="47"/>
      <c r="VH19" s="47"/>
      <c r="VI19" s="47"/>
      <c r="VJ19" s="47"/>
      <c r="VK19" s="47"/>
      <c r="VL19" s="47"/>
      <c r="VM19" s="47"/>
      <c r="VN19" s="47"/>
      <c r="VO19" s="47"/>
      <c r="VP19" s="47"/>
      <c r="VQ19" s="47"/>
      <c r="VR19" s="47"/>
      <c r="VS19" s="47"/>
      <c r="VT19" s="47"/>
      <c r="VU19" s="47"/>
      <c r="VV19" s="47"/>
      <c r="VW19" s="47"/>
      <c r="VX19" s="47"/>
      <c r="VY19" s="47"/>
      <c r="VZ19" s="47"/>
      <c r="WA19" s="47"/>
      <c r="WB19" s="47"/>
      <c r="WC19" s="47"/>
      <c r="WD19" s="47"/>
      <c r="WE19" s="47"/>
      <c r="WF19" s="47"/>
      <c r="WG19" s="47"/>
      <c r="WH19" s="47"/>
      <c r="WI19" s="47"/>
      <c r="WJ19" s="47"/>
      <c r="WK19" s="47"/>
      <c r="WL19" s="47"/>
      <c r="WM19" s="47"/>
      <c r="WN19" s="47"/>
      <c r="WO19" s="47"/>
      <c r="WP19" s="47"/>
      <c r="WQ19" s="47"/>
      <c r="WR19" s="47"/>
      <c r="WS19" s="47"/>
      <c r="WT19" s="47"/>
      <c r="WU19" s="47"/>
      <c r="WV19" s="47"/>
      <c r="WW19" s="47"/>
      <c r="WX19" s="47"/>
      <c r="WY19" s="47"/>
      <c r="WZ19" s="47"/>
      <c r="XA19" s="47"/>
      <c r="XB19" s="47"/>
      <c r="XC19" s="47"/>
      <c r="XD19" s="47"/>
      <c r="XE19" s="47"/>
      <c r="XF19" s="47"/>
      <c r="XG19" s="47"/>
      <c r="XH19" s="47"/>
      <c r="XI19" s="47"/>
      <c r="XJ19" s="47"/>
      <c r="XK19" s="47"/>
      <c r="XL19" s="47"/>
      <c r="XM19" s="47"/>
      <c r="XN19" s="47"/>
      <c r="XO19" s="47"/>
      <c r="XP19" s="47"/>
      <c r="XQ19" s="47"/>
      <c r="XR19" s="47"/>
      <c r="XS19" s="47"/>
      <c r="XT19" s="47"/>
      <c r="XU19" s="47"/>
      <c r="XV19" s="47"/>
      <c r="XW19" s="47"/>
      <c r="XX19" s="47"/>
      <c r="XY19" s="47"/>
      <c r="XZ19" s="47"/>
      <c r="YA19" s="44"/>
      <c r="YB19" s="44"/>
      <c r="YC19" s="44"/>
      <c r="YD19" s="44"/>
      <c r="YE19" s="44"/>
      <c r="YF19" s="47"/>
      <c r="YG19" s="47"/>
      <c r="YH19" s="47"/>
      <c r="YI19" s="47"/>
      <c r="YJ19" s="47"/>
      <c r="YK19" s="47"/>
      <c r="YL19" s="47"/>
      <c r="YM19" s="47"/>
      <c r="YN19" s="47"/>
      <c r="YO19" s="47"/>
      <c r="YP19" s="47"/>
      <c r="YQ19" s="47"/>
      <c r="YR19" s="47"/>
      <c r="YS19" s="47"/>
      <c r="YT19" s="47"/>
      <c r="YU19" s="47"/>
      <c r="YV19" s="47"/>
      <c r="YW19" s="47"/>
      <c r="YX19" s="47"/>
      <c r="YY19" s="47"/>
      <c r="YZ19" s="47"/>
      <c r="ZA19" s="47"/>
      <c r="ZB19" s="47"/>
      <c r="ZC19" s="47"/>
      <c r="ZD19" s="47"/>
      <c r="ZE19" s="47"/>
      <c r="ZF19" s="47"/>
      <c r="ZG19" s="47"/>
      <c r="ZH19" s="47"/>
      <c r="ZI19" s="47"/>
      <c r="ZJ19" s="47"/>
      <c r="ZK19" s="47"/>
      <c r="ZL19" s="47"/>
      <c r="ZM19" s="47"/>
      <c r="ZN19" s="47"/>
      <c r="ZO19" s="47"/>
      <c r="ZP19" s="47"/>
      <c r="ZQ19" s="47"/>
      <c r="ZR19" s="47"/>
      <c r="ZS19" s="47"/>
      <c r="ZT19" s="47"/>
      <c r="ZU19" s="47"/>
      <c r="ZV19" s="47"/>
      <c r="ZW19" s="44"/>
      <c r="ZX19" s="44"/>
      <c r="ZY19" s="44"/>
      <c r="ZZ19" s="44"/>
      <c r="AAA19" s="44"/>
      <c r="AAB19" s="44"/>
      <c r="AAC19" s="44"/>
      <c r="AAD19" s="44"/>
      <c r="AAE19" s="44"/>
      <c r="AAF19" s="44"/>
      <c r="AAG19" s="47"/>
      <c r="AAH19" s="47"/>
      <c r="AAI19" s="47"/>
      <c r="AAJ19" s="47"/>
      <c r="AAK19" s="47"/>
      <c r="AAL19" s="47"/>
      <c r="AAM19" s="47"/>
      <c r="AAN19" s="47"/>
      <c r="AAO19" s="47"/>
      <c r="AAP19" s="47"/>
      <c r="AAQ19" s="47"/>
      <c r="AAR19" s="47"/>
      <c r="AAS19" s="47"/>
      <c r="AAT19" s="47"/>
      <c r="AAU19" s="47"/>
      <c r="AAV19" s="47"/>
      <c r="AAW19" s="47"/>
      <c r="AAX19" s="47"/>
      <c r="AAY19" s="47"/>
      <c r="AAZ19" s="47"/>
      <c r="ABA19" s="47"/>
      <c r="ABB19" s="47"/>
      <c r="ABC19" s="47"/>
      <c r="ABD19" s="47"/>
      <c r="ABE19" s="47"/>
      <c r="ABF19" s="47"/>
      <c r="ABG19" s="47"/>
      <c r="ABH19" s="47"/>
      <c r="ABI19" s="47"/>
      <c r="ABJ19" s="47"/>
      <c r="ABK19" s="47"/>
      <c r="ABL19" s="47"/>
      <c r="ABM19" s="47"/>
      <c r="ABN19" s="47"/>
      <c r="ABO19" s="47"/>
      <c r="ABP19" s="47"/>
      <c r="ABQ19" s="47"/>
      <c r="ABR19" s="47"/>
      <c r="ABS19" s="47"/>
      <c r="ABT19" s="47"/>
      <c r="ABU19" s="47"/>
      <c r="ABV19" s="47"/>
      <c r="ABW19" s="47"/>
      <c r="ABX19" s="47"/>
      <c r="ABY19" s="47"/>
      <c r="ABZ19" s="47"/>
      <c r="ACA19" s="47"/>
      <c r="ACB19" s="47"/>
      <c r="ACC19" s="47"/>
      <c r="ACD19" s="47"/>
      <c r="ACE19" s="47"/>
      <c r="ACF19" s="47"/>
      <c r="ACG19" s="47"/>
      <c r="ACH19" s="48"/>
    </row>
    <row r="20" spans="1:762" x14ac:dyDescent="0.25">
      <c r="A20" s="42" t="s">
        <v>44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3"/>
      <c r="CU20" s="43"/>
      <c r="CV20" s="43"/>
      <c r="CW20" s="43"/>
      <c r="CX20" s="43"/>
      <c r="CY20" s="43"/>
      <c r="CZ20" s="43"/>
      <c r="DA20" s="43"/>
      <c r="DB20" s="43"/>
      <c r="DC20" s="43"/>
      <c r="DD20" s="43"/>
      <c r="DE20" s="43"/>
      <c r="DF20" s="43"/>
      <c r="DG20" s="43"/>
      <c r="DH20" s="43"/>
      <c r="DI20" s="43"/>
      <c r="DJ20" s="43"/>
      <c r="DK20" s="43"/>
      <c r="DL20" s="43"/>
      <c r="DM20" s="43"/>
      <c r="DN20" s="43"/>
      <c r="DO20" s="43"/>
      <c r="DP20" s="43"/>
      <c r="DQ20" s="43"/>
      <c r="DR20" s="43"/>
      <c r="DS20" s="43"/>
      <c r="DT20" s="43"/>
      <c r="DU20" s="43"/>
      <c r="DV20" s="43"/>
      <c r="DW20" s="43"/>
      <c r="DX20" s="43"/>
      <c r="DY20" s="43"/>
      <c r="DZ20" s="43"/>
      <c r="EA20" s="43"/>
      <c r="EB20" s="43"/>
      <c r="EC20" s="43"/>
      <c r="ED20" s="43"/>
      <c r="EE20" s="43"/>
      <c r="EF20" s="43">
        <v>25</v>
      </c>
      <c r="EG20" s="43"/>
      <c r="EH20" s="43"/>
      <c r="EI20" s="43"/>
      <c r="EJ20" s="43"/>
      <c r="EK20" s="43"/>
      <c r="EL20" s="43"/>
      <c r="EM20" s="43"/>
      <c r="EN20" s="43"/>
      <c r="EO20" s="43"/>
      <c r="EP20" s="43"/>
      <c r="EQ20" s="43"/>
      <c r="ER20" s="43"/>
      <c r="ES20" s="43"/>
      <c r="ET20" s="43"/>
      <c r="EU20" s="43"/>
      <c r="EV20" s="43"/>
      <c r="EW20" s="43"/>
      <c r="EX20" s="43"/>
      <c r="EY20" s="43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>
        <v>44</v>
      </c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  <c r="IU20" s="43"/>
      <c r="IV20" s="43"/>
      <c r="IW20" s="43"/>
      <c r="IX20" s="43"/>
      <c r="IY20" s="43"/>
      <c r="IZ20" s="43"/>
      <c r="JA20" s="43"/>
      <c r="JB20" s="43"/>
      <c r="JC20" s="43"/>
      <c r="JD20" s="43"/>
      <c r="JE20" s="43"/>
      <c r="JF20" s="43"/>
      <c r="JG20" s="43"/>
      <c r="JH20" s="43">
        <v>129</v>
      </c>
      <c r="JI20" s="43"/>
      <c r="JJ20" s="43"/>
      <c r="JK20" s="43"/>
      <c r="JL20" s="43"/>
      <c r="JM20" s="43"/>
      <c r="JN20" s="43"/>
      <c r="JO20" s="43"/>
      <c r="JP20" s="43"/>
      <c r="JQ20" s="43"/>
      <c r="JR20" s="43"/>
      <c r="JS20" s="43"/>
      <c r="JT20" s="43"/>
      <c r="JU20" s="43"/>
      <c r="JV20" s="43"/>
      <c r="JW20" s="43"/>
      <c r="JX20" s="43"/>
      <c r="JY20" s="43"/>
      <c r="JZ20" s="43"/>
      <c r="KA20" s="43"/>
      <c r="KB20" s="43"/>
      <c r="KC20" s="43"/>
      <c r="KD20" s="43"/>
      <c r="KE20" s="43"/>
      <c r="KF20" s="43"/>
      <c r="KG20" s="43"/>
      <c r="KH20" s="43"/>
      <c r="KI20" s="43"/>
      <c r="KJ20" s="43"/>
      <c r="KK20" s="43"/>
      <c r="KL20" s="43"/>
      <c r="KM20" s="43"/>
      <c r="KN20" s="43"/>
      <c r="KO20" s="43"/>
      <c r="KP20" s="43"/>
      <c r="KQ20" s="43"/>
      <c r="KR20" s="43"/>
      <c r="KS20" s="43"/>
      <c r="KT20" s="43"/>
      <c r="KU20" s="43"/>
      <c r="KV20" s="43"/>
      <c r="KW20" s="43"/>
      <c r="KX20" s="43"/>
      <c r="KY20" s="43"/>
      <c r="KZ20" s="43"/>
      <c r="LA20" s="43"/>
      <c r="LB20" s="43"/>
      <c r="LC20" s="43"/>
      <c r="LD20" s="43"/>
      <c r="LE20" s="43"/>
      <c r="LF20" s="43"/>
      <c r="LG20" s="43"/>
      <c r="LH20" s="43"/>
      <c r="LI20" s="43"/>
      <c r="LJ20" s="43"/>
      <c r="LK20" s="43"/>
      <c r="LL20" s="43"/>
      <c r="LM20" s="43"/>
      <c r="LN20" s="43"/>
      <c r="LO20" s="43"/>
      <c r="LP20" s="43"/>
      <c r="LQ20" s="43"/>
      <c r="LR20" s="43"/>
      <c r="LS20" s="43">
        <v>39</v>
      </c>
      <c r="LT20" s="43"/>
      <c r="LU20" s="43"/>
      <c r="LV20" s="43"/>
      <c r="LW20" s="43"/>
      <c r="LX20" s="43"/>
      <c r="LY20" s="43"/>
      <c r="LZ20" s="43"/>
      <c r="MA20" s="43"/>
      <c r="MB20" s="43"/>
      <c r="MC20" s="43"/>
      <c r="MD20" s="43"/>
      <c r="ME20" s="43"/>
      <c r="MF20" s="43"/>
      <c r="MG20" s="43"/>
      <c r="MH20" s="43"/>
      <c r="MI20" s="43"/>
      <c r="MJ20" s="43"/>
      <c r="MK20" s="43"/>
      <c r="ML20" s="43"/>
      <c r="MM20" s="43"/>
      <c r="MN20" s="43"/>
      <c r="MO20" s="43"/>
      <c r="MP20" s="43"/>
      <c r="MQ20" s="43"/>
      <c r="MR20" s="43"/>
      <c r="MS20" s="43"/>
      <c r="MT20" s="43"/>
      <c r="MU20" s="43"/>
      <c r="MV20" s="43"/>
      <c r="MW20" s="43"/>
      <c r="MX20" s="43"/>
      <c r="MY20" s="43"/>
      <c r="MZ20" s="43"/>
      <c r="NA20" s="43"/>
      <c r="NB20" s="43"/>
      <c r="NC20" s="43"/>
      <c r="ND20" s="43"/>
      <c r="NE20" s="43"/>
      <c r="NF20" s="43"/>
      <c r="NG20" s="43"/>
      <c r="NH20" s="43"/>
      <c r="NI20" s="43"/>
      <c r="NJ20" s="44"/>
      <c r="NK20" s="44"/>
      <c r="NL20" s="44"/>
      <c r="NM20" s="44"/>
      <c r="NN20" s="44"/>
      <c r="NO20" s="43"/>
      <c r="NP20" s="43"/>
      <c r="NQ20" s="43"/>
      <c r="NR20" s="43"/>
      <c r="NS20" s="43"/>
      <c r="NT20" s="43"/>
      <c r="NU20" s="43"/>
      <c r="NV20" s="43"/>
      <c r="NW20" s="43"/>
      <c r="NX20" s="43"/>
      <c r="NY20" s="43"/>
      <c r="NZ20" s="43"/>
      <c r="OA20" s="43"/>
      <c r="OB20" s="43"/>
      <c r="OC20" s="43"/>
      <c r="OD20" s="43"/>
      <c r="OE20" s="43"/>
      <c r="OF20" s="43"/>
      <c r="OG20" s="43"/>
      <c r="OH20" s="43"/>
      <c r="OI20" s="43"/>
      <c r="OJ20" s="43"/>
      <c r="OK20" s="43"/>
      <c r="OL20" s="43"/>
      <c r="OM20" s="43"/>
      <c r="ON20" s="43"/>
      <c r="OO20" s="43"/>
      <c r="OP20" s="43"/>
      <c r="OQ20" s="43"/>
      <c r="OR20" s="43"/>
      <c r="OS20" s="43"/>
      <c r="OT20" s="43"/>
      <c r="OU20" s="43"/>
      <c r="OV20" s="43"/>
      <c r="OW20" s="43"/>
      <c r="OX20" s="43"/>
      <c r="OY20" s="43"/>
      <c r="OZ20" s="43"/>
      <c r="PA20" s="43"/>
      <c r="PB20" s="43"/>
      <c r="PC20" s="43"/>
      <c r="PD20" s="43"/>
      <c r="PE20" s="43"/>
      <c r="PF20" s="43"/>
      <c r="PG20" s="43"/>
      <c r="PH20" s="43"/>
      <c r="PI20" s="43"/>
      <c r="PJ20" s="43"/>
      <c r="PK20" s="43"/>
      <c r="PL20" s="43"/>
      <c r="PM20" s="43"/>
      <c r="PN20" s="43"/>
      <c r="PO20" s="43"/>
      <c r="PP20" s="43"/>
      <c r="PQ20" s="43"/>
      <c r="PR20" s="43"/>
      <c r="PS20" s="43"/>
      <c r="PT20" s="43"/>
      <c r="PU20" s="43" t="s">
        <v>526</v>
      </c>
      <c r="PV20" s="43"/>
      <c r="PW20" s="43"/>
      <c r="PX20" s="43"/>
      <c r="PY20" s="43"/>
      <c r="PZ20" s="43"/>
      <c r="QA20" s="43"/>
      <c r="QB20" s="43"/>
      <c r="QC20" s="43"/>
      <c r="QD20" s="43"/>
      <c r="QE20" s="43"/>
      <c r="QF20" s="43"/>
      <c r="QG20" s="43"/>
      <c r="QH20" s="43"/>
      <c r="QI20" s="43"/>
      <c r="QJ20" s="43" t="s">
        <v>528</v>
      </c>
      <c r="QK20" s="43"/>
      <c r="QL20" s="43"/>
      <c r="QM20" s="43"/>
      <c r="QN20" s="43"/>
      <c r="QO20" s="43"/>
      <c r="QP20" s="43"/>
      <c r="QQ20" s="43"/>
      <c r="QR20" s="43"/>
      <c r="QS20" s="43"/>
      <c r="QT20" s="43"/>
      <c r="QU20" s="43"/>
      <c r="QV20" s="43"/>
      <c r="QW20" s="43"/>
      <c r="QX20" s="43"/>
      <c r="QY20" s="43"/>
      <c r="QZ20" s="43"/>
      <c r="RA20" s="43"/>
      <c r="RB20" s="43"/>
      <c r="RC20" s="43"/>
      <c r="RD20" s="43"/>
      <c r="RE20" s="43"/>
      <c r="RF20" s="43"/>
      <c r="RG20" s="43"/>
      <c r="RH20" s="43"/>
      <c r="RI20" s="43"/>
      <c r="RJ20" s="43"/>
      <c r="RK20" s="43"/>
      <c r="RL20" s="43"/>
      <c r="RM20" s="43"/>
      <c r="RN20" s="43"/>
      <c r="RO20" s="43"/>
      <c r="RP20" s="43"/>
      <c r="RQ20" s="43"/>
      <c r="RR20" s="43"/>
      <c r="RS20" s="43"/>
      <c r="RT20" s="43"/>
      <c r="RU20" s="43"/>
      <c r="RV20" s="43"/>
      <c r="RW20" s="43"/>
      <c r="RX20" s="43"/>
      <c r="RY20" s="43"/>
      <c r="RZ20" s="43"/>
      <c r="SA20" s="43"/>
      <c r="SB20" s="43"/>
      <c r="SC20" s="43"/>
      <c r="SD20" s="43"/>
      <c r="SE20" s="43"/>
      <c r="SF20" s="43"/>
      <c r="SG20" s="43"/>
      <c r="SH20" s="43"/>
      <c r="SI20" s="43"/>
      <c r="SJ20" s="43"/>
      <c r="SK20" s="43"/>
      <c r="SL20" s="43"/>
      <c r="SM20" s="43"/>
      <c r="SN20" s="43"/>
      <c r="SO20" s="43"/>
      <c r="SP20" s="43"/>
      <c r="SQ20" s="43"/>
      <c r="SR20" s="43"/>
      <c r="SS20" s="43"/>
      <c r="ST20" s="43"/>
      <c r="SU20" s="43"/>
      <c r="SV20" s="43"/>
      <c r="SW20" s="43"/>
      <c r="SX20" s="43"/>
      <c r="SY20" s="43"/>
      <c r="SZ20" s="43"/>
      <c r="TA20" s="43"/>
      <c r="TB20" s="43"/>
      <c r="TC20" s="43"/>
      <c r="TD20" s="43"/>
      <c r="TE20" s="43"/>
      <c r="TF20" s="43"/>
      <c r="TG20" s="43"/>
      <c r="TH20" s="43"/>
      <c r="TI20" s="43"/>
      <c r="TJ20" s="43"/>
      <c r="TK20" s="43"/>
      <c r="TL20" s="43"/>
      <c r="TM20" s="43"/>
      <c r="TN20" s="43"/>
      <c r="TO20" s="43"/>
      <c r="TP20" s="43"/>
      <c r="TQ20" s="43"/>
      <c r="TR20" s="43"/>
      <c r="TS20" s="43"/>
      <c r="TT20" s="43"/>
      <c r="TU20" s="43"/>
      <c r="TV20" s="43"/>
      <c r="TW20" s="43"/>
      <c r="TX20" s="43"/>
      <c r="TY20" s="43"/>
      <c r="TZ20" s="43"/>
      <c r="UA20" s="43"/>
      <c r="UB20" s="43"/>
      <c r="UC20" s="43"/>
      <c r="UD20" s="43"/>
      <c r="UE20" s="43"/>
      <c r="UF20" s="43"/>
      <c r="UG20" s="43"/>
      <c r="UH20" s="43"/>
      <c r="UI20" s="43"/>
      <c r="UJ20" s="43"/>
      <c r="UK20" s="43"/>
      <c r="UL20" s="43"/>
      <c r="UM20" s="43"/>
      <c r="UN20" s="43"/>
      <c r="UO20" s="43"/>
      <c r="UP20" s="43"/>
      <c r="UQ20" s="43"/>
      <c r="UR20" s="43"/>
      <c r="US20" s="43"/>
      <c r="UT20" s="43"/>
      <c r="UU20" s="43"/>
      <c r="UV20" s="43"/>
      <c r="UW20" s="43"/>
      <c r="UX20" s="43"/>
      <c r="UY20" s="43"/>
      <c r="UZ20" s="43"/>
      <c r="VA20" s="43"/>
      <c r="VB20" s="43"/>
      <c r="VC20" s="43"/>
      <c r="VD20" s="43"/>
      <c r="VE20" s="43"/>
      <c r="VF20" s="43"/>
      <c r="VG20" s="43"/>
      <c r="VH20" s="43"/>
      <c r="VI20" s="43"/>
      <c r="VJ20" s="43"/>
      <c r="VK20" s="43"/>
      <c r="VL20" s="43"/>
      <c r="VM20" s="43"/>
      <c r="VN20" s="43"/>
      <c r="VO20" s="43"/>
      <c r="VP20" s="43"/>
      <c r="VQ20" s="43"/>
      <c r="VR20" s="43"/>
      <c r="VS20" s="43"/>
      <c r="VT20" s="43"/>
      <c r="VU20" s="43"/>
      <c r="VV20" s="43"/>
      <c r="VW20" s="43"/>
      <c r="VX20" s="43"/>
      <c r="VY20" s="43"/>
      <c r="VZ20" s="43"/>
      <c r="WA20" s="43"/>
      <c r="WB20" s="43"/>
      <c r="WC20" s="43"/>
      <c r="WD20" s="43"/>
      <c r="WE20" s="43"/>
      <c r="WF20" s="43"/>
      <c r="WG20" s="43"/>
      <c r="WH20" s="43"/>
      <c r="WI20" s="43"/>
      <c r="WJ20" s="43"/>
      <c r="WK20" s="43"/>
      <c r="WL20" s="43"/>
      <c r="WM20" s="43"/>
      <c r="WN20" s="43"/>
      <c r="WO20" s="43"/>
      <c r="WP20" s="43"/>
      <c r="WQ20" s="43"/>
      <c r="WR20" s="43"/>
      <c r="WS20" s="43"/>
      <c r="WT20" s="43"/>
      <c r="WU20" s="43"/>
      <c r="WV20" s="43"/>
      <c r="WW20" s="43"/>
      <c r="WX20" s="43"/>
      <c r="WY20" s="43"/>
      <c r="WZ20" s="43"/>
      <c r="XA20" s="43"/>
      <c r="XB20" s="43"/>
      <c r="XC20" s="43"/>
      <c r="XD20" s="43"/>
      <c r="XE20" s="43"/>
      <c r="XF20" s="43"/>
      <c r="XG20" s="43"/>
      <c r="XH20" s="43"/>
      <c r="XI20" s="43"/>
      <c r="XJ20" s="43"/>
      <c r="XK20" s="43"/>
      <c r="XL20" s="43"/>
      <c r="XM20" s="43"/>
      <c r="XN20" s="43"/>
      <c r="XO20" s="43"/>
      <c r="XP20" s="43"/>
      <c r="XQ20" s="43"/>
      <c r="XR20" s="43"/>
      <c r="XS20" s="43"/>
      <c r="XT20" s="43"/>
      <c r="XU20" s="43"/>
      <c r="XV20" s="43"/>
      <c r="XW20" s="43"/>
      <c r="XX20" s="43"/>
      <c r="XY20" s="43"/>
      <c r="XZ20" s="43"/>
      <c r="YA20" s="44"/>
      <c r="YB20" s="44"/>
      <c r="YC20" s="44"/>
      <c r="YD20" s="44"/>
      <c r="YE20" s="44"/>
      <c r="YF20" s="43"/>
      <c r="YG20" s="43"/>
      <c r="YH20" s="43"/>
      <c r="YI20" s="43"/>
      <c r="YJ20" s="43"/>
      <c r="YK20" s="43"/>
      <c r="YL20" s="43"/>
      <c r="YM20" s="43"/>
      <c r="YN20" s="43"/>
      <c r="YO20" s="43"/>
      <c r="YP20" s="43"/>
      <c r="YQ20" s="43"/>
      <c r="YR20" s="43"/>
      <c r="YS20" s="43"/>
      <c r="YT20" s="43"/>
      <c r="YU20" s="43"/>
      <c r="YV20" s="43"/>
      <c r="YW20" s="43"/>
      <c r="YX20" s="43"/>
      <c r="YY20" s="43"/>
      <c r="YZ20" s="43"/>
      <c r="ZA20" s="43"/>
      <c r="ZB20" s="43"/>
      <c r="ZC20" s="43"/>
      <c r="ZD20" s="43"/>
      <c r="ZE20" s="43"/>
      <c r="ZF20" s="43"/>
      <c r="ZG20" s="43"/>
      <c r="ZH20" s="43"/>
      <c r="ZI20" s="43"/>
      <c r="ZJ20" s="43"/>
      <c r="ZK20" s="43"/>
      <c r="ZL20" s="43"/>
      <c r="ZM20" s="43"/>
      <c r="ZN20" s="43"/>
      <c r="ZO20" s="43"/>
      <c r="ZP20" s="43"/>
      <c r="ZQ20" s="43"/>
      <c r="ZR20" s="43"/>
      <c r="ZS20" s="43"/>
      <c r="ZT20" s="43"/>
      <c r="ZU20" s="43"/>
      <c r="ZV20" s="43"/>
      <c r="ZW20" s="44"/>
      <c r="ZX20" s="44"/>
      <c r="ZY20" s="44"/>
      <c r="ZZ20" s="44"/>
      <c r="AAA20" s="44"/>
      <c r="AAB20" s="44"/>
      <c r="AAC20" s="44"/>
      <c r="AAD20" s="44"/>
      <c r="AAE20" s="44"/>
      <c r="AAF20" s="44"/>
      <c r="AAG20" s="43"/>
      <c r="AAH20" s="43"/>
      <c r="AAI20" s="43"/>
      <c r="AAJ20" s="43"/>
      <c r="AAK20" s="43"/>
      <c r="AAL20" s="43"/>
      <c r="AAM20" s="43"/>
      <c r="AAN20" s="43"/>
      <c r="AAO20" s="43"/>
      <c r="AAP20" s="43"/>
      <c r="AAQ20" s="43"/>
      <c r="AAR20" s="43"/>
      <c r="AAS20" s="43"/>
      <c r="AAT20" s="43"/>
      <c r="AAU20" s="43"/>
      <c r="AAV20" s="43"/>
      <c r="AAW20" s="43"/>
      <c r="AAX20" s="43"/>
      <c r="AAY20" s="43"/>
      <c r="AAZ20" s="43"/>
      <c r="ABA20" s="43"/>
      <c r="ABB20" s="43"/>
      <c r="ABC20" s="43"/>
      <c r="ABD20" s="43"/>
      <c r="ABE20" s="43"/>
      <c r="ABF20" s="43"/>
      <c r="ABG20" s="43"/>
      <c r="ABH20" s="43"/>
      <c r="ABI20" s="43"/>
      <c r="ABJ20" s="43"/>
      <c r="ABK20" s="43"/>
      <c r="ABL20" s="43"/>
      <c r="ABM20" s="43"/>
      <c r="ABN20" s="43"/>
      <c r="ABO20" s="43"/>
      <c r="ABP20" s="43"/>
      <c r="ABQ20" s="43"/>
      <c r="ABR20" s="43"/>
      <c r="ABS20" s="43"/>
      <c r="ABT20" s="43"/>
      <c r="ABU20" s="43"/>
      <c r="ABV20" s="43"/>
      <c r="ABW20" s="43"/>
      <c r="ABX20" s="43"/>
      <c r="ABY20" s="43"/>
      <c r="ABZ20" s="43"/>
      <c r="ACA20" s="43"/>
      <c r="ACB20" s="43"/>
      <c r="ACC20" s="43"/>
      <c r="ACD20" s="43"/>
      <c r="ACE20" s="43"/>
      <c r="ACF20" s="43"/>
      <c r="ACG20" s="43"/>
      <c r="ACH20" s="45"/>
    </row>
    <row r="21" spans="1:762" x14ac:dyDescent="0.25">
      <c r="A21" s="46" t="s">
        <v>46</v>
      </c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47"/>
      <c r="CO21" s="47"/>
      <c r="CP21" s="47"/>
      <c r="CQ21" s="47"/>
      <c r="CR21" s="47"/>
      <c r="CS21" s="47"/>
      <c r="CT21" s="47"/>
      <c r="CU21" s="47"/>
      <c r="CV21" s="47"/>
      <c r="CW21" s="47"/>
      <c r="CX21" s="47"/>
      <c r="CY21" s="47"/>
      <c r="CZ21" s="47"/>
      <c r="DA21" s="47"/>
      <c r="DB21" s="47"/>
      <c r="DC21" s="47"/>
      <c r="DD21" s="47"/>
      <c r="DE21" s="47"/>
      <c r="DF21" s="47"/>
      <c r="DG21" s="47"/>
      <c r="DH21" s="47"/>
      <c r="DI21" s="47"/>
      <c r="DJ21" s="47"/>
      <c r="DK21" s="47"/>
      <c r="DL21" s="47"/>
      <c r="DM21" s="47"/>
      <c r="DN21" s="47"/>
      <c r="DO21" s="47"/>
      <c r="DP21" s="47"/>
      <c r="DQ21" s="47"/>
      <c r="DR21" s="47"/>
      <c r="DS21" s="47"/>
      <c r="DT21" s="47"/>
      <c r="DU21" s="47"/>
      <c r="DV21" s="47"/>
      <c r="DW21" s="47"/>
      <c r="DX21" s="47"/>
      <c r="DY21" s="47"/>
      <c r="DZ21" s="47"/>
      <c r="EA21" s="47"/>
      <c r="EB21" s="47"/>
      <c r="EC21" s="47"/>
      <c r="ED21" s="47"/>
      <c r="EE21" s="47"/>
      <c r="EF21" s="47">
        <v>20</v>
      </c>
      <c r="EG21" s="47">
        <v>29</v>
      </c>
      <c r="EH21" s="47"/>
      <c r="EI21" s="47"/>
      <c r="EJ21" s="47"/>
      <c r="EK21" s="47"/>
      <c r="EL21" s="47"/>
      <c r="EM21" s="47"/>
      <c r="EN21" s="47"/>
      <c r="EO21" s="47"/>
      <c r="EP21" s="47"/>
      <c r="EQ21" s="47"/>
      <c r="ER21" s="47"/>
      <c r="ES21" s="47"/>
      <c r="ET21" s="47"/>
      <c r="EU21" s="47"/>
      <c r="EV21" s="47"/>
      <c r="EW21" s="47"/>
      <c r="EX21" s="47"/>
      <c r="EY21" s="47"/>
      <c r="EZ21" s="47"/>
      <c r="FA21" s="47"/>
      <c r="FB21" s="47"/>
      <c r="FC21" s="47"/>
      <c r="FD21" s="47"/>
      <c r="FE21" s="47"/>
      <c r="FF21" s="47"/>
      <c r="FG21" s="47"/>
      <c r="FH21" s="47"/>
      <c r="FI21" s="47"/>
      <c r="FJ21" s="47"/>
      <c r="FK21" s="47"/>
      <c r="FL21" s="47"/>
      <c r="FM21" s="47"/>
      <c r="FN21" s="47"/>
      <c r="FO21" s="47"/>
      <c r="FP21" s="47"/>
      <c r="FQ21" s="47"/>
      <c r="FR21" s="47"/>
      <c r="FS21" s="47"/>
      <c r="FT21" s="47"/>
      <c r="FU21" s="47"/>
      <c r="FV21" s="47"/>
      <c r="FW21" s="47"/>
      <c r="FX21" s="47"/>
      <c r="FY21" s="47"/>
      <c r="FZ21" s="47"/>
      <c r="GA21" s="47"/>
      <c r="GB21" s="47"/>
      <c r="GC21" s="47"/>
      <c r="GD21" s="47"/>
      <c r="GE21" s="47"/>
      <c r="GF21" s="47"/>
      <c r="GG21" s="47"/>
      <c r="GH21" s="47"/>
      <c r="GI21" s="47"/>
      <c r="GJ21" s="47"/>
      <c r="GK21" s="47"/>
      <c r="GL21" s="47"/>
      <c r="GM21" s="47"/>
      <c r="GN21" s="47"/>
      <c r="GO21" s="47"/>
      <c r="GP21" s="47"/>
      <c r="GQ21" s="47"/>
      <c r="GR21" s="47"/>
      <c r="GS21" s="47"/>
      <c r="GT21" s="47"/>
      <c r="GU21" s="47" t="s">
        <v>714</v>
      </c>
      <c r="GV21" s="47"/>
      <c r="GW21" s="47"/>
      <c r="GX21" s="47"/>
      <c r="GY21" s="47"/>
      <c r="GZ21" s="47"/>
      <c r="HA21" s="47"/>
      <c r="HB21" s="47"/>
      <c r="HC21" s="47"/>
      <c r="HD21" s="47"/>
      <c r="HE21" s="47"/>
      <c r="HF21" s="47"/>
      <c r="HG21" s="47"/>
      <c r="HH21" s="47"/>
      <c r="HI21" s="47"/>
      <c r="HJ21" s="47"/>
      <c r="HK21" s="47"/>
      <c r="HL21" s="47"/>
      <c r="HM21" s="47"/>
      <c r="HN21" s="47"/>
      <c r="HO21" s="47"/>
      <c r="HP21" s="47"/>
      <c r="HQ21" s="47"/>
      <c r="HR21" s="47"/>
      <c r="HS21" s="47"/>
      <c r="HT21" s="47"/>
      <c r="HU21" s="47"/>
      <c r="HV21" s="47"/>
      <c r="HW21" s="47"/>
      <c r="HX21" s="47"/>
      <c r="HY21" s="47"/>
      <c r="HZ21" s="47"/>
      <c r="IA21" s="47"/>
      <c r="IB21" s="47"/>
      <c r="IC21" s="47"/>
      <c r="ID21" s="47"/>
      <c r="IE21" s="47"/>
      <c r="IF21" s="47"/>
      <c r="IG21" s="47"/>
      <c r="IH21" s="47"/>
      <c r="II21" s="47"/>
      <c r="IJ21" s="47"/>
      <c r="IK21" s="47"/>
      <c r="IL21" s="47"/>
      <c r="IM21" s="47"/>
      <c r="IN21" s="47"/>
      <c r="IO21" s="47"/>
      <c r="IP21" s="47"/>
      <c r="IQ21" s="47"/>
      <c r="IR21" s="47"/>
      <c r="IS21" s="47"/>
      <c r="IT21" s="47"/>
      <c r="IU21" s="47"/>
      <c r="IV21" s="47"/>
      <c r="IW21" s="47"/>
      <c r="IX21" s="47"/>
      <c r="IY21" s="47"/>
      <c r="IZ21" s="47"/>
      <c r="JA21" s="47"/>
      <c r="JB21" s="47"/>
      <c r="JC21" s="47"/>
      <c r="JD21" s="47"/>
      <c r="JE21" s="47"/>
      <c r="JF21" s="47"/>
      <c r="JG21" s="47"/>
      <c r="JH21" s="47">
        <v>41</v>
      </c>
      <c r="JI21" s="47">
        <v>38</v>
      </c>
      <c r="JJ21" s="47"/>
      <c r="JK21" s="47"/>
      <c r="JL21" s="47"/>
      <c r="JM21" s="47"/>
      <c r="JN21" s="47"/>
      <c r="JO21" s="47"/>
      <c r="JP21" s="47"/>
      <c r="JQ21" s="47"/>
      <c r="JR21" s="47"/>
      <c r="JS21" s="47"/>
      <c r="JT21" s="47"/>
      <c r="JU21" s="47"/>
      <c r="JV21" s="47"/>
      <c r="JW21" s="47"/>
      <c r="JX21" s="47"/>
      <c r="JY21" s="47"/>
      <c r="JZ21" s="47"/>
      <c r="KA21" s="47"/>
      <c r="KB21" s="47"/>
      <c r="KC21" s="47"/>
      <c r="KD21" s="47"/>
      <c r="KE21" s="47"/>
      <c r="KF21" s="47"/>
      <c r="KG21" s="47"/>
      <c r="KH21" s="47"/>
      <c r="KI21" s="47"/>
      <c r="KJ21" s="47"/>
      <c r="KK21" s="47"/>
      <c r="KL21" s="47"/>
      <c r="KM21" s="47"/>
      <c r="KN21" s="47"/>
      <c r="KO21" s="47"/>
      <c r="KP21" s="47"/>
      <c r="KQ21" s="47"/>
      <c r="KR21" s="47"/>
      <c r="KS21" s="47"/>
      <c r="KT21" s="47"/>
      <c r="KU21" s="47"/>
      <c r="KV21" s="47"/>
      <c r="KW21" s="47"/>
      <c r="KX21" s="47"/>
      <c r="KY21" s="47"/>
      <c r="KZ21" s="47"/>
      <c r="LA21" s="47"/>
      <c r="LB21" s="47"/>
      <c r="LC21" s="47"/>
      <c r="LD21" s="47"/>
      <c r="LE21" s="47"/>
      <c r="LF21" s="47"/>
      <c r="LG21" s="47"/>
      <c r="LH21" s="47"/>
      <c r="LI21" s="47"/>
      <c r="LJ21" s="47"/>
      <c r="LK21" s="47"/>
      <c r="LL21" s="47"/>
      <c r="LM21" s="47"/>
      <c r="LN21" s="47"/>
      <c r="LO21" s="47"/>
      <c r="LP21" s="47"/>
      <c r="LQ21" s="47"/>
      <c r="LR21" s="47"/>
      <c r="LS21" s="47"/>
      <c r="LT21" s="47"/>
      <c r="LU21" s="47"/>
      <c r="LV21" s="47"/>
      <c r="LW21" s="47"/>
      <c r="LX21" s="47"/>
      <c r="LY21" s="47"/>
      <c r="LZ21" s="47"/>
      <c r="MA21" s="47"/>
      <c r="MB21" s="47"/>
      <c r="MC21" s="47"/>
      <c r="MD21" s="47"/>
      <c r="ME21" s="47"/>
      <c r="MF21" s="47"/>
      <c r="MG21" s="47"/>
      <c r="MH21" s="47"/>
      <c r="MI21" s="47"/>
      <c r="MJ21" s="47"/>
      <c r="MK21" s="47"/>
      <c r="ML21" s="47"/>
      <c r="MM21" s="47"/>
      <c r="MN21" s="47"/>
      <c r="MO21" s="47"/>
      <c r="MP21" s="47"/>
      <c r="MQ21" s="47"/>
      <c r="MR21" s="47"/>
      <c r="MS21" s="47"/>
      <c r="MT21" s="47"/>
      <c r="MU21" s="47"/>
      <c r="MV21" s="47"/>
      <c r="MW21" s="47"/>
      <c r="MX21" s="47"/>
      <c r="MY21" s="47"/>
      <c r="MZ21" s="47"/>
      <c r="NA21" s="47"/>
      <c r="NB21" s="47"/>
      <c r="NC21" s="47"/>
      <c r="ND21" s="47"/>
      <c r="NE21" s="47"/>
      <c r="NF21" s="47"/>
      <c r="NG21" s="47"/>
      <c r="NH21" s="47"/>
      <c r="NI21" s="47"/>
      <c r="NJ21" s="44"/>
      <c r="NK21" s="44"/>
      <c r="NL21" s="44"/>
      <c r="NM21" s="44"/>
      <c r="NN21" s="44"/>
      <c r="NO21" s="47"/>
      <c r="NP21" s="47"/>
      <c r="NQ21" s="47"/>
      <c r="NR21" s="47"/>
      <c r="NS21" s="47"/>
      <c r="NT21" s="47"/>
      <c r="NU21" s="47"/>
      <c r="NV21" s="47"/>
      <c r="NW21" s="47"/>
      <c r="NX21" s="47"/>
      <c r="NY21" s="47"/>
      <c r="NZ21" s="47"/>
      <c r="OA21" s="47"/>
      <c r="OB21" s="47"/>
      <c r="OC21" s="47"/>
      <c r="OD21" s="47"/>
      <c r="OE21" s="47"/>
      <c r="OF21" s="47"/>
      <c r="OG21" s="47"/>
      <c r="OH21" s="47"/>
      <c r="OI21" s="47"/>
      <c r="OJ21" s="47"/>
      <c r="OK21" s="47"/>
      <c r="OL21" s="47"/>
      <c r="OM21" s="47"/>
      <c r="ON21" s="47"/>
      <c r="OO21" s="47"/>
      <c r="OP21" s="47"/>
      <c r="OQ21" s="47"/>
      <c r="OR21" s="47"/>
      <c r="OS21" s="47"/>
      <c r="OT21" s="47"/>
      <c r="OU21" s="47"/>
      <c r="OV21" s="47"/>
      <c r="OW21" s="47"/>
      <c r="OX21" s="47"/>
      <c r="OY21" s="47"/>
      <c r="OZ21" s="47"/>
      <c r="PA21" s="47"/>
      <c r="PB21" s="47"/>
      <c r="PC21" s="47"/>
      <c r="PD21" s="47"/>
      <c r="PE21" s="47"/>
      <c r="PF21" s="47"/>
      <c r="PG21" s="47"/>
      <c r="PH21" s="47"/>
      <c r="PI21" s="47"/>
      <c r="PJ21" s="47"/>
      <c r="PK21" s="47"/>
      <c r="PL21" s="47"/>
      <c r="PM21" s="47"/>
      <c r="PN21" s="47"/>
      <c r="PO21" s="47"/>
      <c r="PP21" s="47"/>
      <c r="PQ21" s="47"/>
      <c r="PR21" s="47"/>
      <c r="PS21" s="47"/>
      <c r="PT21" s="47"/>
      <c r="PU21" s="47"/>
      <c r="PV21" s="47"/>
      <c r="PW21" s="47"/>
      <c r="PX21" s="47"/>
      <c r="PY21" s="47"/>
      <c r="PZ21" s="47"/>
      <c r="QA21" s="47"/>
      <c r="QB21" s="47"/>
      <c r="QC21" s="47"/>
      <c r="QD21" s="47"/>
      <c r="QE21" s="47"/>
      <c r="QF21" s="47"/>
      <c r="QG21" s="47"/>
      <c r="QH21" s="47"/>
      <c r="QI21" s="47"/>
      <c r="QJ21" s="47"/>
      <c r="QK21" s="47"/>
      <c r="QL21" s="47"/>
      <c r="QM21" s="47"/>
      <c r="QN21" s="47"/>
      <c r="QO21" s="47"/>
      <c r="QP21" s="47"/>
      <c r="QQ21" s="47"/>
      <c r="QR21" s="47"/>
      <c r="QS21" s="47"/>
      <c r="QT21" s="47"/>
      <c r="QU21" s="47"/>
      <c r="QV21" s="47"/>
      <c r="QW21" s="47"/>
      <c r="QX21" s="47"/>
      <c r="QY21" s="47"/>
      <c r="QZ21" s="47"/>
      <c r="RA21" s="47"/>
      <c r="RB21" s="47"/>
      <c r="RC21" s="47"/>
      <c r="RD21" s="47"/>
      <c r="RE21" s="47"/>
      <c r="RF21" s="47"/>
      <c r="RG21" s="47"/>
      <c r="RH21" s="47"/>
      <c r="RI21" s="47"/>
      <c r="RJ21" s="47"/>
      <c r="RK21" s="47"/>
      <c r="RL21" s="47"/>
      <c r="RM21" s="47"/>
      <c r="RN21" s="47"/>
      <c r="RO21" s="47"/>
      <c r="RP21" s="47"/>
      <c r="RQ21" s="47"/>
      <c r="RR21" s="47"/>
      <c r="RS21" s="47"/>
      <c r="RT21" s="47"/>
      <c r="RU21" s="47"/>
      <c r="RV21" s="47"/>
      <c r="RW21" s="47"/>
      <c r="RX21" s="47"/>
      <c r="RY21" s="47"/>
      <c r="RZ21" s="47"/>
      <c r="SA21" s="47"/>
      <c r="SB21" s="47"/>
      <c r="SC21" s="47"/>
      <c r="SD21" s="47"/>
      <c r="SE21" s="47"/>
      <c r="SF21" s="47"/>
      <c r="SG21" s="47"/>
      <c r="SH21" s="47"/>
      <c r="SI21" s="47"/>
      <c r="SJ21" s="47"/>
      <c r="SK21" s="47"/>
      <c r="SL21" s="47"/>
      <c r="SM21" s="47"/>
      <c r="SN21" s="47"/>
      <c r="SO21" s="47"/>
      <c r="SP21" s="47"/>
      <c r="SQ21" s="47"/>
      <c r="SR21" s="47"/>
      <c r="SS21" s="47"/>
      <c r="ST21" s="47"/>
      <c r="SU21" s="47"/>
      <c r="SV21" s="47"/>
      <c r="SW21" s="47"/>
      <c r="SX21" s="47"/>
      <c r="SY21" s="47"/>
      <c r="SZ21" s="47"/>
      <c r="TA21" s="47"/>
      <c r="TB21" s="47"/>
      <c r="TC21" s="47"/>
      <c r="TD21" s="47"/>
      <c r="TE21" s="47"/>
      <c r="TF21" s="47"/>
      <c r="TG21" s="47"/>
      <c r="TH21" s="47"/>
      <c r="TI21" s="47"/>
      <c r="TJ21" s="47"/>
      <c r="TK21" s="47"/>
      <c r="TL21" s="47"/>
      <c r="TM21" s="47"/>
      <c r="TN21" s="47"/>
      <c r="TO21" s="47"/>
      <c r="TP21" s="47"/>
      <c r="TQ21" s="47"/>
      <c r="TR21" s="47"/>
      <c r="TS21" s="47"/>
      <c r="TT21" s="47"/>
      <c r="TU21" s="47"/>
      <c r="TV21" s="47"/>
      <c r="TW21" s="47"/>
      <c r="TX21" s="47" t="s">
        <v>529</v>
      </c>
      <c r="TY21" s="47"/>
      <c r="TZ21" s="47"/>
      <c r="UA21" s="47"/>
      <c r="UB21" s="47"/>
      <c r="UC21" s="47"/>
      <c r="UD21" s="47"/>
      <c r="UE21" s="47"/>
      <c r="UF21" s="47"/>
      <c r="UG21" s="47"/>
      <c r="UH21" s="47"/>
      <c r="UI21" s="47"/>
      <c r="UJ21" s="47"/>
      <c r="UK21" s="47"/>
      <c r="UL21" s="47"/>
      <c r="UM21" s="47"/>
      <c r="UN21" s="47"/>
      <c r="UO21" s="47"/>
      <c r="UP21" s="47"/>
      <c r="UQ21" s="47"/>
      <c r="UR21" s="47"/>
      <c r="US21" s="47"/>
      <c r="UT21" s="47"/>
      <c r="UU21" s="47"/>
      <c r="UV21" s="47"/>
      <c r="UW21" s="47"/>
      <c r="UX21" s="47"/>
      <c r="UY21" s="47"/>
      <c r="UZ21" s="47"/>
      <c r="VA21" s="47"/>
      <c r="VB21" s="47"/>
      <c r="VC21" s="47"/>
      <c r="VD21" s="47"/>
      <c r="VE21" s="47"/>
      <c r="VF21" s="47"/>
      <c r="VG21" s="47"/>
      <c r="VH21" s="47"/>
      <c r="VI21" s="47"/>
      <c r="VJ21" s="47"/>
      <c r="VK21" s="47"/>
      <c r="VL21" s="47"/>
      <c r="VM21" s="47"/>
      <c r="VN21" s="47"/>
      <c r="VO21" s="47"/>
      <c r="VP21" s="47"/>
      <c r="VQ21" s="47"/>
      <c r="VR21" s="47"/>
      <c r="VS21" s="47"/>
      <c r="VT21" s="47"/>
      <c r="VU21" s="47"/>
      <c r="VV21" s="47"/>
      <c r="VW21" s="47"/>
      <c r="VX21" s="47"/>
      <c r="VY21" s="47"/>
      <c r="VZ21" s="47"/>
      <c r="WA21" s="47"/>
      <c r="WB21" s="47"/>
      <c r="WC21" s="47"/>
      <c r="WD21" s="47"/>
      <c r="WE21" s="47"/>
      <c r="WF21" s="47"/>
      <c r="WG21" s="47"/>
      <c r="WH21" s="47"/>
      <c r="WI21" s="47"/>
      <c r="WJ21" s="47"/>
      <c r="WK21" s="47"/>
      <c r="WL21" s="47"/>
      <c r="WM21" s="47"/>
      <c r="WN21" s="47"/>
      <c r="WO21" s="47"/>
      <c r="WP21" s="47"/>
      <c r="WQ21" s="47"/>
      <c r="WR21" s="47"/>
      <c r="WS21" s="47"/>
      <c r="WT21" s="47"/>
      <c r="WU21" s="47"/>
      <c r="WV21" s="47"/>
      <c r="WW21" s="47"/>
      <c r="WX21" s="47"/>
      <c r="WY21" s="47"/>
      <c r="WZ21" s="47"/>
      <c r="XA21" s="47"/>
      <c r="XB21" s="47"/>
      <c r="XC21" s="47"/>
      <c r="XD21" s="47"/>
      <c r="XE21" s="47"/>
      <c r="XF21" s="47"/>
      <c r="XG21" s="47"/>
      <c r="XH21" s="47"/>
      <c r="XI21" s="47"/>
      <c r="XJ21" s="47"/>
      <c r="XK21" s="47"/>
      <c r="XL21" s="47"/>
      <c r="XM21" s="47"/>
      <c r="XN21" s="47"/>
      <c r="XO21" s="47"/>
      <c r="XP21" s="47"/>
      <c r="XQ21" s="47"/>
      <c r="XR21" s="47"/>
      <c r="XS21" s="47"/>
      <c r="XT21" s="47"/>
      <c r="XU21" s="47"/>
      <c r="XV21" s="47"/>
      <c r="XW21" s="47"/>
      <c r="XX21" s="47"/>
      <c r="XY21" s="47"/>
      <c r="XZ21" s="47"/>
      <c r="YA21" s="44"/>
      <c r="YB21" s="44"/>
      <c r="YC21" s="44"/>
      <c r="YD21" s="44"/>
      <c r="YE21" s="44"/>
      <c r="YF21" s="47"/>
      <c r="YG21" s="47"/>
      <c r="YH21" s="47"/>
      <c r="YI21" s="47"/>
      <c r="YJ21" s="47"/>
      <c r="YK21" s="47"/>
      <c r="YL21" s="47"/>
      <c r="YM21" s="47"/>
      <c r="YN21" s="47"/>
      <c r="YO21" s="47"/>
      <c r="YP21" s="47"/>
      <c r="YQ21" s="47"/>
      <c r="YR21" s="47"/>
      <c r="YS21" s="47"/>
      <c r="YT21" s="47"/>
      <c r="YU21" s="47"/>
      <c r="YV21" s="47"/>
      <c r="YW21" s="47"/>
      <c r="YX21" s="47"/>
      <c r="YY21" s="47"/>
      <c r="YZ21" s="47"/>
      <c r="ZA21" s="47"/>
      <c r="ZB21" s="47"/>
      <c r="ZC21" s="47"/>
      <c r="ZD21" s="47"/>
      <c r="ZE21" s="47"/>
      <c r="ZF21" s="47"/>
      <c r="ZG21" s="47"/>
      <c r="ZH21" s="47"/>
      <c r="ZI21" s="47"/>
      <c r="ZJ21" s="47"/>
      <c r="ZK21" s="47"/>
      <c r="ZL21" s="47"/>
      <c r="ZM21" s="47"/>
      <c r="ZN21" s="47"/>
      <c r="ZO21" s="47"/>
      <c r="ZP21" s="47"/>
      <c r="ZQ21" s="47"/>
      <c r="ZR21" s="47"/>
      <c r="ZS21" s="47"/>
      <c r="ZT21" s="47"/>
      <c r="ZU21" s="47"/>
      <c r="ZV21" s="47"/>
      <c r="ZW21" s="44"/>
      <c r="ZX21" s="44"/>
      <c r="ZY21" s="44"/>
      <c r="ZZ21" s="44"/>
      <c r="AAA21" s="44"/>
      <c r="AAB21" s="44"/>
      <c r="AAC21" s="44"/>
      <c r="AAD21" s="44"/>
      <c r="AAE21" s="44"/>
      <c r="AAF21" s="44"/>
      <c r="AAG21" s="47"/>
      <c r="AAH21" s="47"/>
      <c r="AAI21" s="47"/>
      <c r="AAJ21" s="47"/>
      <c r="AAK21" s="50">
        <v>0.72299999999999998</v>
      </c>
      <c r="AAL21" s="47"/>
      <c r="AAM21" s="47"/>
      <c r="AAN21" s="47"/>
      <c r="AAO21" s="47"/>
      <c r="AAP21" s="47"/>
      <c r="AAQ21" s="47"/>
      <c r="AAR21" s="47"/>
      <c r="AAS21" s="47"/>
      <c r="AAT21" s="47" t="s">
        <v>533</v>
      </c>
      <c r="AAU21" s="47" t="s">
        <v>534</v>
      </c>
      <c r="AAV21" s="47" t="s">
        <v>535</v>
      </c>
      <c r="AAW21" s="47" t="s">
        <v>537</v>
      </c>
      <c r="AAX21" s="47"/>
      <c r="AAY21" s="47"/>
      <c r="AAZ21" s="47"/>
      <c r="ABA21" s="47"/>
      <c r="ABB21" s="47"/>
      <c r="ABC21" s="47"/>
      <c r="ABD21" s="47"/>
      <c r="ABE21" s="47"/>
      <c r="ABF21" s="47"/>
      <c r="ABG21" s="47"/>
      <c r="ABH21" s="47"/>
      <c r="ABI21" s="47"/>
      <c r="ABJ21" s="47"/>
      <c r="ABK21" s="47"/>
      <c r="ABL21" s="47"/>
      <c r="ABM21" s="47"/>
      <c r="ABN21" s="47"/>
      <c r="ABO21" s="47"/>
      <c r="ABP21" s="47"/>
      <c r="ABQ21" s="47"/>
      <c r="ABR21" s="47"/>
      <c r="ABS21" s="47"/>
      <c r="ABT21" s="47"/>
      <c r="ABU21" s="47"/>
      <c r="ABV21" s="47"/>
      <c r="ABW21" s="47"/>
      <c r="ABX21" s="47"/>
      <c r="ABY21" s="47"/>
      <c r="ABZ21" s="47"/>
      <c r="ACA21" s="47"/>
      <c r="ACB21" s="47"/>
      <c r="ACC21" s="47"/>
      <c r="ACD21" s="47"/>
      <c r="ACE21" s="47"/>
      <c r="ACF21" s="47"/>
      <c r="ACG21" s="47"/>
      <c r="ACH21" s="48"/>
    </row>
    <row r="22" spans="1:762" x14ac:dyDescent="0.25">
      <c r="A22" s="42" t="s">
        <v>48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  <c r="EE22" s="43"/>
      <c r="EF22" s="43"/>
      <c r="EG22" s="43"/>
      <c r="EH22" s="43"/>
      <c r="EI22" s="43"/>
      <c r="EJ22" s="43"/>
      <c r="EK22" s="43"/>
      <c r="EL22" s="43"/>
      <c r="EM22" s="43"/>
      <c r="EN22" s="43"/>
      <c r="EO22" s="43"/>
      <c r="EP22" s="43"/>
      <c r="EQ22" s="43"/>
      <c r="ER22" s="43"/>
      <c r="ES22" s="43"/>
      <c r="ET22" s="43"/>
      <c r="EU22" s="43"/>
      <c r="EV22" s="43"/>
      <c r="EW22" s="43"/>
      <c r="EX22" s="43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  <c r="IU22" s="43"/>
      <c r="IV22" s="43"/>
      <c r="IW22" s="43"/>
      <c r="IX22" s="43"/>
      <c r="IY22" s="43"/>
      <c r="IZ22" s="43"/>
      <c r="JA22" s="43"/>
      <c r="JB22" s="43"/>
      <c r="JC22" s="43"/>
      <c r="JD22" s="43"/>
      <c r="JE22" s="43"/>
      <c r="JF22" s="43"/>
      <c r="JG22" s="43"/>
      <c r="JH22" s="43"/>
      <c r="JI22" s="43"/>
      <c r="JJ22" s="43"/>
      <c r="JK22" s="43"/>
      <c r="JL22" s="43"/>
      <c r="JM22" s="43"/>
      <c r="JN22" s="43"/>
      <c r="JO22" s="43"/>
      <c r="JP22" s="43"/>
      <c r="JQ22" s="43"/>
      <c r="JR22" s="43"/>
      <c r="JS22" s="43"/>
      <c r="JT22" s="43"/>
      <c r="JU22" s="43"/>
      <c r="JV22" s="43"/>
      <c r="JW22" s="43"/>
      <c r="JX22" s="43"/>
      <c r="JY22" s="43"/>
      <c r="JZ22" s="43"/>
      <c r="KA22" s="43"/>
      <c r="KB22" s="43"/>
      <c r="KC22" s="43"/>
      <c r="KD22" s="43"/>
      <c r="KE22" s="43"/>
      <c r="KF22" s="43"/>
      <c r="KG22" s="43"/>
      <c r="KH22" s="43"/>
      <c r="KI22" s="43"/>
      <c r="KJ22" s="43"/>
      <c r="KK22" s="43"/>
      <c r="KL22" s="43"/>
      <c r="KM22" s="43"/>
      <c r="KN22" s="43"/>
      <c r="KO22" s="43"/>
      <c r="KP22" s="43"/>
      <c r="KQ22" s="43"/>
      <c r="KR22" s="43"/>
      <c r="KS22" s="43"/>
      <c r="KT22" s="43"/>
      <c r="KU22" s="43"/>
      <c r="KV22" s="43"/>
      <c r="KW22" s="43"/>
      <c r="KX22" s="43"/>
      <c r="KY22" s="43"/>
      <c r="KZ22" s="43"/>
      <c r="LA22" s="43"/>
      <c r="LB22" s="43"/>
      <c r="LC22" s="43"/>
      <c r="LD22" s="43"/>
      <c r="LE22" s="43"/>
      <c r="LF22" s="43"/>
      <c r="LG22" s="43"/>
      <c r="LH22" s="43"/>
      <c r="LI22" s="43"/>
      <c r="LJ22" s="43"/>
      <c r="LK22" s="43"/>
      <c r="LL22" s="43"/>
      <c r="LM22" s="43"/>
      <c r="LN22" s="43"/>
      <c r="LO22" s="43"/>
      <c r="LP22" s="43"/>
      <c r="LQ22" s="43"/>
      <c r="LR22" s="43"/>
      <c r="LS22" s="43"/>
      <c r="LT22" s="43"/>
      <c r="LU22" s="43"/>
      <c r="LV22" s="43"/>
      <c r="LW22" s="43"/>
      <c r="LX22" s="43"/>
      <c r="LY22" s="43"/>
      <c r="LZ22" s="43"/>
      <c r="MA22" s="43"/>
      <c r="MB22" s="43"/>
      <c r="MC22" s="43"/>
      <c r="MD22" s="43"/>
      <c r="ME22" s="43"/>
      <c r="MF22" s="43"/>
      <c r="MG22" s="43"/>
      <c r="MH22" s="43"/>
      <c r="MI22" s="43"/>
      <c r="MJ22" s="43"/>
      <c r="MK22" s="43"/>
      <c r="ML22" s="43"/>
      <c r="MM22" s="43"/>
      <c r="MN22" s="43"/>
      <c r="MO22" s="43"/>
      <c r="MP22" s="43"/>
      <c r="MQ22" s="43"/>
      <c r="MR22" s="43"/>
      <c r="MS22" s="43"/>
      <c r="MT22" s="43"/>
      <c r="MU22" s="43"/>
      <c r="MV22" s="43"/>
      <c r="MW22" s="43"/>
      <c r="MX22" s="43"/>
      <c r="MY22" s="43"/>
      <c r="MZ22" s="43"/>
      <c r="NA22" s="43"/>
      <c r="NB22" s="43"/>
      <c r="NC22" s="43"/>
      <c r="ND22" s="43"/>
      <c r="NE22" s="43"/>
      <c r="NF22" s="43"/>
      <c r="NG22" s="43"/>
      <c r="NH22" s="43"/>
      <c r="NI22" s="43"/>
      <c r="NJ22" s="44"/>
      <c r="NK22" s="44"/>
      <c r="NL22" s="44"/>
      <c r="NM22" s="44"/>
      <c r="NN22" s="44"/>
      <c r="NO22" s="43"/>
      <c r="NP22" s="43"/>
      <c r="NQ22" s="43"/>
      <c r="NR22" s="43"/>
      <c r="NS22" s="43"/>
      <c r="NT22" s="43"/>
      <c r="NU22" s="43"/>
      <c r="NV22" s="43"/>
      <c r="NW22" s="43"/>
      <c r="NX22" s="43"/>
      <c r="NY22" s="43"/>
      <c r="NZ22" s="43"/>
      <c r="OA22" s="43"/>
      <c r="OB22" s="43"/>
      <c r="OC22" s="43"/>
      <c r="OD22" s="43"/>
      <c r="OE22" s="43"/>
      <c r="OF22" s="43"/>
      <c r="OG22" s="43"/>
      <c r="OH22" s="43"/>
      <c r="OI22" s="43"/>
      <c r="OJ22" s="43"/>
      <c r="OK22" s="43"/>
      <c r="OL22" s="43"/>
      <c r="OM22" s="43"/>
      <c r="ON22" s="43"/>
      <c r="OO22" s="43"/>
      <c r="OP22" s="43"/>
      <c r="OQ22" s="43"/>
      <c r="OR22" s="43"/>
      <c r="OS22" s="43"/>
      <c r="OT22" s="43"/>
      <c r="OU22" s="43"/>
      <c r="OV22" s="43"/>
      <c r="OW22" s="43"/>
      <c r="OX22" s="43"/>
      <c r="OY22" s="43"/>
      <c r="OZ22" s="43"/>
      <c r="PA22" s="43"/>
      <c r="PB22" s="43"/>
      <c r="PC22" s="43"/>
      <c r="PD22" s="43"/>
      <c r="PE22" s="43"/>
      <c r="PF22" s="43"/>
      <c r="PG22" s="43"/>
      <c r="PH22" s="43"/>
      <c r="PI22" s="43"/>
      <c r="PJ22" s="43"/>
      <c r="PK22" s="43"/>
      <c r="PL22" s="43"/>
      <c r="PM22" s="43"/>
      <c r="PN22" s="43"/>
      <c r="PO22" s="43"/>
      <c r="PP22" s="43"/>
      <c r="PQ22" s="43"/>
      <c r="PR22" s="43"/>
      <c r="PS22" s="43"/>
      <c r="PT22" s="43"/>
      <c r="PU22" s="43"/>
      <c r="PV22" s="43"/>
      <c r="PW22" s="43"/>
      <c r="PX22" s="43"/>
      <c r="PY22" s="43"/>
      <c r="PZ22" s="43"/>
      <c r="QA22" s="43"/>
      <c r="QB22" s="43"/>
      <c r="QC22" s="43"/>
      <c r="QD22" s="43"/>
      <c r="QE22" s="43"/>
      <c r="QF22" s="43"/>
      <c r="QG22" s="43"/>
      <c r="QH22" s="43"/>
      <c r="QI22" s="43"/>
      <c r="QJ22" s="43"/>
      <c r="QK22" s="43"/>
      <c r="QL22" s="43"/>
      <c r="QM22" s="43"/>
      <c r="QN22" s="43"/>
      <c r="QO22" s="43"/>
      <c r="QP22" s="43"/>
      <c r="QQ22" s="43"/>
      <c r="QR22" s="43"/>
      <c r="QS22" s="43"/>
      <c r="QT22" s="43"/>
      <c r="QU22" s="43"/>
      <c r="QV22" s="43"/>
      <c r="QW22" s="43"/>
      <c r="QX22" s="43"/>
      <c r="QY22" s="43"/>
      <c r="QZ22" s="43"/>
      <c r="RA22" s="43"/>
      <c r="RB22" s="43"/>
      <c r="RC22" s="43"/>
      <c r="RD22" s="43"/>
      <c r="RE22" s="43"/>
      <c r="RF22" s="43"/>
      <c r="RG22" s="43"/>
      <c r="RH22" s="43"/>
      <c r="RI22" s="43"/>
      <c r="RJ22" s="43"/>
      <c r="RK22" s="43"/>
      <c r="RL22" s="43"/>
      <c r="RM22" s="43"/>
      <c r="RN22" s="43"/>
      <c r="RO22" s="43"/>
      <c r="RP22" s="43"/>
      <c r="RQ22" s="43"/>
      <c r="RR22" s="43"/>
      <c r="RS22" s="43"/>
      <c r="RT22" s="43"/>
      <c r="RU22" s="43"/>
      <c r="RV22" s="43"/>
      <c r="RW22" s="43"/>
      <c r="RX22" s="43"/>
      <c r="RY22" s="43"/>
      <c r="RZ22" s="43"/>
      <c r="SA22" s="43"/>
      <c r="SB22" s="43"/>
      <c r="SC22" s="43"/>
      <c r="SD22" s="43"/>
      <c r="SE22" s="43"/>
      <c r="SF22" s="43"/>
      <c r="SG22" s="43"/>
      <c r="SH22" s="43"/>
      <c r="SI22" s="43"/>
      <c r="SJ22" s="43"/>
      <c r="SK22" s="43"/>
      <c r="SL22" s="43"/>
      <c r="SM22" s="43"/>
      <c r="SN22" s="43"/>
      <c r="SO22" s="43"/>
      <c r="SP22" s="43"/>
      <c r="SQ22" s="43"/>
      <c r="SR22" s="43"/>
      <c r="SS22" s="43"/>
      <c r="ST22" s="43"/>
      <c r="SU22" s="43"/>
      <c r="SV22" s="43"/>
      <c r="SW22" s="43"/>
      <c r="SX22" s="43"/>
      <c r="SY22" s="43"/>
      <c r="SZ22" s="43"/>
      <c r="TA22" s="43"/>
      <c r="TB22" s="43"/>
      <c r="TC22" s="43"/>
      <c r="TD22" s="43"/>
      <c r="TE22" s="43"/>
      <c r="TF22" s="43"/>
      <c r="TG22" s="43"/>
      <c r="TH22" s="43"/>
      <c r="TI22" s="43"/>
      <c r="TJ22" s="43"/>
      <c r="TK22" s="43"/>
      <c r="TL22" s="43"/>
      <c r="TM22" s="43"/>
      <c r="TN22" s="43"/>
      <c r="TO22" s="43"/>
      <c r="TP22" s="43"/>
      <c r="TQ22" s="43"/>
      <c r="TR22" s="43"/>
      <c r="TS22" s="43"/>
      <c r="TT22" s="43"/>
      <c r="TU22" s="43"/>
      <c r="TV22" s="43"/>
      <c r="TW22" s="43"/>
      <c r="TX22" s="43"/>
      <c r="TY22" s="43"/>
      <c r="TZ22" s="43"/>
      <c r="UA22" s="43"/>
      <c r="UB22" s="43"/>
      <c r="UC22" s="43"/>
      <c r="UD22" s="43"/>
      <c r="UE22" s="43"/>
      <c r="UF22" s="43"/>
      <c r="UG22" s="43"/>
      <c r="UH22" s="43"/>
      <c r="UI22" s="43"/>
      <c r="UJ22" s="43"/>
      <c r="UK22" s="43"/>
      <c r="UL22" s="43"/>
      <c r="UM22" s="43"/>
      <c r="UN22" s="43"/>
      <c r="UO22" s="43"/>
      <c r="UP22" s="43"/>
      <c r="UQ22" s="43"/>
      <c r="UR22" s="43"/>
      <c r="US22" s="43"/>
      <c r="UT22" s="43"/>
      <c r="UU22" s="43"/>
      <c r="UV22" s="43"/>
      <c r="UW22" s="43"/>
      <c r="UX22" s="43"/>
      <c r="UY22" s="43"/>
      <c r="UZ22" s="43"/>
      <c r="VA22" s="43"/>
      <c r="VB22" s="43"/>
      <c r="VC22" s="43"/>
      <c r="VD22" s="43"/>
      <c r="VE22" s="43"/>
      <c r="VF22" s="43"/>
      <c r="VG22" s="43"/>
      <c r="VH22" s="43"/>
      <c r="VI22" s="43"/>
      <c r="VJ22" s="43"/>
      <c r="VK22" s="43"/>
      <c r="VL22" s="43"/>
      <c r="VM22" s="43"/>
      <c r="VN22" s="43"/>
      <c r="VO22" s="43"/>
      <c r="VP22" s="43"/>
      <c r="VQ22" s="43"/>
      <c r="VR22" s="43"/>
      <c r="VS22" s="43"/>
      <c r="VT22" s="43"/>
      <c r="VU22" s="43"/>
      <c r="VV22" s="43"/>
      <c r="VW22" s="43"/>
      <c r="VX22" s="43"/>
      <c r="VY22" s="43"/>
      <c r="VZ22" s="43"/>
      <c r="WA22" s="43"/>
      <c r="WB22" s="43"/>
      <c r="WC22" s="43"/>
      <c r="WD22" s="43"/>
      <c r="WE22" s="43"/>
      <c r="WF22" s="43"/>
      <c r="WG22" s="43"/>
      <c r="WH22" s="43"/>
      <c r="WI22" s="43"/>
      <c r="WJ22" s="43"/>
      <c r="WK22" s="43"/>
      <c r="WL22" s="43"/>
      <c r="WM22" s="43"/>
      <c r="WN22" s="43"/>
      <c r="WO22" s="43"/>
      <c r="WP22" s="43"/>
      <c r="WQ22" s="43"/>
      <c r="WR22" s="43"/>
      <c r="WS22" s="43"/>
      <c r="WT22" s="43"/>
      <c r="WU22" s="43"/>
      <c r="WV22" s="43"/>
      <c r="WW22" s="43"/>
      <c r="WX22" s="43"/>
      <c r="WY22" s="43"/>
      <c r="WZ22" s="43"/>
      <c r="XA22" s="43"/>
      <c r="XB22" s="43"/>
      <c r="XC22" s="43"/>
      <c r="XD22" s="43"/>
      <c r="XE22" s="43"/>
      <c r="XF22" s="43"/>
      <c r="XG22" s="43"/>
      <c r="XH22" s="43"/>
      <c r="XI22" s="43"/>
      <c r="XJ22" s="43"/>
      <c r="XK22" s="43"/>
      <c r="XL22" s="43"/>
      <c r="XM22" s="43"/>
      <c r="XN22" s="43"/>
      <c r="XO22" s="43"/>
      <c r="XP22" s="43"/>
      <c r="XQ22" s="43"/>
      <c r="XR22" s="43"/>
      <c r="XS22" s="43"/>
      <c r="XT22" s="43"/>
      <c r="XU22" s="43"/>
      <c r="XV22" s="43"/>
      <c r="XW22" s="43"/>
      <c r="XX22" s="43"/>
      <c r="XY22" s="43"/>
      <c r="XZ22" s="43"/>
      <c r="YA22" s="44"/>
      <c r="YB22" s="44"/>
      <c r="YC22" s="44"/>
      <c r="YD22" s="44"/>
      <c r="YE22" s="44"/>
      <c r="YF22" s="43"/>
      <c r="YG22" s="43"/>
      <c r="YH22" s="43"/>
      <c r="YI22" s="43"/>
      <c r="YJ22" s="43"/>
      <c r="YK22" s="43"/>
      <c r="YL22" s="43"/>
      <c r="YM22" s="43"/>
      <c r="YN22" s="43"/>
      <c r="YO22" s="43"/>
      <c r="YP22" s="43"/>
      <c r="YQ22" s="43"/>
      <c r="YR22" s="43"/>
      <c r="YS22" s="43"/>
      <c r="YT22" s="43"/>
      <c r="YU22" s="43"/>
      <c r="YV22" s="43"/>
      <c r="YW22" s="43"/>
      <c r="YX22" s="43"/>
      <c r="YY22" s="43"/>
      <c r="YZ22" s="43"/>
      <c r="ZA22" s="43"/>
      <c r="ZB22" s="43"/>
      <c r="ZC22" s="43"/>
      <c r="ZD22" s="43"/>
      <c r="ZE22" s="43"/>
      <c r="ZF22" s="43"/>
      <c r="ZG22" s="43"/>
      <c r="ZH22" s="43"/>
      <c r="ZI22" s="43"/>
      <c r="ZJ22" s="43"/>
      <c r="ZK22" s="43"/>
      <c r="ZL22" s="43"/>
      <c r="ZM22" s="43"/>
      <c r="ZN22" s="43"/>
      <c r="ZO22" s="43"/>
      <c r="ZP22" s="43"/>
      <c r="ZQ22" s="43"/>
      <c r="ZR22" s="43"/>
      <c r="ZS22" s="43"/>
      <c r="ZT22" s="43"/>
      <c r="ZU22" s="43"/>
      <c r="ZV22" s="43"/>
      <c r="ZW22" s="44"/>
      <c r="ZX22" s="44"/>
      <c r="ZY22" s="44"/>
      <c r="ZZ22" s="44"/>
      <c r="AAA22" s="44"/>
      <c r="AAB22" s="44"/>
      <c r="AAC22" s="44"/>
      <c r="AAD22" s="44"/>
      <c r="AAE22" s="44"/>
      <c r="AAF22" s="44"/>
      <c r="AAG22" s="43"/>
      <c r="AAH22" s="43"/>
      <c r="AAI22" s="43"/>
      <c r="AAJ22" s="43"/>
      <c r="AAK22" s="43"/>
      <c r="AAL22" s="43"/>
      <c r="AAM22" s="43"/>
      <c r="AAN22" s="43"/>
      <c r="AAO22" s="43"/>
      <c r="AAP22" s="43"/>
      <c r="AAQ22" s="43"/>
      <c r="AAR22" s="43"/>
      <c r="AAS22" s="43"/>
      <c r="AAT22" s="43"/>
      <c r="AAU22" s="43"/>
      <c r="AAV22" s="43"/>
      <c r="AAW22" s="43"/>
      <c r="AAX22" s="43"/>
      <c r="AAY22" s="43"/>
      <c r="AAZ22" s="43"/>
      <c r="ABA22" s="43"/>
      <c r="ABB22" s="43"/>
      <c r="ABC22" s="43"/>
      <c r="ABD22" s="43"/>
      <c r="ABE22" s="43"/>
      <c r="ABF22" s="43"/>
      <c r="ABG22" s="43"/>
      <c r="ABH22" s="43"/>
      <c r="ABI22" s="43"/>
      <c r="ABJ22" s="43"/>
      <c r="ABK22" s="43"/>
      <c r="ABL22" s="43"/>
      <c r="ABM22" s="43"/>
      <c r="ABN22" s="43"/>
      <c r="ABO22" s="43"/>
      <c r="ABP22" s="43"/>
      <c r="ABQ22" s="43"/>
      <c r="ABR22" s="43"/>
      <c r="ABS22" s="43"/>
      <c r="ABT22" s="43"/>
      <c r="ABU22" s="43"/>
      <c r="ABV22" s="43"/>
      <c r="ABW22" s="43"/>
      <c r="ABX22" s="43"/>
      <c r="ABY22" s="43"/>
      <c r="ABZ22" s="43"/>
      <c r="ACA22" s="43"/>
      <c r="ACB22" s="43"/>
      <c r="ACC22" s="43"/>
      <c r="ACD22" s="43"/>
      <c r="ACE22" s="43"/>
      <c r="ACF22" s="43"/>
      <c r="ACG22" s="43"/>
      <c r="ACH22" s="45"/>
    </row>
    <row r="23" spans="1:762" x14ac:dyDescent="0.25">
      <c r="A23" s="46" t="s">
        <v>50</v>
      </c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  <c r="BW23" s="47"/>
      <c r="BX23" s="47"/>
      <c r="BY23" s="47"/>
      <c r="BZ23" s="47"/>
      <c r="CA23" s="47"/>
      <c r="CB23" s="47"/>
      <c r="CC23" s="47"/>
      <c r="CD23" s="47"/>
      <c r="CE23" s="47"/>
      <c r="CF23" s="47"/>
      <c r="CG23" s="47"/>
      <c r="CH23" s="47"/>
      <c r="CI23" s="47"/>
      <c r="CJ23" s="47"/>
      <c r="CK23" s="47"/>
      <c r="CL23" s="47"/>
      <c r="CM23" s="47"/>
      <c r="CN23" s="47"/>
      <c r="CO23" s="47"/>
      <c r="CP23" s="47"/>
      <c r="CQ23" s="47"/>
      <c r="CR23" s="47"/>
      <c r="CS23" s="47"/>
      <c r="CT23" s="47"/>
      <c r="CU23" s="47"/>
      <c r="CV23" s="47"/>
      <c r="CW23" s="47"/>
      <c r="CX23" s="47"/>
      <c r="CY23" s="47"/>
      <c r="CZ23" s="47"/>
      <c r="DA23" s="47"/>
      <c r="DB23" s="47"/>
      <c r="DC23" s="47"/>
      <c r="DD23" s="47" t="s">
        <v>538</v>
      </c>
      <c r="DE23" s="47"/>
      <c r="DF23" s="47"/>
      <c r="DG23" s="47"/>
      <c r="DH23" s="47"/>
      <c r="DI23" s="47"/>
      <c r="DJ23" s="47"/>
      <c r="DK23" s="47"/>
      <c r="DL23" s="47"/>
      <c r="DM23" s="47"/>
      <c r="DN23" s="47"/>
      <c r="DO23" s="47"/>
      <c r="DP23" s="47"/>
      <c r="DQ23" s="47"/>
      <c r="DR23" s="47"/>
      <c r="DS23" s="47"/>
      <c r="DT23" s="47"/>
      <c r="DU23" s="47"/>
      <c r="DV23" s="47"/>
      <c r="DW23" s="47"/>
      <c r="DX23" s="47"/>
      <c r="DY23" s="47"/>
      <c r="DZ23" s="47"/>
      <c r="EA23" s="47"/>
      <c r="EB23" s="47"/>
      <c r="EC23" s="47"/>
      <c r="ED23" s="47"/>
      <c r="EE23" s="47"/>
      <c r="EF23" s="47" t="s">
        <v>539</v>
      </c>
      <c r="EG23" s="47"/>
      <c r="EH23" s="47"/>
      <c r="EI23" s="47"/>
      <c r="EJ23" s="47"/>
      <c r="EK23" s="47"/>
      <c r="EL23" s="47"/>
      <c r="EM23" s="47">
        <v>1.85</v>
      </c>
      <c r="EN23" s="47"/>
      <c r="EO23" s="47"/>
      <c r="EP23" s="47"/>
      <c r="EQ23" s="47"/>
      <c r="ER23" s="47"/>
      <c r="ES23" s="47"/>
      <c r="ET23" s="47"/>
      <c r="EU23" s="47"/>
      <c r="EV23" s="47"/>
      <c r="EW23" s="47"/>
      <c r="EX23" s="47"/>
      <c r="EY23" s="47"/>
      <c r="EZ23" s="47"/>
      <c r="FA23" s="47"/>
      <c r="FB23" s="47"/>
      <c r="FC23" s="47"/>
      <c r="FD23" s="47"/>
      <c r="FE23" s="47"/>
      <c r="FF23" s="47"/>
      <c r="FG23" s="47"/>
      <c r="FH23" s="47">
        <v>1.6</v>
      </c>
      <c r="FI23" s="47"/>
      <c r="FJ23" s="47"/>
      <c r="FK23" s="47"/>
      <c r="FL23" s="47"/>
      <c r="FM23" s="47"/>
      <c r="FN23" s="47"/>
      <c r="FO23" s="47"/>
      <c r="FP23" s="47"/>
      <c r="FQ23" s="47"/>
      <c r="FR23" s="47"/>
      <c r="FS23" s="47"/>
      <c r="FT23" s="47"/>
      <c r="FU23" s="47"/>
      <c r="FV23" s="47"/>
      <c r="FW23" s="47"/>
      <c r="FX23" s="47"/>
      <c r="FY23" s="47"/>
      <c r="FZ23" s="47"/>
      <c r="GA23" s="47"/>
      <c r="GB23" s="47"/>
      <c r="GC23" s="47"/>
      <c r="GD23" s="47"/>
      <c r="GE23" s="47"/>
      <c r="GF23" s="47"/>
      <c r="GG23" s="47"/>
      <c r="GH23" s="47"/>
      <c r="GI23" s="47"/>
      <c r="GJ23" s="47"/>
      <c r="GK23" s="47"/>
      <c r="GL23" s="47"/>
      <c r="GM23" s="47"/>
      <c r="GN23" s="47"/>
      <c r="GO23" s="47"/>
      <c r="GP23" s="47"/>
      <c r="GQ23" s="47"/>
      <c r="GR23" s="47"/>
      <c r="GS23" s="47"/>
      <c r="GT23" s="47"/>
      <c r="GU23" s="47">
        <v>2.89</v>
      </c>
      <c r="GV23" s="47"/>
      <c r="GW23" s="47"/>
      <c r="GX23" s="47"/>
      <c r="GY23" s="47"/>
      <c r="GZ23" s="47"/>
      <c r="HA23" s="47">
        <v>2.83</v>
      </c>
      <c r="HB23" s="47"/>
      <c r="HC23" s="47"/>
      <c r="HD23" s="47"/>
      <c r="HE23" s="47"/>
      <c r="HF23" s="47"/>
      <c r="HG23" s="47"/>
      <c r="HH23" s="47"/>
      <c r="HI23" s="47"/>
      <c r="HJ23" s="47"/>
      <c r="HK23" s="47"/>
      <c r="HL23" s="47"/>
      <c r="HM23" s="47"/>
      <c r="HN23" s="47"/>
      <c r="HO23" s="47"/>
      <c r="HP23" s="47"/>
      <c r="HQ23" s="47"/>
      <c r="HR23" s="47"/>
      <c r="HS23" s="47"/>
      <c r="HT23" s="47"/>
      <c r="HU23" s="47"/>
      <c r="HV23" s="47">
        <v>4.2</v>
      </c>
      <c r="HW23" s="47"/>
      <c r="HX23" s="47"/>
      <c r="HY23" s="47"/>
      <c r="HZ23" s="47"/>
      <c r="IA23" s="47"/>
      <c r="IB23" s="47"/>
      <c r="IC23" s="47"/>
      <c r="ID23" s="47"/>
      <c r="IE23" s="47"/>
      <c r="IF23" s="47"/>
      <c r="IG23" s="47"/>
      <c r="IH23" s="47"/>
      <c r="II23" s="47"/>
      <c r="IJ23" s="47"/>
      <c r="IK23" s="47"/>
      <c r="IL23" s="47"/>
      <c r="IM23" s="47"/>
      <c r="IN23" s="47"/>
      <c r="IO23" s="47"/>
      <c r="IP23" s="47"/>
      <c r="IQ23" s="47"/>
      <c r="IR23" s="47"/>
      <c r="IS23" s="47"/>
      <c r="IT23" s="47"/>
      <c r="IU23" s="47"/>
      <c r="IV23" s="47"/>
      <c r="IW23" s="47"/>
      <c r="IX23" s="47"/>
      <c r="IY23" s="47"/>
      <c r="IZ23" s="47"/>
      <c r="JA23" s="47"/>
      <c r="JB23" s="47"/>
      <c r="JC23" s="47"/>
      <c r="JD23" s="47"/>
      <c r="JE23" s="47"/>
      <c r="JF23" s="47"/>
      <c r="JG23" s="47"/>
      <c r="JH23" s="47"/>
      <c r="JI23" s="47"/>
      <c r="JJ23" s="47"/>
      <c r="JK23" s="47"/>
      <c r="JL23" s="47">
        <v>7.24</v>
      </c>
      <c r="JM23" s="47"/>
      <c r="JN23" s="47"/>
      <c r="JO23" s="47"/>
      <c r="JP23" s="47"/>
      <c r="JQ23" s="47"/>
      <c r="JR23" s="47"/>
      <c r="JS23" s="47"/>
      <c r="JT23" s="47"/>
      <c r="JU23" s="47"/>
      <c r="JV23" s="47"/>
      <c r="JW23" s="47"/>
      <c r="JX23" s="47"/>
      <c r="JY23" s="47"/>
      <c r="JZ23" s="47"/>
      <c r="KA23" s="47"/>
      <c r="KB23" s="47"/>
      <c r="KC23" s="47"/>
      <c r="KD23" s="47"/>
      <c r="KE23" s="47"/>
      <c r="KF23" s="47"/>
      <c r="KG23" s="47">
        <v>13.9</v>
      </c>
      <c r="KH23" s="47"/>
      <c r="KI23" s="47"/>
      <c r="KJ23" s="47"/>
      <c r="KK23" s="47"/>
      <c r="KL23" s="47"/>
      <c r="KM23" s="47"/>
      <c r="KN23" s="47"/>
      <c r="KO23" s="47"/>
      <c r="KP23" s="47"/>
      <c r="KQ23" s="47"/>
      <c r="KR23" s="47"/>
      <c r="KS23" s="47"/>
      <c r="KT23" s="47"/>
      <c r="KU23" s="47"/>
      <c r="KV23" s="47"/>
      <c r="KW23" s="47"/>
      <c r="KX23" s="47"/>
      <c r="KY23" s="47"/>
      <c r="KZ23" s="47"/>
      <c r="LA23" s="47"/>
      <c r="LB23" s="47"/>
      <c r="LC23" s="47"/>
      <c r="LD23" s="47"/>
      <c r="LE23" s="47"/>
      <c r="LF23" s="47"/>
      <c r="LG23" s="47"/>
      <c r="LH23" s="47"/>
      <c r="LI23" s="47"/>
      <c r="LJ23" s="47"/>
      <c r="LK23" s="47"/>
      <c r="LL23" s="47"/>
      <c r="LM23" s="47"/>
      <c r="LN23" s="47"/>
      <c r="LO23" s="47"/>
      <c r="LP23" s="47"/>
      <c r="LQ23" s="47"/>
      <c r="LR23" s="47"/>
      <c r="LS23" s="47"/>
      <c r="LT23" s="47"/>
      <c r="LU23" s="47"/>
      <c r="LV23" s="47"/>
      <c r="LW23" s="47"/>
      <c r="LX23" s="47"/>
      <c r="LY23" s="47"/>
      <c r="LZ23" s="47"/>
      <c r="MA23" s="47"/>
      <c r="MB23" s="47"/>
      <c r="MC23" s="47"/>
      <c r="MD23" s="47"/>
      <c r="ME23" s="47"/>
      <c r="MF23" s="47"/>
      <c r="MG23" s="47"/>
      <c r="MH23" s="47"/>
      <c r="MI23" s="47"/>
      <c r="MJ23" s="47"/>
      <c r="MK23" s="47"/>
      <c r="ML23" s="47"/>
      <c r="MM23" s="47"/>
      <c r="MN23" s="47"/>
      <c r="MO23" s="47"/>
      <c r="MP23" s="47"/>
      <c r="MQ23" s="47"/>
      <c r="MR23" s="47"/>
      <c r="MS23" s="47"/>
      <c r="MT23" s="47"/>
      <c r="MU23" s="47"/>
      <c r="MV23" s="47"/>
      <c r="MW23" s="47"/>
      <c r="MX23" s="47"/>
      <c r="MY23" s="47"/>
      <c r="MZ23" s="47"/>
      <c r="NA23" s="47"/>
      <c r="NB23" s="47"/>
      <c r="NC23" s="47"/>
      <c r="ND23" s="47"/>
      <c r="NE23" s="47"/>
      <c r="NF23" s="47"/>
      <c r="NG23" s="47"/>
      <c r="NH23" s="47"/>
      <c r="NI23" s="47"/>
      <c r="NJ23" s="44"/>
      <c r="NK23" s="44"/>
      <c r="NL23" s="44"/>
      <c r="NM23" s="44"/>
      <c r="NN23" s="44"/>
      <c r="NO23" s="47" t="s">
        <v>540</v>
      </c>
      <c r="NP23" s="47"/>
      <c r="NQ23" s="47"/>
      <c r="NR23" s="47"/>
      <c r="NS23" s="47"/>
      <c r="NT23" s="47"/>
      <c r="NU23" s="47">
        <v>96.5</v>
      </c>
      <c r="NV23" s="47"/>
      <c r="NW23" s="47"/>
      <c r="NX23" s="47"/>
      <c r="NY23" s="47"/>
      <c r="NZ23" s="47"/>
      <c r="OA23" s="47"/>
      <c r="OB23" s="47"/>
      <c r="OC23" s="47"/>
      <c r="OD23" s="47"/>
      <c r="OE23" s="47"/>
      <c r="OF23" s="47"/>
      <c r="OG23" s="47"/>
      <c r="OH23" s="47"/>
      <c r="OI23" s="47"/>
      <c r="OJ23" s="47"/>
      <c r="OK23" s="47"/>
      <c r="OL23" s="47"/>
      <c r="OM23" s="47"/>
      <c r="ON23" s="47"/>
      <c r="OO23" s="47"/>
      <c r="OP23" s="47"/>
      <c r="OQ23" s="47">
        <v>28.6</v>
      </c>
      <c r="OR23" s="47"/>
      <c r="OS23" s="47"/>
      <c r="OT23" s="47"/>
      <c r="OU23" s="47"/>
      <c r="OV23" s="47"/>
      <c r="OW23" s="47"/>
      <c r="OX23" s="47"/>
      <c r="OY23" s="47"/>
      <c r="OZ23" s="47"/>
      <c r="PA23" s="47"/>
      <c r="PB23" s="47"/>
      <c r="PC23" s="47"/>
      <c r="PD23" s="47"/>
      <c r="PE23" s="47"/>
      <c r="PF23" s="47"/>
      <c r="PG23" s="47"/>
      <c r="PH23" s="47"/>
      <c r="PI23" s="47"/>
      <c r="PJ23" s="47"/>
      <c r="PK23" s="47"/>
      <c r="PL23" s="47"/>
      <c r="PM23" s="47"/>
      <c r="PN23" s="47"/>
      <c r="PO23" s="47"/>
      <c r="PP23" s="47"/>
      <c r="PQ23" s="47"/>
      <c r="PR23" s="47"/>
      <c r="PS23" s="47"/>
      <c r="PT23" s="47"/>
      <c r="PU23" s="47"/>
      <c r="PV23" s="47"/>
      <c r="PW23" s="47"/>
      <c r="PX23" s="47"/>
      <c r="PY23" s="47"/>
      <c r="PZ23" s="47"/>
      <c r="QA23" s="47"/>
      <c r="QB23" s="47"/>
      <c r="QC23" s="47"/>
      <c r="QD23" s="47"/>
      <c r="QE23" s="47"/>
      <c r="QF23" s="47"/>
      <c r="QG23" s="47"/>
      <c r="QH23" s="47"/>
      <c r="QI23" s="47"/>
      <c r="QJ23" s="47"/>
      <c r="QK23" s="47"/>
      <c r="QL23" s="47"/>
      <c r="QM23" s="47"/>
      <c r="QN23" s="47"/>
      <c r="QO23" s="47"/>
      <c r="QP23" s="47"/>
      <c r="QQ23" s="47">
        <v>10.9</v>
      </c>
      <c r="QR23" s="47"/>
      <c r="QS23" s="47"/>
      <c r="QT23" s="47"/>
      <c r="QU23" s="47"/>
      <c r="QV23" s="47"/>
      <c r="QW23" s="47"/>
      <c r="QX23" s="47"/>
      <c r="QY23" s="47"/>
      <c r="QZ23" s="47"/>
      <c r="RA23" s="47"/>
      <c r="RB23" s="47"/>
      <c r="RC23" s="47"/>
      <c r="RD23" s="47"/>
      <c r="RE23" s="47"/>
      <c r="RF23" s="47"/>
      <c r="RG23" s="47"/>
      <c r="RH23" s="47"/>
      <c r="RI23" s="47"/>
      <c r="RJ23" s="47"/>
      <c r="RK23" s="47"/>
      <c r="RL23" s="47">
        <v>21.4</v>
      </c>
      <c r="RM23" s="47"/>
      <c r="RN23" s="47"/>
      <c r="RO23" s="47"/>
      <c r="RP23" s="47"/>
      <c r="RQ23" s="47"/>
      <c r="RR23" s="47"/>
      <c r="RS23" s="47"/>
      <c r="RT23" s="47"/>
      <c r="RU23" s="47"/>
      <c r="RV23" s="47"/>
      <c r="RW23" s="47"/>
      <c r="RX23" s="47"/>
      <c r="RY23" s="47"/>
      <c r="RZ23" s="47"/>
      <c r="SA23" s="47"/>
      <c r="SB23" s="47"/>
      <c r="SC23" s="47"/>
      <c r="SD23" s="47"/>
      <c r="SE23" s="47"/>
      <c r="SF23" s="47"/>
      <c r="SG23" s="47"/>
      <c r="SH23" s="47"/>
      <c r="SI23" s="47"/>
      <c r="SJ23" s="47"/>
      <c r="SK23" s="47"/>
      <c r="SL23" s="47"/>
      <c r="SM23" s="47"/>
      <c r="SN23" s="47"/>
      <c r="SO23" s="47"/>
      <c r="SP23" s="47"/>
      <c r="SQ23" s="47"/>
      <c r="SR23" s="47"/>
      <c r="SS23" s="47"/>
      <c r="ST23" s="47"/>
      <c r="SU23" s="47"/>
      <c r="SV23" s="47"/>
      <c r="SW23" s="47"/>
      <c r="SX23" s="47"/>
      <c r="SY23" s="47"/>
      <c r="SZ23" s="47"/>
      <c r="TA23" s="47"/>
      <c r="TB23" s="47"/>
      <c r="TC23" s="47"/>
      <c r="TD23" s="47"/>
      <c r="TE23" s="47"/>
      <c r="TF23" s="47"/>
      <c r="TG23" s="47"/>
      <c r="TH23" s="47"/>
      <c r="TI23" s="47"/>
      <c r="TJ23" s="47"/>
      <c r="TK23" s="47"/>
      <c r="TL23" s="47"/>
      <c r="TM23" s="47"/>
      <c r="TN23" s="47"/>
      <c r="TO23" s="47"/>
      <c r="TP23" s="47"/>
      <c r="TQ23" s="47"/>
      <c r="TR23" s="47"/>
      <c r="TS23" s="47"/>
      <c r="TT23" s="47"/>
      <c r="TU23" s="47"/>
      <c r="TV23" s="47"/>
      <c r="TW23" s="47"/>
      <c r="TX23" s="47"/>
      <c r="TY23" s="47"/>
      <c r="TZ23" s="47"/>
      <c r="UA23" s="47"/>
      <c r="UB23" s="47"/>
      <c r="UC23" s="47"/>
      <c r="UD23" s="47"/>
      <c r="UE23" s="47"/>
      <c r="UF23" s="47"/>
      <c r="UG23" s="47"/>
      <c r="UH23" s="47"/>
      <c r="UI23" s="47"/>
      <c r="UJ23" s="47"/>
      <c r="UK23" s="47"/>
      <c r="UL23" s="47"/>
      <c r="UM23" s="47"/>
      <c r="UN23" s="47"/>
      <c r="UO23" s="47"/>
      <c r="UP23" s="47"/>
      <c r="UQ23" s="47"/>
      <c r="UR23" s="47"/>
      <c r="US23" s="47"/>
      <c r="UT23" s="47"/>
      <c r="UU23" s="47"/>
      <c r="UV23" s="47"/>
      <c r="UW23" s="47"/>
      <c r="UX23" s="47"/>
      <c r="UY23" s="47"/>
      <c r="UZ23" s="47"/>
      <c r="VA23" s="47"/>
      <c r="VB23" s="47"/>
      <c r="VC23" s="47"/>
      <c r="VD23" s="47"/>
      <c r="VE23" s="47"/>
      <c r="VF23" s="47"/>
      <c r="VG23" s="47"/>
      <c r="VH23" s="47"/>
      <c r="VI23" s="47"/>
      <c r="VJ23" s="47"/>
      <c r="VK23" s="47"/>
      <c r="VL23" s="47"/>
      <c r="VM23" s="47"/>
      <c r="VN23" s="47"/>
      <c r="VO23" s="47"/>
      <c r="VP23" s="47"/>
      <c r="VQ23" s="47"/>
      <c r="VR23" s="47"/>
      <c r="VS23" s="47"/>
      <c r="VT23" s="47"/>
      <c r="VU23" s="47"/>
      <c r="VV23" s="47"/>
      <c r="VW23" s="47"/>
      <c r="VX23" s="47"/>
      <c r="VY23" s="47"/>
      <c r="VZ23" s="47"/>
      <c r="WA23" s="47"/>
      <c r="WB23" s="47"/>
      <c r="WC23" s="47"/>
      <c r="WD23" s="47"/>
      <c r="WE23" s="47"/>
      <c r="WF23" s="47"/>
      <c r="WG23" s="47"/>
      <c r="WH23" s="47"/>
      <c r="WI23" s="47"/>
      <c r="WJ23" s="47"/>
      <c r="WK23" s="47"/>
      <c r="WL23" s="47"/>
      <c r="WM23" s="47"/>
      <c r="WN23" s="47"/>
      <c r="WO23" s="47"/>
      <c r="WP23" s="47"/>
      <c r="WQ23" s="47"/>
      <c r="WR23" s="47"/>
      <c r="WS23" s="47"/>
      <c r="WT23" s="47"/>
      <c r="WU23" s="47"/>
      <c r="WV23" s="47"/>
      <c r="WW23" s="47"/>
      <c r="WX23" s="47"/>
      <c r="WY23" s="47"/>
      <c r="WZ23" s="47"/>
      <c r="XA23" s="47"/>
      <c r="XB23" s="47"/>
      <c r="XC23" s="47"/>
      <c r="XD23" s="47"/>
      <c r="XE23" s="47"/>
      <c r="XF23" s="47"/>
      <c r="XG23" s="47"/>
      <c r="XH23" s="47">
        <v>237.3</v>
      </c>
      <c r="XI23" s="47"/>
      <c r="XJ23" s="47"/>
      <c r="XK23" s="47"/>
      <c r="XL23" s="47"/>
      <c r="XM23" s="47"/>
      <c r="XN23" s="47"/>
      <c r="XO23" s="47"/>
      <c r="XP23" s="47"/>
      <c r="XQ23" s="47"/>
      <c r="XR23" s="47"/>
      <c r="XS23" s="47"/>
      <c r="XT23" s="47"/>
      <c r="XU23" s="47"/>
      <c r="XV23" s="47"/>
      <c r="XW23" s="47"/>
      <c r="XX23" s="47"/>
      <c r="XY23" s="47"/>
      <c r="XZ23" s="47"/>
      <c r="YA23" s="44"/>
      <c r="YB23" s="44"/>
      <c r="YC23" s="44"/>
      <c r="YD23" s="44"/>
      <c r="YE23" s="44"/>
      <c r="YF23" s="47"/>
      <c r="YG23" s="47"/>
      <c r="YH23" s="47"/>
      <c r="YI23" s="47"/>
      <c r="YJ23" s="47"/>
      <c r="YK23" s="47"/>
      <c r="YL23" s="47"/>
      <c r="YM23" s="47"/>
      <c r="YN23" s="47"/>
      <c r="YO23" s="47"/>
      <c r="YP23" s="47"/>
      <c r="YQ23" s="47"/>
      <c r="YR23" s="47"/>
      <c r="YS23" s="47"/>
      <c r="YT23" s="47"/>
      <c r="YU23" s="47"/>
      <c r="YV23" s="47"/>
      <c r="YW23" s="47"/>
      <c r="YX23" s="47"/>
      <c r="YY23" s="47"/>
      <c r="YZ23" s="47"/>
      <c r="ZA23" s="47"/>
      <c r="ZB23" s="47"/>
      <c r="ZC23" s="47"/>
      <c r="ZD23" s="47"/>
      <c r="ZE23" s="47"/>
      <c r="ZF23" s="47"/>
      <c r="ZG23" s="47"/>
      <c r="ZH23" s="47"/>
      <c r="ZI23" s="47"/>
      <c r="ZJ23" s="47"/>
      <c r="ZK23" s="47"/>
      <c r="ZL23" s="47"/>
      <c r="ZM23" s="47"/>
      <c r="ZN23" s="47"/>
      <c r="ZO23" s="47"/>
      <c r="ZP23" s="47"/>
      <c r="ZQ23" s="47"/>
      <c r="ZR23" s="47"/>
      <c r="ZS23" s="47"/>
      <c r="ZT23" s="47"/>
      <c r="ZU23" s="47"/>
      <c r="ZV23" s="47"/>
      <c r="ZW23" s="44"/>
      <c r="ZX23" s="44"/>
      <c r="ZY23" s="44"/>
      <c r="ZZ23" s="44"/>
      <c r="AAA23" s="44"/>
      <c r="AAB23" s="44"/>
      <c r="AAC23" s="44"/>
      <c r="AAD23" s="44"/>
      <c r="AAE23" s="44"/>
      <c r="AAF23" s="44"/>
      <c r="AAG23" s="47"/>
      <c r="AAH23" s="47"/>
      <c r="AAI23" s="47"/>
      <c r="AAJ23" s="47"/>
      <c r="AAK23" s="47"/>
      <c r="AAL23" s="47"/>
      <c r="AAM23" s="47"/>
      <c r="AAN23" s="47"/>
      <c r="AAO23" s="47"/>
      <c r="AAP23" s="47"/>
      <c r="AAQ23" s="47"/>
      <c r="AAR23" s="47"/>
      <c r="AAS23" s="47"/>
      <c r="AAT23" s="47"/>
      <c r="AAU23" s="47"/>
      <c r="AAV23" s="47"/>
      <c r="AAW23" s="47"/>
      <c r="AAX23" s="47"/>
      <c r="AAY23" s="47"/>
      <c r="AAZ23" s="47"/>
      <c r="ABA23" s="47"/>
      <c r="ABB23" s="47"/>
      <c r="ABC23" s="47"/>
      <c r="ABD23" s="47"/>
      <c r="ABE23" s="47"/>
      <c r="ABF23" s="47"/>
      <c r="ABG23" s="47"/>
      <c r="ABH23" s="47"/>
      <c r="ABI23" s="47"/>
      <c r="ABJ23" s="47"/>
      <c r="ABK23" s="47"/>
      <c r="ABL23" s="47"/>
      <c r="ABM23" s="47"/>
      <c r="ABN23" s="47"/>
      <c r="ABO23" s="47"/>
      <c r="ABP23" s="47"/>
      <c r="ABQ23" s="47"/>
      <c r="ABR23" s="47"/>
      <c r="ABS23" s="47"/>
      <c r="ABT23" s="47"/>
      <c r="ABU23" s="47"/>
      <c r="ABV23" s="47"/>
      <c r="ABW23" s="47"/>
      <c r="ABX23" s="47"/>
      <c r="ABY23" s="47"/>
      <c r="ABZ23" s="47"/>
      <c r="ACA23" s="47"/>
      <c r="ACB23" s="47"/>
      <c r="ACC23" s="47"/>
      <c r="ACD23" s="47"/>
      <c r="ACE23" s="47"/>
      <c r="ACF23" s="47"/>
      <c r="ACG23" s="47"/>
      <c r="ACH23" s="48"/>
    </row>
    <row r="24" spans="1:762" x14ac:dyDescent="0.25">
      <c r="A24" s="42" t="s">
        <v>52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43"/>
      <c r="DB24" s="43"/>
      <c r="DC24" s="43"/>
      <c r="DD24" s="43"/>
      <c r="DE24" s="43"/>
      <c r="DF24" s="43"/>
      <c r="DG24" s="43"/>
      <c r="DH24" s="43"/>
      <c r="DI24" s="43"/>
      <c r="DJ24" s="43"/>
      <c r="DK24" s="43"/>
      <c r="DL24" s="43"/>
      <c r="DM24" s="43"/>
      <c r="DN24" s="43"/>
      <c r="DO24" s="43"/>
      <c r="DP24" s="43"/>
      <c r="DQ24" s="43"/>
      <c r="DR24" s="43"/>
      <c r="DS24" s="43"/>
      <c r="DT24" s="43"/>
      <c r="DU24" s="43"/>
      <c r="DV24" s="43"/>
      <c r="DW24" s="43"/>
      <c r="DX24" s="43"/>
      <c r="DY24" s="43"/>
      <c r="DZ24" s="43"/>
      <c r="EA24" s="43"/>
      <c r="EB24" s="43"/>
      <c r="EC24" s="43"/>
      <c r="ED24" s="43"/>
      <c r="EE24" s="43"/>
      <c r="EF24" s="43"/>
      <c r="EG24" s="43"/>
      <c r="EH24" s="43"/>
      <c r="EI24" s="43"/>
      <c r="EJ24" s="43"/>
      <c r="EK24" s="43"/>
      <c r="EL24" s="43"/>
      <c r="EM24" s="43"/>
      <c r="EN24" s="43"/>
      <c r="EO24" s="43"/>
      <c r="EP24" s="43"/>
      <c r="EQ24" s="43"/>
      <c r="ER24" s="43"/>
      <c r="ES24" s="43"/>
      <c r="ET24" s="43"/>
      <c r="EU24" s="43"/>
      <c r="EV24" s="43"/>
      <c r="EW24" s="43"/>
      <c r="EX24" s="43"/>
      <c r="EY24" s="43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  <c r="IU24" s="43"/>
      <c r="IV24" s="43"/>
      <c r="IW24" s="43"/>
      <c r="IX24" s="43"/>
      <c r="IY24" s="43"/>
      <c r="IZ24" s="43"/>
      <c r="JA24" s="43"/>
      <c r="JB24" s="43"/>
      <c r="JC24" s="43"/>
      <c r="JD24" s="43"/>
      <c r="JE24" s="43"/>
      <c r="JF24" s="43"/>
      <c r="JG24" s="43"/>
      <c r="JH24" s="43"/>
      <c r="JI24" s="43"/>
      <c r="JJ24" s="43"/>
      <c r="JK24" s="43"/>
      <c r="JL24" s="43"/>
      <c r="JM24" s="43"/>
      <c r="JN24" s="43"/>
      <c r="JO24" s="43"/>
      <c r="JP24" s="43"/>
      <c r="JQ24" s="43"/>
      <c r="JR24" s="43"/>
      <c r="JS24" s="43"/>
      <c r="JT24" s="43"/>
      <c r="JU24" s="43"/>
      <c r="JV24" s="43"/>
      <c r="JW24" s="43"/>
      <c r="JX24" s="43"/>
      <c r="JY24" s="43"/>
      <c r="JZ24" s="43"/>
      <c r="KA24" s="43"/>
      <c r="KB24" s="43"/>
      <c r="KC24" s="43"/>
      <c r="KD24" s="43"/>
      <c r="KE24" s="43"/>
      <c r="KF24" s="43"/>
      <c r="KG24" s="43"/>
      <c r="KH24" s="43"/>
      <c r="KI24" s="43"/>
      <c r="KJ24" s="43"/>
      <c r="KK24" s="43"/>
      <c r="KL24" s="43"/>
      <c r="KM24" s="43"/>
      <c r="KN24" s="43"/>
      <c r="KO24" s="43"/>
      <c r="KP24" s="43"/>
      <c r="KQ24" s="43"/>
      <c r="KR24" s="43"/>
      <c r="KS24" s="43"/>
      <c r="KT24" s="43"/>
      <c r="KU24" s="43"/>
      <c r="KV24" s="43"/>
      <c r="KW24" s="43"/>
      <c r="KX24" s="43"/>
      <c r="KY24" s="43"/>
      <c r="KZ24" s="43"/>
      <c r="LA24" s="43"/>
      <c r="LB24" s="43"/>
      <c r="LC24" s="43"/>
      <c r="LD24" s="43"/>
      <c r="LE24" s="43"/>
      <c r="LF24" s="43"/>
      <c r="LG24" s="43"/>
      <c r="LH24" s="43"/>
      <c r="LI24" s="43"/>
      <c r="LJ24" s="43"/>
      <c r="LK24" s="43"/>
      <c r="LL24" s="43"/>
      <c r="LM24" s="43"/>
      <c r="LN24" s="43"/>
      <c r="LO24" s="43"/>
      <c r="LP24" s="43"/>
      <c r="LQ24" s="43"/>
      <c r="LR24" s="43"/>
      <c r="LS24" s="43"/>
      <c r="LT24" s="43"/>
      <c r="LU24" s="43"/>
      <c r="LV24" s="43"/>
      <c r="LW24" s="43"/>
      <c r="LX24" s="43"/>
      <c r="LY24" s="43"/>
      <c r="LZ24" s="43"/>
      <c r="MA24" s="43"/>
      <c r="MB24" s="43"/>
      <c r="MC24" s="43"/>
      <c r="MD24" s="43"/>
      <c r="ME24" s="43"/>
      <c r="MF24" s="43"/>
      <c r="MG24" s="43"/>
      <c r="MH24" s="43"/>
      <c r="MI24" s="43"/>
      <c r="MJ24" s="43"/>
      <c r="MK24" s="43"/>
      <c r="ML24" s="43"/>
      <c r="MM24" s="43"/>
      <c r="MN24" s="43"/>
      <c r="MO24" s="43"/>
      <c r="MP24" s="43"/>
      <c r="MQ24" s="43"/>
      <c r="MR24" s="43"/>
      <c r="MS24" s="43"/>
      <c r="MT24" s="43"/>
      <c r="MU24" s="43"/>
      <c r="MV24" s="43"/>
      <c r="MW24" s="43"/>
      <c r="MX24" s="43"/>
      <c r="MY24" s="43"/>
      <c r="MZ24" s="43"/>
      <c r="NA24" s="43"/>
      <c r="NB24" s="43"/>
      <c r="NC24" s="43"/>
      <c r="ND24" s="43"/>
      <c r="NE24" s="43"/>
      <c r="NF24" s="43"/>
      <c r="NG24" s="43"/>
      <c r="NH24" s="43"/>
      <c r="NI24" s="43"/>
      <c r="NJ24" s="44"/>
      <c r="NK24" s="44"/>
      <c r="NL24" s="44"/>
      <c r="NM24" s="44"/>
      <c r="NN24" s="44"/>
      <c r="NO24" s="43"/>
      <c r="NP24" s="43"/>
      <c r="NQ24" s="43"/>
      <c r="NR24" s="43"/>
      <c r="NS24" s="43"/>
      <c r="NT24" s="43"/>
      <c r="NU24" s="43"/>
      <c r="NV24" s="43"/>
      <c r="NW24" s="43"/>
      <c r="NX24" s="43"/>
      <c r="NY24" s="43"/>
      <c r="NZ24" s="43"/>
      <c r="OA24" s="43"/>
      <c r="OB24" s="43"/>
      <c r="OC24" s="43"/>
      <c r="OD24" s="43"/>
      <c r="OE24" s="43"/>
      <c r="OF24" s="43"/>
      <c r="OG24" s="43"/>
      <c r="OH24" s="43"/>
      <c r="OI24" s="43"/>
      <c r="OJ24" s="43"/>
      <c r="OK24" s="43"/>
      <c r="OL24" s="43"/>
      <c r="OM24" s="43"/>
      <c r="ON24" s="43"/>
      <c r="OO24" s="43"/>
      <c r="OP24" s="43"/>
      <c r="OQ24" s="43"/>
      <c r="OR24" s="43"/>
      <c r="OS24" s="43"/>
      <c r="OT24" s="43"/>
      <c r="OU24" s="43"/>
      <c r="OV24" s="43"/>
      <c r="OW24" s="43"/>
      <c r="OX24" s="43"/>
      <c r="OY24" s="43"/>
      <c r="OZ24" s="43"/>
      <c r="PA24" s="43"/>
      <c r="PB24" s="43"/>
      <c r="PC24" s="43"/>
      <c r="PD24" s="43"/>
      <c r="PE24" s="43"/>
      <c r="PF24" s="43"/>
      <c r="PG24" s="43"/>
      <c r="PH24" s="43"/>
      <c r="PI24" s="43"/>
      <c r="PJ24" s="43"/>
      <c r="PK24" s="43"/>
      <c r="PL24" s="43"/>
      <c r="PM24" s="43"/>
      <c r="PN24" s="43"/>
      <c r="PO24" s="43"/>
      <c r="PP24" s="43"/>
      <c r="PQ24" s="43"/>
      <c r="PR24" s="43"/>
      <c r="PS24" s="43"/>
      <c r="PT24" s="43"/>
      <c r="PU24" s="43"/>
      <c r="PV24" s="43"/>
      <c r="PW24" s="43"/>
      <c r="PX24" s="43"/>
      <c r="PY24" s="43"/>
      <c r="PZ24" s="43"/>
      <c r="QA24" s="43"/>
      <c r="QB24" s="43"/>
      <c r="QC24" s="43"/>
      <c r="QD24" s="43"/>
      <c r="QE24" s="43"/>
      <c r="QF24" s="43"/>
      <c r="QG24" s="43"/>
      <c r="QH24" s="43"/>
      <c r="QI24" s="43"/>
      <c r="QJ24" s="43"/>
      <c r="QK24" s="43"/>
      <c r="QL24" s="43"/>
      <c r="QM24" s="43"/>
      <c r="QN24" s="43"/>
      <c r="QO24" s="43"/>
      <c r="QP24" s="43"/>
      <c r="QQ24" s="43"/>
      <c r="QR24" s="43"/>
      <c r="QS24" s="43"/>
      <c r="QT24" s="43"/>
      <c r="QU24" s="43"/>
      <c r="QV24" s="43"/>
      <c r="QW24" s="43"/>
      <c r="QX24" s="43"/>
      <c r="QY24" s="43"/>
      <c r="QZ24" s="43"/>
      <c r="RA24" s="43"/>
      <c r="RB24" s="43"/>
      <c r="RC24" s="43"/>
      <c r="RD24" s="43"/>
      <c r="RE24" s="43"/>
      <c r="RF24" s="43"/>
      <c r="RG24" s="43"/>
      <c r="RH24" s="43"/>
      <c r="RI24" s="43"/>
      <c r="RJ24" s="43"/>
      <c r="RK24" s="43"/>
      <c r="RL24" s="43"/>
      <c r="RM24" s="43"/>
      <c r="RN24" s="43"/>
      <c r="RO24" s="43"/>
      <c r="RP24" s="43"/>
      <c r="RQ24" s="43"/>
      <c r="RR24" s="43"/>
      <c r="RS24" s="43"/>
      <c r="RT24" s="43"/>
      <c r="RU24" s="43"/>
      <c r="RV24" s="43"/>
      <c r="RW24" s="43"/>
      <c r="RX24" s="43"/>
      <c r="RY24" s="43"/>
      <c r="RZ24" s="43"/>
      <c r="SA24" s="43"/>
      <c r="SB24" s="43"/>
      <c r="SC24" s="43"/>
      <c r="SD24" s="43"/>
      <c r="SE24" s="43"/>
      <c r="SF24" s="43"/>
      <c r="SG24" s="43"/>
      <c r="SH24" s="43"/>
      <c r="SI24" s="43"/>
      <c r="SJ24" s="43"/>
      <c r="SK24" s="43"/>
      <c r="SL24" s="43"/>
      <c r="SM24" s="43"/>
      <c r="SN24" s="43"/>
      <c r="SO24" s="43"/>
      <c r="SP24" s="43"/>
      <c r="SQ24" s="43"/>
      <c r="SR24" s="43"/>
      <c r="SS24" s="43"/>
      <c r="ST24" s="43"/>
      <c r="SU24" s="43"/>
      <c r="SV24" s="43"/>
      <c r="SW24" s="43"/>
      <c r="SX24" s="43"/>
      <c r="SY24" s="43"/>
      <c r="SZ24" s="43"/>
      <c r="TA24" s="43"/>
      <c r="TB24" s="43"/>
      <c r="TC24" s="43"/>
      <c r="TD24" s="43"/>
      <c r="TE24" s="43"/>
      <c r="TF24" s="43"/>
      <c r="TG24" s="43"/>
      <c r="TH24" s="43"/>
      <c r="TI24" s="43"/>
      <c r="TJ24" s="43"/>
      <c r="TK24" s="43"/>
      <c r="TL24" s="43"/>
      <c r="TM24" s="43"/>
      <c r="TN24" s="43"/>
      <c r="TO24" s="43"/>
      <c r="TP24" s="43"/>
      <c r="TQ24" s="43"/>
      <c r="TR24" s="43"/>
      <c r="TS24" s="43"/>
      <c r="TT24" s="43"/>
      <c r="TU24" s="43"/>
      <c r="TV24" s="43"/>
      <c r="TW24" s="43"/>
      <c r="TX24" s="43"/>
      <c r="TY24" s="43"/>
      <c r="TZ24" s="43"/>
      <c r="UA24" s="43"/>
      <c r="UB24" s="43"/>
      <c r="UC24" s="43"/>
      <c r="UD24" s="43"/>
      <c r="UE24" s="43"/>
      <c r="UF24" s="43"/>
      <c r="UG24" s="43"/>
      <c r="UH24" s="43"/>
      <c r="UI24" s="43"/>
      <c r="UJ24" s="43"/>
      <c r="UK24" s="43"/>
      <c r="UL24" s="43"/>
      <c r="UM24" s="43"/>
      <c r="UN24" s="43"/>
      <c r="UO24" s="43"/>
      <c r="UP24" s="43"/>
      <c r="UQ24" s="43"/>
      <c r="UR24" s="43"/>
      <c r="US24" s="43"/>
      <c r="UT24" s="43"/>
      <c r="UU24" s="43"/>
      <c r="UV24" s="43"/>
      <c r="UW24" s="43"/>
      <c r="UX24" s="43"/>
      <c r="UY24" s="43"/>
      <c r="UZ24" s="43"/>
      <c r="VA24" s="43"/>
      <c r="VB24" s="43"/>
      <c r="VC24" s="43"/>
      <c r="VD24" s="43"/>
      <c r="VE24" s="43"/>
      <c r="VF24" s="43"/>
      <c r="VG24" s="43"/>
      <c r="VH24" s="43"/>
      <c r="VI24" s="43"/>
      <c r="VJ24" s="43"/>
      <c r="VK24" s="43"/>
      <c r="VL24" s="43"/>
      <c r="VM24" s="43"/>
      <c r="VN24" s="43"/>
      <c r="VO24" s="43"/>
      <c r="VP24" s="43"/>
      <c r="VQ24" s="43"/>
      <c r="VR24" s="43"/>
      <c r="VS24" s="43"/>
      <c r="VT24" s="43"/>
      <c r="VU24" s="43"/>
      <c r="VV24" s="43"/>
      <c r="VW24" s="43"/>
      <c r="VX24" s="43"/>
      <c r="VY24" s="43"/>
      <c r="VZ24" s="43"/>
      <c r="WA24" s="43"/>
      <c r="WB24" s="43"/>
      <c r="WC24" s="43"/>
      <c r="WD24" s="43"/>
      <c r="WE24" s="43"/>
      <c r="WF24" s="43"/>
      <c r="WG24" s="43"/>
      <c r="WH24" s="43"/>
      <c r="WI24" s="43"/>
      <c r="WJ24" s="43"/>
      <c r="WK24" s="43"/>
      <c r="WL24" s="43"/>
      <c r="WM24" s="43"/>
      <c r="WN24" s="43"/>
      <c r="WO24" s="43"/>
      <c r="WP24" s="43"/>
      <c r="WQ24" s="43"/>
      <c r="WR24" s="43"/>
      <c r="WS24" s="43"/>
      <c r="WT24" s="43"/>
      <c r="WU24" s="43"/>
      <c r="WV24" s="43"/>
      <c r="WW24" s="43"/>
      <c r="WX24" s="43"/>
      <c r="WY24" s="43"/>
      <c r="WZ24" s="43"/>
      <c r="XA24" s="43"/>
      <c r="XB24" s="43"/>
      <c r="XC24" s="43"/>
      <c r="XD24" s="43"/>
      <c r="XE24" s="43"/>
      <c r="XF24" s="43"/>
      <c r="XG24" s="43"/>
      <c r="XH24" s="43"/>
      <c r="XI24" s="43"/>
      <c r="XJ24" s="43"/>
      <c r="XK24" s="43"/>
      <c r="XL24" s="43"/>
      <c r="XM24" s="43"/>
      <c r="XN24" s="43"/>
      <c r="XO24" s="43"/>
      <c r="XP24" s="43"/>
      <c r="XQ24" s="43"/>
      <c r="XR24" s="43"/>
      <c r="XS24" s="43"/>
      <c r="XT24" s="43"/>
      <c r="XU24" s="43"/>
      <c r="XV24" s="43"/>
      <c r="XW24" s="43"/>
      <c r="XX24" s="43"/>
      <c r="XY24" s="43"/>
      <c r="XZ24" s="43"/>
      <c r="YA24" s="44"/>
      <c r="YB24" s="44"/>
      <c r="YC24" s="44"/>
      <c r="YD24" s="44"/>
      <c r="YE24" s="44"/>
      <c r="YF24" s="43"/>
      <c r="YG24" s="43"/>
      <c r="YH24" s="43"/>
      <c r="YI24" s="43"/>
      <c r="YJ24" s="43"/>
      <c r="YK24" s="43"/>
      <c r="YL24" s="43"/>
      <c r="YM24" s="43"/>
      <c r="YN24" s="43"/>
      <c r="YO24" s="43"/>
      <c r="YP24" s="43"/>
      <c r="YQ24" s="43"/>
      <c r="YR24" s="43"/>
      <c r="YS24" s="43"/>
      <c r="YT24" s="43"/>
      <c r="YU24" s="43"/>
      <c r="YV24" s="43"/>
      <c r="YW24" s="43"/>
      <c r="YX24" s="43"/>
      <c r="YY24" s="43"/>
      <c r="YZ24" s="43"/>
      <c r="ZA24" s="43"/>
      <c r="ZB24" s="43"/>
      <c r="ZC24" s="43"/>
      <c r="ZD24" s="43"/>
      <c r="ZE24" s="43"/>
      <c r="ZF24" s="43"/>
      <c r="ZG24" s="43"/>
      <c r="ZH24" s="43"/>
      <c r="ZI24" s="43"/>
      <c r="ZJ24" s="43"/>
      <c r="ZK24" s="43"/>
      <c r="ZL24" s="43"/>
      <c r="ZM24" s="43"/>
      <c r="ZN24" s="43"/>
      <c r="ZO24" s="43"/>
      <c r="ZP24" s="43"/>
      <c r="ZQ24" s="43"/>
      <c r="ZR24" s="43"/>
      <c r="ZS24" s="43"/>
      <c r="ZT24" s="43"/>
      <c r="ZU24" s="43"/>
      <c r="ZV24" s="43"/>
      <c r="ZW24" s="44"/>
      <c r="ZX24" s="44"/>
      <c r="ZY24" s="44"/>
      <c r="ZZ24" s="44"/>
      <c r="AAA24" s="44"/>
      <c r="AAB24" s="44"/>
      <c r="AAC24" s="44"/>
      <c r="AAD24" s="44"/>
      <c r="AAE24" s="44"/>
      <c r="AAF24" s="44"/>
      <c r="AAG24" s="43"/>
      <c r="AAH24" s="43"/>
      <c r="AAI24" s="43"/>
      <c r="AAJ24" s="43"/>
      <c r="AAK24" s="43"/>
      <c r="AAL24" s="43"/>
      <c r="AAM24" s="43"/>
      <c r="AAN24" s="43"/>
      <c r="AAO24" s="43"/>
      <c r="AAP24" s="43"/>
      <c r="AAQ24" s="43"/>
      <c r="AAR24" s="43"/>
      <c r="AAS24" s="43"/>
      <c r="AAT24" s="43"/>
      <c r="AAU24" s="43"/>
      <c r="AAV24" s="43"/>
      <c r="AAW24" s="43"/>
      <c r="AAX24" s="43"/>
      <c r="AAY24" s="43"/>
      <c r="AAZ24" s="43"/>
      <c r="ABA24" s="43"/>
      <c r="ABB24" s="43"/>
      <c r="ABC24" s="43"/>
      <c r="ABD24" s="43"/>
      <c r="ABE24" s="43"/>
      <c r="ABF24" s="43"/>
      <c r="ABG24" s="43"/>
      <c r="ABH24" s="43"/>
      <c r="ABI24" s="43"/>
      <c r="ABJ24" s="43"/>
      <c r="ABK24" s="43"/>
      <c r="ABL24" s="43"/>
      <c r="ABM24" s="43"/>
      <c r="ABN24" s="43"/>
      <c r="ABO24" s="43"/>
      <c r="ABP24" s="43"/>
      <c r="ABQ24" s="43"/>
      <c r="ABR24" s="43"/>
      <c r="ABS24" s="43"/>
      <c r="ABT24" s="43"/>
      <c r="ABU24" s="43"/>
      <c r="ABV24" s="43"/>
      <c r="ABW24" s="43"/>
      <c r="ABX24" s="43"/>
      <c r="ABY24" s="43"/>
      <c r="ABZ24" s="43"/>
      <c r="ACA24" s="43"/>
      <c r="ACB24" s="43"/>
      <c r="ACC24" s="43"/>
      <c r="ACD24" s="43"/>
      <c r="ACE24" s="43"/>
      <c r="ACF24" s="43"/>
      <c r="ACG24" s="43"/>
      <c r="ACH24" s="45"/>
    </row>
    <row r="25" spans="1:762" x14ac:dyDescent="0.25">
      <c r="A25" s="46" t="s">
        <v>53</v>
      </c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  <c r="BW25" s="47"/>
      <c r="BX25" s="47"/>
      <c r="BY25" s="47"/>
      <c r="BZ25" s="47"/>
      <c r="CA25" s="47"/>
      <c r="CB25" s="47"/>
      <c r="CC25" s="47"/>
      <c r="CD25" s="47"/>
      <c r="CE25" s="47"/>
      <c r="CF25" s="47"/>
      <c r="CG25" s="47"/>
      <c r="CH25" s="47"/>
      <c r="CI25" s="47"/>
      <c r="CJ25" s="47"/>
      <c r="CK25" s="47"/>
      <c r="CL25" s="47"/>
      <c r="CM25" s="47"/>
      <c r="CN25" s="47"/>
      <c r="CO25" s="47"/>
      <c r="CP25" s="47"/>
      <c r="CQ25" s="47"/>
      <c r="CR25" s="47"/>
      <c r="CS25" s="47"/>
      <c r="CT25" s="47"/>
      <c r="CU25" s="47"/>
      <c r="CV25" s="47"/>
      <c r="CW25" s="47"/>
      <c r="CX25" s="47"/>
      <c r="CY25" s="47"/>
      <c r="CZ25" s="47"/>
      <c r="DA25" s="47"/>
      <c r="DB25" s="47"/>
      <c r="DC25" s="47"/>
      <c r="DD25" s="47"/>
      <c r="DE25" s="47"/>
      <c r="DF25" s="47"/>
      <c r="DG25" s="47"/>
      <c r="DH25" s="47"/>
      <c r="DI25" s="47"/>
      <c r="DJ25" s="47"/>
      <c r="DK25" s="47"/>
      <c r="DL25" s="47"/>
      <c r="DM25" s="47"/>
      <c r="DN25" s="47"/>
      <c r="DO25" s="47"/>
      <c r="DP25" s="47"/>
      <c r="DQ25" s="47"/>
      <c r="DR25" s="47"/>
      <c r="DS25" s="47"/>
      <c r="DT25" s="47"/>
      <c r="DU25" s="47"/>
      <c r="DV25" s="47"/>
      <c r="DW25" s="47"/>
      <c r="DX25" s="47"/>
      <c r="DY25" s="47"/>
      <c r="DZ25" s="47"/>
      <c r="EA25" s="47"/>
      <c r="EB25" s="47"/>
      <c r="EC25" s="47"/>
      <c r="ED25" s="47"/>
      <c r="EE25" s="47"/>
      <c r="EF25" s="47">
        <v>302</v>
      </c>
      <c r="EG25" s="47"/>
      <c r="EH25" s="47"/>
      <c r="EI25" s="47"/>
      <c r="EJ25" s="47"/>
      <c r="EK25" s="47"/>
      <c r="EL25" s="47"/>
      <c r="EM25" s="47"/>
      <c r="EN25" s="47"/>
      <c r="EO25" s="47"/>
      <c r="EP25" s="47"/>
      <c r="EQ25" s="47"/>
      <c r="ER25" s="47"/>
      <c r="ES25" s="47"/>
      <c r="ET25" s="47"/>
      <c r="EU25" s="47"/>
      <c r="EV25" s="47"/>
      <c r="EW25" s="47"/>
      <c r="EX25" s="47"/>
      <c r="EY25" s="47"/>
      <c r="EZ25" s="47"/>
      <c r="FA25" s="47"/>
      <c r="FB25" s="47"/>
      <c r="FC25" s="47"/>
      <c r="FD25" s="47"/>
      <c r="FE25" s="47"/>
      <c r="FF25" s="47"/>
      <c r="FG25" s="47"/>
      <c r="FH25" s="47"/>
      <c r="FI25" s="47"/>
      <c r="FJ25" s="47"/>
      <c r="FK25" s="47"/>
      <c r="FL25" s="47"/>
      <c r="FM25" s="47"/>
      <c r="FN25" s="47"/>
      <c r="FO25" s="47"/>
      <c r="FP25" s="47"/>
      <c r="FQ25" s="47"/>
      <c r="FR25" s="47"/>
      <c r="FS25" s="47"/>
      <c r="FT25" s="47"/>
      <c r="FU25" s="47"/>
      <c r="FV25" s="47"/>
      <c r="FW25" s="47"/>
      <c r="FX25" s="47"/>
      <c r="FY25" s="47"/>
      <c r="FZ25" s="47"/>
      <c r="GA25" s="47"/>
      <c r="GB25" s="47"/>
      <c r="GC25" s="47"/>
      <c r="GD25" s="47"/>
      <c r="GE25" s="47"/>
      <c r="GF25" s="47"/>
      <c r="GG25" s="47"/>
      <c r="GH25" s="47"/>
      <c r="GI25" s="47"/>
      <c r="GJ25" s="47"/>
      <c r="GK25" s="47"/>
      <c r="GL25" s="47"/>
      <c r="GM25" s="47"/>
      <c r="GN25" s="47"/>
      <c r="GO25" s="47"/>
      <c r="GP25" s="47"/>
      <c r="GQ25" s="47"/>
      <c r="GR25" s="47"/>
      <c r="GS25" s="47"/>
      <c r="GT25" s="47"/>
      <c r="GU25" s="47">
        <v>523</v>
      </c>
      <c r="GV25" s="47"/>
      <c r="GW25" s="47"/>
      <c r="GX25" s="47"/>
      <c r="GY25" s="47"/>
      <c r="GZ25" s="47"/>
      <c r="HA25" s="47"/>
      <c r="HB25" s="47"/>
      <c r="HC25" s="47"/>
      <c r="HD25" s="47"/>
      <c r="HE25" s="47"/>
      <c r="HF25" s="47"/>
      <c r="HG25" s="47"/>
      <c r="HH25" s="47"/>
      <c r="HI25" s="47"/>
      <c r="HJ25" s="47"/>
      <c r="HK25" s="47"/>
      <c r="HL25" s="47">
        <v>77</v>
      </c>
      <c r="HM25" s="47"/>
      <c r="HN25" s="47"/>
      <c r="HO25" s="47"/>
      <c r="HP25" s="47"/>
      <c r="HQ25" s="47"/>
      <c r="HR25" s="47"/>
      <c r="HS25" s="47"/>
      <c r="HT25" s="47"/>
      <c r="HU25" s="47"/>
      <c r="HV25" s="47"/>
      <c r="HW25" s="47"/>
      <c r="HX25" s="47"/>
      <c r="HY25" s="47"/>
      <c r="HZ25" s="47"/>
      <c r="IA25" s="47"/>
      <c r="IB25" s="47"/>
      <c r="IC25" s="47"/>
      <c r="ID25" s="47"/>
      <c r="IE25" s="47"/>
      <c r="IF25" s="47"/>
      <c r="IG25" s="47"/>
      <c r="IH25" s="47"/>
      <c r="II25" s="47"/>
      <c r="IJ25" s="47"/>
      <c r="IK25" s="47"/>
      <c r="IL25" s="47"/>
      <c r="IM25" s="47"/>
      <c r="IN25" s="47"/>
      <c r="IO25" s="47"/>
      <c r="IP25" s="47"/>
      <c r="IQ25" s="47"/>
      <c r="IR25" s="47"/>
      <c r="IS25" s="47"/>
      <c r="IT25" s="47"/>
      <c r="IU25" s="47"/>
      <c r="IV25" s="47"/>
      <c r="IW25" s="47"/>
      <c r="IX25" s="47"/>
      <c r="IY25" s="47"/>
      <c r="IZ25" s="47"/>
      <c r="JA25" s="47"/>
      <c r="JB25" s="47"/>
      <c r="JC25" s="47"/>
      <c r="JD25" s="47"/>
      <c r="JE25" s="47"/>
      <c r="JF25" s="47"/>
      <c r="JG25" s="47"/>
      <c r="JH25" s="47">
        <v>128</v>
      </c>
      <c r="JI25" s="47"/>
      <c r="JJ25" s="47"/>
      <c r="JK25" s="47"/>
      <c r="JL25" s="47"/>
      <c r="JM25" s="47"/>
      <c r="JN25" s="47"/>
      <c r="JO25" s="47"/>
      <c r="JP25" s="47"/>
      <c r="JQ25" s="47"/>
      <c r="JR25" s="47"/>
      <c r="JS25" s="47"/>
      <c r="JT25" s="47"/>
      <c r="JU25" s="47"/>
      <c r="JV25" s="47"/>
      <c r="JW25" s="47"/>
      <c r="JX25" s="47"/>
      <c r="JY25" s="47"/>
      <c r="JZ25" s="47"/>
      <c r="KA25" s="47"/>
      <c r="KB25" s="47"/>
      <c r="KC25" s="47"/>
      <c r="KD25" s="47"/>
      <c r="KE25" s="47"/>
      <c r="KF25" s="47"/>
      <c r="KG25" s="47"/>
      <c r="KH25" s="47"/>
      <c r="KI25" s="47"/>
      <c r="KJ25" s="47"/>
      <c r="KK25" s="47"/>
      <c r="KL25" s="47"/>
      <c r="KM25" s="47"/>
      <c r="KN25" s="47"/>
      <c r="KO25" s="47"/>
      <c r="KP25" s="47"/>
      <c r="KQ25" s="47"/>
      <c r="KR25" s="47"/>
      <c r="KS25" s="47"/>
      <c r="KT25" s="47"/>
      <c r="KU25" s="47"/>
      <c r="KV25" s="47"/>
      <c r="KW25" s="47"/>
      <c r="KX25" s="47"/>
      <c r="KY25" s="47"/>
      <c r="KZ25" s="47"/>
      <c r="LA25" s="47"/>
      <c r="LB25" s="47"/>
      <c r="LC25" s="47"/>
      <c r="LD25" s="47"/>
      <c r="LE25" s="47"/>
      <c r="LF25" s="47"/>
      <c r="LG25" s="47"/>
      <c r="LH25" s="47"/>
      <c r="LI25" s="47"/>
      <c r="LJ25" s="47"/>
      <c r="LK25" s="47"/>
      <c r="LL25" s="47"/>
      <c r="LM25" s="47"/>
      <c r="LN25" s="47"/>
      <c r="LO25" s="47"/>
      <c r="LP25" s="47"/>
      <c r="LQ25" s="47"/>
      <c r="LR25" s="47"/>
      <c r="LS25" s="47"/>
      <c r="LT25" s="47">
        <v>346</v>
      </c>
      <c r="LU25" s="47"/>
      <c r="LV25" s="47"/>
      <c r="LW25" s="47"/>
      <c r="LX25" s="47"/>
      <c r="LY25" s="47"/>
      <c r="LZ25" s="47"/>
      <c r="MA25" s="47"/>
      <c r="MB25" s="47"/>
      <c r="MC25" s="47"/>
      <c r="MD25" s="47"/>
      <c r="ME25" s="47"/>
      <c r="MF25" s="47"/>
      <c r="MG25" s="47"/>
      <c r="MH25" s="47"/>
      <c r="MI25" s="47"/>
      <c r="MJ25" s="47"/>
      <c r="MK25" s="47"/>
      <c r="ML25" s="47"/>
      <c r="MM25" s="47"/>
      <c r="MN25" s="47"/>
      <c r="MO25" s="47"/>
      <c r="MP25" s="47"/>
      <c r="MQ25" s="47"/>
      <c r="MR25" s="47"/>
      <c r="MS25" s="47"/>
      <c r="MT25" s="47"/>
      <c r="MU25" s="47"/>
      <c r="MV25" s="47"/>
      <c r="MW25" s="47"/>
      <c r="MX25" s="47"/>
      <c r="MY25" s="47"/>
      <c r="MZ25" s="47"/>
      <c r="NA25" s="47"/>
      <c r="NB25" s="47"/>
      <c r="NC25" s="47"/>
      <c r="ND25" s="47"/>
      <c r="NE25" s="47"/>
      <c r="NF25" s="47"/>
      <c r="NG25" s="47"/>
      <c r="NH25" s="47"/>
      <c r="NI25" s="47"/>
      <c r="NJ25" s="44"/>
      <c r="NK25" s="44"/>
      <c r="NL25" s="44"/>
      <c r="NM25" s="44"/>
      <c r="NN25" s="44"/>
      <c r="NO25" s="47" t="s">
        <v>542</v>
      </c>
      <c r="NP25" s="47"/>
      <c r="NQ25" s="47"/>
      <c r="NR25" s="47"/>
      <c r="NS25" s="47"/>
      <c r="NT25" s="47"/>
      <c r="NU25" s="47"/>
      <c r="NV25" s="47"/>
      <c r="NW25" s="47"/>
      <c r="NX25" s="47"/>
      <c r="NY25" s="47"/>
      <c r="NZ25" s="47"/>
      <c r="OA25" s="47"/>
      <c r="OB25" s="47"/>
      <c r="OC25" s="47"/>
      <c r="OD25" s="47"/>
      <c r="OE25" s="47"/>
      <c r="OF25" s="47"/>
      <c r="OG25" s="47"/>
      <c r="OH25" s="47"/>
      <c r="OI25" s="47"/>
      <c r="OJ25" s="47"/>
      <c r="OK25" s="47"/>
      <c r="OL25" s="47"/>
      <c r="OM25" s="47"/>
      <c r="ON25" s="47"/>
      <c r="OO25" s="47"/>
      <c r="OP25" s="47"/>
      <c r="OQ25" s="47"/>
      <c r="OR25" s="47"/>
      <c r="OS25" s="47"/>
      <c r="OT25" s="47"/>
      <c r="OU25" s="47"/>
      <c r="OV25" s="47"/>
      <c r="OW25" s="47"/>
      <c r="OX25" s="47"/>
      <c r="OY25" s="47"/>
      <c r="OZ25" s="47"/>
      <c r="PA25" s="47"/>
      <c r="PB25" s="47"/>
      <c r="PC25" s="47"/>
      <c r="PD25" s="47"/>
      <c r="PE25" s="47"/>
      <c r="PF25" s="47"/>
      <c r="PG25" s="47"/>
      <c r="PH25" s="47"/>
      <c r="PI25" s="47"/>
      <c r="PJ25" s="47"/>
      <c r="PK25" s="47"/>
      <c r="PL25" s="47"/>
      <c r="PM25" s="47"/>
      <c r="PN25" s="47"/>
      <c r="PO25" s="47"/>
      <c r="PP25" s="47"/>
      <c r="PQ25" s="47"/>
      <c r="PR25" s="47"/>
      <c r="PS25" s="47"/>
      <c r="PT25" s="47"/>
      <c r="PU25" s="47"/>
      <c r="PV25" s="47"/>
      <c r="PW25" s="47"/>
      <c r="PX25" s="47"/>
      <c r="PY25" s="47"/>
      <c r="PZ25" s="47"/>
      <c r="QA25" s="47"/>
      <c r="QB25" s="47"/>
      <c r="QC25" s="47"/>
      <c r="QD25" s="47"/>
      <c r="QE25" s="47"/>
      <c r="QF25" s="47"/>
      <c r="QG25" s="47"/>
      <c r="QH25" s="47"/>
      <c r="QI25" s="47"/>
      <c r="QJ25" s="47"/>
      <c r="QK25" s="47">
        <v>328</v>
      </c>
      <c r="QL25" s="47"/>
      <c r="QM25" s="47"/>
      <c r="QN25" s="47"/>
      <c r="QO25" s="47"/>
      <c r="QP25" s="47"/>
      <c r="QQ25" s="47"/>
      <c r="QR25" s="47"/>
      <c r="QS25" s="47"/>
      <c r="QT25" s="47"/>
      <c r="QU25" s="47"/>
      <c r="QV25" s="47"/>
      <c r="QW25" s="47"/>
      <c r="QX25" s="47"/>
      <c r="QY25" s="47"/>
      <c r="QZ25" s="47"/>
      <c r="RA25" s="47"/>
      <c r="RB25" s="47"/>
      <c r="RC25" s="47"/>
      <c r="RD25" s="47"/>
      <c r="RE25" s="47"/>
      <c r="RF25" s="47"/>
      <c r="RG25" s="47"/>
      <c r="RH25" s="47"/>
      <c r="RI25" s="47"/>
      <c r="RJ25" s="47"/>
      <c r="RK25" s="47"/>
      <c r="RL25" s="47"/>
      <c r="RM25" s="47"/>
      <c r="RN25" s="47"/>
      <c r="RO25" s="47"/>
      <c r="RP25" s="47"/>
      <c r="RQ25" s="47"/>
      <c r="RR25" s="47"/>
      <c r="RS25" s="47"/>
      <c r="RT25" s="47"/>
      <c r="RU25" s="47"/>
      <c r="RV25" s="47"/>
      <c r="RW25" s="47"/>
      <c r="RX25" s="47"/>
      <c r="RY25" s="47"/>
      <c r="RZ25" s="47"/>
      <c r="SA25" s="47"/>
      <c r="SB25" s="47"/>
      <c r="SC25" s="47"/>
      <c r="SD25" s="47"/>
      <c r="SE25" s="47"/>
      <c r="SF25" s="47"/>
      <c r="SG25" s="47"/>
      <c r="SH25" s="47"/>
      <c r="SI25" s="47"/>
      <c r="SJ25" s="47"/>
      <c r="SK25" s="47"/>
      <c r="SL25" s="47"/>
      <c r="SM25" s="47"/>
      <c r="SN25" s="47"/>
      <c r="SO25" s="47"/>
      <c r="SP25" s="47"/>
      <c r="SQ25" s="47"/>
      <c r="SR25" s="47"/>
      <c r="SS25" s="47"/>
      <c r="ST25" s="47"/>
      <c r="SU25" s="47"/>
      <c r="SV25" s="47"/>
      <c r="SW25" s="47"/>
      <c r="SX25" s="47"/>
      <c r="SY25" s="47"/>
      <c r="SZ25" s="47"/>
      <c r="TA25" s="47"/>
      <c r="TB25" s="47"/>
      <c r="TC25" s="47"/>
      <c r="TD25" s="47"/>
      <c r="TE25" s="47"/>
      <c r="TF25" s="47"/>
      <c r="TG25" s="47"/>
      <c r="TH25" s="47"/>
      <c r="TI25" s="47"/>
      <c r="TJ25" s="47"/>
      <c r="TK25" s="47"/>
      <c r="TL25" s="47"/>
      <c r="TM25" s="47"/>
      <c r="TN25" s="47"/>
      <c r="TO25" s="47"/>
      <c r="TP25" s="47"/>
      <c r="TQ25" s="47"/>
      <c r="TR25" s="47"/>
      <c r="TS25" s="47"/>
      <c r="TT25" s="47"/>
      <c r="TU25" s="47"/>
      <c r="TV25" s="47"/>
      <c r="TW25" s="47"/>
      <c r="TX25" s="47"/>
      <c r="TY25" s="47"/>
      <c r="TZ25" s="47"/>
      <c r="UA25" s="47"/>
      <c r="UB25" s="47"/>
      <c r="UC25" s="47"/>
      <c r="UD25" s="47"/>
      <c r="UE25" s="47"/>
      <c r="UF25" s="47"/>
      <c r="UG25" s="47"/>
      <c r="UH25" s="47"/>
      <c r="UI25" s="47"/>
      <c r="UJ25" s="47"/>
      <c r="UK25" s="47"/>
      <c r="UL25" s="47"/>
      <c r="UM25" s="47"/>
      <c r="UN25" s="47"/>
      <c r="UO25" s="47"/>
      <c r="UP25" s="47"/>
      <c r="UQ25" s="47"/>
      <c r="UR25" s="47"/>
      <c r="US25" s="47"/>
      <c r="UT25" s="47"/>
      <c r="UU25" s="47"/>
      <c r="UV25" s="47"/>
      <c r="UW25" s="47"/>
      <c r="UX25" s="47"/>
      <c r="UY25" s="47"/>
      <c r="UZ25" s="47"/>
      <c r="VA25" s="47"/>
      <c r="VB25" s="47"/>
      <c r="VC25" s="47"/>
      <c r="VD25" s="47"/>
      <c r="VE25" s="47"/>
      <c r="VF25" s="47"/>
      <c r="VG25" s="47"/>
      <c r="VH25" s="47"/>
      <c r="VI25" s="47"/>
      <c r="VJ25" s="47"/>
      <c r="VK25" s="47"/>
      <c r="VL25" s="47"/>
      <c r="VM25" s="47"/>
      <c r="VN25" s="47"/>
      <c r="VO25" s="47"/>
      <c r="VP25" s="47"/>
      <c r="VQ25" s="47"/>
      <c r="VR25" s="47"/>
      <c r="VS25" s="47"/>
      <c r="VT25" s="47"/>
      <c r="VU25" s="47"/>
      <c r="VV25" s="47"/>
      <c r="VW25" s="47"/>
      <c r="VX25" s="47"/>
      <c r="VY25" s="47"/>
      <c r="VZ25" s="47"/>
      <c r="WA25" s="47"/>
      <c r="WB25" s="47"/>
      <c r="WC25" s="47"/>
      <c r="WD25" s="47"/>
      <c r="WE25" s="47"/>
      <c r="WF25" s="47"/>
      <c r="WG25" s="47"/>
      <c r="WH25" s="47"/>
      <c r="WI25" s="47"/>
      <c r="WJ25" s="47"/>
      <c r="WK25" s="47"/>
      <c r="WL25" s="47"/>
      <c r="WM25" s="47"/>
      <c r="WN25" s="47"/>
      <c r="WO25" s="47"/>
      <c r="WP25" s="47"/>
      <c r="WQ25" s="47"/>
      <c r="WR25" s="47"/>
      <c r="WS25" s="47"/>
      <c r="WT25" s="47"/>
      <c r="WU25" s="47"/>
      <c r="WV25" s="47"/>
      <c r="WW25" s="47"/>
      <c r="WX25" s="47"/>
      <c r="WY25" s="47"/>
      <c r="WZ25" s="47"/>
      <c r="XA25" s="47"/>
      <c r="XB25" s="47"/>
      <c r="XC25" s="47"/>
      <c r="XD25" s="47"/>
      <c r="XE25" s="47"/>
      <c r="XF25" s="47"/>
      <c r="XG25" s="47"/>
      <c r="XH25" s="47"/>
      <c r="XI25" s="47"/>
      <c r="XJ25" s="47"/>
      <c r="XK25" s="47"/>
      <c r="XL25" s="47"/>
      <c r="XM25" s="47"/>
      <c r="XN25" s="47"/>
      <c r="XO25" s="47"/>
      <c r="XP25" s="47"/>
      <c r="XQ25" s="47"/>
      <c r="XR25" s="47"/>
      <c r="XS25" s="47"/>
      <c r="XT25" s="47"/>
      <c r="XU25" s="47"/>
      <c r="XV25" s="47"/>
      <c r="XW25" s="47"/>
      <c r="XX25" s="47"/>
      <c r="XY25" s="47"/>
      <c r="XZ25" s="47"/>
      <c r="YA25" s="44"/>
      <c r="YB25" s="44"/>
      <c r="YC25" s="44"/>
      <c r="YD25" s="44"/>
      <c r="YE25" s="44"/>
      <c r="YF25" s="47"/>
      <c r="YG25" s="47"/>
      <c r="YH25" s="47"/>
      <c r="YI25" s="47"/>
      <c r="YJ25" s="47"/>
      <c r="YK25" s="47"/>
      <c r="YL25" s="47"/>
      <c r="YM25" s="47"/>
      <c r="YN25" s="47"/>
      <c r="YO25" s="47"/>
      <c r="YP25" s="47"/>
      <c r="YQ25" s="47"/>
      <c r="YR25" s="47"/>
      <c r="YS25" s="47"/>
      <c r="YT25" s="47"/>
      <c r="YU25" s="47"/>
      <c r="YV25" s="47"/>
      <c r="YW25" s="47"/>
      <c r="YX25" s="47"/>
      <c r="YY25" s="47"/>
      <c r="YZ25" s="47"/>
      <c r="ZA25" s="47"/>
      <c r="ZB25" s="47"/>
      <c r="ZC25" s="47"/>
      <c r="ZD25" s="47"/>
      <c r="ZE25" s="47"/>
      <c r="ZF25" s="47"/>
      <c r="ZG25" s="47"/>
      <c r="ZH25" s="47"/>
      <c r="ZI25" s="47"/>
      <c r="ZJ25" s="47"/>
      <c r="ZK25" s="47"/>
      <c r="ZL25" s="47"/>
      <c r="ZM25" s="47"/>
      <c r="ZN25" s="47"/>
      <c r="ZO25" s="47"/>
      <c r="ZP25" s="47"/>
      <c r="ZQ25" s="47"/>
      <c r="ZR25" s="47"/>
      <c r="ZS25" s="47"/>
      <c r="ZT25" s="47"/>
      <c r="ZU25" s="47"/>
      <c r="ZV25" s="47"/>
      <c r="ZW25" s="44"/>
      <c r="ZX25" s="44"/>
      <c r="ZY25" s="44"/>
      <c r="ZZ25" s="44"/>
      <c r="AAA25" s="44"/>
      <c r="AAB25" s="44"/>
      <c r="AAC25" s="44"/>
      <c r="AAD25" s="44"/>
      <c r="AAE25" s="44"/>
      <c r="AAF25" s="44"/>
      <c r="AAG25" s="47"/>
      <c r="AAH25" s="47"/>
      <c r="AAI25" s="47"/>
      <c r="AAJ25" s="47"/>
      <c r="AAK25" s="47"/>
      <c r="AAL25" s="47"/>
      <c r="AAM25" s="47"/>
      <c r="AAN25" s="47"/>
      <c r="AAO25" s="47"/>
      <c r="AAP25" s="47"/>
      <c r="AAQ25" s="47"/>
      <c r="AAR25" s="47"/>
      <c r="AAS25" s="47"/>
      <c r="AAT25" s="47"/>
      <c r="AAU25" s="47"/>
      <c r="AAV25" s="47"/>
      <c r="AAW25" s="47"/>
      <c r="AAX25" s="47"/>
      <c r="AAY25" s="47"/>
      <c r="AAZ25" s="47"/>
      <c r="ABA25" s="47"/>
      <c r="ABB25" s="47"/>
      <c r="ABC25" s="47"/>
      <c r="ABD25" s="47"/>
      <c r="ABE25" s="47"/>
      <c r="ABF25" s="47"/>
      <c r="ABG25" s="47"/>
      <c r="ABH25" s="47"/>
      <c r="ABI25" s="47"/>
      <c r="ABJ25" s="47"/>
      <c r="ABK25" s="47"/>
      <c r="ABL25" s="47"/>
      <c r="ABM25" s="47"/>
      <c r="ABN25" s="47"/>
      <c r="ABO25" s="47"/>
      <c r="ABP25" s="47"/>
      <c r="ABQ25" s="47"/>
      <c r="ABR25" s="47"/>
      <c r="ABS25" s="47"/>
      <c r="ABT25" s="47"/>
      <c r="ABU25" s="47"/>
      <c r="ABV25" s="47"/>
      <c r="ABW25" s="47"/>
      <c r="ABX25" s="47"/>
      <c r="ABY25" s="47"/>
      <c r="ABZ25" s="47"/>
      <c r="ACA25" s="47"/>
      <c r="ACB25" s="47"/>
      <c r="ACC25" s="47"/>
      <c r="ACD25" s="47"/>
      <c r="ACE25" s="47"/>
      <c r="ACF25" s="47"/>
      <c r="ACG25" s="47"/>
      <c r="ACH25" s="48"/>
    </row>
    <row r="26" spans="1:762" x14ac:dyDescent="0.25">
      <c r="A26" s="42" t="s">
        <v>55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  <c r="DV26" s="43"/>
      <c r="DW26" s="43"/>
      <c r="DX26" s="43"/>
      <c r="DY26" s="43"/>
      <c r="DZ26" s="43"/>
      <c r="EA26" s="43"/>
      <c r="EB26" s="43"/>
      <c r="EC26" s="43"/>
      <c r="ED26" s="43"/>
      <c r="EE26" s="43"/>
      <c r="EF26" s="43"/>
      <c r="EG26" s="43"/>
      <c r="EH26" s="43"/>
      <c r="EI26" s="43"/>
      <c r="EJ26" s="43"/>
      <c r="EK26" s="43"/>
      <c r="EL26" s="43"/>
      <c r="EM26" s="43"/>
      <c r="EN26" s="43"/>
      <c r="EO26" s="43"/>
      <c r="EP26" s="43"/>
      <c r="EQ26" s="43"/>
      <c r="ER26" s="43"/>
      <c r="ES26" s="43"/>
      <c r="ET26" s="43"/>
      <c r="EU26" s="43"/>
      <c r="EV26" s="43"/>
      <c r="EW26" s="43"/>
      <c r="EX26" s="43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  <c r="IU26" s="43"/>
      <c r="IV26" s="43"/>
      <c r="IW26" s="43"/>
      <c r="IX26" s="43"/>
      <c r="IY26" s="43"/>
      <c r="IZ26" s="43"/>
      <c r="JA26" s="43"/>
      <c r="JB26" s="43"/>
      <c r="JC26" s="43"/>
      <c r="JD26" s="43"/>
      <c r="JE26" s="43"/>
      <c r="JF26" s="43"/>
      <c r="JG26" s="43"/>
      <c r="JH26" s="43"/>
      <c r="JI26" s="43"/>
      <c r="JJ26" s="43"/>
      <c r="JK26" s="43"/>
      <c r="JL26" s="43"/>
      <c r="JM26" s="43"/>
      <c r="JN26" s="43"/>
      <c r="JO26" s="43"/>
      <c r="JP26" s="43"/>
      <c r="JQ26" s="43"/>
      <c r="JR26" s="43"/>
      <c r="JS26" s="43"/>
      <c r="JT26" s="43"/>
      <c r="JU26" s="43"/>
      <c r="JV26" s="43"/>
      <c r="JW26" s="43"/>
      <c r="JX26" s="43"/>
      <c r="JY26" s="43"/>
      <c r="JZ26" s="43"/>
      <c r="KA26" s="43"/>
      <c r="KB26" s="43"/>
      <c r="KC26" s="43"/>
      <c r="KD26" s="43"/>
      <c r="KE26" s="43"/>
      <c r="KF26" s="43"/>
      <c r="KG26" s="43"/>
      <c r="KH26" s="43"/>
      <c r="KI26" s="43"/>
      <c r="KJ26" s="43"/>
      <c r="KK26" s="43"/>
      <c r="KL26" s="43"/>
      <c r="KM26" s="43"/>
      <c r="KN26" s="43"/>
      <c r="KO26" s="43"/>
      <c r="KP26" s="43"/>
      <c r="KQ26" s="43"/>
      <c r="KR26" s="43"/>
      <c r="KS26" s="43"/>
      <c r="KT26" s="43"/>
      <c r="KU26" s="43"/>
      <c r="KV26" s="43"/>
      <c r="KW26" s="43"/>
      <c r="KX26" s="43"/>
      <c r="KY26" s="43"/>
      <c r="KZ26" s="43"/>
      <c r="LA26" s="43"/>
      <c r="LB26" s="43"/>
      <c r="LC26" s="43"/>
      <c r="LD26" s="43"/>
      <c r="LE26" s="43"/>
      <c r="LF26" s="43"/>
      <c r="LG26" s="43"/>
      <c r="LH26" s="43"/>
      <c r="LI26" s="43"/>
      <c r="LJ26" s="43"/>
      <c r="LK26" s="43"/>
      <c r="LL26" s="43"/>
      <c r="LM26" s="43"/>
      <c r="LN26" s="43"/>
      <c r="LO26" s="43"/>
      <c r="LP26" s="43"/>
      <c r="LQ26" s="43"/>
      <c r="LR26" s="43"/>
      <c r="LS26" s="43"/>
      <c r="LT26" s="43"/>
      <c r="LU26" s="43"/>
      <c r="LV26" s="43"/>
      <c r="LW26" s="43"/>
      <c r="LX26" s="43"/>
      <c r="LY26" s="43"/>
      <c r="LZ26" s="43"/>
      <c r="MA26" s="43"/>
      <c r="MB26" s="43"/>
      <c r="MC26" s="43"/>
      <c r="MD26" s="43"/>
      <c r="ME26" s="43"/>
      <c r="MF26" s="43"/>
      <c r="MG26" s="43"/>
      <c r="MH26" s="43"/>
      <c r="MI26" s="43"/>
      <c r="MJ26" s="43"/>
      <c r="MK26" s="43"/>
      <c r="ML26" s="43"/>
      <c r="MM26" s="43"/>
      <c r="MN26" s="43"/>
      <c r="MO26" s="43"/>
      <c r="MP26" s="43"/>
      <c r="MQ26" s="43"/>
      <c r="MR26" s="43"/>
      <c r="MS26" s="43"/>
      <c r="MT26" s="43"/>
      <c r="MU26" s="43"/>
      <c r="MV26" s="43"/>
      <c r="MW26" s="43"/>
      <c r="MX26" s="43"/>
      <c r="MY26" s="43"/>
      <c r="MZ26" s="43"/>
      <c r="NA26" s="43"/>
      <c r="NB26" s="43"/>
      <c r="NC26" s="43"/>
      <c r="ND26" s="43"/>
      <c r="NE26" s="43"/>
      <c r="NF26" s="43"/>
      <c r="NG26" s="43"/>
      <c r="NH26" s="43"/>
      <c r="NI26" s="43"/>
      <c r="NJ26" s="44"/>
      <c r="NK26" s="44"/>
      <c r="NL26" s="44"/>
      <c r="NM26" s="44"/>
      <c r="NN26" s="44"/>
      <c r="NO26" s="43"/>
      <c r="NP26" s="43"/>
      <c r="NQ26" s="43"/>
      <c r="NR26" s="43"/>
      <c r="NS26" s="43"/>
      <c r="NT26" s="43"/>
      <c r="NU26" s="43"/>
      <c r="NV26" s="43"/>
      <c r="NW26" s="43"/>
      <c r="NX26" s="43"/>
      <c r="NY26" s="43"/>
      <c r="NZ26" s="43"/>
      <c r="OA26" s="43"/>
      <c r="OB26" s="43"/>
      <c r="OC26" s="43"/>
      <c r="OD26" s="43"/>
      <c r="OE26" s="43"/>
      <c r="OF26" s="43"/>
      <c r="OG26" s="43"/>
      <c r="OH26" s="43"/>
      <c r="OI26" s="43"/>
      <c r="OJ26" s="43"/>
      <c r="OK26" s="43"/>
      <c r="OL26" s="43"/>
      <c r="OM26" s="43"/>
      <c r="ON26" s="43"/>
      <c r="OO26" s="43"/>
      <c r="OP26" s="43"/>
      <c r="OQ26" s="43"/>
      <c r="OR26" s="43"/>
      <c r="OS26" s="43"/>
      <c r="OT26" s="43"/>
      <c r="OU26" s="43"/>
      <c r="OV26" s="43"/>
      <c r="OW26" s="43"/>
      <c r="OX26" s="43"/>
      <c r="OY26" s="43"/>
      <c r="OZ26" s="43"/>
      <c r="PA26" s="43"/>
      <c r="PB26" s="43"/>
      <c r="PC26" s="43"/>
      <c r="PD26" s="43"/>
      <c r="PE26" s="43"/>
      <c r="PF26" s="43"/>
      <c r="PG26" s="43"/>
      <c r="PH26" s="43"/>
      <c r="PI26" s="43"/>
      <c r="PJ26" s="43"/>
      <c r="PK26" s="43"/>
      <c r="PL26" s="43"/>
      <c r="PM26" s="43"/>
      <c r="PN26" s="43"/>
      <c r="PO26" s="43"/>
      <c r="PP26" s="43"/>
      <c r="PQ26" s="43"/>
      <c r="PR26" s="43"/>
      <c r="PS26" s="43"/>
      <c r="PT26" s="43"/>
      <c r="PU26" s="43"/>
      <c r="PV26" s="43"/>
      <c r="PW26" s="43"/>
      <c r="PX26" s="43"/>
      <c r="PY26" s="43"/>
      <c r="PZ26" s="43"/>
      <c r="QA26" s="43"/>
      <c r="QB26" s="43"/>
      <c r="QC26" s="43"/>
      <c r="QD26" s="43"/>
      <c r="QE26" s="43"/>
      <c r="QF26" s="43"/>
      <c r="QG26" s="43"/>
      <c r="QH26" s="43"/>
      <c r="QI26" s="43"/>
      <c r="QJ26" s="43"/>
      <c r="QK26" s="43"/>
      <c r="QL26" s="43"/>
      <c r="QM26" s="43"/>
      <c r="QN26" s="43"/>
      <c r="QO26" s="43"/>
      <c r="QP26" s="43"/>
      <c r="QQ26" s="43"/>
      <c r="QR26" s="43"/>
      <c r="QS26" s="43"/>
      <c r="QT26" s="43"/>
      <c r="QU26" s="43"/>
      <c r="QV26" s="43"/>
      <c r="QW26" s="43"/>
      <c r="QX26" s="43"/>
      <c r="QY26" s="43"/>
      <c r="QZ26" s="43"/>
      <c r="RA26" s="43"/>
      <c r="RB26" s="43"/>
      <c r="RC26" s="43"/>
      <c r="RD26" s="43"/>
      <c r="RE26" s="43"/>
      <c r="RF26" s="43"/>
      <c r="RG26" s="43"/>
      <c r="RH26" s="43"/>
      <c r="RI26" s="43"/>
      <c r="RJ26" s="43"/>
      <c r="RK26" s="43"/>
      <c r="RL26" s="43"/>
      <c r="RM26" s="43"/>
      <c r="RN26" s="43"/>
      <c r="RO26" s="43"/>
      <c r="RP26" s="43"/>
      <c r="RQ26" s="43"/>
      <c r="RR26" s="43"/>
      <c r="RS26" s="43"/>
      <c r="RT26" s="43"/>
      <c r="RU26" s="43"/>
      <c r="RV26" s="43"/>
      <c r="RW26" s="43"/>
      <c r="RX26" s="43"/>
      <c r="RY26" s="43"/>
      <c r="RZ26" s="43"/>
      <c r="SA26" s="43"/>
      <c r="SB26" s="43"/>
      <c r="SC26" s="43"/>
      <c r="SD26" s="43"/>
      <c r="SE26" s="43"/>
      <c r="SF26" s="43"/>
      <c r="SG26" s="43"/>
      <c r="SH26" s="43"/>
      <c r="SI26" s="43"/>
      <c r="SJ26" s="43"/>
      <c r="SK26" s="43"/>
      <c r="SL26" s="43"/>
      <c r="SM26" s="43"/>
      <c r="SN26" s="43"/>
      <c r="SO26" s="43"/>
      <c r="SP26" s="43"/>
      <c r="SQ26" s="43"/>
      <c r="SR26" s="43"/>
      <c r="SS26" s="43"/>
      <c r="ST26" s="43"/>
      <c r="SU26" s="43"/>
      <c r="SV26" s="43"/>
      <c r="SW26" s="43"/>
      <c r="SX26" s="43"/>
      <c r="SY26" s="43"/>
      <c r="SZ26" s="43"/>
      <c r="TA26" s="43"/>
      <c r="TB26" s="43"/>
      <c r="TC26" s="43"/>
      <c r="TD26" s="43"/>
      <c r="TE26" s="43"/>
      <c r="TF26" s="43"/>
      <c r="TG26" s="43"/>
      <c r="TH26" s="43"/>
      <c r="TI26" s="43"/>
      <c r="TJ26" s="43"/>
      <c r="TK26" s="43"/>
      <c r="TL26" s="43"/>
      <c r="TM26" s="43"/>
      <c r="TN26" s="43"/>
      <c r="TO26" s="43"/>
      <c r="TP26" s="43"/>
      <c r="TQ26" s="43"/>
      <c r="TR26" s="43"/>
      <c r="TS26" s="43"/>
      <c r="TT26" s="43"/>
      <c r="TU26" s="43"/>
      <c r="TV26" s="43"/>
      <c r="TW26" s="43"/>
      <c r="TX26" s="43"/>
      <c r="TY26" s="43"/>
      <c r="TZ26" s="43"/>
      <c r="UA26" s="43"/>
      <c r="UB26" s="43"/>
      <c r="UC26" s="43"/>
      <c r="UD26" s="43"/>
      <c r="UE26" s="43"/>
      <c r="UF26" s="43"/>
      <c r="UG26" s="43"/>
      <c r="UH26" s="43"/>
      <c r="UI26" s="43"/>
      <c r="UJ26" s="43"/>
      <c r="UK26" s="43"/>
      <c r="UL26" s="43"/>
      <c r="UM26" s="43"/>
      <c r="UN26" s="43"/>
      <c r="UO26" s="43"/>
      <c r="UP26" s="43"/>
      <c r="UQ26" s="43"/>
      <c r="UR26" s="43"/>
      <c r="US26" s="43"/>
      <c r="UT26" s="43"/>
      <c r="UU26" s="43"/>
      <c r="UV26" s="43"/>
      <c r="UW26" s="43"/>
      <c r="UX26" s="43"/>
      <c r="UY26" s="43"/>
      <c r="UZ26" s="43"/>
      <c r="VA26" s="43"/>
      <c r="VB26" s="43"/>
      <c r="VC26" s="43"/>
      <c r="VD26" s="43"/>
      <c r="VE26" s="43"/>
      <c r="VF26" s="43"/>
      <c r="VG26" s="43"/>
      <c r="VH26" s="43"/>
      <c r="VI26" s="43"/>
      <c r="VJ26" s="43"/>
      <c r="VK26" s="43"/>
      <c r="VL26" s="43"/>
      <c r="VM26" s="43"/>
      <c r="VN26" s="43"/>
      <c r="VO26" s="43"/>
      <c r="VP26" s="43"/>
      <c r="VQ26" s="43"/>
      <c r="VR26" s="43"/>
      <c r="VS26" s="43"/>
      <c r="VT26" s="43"/>
      <c r="VU26" s="43"/>
      <c r="VV26" s="43"/>
      <c r="VW26" s="43"/>
      <c r="VX26" s="43"/>
      <c r="VY26" s="43"/>
      <c r="VZ26" s="43"/>
      <c r="WA26" s="43"/>
      <c r="WB26" s="43"/>
      <c r="WC26" s="43"/>
      <c r="WD26" s="43"/>
      <c r="WE26" s="43"/>
      <c r="WF26" s="43"/>
      <c r="WG26" s="43"/>
      <c r="WH26" s="43"/>
      <c r="WI26" s="43"/>
      <c r="WJ26" s="43"/>
      <c r="WK26" s="43"/>
      <c r="WL26" s="43"/>
      <c r="WM26" s="43"/>
      <c r="WN26" s="43"/>
      <c r="WO26" s="43"/>
      <c r="WP26" s="43"/>
      <c r="WQ26" s="43"/>
      <c r="WR26" s="43"/>
      <c r="WS26" s="43"/>
      <c r="WT26" s="43"/>
      <c r="WU26" s="43"/>
      <c r="WV26" s="43"/>
      <c r="WW26" s="43"/>
      <c r="WX26" s="43"/>
      <c r="WY26" s="43"/>
      <c r="WZ26" s="43"/>
      <c r="XA26" s="43"/>
      <c r="XB26" s="43"/>
      <c r="XC26" s="43"/>
      <c r="XD26" s="43"/>
      <c r="XE26" s="43"/>
      <c r="XF26" s="43"/>
      <c r="XG26" s="43"/>
      <c r="XH26" s="43"/>
      <c r="XI26" s="43"/>
      <c r="XJ26" s="43"/>
      <c r="XK26" s="43"/>
      <c r="XL26" s="43"/>
      <c r="XM26" s="43"/>
      <c r="XN26" s="43"/>
      <c r="XO26" s="43"/>
      <c r="XP26" s="43"/>
      <c r="XQ26" s="43"/>
      <c r="XR26" s="43"/>
      <c r="XS26" s="43"/>
      <c r="XT26" s="43"/>
      <c r="XU26" s="43"/>
      <c r="XV26" s="43"/>
      <c r="XW26" s="43"/>
      <c r="XX26" s="43"/>
      <c r="XY26" s="43"/>
      <c r="XZ26" s="43"/>
      <c r="YA26" s="44"/>
      <c r="YB26" s="44"/>
      <c r="YC26" s="44"/>
      <c r="YD26" s="44"/>
      <c r="YE26" s="44"/>
      <c r="YF26" s="43"/>
      <c r="YG26" s="43"/>
      <c r="YH26" s="43"/>
      <c r="YI26" s="43"/>
      <c r="YJ26" s="43"/>
      <c r="YK26" s="43"/>
      <c r="YL26" s="43"/>
      <c r="YM26" s="43"/>
      <c r="YN26" s="43"/>
      <c r="YO26" s="43"/>
      <c r="YP26" s="43"/>
      <c r="YQ26" s="43"/>
      <c r="YR26" s="43"/>
      <c r="YS26" s="43"/>
      <c r="YT26" s="43"/>
      <c r="YU26" s="43"/>
      <c r="YV26" s="43"/>
      <c r="YW26" s="43"/>
      <c r="YX26" s="43"/>
      <c r="YY26" s="43"/>
      <c r="YZ26" s="43"/>
      <c r="ZA26" s="43"/>
      <c r="ZB26" s="43"/>
      <c r="ZC26" s="43"/>
      <c r="ZD26" s="43"/>
      <c r="ZE26" s="43"/>
      <c r="ZF26" s="43"/>
      <c r="ZG26" s="43"/>
      <c r="ZH26" s="43"/>
      <c r="ZI26" s="43"/>
      <c r="ZJ26" s="43"/>
      <c r="ZK26" s="43"/>
      <c r="ZL26" s="43"/>
      <c r="ZM26" s="43"/>
      <c r="ZN26" s="43"/>
      <c r="ZO26" s="43"/>
      <c r="ZP26" s="43"/>
      <c r="ZQ26" s="43"/>
      <c r="ZR26" s="43"/>
      <c r="ZS26" s="43"/>
      <c r="ZT26" s="43"/>
      <c r="ZU26" s="43"/>
      <c r="ZV26" s="43"/>
      <c r="ZW26" s="44"/>
      <c r="ZX26" s="44"/>
      <c r="ZY26" s="44"/>
      <c r="ZZ26" s="44"/>
      <c r="AAA26" s="44"/>
      <c r="AAB26" s="44"/>
      <c r="AAC26" s="44"/>
      <c r="AAD26" s="44"/>
      <c r="AAE26" s="44"/>
      <c r="AAF26" s="44"/>
      <c r="AAG26" s="43"/>
      <c r="AAH26" s="43"/>
      <c r="AAI26" s="43"/>
      <c r="AAJ26" s="43"/>
      <c r="AAK26" s="43"/>
      <c r="AAL26" s="43"/>
      <c r="AAM26" s="43"/>
      <c r="AAN26" s="43"/>
      <c r="AAO26" s="43"/>
      <c r="AAP26" s="43"/>
      <c r="AAQ26" s="43"/>
      <c r="AAR26" s="43"/>
      <c r="AAS26" s="43"/>
      <c r="AAT26" s="43"/>
      <c r="AAU26" s="43"/>
      <c r="AAV26" s="43"/>
      <c r="AAW26" s="43"/>
      <c r="AAX26" s="43"/>
      <c r="AAY26" s="43"/>
      <c r="AAZ26" s="43"/>
      <c r="ABA26" s="43"/>
      <c r="ABB26" s="43"/>
      <c r="ABC26" s="43"/>
      <c r="ABD26" s="43"/>
      <c r="ABE26" s="43"/>
      <c r="ABF26" s="43"/>
      <c r="ABG26" s="43"/>
      <c r="ABH26" s="43"/>
      <c r="ABI26" s="43"/>
      <c r="ABJ26" s="43"/>
      <c r="ABK26" s="43"/>
      <c r="ABL26" s="43"/>
      <c r="ABM26" s="43"/>
      <c r="ABN26" s="43"/>
      <c r="ABO26" s="43"/>
      <c r="ABP26" s="43"/>
      <c r="ABQ26" s="43"/>
      <c r="ABR26" s="43"/>
      <c r="ABS26" s="43"/>
      <c r="ABT26" s="43"/>
      <c r="ABU26" s="43"/>
      <c r="ABV26" s="43"/>
      <c r="ABW26" s="43"/>
      <c r="ABX26" s="43"/>
      <c r="ABY26" s="43"/>
      <c r="ABZ26" s="43"/>
      <c r="ACA26" s="43"/>
      <c r="ACB26" s="43"/>
      <c r="ACC26" s="43"/>
      <c r="ACD26" s="43"/>
      <c r="ACE26" s="43"/>
      <c r="ACF26" s="43"/>
      <c r="ACG26" s="43"/>
      <c r="ACH26" s="45"/>
    </row>
    <row r="27" spans="1:762" x14ac:dyDescent="0.25">
      <c r="A27" s="46" t="s">
        <v>57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  <c r="BW27" s="47"/>
      <c r="BX27" s="47"/>
      <c r="BY27" s="47"/>
      <c r="BZ27" s="47"/>
      <c r="CA27" s="47"/>
      <c r="CB27" s="47"/>
      <c r="CC27" s="47"/>
      <c r="CD27" s="47"/>
      <c r="CE27" s="47"/>
      <c r="CF27" s="47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47"/>
      <c r="CR27" s="47"/>
      <c r="CS27" s="47"/>
      <c r="CT27" s="47"/>
      <c r="CU27" s="47"/>
      <c r="CV27" s="47"/>
      <c r="CW27" s="47"/>
      <c r="CX27" s="47"/>
      <c r="CY27" s="47"/>
      <c r="CZ27" s="47"/>
      <c r="DA27" s="47"/>
      <c r="DB27" s="47"/>
      <c r="DC27" s="47"/>
      <c r="DD27" s="47"/>
      <c r="DE27" s="47"/>
      <c r="DF27" s="47"/>
      <c r="DG27" s="47"/>
      <c r="DH27" s="47"/>
      <c r="DI27" s="47"/>
      <c r="DJ27" s="47"/>
      <c r="DK27" s="47"/>
      <c r="DL27" s="47"/>
      <c r="DM27" s="47"/>
      <c r="DN27" s="47"/>
      <c r="DO27" s="47"/>
      <c r="DP27" s="47"/>
      <c r="DQ27" s="47"/>
      <c r="DR27" s="47"/>
      <c r="DS27" s="47"/>
      <c r="DT27" s="47"/>
      <c r="DU27" s="47"/>
      <c r="DV27" s="47"/>
      <c r="DW27" s="47"/>
      <c r="DX27" s="47"/>
      <c r="DY27" s="47"/>
      <c r="DZ27" s="47"/>
      <c r="EA27" s="47"/>
      <c r="EB27" s="47"/>
      <c r="EC27" s="47"/>
      <c r="ED27" s="47"/>
      <c r="EE27" s="47"/>
      <c r="EF27" s="47"/>
      <c r="EG27" s="47"/>
      <c r="EH27" s="47"/>
      <c r="EI27" s="47"/>
      <c r="EJ27" s="47"/>
      <c r="EK27" s="47"/>
      <c r="EL27" s="47"/>
      <c r="EM27" s="47"/>
      <c r="EN27" s="47"/>
      <c r="EO27" s="47"/>
      <c r="EP27" s="47"/>
      <c r="EQ27" s="47"/>
      <c r="ER27" s="47"/>
      <c r="ES27" s="47"/>
      <c r="ET27" s="47"/>
      <c r="EU27" s="47"/>
      <c r="EV27" s="47"/>
      <c r="EW27" s="47"/>
      <c r="EX27" s="47"/>
      <c r="EY27" s="47"/>
      <c r="EZ27" s="47"/>
      <c r="FA27" s="47"/>
      <c r="FB27" s="47"/>
      <c r="FC27" s="47"/>
      <c r="FD27" s="47"/>
      <c r="FE27" s="47"/>
      <c r="FF27" s="47"/>
      <c r="FG27" s="47"/>
      <c r="FH27" s="47"/>
      <c r="FI27" s="47"/>
      <c r="FJ27" s="47"/>
      <c r="FK27" s="47"/>
      <c r="FL27" s="47"/>
      <c r="FM27" s="47"/>
      <c r="FN27" s="47"/>
      <c r="FO27" s="47"/>
      <c r="FP27" s="47"/>
      <c r="FQ27" s="47"/>
      <c r="FR27" s="47"/>
      <c r="FS27" s="47"/>
      <c r="FT27" s="47"/>
      <c r="FU27" s="47"/>
      <c r="FV27" s="47"/>
      <c r="FW27" s="47"/>
      <c r="FX27" s="47"/>
      <c r="FY27" s="47"/>
      <c r="FZ27" s="47"/>
      <c r="GA27" s="47"/>
      <c r="GB27" s="47"/>
      <c r="GC27" s="47"/>
      <c r="GD27" s="47"/>
      <c r="GE27" s="47"/>
      <c r="GF27" s="47"/>
      <c r="GG27" s="47"/>
      <c r="GH27" s="47"/>
      <c r="GI27" s="47"/>
      <c r="GJ27" s="47"/>
      <c r="GK27" s="47"/>
      <c r="GL27" s="47"/>
      <c r="GM27" s="47"/>
      <c r="GN27" s="47"/>
      <c r="GO27" s="47"/>
      <c r="GP27" s="47"/>
      <c r="GQ27" s="47"/>
      <c r="GR27" s="47"/>
      <c r="GS27" s="47"/>
      <c r="GT27" s="47"/>
      <c r="GU27" s="47"/>
      <c r="GV27" s="47"/>
      <c r="GW27" s="47"/>
      <c r="GX27" s="47"/>
      <c r="GY27" s="47"/>
      <c r="GZ27" s="47"/>
      <c r="HA27" s="47"/>
      <c r="HB27" s="47"/>
      <c r="HC27" s="47"/>
      <c r="HD27" s="47"/>
      <c r="HE27" s="47"/>
      <c r="HF27" s="47"/>
      <c r="HG27" s="47"/>
      <c r="HH27" s="47"/>
      <c r="HI27" s="47"/>
      <c r="HJ27" s="47"/>
      <c r="HK27" s="47"/>
      <c r="HL27" s="47"/>
      <c r="HM27" s="47"/>
      <c r="HN27" s="47"/>
      <c r="HO27" s="47"/>
      <c r="HP27" s="47"/>
      <c r="HQ27" s="47"/>
      <c r="HR27" s="47"/>
      <c r="HS27" s="47"/>
      <c r="HT27" s="47"/>
      <c r="HU27" s="47"/>
      <c r="HV27" s="47"/>
      <c r="HW27" s="47"/>
      <c r="HX27" s="47"/>
      <c r="HY27" s="47"/>
      <c r="HZ27" s="47"/>
      <c r="IA27" s="47"/>
      <c r="IB27" s="47"/>
      <c r="IC27" s="47"/>
      <c r="ID27" s="47"/>
      <c r="IE27" s="47"/>
      <c r="IF27" s="47"/>
      <c r="IG27" s="47"/>
      <c r="IH27" s="47"/>
      <c r="II27" s="47"/>
      <c r="IJ27" s="47"/>
      <c r="IK27" s="47"/>
      <c r="IL27" s="47"/>
      <c r="IM27" s="47"/>
      <c r="IN27" s="47"/>
      <c r="IO27" s="47"/>
      <c r="IP27" s="47"/>
      <c r="IQ27" s="47"/>
      <c r="IR27" s="47"/>
      <c r="IS27" s="47"/>
      <c r="IT27" s="47"/>
      <c r="IU27" s="47"/>
      <c r="IV27" s="47"/>
      <c r="IW27" s="47"/>
      <c r="IX27" s="47"/>
      <c r="IY27" s="47"/>
      <c r="IZ27" s="47"/>
      <c r="JA27" s="47"/>
      <c r="JB27" s="47"/>
      <c r="JC27" s="47"/>
      <c r="JD27" s="47"/>
      <c r="JE27" s="47"/>
      <c r="JF27" s="47"/>
      <c r="JG27" s="47"/>
      <c r="JH27" s="47"/>
      <c r="JI27" s="47"/>
      <c r="JJ27" s="47"/>
      <c r="JK27" s="47"/>
      <c r="JL27" s="47"/>
      <c r="JM27" s="47"/>
      <c r="JN27" s="47"/>
      <c r="JO27" s="47"/>
      <c r="JP27" s="47"/>
      <c r="JQ27" s="47"/>
      <c r="JR27" s="47"/>
      <c r="JS27" s="47"/>
      <c r="JT27" s="47"/>
      <c r="JU27" s="47"/>
      <c r="JV27" s="47"/>
      <c r="JW27" s="47"/>
      <c r="JX27" s="47"/>
      <c r="JY27" s="47"/>
      <c r="JZ27" s="47"/>
      <c r="KA27" s="47"/>
      <c r="KB27" s="47"/>
      <c r="KC27" s="47"/>
      <c r="KD27" s="47"/>
      <c r="KE27" s="47"/>
      <c r="KF27" s="47"/>
      <c r="KG27" s="47"/>
      <c r="KH27" s="47"/>
      <c r="KI27" s="47"/>
      <c r="KJ27" s="47"/>
      <c r="KK27" s="47"/>
      <c r="KL27" s="47"/>
      <c r="KM27" s="47"/>
      <c r="KN27" s="47"/>
      <c r="KO27" s="47"/>
      <c r="KP27" s="47"/>
      <c r="KQ27" s="47"/>
      <c r="KR27" s="47"/>
      <c r="KS27" s="47"/>
      <c r="KT27" s="47"/>
      <c r="KU27" s="47"/>
      <c r="KV27" s="47"/>
      <c r="KW27" s="47"/>
      <c r="KX27" s="47"/>
      <c r="KY27" s="47"/>
      <c r="KZ27" s="47"/>
      <c r="LA27" s="47"/>
      <c r="LB27" s="47"/>
      <c r="LC27" s="47"/>
      <c r="LD27" s="47"/>
      <c r="LE27" s="47"/>
      <c r="LF27" s="47"/>
      <c r="LG27" s="47"/>
      <c r="LH27" s="47"/>
      <c r="LI27" s="47"/>
      <c r="LJ27" s="47"/>
      <c r="LK27" s="47"/>
      <c r="LL27" s="47"/>
      <c r="LM27" s="47"/>
      <c r="LN27" s="47"/>
      <c r="LO27" s="47"/>
      <c r="LP27" s="47"/>
      <c r="LQ27" s="47"/>
      <c r="LR27" s="47"/>
      <c r="LS27" s="47"/>
      <c r="LT27" s="47"/>
      <c r="LU27" s="47"/>
      <c r="LV27" s="47"/>
      <c r="LW27" s="47"/>
      <c r="LX27" s="47"/>
      <c r="LY27" s="47"/>
      <c r="LZ27" s="47"/>
      <c r="MA27" s="47"/>
      <c r="MB27" s="47"/>
      <c r="MC27" s="47"/>
      <c r="MD27" s="47"/>
      <c r="ME27" s="47"/>
      <c r="MF27" s="47"/>
      <c r="MG27" s="47"/>
      <c r="MH27" s="47"/>
      <c r="MI27" s="47"/>
      <c r="MJ27" s="47"/>
      <c r="MK27" s="47"/>
      <c r="ML27" s="47"/>
      <c r="MM27" s="47"/>
      <c r="MN27" s="47"/>
      <c r="MO27" s="47"/>
      <c r="MP27" s="47"/>
      <c r="MQ27" s="47"/>
      <c r="MR27" s="47"/>
      <c r="MS27" s="47"/>
      <c r="MT27" s="47"/>
      <c r="MU27" s="47"/>
      <c r="MV27" s="47"/>
      <c r="MW27" s="47"/>
      <c r="MX27" s="47"/>
      <c r="MY27" s="47"/>
      <c r="MZ27" s="47"/>
      <c r="NA27" s="47"/>
      <c r="NB27" s="47"/>
      <c r="NC27" s="47"/>
      <c r="ND27" s="47"/>
      <c r="NE27" s="47"/>
      <c r="NF27" s="47"/>
      <c r="NG27" s="47"/>
      <c r="NH27" s="47"/>
      <c r="NI27" s="47"/>
      <c r="NJ27" s="44"/>
      <c r="NK27" s="44"/>
      <c r="NL27" s="44"/>
      <c r="NM27" s="44"/>
      <c r="NN27" s="44"/>
      <c r="NO27" s="47"/>
      <c r="NP27" s="47"/>
      <c r="NQ27" s="47"/>
      <c r="NR27" s="47"/>
      <c r="NS27" s="47"/>
      <c r="NT27" s="47"/>
      <c r="NU27" s="47"/>
      <c r="NV27" s="47"/>
      <c r="NW27" s="47"/>
      <c r="NX27" s="47"/>
      <c r="NY27" s="47"/>
      <c r="NZ27" s="47"/>
      <c r="OA27" s="47"/>
      <c r="OB27" s="47"/>
      <c r="OC27" s="47"/>
      <c r="OD27" s="47"/>
      <c r="OE27" s="47"/>
      <c r="OF27" s="47"/>
      <c r="OG27" s="47"/>
      <c r="OH27" s="47"/>
      <c r="OI27" s="47"/>
      <c r="OJ27" s="47"/>
      <c r="OK27" s="47"/>
      <c r="OL27" s="47"/>
      <c r="OM27" s="47"/>
      <c r="ON27" s="47"/>
      <c r="OO27" s="47"/>
      <c r="OP27" s="47"/>
      <c r="OQ27" s="47"/>
      <c r="OR27" s="47"/>
      <c r="OS27" s="47"/>
      <c r="OT27" s="47"/>
      <c r="OU27" s="47"/>
      <c r="OV27" s="47"/>
      <c r="OW27" s="47"/>
      <c r="OX27" s="47"/>
      <c r="OY27" s="47"/>
      <c r="OZ27" s="47"/>
      <c r="PA27" s="47"/>
      <c r="PB27" s="47"/>
      <c r="PC27" s="47"/>
      <c r="PD27" s="47"/>
      <c r="PE27" s="47"/>
      <c r="PF27" s="47"/>
      <c r="PG27" s="47"/>
      <c r="PH27" s="47"/>
      <c r="PI27" s="47"/>
      <c r="PJ27" s="47"/>
      <c r="PK27" s="47"/>
      <c r="PL27" s="47"/>
      <c r="PM27" s="47"/>
      <c r="PN27" s="47"/>
      <c r="PO27" s="47"/>
      <c r="PP27" s="47"/>
      <c r="PQ27" s="47"/>
      <c r="PR27" s="47"/>
      <c r="PS27" s="47"/>
      <c r="PT27" s="47"/>
      <c r="PU27" s="47"/>
      <c r="PV27" s="47"/>
      <c r="PW27" s="47"/>
      <c r="PX27" s="47"/>
      <c r="PY27" s="47"/>
      <c r="PZ27" s="47"/>
      <c r="QA27" s="47"/>
      <c r="QB27" s="47"/>
      <c r="QC27" s="47"/>
      <c r="QD27" s="47"/>
      <c r="QE27" s="47"/>
      <c r="QF27" s="47"/>
      <c r="QG27" s="47"/>
      <c r="QH27" s="47"/>
      <c r="QI27" s="47"/>
      <c r="QJ27" s="47"/>
      <c r="QK27" s="47"/>
      <c r="QL27" s="47"/>
      <c r="QM27" s="47"/>
      <c r="QN27" s="47"/>
      <c r="QO27" s="47"/>
      <c r="QP27" s="47"/>
      <c r="QQ27" s="47"/>
      <c r="QR27" s="47"/>
      <c r="QS27" s="47"/>
      <c r="QT27" s="47"/>
      <c r="QU27" s="47"/>
      <c r="QV27" s="47"/>
      <c r="QW27" s="47"/>
      <c r="QX27" s="47"/>
      <c r="QY27" s="47"/>
      <c r="QZ27" s="47"/>
      <c r="RA27" s="47"/>
      <c r="RB27" s="47"/>
      <c r="RC27" s="47"/>
      <c r="RD27" s="47"/>
      <c r="RE27" s="47"/>
      <c r="RF27" s="47"/>
      <c r="RG27" s="47"/>
      <c r="RH27" s="47"/>
      <c r="RI27" s="47"/>
      <c r="RJ27" s="47"/>
      <c r="RK27" s="47"/>
      <c r="RL27" s="47"/>
      <c r="RM27" s="47"/>
      <c r="RN27" s="47"/>
      <c r="RO27" s="47"/>
      <c r="RP27" s="47"/>
      <c r="RQ27" s="47"/>
      <c r="RR27" s="47"/>
      <c r="RS27" s="47"/>
      <c r="RT27" s="47"/>
      <c r="RU27" s="47"/>
      <c r="RV27" s="47"/>
      <c r="RW27" s="47"/>
      <c r="RX27" s="47"/>
      <c r="RY27" s="47"/>
      <c r="RZ27" s="47"/>
      <c r="SA27" s="47"/>
      <c r="SB27" s="47"/>
      <c r="SC27" s="47"/>
      <c r="SD27" s="47"/>
      <c r="SE27" s="47"/>
      <c r="SF27" s="47"/>
      <c r="SG27" s="47"/>
      <c r="SH27" s="47"/>
      <c r="SI27" s="47"/>
      <c r="SJ27" s="47"/>
      <c r="SK27" s="47"/>
      <c r="SL27" s="47"/>
      <c r="SM27" s="47"/>
      <c r="SN27" s="47"/>
      <c r="SO27" s="47"/>
      <c r="SP27" s="47"/>
      <c r="SQ27" s="47"/>
      <c r="SR27" s="47"/>
      <c r="SS27" s="47"/>
      <c r="ST27" s="47"/>
      <c r="SU27" s="47"/>
      <c r="SV27" s="47"/>
      <c r="SW27" s="47"/>
      <c r="SX27" s="47"/>
      <c r="SY27" s="47"/>
      <c r="SZ27" s="47"/>
      <c r="TA27" s="47"/>
      <c r="TB27" s="47"/>
      <c r="TC27" s="47"/>
      <c r="TD27" s="47"/>
      <c r="TE27" s="47"/>
      <c r="TF27" s="47"/>
      <c r="TG27" s="47"/>
      <c r="TH27" s="47"/>
      <c r="TI27" s="47"/>
      <c r="TJ27" s="47"/>
      <c r="TK27" s="47"/>
      <c r="TL27" s="47"/>
      <c r="TM27" s="47"/>
      <c r="TN27" s="47"/>
      <c r="TO27" s="47"/>
      <c r="TP27" s="47"/>
      <c r="TQ27" s="47"/>
      <c r="TR27" s="47"/>
      <c r="TS27" s="47"/>
      <c r="TT27" s="47"/>
      <c r="TU27" s="47"/>
      <c r="TV27" s="47"/>
      <c r="TW27" s="47"/>
      <c r="TX27" s="47"/>
      <c r="TY27" s="47"/>
      <c r="TZ27" s="47"/>
      <c r="UA27" s="47"/>
      <c r="UB27" s="47"/>
      <c r="UC27" s="47"/>
      <c r="UD27" s="47"/>
      <c r="UE27" s="47"/>
      <c r="UF27" s="47"/>
      <c r="UG27" s="47"/>
      <c r="UH27" s="47"/>
      <c r="UI27" s="47"/>
      <c r="UJ27" s="47"/>
      <c r="UK27" s="47"/>
      <c r="UL27" s="47"/>
      <c r="UM27" s="47"/>
      <c r="UN27" s="47"/>
      <c r="UO27" s="47"/>
      <c r="UP27" s="47"/>
      <c r="UQ27" s="47"/>
      <c r="UR27" s="47"/>
      <c r="US27" s="47"/>
      <c r="UT27" s="47"/>
      <c r="UU27" s="47"/>
      <c r="UV27" s="47"/>
      <c r="UW27" s="47"/>
      <c r="UX27" s="47"/>
      <c r="UY27" s="47"/>
      <c r="UZ27" s="47"/>
      <c r="VA27" s="47"/>
      <c r="VB27" s="47"/>
      <c r="VC27" s="47"/>
      <c r="VD27" s="47"/>
      <c r="VE27" s="47"/>
      <c r="VF27" s="47"/>
      <c r="VG27" s="47"/>
      <c r="VH27" s="47"/>
      <c r="VI27" s="47"/>
      <c r="VJ27" s="47"/>
      <c r="VK27" s="47"/>
      <c r="VL27" s="47"/>
      <c r="VM27" s="47"/>
      <c r="VN27" s="47"/>
      <c r="VO27" s="47"/>
      <c r="VP27" s="47"/>
      <c r="VQ27" s="47"/>
      <c r="VR27" s="47"/>
      <c r="VS27" s="47"/>
      <c r="VT27" s="47"/>
      <c r="VU27" s="47"/>
      <c r="VV27" s="47"/>
      <c r="VW27" s="47"/>
      <c r="VX27" s="47"/>
      <c r="VY27" s="47"/>
      <c r="VZ27" s="47"/>
      <c r="WA27" s="47"/>
      <c r="WB27" s="47"/>
      <c r="WC27" s="47"/>
      <c r="WD27" s="47"/>
      <c r="WE27" s="47"/>
      <c r="WF27" s="47"/>
      <c r="WG27" s="47"/>
      <c r="WH27" s="47"/>
      <c r="WI27" s="47"/>
      <c r="WJ27" s="47"/>
      <c r="WK27" s="47"/>
      <c r="WL27" s="47"/>
      <c r="WM27" s="47"/>
      <c r="WN27" s="47"/>
      <c r="WO27" s="47"/>
      <c r="WP27" s="47"/>
      <c r="WQ27" s="47"/>
      <c r="WR27" s="47"/>
      <c r="WS27" s="47"/>
      <c r="WT27" s="47"/>
      <c r="WU27" s="47"/>
      <c r="WV27" s="47"/>
      <c r="WW27" s="47"/>
      <c r="WX27" s="47"/>
      <c r="WY27" s="47"/>
      <c r="WZ27" s="47"/>
      <c r="XA27" s="47"/>
      <c r="XB27" s="47"/>
      <c r="XC27" s="47"/>
      <c r="XD27" s="47"/>
      <c r="XE27" s="47"/>
      <c r="XF27" s="47"/>
      <c r="XG27" s="47"/>
      <c r="XH27" s="47"/>
      <c r="XI27" s="47"/>
      <c r="XJ27" s="47"/>
      <c r="XK27" s="47"/>
      <c r="XL27" s="47"/>
      <c r="XM27" s="47"/>
      <c r="XN27" s="47"/>
      <c r="XO27" s="47"/>
      <c r="XP27" s="47"/>
      <c r="XQ27" s="47"/>
      <c r="XR27" s="47"/>
      <c r="XS27" s="47"/>
      <c r="XT27" s="47"/>
      <c r="XU27" s="47"/>
      <c r="XV27" s="47"/>
      <c r="XW27" s="47"/>
      <c r="XX27" s="47"/>
      <c r="XY27" s="47"/>
      <c r="XZ27" s="47"/>
      <c r="YA27" s="44"/>
      <c r="YB27" s="44"/>
      <c r="YC27" s="44"/>
      <c r="YD27" s="44"/>
      <c r="YE27" s="44"/>
      <c r="YF27" s="47"/>
      <c r="YG27" s="47"/>
      <c r="YH27" s="47"/>
      <c r="YI27" s="47"/>
      <c r="YJ27" s="47"/>
      <c r="YK27" s="47"/>
      <c r="YL27" s="47"/>
      <c r="YM27" s="47"/>
      <c r="YN27" s="47"/>
      <c r="YO27" s="47"/>
      <c r="YP27" s="47"/>
      <c r="YQ27" s="47"/>
      <c r="YR27" s="47"/>
      <c r="YS27" s="47"/>
      <c r="YT27" s="47"/>
      <c r="YU27" s="47"/>
      <c r="YV27" s="47"/>
      <c r="YW27" s="47"/>
      <c r="YX27" s="47"/>
      <c r="YY27" s="47"/>
      <c r="YZ27" s="47"/>
      <c r="ZA27" s="47"/>
      <c r="ZB27" s="47"/>
      <c r="ZC27" s="47"/>
      <c r="ZD27" s="47"/>
      <c r="ZE27" s="47"/>
      <c r="ZF27" s="47"/>
      <c r="ZG27" s="47"/>
      <c r="ZH27" s="47"/>
      <c r="ZI27" s="47"/>
      <c r="ZJ27" s="47"/>
      <c r="ZK27" s="47"/>
      <c r="ZL27" s="47"/>
      <c r="ZM27" s="47"/>
      <c r="ZN27" s="47"/>
      <c r="ZO27" s="47"/>
      <c r="ZP27" s="47"/>
      <c r="ZQ27" s="47"/>
      <c r="ZR27" s="47"/>
      <c r="ZS27" s="47"/>
      <c r="ZT27" s="47"/>
      <c r="ZU27" s="47"/>
      <c r="ZV27" s="47"/>
      <c r="ZW27" s="44" t="s">
        <v>2017</v>
      </c>
      <c r="ZX27" s="44"/>
      <c r="ZY27" s="44"/>
      <c r="ZZ27" s="44"/>
      <c r="AAA27" s="44" t="s">
        <v>715</v>
      </c>
      <c r="AAB27" s="44"/>
      <c r="AAC27" s="44"/>
      <c r="AAD27" s="44"/>
      <c r="AAE27" s="44"/>
      <c r="AAF27" s="44"/>
      <c r="AAG27" s="47"/>
      <c r="AAH27" s="47"/>
      <c r="AAI27" s="47"/>
      <c r="AAJ27" s="47"/>
      <c r="AAK27" s="47"/>
      <c r="AAL27" s="47"/>
      <c r="AAM27" s="47"/>
      <c r="AAN27" s="47"/>
      <c r="AAO27" s="47"/>
      <c r="AAP27" s="47"/>
      <c r="AAQ27" s="47"/>
      <c r="AAR27" s="47"/>
      <c r="AAS27" s="47"/>
      <c r="AAT27" s="47"/>
      <c r="AAU27" s="47"/>
      <c r="AAV27" s="47"/>
      <c r="AAW27" s="47"/>
      <c r="AAX27" s="47"/>
      <c r="AAY27" s="47"/>
      <c r="AAZ27" s="47"/>
      <c r="ABA27" s="47"/>
      <c r="ABB27" s="47"/>
      <c r="ABC27" s="47"/>
      <c r="ABD27" s="47"/>
      <c r="ABE27" s="47"/>
      <c r="ABF27" s="47"/>
      <c r="ABG27" s="47"/>
      <c r="ABH27" s="47"/>
      <c r="ABI27" s="47"/>
      <c r="ABJ27" s="47"/>
      <c r="ABK27" s="47"/>
      <c r="ABL27" s="47"/>
      <c r="ABM27" s="47"/>
      <c r="ABN27" s="47"/>
      <c r="ABO27" s="47"/>
      <c r="ABP27" s="47"/>
      <c r="ABQ27" s="47"/>
      <c r="ABR27" s="47"/>
      <c r="ABS27" s="47"/>
      <c r="ABT27" s="47"/>
      <c r="ABU27" s="47"/>
      <c r="ABV27" s="47"/>
      <c r="ABW27" s="47"/>
      <c r="ABX27" s="47"/>
      <c r="ABY27" s="47"/>
      <c r="ABZ27" s="47"/>
      <c r="ACA27" s="47"/>
      <c r="ACB27" s="47"/>
      <c r="ACC27" s="47"/>
      <c r="ACD27" s="47"/>
      <c r="ACE27" s="47"/>
      <c r="ACF27" s="47"/>
      <c r="ACG27" s="47"/>
      <c r="ACH27" s="48"/>
    </row>
    <row r="28" spans="1:762" x14ac:dyDescent="0.25">
      <c r="A28" s="42" t="s">
        <v>59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 t="s">
        <v>716</v>
      </c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  <c r="IU28" s="43"/>
      <c r="IV28" s="43"/>
      <c r="IW28" s="43"/>
      <c r="IX28" s="43"/>
      <c r="IY28" s="43"/>
      <c r="IZ28" s="43"/>
      <c r="JA28" s="43"/>
      <c r="JB28" s="43"/>
      <c r="JC28" s="43"/>
      <c r="JD28" s="43"/>
      <c r="JE28" s="43"/>
      <c r="JF28" s="43"/>
      <c r="JG28" s="43"/>
      <c r="JH28" s="43"/>
      <c r="JI28" s="43"/>
      <c r="JJ28" s="43"/>
      <c r="JK28" s="43"/>
      <c r="JL28" s="43"/>
      <c r="JM28" s="43"/>
      <c r="JN28" s="43"/>
      <c r="JO28" s="43"/>
      <c r="JP28" s="43"/>
      <c r="JQ28" s="43"/>
      <c r="JR28" s="43"/>
      <c r="JS28" s="43"/>
      <c r="JT28" s="43"/>
      <c r="JU28" s="43"/>
      <c r="JV28" s="43"/>
      <c r="JW28" s="43"/>
      <c r="JX28" s="43"/>
      <c r="JY28" s="43"/>
      <c r="JZ28" s="43"/>
      <c r="KA28" s="43"/>
      <c r="KB28" s="43"/>
      <c r="KC28" s="43"/>
      <c r="KD28" s="43"/>
      <c r="KE28" s="43"/>
      <c r="KF28" s="43"/>
      <c r="KG28" s="43"/>
      <c r="KH28" s="43"/>
      <c r="KI28" s="43"/>
      <c r="KJ28" s="43"/>
      <c r="KK28" s="43"/>
      <c r="KL28" s="43"/>
      <c r="KM28" s="43"/>
      <c r="KN28" s="43"/>
      <c r="KO28" s="43"/>
      <c r="KP28" s="43"/>
      <c r="KQ28" s="43"/>
      <c r="KR28" s="43"/>
      <c r="KS28" s="43"/>
      <c r="KT28" s="43"/>
      <c r="KU28" s="43"/>
      <c r="KV28" s="43"/>
      <c r="KW28" s="43"/>
      <c r="KX28" s="43"/>
      <c r="KY28" s="43"/>
      <c r="KZ28" s="43"/>
      <c r="LA28" s="43"/>
      <c r="LB28" s="43"/>
      <c r="LC28" s="43"/>
      <c r="LD28" s="43"/>
      <c r="LE28" s="43"/>
      <c r="LF28" s="43"/>
      <c r="LG28" s="43"/>
      <c r="LH28" s="43"/>
      <c r="LI28" s="43"/>
      <c r="LJ28" s="43"/>
      <c r="LK28" s="43"/>
      <c r="LL28" s="43"/>
      <c r="LM28" s="43"/>
      <c r="LN28" s="43"/>
      <c r="LO28" s="43"/>
      <c r="LP28" s="43"/>
      <c r="LQ28" s="43"/>
      <c r="LR28" s="43"/>
      <c r="LS28" s="43"/>
      <c r="LT28" s="43"/>
      <c r="LU28" s="43"/>
      <c r="LV28" s="43"/>
      <c r="LW28" s="43"/>
      <c r="LX28" s="43"/>
      <c r="LY28" s="43"/>
      <c r="LZ28" s="43"/>
      <c r="MA28" s="43"/>
      <c r="MB28" s="43"/>
      <c r="MC28" s="43"/>
      <c r="MD28" s="43"/>
      <c r="ME28" s="43"/>
      <c r="MF28" s="43"/>
      <c r="MG28" s="43"/>
      <c r="MH28" s="43"/>
      <c r="MI28" s="43"/>
      <c r="MJ28" s="43"/>
      <c r="MK28" s="43"/>
      <c r="ML28" s="43"/>
      <c r="MM28" s="43"/>
      <c r="MN28" s="43"/>
      <c r="MO28" s="43"/>
      <c r="MP28" s="43"/>
      <c r="MQ28" s="43"/>
      <c r="MR28" s="43"/>
      <c r="MS28" s="43"/>
      <c r="MT28" s="43"/>
      <c r="MU28" s="43"/>
      <c r="MV28" s="43"/>
      <c r="MW28" s="43"/>
      <c r="MX28" s="43"/>
      <c r="MY28" s="43"/>
      <c r="MZ28" s="43"/>
      <c r="NA28" s="43"/>
      <c r="NB28" s="43"/>
      <c r="NC28" s="43"/>
      <c r="ND28" s="43"/>
      <c r="NE28" s="43"/>
      <c r="NF28" s="43"/>
      <c r="NG28" s="43"/>
      <c r="NH28" s="43"/>
      <c r="NI28" s="43"/>
      <c r="NJ28" s="44"/>
      <c r="NK28" s="44"/>
      <c r="NL28" s="44"/>
      <c r="NM28" s="44"/>
      <c r="NN28" s="44"/>
      <c r="NO28" s="43">
        <v>102</v>
      </c>
      <c r="NP28" s="43"/>
      <c r="NQ28" s="43"/>
      <c r="NR28" s="43"/>
      <c r="NS28" s="43"/>
      <c r="NT28" s="43"/>
      <c r="NU28" s="43"/>
      <c r="NV28" s="43"/>
      <c r="NW28" s="43"/>
      <c r="NX28" s="43"/>
      <c r="NY28" s="43"/>
      <c r="NZ28" s="43"/>
      <c r="OA28" s="43"/>
      <c r="OB28" s="43"/>
      <c r="OC28" s="43"/>
      <c r="OD28" s="43"/>
      <c r="OE28" s="43"/>
      <c r="OF28" s="43"/>
      <c r="OG28" s="43"/>
      <c r="OH28" s="43"/>
      <c r="OI28" s="43"/>
      <c r="OJ28" s="43"/>
      <c r="OK28" s="43"/>
      <c r="OL28" s="43"/>
      <c r="OM28" s="43"/>
      <c r="ON28" s="43"/>
      <c r="OO28" s="43"/>
      <c r="OP28" s="43"/>
      <c r="OQ28" s="43"/>
      <c r="OR28" s="43"/>
      <c r="OS28" s="43"/>
      <c r="OT28" s="43"/>
      <c r="OU28" s="43"/>
      <c r="OV28" s="43"/>
      <c r="OW28" s="43"/>
      <c r="OX28" s="43"/>
      <c r="OY28" s="43"/>
      <c r="OZ28" s="43"/>
      <c r="PA28" s="43"/>
      <c r="PB28" s="43"/>
      <c r="PC28" s="43"/>
      <c r="PD28" s="43"/>
      <c r="PE28" s="43"/>
      <c r="PF28" s="43"/>
      <c r="PG28" s="43"/>
      <c r="PH28" s="43"/>
      <c r="PI28" s="43"/>
      <c r="PJ28" s="43"/>
      <c r="PK28" s="43"/>
      <c r="PL28" s="43"/>
      <c r="PM28" s="43"/>
      <c r="PN28" s="43"/>
      <c r="PO28" s="43"/>
      <c r="PP28" s="43"/>
      <c r="PQ28" s="43"/>
      <c r="PR28" s="43"/>
      <c r="PS28" s="43"/>
      <c r="PT28" s="43"/>
      <c r="PU28" s="43"/>
      <c r="PV28" s="43"/>
      <c r="PW28" s="43"/>
      <c r="PX28" s="43"/>
      <c r="PY28" s="43"/>
      <c r="PZ28" s="43"/>
      <c r="QA28" s="43"/>
      <c r="QB28" s="43"/>
      <c r="QC28" s="43"/>
      <c r="QD28" s="43"/>
      <c r="QE28" s="43"/>
      <c r="QF28" s="43"/>
      <c r="QG28" s="43"/>
      <c r="QH28" s="43"/>
      <c r="QI28" s="43"/>
      <c r="QJ28" s="43"/>
      <c r="QK28" s="43"/>
      <c r="QL28" s="43"/>
      <c r="QM28" s="43"/>
      <c r="QN28" s="43"/>
      <c r="QO28" s="43"/>
      <c r="QP28" s="43"/>
      <c r="QQ28" s="43"/>
      <c r="QR28" s="43"/>
      <c r="QS28" s="43"/>
      <c r="QT28" s="43"/>
      <c r="QU28" s="43"/>
      <c r="QV28" s="43"/>
      <c r="QW28" s="43"/>
      <c r="QX28" s="43"/>
      <c r="QY28" s="43"/>
      <c r="QZ28" s="43"/>
      <c r="RA28" s="43"/>
      <c r="RB28" s="43"/>
      <c r="RC28" s="43"/>
      <c r="RD28" s="43"/>
      <c r="RE28" s="43"/>
      <c r="RF28" s="43"/>
      <c r="RG28" s="43"/>
      <c r="RH28" s="43"/>
      <c r="RI28" s="43"/>
      <c r="RJ28" s="43"/>
      <c r="RK28" s="43"/>
      <c r="RL28" s="43"/>
      <c r="RM28" s="43"/>
      <c r="RN28" s="43"/>
      <c r="RO28" s="43"/>
      <c r="RP28" s="43"/>
      <c r="RQ28" s="43"/>
      <c r="RR28" s="43"/>
      <c r="RS28" s="43"/>
      <c r="RT28" s="43"/>
      <c r="RU28" s="43"/>
      <c r="RV28" s="43"/>
      <c r="RW28" s="43"/>
      <c r="RX28" s="43"/>
      <c r="RY28" s="43"/>
      <c r="RZ28" s="43"/>
      <c r="SA28" s="43"/>
      <c r="SB28" s="43"/>
      <c r="SC28" s="43"/>
      <c r="SD28" s="43"/>
      <c r="SE28" s="43"/>
      <c r="SF28" s="43"/>
      <c r="SG28" s="43"/>
      <c r="SH28" s="43"/>
      <c r="SI28" s="43"/>
      <c r="SJ28" s="43"/>
      <c r="SK28" s="43"/>
      <c r="SL28" s="43"/>
      <c r="SM28" s="43"/>
      <c r="SN28" s="43"/>
      <c r="SO28" s="43"/>
      <c r="SP28" s="43"/>
      <c r="SQ28" s="43"/>
      <c r="SR28" s="43"/>
      <c r="SS28" s="43"/>
      <c r="ST28" s="43"/>
      <c r="SU28" s="43"/>
      <c r="SV28" s="43"/>
      <c r="SW28" s="43"/>
      <c r="SX28" s="43"/>
      <c r="SY28" s="43"/>
      <c r="SZ28" s="43"/>
      <c r="TA28" s="43"/>
      <c r="TB28" s="43"/>
      <c r="TC28" s="43"/>
      <c r="TD28" s="43"/>
      <c r="TE28" s="43"/>
      <c r="TF28" s="43"/>
      <c r="TG28" s="43"/>
      <c r="TH28" s="43"/>
      <c r="TI28" s="43"/>
      <c r="TJ28" s="43"/>
      <c r="TK28" s="43"/>
      <c r="TL28" s="43"/>
      <c r="TM28" s="43"/>
      <c r="TN28" s="43"/>
      <c r="TO28" s="43"/>
      <c r="TP28" s="43"/>
      <c r="TQ28" s="43"/>
      <c r="TR28" s="43"/>
      <c r="TS28" s="43"/>
      <c r="TT28" s="43"/>
      <c r="TU28" s="43"/>
      <c r="TV28" s="43"/>
      <c r="TW28" s="43"/>
      <c r="TX28" s="43"/>
      <c r="TY28" s="43"/>
      <c r="TZ28" s="43"/>
      <c r="UA28" s="43"/>
      <c r="UB28" s="43"/>
      <c r="UC28" s="43"/>
      <c r="UD28" s="43"/>
      <c r="UE28" s="43"/>
      <c r="UF28" s="43"/>
      <c r="UG28" s="43"/>
      <c r="UH28" s="43"/>
      <c r="UI28" s="43"/>
      <c r="UJ28" s="43"/>
      <c r="UK28" s="43"/>
      <c r="UL28" s="43"/>
      <c r="UM28" s="43"/>
      <c r="UN28" s="43"/>
      <c r="UO28" s="43"/>
      <c r="UP28" s="43"/>
      <c r="UQ28" s="43"/>
      <c r="UR28" s="43"/>
      <c r="US28" s="43"/>
      <c r="UT28" s="43"/>
      <c r="UU28" s="43"/>
      <c r="UV28" s="43"/>
      <c r="UW28" s="43"/>
      <c r="UX28" s="43"/>
      <c r="UY28" s="43"/>
      <c r="UZ28" s="43"/>
      <c r="VA28" s="43"/>
      <c r="VB28" s="43"/>
      <c r="VC28" s="43"/>
      <c r="VD28" s="43"/>
      <c r="VE28" s="43"/>
      <c r="VF28" s="43"/>
      <c r="VG28" s="43"/>
      <c r="VH28" s="43"/>
      <c r="VI28" s="43"/>
      <c r="VJ28" s="43"/>
      <c r="VK28" s="43"/>
      <c r="VL28" s="43"/>
      <c r="VM28" s="43"/>
      <c r="VN28" s="43"/>
      <c r="VO28" s="43"/>
      <c r="VP28" s="43"/>
      <c r="VQ28" s="43"/>
      <c r="VR28" s="43"/>
      <c r="VS28" s="43"/>
      <c r="VT28" s="43"/>
      <c r="VU28" s="43"/>
      <c r="VV28" s="43"/>
      <c r="VW28" s="43"/>
      <c r="VX28" s="43"/>
      <c r="VY28" s="43"/>
      <c r="VZ28" s="43"/>
      <c r="WA28" s="43"/>
      <c r="WB28" s="43"/>
      <c r="WC28" s="43"/>
      <c r="WD28" s="43"/>
      <c r="WE28" s="43"/>
      <c r="WF28" s="43"/>
      <c r="WG28" s="43"/>
      <c r="WH28" s="43"/>
      <c r="WI28" s="43"/>
      <c r="WJ28" s="43"/>
      <c r="WK28" s="43"/>
      <c r="WL28" s="43"/>
      <c r="WM28" s="43"/>
      <c r="WN28" s="43"/>
      <c r="WO28" s="43"/>
      <c r="WP28" s="43"/>
      <c r="WQ28" s="43"/>
      <c r="WR28" s="43"/>
      <c r="WS28" s="43"/>
      <c r="WT28" s="43"/>
      <c r="WU28" s="43"/>
      <c r="WV28" s="43"/>
      <c r="WW28" s="43"/>
      <c r="WX28" s="43"/>
      <c r="WY28" s="43"/>
      <c r="WZ28" s="43"/>
      <c r="XA28" s="43"/>
      <c r="XB28" s="43"/>
      <c r="XC28" s="43"/>
      <c r="XD28" s="43"/>
      <c r="XE28" s="43"/>
      <c r="XF28" s="43"/>
      <c r="XG28" s="43"/>
      <c r="XH28" s="43"/>
      <c r="XI28" s="43"/>
      <c r="XJ28" s="43"/>
      <c r="XK28" s="43"/>
      <c r="XL28" s="43"/>
      <c r="XM28" s="43"/>
      <c r="XN28" s="43"/>
      <c r="XO28" s="43"/>
      <c r="XP28" s="43"/>
      <c r="XQ28" s="43"/>
      <c r="XR28" s="43"/>
      <c r="XS28" s="43"/>
      <c r="XT28" s="43"/>
      <c r="XU28" s="43"/>
      <c r="XV28" s="43"/>
      <c r="XW28" s="43"/>
      <c r="XX28" s="43"/>
      <c r="XY28" s="43"/>
      <c r="XZ28" s="43"/>
      <c r="YA28" s="44"/>
      <c r="YB28" s="44"/>
      <c r="YC28" s="44"/>
      <c r="YD28" s="44"/>
      <c r="YE28" s="44"/>
      <c r="YF28" s="43"/>
      <c r="YG28" s="43"/>
      <c r="YH28" s="43"/>
      <c r="YI28" s="43"/>
      <c r="YJ28" s="43"/>
      <c r="YK28" s="43"/>
      <c r="YL28" s="43"/>
      <c r="YM28" s="43"/>
      <c r="YN28" s="43"/>
      <c r="YO28" s="43"/>
      <c r="YP28" s="43"/>
      <c r="YQ28" s="43"/>
      <c r="YR28" s="43"/>
      <c r="YS28" s="43"/>
      <c r="YT28" s="43"/>
      <c r="YU28" s="43"/>
      <c r="YV28" s="43"/>
      <c r="YW28" s="43"/>
      <c r="YX28" s="43"/>
      <c r="YY28" s="43"/>
      <c r="YZ28" s="43"/>
      <c r="ZA28" s="43"/>
      <c r="ZB28" s="43"/>
      <c r="ZC28" s="43"/>
      <c r="ZD28" s="43"/>
      <c r="ZE28" s="43"/>
      <c r="ZF28" s="43"/>
      <c r="ZG28" s="43"/>
      <c r="ZH28" s="43"/>
      <c r="ZI28" s="43"/>
      <c r="ZJ28" s="43"/>
      <c r="ZK28" s="43"/>
      <c r="ZL28" s="43"/>
      <c r="ZM28" s="43"/>
      <c r="ZN28" s="43"/>
      <c r="ZO28" s="43"/>
      <c r="ZP28" s="43"/>
      <c r="ZQ28" s="43"/>
      <c r="ZR28" s="43"/>
      <c r="ZS28" s="43"/>
      <c r="ZT28" s="43"/>
      <c r="ZU28" s="43"/>
      <c r="ZV28" s="43"/>
      <c r="ZW28" s="44"/>
      <c r="ZX28" s="44"/>
      <c r="ZY28" s="44"/>
      <c r="ZZ28" s="44"/>
      <c r="AAA28" s="44"/>
      <c r="AAB28" s="44"/>
      <c r="AAC28" s="44"/>
      <c r="AAD28" s="44"/>
      <c r="AAE28" s="44"/>
      <c r="AAF28" s="44"/>
      <c r="AAG28" s="43"/>
      <c r="AAH28" s="43"/>
      <c r="AAI28" s="43"/>
      <c r="AAJ28" s="43"/>
      <c r="AAK28" s="43"/>
      <c r="AAL28" s="43"/>
      <c r="AAM28" s="43"/>
      <c r="AAN28" s="43"/>
      <c r="AAO28" s="43"/>
      <c r="AAP28" s="43"/>
      <c r="AAQ28" s="43"/>
      <c r="AAR28" s="43"/>
      <c r="AAS28" s="43"/>
      <c r="AAT28" s="43"/>
      <c r="AAU28" s="43"/>
      <c r="AAV28" s="43"/>
      <c r="AAW28" s="43"/>
      <c r="AAX28" s="43"/>
      <c r="AAY28" s="43"/>
      <c r="AAZ28" s="43"/>
      <c r="ABA28" s="43"/>
      <c r="ABB28" s="43"/>
      <c r="ABC28" s="43"/>
      <c r="ABD28" s="43"/>
      <c r="ABE28" s="43"/>
      <c r="ABF28" s="43"/>
      <c r="ABG28" s="43"/>
      <c r="ABH28" s="43"/>
      <c r="ABI28" s="43"/>
      <c r="ABJ28" s="43"/>
      <c r="ABK28" s="43"/>
      <c r="ABL28" s="43"/>
      <c r="ABM28" s="43"/>
      <c r="ABN28" s="43"/>
      <c r="ABO28" s="43"/>
      <c r="ABP28" s="43"/>
      <c r="ABQ28" s="43"/>
      <c r="ABR28" s="43"/>
      <c r="ABS28" s="43"/>
      <c r="ABT28" s="43"/>
      <c r="ABU28" s="43"/>
      <c r="ABV28" s="43"/>
      <c r="ABW28" s="43"/>
      <c r="ABX28" s="43"/>
      <c r="ABY28" s="43"/>
      <c r="ABZ28" s="43"/>
      <c r="ACA28" s="43"/>
      <c r="ACB28" s="43"/>
      <c r="ACC28" s="43"/>
      <c r="ACD28" s="43"/>
      <c r="ACE28" s="43"/>
      <c r="ACF28" s="43"/>
      <c r="ACG28" s="43"/>
      <c r="ACH28" s="45"/>
    </row>
    <row r="29" spans="1:762" x14ac:dyDescent="0.25">
      <c r="A29" s="46" t="s">
        <v>60</v>
      </c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>
        <v>114</v>
      </c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>
        <v>31</v>
      </c>
      <c r="BD29" s="47"/>
      <c r="BE29" s="47"/>
      <c r="BF29" s="47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7"/>
      <c r="BU29" s="47"/>
      <c r="BV29" s="47"/>
      <c r="BW29" s="47"/>
      <c r="BX29" s="47"/>
      <c r="BY29" s="47"/>
      <c r="BZ29" s="47"/>
      <c r="CA29" s="47"/>
      <c r="CB29" s="47"/>
      <c r="CC29" s="47"/>
      <c r="CD29" s="47"/>
      <c r="CE29" s="47"/>
      <c r="CF29" s="47">
        <v>441</v>
      </c>
      <c r="CG29" s="47"/>
      <c r="CH29" s="47"/>
      <c r="CI29" s="47"/>
      <c r="CJ29" s="47"/>
      <c r="CK29" s="47"/>
      <c r="CL29" s="47"/>
      <c r="CM29" s="47"/>
      <c r="CN29" s="47"/>
      <c r="CO29" s="47"/>
      <c r="CP29" s="47"/>
      <c r="CQ29" s="47"/>
      <c r="CR29" s="47"/>
      <c r="CS29" s="47"/>
      <c r="CT29" s="47"/>
      <c r="CU29" s="47"/>
      <c r="CV29" s="47"/>
      <c r="CW29" s="47"/>
      <c r="CX29" s="47"/>
      <c r="CY29" s="47"/>
      <c r="CZ29" s="47"/>
      <c r="DA29" s="47"/>
      <c r="DB29" s="47"/>
      <c r="DC29" s="47"/>
      <c r="DD29" s="47"/>
      <c r="DE29" s="47"/>
      <c r="DF29" s="47"/>
      <c r="DG29" s="47"/>
      <c r="DH29" s="47"/>
      <c r="DI29" s="47"/>
      <c r="DJ29" s="47"/>
      <c r="DK29" s="47"/>
      <c r="DL29" s="47"/>
      <c r="DM29" s="47"/>
      <c r="DN29" s="47"/>
      <c r="DO29" s="47"/>
      <c r="DP29" s="47"/>
      <c r="DQ29" s="47"/>
      <c r="DR29" s="47"/>
      <c r="DS29" s="47"/>
      <c r="DT29" s="47"/>
      <c r="DU29" s="47"/>
      <c r="DV29" s="47"/>
      <c r="DW29" s="47"/>
      <c r="DX29" s="47"/>
      <c r="DY29" s="47"/>
      <c r="DZ29" s="47"/>
      <c r="EA29" s="47"/>
      <c r="EB29" s="47"/>
      <c r="EC29" s="47"/>
      <c r="ED29" s="47"/>
      <c r="EE29" s="47"/>
      <c r="EF29" s="47">
        <v>7</v>
      </c>
      <c r="EG29" s="47"/>
      <c r="EH29" s="47"/>
      <c r="EI29" s="47"/>
      <c r="EJ29" s="47"/>
      <c r="EK29" s="47"/>
      <c r="EL29" s="47"/>
      <c r="EM29" s="47"/>
      <c r="EN29" s="47"/>
      <c r="EO29" s="47"/>
      <c r="EP29" s="47"/>
      <c r="EQ29" s="47"/>
      <c r="ER29" s="47"/>
      <c r="ES29" s="47"/>
      <c r="ET29" s="47"/>
      <c r="EU29" s="47"/>
      <c r="EV29" s="47"/>
      <c r="EW29" s="47"/>
      <c r="EX29" s="47"/>
      <c r="EY29" s="47"/>
      <c r="EZ29" s="47"/>
      <c r="FA29" s="47"/>
      <c r="FB29" s="47"/>
      <c r="FC29" s="47"/>
      <c r="FD29" s="47"/>
      <c r="FE29" s="47"/>
      <c r="FF29" s="47"/>
      <c r="FG29" s="47"/>
      <c r="FH29" s="47"/>
      <c r="FI29" s="47"/>
      <c r="FJ29" s="47"/>
      <c r="FK29" s="47"/>
      <c r="FL29" s="47"/>
      <c r="FM29" s="47"/>
      <c r="FN29" s="47"/>
      <c r="FO29" s="47"/>
      <c r="FP29" s="47"/>
      <c r="FQ29" s="47"/>
      <c r="FR29" s="47"/>
      <c r="FS29" s="47"/>
      <c r="FT29" s="47"/>
      <c r="FU29" s="47"/>
      <c r="FV29" s="47"/>
      <c r="FW29" s="47"/>
      <c r="FX29" s="47"/>
      <c r="FY29" s="47"/>
      <c r="FZ29" s="47"/>
      <c r="GA29" s="47"/>
      <c r="GB29" s="47"/>
      <c r="GC29" s="47"/>
      <c r="GD29" s="47"/>
      <c r="GE29" s="47"/>
      <c r="GF29" s="47"/>
      <c r="GG29" s="47"/>
      <c r="GH29" s="47"/>
      <c r="GI29" s="47"/>
      <c r="GJ29" s="47"/>
      <c r="GK29" s="47"/>
      <c r="GL29" s="47"/>
      <c r="GM29" s="47"/>
      <c r="GN29" s="47"/>
      <c r="GO29" s="47"/>
      <c r="GP29" s="47"/>
      <c r="GQ29" s="47"/>
      <c r="GR29" s="47"/>
      <c r="GS29" s="47"/>
      <c r="GT29" s="47"/>
      <c r="GU29" s="47">
        <v>8</v>
      </c>
      <c r="GV29" s="47"/>
      <c r="GW29" s="47"/>
      <c r="GX29" s="47"/>
      <c r="GY29" s="47"/>
      <c r="GZ29" s="47"/>
      <c r="HA29" s="47"/>
      <c r="HB29" s="47"/>
      <c r="HC29" s="47"/>
      <c r="HD29" s="47"/>
      <c r="HE29" s="47"/>
      <c r="HF29" s="47"/>
      <c r="HG29" s="47"/>
      <c r="HH29" s="47"/>
      <c r="HI29" s="47"/>
      <c r="HJ29" s="47"/>
      <c r="HK29" s="47"/>
      <c r="HL29" s="47"/>
      <c r="HM29" s="47"/>
      <c r="HN29" s="47"/>
      <c r="HO29" s="47"/>
      <c r="HP29" s="47"/>
      <c r="HQ29" s="47"/>
      <c r="HR29" s="47"/>
      <c r="HS29" s="47"/>
      <c r="HT29" s="47"/>
      <c r="HU29" s="47"/>
      <c r="HV29" s="47"/>
      <c r="HW29" s="47"/>
      <c r="HX29" s="47"/>
      <c r="HY29" s="47"/>
      <c r="HZ29" s="47"/>
      <c r="IA29" s="47"/>
      <c r="IB29" s="47"/>
      <c r="IC29" s="47"/>
      <c r="ID29" s="47"/>
      <c r="IE29" s="47"/>
      <c r="IF29" s="47"/>
      <c r="IG29" s="47"/>
      <c r="IH29" s="47"/>
      <c r="II29" s="47"/>
      <c r="IJ29" s="47"/>
      <c r="IK29" s="47"/>
      <c r="IL29" s="47"/>
      <c r="IM29" s="47"/>
      <c r="IN29" s="47"/>
      <c r="IO29" s="47"/>
      <c r="IP29" s="47"/>
      <c r="IQ29" s="47"/>
      <c r="IR29" s="47"/>
      <c r="IS29" s="47"/>
      <c r="IT29" s="47"/>
      <c r="IU29" s="47"/>
      <c r="IV29" s="47"/>
      <c r="IW29" s="47"/>
      <c r="IX29" s="47"/>
      <c r="IY29" s="47"/>
      <c r="IZ29" s="47"/>
      <c r="JA29" s="47"/>
      <c r="JB29" s="47"/>
      <c r="JC29" s="47"/>
      <c r="JD29" s="47"/>
      <c r="JE29" s="47"/>
      <c r="JF29" s="47"/>
      <c r="JG29" s="47"/>
      <c r="JH29" s="47">
        <v>5</v>
      </c>
      <c r="JI29" s="47"/>
      <c r="JJ29" s="47"/>
      <c r="JK29" s="47"/>
      <c r="JL29" s="47"/>
      <c r="JM29" s="47"/>
      <c r="JN29" s="47"/>
      <c r="JO29" s="47"/>
      <c r="JP29" s="47"/>
      <c r="JQ29" s="47"/>
      <c r="JR29" s="47"/>
      <c r="JS29" s="47"/>
      <c r="JT29" s="47"/>
      <c r="JU29" s="47"/>
      <c r="JV29" s="47"/>
      <c r="JW29" s="47"/>
      <c r="JX29" s="47"/>
      <c r="JY29" s="47"/>
      <c r="JZ29" s="47"/>
      <c r="KA29" s="47"/>
      <c r="KB29" s="47"/>
      <c r="KC29" s="47"/>
      <c r="KD29" s="47"/>
      <c r="KE29" s="47"/>
      <c r="KF29" s="47"/>
      <c r="KG29" s="47"/>
      <c r="KH29" s="47"/>
      <c r="KI29" s="47"/>
      <c r="KJ29" s="47"/>
      <c r="KK29" s="47"/>
      <c r="KL29" s="47"/>
      <c r="KM29" s="47"/>
      <c r="KN29" s="47"/>
      <c r="KO29" s="47"/>
      <c r="KP29" s="47"/>
      <c r="KQ29" s="47"/>
      <c r="KR29" s="47"/>
      <c r="KS29" s="47"/>
      <c r="KT29" s="47"/>
      <c r="KU29" s="47"/>
      <c r="KV29" s="47"/>
      <c r="KW29" s="47"/>
      <c r="KX29" s="47"/>
      <c r="KY29" s="47"/>
      <c r="KZ29" s="47"/>
      <c r="LA29" s="47"/>
      <c r="LB29" s="47"/>
      <c r="LC29" s="47"/>
      <c r="LD29" s="47"/>
      <c r="LE29" s="47"/>
      <c r="LF29" s="47"/>
      <c r="LG29" s="47"/>
      <c r="LH29" s="47"/>
      <c r="LI29" s="47"/>
      <c r="LJ29" s="47"/>
      <c r="LK29" s="47"/>
      <c r="LL29" s="47"/>
      <c r="LM29" s="47"/>
      <c r="LN29" s="47"/>
      <c r="LO29" s="47"/>
      <c r="LP29" s="47"/>
      <c r="LQ29" s="47"/>
      <c r="LR29" s="47"/>
      <c r="LS29" s="47"/>
      <c r="LT29" s="47">
        <v>153</v>
      </c>
      <c r="LU29" s="47"/>
      <c r="LV29" s="47"/>
      <c r="LW29" s="47"/>
      <c r="LX29" s="47"/>
      <c r="LY29" s="47"/>
      <c r="LZ29" s="47"/>
      <c r="MA29" s="47"/>
      <c r="MB29" s="47"/>
      <c r="MC29" s="47"/>
      <c r="MD29" s="47"/>
      <c r="ME29" s="47"/>
      <c r="MF29" s="47"/>
      <c r="MG29" s="47"/>
      <c r="MH29" s="47"/>
      <c r="MI29" s="47"/>
      <c r="MJ29" s="47"/>
      <c r="MK29" s="47"/>
      <c r="ML29" s="47"/>
      <c r="MM29" s="47"/>
      <c r="MN29" s="47"/>
      <c r="MO29" s="47"/>
      <c r="MP29" s="47"/>
      <c r="MQ29" s="47"/>
      <c r="MR29" s="47"/>
      <c r="MS29" s="47"/>
      <c r="MT29" s="47"/>
      <c r="MU29" s="47"/>
      <c r="MV29" s="47"/>
      <c r="MW29" s="47"/>
      <c r="MX29" s="47"/>
      <c r="MY29" s="47"/>
      <c r="MZ29" s="47"/>
      <c r="NA29" s="47"/>
      <c r="NB29" s="47"/>
      <c r="NC29" s="47"/>
      <c r="ND29" s="47"/>
      <c r="NE29" s="47"/>
      <c r="NF29" s="47"/>
      <c r="NG29" s="47"/>
      <c r="NH29" s="47"/>
      <c r="NI29" s="47"/>
      <c r="NJ29" s="44" t="s">
        <v>548</v>
      </c>
      <c r="NK29" s="44"/>
      <c r="NL29" s="44"/>
      <c r="NM29" s="44"/>
      <c r="NN29" s="44"/>
      <c r="NO29" s="47" t="s">
        <v>1674</v>
      </c>
      <c r="NP29" s="47"/>
      <c r="NQ29" s="47"/>
      <c r="NR29" s="47"/>
      <c r="NS29" s="47"/>
      <c r="NT29" s="47"/>
      <c r="NU29" s="47"/>
      <c r="NV29" s="47"/>
      <c r="NW29" s="47"/>
      <c r="NX29" s="47"/>
      <c r="NY29" s="47"/>
      <c r="NZ29" s="47"/>
      <c r="OA29" s="47"/>
      <c r="OB29" s="47"/>
      <c r="OC29" s="47"/>
      <c r="OD29" s="47"/>
      <c r="OE29" s="47"/>
      <c r="OF29" s="47"/>
      <c r="OG29" s="47"/>
      <c r="OH29" s="47"/>
      <c r="OI29" s="47"/>
      <c r="OJ29" s="47"/>
      <c r="OK29" s="47"/>
      <c r="OL29" s="47"/>
      <c r="OM29" s="47"/>
      <c r="ON29" s="47"/>
      <c r="OO29" s="47"/>
      <c r="OP29" s="47"/>
      <c r="OQ29" s="47"/>
      <c r="OR29" s="47"/>
      <c r="OS29" s="47"/>
      <c r="OT29" s="47"/>
      <c r="OU29" s="47"/>
      <c r="OV29" s="47"/>
      <c r="OW29" s="47"/>
      <c r="OX29" s="47"/>
      <c r="OY29" s="47"/>
      <c r="OZ29" s="47"/>
      <c r="PA29" s="47"/>
      <c r="PB29" s="47"/>
      <c r="PC29" s="47"/>
      <c r="PD29" s="47"/>
      <c r="PE29" s="47"/>
      <c r="PF29" s="47"/>
      <c r="PG29" s="47"/>
      <c r="PH29" s="47"/>
      <c r="PI29" s="47"/>
      <c r="PJ29" s="47"/>
      <c r="PK29" s="47"/>
      <c r="PL29" s="47"/>
      <c r="PM29" s="47"/>
      <c r="PN29" s="47"/>
      <c r="PO29" s="47"/>
      <c r="PP29" s="47"/>
      <c r="PQ29" s="47"/>
      <c r="PR29" s="47"/>
      <c r="PS29" s="47"/>
      <c r="PT29" s="47"/>
      <c r="PU29" s="47"/>
      <c r="PV29" s="47"/>
      <c r="PW29" s="47"/>
      <c r="PX29" s="47"/>
      <c r="PY29" s="47"/>
      <c r="PZ29" s="47"/>
      <c r="QA29" s="47"/>
      <c r="QB29" s="47"/>
      <c r="QC29" s="47"/>
      <c r="QD29" s="47"/>
      <c r="QE29" s="47"/>
      <c r="QF29" s="47"/>
      <c r="QG29" s="47"/>
      <c r="QH29" s="47"/>
      <c r="QI29" s="47"/>
      <c r="QJ29" s="47"/>
      <c r="QK29" s="47"/>
      <c r="QL29" s="47"/>
      <c r="QM29" s="47"/>
      <c r="QN29" s="47"/>
      <c r="QO29" s="47"/>
      <c r="QP29" s="47"/>
      <c r="QQ29" s="47"/>
      <c r="QR29" s="47"/>
      <c r="QS29" s="47"/>
      <c r="QT29" s="47"/>
      <c r="QU29" s="47"/>
      <c r="QV29" s="47"/>
      <c r="QW29" s="47"/>
      <c r="QX29" s="47"/>
      <c r="QY29" s="47"/>
      <c r="QZ29" s="47"/>
      <c r="RA29" s="47"/>
      <c r="RB29" s="47"/>
      <c r="RC29" s="47"/>
      <c r="RD29" s="47"/>
      <c r="RE29" s="47"/>
      <c r="RF29" s="47"/>
      <c r="RG29" s="47"/>
      <c r="RH29" s="47"/>
      <c r="RI29" s="47"/>
      <c r="RJ29" s="47"/>
      <c r="RK29" s="47"/>
      <c r="RL29" s="47"/>
      <c r="RM29" s="47"/>
      <c r="RN29" s="47"/>
      <c r="RO29" s="47"/>
      <c r="RP29" s="47"/>
      <c r="RQ29" s="47"/>
      <c r="RR29" s="47"/>
      <c r="RS29" s="47"/>
      <c r="RT29" s="47"/>
      <c r="RU29" s="47"/>
      <c r="RV29" s="47"/>
      <c r="RW29" s="47"/>
      <c r="RX29" s="47"/>
      <c r="RY29" s="47"/>
      <c r="RZ29" s="47"/>
      <c r="SA29" s="47"/>
      <c r="SB29" s="47"/>
      <c r="SC29" s="47"/>
      <c r="SD29" s="47"/>
      <c r="SE29" s="47"/>
      <c r="SF29" s="47"/>
      <c r="SG29" s="47"/>
      <c r="SH29" s="47"/>
      <c r="SI29" s="47"/>
      <c r="SJ29" s="47"/>
      <c r="SK29" s="47"/>
      <c r="SL29" s="47"/>
      <c r="SM29" s="47"/>
      <c r="SN29" s="47"/>
      <c r="SO29" s="47"/>
      <c r="SP29" s="47"/>
      <c r="SQ29" s="47"/>
      <c r="SR29" s="47"/>
      <c r="SS29" s="47"/>
      <c r="ST29" s="47">
        <v>5100</v>
      </c>
      <c r="SU29" s="47"/>
      <c r="SV29" s="47"/>
      <c r="SW29" s="47"/>
      <c r="SX29" s="47"/>
      <c r="SY29" s="47"/>
      <c r="SZ29" s="47"/>
      <c r="TA29" s="47"/>
      <c r="TB29" s="47"/>
      <c r="TC29" s="47"/>
      <c r="TD29" s="47"/>
      <c r="TE29" s="47"/>
      <c r="TF29" s="47"/>
      <c r="TG29" s="47"/>
      <c r="TH29" s="47"/>
      <c r="TI29" s="47"/>
      <c r="TJ29" s="47"/>
      <c r="TK29" s="47"/>
      <c r="TL29" s="47"/>
      <c r="TM29" s="47"/>
      <c r="TN29" s="47"/>
      <c r="TO29" s="47"/>
      <c r="TP29" s="47"/>
      <c r="TQ29" s="47"/>
      <c r="TR29" s="47"/>
      <c r="TS29" s="47"/>
      <c r="TT29" s="47"/>
      <c r="TU29" s="47"/>
      <c r="TV29" s="47"/>
      <c r="TW29" s="47"/>
      <c r="TX29" s="47" t="s">
        <v>543</v>
      </c>
      <c r="TY29" s="47"/>
      <c r="TZ29" s="47"/>
      <c r="UA29" s="47"/>
      <c r="UB29" s="47"/>
      <c r="UC29" s="47"/>
      <c r="UD29" s="47"/>
      <c r="UE29" s="47"/>
      <c r="UF29" s="47"/>
      <c r="UG29" s="47"/>
      <c r="UH29" s="47"/>
      <c r="UI29" s="47"/>
      <c r="UJ29" s="47"/>
      <c r="UK29" s="47"/>
      <c r="UL29" s="47"/>
      <c r="UM29" s="47"/>
      <c r="UN29" s="47"/>
      <c r="UO29" s="47"/>
      <c r="UP29" s="47"/>
      <c r="UQ29" s="47"/>
      <c r="UR29" s="47"/>
      <c r="US29" s="47"/>
      <c r="UT29" s="47"/>
      <c r="UU29" s="47"/>
      <c r="UV29" s="47"/>
      <c r="UW29" s="47"/>
      <c r="UX29" s="47"/>
      <c r="UY29" s="47"/>
      <c r="UZ29" s="47"/>
      <c r="VA29" s="47"/>
      <c r="VB29" s="47"/>
      <c r="VC29" s="47"/>
      <c r="VD29" s="47"/>
      <c r="VE29" s="47"/>
      <c r="VF29" s="47"/>
      <c r="VG29" s="47"/>
      <c r="VH29" s="47"/>
      <c r="VI29" s="47"/>
      <c r="VJ29" s="47"/>
      <c r="VK29" s="47"/>
      <c r="VL29" s="47"/>
      <c r="VM29" s="47"/>
      <c r="VN29" s="47"/>
      <c r="VO29" s="47"/>
      <c r="VP29" s="47"/>
      <c r="VQ29" s="47"/>
      <c r="VR29" s="47"/>
      <c r="VS29" s="47"/>
      <c r="VT29" s="47"/>
      <c r="VU29" s="47"/>
      <c r="VV29" s="47"/>
      <c r="VW29" s="47"/>
      <c r="VX29" s="47"/>
      <c r="VY29" s="47"/>
      <c r="VZ29" s="47"/>
      <c r="WA29" s="47"/>
      <c r="WB29" s="47"/>
      <c r="WC29" s="47"/>
      <c r="WD29" s="47"/>
      <c r="WE29" s="47"/>
      <c r="WF29" s="47"/>
      <c r="WG29" s="47"/>
      <c r="WH29" s="47"/>
      <c r="WI29" s="47"/>
      <c r="WJ29" s="47"/>
      <c r="WK29" s="47"/>
      <c r="WL29" s="47"/>
      <c r="WM29" s="47"/>
      <c r="WN29" s="47"/>
      <c r="WO29" s="47"/>
      <c r="WP29" s="47"/>
      <c r="WQ29" s="47"/>
      <c r="WR29" s="47"/>
      <c r="WS29" s="47"/>
      <c r="WT29" s="47"/>
      <c r="WU29" s="47"/>
      <c r="WV29" s="47"/>
      <c r="WW29" s="47"/>
      <c r="WX29" s="47"/>
      <c r="WY29" s="47"/>
      <c r="WZ29" s="47"/>
      <c r="XA29" s="47"/>
      <c r="XB29" s="47"/>
      <c r="XC29" s="47"/>
      <c r="XD29" s="47"/>
      <c r="XE29" s="47"/>
      <c r="XF29" s="47"/>
      <c r="XG29" s="47"/>
      <c r="XH29" s="47"/>
      <c r="XI29" s="47"/>
      <c r="XJ29" s="47"/>
      <c r="XK29" s="47"/>
      <c r="XL29" s="47"/>
      <c r="XM29" s="47"/>
      <c r="XN29" s="47"/>
      <c r="XO29" s="47"/>
      <c r="XP29" s="47"/>
      <c r="XQ29" s="47"/>
      <c r="XR29" s="47"/>
      <c r="XS29" s="47"/>
      <c r="XT29" s="47"/>
      <c r="XU29" s="47"/>
      <c r="XV29" s="47"/>
      <c r="XW29" s="47"/>
      <c r="XX29" s="47"/>
      <c r="XY29" s="47"/>
      <c r="XZ29" s="47"/>
      <c r="YA29" s="44"/>
      <c r="YB29" s="44"/>
      <c r="YC29" s="44"/>
      <c r="YD29" s="44"/>
      <c r="YE29" s="44" t="s">
        <v>547</v>
      </c>
      <c r="YF29" s="47"/>
      <c r="YG29" s="47"/>
      <c r="YH29" s="47"/>
      <c r="YI29" s="47"/>
      <c r="YJ29" s="47"/>
      <c r="YK29" s="47"/>
      <c r="YL29" s="47"/>
      <c r="YM29" s="47"/>
      <c r="YN29" s="47"/>
      <c r="YO29" s="47"/>
      <c r="YP29" s="47"/>
      <c r="YQ29" s="47"/>
      <c r="YR29" s="47"/>
      <c r="YS29" s="47"/>
      <c r="YT29" s="47"/>
      <c r="YU29" s="47"/>
      <c r="YV29" s="47"/>
      <c r="YW29" s="47"/>
      <c r="YX29" s="47"/>
      <c r="YY29" s="47"/>
      <c r="YZ29" s="47"/>
      <c r="ZA29" s="47">
        <v>340</v>
      </c>
      <c r="ZB29" s="47"/>
      <c r="ZC29" s="47"/>
      <c r="ZD29" s="47"/>
      <c r="ZE29" s="47"/>
      <c r="ZF29" s="47"/>
      <c r="ZG29" s="47"/>
      <c r="ZH29" s="47"/>
      <c r="ZI29" s="47"/>
      <c r="ZJ29" s="47"/>
      <c r="ZK29" s="47"/>
      <c r="ZL29" s="47"/>
      <c r="ZM29" s="47"/>
      <c r="ZN29" s="47"/>
      <c r="ZO29" s="47"/>
      <c r="ZP29" s="47"/>
      <c r="ZQ29" s="47"/>
      <c r="ZR29" s="47"/>
      <c r="ZS29" s="47"/>
      <c r="ZT29" s="47"/>
      <c r="ZU29" s="47"/>
      <c r="ZV29" s="47"/>
      <c r="ZW29" s="44"/>
      <c r="ZX29" s="44"/>
      <c r="ZY29" s="44"/>
      <c r="ZZ29" s="44"/>
      <c r="AAA29" s="44"/>
      <c r="AAB29" s="44"/>
      <c r="AAC29" s="44"/>
      <c r="AAD29" s="44"/>
      <c r="AAE29" s="44"/>
      <c r="AAF29" s="44"/>
      <c r="AAG29" s="47"/>
      <c r="AAH29" s="47"/>
      <c r="AAI29" s="47"/>
      <c r="AAJ29" s="47"/>
      <c r="AAK29" s="47"/>
      <c r="AAL29" s="47"/>
      <c r="AAM29" s="47"/>
      <c r="AAN29" s="47"/>
      <c r="AAO29" s="47"/>
      <c r="AAP29" s="47"/>
      <c r="AAQ29" s="47"/>
      <c r="AAR29" s="47"/>
      <c r="AAS29" s="47"/>
      <c r="AAT29" s="47"/>
      <c r="AAU29" s="47"/>
      <c r="AAV29" s="47"/>
      <c r="AAW29" s="47"/>
      <c r="AAX29" s="47" t="s">
        <v>546</v>
      </c>
      <c r="AAY29" s="47"/>
      <c r="AAZ29" s="47"/>
      <c r="ABA29" s="47"/>
      <c r="ABB29" s="47"/>
      <c r="ABC29" s="47"/>
      <c r="ABD29" s="47"/>
      <c r="ABE29" s="47"/>
      <c r="ABF29" s="47"/>
      <c r="ABG29" s="47"/>
      <c r="ABH29" s="47"/>
      <c r="ABI29" s="47"/>
      <c r="ABJ29" s="47"/>
      <c r="ABK29" s="47"/>
      <c r="ABL29" s="47"/>
      <c r="ABM29" s="47"/>
      <c r="ABN29" s="47"/>
      <c r="ABO29" s="47"/>
      <c r="ABP29" s="47"/>
      <c r="ABQ29" s="47"/>
      <c r="ABR29" s="47"/>
      <c r="ABS29" s="47"/>
      <c r="ABT29" s="47"/>
      <c r="ABU29" s="47"/>
      <c r="ABV29" s="47"/>
      <c r="ABW29" s="47"/>
      <c r="ABX29" s="47"/>
      <c r="ABY29" s="47"/>
      <c r="ABZ29" s="47"/>
      <c r="ACA29" s="47"/>
      <c r="ACB29" s="47"/>
      <c r="ACC29" s="47"/>
      <c r="ACD29" s="47"/>
      <c r="ACE29" s="47"/>
      <c r="ACF29" s="47"/>
      <c r="ACG29" s="47"/>
      <c r="ACH29" s="48"/>
    </row>
    <row r="30" spans="1:762" x14ac:dyDescent="0.25">
      <c r="A30" s="42" t="s">
        <v>62</v>
      </c>
      <c r="B30" s="43">
        <v>1.0900000000000001</v>
      </c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>
        <v>74</v>
      </c>
      <c r="AD30" s="43">
        <v>110</v>
      </c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 t="s">
        <v>1741</v>
      </c>
      <c r="BD30" s="43" t="s">
        <v>346</v>
      </c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3"/>
      <c r="CB30" s="43"/>
      <c r="CC30" s="43"/>
      <c r="CD30" s="43"/>
      <c r="CE30" s="43"/>
      <c r="CF30" s="43"/>
      <c r="CG30" s="43"/>
      <c r="CH30" s="43"/>
      <c r="CI30" s="43"/>
      <c r="CJ30" s="43"/>
      <c r="CK30" s="43"/>
      <c r="CL30" s="43"/>
      <c r="CM30" s="43"/>
      <c r="CN30" s="43"/>
      <c r="CO30" s="43"/>
      <c r="CP30" s="43"/>
      <c r="CQ30" s="43"/>
      <c r="CR30" s="43">
        <v>105</v>
      </c>
      <c r="CS30" s="43"/>
      <c r="CT30" s="43"/>
      <c r="CU30" s="43">
        <v>139</v>
      </c>
      <c r="CV30" s="43"/>
      <c r="CW30" s="43"/>
      <c r="CX30" s="43"/>
      <c r="CY30" s="43"/>
      <c r="CZ30" s="43"/>
      <c r="DA30" s="43"/>
      <c r="DB30" s="43"/>
      <c r="DC30" s="43"/>
      <c r="DD30" s="43"/>
      <c r="DE30" s="43"/>
      <c r="DF30" s="43"/>
      <c r="DG30" s="43"/>
      <c r="DH30" s="43"/>
      <c r="DI30" s="43"/>
      <c r="DJ30" s="43"/>
      <c r="DK30" s="43"/>
      <c r="DL30" s="43"/>
      <c r="DM30" s="43"/>
      <c r="DN30" s="43"/>
      <c r="DO30" s="43"/>
      <c r="DP30" s="43"/>
      <c r="DQ30" s="43"/>
      <c r="DR30" s="43"/>
      <c r="DS30" s="43"/>
      <c r="DT30" s="43"/>
      <c r="DU30" s="43"/>
      <c r="DV30" s="43"/>
      <c r="DW30" s="43"/>
      <c r="DX30" s="43"/>
      <c r="DY30" s="43"/>
      <c r="DZ30" s="43"/>
      <c r="EA30" s="43"/>
      <c r="EB30" s="43"/>
      <c r="EC30" s="43"/>
      <c r="ED30" s="43"/>
      <c r="EE30" s="43"/>
      <c r="EF30" s="43" t="s">
        <v>1780</v>
      </c>
      <c r="EG30" s="43" t="s">
        <v>1779</v>
      </c>
      <c r="EH30" s="43"/>
      <c r="EI30" s="43"/>
      <c r="EJ30" s="43"/>
      <c r="EK30" s="43"/>
      <c r="EL30" s="43"/>
      <c r="EM30" s="43"/>
      <c r="EN30" s="43"/>
      <c r="EO30" s="43"/>
      <c r="EP30" s="43"/>
      <c r="EQ30" s="43"/>
      <c r="ER30" s="43"/>
      <c r="ES30" s="43"/>
      <c r="ET30" s="43"/>
      <c r="EU30" s="43"/>
      <c r="EV30" s="43"/>
      <c r="EW30" s="43"/>
      <c r="EX30" s="43"/>
      <c r="EY30" s="43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 t="s">
        <v>1792</v>
      </c>
      <c r="GV30" s="43" t="s">
        <v>1793</v>
      </c>
      <c r="GW30" s="43" t="s">
        <v>1791</v>
      </c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  <c r="IU30" s="43"/>
      <c r="IV30" s="43"/>
      <c r="IW30" s="43"/>
      <c r="IX30" s="43"/>
      <c r="IY30" s="43"/>
      <c r="IZ30" s="43"/>
      <c r="JA30" s="43"/>
      <c r="JB30" s="43"/>
      <c r="JC30" s="43"/>
      <c r="JD30" s="43"/>
      <c r="JE30" s="43"/>
      <c r="JF30" s="43"/>
      <c r="JG30" s="43"/>
      <c r="JH30" s="43" t="s">
        <v>459</v>
      </c>
      <c r="JI30" s="43" t="s">
        <v>1803</v>
      </c>
      <c r="JJ30" s="43"/>
      <c r="JK30" s="43"/>
      <c r="JL30" s="43"/>
      <c r="JM30" s="43"/>
      <c r="JN30" s="43"/>
      <c r="JO30" s="43"/>
      <c r="JP30" s="43"/>
      <c r="JQ30" s="43"/>
      <c r="JR30" s="43"/>
      <c r="JS30" s="43"/>
      <c r="JT30" s="43"/>
      <c r="JU30" s="43"/>
      <c r="JV30" s="43"/>
      <c r="JW30" s="43"/>
      <c r="JX30" s="43"/>
      <c r="JY30" s="43"/>
      <c r="JZ30" s="43"/>
      <c r="KA30" s="43"/>
      <c r="KB30" s="43"/>
      <c r="KC30" s="43"/>
      <c r="KD30" s="43"/>
      <c r="KE30" s="43"/>
      <c r="KF30" s="43"/>
      <c r="KG30" s="43"/>
      <c r="KH30" s="43"/>
      <c r="KI30" s="43"/>
      <c r="KJ30" s="43"/>
      <c r="KK30" s="43"/>
      <c r="KL30" s="43"/>
      <c r="KM30" s="43"/>
      <c r="KN30" s="43"/>
      <c r="KO30" s="43"/>
      <c r="KP30" s="43"/>
      <c r="KQ30" s="43"/>
      <c r="KR30" s="43"/>
      <c r="KS30" s="43"/>
      <c r="KT30" s="43"/>
      <c r="KU30" s="43"/>
      <c r="KV30" s="43"/>
      <c r="KW30" s="43"/>
      <c r="KX30" s="43"/>
      <c r="KY30" s="43"/>
      <c r="KZ30" s="43"/>
      <c r="LA30" s="43"/>
      <c r="LB30" s="43"/>
      <c r="LC30" s="43"/>
      <c r="LD30" s="43"/>
      <c r="LE30" s="43"/>
      <c r="LF30" s="43"/>
      <c r="LG30" s="43"/>
      <c r="LH30" s="43"/>
      <c r="LI30" s="43"/>
      <c r="LJ30" s="43"/>
      <c r="LK30" s="43"/>
      <c r="LL30" s="43"/>
      <c r="LM30" s="43"/>
      <c r="LN30" s="43"/>
      <c r="LO30" s="43"/>
      <c r="LP30" s="43"/>
      <c r="LQ30" s="43"/>
      <c r="LR30" s="43"/>
      <c r="LS30" s="43"/>
      <c r="LT30" s="43" t="s">
        <v>526</v>
      </c>
      <c r="LU30" s="43" t="s">
        <v>1812</v>
      </c>
      <c r="LV30" s="43"/>
      <c r="LW30" s="43"/>
      <c r="LX30" s="43"/>
      <c r="LY30" s="43"/>
      <c r="LZ30" s="43"/>
      <c r="MA30" s="43"/>
      <c r="MB30" s="43"/>
      <c r="MC30" s="43"/>
      <c r="MD30" s="43"/>
      <c r="ME30" s="43"/>
      <c r="MF30" s="43"/>
      <c r="MG30" s="43"/>
      <c r="MH30" s="43"/>
      <c r="MI30" s="43"/>
      <c r="MJ30" s="43"/>
      <c r="MK30" s="43"/>
      <c r="ML30" s="43"/>
      <c r="MM30" s="43"/>
      <c r="MN30" s="43"/>
      <c r="MO30" s="43"/>
      <c r="MP30" s="43"/>
      <c r="MQ30" s="43"/>
      <c r="MR30" s="43"/>
      <c r="MS30" s="43"/>
      <c r="MT30" s="43"/>
      <c r="MU30" s="43"/>
      <c r="MV30" s="43"/>
      <c r="MW30" s="43"/>
      <c r="MX30" s="43"/>
      <c r="MY30" s="43"/>
      <c r="MZ30" s="43"/>
      <c r="NA30" s="43"/>
      <c r="NB30" s="43"/>
      <c r="NC30" s="43"/>
      <c r="ND30" s="43"/>
      <c r="NE30" s="43"/>
      <c r="NF30" s="43"/>
      <c r="NG30" s="43"/>
      <c r="NH30" s="43"/>
      <c r="NI30" s="43"/>
      <c r="NJ30" s="44"/>
      <c r="NK30" s="44"/>
      <c r="NL30" s="44"/>
      <c r="NM30" s="44"/>
      <c r="NN30" s="44"/>
      <c r="NO30" s="43">
        <v>135</v>
      </c>
      <c r="NP30" s="43"/>
      <c r="NQ30" s="43"/>
      <c r="NR30" s="43"/>
      <c r="NS30" s="43"/>
      <c r="NT30" s="43"/>
      <c r="NU30" s="43"/>
      <c r="NV30" s="43"/>
      <c r="NW30" s="43"/>
      <c r="NX30" s="43"/>
      <c r="NY30" s="43"/>
      <c r="NZ30" s="43"/>
      <c r="OA30" s="43"/>
      <c r="OB30" s="43"/>
      <c r="OC30" s="43"/>
      <c r="OD30" s="43"/>
      <c r="OE30" s="43"/>
      <c r="OF30" s="43"/>
      <c r="OG30" s="43"/>
      <c r="OH30" s="43"/>
      <c r="OI30" s="43"/>
      <c r="OJ30" s="43"/>
      <c r="OK30" s="43"/>
      <c r="OL30" s="43"/>
      <c r="OM30" s="43"/>
      <c r="ON30" s="43"/>
      <c r="OO30" s="43"/>
      <c r="OP30" s="43"/>
      <c r="OQ30" s="43"/>
      <c r="OR30" s="43"/>
      <c r="OS30" s="43"/>
      <c r="OT30" s="43"/>
      <c r="OU30" s="43"/>
      <c r="OV30" s="43"/>
      <c r="OW30" s="43"/>
      <c r="OX30" s="43"/>
      <c r="OY30" s="43"/>
      <c r="OZ30" s="43"/>
      <c r="PA30" s="43"/>
      <c r="PB30" s="43"/>
      <c r="PC30" s="43"/>
      <c r="PD30" s="43"/>
      <c r="PE30" s="43"/>
      <c r="PF30" s="43"/>
      <c r="PG30" s="43"/>
      <c r="PH30" s="43"/>
      <c r="PI30" s="43"/>
      <c r="PJ30" s="43"/>
      <c r="PK30" s="43"/>
      <c r="PL30" s="43"/>
      <c r="PM30" s="43"/>
      <c r="PN30" s="43"/>
      <c r="PO30" s="43"/>
      <c r="PP30" s="43"/>
      <c r="PQ30" s="43"/>
      <c r="PR30" s="43"/>
      <c r="PS30" s="43"/>
      <c r="PT30" s="43"/>
      <c r="PU30" s="43">
        <v>1833</v>
      </c>
      <c r="PV30" s="43">
        <v>1950</v>
      </c>
      <c r="PW30" s="43">
        <v>481</v>
      </c>
      <c r="PX30" s="43"/>
      <c r="PY30" s="43"/>
      <c r="PZ30" s="43"/>
      <c r="QA30" s="43"/>
      <c r="QB30" s="43"/>
      <c r="QC30" s="43"/>
      <c r="QD30" s="43"/>
      <c r="QE30" s="43"/>
      <c r="QF30" s="43"/>
      <c r="QG30" s="43"/>
      <c r="QH30" s="43"/>
      <c r="QI30" s="43"/>
      <c r="QJ30" s="43"/>
      <c r="QK30" s="43" t="s">
        <v>1850</v>
      </c>
      <c r="QL30" s="43" t="s">
        <v>1848</v>
      </c>
      <c r="QM30" s="43" t="s">
        <v>1849</v>
      </c>
      <c r="QN30" s="43"/>
      <c r="QO30" s="43"/>
      <c r="QP30" s="43"/>
      <c r="QQ30" s="43"/>
      <c r="QR30" s="43"/>
      <c r="QS30" s="43"/>
      <c r="QT30" s="43"/>
      <c r="QU30" s="43"/>
      <c r="QV30" s="43"/>
      <c r="QW30" s="43"/>
      <c r="QX30" s="43"/>
      <c r="QY30" s="43"/>
      <c r="QZ30" s="43"/>
      <c r="RA30" s="43"/>
      <c r="RB30" s="43"/>
      <c r="RC30" s="43"/>
      <c r="RD30" s="43"/>
      <c r="RE30" s="43"/>
      <c r="RF30" s="43"/>
      <c r="RG30" s="43"/>
      <c r="RH30" s="43"/>
      <c r="RI30" s="43"/>
      <c r="RJ30" s="43"/>
      <c r="RK30" s="43"/>
      <c r="RL30" s="43"/>
      <c r="RM30" s="43"/>
      <c r="RN30" s="43"/>
      <c r="RO30" s="43"/>
      <c r="RP30" s="43"/>
      <c r="RQ30" s="43"/>
      <c r="RR30" s="43"/>
      <c r="RS30" s="43"/>
      <c r="RT30" s="43"/>
      <c r="RU30" s="43"/>
      <c r="RV30" s="43"/>
      <c r="RW30" s="43"/>
      <c r="RX30" s="43"/>
      <c r="RY30" s="43"/>
      <c r="RZ30" s="43"/>
      <c r="SA30" s="43"/>
      <c r="SB30" s="43"/>
      <c r="SC30" s="43"/>
      <c r="SD30" s="43"/>
      <c r="SE30" s="43"/>
      <c r="SF30" s="43"/>
      <c r="SG30" s="43"/>
      <c r="SH30" s="43"/>
      <c r="SI30" s="43"/>
      <c r="SJ30" s="43"/>
      <c r="SK30" s="43"/>
      <c r="SL30" s="43"/>
      <c r="SM30" s="43"/>
      <c r="SN30" s="43"/>
      <c r="SO30" s="43"/>
      <c r="SP30" s="43"/>
      <c r="SQ30" s="43"/>
      <c r="SR30" s="43"/>
      <c r="SS30" s="43"/>
      <c r="ST30" s="43" t="s">
        <v>1861</v>
      </c>
      <c r="SU30" s="43" t="s">
        <v>1860</v>
      </c>
      <c r="SV30" s="43"/>
      <c r="SW30" s="43"/>
      <c r="SX30" s="43"/>
      <c r="SY30" s="43"/>
      <c r="SZ30" s="43"/>
      <c r="TA30" s="43"/>
      <c r="TB30" s="43"/>
      <c r="TC30" s="43"/>
      <c r="TD30" s="43"/>
      <c r="TE30" s="43"/>
      <c r="TF30" s="43"/>
      <c r="TG30" s="43"/>
      <c r="TH30" s="43"/>
      <c r="TI30" s="43"/>
      <c r="TJ30" s="43"/>
      <c r="TK30" s="43"/>
      <c r="TL30" s="43"/>
      <c r="TM30" s="43"/>
      <c r="TN30" s="43"/>
      <c r="TO30" s="43"/>
      <c r="TP30" s="43"/>
      <c r="TQ30" s="43"/>
      <c r="TR30" s="43"/>
      <c r="TS30" s="43"/>
      <c r="TT30" s="43"/>
      <c r="TU30" s="43"/>
      <c r="TV30" s="43"/>
      <c r="TW30" s="43"/>
      <c r="TX30" s="43">
        <v>74</v>
      </c>
      <c r="TY30" s="43">
        <v>90</v>
      </c>
      <c r="TZ30" s="43"/>
      <c r="UA30" s="43"/>
      <c r="UB30" s="43"/>
      <c r="UC30" s="43"/>
      <c r="UD30" s="43"/>
      <c r="UE30" s="43"/>
      <c r="UF30" s="43"/>
      <c r="UG30" s="43"/>
      <c r="UH30" s="43"/>
      <c r="UI30" s="43"/>
      <c r="UJ30" s="43"/>
      <c r="UK30" s="43"/>
      <c r="UL30" s="43"/>
      <c r="UM30" s="43"/>
      <c r="UN30" s="43"/>
      <c r="UO30" s="43"/>
      <c r="UP30" s="43"/>
      <c r="UQ30" s="43"/>
      <c r="UR30" s="43"/>
      <c r="US30" s="43"/>
      <c r="UT30" s="43"/>
      <c r="UU30" s="43"/>
      <c r="UV30" s="43"/>
      <c r="UW30" s="43"/>
      <c r="UX30" s="43"/>
      <c r="UY30" s="43"/>
      <c r="UZ30" s="43"/>
      <c r="VA30" s="43"/>
      <c r="VB30" s="43"/>
      <c r="VC30" s="43"/>
      <c r="VD30" s="43"/>
      <c r="VE30" s="43"/>
      <c r="VF30" s="43"/>
      <c r="VG30" s="43"/>
      <c r="VH30" s="43"/>
      <c r="VI30" s="43"/>
      <c r="VJ30" s="43"/>
      <c r="VK30" s="43"/>
      <c r="VL30" s="43"/>
      <c r="VM30" s="43"/>
      <c r="VN30" s="43"/>
      <c r="VO30" s="43"/>
      <c r="VP30" s="43"/>
      <c r="VQ30" s="43"/>
      <c r="VR30" s="43"/>
      <c r="VS30" s="43"/>
      <c r="VT30" s="43"/>
      <c r="VU30" s="43" t="s">
        <v>1901</v>
      </c>
      <c r="VV30" s="43" t="s">
        <v>1900</v>
      </c>
      <c r="VW30" s="43"/>
      <c r="VX30" s="43"/>
      <c r="VY30" s="43"/>
      <c r="VZ30" s="43"/>
      <c r="WA30" s="43"/>
      <c r="WB30" s="43"/>
      <c r="WC30" s="43"/>
      <c r="WD30" s="43"/>
      <c r="WE30" s="43"/>
      <c r="WF30" s="43"/>
      <c r="WG30" s="43"/>
      <c r="WH30" s="43"/>
      <c r="WI30" s="43"/>
      <c r="WJ30" s="43"/>
      <c r="WK30" s="43"/>
      <c r="WL30" s="43"/>
      <c r="WM30" s="43"/>
      <c r="WN30" s="43"/>
      <c r="WO30" s="43" t="s">
        <v>1911</v>
      </c>
      <c r="WP30" s="43" t="s">
        <v>1910</v>
      </c>
      <c r="WQ30" s="43"/>
      <c r="WR30" s="43"/>
      <c r="WS30" s="43"/>
      <c r="WT30" s="43"/>
      <c r="WU30" s="43"/>
      <c r="WV30" s="43"/>
      <c r="WW30" s="43"/>
      <c r="WX30" s="43"/>
      <c r="WY30" s="43"/>
      <c r="WZ30" s="43"/>
      <c r="XA30" s="43"/>
      <c r="XB30" s="43"/>
      <c r="XC30" s="43"/>
      <c r="XD30" s="43"/>
      <c r="XE30" s="43"/>
      <c r="XF30" s="43"/>
      <c r="XG30" s="43"/>
      <c r="XH30" s="43"/>
      <c r="XI30" s="43"/>
      <c r="XJ30" s="43"/>
      <c r="XK30" s="43"/>
      <c r="XL30" s="43"/>
      <c r="XM30" s="43"/>
      <c r="XN30" s="43"/>
      <c r="XO30" s="43"/>
      <c r="XP30" s="43"/>
      <c r="XQ30" s="43"/>
      <c r="XR30" s="43"/>
      <c r="XS30" s="43"/>
      <c r="XT30" s="43"/>
      <c r="XU30" s="43"/>
      <c r="XV30" s="43"/>
      <c r="XW30" s="43"/>
      <c r="XX30" s="43"/>
      <c r="XY30" s="43"/>
      <c r="XZ30" s="43"/>
      <c r="YA30" s="44"/>
      <c r="YB30" s="44"/>
      <c r="YC30" s="44"/>
      <c r="YD30" s="44"/>
      <c r="YE30" s="44"/>
      <c r="YF30" s="43"/>
      <c r="YG30" s="43"/>
      <c r="YH30" s="43"/>
      <c r="YI30" s="43"/>
      <c r="YJ30" s="43"/>
      <c r="YK30" s="43"/>
      <c r="YL30" s="43"/>
      <c r="YM30" s="43"/>
      <c r="YN30" s="43"/>
      <c r="YO30" s="43"/>
      <c r="YP30" s="43"/>
      <c r="YQ30" s="43"/>
      <c r="YR30" s="43"/>
      <c r="YS30" s="43"/>
      <c r="YT30" s="43"/>
      <c r="YU30" s="43"/>
      <c r="YV30" s="43"/>
      <c r="YW30" s="43"/>
      <c r="YX30" s="43"/>
      <c r="YY30" s="43"/>
      <c r="YZ30" s="43"/>
      <c r="ZA30" s="43"/>
      <c r="ZB30" s="43"/>
      <c r="ZC30" s="43"/>
      <c r="ZD30" s="43"/>
      <c r="ZE30" s="43"/>
      <c r="ZF30" s="43"/>
      <c r="ZG30" s="43"/>
      <c r="ZH30" s="43"/>
      <c r="ZI30" s="43"/>
      <c r="ZJ30" s="43"/>
      <c r="ZK30" s="43"/>
      <c r="ZL30" s="43"/>
      <c r="ZM30" s="43"/>
      <c r="ZN30" s="43"/>
      <c r="ZO30" s="43"/>
      <c r="ZP30" s="43"/>
      <c r="ZQ30" s="43"/>
      <c r="ZR30" s="43"/>
      <c r="ZS30" s="43"/>
      <c r="ZT30" s="43"/>
      <c r="ZU30" s="43"/>
      <c r="ZV30" s="43"/>
      <c r="ZW30" s="44"/>
      <c r="ZX30" s="44"/>
      <c r="ZY30" s="44"/>
      <c r="ZZ30" s="44"/>
      <c r="AAA30" s="44"/>
      <c r="AAB30" s="44"/>
      <c r="AAC30" s="44"/>
      <c r="AAD30" s="44"/>
      <c r="AAE30" s="44"/>
      <c r="AAF30" s="44"/>
      <c r="AAG30" s="43"/>
      <c r="AAH30" s="43"/>
      <c r="AAI30" s="43"/>
      <c r="AAJ30" s="43"/>
      <c r="AAK30" s="43"/>
      <c r="AAL30" s="43"/>
      <c r="AAM30" s="43"/>
      <c r="AAN30" s="43"/>
      <c r="AAO30" s="43"/>
      <c r="AAP30" s="43"/>
      <c r="AAQ30" s="43"/>
      <c r="AAR30" s="43"/>
      <c r="AAS30" s="43"/>
      <c r="AAT30" s="43"/>
      <c r="AAU30" s="43"/>
      <c r="AAV30" s="43"/>
      <c r="AAW30" s="43"/>
      <c r="AAX30" s="43"/>
      <c r="AAY30" s="43"/>
      <c r="AAZ30" s="43"/>
      <c r="ABA30" s="43"/>
      <c r="ABB30" s="43"/>
      <c r="ABC30" s="43"/>
      <c r="ABD30" s="43"/>
      <c r="ABE30" s="43"/>
      <c r="ABF30" s="43"/>
      <c r="ABG30" s="43"/>
      <c r="ABH30" s="43"/>
      <c r="ABI30" s="43"/>
      <c r="ABJ30" s="43"/>
      <c r="ABK30" s="43"/>
      <c r="ABL30" s="43"/>
      <c r="ABM30" s="43"/>
      <c r="ABN30" s="43"/>
      <c r="ABO30" s="43"/>
      <c r="ABP30" s="43"/>
      <c r="ABQ30" s="43"/>
      <c r="ABR30" s="43"/>
      <c r="ABS30" s="43"/>
      <c r="ABT30" s="43"/>
      <c r="ABU30" s="43"/>
      <c r="ABV30" s="43"/>
      <c r="ABW30" s="43"/>
      <c r="ABX30" s="43"/>
      <c r="ABY30" s="43"/>
      <c r="ABZ30" s="43"/>
      <c r="ACA30" s="43"/>
      <c r="ACB30" s="43"/>
      <c r="ACC30" s="43"/>
      <c r="ACD30" s="43"/>
      <c r="ACE30" s="43"/>
      <c r="ACF30" s="43"/>
      <c r="ACG30" s="43"/>
      <c r="ACH30" s="45"/>
    </row>
    <row r="31" spans="1:762" x14ac:dyDescent="0.25">
      <c r="A31" s="46" t="s">
        <v>64</v>
      </c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  <c r="BW31" s="47"/>
      <c r="BX31" s="47"/>
      <c r="BY31" s="47"/>
      <c r="BZ31" s="47"/>
      <c r="CA31" s="47"/>
      <c r="CB31" s="47"/>
      <c r="CC31" s="47"/>
      <c r="CD31" s="47"/>
      <c r="CE31" s="47"/>
      <c r="CF31" s="47"/>
      <c r="CG31" s="47"/>
      <c r="CH31" s="47"/>
      <c r="CI31" s="47"/>
      <c r="CJ31" s="47"/>
      <c r="CK31" s="47"/>
      <c r="CL31" s="47"/>
      <c r="CM31" s="47"/>
      <c r="CN31" s="47"/>
      <c r="CO31" s="47"/>
      <c r="CP31" s="47"/>
      <c r="CQ31" s="47"/>
      <c r="CR31" s="47"/>
      <c r="CS31" s="47"/>
      <c r="CT31" s="47"/>
      <c r="CU31" s="47"/>
      <c r="CV31" s="47"/>
      <c r="CW31" s="47"/>
      <c r="CX31" s="47"/>
      <c r="CY31" s="47"/>
      <c r="CZ31" s="47"/>
      <c r="DA31" s="47"/>
      <c r="DB31" s="47"/>
      <c r="DC31" s="47"/>
      <c r="DD31" s="47"/>
      <c r="DE31" s="47"/>
      <c r="DF31" s="47"/>
      <c r="DG31" s="47"/>
      <c r="DH31" s="47"/>
      <c r="DI31" s="47"/>
      <c r="DJ31" s="47"/>
      <c r="DK31" s="47"/>
      <c r="DL31" s="47"/>
      <c r="DM31" s="47"/>
      <c r="DN31" s="47"/>
      <c r="DO31" s="47"/>
      <c r="DP31" s="47"/>
      <c r="DQ31" s="47"/>
      <c r="DR31" s="47"/>
      <c r="DS31" s="47"/>
      <c r="DT31" s="47"/>
      <c r="DU31" s="47"/>
      <c r="DV31" s="47"/>
      <c r="DW31" s="47"/>
      <c r="DX31" s="47"/>
      <c r="DY31" s="47"/>
      <c r="DZ31" s="47"/>
      <c r="EA31" s="47"/>
      <c r="EB31" s="47"/>
      <c r="EC31" s="47"/>
      <c r="ED31" s="47"/>
      <c r="EE31" s="47"/>
      <c r="EF31" s="47"/>
      <c r="EG31" s="47"/>
      <c r="EH31" s="47"/>
      <c r="EI31" s="47"/>
      <c r="EJ31" s="47"/>
      <c r="EK31" s="47"/>
      <c r="EL31" s="47"/>
      <c r="EM31" s="47"/>
      <c r="EN31" s="47"/>
      <c r="EO31" s="47"/>
      <c r="EP31" s="47"/>
      <c r="EQ31" s="47"/>
      <c r="ER31" s="47"/>
      <c r="ES31" s="47"/>
      <c r="ET31" s="47"/>
      <c r="EU31" s="47"/>
      <c r="EV31" s="47"/>
      <c r="EW31" s="47"/>
      <c r="EX31" s="47"/>
      <c r="EY31" s="47"/>
      <c r="EZ31" s="47"/>
      <c r="FA31" s="47"/>
      <c r="FB31" s="47"/>
      <c r="FC31" s="47"/>
      <c r="FD31" s="47"/>
      <c r="FE31" s="47"/>
      <c r="FF31" s="47"/>
      <c r="FG31" s="47"/>
      <c r="FH31" s="47"/>
      <c r="FI31" s="47"/>
      <c r="FJ31" s="47"/>
      <c r="FK31" s="47"/>
      <c r="FL31" s="47"/>
      <c r="FM31" s="47"/>
      <c r="FN31" s="47"/>
      <c r="FO31" s="47"/>
      <c r="FP31" s="47"/>
      <c r="FQ31" s="47"/>
      <c r="FR31" s="47"/>
      <c r="FS31" s="47"/>
      <c r="FT31" s="47"/>
      <c r="FU31" s="47"/>
      <c r="FV31" s="47"/>
      <c r="FW31" s="47"/>
      <c r="FX31" s="47"/>
      <c r="FY31" s="47"/>
      <c r="FZ31" s="47"/>
      <c r="GA31" s="47"/>
      <c r="GB31" s="47"/>
      <c r="GC31" s="47"/>
      <c r="GD31" s="47"/>
      <c r="GE31" s="47"/>
      <c r="GF31" s="47"/>
      <c r="GG31" s="47"/>
      <c r="GH31" s="47"/>
      <c r="GI31" s="47"/>
      <c r="GJ31" s="47"/>
      <c r="GK31" s="47"/>
      <c r="GL31" s="47"/>
      <c r="GM31" s="47"/>
      <c r="GN31" s="47"/>
      <c r="GO31" s="47"/>
      <c r="GP31" s="47"/>
      <c r="GQ31" s="47"/>
      <c r="GR31" s="47"/>
      <c r="GS31" s="47"/>
      <c r="GT31" s="47"/>
      <c r="GU31" s="47"/>
      <c r="GV31" s="47"/>
      <c r="GW31" s="47"/>
      <c r="GX31" s="47"/>
      <c r="GY31" s="47"/>
      <c r="GZ31" s="47"/>
      <c r="HA31" s="47"/>
      <c r="HB31" s="47"/>
      <c r="HC31" s="47"/>
      <c r="HD31" s="47"/>
      <c r="HE31" s="47"/>
      <c r="HF31" s="47"/>
      <c r="HG31" s="47"/>
      <c r="HH31" s="47"/>
      <c r="HI31" s="47"/>
      <c r="HJ31" s="47"/>
      <c r="HK31" s="47"/>
      <c r="HL31" s="47"/>
      <c r="HM31" s="47"/>
      <c r="HN31" s="47"/>
      <c r="HO31" s="47"/>
      <c r="HP31" s="47"/>
      <c r="HQ31" s="47"/>
      <c r="HR31" s="47"/>
      <c r="HS31" s="47"/>
      <c r="HT31" s="47"/>
      <c r="HU31" s="47"/>
      <c r="HV31" s="47"/>
      <c r="HW31" s="47"/>
      <c r="HX31" s="47"/>
      <c r="HY31" s="47"/>
      <c r="HZ31" s="47"/>
      <c r="IA31" s="47"/>
      <c r="IB31" s="47"/>
      <c r="IC31" s="47"/>
      <c r="ID31" s="47"/>
      <c r="IE31" s="47"/>
      <c r="IF31" s="47"/>
      <c r="IG31" s="47"/>
      <c r="IH31" s="47"/>
      <c r="II31" s="47"/>
      <c r="IJ31" s="47"/>
      <c r="IK31" s="47"/>
      <c r="IL31" s="47"/>
      <c r="IM31" s="47"/>
      <c r="IN31" s="47"/>
      <c r="IO31" s="47"/>
      <c r="IP31" s="47"/>
      <c r="IQ31" s="47"/>
      <c r="IR31" s="47"/>
      <c r="IS31" s="47"/>
      <c r="IT31" s="47"/>
      <c r="IU31" s="47"/>
      <c r="IV31" s="47"/>
      <c r="IW31" s="47"/>
      <c r="IX31" s="47"/>
      <c r="IY31" s="47"/>
      <c r="IZ31" s="47"/>
      <c r="JA31" s="47"/>
      <c r="JB31" s="47"/>
      <c r="JC31" s="47"/>
      <c r="JD31" s="47"/>
      <c r="JE31" s="47"/>
      <c r="JF31" s="47"/>
      <c r="JG31" s="47"/>
      <c r="JH31" s="47"/>
      <c r="JI31" s="47"/>
      <c r="JJ31" s="47"/>
      <c r="JK31" s="47"/>
      <c r="JL31" s="47"/>
      <c r="JM31" s="47"/>
      <c r="JN31" s="47"/>
      <c r="JO31" s="47"/>
      <c r="JP31" s="47"/>
      <c r="JQ31" s="47"/>
      <c r="JR31" s="47"/>
      <c r="JS31" s="47"/>
      <c r="JT31" s="47"/>
      <c r="JU31" s="47"/>
      <c r="JV31" s="47"/>
      <c r="JW31" s="47"/>
      <c r="JX31" s="47"/>
      <c r="JY31" s="47"/>
      <c r="JZ31" s="47"/>
      <c r="KA31" s="47"/>
      <c r="KB31" s="47"/>
      <c r="KC31" s="47"/>
      <c r="KD31" s="47"/>
      <c r="KE31" s="47"/>
      <c r="KF31" s="47"/>
      <c r="KG31" s="47"/>
      <c r="KH31" s="47"/>
      <c r="KI31" s="47"/>
      <c r="KJ31" s="47"/>
      <c r="KK31" s="47"/>
      <c r="KL31" s="47"/>
      <c r="KM31" s="47"/>
      <c r="KN31" s="47"/>
      <c r="KO31" s="47"/>
      <c r="KP31" s="47"/>
      <c r="KQ31" s="47"/>
      <c r="KR31" s="47"/>
      <c r="KS31" s="47"/>
      <c r="KT31" s="47"/>
      <c r="KU31" s="47"/>
      <c r="KV31" s="47"/>
      <c r="KW31" s="47"/>
      <c r="KX31" s="47"/>
      <c r="KY31" s="47"/>
      <c r="KZ31" s="47"/>
      <c r="LA31" s="47"/>
      <c r="LB31" s="47"/>
      <c r="LC31" s="47"/>
      <c r="LD31" s="47"/>
      <c r="LE31" s="47"/>
      <c r="LF31" s="47"/>
      <c r="LG31" s="47"/>
      <c r="LH31" s="47"/>
      <c r="LI31" s="47"/>
      <c r="LJ31" s="47"/>
      <c r="LK31" s="47"/>
      <c r="LL31" s="47"/>
      <c r="LM31" s="47"/>
      <c r="LN31" s="47"/>
      <c r="LO31" s="47"/>
      <c r="LP31" s="47"/>
      <c r="LQ31" s="47"/>
      <c r="LR31" s="47"/>
      <c r="LS31" s="47"/>
      <c r="LT31" s="47"/>
      <c r="LU31" s="47"/>
      <c r="LV31" s="47"/>
      <c r="LW31" s="47"/>
      <c r="LX31" s="47"/>
      <c r="LY31" s="47"/>
      <c r="LZ31" s="47"/>
      <c r="MA31" s="47"/>
      <c r="MB31" s="47"/>
      <c r="MC31" s="47"/>
      <c r="MD31" s="47"/>
      <c r="ME31" s="47"/>
      <c r="MF31" s="47"/>
      <c r="MG31" s="47"/>
      <c r="MH31" s="47"/>
      <c r="MI31" s="47"/>
      <c r="MJ31" s="47"/>
      <c r="MK31" s="47"/>
      <c r="ML31" s="47"/>
      <c r="MM31" s="47"/>
      <c r="MN31" s="47"/>
      <c r="MO31" s="47"/>
      <c r="MP31" s="47"/>
      <c r="MQ31" s="47"/>
      <c r="MR31" s="47"/>
      <c r="MS31" s="47"/>
      <c r="MT31" s="47"/>
      <c r="MU31" s="47"/>
      <c r="MV31" s="47"/>
      <c r="MW31" s="47"/>
      <c r="MX31" s="47"/>
      <c r="MY31" s="47"/>
      <c r="MZ31" s="47"/>
      <c r="NA31" s="47"/>
      <c r="NB31" s="47"/>
      <c r="NC31" s="47"/>
      <c r="ND31" s="47"/>
      <c r="NE31" s="47"/>
      <c r="NF31" s="47"/>
      <c r="NG31" s="47"/>
      <c r="NH31" s="47"/>
      <c r="NI31" s="47"/>
      <c r="NJ31" s="44"/>
      <c r="NK31" s="44"/>
      <c r="NL31" s="44"/>
      <c r="NM31" s="44"/>
      <c r="NN31" s="44"/>
      <c r="NO31" s="47"/>
      <c r="NP31" s="47"/>
      <c r="NQ31" s="47"/>
      <c r="NR31" s="47"/>
      <c r="NS31" s="47"/>
      <c r="NT31" s="47"/>
      <c r="NU31" s="47"/>
      <c r="NV31" s="47"/>
      <c r="NW31" s="47"/>
      <c r="NX31" s="47"/>
      <c r="NY31" s="47"/>
      <c r="NZ31" s="47"/>
      <c r="OA31" s="47"/>
      <c r="OB31" s="47"/>
      <c r="OC31" s="47"/>
      <c r="OD31" s="47"/>
      <c r="OE31" s="47"/>
      <c r="OF31" s="47"/>
      <c r="OG31" s="47"/>
      <c r="OH31" s="47"/>
      <c r="OI31" s="47"/>
      <c r="OJ31" s="47"/>
      <c r="OK31" s="47"/>
      <c r="OL31" s="47"/>
      <c r="OM31" s="47"/>
      <c r="ON31" s="47"/>
      <c r="OO31" s="47"/>
      <c r="OP31" s="47"/>
      <c r="OQ31" s="47"/>
      <c r="OR31" s="47"/>
      <c r="OS31" s="47"/>
      <c r="OT31" s="47"/>
      <c r="OU31" s="47"/>
      <c r="OV31" s="47"/>
      <c r="OW31" s="47"/>
      <c r="OX31" s="47"/>
      <c r="OY31" s="47"/>
      <c r="OZ31" s="47"/>
      <c r="PA31" s="47"/>
      <c r="PB31" s="47"/>
      <c r="PC31" s="47"/>
      <c r="PD31" s="47"/>
      <c r="PE31" s="47"/>
      <c r="PF31" s="47"/>
      <c r="PG31" s="47"/>
      <c r="PH31" s="47"/>
      <c r="PI31" s="47"/>
      <c r="PJ31" s="47"/>
      <c r="PK31" s="47"/>
      <c r="PL31" s="47"/>
      <c r="PM31" s="47"/>
      <c r="PN31" s="47"/>
      <c r="PO31" s="47"/>
      <c r="PP31" s="47"/>
      <c r="PQ31" s="47"/>
      <c r="PR31" s="47"/>
      <c r="PS31" s="47"/>
      <c r="PT31" s="47"/>
      <c r="PU31" s="47"/>
      <c r="PV31" s="47"/>
      <c r="PW31" s="47"/>
      <c r="PX31" s="47"/>
      <c r="PY31" s="47"/>
      <c r="PZ31" s="47"/>
      <c r="QA31" s="47"/>
      <c r="QB31" s="47"/>
      <c r="QC31" s="47"/>
      <c r="QD31" s="47"/>
      <c r="QE31" s="47"/>
      <c r="QF31" s="47"/>
      <c r="QG31" s="47"/>
      <c r="QH31" s="47"/>
      <c r="QI31" s="47"/>
      <c r="QJ31" s="47"/>
      <c r="QK31" s="47"/>
      <c r="QL31" s="47"/>
      <c r="QM31" s="47"/>
      <c r="QN31" s="47"/>
      <c r="QO31" s="47"/>
      <c r="QP31" s="47"/>
      <c r="QQ31" s="47"/>
      <c r="QR31" s="47"/>
      <c r="QS31" s="47"/>
      <c r="QT31" s="47"/>
      <c r="QU31" s="47"/>
      <c r="QV31" s="47"/>
      <c r="QW31" s="47"/>
      <c r="QX31" s="47"/>
      <c r="QY31" s="47"/>
      <c r="QZ31" s="47"/>
      <c r="RA31" s="47"/>
      <c r="RB31" s="47"/>
      <c r="RC31" s="47"/>
      <c r="RD31" s="47"/>
      <c r="RE31" s="47"/>
      <c r="RF31" s="47"/>
      <c r="RG31" s="47"/>
      <c r="RH31" s="47"/>
      <c r="RI31" s="47"/>
      <c r="RJ31" s="47"/>
      <c r="RK31" s="47"/>
      <c r="RL31" s="47"/>
      <c r="RM31" s="47"/>
      <c r="RN31" s="47"/>
      <c r="RO31" s="47"/>
      <c r="RP31" s="47"/>
      <c r="RQ31" s="47"/>
      <c r="RR31" s="47"/>
      <c r="RS31" s="47"/>
      <c r="RT31" s="47"/>
      <c r="RU31" s="47"/>
      <c r="RV31" s="47"/>
      <c r="RW31" s="47"/>
      <c r="RX31" s="47"/>
      <c r="RY31" s="47"/>
      <c r="RZ31" s="47"/>
      <c r="SA31" s="47"/>
      <c r="SB31" s="47"/>
      <c r="SC31" s="47"/>
      <c r="SD31" s="47"/>
      <c r="SE31" s="47"/>
      <c r="SF31" s="47"/>
      <c r="SG31" s="47"/>
      <c r="SH31" s="47"/>
      <c r="SI31" s="47"/>
      <c r="SJ31" s="47"/>
      <c r="SK31" s="47"/>
      <c r="SL31" s="47"/>
      <c r="SM31" s="47"/>
      <c r="SN31" s="47"/>
      <c r="SO31" s="47"/>
      <c r="SP31" s="47"/>
      <c r="SQ31" s="47"/>
      <c r="SR31" s="47"/>
      <c r="SS31" s="47"/>
      <c r="ST31" s="47"/>
      <c r="SU31" s="47"/>
      <c r="SV31" s="47"/>
      <c r="SW31" s="47"/>
      <c r="SX31" s="47"/>
      <c r="SY31" s="47"/>
      <c r="SZ31" s="47"/>
      <c r="TA31" s="47"/>
      <c r="TB31" s="47"/>
      <c r="TC31" s="47"/>
      <c r="TD31" s="47"/>
      <c r="TE31" s="47"/>
      <c r="TF31" s="47"/>
      <c r="TG31" s="47"/>
      <c r="TH31" s="47"/>
      <c r="TI31" s="47"/>
      <c r="TJ31" s="47"/>
      <c r="TK31" s="47"/>
      <c r="TL31" s="47"/>
      <c r="TM31" s="47"/>
      <c r="TN31" s="47"/>
      <c r="TO31" s="47"/>
      <c r="TP31" s="47"/>
      <c r="TQ31" s="47"/>
      <c r="TR31" s="47"/>
      <c r="TS31" s="47"/>
      <c r="TT31" s="47"/>
      <c r="TU31" s="47"/>
      <c r="TV31" s="47"/>
      <c r="TW31" s="47"/>
      <c r="TX31" s="47"/>
      <c r="TY31" s="47"/>
      <c r="TZ31" s="47"/>
      <c r="UA31" s="47"/>
      <c r="UB31" s="47"/>
      <c r="UC31" s="47"/>
      <c r="UD31" s="47"/>
      <c r="UE31" s="47"/>
      <c r="UF31" s="47"/>
      <c r="UG31" s="47"/>
      <c r="UH31" s="47"/>
      <c r="UI31" s="47"/>
      <c r="UJ31" s="47"/>
      <c r="UK31" s="47"/>
      <c r="UL31" s="47"/>
      <c r="UM31" s="47"/>
      <c r="UN31" s="47"/>
      <c r="UO31" s="47"/>
      <c r="UP31" s="47"/>
      <c r="UQ31" s="47"/>
      <c r="UR31" s="47"/>
      <c r="US31" s="47"/>
      <c r="UT31" s="47"/>
      <c r="UU31" s="47"/>
      <c r="UV31" s="47"/>
      <c r="UW31" s="47"/>
      <c r="UX31" s="47"/>
      <c r="UY31" s="47"/>
      <c r="UZ31" s="47"/>
      <c r="VA31" s="47"/>
      <c r="VB31" s="47"/>
      <c r="VC31" s="47"/>
      <c r="VD31" s="47"/>
      <c r="VE31" s="47"/>
      <c r="VF31" s="47"/>
      <c r="VG31" s="47"/>
      <c r="VH31" s="47"/>
      <c r="VI31" s="47"/>
      <c r="VJ31" s="47"/>
      <c r="VK31" s="47"/>
      <c r="VL31" s="47"/>
      <c r="VM31" s="47"/>
      <c r="VN31" s="47"/>
      <c r="VO31" s="47"/>
      <c r="VP31" s="47"/>
      <c r="VQ31" s="47"/>
      <c r="VR31" s="47"/>
      <c r="VS31" s="47"/>
      <c r="VT31" s="47"/>
      <c r="VU31" s="47"/>
      <c r="VV31" s="47"/>
      <c r="VW31" s="47"/>
      <c r="VX31" s="47"/>
      <c r="VY31" s="47"/>
      <c r="VZ31" s="47"/>
      <c r="WA31" s="47"/>
      <c r="WB31" s="47"/>
      <c r="WC31" s="47"/>
      <c r="WD31" s="47"/>
      <c r="WE31" s="47"/>
      <c r="WF31" s="47"/>
      <c r="WG31" s="47"/>
      <c r="WH31" s="47"/>
      <c r="WI31" s="47"/>
      <c r="WJ31" s="47"/>
      <c r="WK31" s="47"/>
      <c r="WL31" s="47"/>
      <c r="WM31" s="47"/>
      <c r="WN31" s="47"/>
      <c r="WO31" s="47"/>
      <c r="WP31" s="47"/>
      <c r="WQ31" s="47"/>
      <c r="WR31" s="47"/>
      <c r="WS31" s="47"/>
      <c r="WT31" s="47"/>
      <c r="WU31" s="47"/>
      <c r="WV31" s="47"/>
      <c r="WW31" s="47"/>
      <c r="WX31" s="47"/>
      <c r="WY31" s="47"/>
      <c r="WZ31" s="47"/>
      <c r="XA31" s="47"/>
      <c r="XB31" s="47"/>
      <c r="XC31" s="47"/>
      <c r="XD31" s="47"/>
      <c r="XE31" s="47"/>
      <c r="XF31" s="47"/>
      <c r="XG31" s="47"/>
      <c r="XH31" s="47"/>
      <c r="XI31" s="47"/>
      <c r="XJ31" s="47"/>
      <c r="XK31" s="47"/>
      <c r="XL31" s="47"/>
      <c r="XM31" s="47"/>
      <c r="XN31" s="47"/>
      <c r="XO31" s="47"/>
      <c r="XP31" s="47"/>
      <c r="XQ31" s="47"/>
      <c r="XR31" s="47"/>
      <c r="XS31" s="47"/>
      <c r="XT31" s="47"/>
      <c r="XU31" s="47"/>
      <c r="XV31" s="47"/>
      <c r="XW31" s="47"/>
      <c r="XX31" s="47"/>
      <c r="XY31" s="47"/>
      <c r="XZ31" s="47"/>
      <c r="YA31" s="44"/>
      <c r="YB31" s="44"/>
      <c r="YC31" s="44"/>
      <c r="YD31" s="44"/>
      <c r="YE31" s="44"/>
      <c r="YF31" s="47"/>
      <c r="YG31" s="47"/>
      <c r="YH31" s="47"/>
      <c r="YI31" s="47"/>
      <c r="YJ31" s="47"/>
      <c r="YK31" s="47"/>
      <c r="YL31" s="47"/>
      <c r="YM31" s="47"/>
      <c r="YN31" s="47"/>
      <c r="YO31" s="47"/>
      <c r="YP31" s="47"/>
      <c r="YQ31" s="47"/>
      <c r="YR31" s="47"/>
      <c r="YS31" s="47"/>
      <c r="YT31" s="47"/>
      <c r="YU31" s="47"/>
      <c r="YV31" s="47"/>
      <c r="YW31" s="47"/>
      <c r="YX31" s="47"/>
      <c r="YY31" s="47"/>
      <c r="YZ31" s="47"/>
      <c r="ZA31" s="47"/>
      <c r="ZB31" s="47"/>
      <c r="ZC31" s="47"/>
      <c r="ZD31" s="47"/>
      <c r="ZE31" s="47"/>
      <c r="ZF31" s="47"/>
      <c r="ZG31" s="47"/>
      <c r="ZH31" s="47"/>
      <c r="ZI31" s="47"/>
      <c r="ZJ31" s="47"/>
      <c r="ZK31" s="47"/>
      <c r="ZL31" s="47"/>
      <c r="ZM31" s="47"/>
      <c r="ZN31" s="47"/>
      <c r="ZO31" s="47"/>
      <c r="ZP31" s="47"/>
      <c r="ZQ31" s="47"/>
      <c r="ZR31" s="47"/>
      <c r="ZS31" s="47"/>
      <c r="ZT31" s="47"/>
      <c r="ZU31" s="47"/>
      <c r="ZV31" s="47"/>
      <c r="ZW31" s="44"/>
      <c r="ZX31" s="44"/>
      <c r="ZY31" s="44"/>
      <c r="ZZ31" s="44"/>
      <c r="AAA31" s="44"/>
      <c r="AAB31" s="44"/>
      <c r="AAC31" s="44"/>
      <c r="AAD31" s="44"/>
      <c r="AAE31" s="44"/>
      <c r="AAF31" s="44"/>
      <c r="AAG31" s="47"/>
      <c r="AAH31" s="47"/>
      <c r="AAI31" s="47"/>
      <c r="AAJ31" s="47"/>
      <c r="AAK31" s="47"/>
      <c r="AAL31" s="47"/>
      <c r="AAM31" s="47"/>
      <c r="AAN31" s="47"/>
      <c r="AAO31" s="47"/>
      <c r="AAP31" s="47"/>
      <c r="AAQ31" s="47"/>
      <c r="AAR31" s="47"/>
      <c r="AAS31" s="47"/>
      <c r="AAT31" s="47"/>
      <c r="AAU31" s="47"/>
      <c r="AAV31" s="47"/>
      <c r="AAW31" s="47"/>
      <c r="AAX31" s="47"/>
      <c r="AAY31" s="47"/>
      <c r="AAZ31" s="47"/>
      <c r="ABA31" s="47"/>
      <c r="ABB31" s="47"/>
      <c r="ABC31" s="47"/>
      <c r="ABD31" s="47"/>
      <c r="ABE31" s="47"/>
      <c r="ABF31" s="47"/>
      <c r="ABG31" s="47"/>
      <c r="ABH31" s="47"/>
      <c r="ABI31" s="47"/>
      <c r="ABJ31" s="47"/>
      <c r="ABK31" s="47"/>
      <c r="ABL31" s="47"/>
      <c r="ABM31" s="47"/>
      <c r="ABN31" s="47"/>
      <c r="ABO31" s="47"/>
      <c r="ABP31" s="47"/>
      <c r="ABQ31" s="47"/>
      <c r="ABR31" s="47"/>
      <c r="ABS31" s="47"/>
      <c r="ABT31" s="47"/>
      <c r="ABU31" s="47"/>
      <c r="ABV31" s="47"/>
      <c r="ABW31" s="47"/>
      <c r="ABX31" s="47"/>
      <c r="ABY31" s="47"/>
      <c r="ABZ31" s="47"/>
      <c r="ACA31" s="47"/>
      <c r="ACB31" s="47"/>
      <c r="ACC31" s="47"/>
      <c r="ACD31" s="47"/>
      <c r="ACE31" s="47"/>
      <c r="ACF31" s="47"/>
      <c r="ACG31" s="47"/>
      <c r="ACH31" s="48"/>
    </row>
    <row r="32" spans="1:762" x14ac:dyDescent="0.25">
      <c r="A32" s="42" t="s">
        <v>65</v>
      </c>
      <c r="B32" s="43" t="s">
        <v>549</v>
      </c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  <c r="CV32" s="43"/>
      <c r="CW32" s="43"/>
      <c r="CX32" s="43"/>
      <c r="CY32" s="43"/>
      <c r="CZ32" s="43"/>
      <c r="DA32" s="43"/>
      <c r="DB32" s="43"/>
      <c r="DC32" s="43"/>
      <c r="DD32" s="43"/>
      <c r="DE32" s="43"/>
      <c r="DF32" s="43"/>
      <c r="DG32" s="43"/>
      <c r="DH32" s="43"/>
      <c r="DI32" s="43"/>
      <c r="DJ32" s="43"/>
      <c r="DK32" s="43"/>
      <c r="DL32" s="43"/>
      <c r="DM32" s="43"/>
      <c r="DN32" s="43"/>
      <c r="DO32" s="43"/>
      <c r="DP32" s="43"/>
      <c r="DQ32" s="43"/>
      <c r="DR32" s="43"/>
      <c r="DS32" s="43"/>
      <c r="DT32" s="43"/>
      <c r="DU32" s="43"/>
      <c r="DV32" s="43"/>
      <c r="DW32" s="43"/>
      <c r="DX32" s="43"/>
      <c r="DY32" s="43"/>
      <c r="DZ32" s="43"/>
      <c r="EA32" s="43"/>
      <c r="EB32" s="43"/>
      <c r="EC32" s="43"/>
      <c r="ED32" s="43"/>
      <c r="EE32" s="43"/>
      <c r="EF32" s="43"/>
      <c r="EG32" s="43"/>
      <c r="EH32" s="43"/>
      <c r="EI32" s="43"/>
      <c r="EJ32" s="43"/>
      <c r="EK32" s="43"/>
      <c r="EL32" s="43"/>
      <c r="EM32" s="43"/>
      <c r="EN32" s="43"/>
      <c r="EO32" s="43"/>
      <c r="EP32" s="43"/>
      <c r="EQ32" s="43"/>
      <c r="ER32" s="43"/>
      <c r="ES32" s="43"/>
      <c r="ET32" s="43"/>
      <c r="EU32" s="43"/>
      <c r="EV32" s="43"/>
      <c r="EW32" s="43"/>
      <c r="EX32" s="43"/>
      <c r="EY32" s="43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  <c r="IU32" s="43"/>
      <c r="IV32" s="43"/>
      <c r="IW32" s="43"/>
      <c r="IX32" s="43"/>
      <c r="IY32" s="43"/>
      <c r="IZ32" s="43"/>
      <c r="JA32" s="43"/>
      <c r="JB32" s="43"/>
      <c r="JC32" s="43"/>
      <c r="JD32" s="43"/>
      <c r="JE32" s="43"/>
      <c r="JF32" s="43"/>
      <c r="JG32" s="43"/>
      <c r="JH32" s="43"/>
      <c r="JI32" s="43"/>
      <c r="JJ32" s="43"/>
      <c r="JK32" s="43"/>
      <c r="JL32" s="43"/>
      <c r="JM32" s="43"/>
      <c r="JN32" s="43"/>
      <c r="JO32" s="43"/>
      <c r="JP32" s="43"/>
      <c r="JQ32" s="43"/>
      <c r="JR32" s="43"/>
      <c r="JS32" s="43"/>
      <c r="JT32" s="43"/>
      <c r="JU32" s="43"/>
      <c r="JV32" s="43"/>
      <c r="JW32" s="43"/>
      <c r="JX32" s="43"/>
      <c r="JY32" s="43"/>
      <c r="JZ32" s="43"/>
      <c r="KA32" s="43"/>
      <c r="KB32" s="43"/>
      <c r="KC32" s="43"/>
      <c r="KD32" s="43"/>
      <c r="KE32" s="43"/>
      <c r="KF32" s="43"/>
      <c r="KG32" s="43"/>
      <c r="KH32" s="43"/>
      <c r="KI32" s="43"/>
      <c r="KJ32" s="43"/>
      <c r="KK32" s="43"/>
      <c r="KL32" s="43"/>
      <c r="KM32" s="43"/>
      <c r="KN32" s="43"/>
      <c r="KO32" s="43"/>
      <c r="KP32" s="43"/>
      <c r="KQ32" s="43"/>
      <c r="KR32" s="43"/>
      <c r="KS32" s="43"/>
      <c r="KT32" s="43"/>
      <c r="KU32" s="43"/>
      <c r="KV32" s="43"/>
      <c r="KW32" s="43"/>
      <c r="KX32" s="43"/>
      <c r="KY32" s="43"/>
      <c r="KZ32" s="43"/>
      <c r="LA32" s="43"/>
      <c r="LB32" s="43"/>
      <c r="LC32" s="43"/>
      <c r="LD32" s="43"/>
      <c r="LE32" s="43"/>
      <c r="LF32" s="43"/>
      <c r="LG32" s="43"/>
      <c r="LH32" s="43"/>
      <c r="LI32" s="43"/>
      <c r="LJ32" s="43"/>
      <c r="LK32" s="43"/>
      <c r="LL32" s="43"/>
      <c r="LM32" s="43"/>
      <c r="LN32" s="43"/>
      <c r="LO32" s="43"/>
      <c r="LP32" s="43"/>
      <c r="LQ32" s="43"/>
      <c r="LR32" s="43"/>
      <c r="LS32" s="43"/>
      <c r="LT32" s="43"/>
      <c r="LU32" s="43"/>
      <c r="LV32" s="43"/>
      <c r="LW32" s="43"/>
      <c r="LX32" s="43"/>
      <c r="LY32" s="43"/>
      <c r="LZ32" s="43"/>
      <c r="MA32" s="43"/>
      <c r="MB32" s="43"/>
      <c r="MC32" s="43"/>
      <c r="MD32" s="43"/>
      <c r="ME32" s="43"/>
      <c r="MF32" s="43"/>
      <c r="MG32" s="43"/>
      <c r="MH32" s="43"/>
      <c r="MI32" s="43"/>
      <c r="MJ32" s="43"/>
      <c r="MK32" s="43"/>
      <c r="ML32" s="43"/>
      <c r="MM32" s="43"/>
      <c r="MN32" s="43"/>
      <c r="MO32" s="43"/>
      <c r="MP32" s="43"/>
      <c r="MQ32" s="43"/>
      <c r="MR32" s="43"/>
      <c r="MS32" s="43"/>
      <c r="MT32" s="43"/>
      <c r="MU32" s="43"/>
      <c r="MV32" s="43"/>
      <c r="MW32" s="43"/>
      <c r="MX32" s="43"/>
      <c r="MY32" s="43"/>
      <c r="MZ32" s="43"/>
      <c r="NA32" s="43"/>
      <c r="NB32" s="43"/>
      <c r="NC32" s="43"/>
      <c r="ND32" s="43"/>
      <c r="NE32" s="43"/>
      <c r="NF32" s="43"/>
      <c r="NG32" s="43"/>
      <c r="NH32" s="43"/>
      <c r="NI32" s="43"/>
      <c r="NJ32" s="44"/>
      <c r="NK32" s="44"/>
      <c r="NL32" s="44"/>
      <c r="NM32" s="44"/>
      <c r="NN32" s="44"/>
      <c r="NO32" s="43"/>
      <c r="NP32" s="43"/>
      <c r="NQ32" s="43"/>
      <c r="NR32" s="43"/>
      <c r="NS32" s="43"/>
      <c r="NT32" s="43"/>
      <c r="NU32" s="43"/>
      <c r="NV32" s="43"/>
      <c r="NW32" s="43"/>
      <c r="NX32" s="43"/>
      <c r="NY32" s="43"/>
      <c r="NZ32" s="43"/>
      <c r="OA32" s="43"/>
      <c r="OB32" s="43"/>
      <c r="OC32" s="43"/>
      <c r="OD32" s="43"/>
      <c r="OE32" s="43"/>
      <c r="OF32" s="43"/>
      <c r="OG32" s="43"/>
      <c r="OH32" s="43"/>
      <c r="OI32" s="43"/>
      <c r="OJ32" s="43"/>
      <c r="OK32" s="43"/>
      <c r="OL32" s="43"/>
      <c r="OM32" s="43"/>
      <c r="ON32" s="43"/>
      <c r="OO32" s="43"/>
      <c r="OP32" s="43"/>
      <c r="OQ32" s="43"/>
      <c r="OR32" s="43"/>
      <c r="OS32" s="43"/>
      <c r="OT32" s="43"/>
      <c r="OU32" s="43"/>
      <c r="OV32" s="43"/>
      <c r="OW32" s="43"/>
      <c r="OX32" s="43"/>
      <c r="OY32" s="43"/>
      <c r="OZ32" s="43"/>
      <c r="PA32" s="43"/>
      <c r="PB32" s="43"/>
      <c r="PC32" s="43"/>
      <c r="PD32" s="43"/>
      <c r="PE32" s="43"/>
      <c r="PF32" s="43"/>
      <c r="PG32" s="43"/>
      <c r="PH32" s="43"/>
      <c r="PI32" s="43"/>
      <c r="PJ32" s="43"/>
      <c r="PK32" s="43"/>
      <c r="PL32" s="43"/>
      <c r="PM32" s="43"/>
      <c r="PN32" s="43"/>
      <c r="PO32" s="43"/>
      <c r="PP32" s="43"/>
      <c r="PQ32" s="43"/>
      <c r="PR32" s="43"/>
      <c r="PS32" s="43"/>
      <c r="PT32" s="43"/>
      <c r="PU32" s="43"/>
      <c r="PV32" s="43"/>
      <c r="PW32" s="43"/>
      <c r="PX32" s="43"/>
      <c r="PY32" s="43"/>
      <c r="PZ32" s="43"/>
      <c r="QA32" s="43"/>
      <c r="QB32" s="43"/>
      <c r="QC32" s="43"/>
      <c r="QD32" s="43"/>
      <c r="QE32" s="43"/>
      <c r="QF32" s="43"/>
      <c r="QG32" s="43"/>
      <c r="QH32" s="43"/>
      <c r="QI32" s="43"/>
      <c r="QJ32" s="43"/>
      <c r="QK32" s="43"/>
      <c r="QL32" s="43"/>
      <c r="QM32" s="43"/>
      <c r="QN32" s="43"/>
      <c r="QO32" s="43"/>
      <c r="QP32" s="43"/>
      <c r="QQ32" s="43"/>
      <c r="QR32" s="43"/>
      <c r="QS32" s="43"/>
      <c r="QT32" s="43"/>
      <c r="QU32" s="43"/>
      <c r="QV32" s="43"/>
      <c r="QW32" s="43"/>
      <c r="QX32" s="43"/>
      <c r="QY32" s="43"/>
      <c r="QZ32" s="43"/>
      <c r="RA32" s="43"/>
      <c r="RB32" s="43"/>
      <c r="RC32" s="43"/>
      <c r="RD32" s="43"/>
      <c r="RE32" s="43"/>
      <c r="RF32" s="43"/>
      <c r="RG32" s="43"/>
      <c r="RH32" s="43"/>
      <c r="RI32" s="43"/>
      <c r="RJ32" s="43"/>
      <c r="RK32" s="43"/>
      <c r="RL32" s="43"/>
      <c r="RM32" s="43"/>
      <c r="RN32" s="43"/>
      <c r="RO32" s="43"/>
      <c r="RP32" s="43"/>
      <c r="RQ32" s="43"/>
      <c r="RR32" s="43"/>
      <c r="RS32" s="43"/>
      <c r="RT32" s="43"/>
      <c r="RU32" s="43"/>
      <c r="RV32" s="43"/>
      <c r="RW32" s="43"/>
      <c r="RX32" s="43"/>
      <c r="RY32" s="43"/>
      <c r="RZ32" s="43"/>
      <c r="SA32" s="43"/>
      <c r="SB32" s="43"/>
      <c r="SC32" s="43"/>
      <c r="SD32" s="43"/>
      <c r="SE32" s="43"/>
      <c r="SF32" s="43"/>
      <c r="SG32" s="43"/>
      <c r="SH32" s="43"/>
      <c r="SI32" s="43"/>
      <c r="SJ32" s="43"/>
      <c r="SK32" s="43"/>
      <c r="SL32" s="43"/>
      <c r="SM32" s="43"/>
      <c r="SN32" s="43"/>
      <c r="SO32" s="43"/>
      <c r="SP32" s="43"/>
      <c r="SQ32" s="43"/>
      <c r="SR32" s="43"/>
      <c r="SS32" s="43"/>
      <c r="ST32" s="43"/>
      <c r="SU32" s="43"/>
      <c r="SV32" s="43"/>
      <c r="SW32" s="43"/>
      <c r="SX32" s="43"/>
      <c r="SY32" s="43"/>
      <c r="SZ32" s="43"/>
      <c r="TA32" s="43"/>
      <c r="TB32" s="43"/>
      <c r="TC32" s="43"/>
      <c r="TD32" s="43"/>
      <c r="TE32" s="43"/>
      <c r="TF32" s="43"/>
      <c r="TG32" s="43"/>
      <c r="TH32" s="43"/>
      <c r="TI32" s="43"/>
      <c r="TJ32" s="43"/>
      <c r="TK32" s="43"/>
      <c r="TL32" s="43"/>
      <c r="TM32" s="43"/>
      <c r="TN32" s="43"/>
      <c r="TO32" s="43"/>
      <c r="TP32" s="43"/>
      <c r="TQ32" s="43"/>
      <c r="TR32" s="43"/>
      <c r="TS32" s="43"/>
      <c r="TT32" s="43"/>
      <c r="TU32" s="43"/>
      <c r="TV32" s="43"/>
      <c r="TW32" s="43"/>
      <c r="TX32" s="43"/>
      <c r="TY32" s="43"/>
      <c r="TZ32" s="43"/>
      <c r="UA32" s="43"/>
      <c r="UB32" s="43"/>
      <c r="UC32" s="43"/>
      <c r="UD32" s="43"/>
      <c r="UE32" s="43"/>
      <c r="UF32" s="43"/>
      <c r="UG32" s="43"/>
      <c r="UH32" s="43"/>
      <c r="UI32" s="43"/>
      <c r="UJ32" s="43"/>
      <c r="UK32" s="43"/>
      <c r="UL32" s="43"/>
      <c r="UM32" s="43"/>
      <c r="UN32" s="43"/>
      <c r="UO32" s="43"/>
      <c r="UP32" s="43"/>
      <c r="UQ32" s="43"/>
      <c r="UR32" s="43"/>
      <c r="US32" s="43"/>
      <c r="UT32" s="43"/>
      <c r="UU32" s="43"/>
      <c r="UV32" s="43"/>
      <c r="UW32" s="43"/>
      <c r="UX32" s="43"/>
      <c r="UY32" s="43"/>
      <c r="UZ32" s="43"/>
      <c r="VA32" s="43"/>
      <c r="VB32" s="43"/>
      <c r="VC32" s="43"/>
      <c r="VD32" s="43"/>
      <c r="VE32" s="43"/>
      <c r="VF32" s="43"/>
      <c r="VG32" s="43"/>
      <c r="VH32" s="43"/>
      <c r="VI32" s="43"/>
      <c r="VJ32" s="43"/>
      <c r="VK32" s="43"/>
      <c r="VL32" s="43"/>
      <c r="VM32" s="43"/>
      <c r="VN32" s="43"/>
      <c r="VO32" s="43"/>
      <c r="VP32" s="43"/>
      <c r="VQ32" s="43"/>
      <c r="VR32" s="43"/>
      <c r="VS32" s="43"/>
      <c r="VT32" s="43"/>
      <c r="VU32" s="43"/>
      <c r="VV32" s="43"/>
      <c r="VW32" s="43"/>
      <c r="VX32" s="43"/>
      <c r="VY32" s="43"/>
      <c r="VZ32" s="43"/>
      <c r="WA32" s="43"/>
      <c r="WB32" s="43"/>
      <c r="WC32" s="43"/>
      <c r="WD32" s="43"/>
      <c r="WE32" s="43"/>
      <c r="WF32" s="43"/>
      <c r="WG32" s="43"/>
      <c r="WH32" s="43"/>
      <c r="WI32" s="43"/>
      <c r="WJ32" s="43"/>
      <c r="WK32" s="43"/>
      <c r="WL32" s="43"/>
      <c r="WM32" s="43"/>
      <c r="WN32" s="43"/>
      <c r="WO32" s="43"/>
      <c r="WP32" s="43"/>
      <c r="WQ32" s="43"/>
      <c r="WR32" s="43"/>
      <c r="WS32" s="43"/>
      <c r="WT32" s="43"/>
      <c r="WU32" s="43"/>
      <c r="WV32" s="43"/>
      <c r="WW32" s="43"/>
      <c r="WX32" s="43"/>
      <c r="WY32" s="43"/>
      <c r="WZ32" s="43"/>
      <c r="XA32" s="43"/>
      <c r="XB32" s="43"/>
      <c r="XC32" s="43"/>
      <c r="XD32" s="43"/>
      <c r="XE32" s="43"/>
      <c r="XF32" s="43"/>
      <c r="XG32" s="43"/>
      <c r="XH32" s="43"/>
      <c r="XI32" s="43"/>
      <c r="XJ32" s="43"/>
      <c r="XK32" s="43"/>
      <c r="XL32" s="43"/>
      <c r="XM32" s="43"/>
      <c r="XN32" s="43"/>
      <c r="XO32" s="43"/>
      <c r="XP32" s="43"/>
      <c r="XQ32" s="43"/>
      <c r="XR32" s="43"/>
      <c r="XS32" s="43"/>
      <c r="XT32" s="43"/>
      <c r="XU32" s="43"/>
      <c r="XV32" s="43"/>
      <c r="XW32" s="43"/>
      <c r="XX32" s="43"/>
      <c r="XY32" s="43"/>
      <c r="XZ32" s="43"/>
      <c r="YA32" s="44"/>
      <c r="YB32" s="44"/>
      <c r="YC32" s="44"/>
      <c r="YD32" s="44"/>
      <c r="YE32" s="44"/>
      <c r="YF32" s="43"/>
      <c r="YG32" s="43"/>
      <c r="YH32" s="43"/>
      <c r="YI32" s="43"/>
      <c r="YJ32" s="43"/>
      <c r="YK32" s="43"/>
      <c r="YL32" s="43"/>
      <c r="YM32" s="43"/>
      <c r="YN32" s="43"/>
      <c r="YO32" s="43"/>
      <c r="YP32" s="43"/>
      <c r="YQ32" s="43"/>
      <c r="YR32" s="43"/>
      <c r="YS32" s="43"/>
      <c r="YT32" s="43"/>
      <c r="YU32" s="43"/>
      <c r="YV32" s="43"/>
      <c r="YW32" s="43"/>
      <c r="YX32" s="43"/>
      <c r="YY32" s="43"/>
      <c r="YZ32" s="43"/>
      <c r="ZA32" s="43"/>
      <c r="ZB32" s="43"/>
      <c r="ZC32" s="43"/>
      <c r="ZD32" s="43"/>
      <c r="ZE32" s="43"/>
      <c r="ZF32" s="43"/>
      <c r="ZG32" s="43"/>
      <c r="ZH32" s="43"/>
      <c r="ZI32" s="43"/>
      <c r="ZJ32" s="43"/>
      <c r="ZK32" s="43"/>
      <c r="ZL32" s="43"/>
      <c r="ZM32" s="43"/>
      <c r="ZN32" s="43"/>
      <c r="ZO32" s="43"/>
      <c r="ZP32" s="43"/>
      <c r="ZQ32" s="43"/>
      <c r="ZR32" s="43"/>
      <c r="ZS32" s="43"/>
      <c r="ZT32" s="43"/>
      <c r="ZU32" s="43"/>
      <c r="ZV32" s="43"/>
      <c r="ZW32" s="44"/>
      <c r="ZX32" s="44"/>
      <c r="ZY32" s="44"/>
      <c r="ZZ32" s="44"/>
      <c r="AAA32" s="44"/>
      <c r="AAB32" s="44"/>
      <c r="AAC32" s="44"/>
      <c r="AAD32" s="44"/>
      <c r="AAE32" s="44"/>
      <c r="AAF32" s="44"/>
      <c r="AAG32" s="43"/>
      <c r="AAH32" s="43"/>
      <c r="AAI32" s="43"/>
      <c r="AAJ32" s="43"/>
      <c r="AAK32" s="43"/>
      <c r="AAL32" s="43"/>
      <c r="AAM32" s="43"/>
      <c r="AAN32" s="43"/>
      <c r="AAO32" s="43"/>
      <c r="AAP32" s="43"/>
      <c r="AAQ32" s="43"/>
      <c r="AAR32" s="43"/>
      <c r="AAS32" s="43"/>
      <c r="AAT32" s="43"/>
      <c r="AAU32" s="43"/>
      <c r="AAV32" s="43"/>
      <c r="AAW32" s="43"/>
      <c r="AAX32" s="43"/>
      <c r="AAY32" s="43"/>
      <c r="AAZ32" s="43"/>
      <c r="ABA32" s="43"/>
      <c r="ABB32" s="43"/>
      <c r="ABC32" s="43"/>
      <c r="ABD32" s="43"/>
      <c r="ABE32" s="43"/>
      <c r="ABF32" s="43"/>
      <c r="ABG32" s="43"/>
      <c r="ABH32" s="43"/>
      <c r="ABI32" s="43"/>
      <c r="ABJ32" s="43"/>
      <c r="ABK32" s="43"/>
      <c r="ABL32" s="43"/>
      <c r="ABM32" s="43"/>
      <c r="ABN32" s="43"/>
      <c r="ABO32" s="43"/>
      <c r="ABP32" s="43"/>
      <c r="ABQ32" s="43"/>
      <c r="ABR32" s="43"/>
      <c r="ABS32" s="43"/>
      <c r="ABT32" s="43"/>
      <c r="ABU32" s="43"/>
      <c r="ABV32" s="43"/>
      <c r="ABW32" s="43"/>
      <c r="ABX32" s="43"/>
      <c r="ABY32" s="43"/>
      <c r="ABZ32" s="43"/>
      <c r="ACA32" s="43"/>
      <c r="ACB32" s="43"/>
      <c r="ACC32" s="43"/>
      <c r="ACD32" s="43"/>
      <c r="ACE32" s="43"/>
      <c r="ACF32" s="43"/>
      <c r="ACG32" s="43"/>
      <c r="ACH32" s="45"/>
    </row>
    <row r="33" spans="1:762" x14ac:dyDescent="0.25">
      <c r="A33" s="46" t="s">
        <v>66</v>
      </c>
      <c r="B33" s="47">
        <v>105</v>
      </c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>
        <v>56</v>
      </c>
      <c r="T33" s="47">
        <v>37</v>
      </c>
      <c r="U33" s="47"/>
      <c r="V33" s="47"/>
      <c r="W33" s="47"/>
      <c r="X33" s="47"/>
      <c r="Y33" s="47"/>
      <c r="Z33" s="47"/>
      <c r="AA33" s="47"/>
      <c r="AB33" s="47"/>
      <c r="AC33" s="47">
        <v>105</v>
      </c>
      <c r="AD33" s="47"/>
      <c r="AE33" s="47"/>
      <c r="AF33" s="47"/>
      <c r="AG33" s="47">
        <v>73</v>
      </c>
      <c r="AH33" s="47">
        <v>82</v>
      </c>
      <c r="AI33" s="47"/>
      <c r="AJ33" s="47"/>
      <c r="AK33" s="47"/>
      <c r="AL33" s="47"/>
      <c r="AM33" s="47"/>
      <c r="AN33" s="47"/>
      <c r="AO33" s="47"/>
      <c r="AP33" s="47"/>
      <c r="AQ33" s="47">
        <v>23</v>
      </c>
      <c r="AR33" s="47">
        <v>64</v>
      </c>
      <c r="AS33" s="47">
        <v>91</v>
      </c>
      <c r="AT33" s="47"/>
      <c r="AU33" s="47"/>
      <c r="AV33" s="47">
        <v>93</v>
      </c>
      <c r="AW33" s="47"/>
      <c r="AX33" s="47"/>
      <c r="AY33" s="47"/>
      <c r="AZ33" s="47"/>
      <c r="BA33" s="47"/>
      <c r="BB33" s="47"/>
      <c r="BC33" s="47">
        <v>28</v>
      </c>
      <c r="BD33" s="47"/>
      <c r="BE33" s="47"/>
      <c r="BF33" s="47"/>
      <c r="BG33" s="47">
        <v>26</v>
      </c>
      <c r="BH33" s="47">
        <v>27</v>
      </c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>
        <v>36</v>
      </c>
      <c r="BT33" s="47">
        <v>27</v>
      </c>
      <c r="BU33" s="47">
        <v>24</v>
      </c>
      <c r="BV33" s="47"/>
      <c r="BW33" s="47"/>
      <c r="BX33" s="47"/>
      <c r="BY33" s="47"/>
      <c r="BZ33" s="47"/>
      <c r="CA33" s="47"/>
      <c r="CB33" s="47"/>
      <c r="CC33" s="47"/>
      <c r="CD33" s="47"/>
      <c r="CE33" s="47"/>
      <c r="CF33" s="47">
        <v>493</v>
      </c>
      <c r="CG33" s="47"/>
      <c r="CH33" s="47">
        <v>325</v>
      </c>
      <c r="CI33" s="47">
        <v>517</v>
      </c>
      <c r="CJ33" s="47"/>
      <c r="CK33" s="47"/>
      <c r="CL33" s="47"/>
      <c r="CM33" s="47"/>
      <c r="CN33" s="47"/>
      <c r="CO33" s="47">
        <v>604</v>
      </c>
      <c r="CP33" s="47">
        <v>547</v>
      </c>
      <c r="CQ33" s="47">
        <v>524</v>
      </c>
      <c r="CR33" s="51"/>
      <c r="CS33" s="47"/>
      <c r="CT33" s="47"/>
      <c r="CU33" s="47"/>
      <c r="CV33" s="47"/>
      <c r="CW33" s="47"/>
      <c r="CX33" s="47"/>
      <c r="CY33" s="47"/>
      <c r="CZ33" s="47"/>
      <c r="DA33" s="51">
        <v>1.03</v>
      </c>
      <c r="DB33" s="51"/>
      <c r="DC33" s="51"/>
      <c r="DD33" s="47">
        <v>7100</v>
      </c>
      <c r="DE33" s="47"/>
      <c r="DF33" s="47"/>
      <c r="DG33" s="47"/>
      <c r="DH33" s="47"/>
      <c r="DI33" s="47">
        <v>10000</v>
      </c>
      <c r="DJ33" s="47"/>
      <c r="DK33" s="47">
        <v>16600</v>
      </c>
      <c r="DL33" s="47"/>
      <c r="DM33" s="47"/>
      <c r="DN33" s="47"/>
      <c r="DO33" s="47">
        <v>11300</v>
      </c>
      <c r="DP33" s="47"/>
      <c r="DQ33" s="47"/>
      <c r="DR33" s="47"/>
      <c r="DS33" s="47"/>
      <c r="DT33" s="47">
        <v>10200</v>
      </c>
      <c r="DU33" s="47"/>
      <c r="DV33" s="47"/>
      <c r="DW33" s="47"/>
      <c r="DX33" s="47"/>
      <c r="DY33" s="47">
        <v>11500</v>
      </c>
      <c r="DZ33" s="47">
        <v>13300</v>
      </c>
      <c r="EA33" s="47"/>
      <c r="EB33" s="47"/>
      <c r="EC33" s="47"/>
      <c r="ED33" s="47"/>
      <c r="EE33" s="47">
        <v>11000</v>
      </c>
      <c r="EF33" s="47">
        <v>19</v>
      </c>
      <c r="EG33" s="47"/>
      <c r="EH33" s="47"/>
      <c r="EI33" s="47"/>
      <c r="EJ33" s="47"/>
      <c r="EK33" s="47"/>
      <c r="EL33" s="47"/>
      <c r="EM33" s="47"/>
      <c r="EN33" s="47"/>
      <c r="EO33" s="47"/>
      <c r="EP33" s="47"/>
      <c r="EQ33" s="47"/>
      <c r="ER33" s="47"/>
      <c r="ES33" s="47"/>
      <c r="ET33" s="47"/>
      <c r="EU33" s="47"/>
      <c r="EV33" s="47"/>
      <c r="EW33" s="47"/>
      <c r="EX33" s="47"/>
      <c r="EY33" s="47"/>
      <c r="EZ33" s="47"/>
      <c r="FA33" s="47"/>
      <c r="FB33" s="47"/>
      <c r="FC33" s="47">
        <v>127</v>
      </c>
      <c r="FD33" s="47">
        <v>66</v>
      </c>
      <c r="FE33" s="47"/>
      <c r="FF33" s="47"/>
      <c r="FG33" s="47"/>
      <c r="FH33" s="47"/>
      <c r="FI33" s="47"/>
      <c r="FJ33" s="47"/>
      <c r="FK33" s="47"/>
      <c r="FL33" s="47"/>
      <c r="FM33" s="47"/>
      <c r="FN33" s="47"/>
      <c r="FO33" s="47"/>
      <c r="FP33" s="47"/>
      <c r="FQ33" s="47"/>
      <c r="FR33" s="47"/>
      <c r="FS33" s="47"/>
      <c r="FT33" s="47"/>
      <c r="FU33" s="47"/>
      <c r="FV33" s="47"/>
      <c r="FW33" s="47"/>
      <c r="FX33" s="47"/>
      <c r="FY33" s="47"/>
      <c r="FZ33" s="47"/>
      <c r="GA33" s="47"/>
      <c r="GB33" s="47"/>
      <c r="GC33" s="47"/>
      <c r="GD33" s="47"/>
      <c r="GE33" s="47"/>
      <c r="GF33" s="47"/>
      <c r="GG33" s="47"/>
      <c r="GH33" s="47"/>
      <c r="GI33" s="47"/>
      <c r="GJ33" s="47"/>
      <c r="GK33" s="47"/>
      <c r="GL33" s="47"/>
      <c r="GM33" s="47"/>
      <c r="GN33" s="47"/>
      <c r="GO33" s="47"/>
      <c r="GP33" s="47"/>
      <c r="GQ33" s="47"/>
      <c r="GR33" s="47"/>
      <c r="GS33" s="47"/>
      <c r="GT33" s="47"/>
      <c r="GU33" s="47">
        <v>7</v>
      </c>
      <c r="GV33" s="47"/>
      <c r="GW33" s="47"/>
      <c r="GX33" s="47"/>
      <c r="GY33" s="47"/>
      <c r="GZ33" s="47"/>
      <c r="HA33" s="47"/>
      <c r="HB33" s="47"/>
      <c r="HC33" s="47"/>
      <c r="HD33" s="47"/>
      <c r="HE33" s="47"/>
      <c r="HF33" s="47"/>
      <c r="HG33" s="47"/>
      <c r="HH33" s="47"/>
      <c r="HI33" s="47"/>
      <c r="HJ33" s="47"/>
      <c r="HK33" s="47"/>
      <c r="HL33" s="47"/>
      <c r="HM33" s="47"/>
      <c r="HN33" s="47"/>
      <c r="HO33" s="47"/>
      <c r="HP33" s="47"/>
      <c r="HQ33" s="47">
        <v>138</v>
      </c>
      <c r="HR33" s="47">
        <v>110</v>
      </c>
      <c r="HS33" s="47"/>
      <c r="HT33" s="47"/>
      <c r="HU33" s="47"/>
      <c r="HV33" s="47"/>
      <c r="HW33" s="47"/>
      <c r="HX33" s="47"/>
      <c r="HY33" s="47"/>
      <c r="HZ33" s="47"/>
      <c r="IA33" s="47"/>
      <c r="IB33" s="47"/>
      <c r="IC33" s="47"/>
      <c r="ID33" s="47"/>
      <c r="IE33" s="47"/>
      <c r="IF33" s="47"/>
      <c r="IG33" s="47"/>
      <c r="IH33" s="47"/>
      <c r="II33" s="47"/>
      <c r="IJ33" s="47"/>
      <c r="IK33" s="47"/>
      <c r="IL33" s="47"/>
      <c r="IM33" s="47"/>
      <c r="IN33" s="47"/>
      <c r="IO33" s="47"/>
      <c r="IP33" s="47"/>
      <c r="IQ33" s="47"/>
      <c r="IR33" s="47"/>
      <c r="IS33" s="47"/>
      <c r="IT33" s="47"/>
      <c r="IU33" s="47"/>
      <c r="IV33" s="47"/>
      <c r="IW33" s="47"/>
      <c r="IX33" s="47"/>
      <c r="IY33" s="47"/>
      <c r="IZ33" s="47"/>
      <c r="JA33" s="47"/>
      <c r="JB33" s="47"/>
      <c r="JC33" s="47"/>
      <c r="JD33" s="47"/>
      <c r="JE33" s="47"/>
      <c r="JF33" s="47"/>
      <c r="JG33" s="47"/>
      <c r="JH33" s="47">
        <v>17</v>
      </c>
      <c r="JI33" s="47"/>
      <c r="JJ33" s="47"/>
      <c r="JK33" s="47"/>
      <c r="JL33" s="47"/>
      <c r="JM33" s="47"/>
      <c r="JN33" s="47"/>
      <c r="JO33" s="47"/>
      <c r="JP33" s="47"/>
      <c r="JQ33" s="47"/>
      <c r="JR33" s="47"/>
      <c r="JS33" s="47"/>
      <c r="JT33" s="47"/>
      <c r="JU33" s="47"/>
      <c r="JV33" s="47"/>
      <c r="JW33" s="47"/>
      <c r="JX33" s="47"/>
      <c r="JY33" s="47"/>
      <c r="JZ33" s="47"/>
      <c r="KA33" s="47"/>
      <c r="KB33" s="47">
        <v>298</v>
      </c>
      <c r="KC33" s="47">
        <v>269</v>
      </c>
      <c r="KD33" s="47"/>
      <c r="KE33" s="47"/>
      <c r="KF33" s="47"/>
      <c r="KG33" s="47"/>
      <c r="KH33" s="47"/>
      <c r="KI33" s="47">
        <v>153</v>
      </c>
      <c r="KJ33" s="47"/>
      <c r="KK33" s="47"/>
      <c r="KL33" s="47"/>
      <c r="KM33" s="47"/>
      <c r="KN33" s="47"/>
      <c r="KO33" s="47"/>
      <c r="KP33" s="47"/>
      <c r="KQ33" s="47"/>
      <c r="KR33" s="47"/>
      <c r="KS33" s="47"/>
      <c r="KT33" s="47"/>
      <c r="KU33" s="47"/>
      <c r="KV33" s="47"/>
      <c r="KW33" s="47"/>
      <c r="KX33" s="47"/>
      <c r="KY33" s="47"/>
      <c r="KZ33" s="47"/>
      <c r="LA33" s="47"/>
      <c r="LB33" s="47"/>
      <c r="LC33" s="47"/>
      <c r="LD33" s="47"/>
      <c r="LE33" s="47"/>
      <c r="LF33" s="47"/>
      <c r="LG33" s="47"/>
      <c r="LH33" s="47"/>
      <c r="LI33" s="47"/>
      <c r="LJ33" s="47"/>
      <c r="LK33" s="47"/>
      <c r="LL33" s="47"/>
      <c r="LM33" s="47"/>
      <c r="LN33" s="47"/>
      <c r="LO33" s="47"/>
      <c r="LP33" s="47"/>
      <c r="LQ33" s="47"/>
      <c r="LR33" s="47"/>
      <c r="LS33" s="47"/>
      <c r="LT33" s="47">
        <v>193</v>
      </c>
      <c r="LU33" s="47"/>
      <c r="LV33" s="47"/>
      <c r="LW33" s="47"/>
      <c r="LX33" s="47"/>
      <c r="LY33" s="47"/>
      <c r="LZ33" s="47"/>
      <c r="MA33" s="47"/>
      <c r="MB33" s="47"/>
      <c r="MC33" s="47"/>
      <c r="MD33" s="47"/>
      <c r="ME33" s="47"/>
      <c r="MF33" s="47"/>
      <c r="MG33" s="47"/>
      <c r="MH33" s="47"/>
      <c r="MI33" s="47"/>
      <c r="MJ33" s="47"/>
      <c r="MK33" s="47"/>
      <c r="ML33" s="47"/>
      <c r="MM33" s="47">
        <v>269</v>
      </c>
      <c r="MN33" s="47">
        <v>188</v>
      </c>
      <c r="MO33" s="47"/>
      <c r="MP33" s="47"/>
      <c r="MQ33" s="47"/>
      <c r="MR33" s="47"/>
      <c r="MS33" s="47"/>
      <c r="MT33" s="47"/>
      <c r="MU33" s="47"/>
      <c r="MV33" s="47"/>
      <c r="MW33" s="47"/>
      <c r="MX33" s="47"/>
      <c r="MY33" s="47"/>
      <c r="MZ33" s="47"/>
      <c r="NA33" s="47"/>
      <c r="NB33" s="47"/>
      <c r="NC33" s="47"/>
      <c r="ND33" s="47"/>
      <c r="NE33" s="47"/>
      <c r="NF33" s="47"/>
      <c r="NG33" s="47"/>
      <c r="NH33" s="47"/>
      <c r="NI33" s="47"/>
      <c r="NJ33" s="44"/>
      <c r="NK33" s="44"/>
      <c r="NL33" s="44"/>
      <c r="NM33" s="44"/>
      <c r="NN33" s="44"/>
      <c r="NO33" s="47" t="s">
        <v>1674</v>
      </c>
      <c r="NP33" s="47" t="s">
        <v>553</v>
      </c>
      <c r="NQ33" s="47"/>
      <c r="NR33" s="47"/>
      <c r="NS33" s="47"/>
      <c r="NT33" s="47"/>
      <c r="NU33" s="47" t="s">
        <v>378</v>
      </c>
      <c r="NV33" s="47"/>
      <c r="NW33" s="47" t="s">
        <v>1675</v>
      </c>
      <c r="NX33" s="47"/>
      <c r="NY33" s="47"/>
      <c r="NZ33" s="47"/>
      <c r="OA33" s="47"/>
      <c r="OB33" s="47"/>
      <c r="OC33" s="47"/>
      <c r="OD33" s="47"/>
      <c r="OE33" s="47"/>
      <c r="OF33" s="47"/>
      <c r="OG33" s="47"/>
      <c r="OH33" s="47"/>
      <c r="OI33" s="47"/>
      <c r="OJ33" s="47"/>
      <c r="OK33" s="47"/>
      <c r="OL33" s="47" t="s">
        <v>1674</v>
      </c>
      <c r="OM33" s="47" t="s">
        <v>353</v>
      </c>
      <c r="ON33" s="47"/>
      <c r="OO33" s="47"/>
      <c r="OP33" s="47"/>
      <c r="OQ33" s="47"/>
      <c r="OR33" s="47"/>
      <c r="OS33" s="47"/>
      <c r="OT33" s="47"/>
      <c r="OU33" s="47"/>
      <c r="OV33" s="47"/>
      <c r="OW33" s="47"/>
      <c r="OX33" s="47"/>
      <c r="OY33" s="47"/>
      <c r="OZ33" s="47"/>
      <c r="PA33" s="47"/>
      <c r="PB33" s="47"/>
      <c r="PC33" s="47"/>
      <c r="PD33" s="47"/>
      <c r="PE33" s="47"/>
      <c r="PF33" s="47"/>
      <c r="PG33" s="47"/>
      <c r="PH33" s="47"/>
      <c r="PI33" s="47"/>
      <c r="PJ33" s="47"/>
      <c r="PK33" s="47"/>
      <c r="PL33" s="47"/>
      <c r="PM33" s="47"/>
      <c r="PN33" s="47"/>
      <c r="PO33" s="47"/>
      <c r="PP33" s="47"/>
      <c r="PQ33" s="47"/>
      <c r="PR33" s="47"/>
      <c r="PS33" s="47"/>
      <c r="PT33" s="47"/>
      <c r="PU33" s="47"/>
      <c r="PV33" s="47"/>
      <c r="PW33" s="47"/>
      <c r="PX33" s="47"/>
      <c r="PY33" s="47"/>
      <c r="PZ33" s="47"/>
      <c r="QA33" s="47"/>
      <c r="QB33" s="47"/>
      <c r="QC33" s="47"/>
      <c r="QD33" s="47"/>
      <c r="QE33" s="47"/>
      <c r="QF33" s="47"/>
      <c r="QG33" s="47"/>
      <c r="QH33" s="47"/>
      <c r="QI33" s="47"/>
      <c r="QJ33" s="47"/>
      <c r="QK33" s="47">
        <v>75</v>
      </c>
      <c r="QL33" s="47"/>
      <c r="QM33" s="47"/>
      <c r="QN33" s="47"/>
      <c r="QO33" s="47"/>
      <c r="QP33" s="47"/>
      <c r="QQ33" s="47"/>
      <c r="QR33" s="47"/>
      <c r="QS33" s="47"/>
      <c r="QT33" s="47"/>
      <c r="QU33" s="47"/>
      <c r="QV33" s="47"/>
      <c r="QW33" s="47"/>
      <c r="QX33" s="47"/>
      <c r="QY33" s="47"/>
      <c r="QZ33" s="47"/>
      <c r="RA33" s="47"/>
      <c r="RB33" s="47"/>
      <c r="RC33" s="47"/>
      <c r="RD33" s="47"/>
      <c r="RE33" s="47"/>
      <c r="RF33" s="47"/>
      <c r="RG33" s="47">
        <v>111</v>
      </c>
      <c r="RH33" s="47">
        <v>106</v>
      </c>
      <c r="RI33" s="47"/>
      <c r="RJ33" s="47"/>
      <c r="RK33" s="47"/>
      <c r="RL33" s="47"/>
      <c r="RM33" s="47"/>
      <c r="RN33" s="47"/>
      <c r="RO33" s="47"/>
      <c r="RP33" s="47"/>
      <c r="RQ33" s="47"/>
      <c r="RR33" s="47"/>
      <c r="RS33" s="47"/>
      <c r="RT33" s="47"/>
      <c r="RU33" s="47"/>
      <c r="RV33" s="47"/>
      <c r="RW33" s="47"/>
      <c r="RX33" s="47"/>
      <c r="RY33" s="47"/>
      <c r="RZ33" s="47"/>
      <c r="SA33" s="47"/>
      <c r="SB33" s="47"/>
      <c r="SC33" s="47"/>
      <c r="SD33" s="47"/>
      <c r="SE33" s="47"/>
      <c r="SF33" s="47"/>
      <c r="SG33" s="47"/>
      <c r="SH33" s="47"/>
      <c r="SI33" s="47"/>
      <c r="SJ33" s="47"/>
      <c r="SK33" s="47"/>
      <c r="SL33" s="47"/>
      <c r="SM33" s="47"/>
      <c r="SN33" s="47"/>
      <c r="SO33" s="47"/>
      <c r="SP33" s="47"/>
      <c r="SQ33" s="47"/>
      <c r="SR33" s="47"/>
      <c r="SS33" s="47"/>
      <c r="ST33" s="47"/>
      <c r="SU33" s="47"/>
      <c r="SV33" s="47"/>
      <c r="SW33" s="47"/>
      <c r="SX33" s="47"/>
      <c r="SY33" s="47"/>
      <c r="SZ33" s="47"/>
      <c r="TA33" s="47"/>
      <c r="TB33" s="47"/>
      <c r="TC33" s="47"/>
      <c r="TD33" s="47"/>
      <c r="TE33" s="47"/>
      <c r="TF33" s="47"/>
      <c r="TG33" s="47"/>
      <c r="TH33" s="47"/>
      <c r="TI33" s="47"/>
      <c r="TJ33" s="47" t="s">
        <v>602</v>
      </c>
      <c r="TK33" s="47"/>
      <c r="TL33" s="47"/>
      <c r="TM33" s="47"/>
      <c r="TN33" s="47"/>
      <c r="TO33" s="47"/>
      <c r="TP33" s="47"/>
      <c r="TQ33" s="47"/>
      <c r="TR33" s="47"/>
      <c r="TS33" s="47"/>
      <c r="TT33" s="47"/>
      <c r="TU33" s="47"/>
      <c r="TV33" s="47"/>
      <c r="TW33" s="47"/>
      <c r="TX33" s="47" t="s">
        <v>551</v>
      </c>
      <c r="TY33" s="47"/>
      <c r="TZ33" s="47"/>
      <c r="UA33" s="47"/>
      <c r="UB33" s="47"/>
      <c r="UC33" s="47" t="s">
        <v>558</v>
      </c>
      <c r="UD33" s="47" t="s">
        <v>551</v>
      </c>
      <c r="UE33" s="47"/>
      <c r="UF33" s="47"/>
      <c r="UG33" s="47"/>
      <c r="UH33" s="47" t="s">
        <v>575</v>
      </c>
      <c r="UI33" s="47"/>
      <c r="UJ33" s="47"/>
      <c r="UK33" s="47"/>
      <c r="UL33" s="47"/>
      <c r="UM33" s="47">
        <v>132</v>
      </c>
      <c r="UN33" s="47"/>
      <c r="UO33" s="47"/>
      <c r="UP33" s="47">
        <v>88</v>
      </c>
      <c r="UQ33" s="47" t="s">
        <v>595</v>
      </c>
      <c r="UR33" s="47" t="s">
        <v>595</v>
      </c>
      <c r="US33" s="47"/>
      <c r="UT33" s="47"/>
      <c r="UU33" s="47"/>
      <c r="UV33" s="47"/>
      <c r="UW33" s="47"/>
      <c r="UX33" s="47"/>
      <c r="UY33" s="47"/>
      <c r="UZ33" s="47">
        <v>1</v>
      </c>
      <c r="VA33" s="47"/>
      <c r="VB33" s="47"/>
      <c r="VC33" s="47"/>
      <c r="VD33" s="47" t="s">
        <v>559</v>
      </c>
      <c r="VE33" s="47" t="s">
        <v>567</v>
      </c>
      <c r="VF33" s="47"/>
      <c r="VG33" s="47"/>
      <c r="VH33" s="47"/>
      <c r="VI33" s="47"/>
      <c r="VJ33" s="47"/>
      <c r="VK33" s="47"/>
      <c r="VL33" s="47"/>
      <c r="VM33" s="47"/>
      <c r="VN33" s="47" t="s">
        <v>591</v>
      </c>
      <c r="VO33" s="47" t="s">
        <v>607</v>
      </c>
      <c r="VP33" s="47" t="s">
        <v>567</v>
      </c>
      <c r="VQ33" s="47"/>
      <c r="VR33" s="47">
        <v>1</v>
      </c>
      <c r="VS33" s="47"/>
      <c r="VT33" s="47"/>
      <c r="VU33" s="47"/>
      <c r="VV33" s="47"/>
      <c r="VW33" s="47"/>
      <c r="VX33" s="47"/>
      <c r="VY33" s="47"/>
      <c r="VZ33" s="47"/>
      <c r="WA33" s="47"/>
      <c r="WB33" s="47"/>
      <c r="WC33" s="47"/>
      <c r="WD33" s="47"/>
      <c r="WE33" s="47"/>
      <c r="WF33" s="47"/>
      <c r="WG33" s="47"/>
      <c r="WH33" s="47"/>
      <c r="WI33" s="47"/>
      <c r="WJ33" s="47"/>
      <c r="WK33" s="47">
        <v>71</v>
      </c>
      <c r="WL33" s="47">
        <v>51</v>
      </c>
      <c r="WM33" s="47"/>
      <c r="WN33" s="47"/>
      <c r="WO33" s="47"/>
      <c r="WP33" s="47"/>
      <c r="WQ33" s="47"/>
      <c r="WR33" s="47"/>
      <c r="WS33" s="47"/>
      <c r="WT33" s="47"/>
      <c r="WU33" s="47"/>
      <c r="WV33" s="47"/>
      <c r="WW33" s="47"/>
      <c r="WX33" s="47"/>
      <c r="WY33" s="47"/>
      <c r="WZ33" s="47"/>
      <c r="XA33" s="47"/>
      <c r="XB33" s="47"/>
      <c r="XC33" s="47"/>
      <c r="XD33" s="47"/>
      <c r="XE33" s="47">
        <v>483</v>
      </c>
      <c r="XF33" s="47">
        <v>184</v>
      </c>
      <c r="XG33" s="47"/>
      <c r="XH33" s="47" t="s">
        <v>554</v>
      </c>
      <c r="XI33" s="47"/>
      <c r="XJ33" s="47"/>
      <c r="XK33" s="47"/>
      <c r="XL33" s="47"/>
      <c r="XM33" s="47"/>
      <c r="XN33" s="47"/>
      <c r="XO33" s="47"/>
      <c r="XP33" s="47" t="s">
        <v>579</v>
      </c>
      <c r="XQ33" s="47"/>
      <c r="XR33" s="47" t="s">
        <v>585</v>
      </c>
      <c r="XS33" s="47"/>
      <c r="XT33" s="47"/>
      <c r="XU33" s="47" t="s">
        <v>610</v>
      </c>
      <c r="XV33" s="47" t="s">
        <v>628</v>
      </c>
      <c r="XW33" s="47"/>
      <c r="XX33" s="47"/>
      <c r="XY33" s="47"/>
      <c r="XZ33" s="47"/>
      <c r="YA33" s="44"/>
      <c r="YB33" s="44"/>
      <c r="YC33" s="44"/>
      <c r="YD33" s="44"/>
      <c r="YE33" s="44"/>
      <c r="YF33" s="47">
        <v>0.53</v>
      </c>
      <c r="YG33" s="47"/>
      <c r="YH33" s="47"/>
      <c r="YI33" s="47"/>
      <c r="YJ33" s="47">
        <v>0.33</v>
      </c>
      <c r="YK33" s="47">
        <v>0.31</v>
      </c>
      <c r="YL33" s="47"/>
      <c r="YM33" s="47"/>
      <c r="YN33" s="47"/>
      <c r="YO33" s="47" t="s">
        <v>613</v>
      </c>
      <c r="YP33" s="47"/>
      <c r="YQ33" s="47"/>
      <c r="YR33" s="47"/>
      <c r="YS33" s="47"/>
      <c r="YT33" s="47">
        <v>0.26</v>
      </c>
      <c r="YU33" s="47"/>
      <c r="YV33" s="47">
        <v>0.08</v>
      </c>
      <c r="YW33" s="47">
        <v>0.11</v>
      </c>
      <c r="YX33" s="47"/>
      <c r="YY33" s="47"/>
      <c r="YZ33" s="47"/>
      <c r="ZA33" s="47">
        <v>236</v>
      </c>
      <c r="ZB33" s="47"/>
      <c r="ZC33" s="47"/>
      <c r="ZD33" s="47"/>
      <c r="ZE33" s="47"/>
      <c r="ZF33" s="47">
        <v>200</v>
      </c>
      <c r="ZG33" s="47"/>
      <c r="ZH33" s="47">
        <v>288</v>
      </c>
      <c r="ZI33" s="47">
        <v>178</v>
      </c>
      <c r="ZJ33" s="47"/>
      <c r="ZK33" s="47"/>
      <c r="ZL33" s="47"/>
      <c r="ZM33" s="47"/>
      <c r="ZN33" s="47">
        <v>232</v>
      </c>
      <c r="ZO33" s="47"/>
      <c r="ZP33" s="47"/>
      <c r="ZQ33" s="47"/>
      <c r="ZR33" s="47">
        <v>411</v>
      </c>
      <c r="ZS33" s="47">
        <v>553</v>
      </c>
      <c r="ZT33" s="47"/>
      <c r="ZU33" s="47"/>
      <c r="ZV33" s="47">
        <v>853</v>
      </c>
      <c r="ZW33" s="44"/>
      <c r="ZX33" s="44" t="s">
        <v>2018</v>
      </c>
      <c r="ZY33" s="44" t="s">
        <v>2019</v>
      </c>
      <c r="ZZ33" s="44"/>
      <c r="AAA33" s="44"/>
      <c r="AAB33" s="44"/>
      <c r="AAC33" s="44"/>
      <c r="AAD33" s="44"/>
      <c r="AAE33" s="44"/>
      <c r="AAF33" s="44"/>
      <c r="AAG33" s="47"/>
      <c r="AAH33" s="47"/>
      <c r="AAI33" s="47"/>
      <c r="AAJ33" s="47"/>
      <c r="AAK33" s="47">
        <v>44</v>
      </c>
      <c r="AAL33" s="47"/>
      <c r="AAM33" s="47"/>
      <c r="AAN33" s="47">
        <v>24</v>
      </c>
      <c r="AAO33" s="47">
        <v>32</v>
      </c>
      <c r="AAP33" s="47"/>
      <c r="AAQ33" s="47"/>
      <c r="AAR33" s="47"/>
      <c r="AAS33" s="47"/>
      <c r="AAT33" s="47"/>
      <c r="AAU33" s="47"/>
      <c r="AAV33" s="47"/>
      <c r="AAW33" s="47"/>
      <c r="AAX33" s="47" t="s">
        <v>552</v>
      </c>
      <c r="AAY33" s="47" t="s">
        <v>576</v>
      </c>
      <c r="AAZ33" s="47" t="s">
        <v>353</v>
      </c>
      <c r="ABA33" s="47" t="s">
        <v>597</v>
      </c>
      <c r="ABB33" s="47" t="s">
        <v>617</v>
      </c>
      <c r="ABC33" s="47"/>
      <c r="ABD33" s="47"/>
      <c r="ABE33" s="47"/>
      <c r="ABF33" s="47"/>
      <c r="ABG33" s="47"/>
      <c r="ABH33" s="47"/>
      <c r="ABI33" s="47"/>
      <c r="ABJ33" s="47"/>
      <c r="ABK33" s="47"/>
      <c r="ABL33" s="47"/>
      <c r="ABM33" s="47"/>
      <c r="ABN33" s="47"/>
      <c r="ABO33" s="47"/>
      <c r="ABP33" s="47"/>
      <c r="ABQ33" s="47"/>
      <c r="ABR33" s="47"/>
      <c r="ABS33" s="47"/>
      <c r="ABT33" s="47"/>
      <c r="ABU33" s="47"/>
      <c r="ABV33" s="47"/>
      <c r="ABW33" s="47"/>
      <c r="ABX33" s="47"/>
      <c r="ABY33" s="47"/>
      <c r="ABZ33" s="47"/>
      <c r="ACA33" s="47"/>
      <c r="ACB33" s="47"/>
      <c r="ACC33" s="47"/>
      <c r="ACD33" s="47"/>
      <c r="ACE33" s="47"/>
      <c r="ACF33" s="47"/>
      <c r="ACG33" s="47"/>
      <c r="ACH33" s="48"/>
    </row>
    <row r="34" spans="1:762" x14ac:dyDescent="0.25">
      <c r="A34" s="42" t="s">
        <v>68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3"/>
      <c r="BZ34" s="43"/>
      <c r="CA34" s="43"/>
      <c r="CB34" s="43"/>
      <c r="CC34" s="43"/>
      <c r="CD34" s="43"/>
      <c r="CE34" s="43"/>
      <c r="CF34" s="43"/>
      <c r="CG34" s="43"/>
      <c r="CH34" s="43"/>
      <c r="CI34" s="43"/>
      <c r="CJ34" s="43"/>
      <c r="CK34" s="43"/>
      <c r="CL34" s="43"/>
      <c r="CM34" s="43"/>
      <c r="CN34" s="43"/>
      <c r="CO34" s="43"/>
      <c r="CP34" s="43"/>
      <c r="CQ34" s="43"/>
      <c r="CR34" s="43"/>
      <c r="CS34" s="43"/>
      <c r="CT34" s="43"/>
      <c r="CU34" s="43"/>
      <c r="CV34" s="43"/>
      <c r="CW34" s="43"/>
      <c r="CX34" s="43"/>
      <c r="CY34" s="43"/>
      <c r="CZ34" s="43"/>
      <c r="DA34" s="43"/>
      <c r="DB34" s="43"/>
      <c r="DC34" s="43"/>
      <c r="DD34" s="43"/>
      <c r="DE34" s="43"/>
      <c r="DF34" s="43"/>
      <c r="DG34" s="43"/>
      <c r="DH34" s="43"/>
      <c r="DI34" s="43"/>
      <c r="DJ34" s="43"/>
      <c r="DK34" s="43"/>
      <c r="DL34" s="43"/>
      <c r="DM34" s="43"/>
      <c r="DN34" s="43"/>
      <c r="DO34" s="43"/>
      <c r="DP34" s="43"/>
      <c r="DQ34" s="43"/>
      <c r="DR34" s="43"/>
      <c r="DS34" s="43"/>
      <c r="DT34" s="43"/>
      <c r="DU34" s="43"/>
      <c r="DV34" s="43"/>
      <c r="DW34" s="43"/>
      <c r="DX34" s="43"/>
      <c r="DY34" s="43"/>
      <c r="DZ34" s="43"/>
      <c r="EA34" s="43"/>
      <c r="EB34" s="43"/>
      <c r="EC34" s="43"/>
      <c r="ED34" s="43"/>
      <c r="EE34" s="43"/>
      <c r="EF34" s="43">
        <v>360</v>
      </c>
      <c r="EG34" s="43"/>
      <c r="EH34" s="43"/>
      <c r="EI34" s="43"/>
      <c r="EJ34" s="43"/>
      <c r="EK34" s="43"/>
      <c r="EL34" s="43"/>
      <c r="EM34" s="43"/>
      <c r="EN34" s="43"/>
      <c r="EO34" s="43"/>
      <c r="EP34" s="43"/>
      <c r="EQ34" s="43"/>
      <c r="ER34" s="43"/>
      <c r="ES34" s="43"/>
      <c r="ET34" s="43"/>
      <c r="EU34" s="43"/>
      <c r="EV34" s="43"/>
      <c r="EW34" s="43"/>
      <c r="EX34" s="43"/>
      <c r="EY34" s="43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>
        <v>552</v>
      </c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  <c r="IU34" s="43"/>
      <c r="IV34" s="43"/>
      <c r="IW34" s="43"/>
      <c r="IX34" s="43"/>
      <c r="IY34" s="43"/>
      <c r="IZ34" s="43"/>
      <c r="JA34" s="43"/>
      <c r="JB34" s="43"/>
      <c r="JC34" s="43"/>
      <c r="JD34" s="43"/>
      <c r="JE34" s="43"/>
      <c r="JF34" s="43"/>
      <c r="JG34" s="43"/>
      <c r="JH34" s="43">
        <v>88</v>
      </c>
      <c r="JI34" s="43"/>
      <c r="JJ34" s="43"/>
      <c r="JK34" s="43"/>
      <c r="JL34" s="43"/>
      <c r="JM34" s="43"/>
      <c r="JN34" s="43"/>
      <c r="JO34" s="43"/>
      <c r="JP34" s="43"/>
      <c r="JQ34" s="43"/>
      <c r="JR34" s="43"/>
      <c r="JS34" s="43"/>
      <c r="JT34" s="43"/>
      <c r="JU34" s="43"/>
      <c r="JV34" s="43"/>
      <c r="JW34" s="43"/>
      <c r="JX34" s="43"/>
      <c r="JY34" s="43"/>
      <c r="JZ34" s="43"/>
      <c r="KA34" s="43"/>
      <c r="KB34" s="43"/>
      <c r="KC34" s="43"/>
      <c r="KD34" s="43"/>
      <c r="KE34" s="43"/>
      <c r="KF34" s="43"/>
      <c r="KG34" s="43"/>
      <c r="KH34" s="43"/>
      <c r="KI34" s="43"/>
      <c r="KJ34" s="43"/>
      <c r="KK34" s="43"/>
      <c r="KL34" s="43"/>
      <c r="KM34" s="43"/>
      <c r="KN34" s="43"/>
      <c r="KO34" s="43"/>
      <c r="KP34" s="43"/>
      <c r="KQ34" s="43"/>
      <c r="KR34" s="43"/>
      <c r="KS34" s="43"/>
      <c r="KT34" s="43"/>
      <c r="KU34" s="43"/>
      <c r="KV34" s="43"/>
      <c r="KW34" s="43"/>
      <c r="KX34" s="43"/>
      <c r="KY34" s="43"/>
      <c r="KZ34" s="43"/>
      <c r="LA34" s="43"/>
      <c r="LB34" s="43"/>
      <c r="LC34" s="43"/>
      <c r="LD34" s="43"/>
      <c r="LE34" s="43"/>
      <c r="LF34" s="43"/>
      <c r="LG34" s="43"/>
      <c r="LH34" s="43"/>
      <c r="LI34" s="43"/>
      <c r="LJ34" s="43"/>
      <c r="LK34" s="43"/>
      <c r="LL34" s="43"/>
      <c r="LM34" s="43">
        <v>128</v>
      </c>
      <c r="LN34" s="43"/>
      <c r="LO34" s="43"/>
      <c r="LP34" s="43"/>
      <c r="LQ34" s="43"/>
      <c r="LR34" s="43"/>
      <c r="LS34" s="43"/>
      <c r="LT34" s="43"/>
      <c r="LU34" s="43"/>
      <c r="LV34" s="43"/>
      <c r="LW34" s="43"/>
      <c r="LX34" s="43"/>
      <c r="LY34" s="43"/>
      <c r="LZ34" s="43"/>
      <c r="MA34" s="43"/>
      <c r="MB34" s="43"/>
      <c r="MC34" s="43"/>
      <c r="MD34" s="43"/>
      <c r="ME34" s="43"/>
      <c r="MF34" s="43"/>
      <c r="MG34" s="43"/>
      <c r="MH34" s="43"/>
      <c r="MI34" s="43"/>
      <c r="MJ34" s="43"/>
      <c r="MK34" s="43"/>
      <c r="ML34" s="43"/>
      <c r="MM34" s="43"/>
      <c r="MN34" s="43"/>
      <c r="MO34" s="43"/>
      <c r="MP34" s="43"/>
      <c r="MQ34" s="43"/>
      <c r="MR34" s="43"/>
      <c r="MS34" s="43"/>
      <c r="MT34" s="43"/>
      <c r="MU34" s="43"/>
      <c r="MV34" s="43"/>
      <c r="MW34" s="43"/>
      <c r="MX34" s="43"/>
      <c r="MY34" s="43"/>
      <c r="MZ34" s="43"/>
      <c r="NA34" s="43"/>
      <c r="NB34" s="43"/>
      <c r="NC34" s="43"/>
      <c r="ND34" s="43"/>
      <c r="NE34" s="43"/>
      <c r="NF34" s="43"/>
      <c r="NG34" s="43"/>
      <c r="NH34" s="43"/>
      <c r="NI34" s="43"/>
      <c r="NJ34" s="44"/>
      <c r="NK34" s="44"/>
      <c r="NL34" s="44"/>
      <c r="NM34" s="44"/>
      <c r="NN34" s="44"/>
      <c r="NO34" s="43" t="s">
        <v>1676</v>
      </c>
      <c r="NP34" s="43"/>
      <c r="NQ34" s="43"/>
      <c r="NR34" s="43"/>
      <c r="NS34" s="43"/>
      <c r="NT34" s="43"/>
      <c r="NU34" s="43"/>
      <c r="NV34" s="43"/>
      <c r="NW34" s="43"/>
      <c r="NX34" s="43"/>
      <c r="NY34" s="43"/>
      <c r="NZ34" s="43"/>
      <c r="OA34" s="43"/>
      <c r="OB34" s="43"/>
      <c r="OC34" s="43"/>
      <c r="OD34" s="43"/>
      <c r="OE34" s="43"/>
      <c r="OF34" s="43"/>
      <c r="OG34" s="43"/>
      <c r="OH34" s="43"/>
      <c r="OI34" s="43"/>
      <c r="OJ34" s="43"/>
      <c r="OK34" s="43"/>
      <c r="OL34" s="43"/>
      <c r="OM34" s="43"/>
      <c r="ON34" s="43"/>
      <c r="OO34" s="43"/>
      <c r="OP34" s="43"/>
      <c r="OQ34" s="43"/>
      <c r="OR34" s="43"/>
      <c r="OS34" s="43"/>
      <c r="OT34" s="43"/>
      <c r="OU34" s="43"/>
      <c r="OV34" s="43"/>
      <c r="OW34" s="43"/>
      <c r="OX34" s="43"/>
      <c r="OY34" s="43"/>
      <c r="OZ34" s="43"/>
      <c r="PA34" s="43"/>
      <c r="PB34" s="43"/>
      <c r="PC34" s="43"/>
      <c r="PD34" s="43"/>
      <c r="PE34" s="43"/>
      <c r="PF34" s="43"/>
      <c r="PG34" s="43"/>
      <c r="PH34" s="43"/>
      <c r="PI34" s="43"/>
      <c r="PJ34" s="43"/>
      <c r="PK34" s="43"/>
      <c r="PL34" s="43"/>
      <c r="PM34" s="43"/>
      <c r="PN34" s="43"/>
      <c r="PO34" s="43"/>
      <c r="PP34" s="43"/>
      <c r="PQ34" s="43">
        <v>151</v>
      </c>
      <c r="PR34" s="43"/>
      <c r="PS34" s="43"/>
      <c r="PT34" s="43"/>
      <c r="PU34" s="43"/>
      <c r="PV34" s="43"/>
      <c r="PW34" s="43"/>
      <c r="PX34" s="43"/>
      <c r="PY34" s="43"/>
      <c r="PZ34" s="43"/>
      <c r="QA34" s="43"/>
      <c r="QB34" s="43"/>
      <c r="QC34" s="43"/>
      <c r="QD34" s="43"/>
      <c r="QE34" s="43"/>
      <c r="QF34" s="43"/>
      <c r="QG34" s="43"/>
      <c r="QH34" s="43"/>
      <c r="QI34" s="43"/>
      <c r="QJ34" s="43"/>
      <c r="QK34" s="43">
        <v>808</v>
      </c>
      <c r="QL34" s="43"/>
      <c r="QM34" s="43"/>
      <c r="QN34" s="43"/>
      <c r="QO34" s="43"/>
      <c r="QP34" s="43"/>
      <c r="QQ34" s="43"/>
      <c r="QR34" s="43"/>
      <c r="QS34" s="43"/>
      <c r="QT34" s="43"/>
      <c r="QU34" s="43"/>
      <c r="QV34" s="43"/>
      <c r="QW34" s="43"/>
      <c r="QX34" s="43"/>
      <c r="QY34" s="43"/>
      <c r="QZ34" s="43"/>
      <c r="RA34" s="43"/>
      <c r="RB34" s="43"/>
      <c r="RC34" s="43"/>
      <c r="RD34" s="43"/>
      <c r="RE34" s="43"/>
      <c r="RF34" s="43"/>
      <c r="RG34" s="43"/>
      <c r="RH34" s="43"/>
      <c r="RI34" s="43"/>
      <c r="RJ34" s="43"/>
      <c r="RK34" s="43"/>
      <c r="RL34" s="43"/>
      <c r="RM34" s="43"/>
      <c r="RN34" s="43"/>
      <c r="RO34" s="43"/>
      <c r="RP34" s="43"/>
      <c r="RQ34" s="43"/>
      <c r="RR34" s="43"/>
      <c r="RS34" s="43"/>
      <c r="RT34" s="43"/>
      <c r="RU34" s="43"/>
      <c r="RV34" s="43"/>
      <c r="RW34" s="43"/>
      <c r="RX34" s="43"/>
      <c r="RY34" s="43"/>
      <c r="RZ34" s="43"/>
      <c r="SA34" s="43"/>
      <c r="SB34" s="43"/>
      <c r="SC34" s="43"/>
      <c r="SD34" s="43"/>
      <c r="SE34" s="43"/>
      <c r="SF34" s="43"/>
      <c r="SG34" s="43"/>
      <c r="SH34" s="43"/>
      <c r="SI34" s="43"/>
      <c r="SJ34" s="43"/>
      <c r="SK34" s="43"/>
      <c r="SL34" s="43"/>
      <c r="SM34" s="43"/>
      <c r="SN34" s="43"/>
      <c r="SO34" s="43"/>
      <c r="SP34" s="43"/>
      <c r="SQ34" s="43"/>
      <c r="SR34" s="43"/>
      <c r="SS34" s="43"/>
      <c r="ST34" s="43"/>
      <c r="SU34" s="43"/>
      <c r="SV34" s="43"/>
      <c r="SW34" s="43"/>
      <c r="SX34" s="43"/>
      <c r="SY34" s="43"/>
      <c r="SZ34" s="43"/>
      <c r="TA34" s="43"/>
      <c r="TB34" s="43"/>
      <c r="TC34" s="43"/>
      <c r="TD34" s="43"/>
      <c r="TE34" s="43"/>
      <c r="TF34" s="43"/>
      <c r="TG34" s="43"/>
      <c r="TH34" s="43"/>
      <c r="TI34" s="43"/>
      <c r="TJ34" s="43"/>
      <c r="TK34" s="43"/>
      <c r="TL34" s="43"/>
      <c r="TM34" s="43"/>
      <c r="TN34" s="43"/>
      <c r="TO34" s="43"/>
      <c r="TP34" s="43"/>
      <c r="TQ34" s="43"/>
      <c r="TR34" s="43"/>
      <c r="TS34" s="43"/>
      <c r="TT34" s="43"/>
      <c r="TU34" s="43"/>
      <c r="TV34" s="43"/>
      <c r="TW34" s="43"/>
      <c r="TX34" s="43"/>
      <c r="TY34" s="43"/>
      <c r="TZ34" s="43"/>
      <c r="UA34" s="43"/>
      <c r="UB34" s="43"/>
      <c r="UC34" s="43"/>
      <c r="UD34" s="43"/>
      <c r="UE34" s="43"/>
      <c r="UF34" s="43"/>
      <c r="UG34" s="43"/>
      <c r="UH34" s="43"/>
      <c r="UI34" s="43"/>
      <c r="UJ34" s="43"/>
      <c r="UK34" s="43"/>
      <c r="UL34" s="43"/>
      <c r="UM34" s="43"/>
      <c r="UN34" s="43"/>
      <c r="UO34" s="43"/>
      <c r="UP34" s="43"/>
      <c r="UQ34" s="43"/>
      <c r="UR34" s="43"/>
      <c r="US34" s="43"/>
      <c r="UT34" s="43"/>
      <c r="UU34" s="43"/>
      <c r="UV34" s="43"/>
      <c r="UW34" s="43"/>
      <c r="UX34" s="43"/>
      <c r="UY34" s="43"/>
      <c r="UZ34" s="43"/>
      <c r="VA34" s="43"/>
      <c r="VB34" s="43"/>
      <c r="VC34" s="43"/>
      <c r="VD34" s="43"/>
      <c r="VE34" s="43"/>
      <c r="VF34" s="43"/>
      <c r="VG34" s="43"/>
      <c r="VH34" s="43"/>
      <c r="VI34" s="43"/>
      <c r="VJ34" s="43"/>
      <c r="VK34" s="43"/>
      <c r="VL34" s="43"/>
      <c r="VM34" s="43"/>
      <c r="VN34" s="43"/>
      <c r="VO34" s="43"/>
      <c r="VP34" s="43"/>
      <c r="VQ34" s="43"/>
      <c r="VR34" s="43"/>
      <c r="VS34" s="43"/>
      <c r="VT34" s="43"/>
      <c r="VU34" s="43"/>
      <c r="VV34" s="43"/>
      <c r="VW34" s="43"/>
      <c r="VX34" s="43"/>
      <c r="VY34" s="43"/>
      <c r="VZ34" s="43"/>
      <c r="WA34" s="43"/>
      <c r="WB34" s="43"/>
      <c r="WC34" s="43"/>
      <c r="WD34" s="43"/>
      <c r="WE34" s="43"/>
      <c r="WF34" s="43"/>
      <c r="WG34" s="43"/>
      <c r="WH34" s="43"/>
      <c r="WI34" s="43"/>
      <c r="WJ34" s="43"/>
      <c r="WK34" s="43"/>
      <c r="WL34" s="43"/>
      <c r="WM34" s="43"/>
      <c r="WN34" s="43"/>
      <c r="WO34" s="43"/>
      <c r="WP34" s="43"/>
      <c r="WQ34" s="43"/>
      <c r="WR34" s="43"/>
      <c r="WS34" s="43"/>
      <c r="WT34" s="43"/>
      <c r="WU34" s="43"/>
      <c r="WV34" s="43"/>
      <c r="WW34" s="43"/>
      <c r="WX34" s="43"/>
      <c r="WY34" s="43"/>
      <c r="WZ34" s="43"/>
      <c r="XA34" s="43"/>
      <c r="XB34" s="43"/>
      <c r="XC34" s="43"/>
      <c r="XD34" s="43"/>
      <c r="XE34" s="43"/>
      <c r="XF34" s="43"/>
      <c r="XG34" s="43"/>
      <c r="XH34" s="43"/>
      <c r="XI34" s="43"/>
      <c r="XJ34" s="43"/>
      <c r="XK34" s="43"/>
      <c r="XL34" s="43"/>
      <c r="XM34" s="43"/>
      <c r="XN34" s="43"/>
      <c r="XO34" s="43"/>
      <c r="XP34" s="43"/>
      <c r="XQ34" s="43"/>
      <c r="XR34" s="43"/>
      <c r="XS34" s="43"/>
      <c r="XT34" s="43"/>
      <c r="XU34" s="43"/>
      <c r="XV34" s="43"/>
      <c r="XW34" s="43"/>
      <c r="XX34" s="43"/>
      <c r="XY34" s="43"/>
      <c r="XZ34" s="43"/>
      <c r="YA34" s="44"/>
      <c r="YB34" s="44"/>
      <c r="YC34" s="44"/>
      <c r="YD34" s="44"/>
      <c r="YE34" s="44"/>
      <c r="YF34" s="43"/>
      <c r="YG34" s="43"/>
      <c r="YH34" s="43"/>
      <c r="YI34" s="43"/>
      <c r="YJ34" s="43"/>
      <c r="YK34" s="43"/>
      <c r="YL34" s="43"/>
      <c r="YM34" s="43"/>
      <c r="YN34" s="43"/>
      <c r="YO34" s="43"/>
      <c r="YP34" s="43"/>
      <c r="YQ34" s="43"/>
      <c r="YR34" s="43"/>
      <c r="YS34" s="43"/>
      <c r="YT34" s="43"/>
      <c r="YU34" s="43"/>
      <c r="YV34" s="43"/>
      <c r="YW34" s="43"/>
      <c r="YX34" s="43"/>
      <c r="YY34" s="43"/>
      <c r="YZ34" s="43"/>
      <c r="ZA34" s="43"/>
      <c r="ZB34" s="43"/>
      <c r="ZC34" s="43"/>
      <c r="ZD34" s="43"/>
      <c r="ZE34" s="43"/>
      <c r="ZF34" s="43"/>
      <c r="ZG34" s="43"/>
      <c r="ZH34" s="43"/>
      <c r="ZI34" s="43"/>
      <c r="ZJ34" s="43"/>
      <c r="ZK34" s="43"/>
      <c r="ZL34" s="43"/>
      <c r="ZM34" s="43"/>
      <c r="ZN34" s="43"/>
      <c r="ZO34" s="43"/>
      <c r="ZP34" s="43"/>
      <c r="ZQ34" s="43"/>
      <c r="ZR34" s="43"/>
      <c r="ZS34" s="43"/>
      <c r="ZT34" s="43"/>
      <c r="ZU34" s="43"/>
      <c r="ZV34" s="43"/>
      <c r="ZW34" s="44"/>
      <c r="ZX34" s="44"/>
      <c r="ZY34" s="44"/>
      <c r="ZZ34" s="44"/>
      <c r="AAA34" s="44"/>
      <c r="AAB34" s="44"/>
      <c r="AAC34" s="44"/>
      <c r="AAD34" s="44"/>
      <c r="AAE34" s="44"/>
      <c r="AAF34" s="44"/>
      <c r="AAG34" s="43"/>
      <c r="AAH34" s="43"/>
      <c r="AAI34" s="43"/>
      <c r="AAJ34" s="43"/>
      <c r="AAK34" s="52">
        <v>0.56299999999999994</v>
      </c>
      <c r="AAL34" s="43"/>
      <c r="AAM34" s="43"/>
      <c r="AAN34" s="43"/>
      <c r="AAO34" s="43"/>
      <c r="AAP34" s="43"/>
      <c r="AAQ34" s="43"/>
      <c r="AAR34" s="43"/>
      <c r="AAS34" s="43"/>
      <c r="AAT34" s="43" t="s">
        <v>630</v>
      </c>
      <c r="AAU34" s="43" t="s">
        <v>631</v>
      </c>
      <c r="AAV34" s="43" t="s">
        <v>632</v>
      </c>
      <c r="AAW34" s="43" t="s">
        <v>633</v>
      </c>
      <c r="AAX34" s="43"/>
      <c r="AAY34" s="43"/>
      <c r="AAZ34" s="43"/>
      <c r="ABA34" s="43"/>
      <c r="ABB34" s="43"/>
      <c r="ABC34" s="43"/>
      <c r="ABD34" s="43"/>
      <c r="ABE34" s="43"/>
      <c r="ABF34" s="43"/>
      <c r="ABG34" s="43"/>
      <c r="ABH34" s="43"/>
      <c r="ABI34" s="43"/>
      <c r="ABJ34" s="43"/>
      <c r="ABK34" s="43"/>
      <c r="ABL34" s="43"/>
      <c r="ABM34" s="43"/>
      <c r="ABN34" s="43"/>
      <c r="ABO34" s="43"/>
      <c r="ABP34" s="43"/>
      <c r="ABQ34" s="43"/>
      <c r="ABR34" s="43"/>
      <c r="ABS34" s="43"/>
      <c r="ABT34" s="43"/>
      <c r="ABU34" s="43"/>
      <c r="ABV34" s="43"/>
      <c r="ABW34" s="43"/>
      <c r="ABX34" s="43"/>
      <c r="ABY34" s="43"/>
      <c r="ABZ34" s="43"/>
      <c r="ACA34" s="43"/>
      <c r="ACB34" s="43"/>
      <c r="ACC34" s="43"/>
      <c r="ACD34" s="43"/>
      <c r="ACE34" s="43"/>
      <c r="ACF34" s="43"/>
      <c r="ACG34" s="43"/>
      <c r="ACH34" s="45"/>
    </row>
    <row r="35" spans="1:762" x14ac:dyDescent="0.25">
      <c r="A35" s="46" t="s">
        <v>69</v>
      </c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  <c r="BW35" s="47"/>
      <c r="BX35" s="47"/>
      <c r="BY35" s="47"/>
      <c r="BZ35" s="47"/>
      <c r="CA35" s="47"/>
      <c r="CB35" s="47"/>
      <c r="CC35" s="47"/>
      <c r="CD35" s="47"/>
      <c r="CE35" s="47"/>
      <c r="CF35" s="47"/>
      <c r="CG35" s="47"/>
      <c r="CH35" s="47"/>
      <c r="CI35" s="47"/>
      <c r="CJ35" s="47"/>
      <c r="CK35" s="47"/>
      <c r="CL35" s="47"/>
      <c r="CM35" s="47"/>
      <c r="CN35" s="47"/>
      <c r="CO35" s="47"/>
      <c r="CP35" s="47"/>
      <c r="CQ35" s="47"/>
      <c r="CR35" s="47"/>
      <c r="CS35" s="47"/>
      <c r="CT35" s="47"/>
      <c r="CU35" s="47"/>
      <c r="CV35" s="47"/>
      <c r="CW35" s="47"/>
      <c r="CX35" s="47"/>
      <c r="CY35" s="47"/>
      <c r="CZ35" s="47"/>
      <c r="DA35" s="47"/>
      <c r="DB35" s="47"/>
      <c r="DC35" s="47"/>
      <c r="DD35" s="47"/>
      <c r="DE35" s="47"/>
      <c r="DF35" s="47"/>
      <c r="DG35" s="47"/>
      <c r="DH35" s="47"/>
      <c r="DI35" s="47"/>
      <c r="DJ35" s="47"/>
      <c r="DK35" s="47"/>
      <c r="DL35" s="47"/>
      <c r="DM35" s="47"/>
      <c r="DN35" s="47"/>
      <c r="DO35" s="47"/>
      <c r="DP35" s="47"/>
      <c r="DQ35" s="47"/>
      <c r="DR35" s="47"/>
      <c r="DS35" s="47"/>
      <c r="DT35" s="47"/>
      <c r="DU35" s="47"/>
      <c r="DV35" s="47"/>
      <c r="DW35" s="47"/>
      <c r="DX35" s="47"/>
      <c r="DY35" s="47"/>
      <c r="DZ35" s="47"/>
      <c r="EA35" s="47"/>
      <c r="EB35" s="47"/>
      <c r="EC35" s="47"/>
      <c r="ED35" s="47"/>
      <c r="EE35" s="47"/>
      <c r="EF35" s="47"/>
      <c r="EG35" s="47"/>
      <c r="EH35" s="47"/>
      <c r="EI35" s="47"/>
      <c r="EJ35" s="47"/>
      <c r="EK35" s="47"/>
      <c r="EL35" s="47"/>
      <c r="EM35" s="47"/>
      <c r="EN35" s="47"/>
      <c r="EO35" s="47"/>
      <c r="EP35" s="47"/>
      <c r="EQ35" s="47"/>
      <c r="ER35" s="47"/>
      <c r="ES35" s="47"/>
      <c r="ET35" s="47"/>
      <c r="EU35" s="47"/>
      <c r="EV35" s="47"/>
      <c r="EW35" s="47"/>
      <c r="EX35" s="47"/>
      <c r="EY35" s="47"/>
      <c r="EZ35" s="47"/>
      <c r="FA35" s="47"/>
      <c r="FB35" s="47"/>
      <c r="FC35" s="47"/>
      <c r="FD35" s="47"/>
      <c r="FE35" s="47"/>
      <c r="FF35" s="47"/>
      <c r="FG35" s="47"/>
      <c r="FH35" s="47"/>
      <c r="FI35" s="47"/>
      <c r="FJ35" s="47"/>
      <c r="FK35" s="47"/>
      <c r="FL35" s="47"/>
      <c r="FM35" s="47"/>
      <c r="FN35" s="47"/>
      <c r="FO35" s="47"/>
      <c r="FP35" s="47"/>
      <c r="FQ35" s="47"/>
      <c r="FR35" s="47"/>
      <c r="FS35" s="47"/>
      <c r="FT35" s="47"/>
      <c r="FU35" s="47"/>
      <c r="FV35" s="47"/>
      <c r="FW35" s="47"/>
      <c r="FX35" s="47"/>
      <c r="FY35" s="47"/>
      <c r="FZ35" s="47"/>
      <c r="GA35" s="47"/>
      <c r="GB35" s="47"/>
      <c r="GC35" s="47"/>
      <c r="GD35" s="47"/>
      <c r="GE35" s="47"/>
      <c r="GF35" s="47"/>
      <c r="GG35" s="47"/>
      <c r="GH35" s="47"/>
      <c r="GI35" s="47"/>
      <c r="GJ35" s="47"/>
      <c r="GK35" s="47"/>
      <c r="GL35" s="47"/>
      <c r="GM35" s="47"/>
      <c r="GN35" s="47"/>
      <c r="GO35" s="47"/>
      <c r="GP35" s="47"/>
      <c r="GQ35" s="47"/>
      <c r="GR35" s="47"/>
      <c r="GS35" s="47"/>
      <c r="GT35" s="47"/>
      <c r="GU35" s="47"/>
      <c r="GV35" s="47"/>
      <c r="GW35" s="47"/>
      <c r="GX35" s="47"/>
      <c r="GY35" s="47"/>
      <c r="GZ35" s="47"/>
      <c r="HA35" s="47"/>
      <c r="HB35" s="47"/>
      <c r="HC35" s="47"/>
      <c r="HD35" s="47"/>
      <c r="HE35" s="47"/>
      <c r="HF35" s="47"/>
      <c r="HG35" s="47"/>
      <c r="HH35" s="47"/>
      <c r="HI35" s="47"/>
      <c r="HJ35" s="47"/>
      <c r="HK35" s="47"/>
      <c r="HL35" s="47"/>
      <c r="HM35" s="47"/>
      <c r="HN35" s="47"/>
      <c r="HO35" s="47"/>
      <c r="HP35" s="47"/>
      <c r="HQ35" s="47"/>
      <c r="HR35" s="47"/>
      <c r="HS35" s="47"/>
      <c r="HT35" s="47"/>
      <c r="HU35" s="47"/>
      <c r="HV35" s="47"/>
      <c r="HW35" s="47"/>
      <c r="HX35" s="47"/>
      <c r="HY35" s="47"/>
      <c r="HZ35" s="47"/>
      <c r="IA35" s="47"/>
      <c r="IB35" s="47"/>
      <c r="IC35" s="47"/>
      <c r="ID35" s="47"/>
      <c r="IE35" s="47"/>
      <c r="IF35" s="47"/>
      <c r="IG35" s="47"/>
      <c r="IH35" s="47"/>
      <c r="II35" s="47"/>
      <c r="IJ35" s="47"/>
      <c r="IK35" s="47"/>
      <c r="IL35" s="47"/>
      <c r="IM35" s="47"/>
      <c r="IN35" s="47"/>
      <c r="IO35" s="47"/>
      <c r="IP35" s="47"/>
      <c r="IQ35" s="47"/>
      <c r="IR35" s="47"/>
      <c r="IS35" s="47"/>
      <c r="IT35" s="47"/>
      <c r="IU35" s="47"/>
      <c r="IV35" s="47"/>
      <c r="IW35" s="47"/>
      <c r="IX35" s="47"/>
      <c r="IY35" s="47"/>
      <c r="IZ35" s="47"/>
      <c r="JA35" s="47"/>
      <c r="JB35" s="47"/>
      <c r="JC35" s="47"/>
      <c r="JD35" s="47"/>
      <c r="JE35" s="47"/>
      <c r="JF35" s="47"/>
      <c r="JG35" s="47"/>
      <c r="JH35" s="47">
        <v>176</v>
      </c>
      <c r="JI35" s="47"/>
      <c r="JJ35" s="47"/>
      <c r="JK35" s="47"/>
      <c r="JL35" s="47"/>
      <c r="JM35" s="47"/>
      <c r="JN35" s="47"/>
      <c r="JO35" s="47"/>
      <c r="JP35" s="47"/>
      <c r="JQ35" s="47"/>
      <c r="JR35" s="47"/>
      <c r="JS35" s="47"/>
      <c r="JT35" s="47"/>
      <c r="JU35" s="47"/>
      <c r="JV35" s="47"/>
      <c r="JW35" s="47"/>
      <c r="JX35" s="47"/>
      <c r="JY35" s="47"/>
      <c r="JZ35" s="47"/>
      <c r="KA35" s="47"/>
      <c r="KB35" s="47"/>
      <c r="KC35" s="47"/>
      <c r="KD35" s="47"/>
      <c r="KE35" s="47"/>
      <c r="KF35" s="47"/>
      <c r="KG35" s="47"/>
      <c r="KH35" s="47"/>
      <c r="KI35" s="47"/>
      <c r="KJ35" s="47"/>
      <c r="KK35" s="47"/>
      <c r="KL35" s="47"/>
      <c r="KM35" s="47"/>
      <c r="KN35" s="47"/>
      <c r="KO35" s="47"/>
      <c r="KP35" s="47"/>
      <c r="KQ35" s="47"/>
      <c r="KR35" s="47"/>
      <c r="KS35" s="47"/>
      <c r="KT35" s="47"/>
      <c r="KU35" s="47"/>
      <c r="KV35" s="47"/>
      <c r="KW35" s="47"/>
      <c r="KX35" s="47"/>
      <c r="KY35" s="47"/>
      <c r="KZ35" s="47"/>
      <c r="LA35" s="47"/>
      <c r="LB35" s="47"/>
      <c r="LC35" s="47"/>
      <c r="LD35" s="47"/>
      <c r="LE35" s="47"/>
      <c r="LF35" s="47"/>
      <c r="LG35" s="47"/>
      <c r="LH35" s="47"/>
      <c r="LI35" s="47"/>
      <c r="LJ35" s="47"/>
      <c r="LK35" s="47"/>
      <c r="LL35" s="47"/>
      <c r="LM35" s="47"/>
      <c r="LN35" s="47"/>
      <c r="LO35" s="47"/>
      <c r="LP35" s="47"/>
      <c r="LQ35" s="47"/>
      <c r="LR35" s="47"/>
      <c r="LS35" s="47"/>
      <c r="LT35" s="47"/>
      <c r="LU35" s="47"/>
      <c r="LV35" s="47"/>
      <c r="LW35" s="47"/>
      <c r="LX35" s="47"/>
      <c r="LY35" s="47"/>
      <c r="LZ35" s="47"/>
      <c r="MA35" s="47"/>
      <c r="MB35" s="47"/>
      <c r="MC35" s="47"/>
      <c r="MD35" s="47"/>
      <c r="ME35" s="47"/>
      <c r="MF35" s="47"/>
      <c r="MG35" s="47"/>
      <c r="MH35" s="47"/>
      <c r="MI35" s="47"/>
      <c r="MJ35" s="47"/>
      <c r="MK35" s="47"/>
      <c r="ML35" s="47"/>
      <c r="MM35" s="47"/>
      <c r="MN35" s="47"/>
      <c r="MO35" s="47"/>
      <c r="MP35" s="47"/>
      <c r="MQ35" s="47"/>
      <c r="MR35" s="47"/>
      <c r="MS35" s="47"/>
      <c r="MT35" s="47"/>
      <c r="MU35" s="47"/>
      <c r="MV35" s="47"/>
      <c r="MW35" s="47"/>
      <c r="MX35" s="47"/>
      <c r="MY35" s="47"/>
      <c r="MZ35" s="47"/>
      <c r="NA35" s="47"/>
      <c r="NB35" s="47"/>
      <c r="NC35" s="47"/>
      <c r="ND35" s="47"/>
      <c r="NE35" s="47"/>
      <c r="NF35" s="47"/>
      <c r="NG35" s="47"/>
      <c r="NH35" s="47"/>
      <c r="NI35" s="47"/>
      <c r="NJ35" s="44"/>
      <c r="NK35" s="44"/>
      <c r="NL35" s="44"/>
      <c r="NM35" s="44"/>
      <c r="NN35" s="44"/>
      <c r="NO35" s="47"/>
      <c r="NP35" s="47"/>
      <c r="NQ35" s="47"/>
      <c r="NR35" s="47"/>
      <c r="NS35" s="47"/>
      <c r="NT35" s="47"/>
      <c r="NU35" s="47"/>
      <c r="NV35" s="47"/>
      <c r="NW35" s="47"/>
      <c r="NX35" s="47"/>
      <c r="NY35" s="47"/>
      <c r="NZ35" s="47"/>
      <c r="OA35" s="47"/>
      <c r="OB35" s="47"/>
      <c r="OC35" s="47"/>
      <c r="OD35" s="47"/>
      <c r="OE35" s="47"/>
      <c r="OF35" s="47"/>
      <c r="OG35" s="47"/>
      <c r="OH35" s="47"/>
      <c r="OI35" s="47"/>
      <c r="OJ35" s="47"/>
      <c r="OK35" s="47"/>
      <c r="OL35" s="47"/>
      <c r="OM35" s="47"/>
      <c r="ON35" s="47"/>
      <c r="OO35" s="47"/>
      <c r="OP35" s="47"/>
      <c r="OQ35" s="47"/>
      <c r="OR35" s="47"/>
      <c r="OS35" s="47"/>
      <c r="OT35" s="47"/>
      <c r="OU35" s="47"/>
      <c r="OV35" s="47"/>
      <c r="OW35" s="47"/>
      <c r="OX35" s="47"/>
      <c r="OY35" s="47"/>
      <c r="OZ35" s="47"/>
      <c r="PA35" s="47"/>
      <c r="PB35" s="47"/>
      <c r="PC35" s="47"/>
      <c r="PD35" s="47"/>
      <c r="PE35" s="47"/>
      <c r="PF35" s="47"/>
      <c r="PG35" s="47"/>
      <c r="PH35" s="47"/>
      <c r="PI35" s="47"/>
      <c r="PJ35" s="47"/>
      <c r="PK35" s="47"/>
      <c r="PL35" s="47"/>
      <c r="PM35" s="47"/>
      <c r="PN35" s="47"/>
      <c r="PO35" s="47"/>
      <c r="PP35" s="47"/>
      <c r="PQ35" s="47"/>
      <c r="PR35" s="47"/>
      <c r="PS35" s="47"/>
      <c r="PT35" s="47"/>
      <c r="PU35" s="47"/>
      <c r="PV35" s="47"/>
      <c r="PW35" s="47"/>
      <c r="PX35" s="47"/>
      <c r="PY35" s="47"/>
      <c r="PZ35" s="47"/>
      <c r="QA35" s="47"/>
      <c r="QB35" s="47"/>
      <c r="QC35" s="47"/>
      <c r="QD35" s="47"/>
      <c r="QE35" s="47"/>
      <c r="QF35" s="47"/>
      <c r="QG35" s="47"/>
      <c r="QH35" s="47"/>
      <c r="QI35" s="47"/>
      <c r="QJ35" s="47"/>
      <c r="QK35" s="47"/>
      <c r="QL35" s="47"/>
      <c r="QM35" s="47"/>
      <c r="QN35" s="47"/>
      <c r="QO35" s="47"/>
      <c r="QP35" s="47"/>
      <c r="QQ35" s="47"/>
      <c r="QR35" s="47"/>
      <c r="QS35" s="47"/>
      <c r="QT35" s="47"/>
      <c r="QU35" s="47"/>
      <c r="QV35" s="47"/>
      <c r="QW35" s="47"/>
      <c r="QX35" s="47"/>
      <c r="QY35" s="47"/>
      <c r="QZ35" s="47"/>
      <c r="RA35" s="47"/>
      <c r="RB35" s="47"/>
      <c r="RC35" s="47"/>
      <c r="RD35" s="47"/>
      <c r="RE35" s="47"/>
      <c r="RF35" s="47"/>
      <c r="RG35" s="47"/>
      <c r="RH35" s="47"/>
      <c r="RI35" s="47"/>
      <c r="RJ35" s="47"/>
      <c r="RK35" s="47"/>
      <c r="RL35" s="47"/>
      <c r="RM35" s="47"/>
      <c r="RN35" s="47"/>
      <c r="RO35" s="47"/>
      <c r="RP35" s="47"/>
      <c r="RQ35" s="47"/>
      <c r="RR35" s="47"/>
      <c r="RS35" s="47"/>
      <c r="RT35" s="47"/>
      <c r="RU35" s="47"/>
      <c r="RV35" s="47"/>
      <c r="RW35" s="47"/>
      <c r="RX35" s="47"/>
      <c r="RY35" s="47"/>
      <c r="RZ35" s="47"/>
      <c r="SA35" s="47"/>
      <c r="SB35" s="47"/>
      <c r="SC35" s="47"/>
      <c r="SD35" s="47"/>
      <c r="SE35" s="47"/>
      <c r="SF35" s="47"/>
      <c r="SG35" s="47"/>
      <c r="SH35" s="47"/>
      <c r="SI35" s="47"/>
      <c r="SJ35" s="47"/>
      <c r="SK35" s="47"/>
      <c r="SL35" s="47"/>
      <c r="SM35" s="47"/>
      <c r="SN35" s="47"/>
      <c r="SO35" s="47"/>
      <c r="SP35" s="47"/>
      <c r="SQ35" s="47"/>
      <c r="SR35" s="47"/>
      <c r="SS35" s="47"/>
      <c r="ST35" s="47"/>
      <c r="SU35" s="47"/>
      <c r="SV35" s="47"/>
      <c r="SW35" s="47"/>
      <c r="SX35" s="47"/>
      <c r="SY35" s="47"/>
      <c r="SZ35" s="47"/>
      <c r="TA35" s="47"/>
      <c r="TB35" s="47"/>
      <c r="TC35" s="47"/>
      <c r="TD35" s="47"/>
      <c r="TE35" s="47"/>
      <c r="TF35" s="47"/>
      <c r="TG35" s="47"/>
      <c r="TH35" s="47"/>
      <c r="TI35" s="47"/>
      <c r="TJ35" s="47"/>
      <c r="TK35" s="47"/>
      <c r="TL35" s="47"/>
      <c r="TM35" s="47"/>
      <c r="TN35" s="47"/>
      <c r="TO35" s="47"/>
      <c r="TP35" s="47"/>
      <c r="TQ35" s="47"/>
      <c r="TR35" s="47"/>
      <c r="TS35" s="47"/>
      <c r="TT35" s="47"/>
      <c r="TU35" s="47"/>
      <c r="TV35" s="47"/>
      <c r="TW35" s="47"/>
      <c r="TX35" s="47"/>
      <c r="TY35" s="47"/>
      <c r="TZ35" s="47"/>
      <c r="UA35" s="47"/>
      <c r="UB35" s="47"/>
      <c r="UC35" s="47"/>
      <c r="UD35" s="47"/>
      <c r="UE35" s="47"/>
      <c r="UF35" s="47"/>
      <c r="UG35" s="47"/>
      <c r="UH35" s="47"/>
      <c r="UI35" s="47"/>
      <c r="UJ35" s="47"/>
      <c r="UK35" s="47"/>
      <c r="UL35" s="47"/>
      <c r="UM35" s="47"/>
      <c r="UN35" s="47"/>
      <c r="UO35" s="47"/>
      <c r="UP35" s="47"/>
      <c r="UQ35" s="47"/>
      <c r="UR35" s="47"/>
      <c r="US35" s="47"/>
      <c r="UT35" s="47"/>
      <c r="UU35" s="47"/>
      <c r="UV35" s="47"/>
      <c r="UW35" s="47"/>
      <c r="UX35" s="47"/>
      <c r="UY35" s="47"/>
      <c r="UZ35" s="47"/>
      <c r="VA35" s="47"/>
      <c r="VB35" s="47"/>
      <c r="VC35" s="47"/>
      <c r="VD35" s="47"/>
      <c r="VE35" s="47"/>
      <c r="VF35" s="47"/>
      <c r="VG35" s="47"/>
      <c r="VH35" s="47"/>
      <c r="VI35" s="47"/>
      <c r="VJ35" s="47"/>
      <c r="VK35" s="47"/>
      <c r="VL35" s="47"/>
      <c r="VM35" s="47"/>
      <c r="VN35" s="47"/>
      <c r="VO35" s="47"/>
      <c r="VP35" s="47"/>
      <c r="VQ35" s="47"/>
      <c r="VR35" s="47"/>
      <c r="VS35" s="47"/>
      <c r="VT35" s="47"/>
      <c r="VU35" s="47"/>
      <c r="VV35" s="47"/>
      <c r="VW35" s="47"/>
      <c r="VX35" s="47"/>
      <c r="VY35" s="47"/>
      <c r="VZ35" s="47"/>
      <c r="WA35" s="47"/>
      <c r="WB35" s="47"/>
      <c r="WC35" s="47"/>
      <c r="WD35" s="47"/>
      <c r="WE35" s="47"/>
      <c r="WF35" s="47"/>
      <c r="WG35" s="47"/>
      <c r="WH35" s="47"/>
      <c r="WI35" s="47"/>
      <c r="WJ35" s="47"/>
      <c r="WK35" s="47"/>
      <c r="WL35" s="47"/>
      <c r="WM35" s="47"/>
      <c r="WN35" s="47"/>
      <c r="WO35" s="47"/>
      <c r="WP35" s="47"/>
      <c r="WQ35" s="47"/>
      <c r="WR35" s="47"/>
      <c r="WS35" s="47"/>
      <c r="WT35" s="47"/>
      <c r="WU35" s="47"/>
      <c r="WV35" s="47"/>
      <c r="WW35" s="47"/>
      <c r="WX35" s="47"/>
      <c r="WY35" s="47"/>
      <c r="WZ35" s="47"/>
      <c r="XA35" s="47"/>
      <c r="XB35" s="47"/>
      <c r="XC35" s="47"/>
      <c r="XD35" s="47"/>
      <c r="XE35" s="47"/>
      <c r="XF35" s="47"/>
      <c r="XG35" s="47"/>
      <c r="XH35" s="47"/>
      <c r="XI35" s="47"/>
      <c r="XJ35" s="47"/>
      <c r="XK35" s="47"/>
      <c r="XL35" s="47"/>
      <c r="XM35" s="47"/>
      <c r="XN35" s="47"/>
      <c r="XO35" s="47"/>
      <c r="XP35" s="47"/>
      <c r="XQ35" s="47"/>
      <c r="XR35" s="47"/>
      <c r="XS35" s="47"/>
      <c r="XT35" s="47"/>
      <c r="XU35" s="47"/>
      <c r="XV35" s="47"/>
      <c r="XW35" s="47"/>
      <c r="XX35" s="47"/>
      <c r="XY35" s="47"/>
      <c r="XZ35" s="47"/>
      <c r="YA35" s="44"/>
      <c r="YB35" s="44"/>
      <c r="YC35" s="44"/>
      <c r="YD35" s="44"/>
      <c r="YE35" s="44"/>
      <c r="YF35" s="47"/>
      <c r="YG35" s="47"/>
      <c r="YH35" s="47"/>
      <c r="YI35" s="47"/>
      <c r="YJ35" s="47"/>
      <c r="YK35" s="47"/>
      <c r="YL35" s="47"/>
      <c r="YM35" s="47"/>
      <c r="YN35" s="47"/>
      <c r="YO35" s="47"/>
      <c r="YP35" s="47"/>
      <c r="YQ35" s="47"/>
      <c r="YR35" s="47"/>
      <c r="YS35" s="47"/>
      <c r="YT35" s="47"/>
      <c r="YU35" s="47"/>
      <c r="YV35" s="47"/>
      <c r="YW35" s="47"/>
      <c r="YX35" s="47"/>
      <c r="YY35" s="47"/>
      <c r="YZ35" s="47"/>
      <c r="ZA35" s="47"/>
      <c r="ZB35" s="47"/>
      <c r="ZC35" s="47"/>
      <c r="ZD35" s="47"/>
      <c r="ZE35" s="47"/>
      <c r="ZF35" s="47"/>
      <c r="ZG35" s="47"/>
      <c r="ZH35" s="47"/>
      <c r="ZI35" s="47"/>
      <c r="ZJ35" s="47"/>
      <c r="ZK35" s="47"/>
      <c r="ZL35" s="47"/>
      <c r="ZM35" s="47"/>
      <c r="ZN35" s="47"/>
      <c r="ZO35" s="47"/>
      <c r="ZP35" s="47"/>
      <c r="ZQ35" s="47"/>
      <c r="ZR35" s="47"/>
      <c r="ZS35" s="47"/>
      <c r="ZT35" s="47"/>
      <c r="ZU35" s="47"/>
      <c r="ZV35" s="47"/>
      <c r="ZW35" s="44"/>
      <c r="ZX35" s="44"/>
      <c r="ZY35" s="44"/>
      <c r="ZZ35" s="44"/>
      <c r="AAA35" s="44"/>
      <c r="AAB35" s="44"/>
      <c r="AAC35" s="44"/>
      <c r="AAD35" s="44"/>
      <c r="AAE35" s="44"/>
      <c r="AAF35" s="44"/>
      <c r="AAG35" s="47"/>
      <c r="AAH35" s="47"/>
      <c r="AAI35" s="47"/>
      <c r="AAJ35" s="47"/>
      <c r="AAK35" s="47"/>
      <c r="AAL35" s="47"/>
      <c r="AAM35" s="47"/>
      <c r="AAN35" s="47"/>
      <c r="AAO35" s="47"/>
      <c r="AAP35" s="47"/>
      <c r="AAQ35" s="47"/>
      <c r="AAR35" s="47"/>
      <c r="AAS35" s="47"/>
      <c r="AAT35" s="47"/>
      <c r="AAU35" s="47"/>
      <c r="AAV35" s="47"/>
      <c r="AAW35" s="47"/>
      <c r="AAX35" s="47"/>
      <c r="AAY35" s="47"/>
      <c r="AAZ35" s="47"/>
      <c r="ABA35" s="47"/>
      <c r="ABB35" s="47"/>
      <c r="ABC35" s="47"/>
      <c r="ABD35" s="47"/>
      <c r="ABE35" s="47"/>
      <c r="ABF35" s="47"/>
      <c r="ABG35" s="47"/>
      <c r="ABH35" s="47"/>
      <c r="ABI35" s="47"/>
      <c r="ABJ35" s="47"/>
      <c r="ABK35" s="47"/>
      <c r="ABL35" s="47"/>
      <c r="ABM35" s="47"/>
      <c r="ABN35" s="47"/>
      <c r="ABO35" s="47"/>
      <c r="ABP35" s="47"/>
      <c r="ABQ35" s="47"/>
      <c r="ABR35" s="47"/>
      <c r="ABS35" s="47"/>
      <c r="ABT35" s="47"/>
      <c r="ABU35" s="47"/>
      <c r="ABV35" s="47"/>
      <c r="ABW35" s="47"/>
      <c r="ABX35" s="47"/>
      <c r="ABY35" s="47"/>
      <c r="ABZ35" s="47"/>
      <c r="ACA35" s="47"/>
      <c r="ACB35" s="47"/>
      <c r="ACC35" s="47"/>
      <c r="ACD35" s="47"/>
      <c r="ACE35" s="47"/>
      <c r="ACF35" s="47"/>
      <c r="ACG35" s="47"/>
      <c r="ACH35" s="48"/>
    </row>
    <row r="36" spans="1:762" x14ac:dyDescent="0.25">
      <c r="A36" s="42" t="s">
        <v>71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43"/>
      <c r="BR36" s="43"/>
      <c r="BS36" s="43"/>
      <c r="BT36" s="43"/>
      <c r="BU36" s="43"/>
      <c r="BV36" s="43"/>
      <c r="BW36" s="43"/>
      <c r="BX36" s="43"/>
      <c r="BY36" s="43"/>
      <c r="BZ36" s="43"/>
      <c r="CA36" s="43"/>
      <c r="CB36" s="43"/>
      <c r="CC36" s="43"/>
      <c r="CD36" s="43"/>
      <c r="CE36" s="43"/>
      <c r="CF36" s="43"/>
      <c r="CG36" s="43"/>
      <c r="CH36" s="43"/>
      <c r="CI36" s="43"/>
      <c r="CJ36" s="43"/>
      <c r="CK36" s="43"/>
      <c r="CL36" s="43"/>
      <c r="CM36" s="43"/>
      <c r="CN36" s="43"/>
      <c r="CO36" s="43"/>
      <c r="CP36" s="43"/>
      <c r="CQ36" s="43"/>
      <c r="CR36" s="43"/>
      <c r="CS36" s="43"/>
      <c r="CT36" s="43"/>
      <c r="CU36" s="43"/>
      <c r="CV36" s="43"/>
      <c r="CW36" s="43"/>
      <c r="CX36" s="43"/>
      <c r="CY36" s="43"/>
      <c r="CZ36" s="43"/>
      <c r="DA36" s="43"/>
      <c r="DB36" s="43"/>
      <c r="DC36" s="43"/>
      <c r="DD36" s="43"/>
      <c r="DE36" s="43"/>
      <c r="DF36" s="43"/>
      <c r="DG36" s="43"/>
      <c r="DH36" s="43"/>
      <c r="DI36" s="43"/>
      <c r="DJ36" s="43"/>
      <c r="DK36" s="43"/>
      <c r="DL36" s="43"/>
      <c r="DM36" s="43"/>
      <c r="DN36" s="43"/>
      <c r="DO36" s="43"/>
      <c r="DP36" s="43"/>
      <c r="DQ36" s="43"/>
      <c r="DR36" s="43"/>
      <c r="DS36" s="43"/>
      <c r="DT36" s="43"/>
      <c r="DU36" s="43"/>
      <c r="DV36" s="43"/>
      <c r="DW36" s="43"/>
      <c r="DX36" s="43"/>
      <c r="DY36" s="43"/>
      <c r="DZ36" s="43"/>
      <c r="EA36" s="43"/>
      <c r="EB36" s="43"/>
      <c r="EC36" s="43"/>
      <c r="ED36" s="43"/>
      <c r="EE36" s="43"/>
      <c r="EF36" s="43">
        <v>1260</v>
      </c>
      <c r="EG36" s="43"/>
      <c r="EH36" s="43"/>
      <c r="EI36" s="43"/>
      <c r="EJ36" s="43"/>
      <c r="EK36" s="43"/>
      <c r="EL36" s="43"/>
      <c r="EM36" s="43"/>
      <c r="EN36" s="43"/>
      <c r="EO36" s="43"/>
      <c r="EP36" s="43"/>
      <c r="EQ36" s="43"/>
      <c r="ER36" s="43"/>
      <c r="ES36" s="43"/>
      <c r="ET36" s="43"/>
      <c r="EU36" s="43"/>
      <c r="EV36" s="43"/>
      <c r="EW36" s="43"/>
      <c r="EX36" s="43"/>
      <c r="EY36" s="43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>
        <v>1200</v>
      </c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  <c r="IU36" s="43"/>
      <c r="IV36" s="43"/>
      <c r="IW36" s="43"/>
      <c r="IX36" s="43"/>
      <c r="IY36" s="43"/>
      <c r="IZ36" s="43"/>
      <c r="JA36" s="43"/>
      <c r="JB36" s="43"/>
      <c r="JC36" s="43"/>
      <c r="JD36" s="43"/>
      <c r="JE36" s="43"/>
      <c r="JF36" s="43"/>
      <c r="JG36" s="43"/>
      <c r="JH36" s="43">
        <v>55</v>
      </c>
      <c r="JI36" s="43"/>
      <c r="JJ36" s="43"/>
      <c r="JK36" s="43"/>
      <c r="JL36" s="43"/>
      <c r="JM36" s="43"/>
      <c r="JN36" s="43"/>
      <c r="JO36" s="43"/>
      <c r="JP36" s="43"/>
      <c r="JQ36" s="43"/>
      <c r="JR36" s="43"/>
      <c r="JS36" s="43"/>
      <c r="JT36" s="43"/>
      <c r="JU36" s="43"/>
      <c r="JV36" s="43"/>
      <c r="JW36" s="43"/>
      <c r="JX36" s="43"/>
      <c r="JY36" s="43"/>
      <c r="JZ36" s="43"/>
      <c r="KA36" s="43"/>
      <c r="KB36" s="43"/>
      <c r="KC36" s="43"/>
      <c r="KD36" s="43"/>
      <c r="KE36" s="43"/>
      <c r="KF36" s="43"/>
      <c r="KG36" s="43"/>
      <c r="KH36" s="43"/>
      <c r="KI36" s="43"/>
      <c r="KJ36" s="43"/>
      <c r="KK36" s="43"/>
      <c r="KL36" s="43"/>
      <c r="KM36" s="43"/>
      <c r="KN36" s="43"/>
      <c r="KO36" s="43"/>
      <c r="KP36" s="43"/>
      <c r="KQ36" s="43"/>
      <c r="KR36" s="43"/>
      <c r="KS36" s="43"/>
      <c r="KT36" s="43"/>
      <c r="KU36" s="43"/>
      <c r="KV36" s="43"/>
      <c r="KW36" s="43"/>
      <c r="KX36" s="43"/>
      <c r="KY36" s="43"/>
      <c r="KZ36" s="43"/>
      <c r="LA36" s="43"/>
      <c r="LB36" s="43"/>
      <c r="LC36" s="43"/>
      <c r="LD36" s="43"/>
      <c r="LE36" s="43"/>
      <c r="LF36" s="43"/>
      <c r="LG36" s="43"/>
      <c r="LH36" s="43"/>
      <c r="LI36" s="43"/>
      <c r="LJ36" s="43"/>
      <c r="LK36" s="43"/>
      <c r="LL36" s="43"/>
      <c r="LM36" s="43"/>
      <c r="LN36" s="43"/>
      <c r="LO36" s="43"/>
      <c r="LP36" s="43"/>
      <c r="LQ36" s="43"/>
      <c r="LR36" s="43"/>
      <c r="LS36" s="43"/>
      <c r="LT36" s="43"/>
      <c r="LU36" s="43"/>
      <c r="LV36" s="43"/>
      <c r="LW36" s="43"/>
      <c r="LX36" s="43"/>
      <c r="LY36" s="43"/>
      <c r="LZ36" s="43"/>
      <c r="MA36" s="43"/>
      <c r="MB36" s="43"/>
      <c r="MC36" s="43"/>
      <c r="MD36" s="43"/>
      <c r="ME36" s="43"/>
      <c r="MF36" s="43"/>
      <c r="MG36" s="43"/>
      <c r="MH36" s="43"/>
      <c r="MI36" s="43"/>
      <c r="MJ36" s="43"/>
      <c r="MK36" s="43"/>
      <c r="ML36" s="43"/>
      <c r="MM36" s="43"/>
      <c r="MN36" s="43"/>
      <c r="MO36" s="43"/>
      <c r="MP36" s="43"/>
      <c r="MQ36" s="43"/>
      <c r="MR36" s="43"/>
      <c r="MS36" s="43"/>
      <c r="MT36" s="43"/>
      <c r="MU36" s="43"/>
      <c r="MV36" s="43"/>
      <c r="MW36" s="43"/>
      <c r="MX36" s="43"/>
      <c r="MY36" s="43"/>
      <c r="MZ36" s="43"/>
      <c r="NA36" s="43"/>
      <c r="NB36" s="43"/>
      <c r="NC36" s="43"/>
      <c r="ND36" s="43"/>
      <c r="NE36" s="43"/>
      <c r="NF36" s="43"/>
      <c r="NG36" s="43"/>
      <c r="NH36" s="43"/>
      <c r="NI36" s="43"/>
      <c r="NJ36" s="44"/>
      <c r="NK36" s="44"/>
      <c r="NL36" s="44"/>
      <c r="NM36" s="44"/>
      <c r="NN36" s="44"/>
      <c r="NO36" s="43">
        <v>617</v>
      </c>
      <c r="NP36" s="43"/>
      <c r="NQ36" s="43"/>
      <c r="NR36" s="43"/>
      <c r="NS36" s="43"/>
      <c r="NT36" s="43"/>
      <c r="NU36" s="43"/>
      <c r="NV36" s="43"/>
      <c r="NW36" s="43"/>
      <c r="NX36" s="43"/>
      <c r="NY36" s="43"/>
      <c r="NZ36" s="43"/>
      <c r="OA36" s="43"/>
      <c r="OB36" s="43"/>
      <c r="OC36" s="43"/>
      <c r="OD36" s="43"/>
      <c r="OE36" s="43"/>
      <c r="OF36" s="43"/>
      <c r="OG36" s="43"/>
      <c r="OH36" s="43"/>
      <c r="OI36" s="43"/>
      <c r="OJ36" s="43"/>
      <c r="OK36" s="43"/>
      <c r="OL36" s="43"/>
      <c r="OM36" s="43"/>
      <c r="ON36" s="43"/>
      <c r="OO36" s="43"/>
      <c r="OP36" s="43"/>
      <c r="OQ36" s="43"/>
      <c r="OR36" s="43"/>
      <c r="OS36" s="43"/>
      <c r="OT36" s="43"/>
      <c r="OU36" s="43"/>
      <c r="OV36" s="43"/>
      <c r="OW36" s="43"/>
      <c r="OX36" s="43"/>
      <c r="OY36" s="43"/>
      <c r="OZ36" s="43"/>
      <c r="PA36" s="43"/>
      <c r="PB36" s="43"/>
      <c r="PC36" s="43"/>
      <c r="PD36" s="43"/>
      <c r="PE36" s="43"/>
      <c r="PF36" s="43"/>
      <c r="PG36" s="43"/>
      <c r="PH36" s="43"/>
      <c r="PI36" s="43"/>
      <c r="PJ36" s="43"/>
      <c r="PK36" s="43"/>
      <c r="PL36" s="43"/>
      <c r="PM36" s="43"/>
      <c r="PN36" s="43"/>
      <c r="PO36" s="43"/>
      <c r="PP36" s="43"/>
      <c r="PQ36" s="43"/>
      <c r="PR36" s="43"/>
      <c r="PS36" s="43"/>
      <c r="PT36" s="43"/>
      <c r="PU36" s="43"/>
      <c r="PV36" s="43"/>
      <c r="PW36" s="43"/>
      <c r="PX36" s="43"/>
      <c r="PY36" s="43"/>
      <c r="PZ36" s="43"/>
      <c r="QA36" s="43"/>
      <c r="QB36" s="43"/>
      <c r="QC36" s="43"/>
      <c r="QD36" s="43"/>
      <c r="QE36" s="43"/>
      <c r="QF36" s="43"/>
      <c r="QG36" s="43"/>
      <c r="QH36" s="43"/>
      <c r="QI36" s="43"/>
      <c r="QJ36" s="43"/>
      <c r="QK36" s="43"/>
      <c r="QL36" s="43"/>
      <c r="QM36" s="43"/>
      <c r="QN36" s="43"/>
      <c r="QO36" s="43"/>
      <c r="QP36" s="43"/>
      <c r="QQ36" s="43"/>
      <c r="QR36" s="43"/>
      <c r="QS36" s="43"/>
      <c r="QT36" s="43"/>
      <c r="QU36" s="43"/>
      <c r="QV36" s="43"/>
      <c r="QW36" s="43"/>
      <c r="QX36" s="43"/>
      <c r="QY36" s="43"/>
      <c r="QZ36" s="43"/>
      <c r="RA36" s="43"/>
      <c r="RB36" s="43"/>
      <c r="RC36" s="43"/>
      <c r="RD36" s="43"/>
      <c r="RE36" s="43"/>
      <c r="RF36" s="43"/>
      <c r="RG36" s="43"/>
      <c r="RH36" s="43"/>
      <c r="RI36" s="43"/>
      <c r="RJ36" s="43"/>
      <c r="RK36" s="43"/>
      <c r="RL36" s="43"/>
      <c r="RM36" s="43"/>
      <c r="RN36" s="43"/>
      <c r="RO36" s="43"/>
      <c r="RP36" s="43"/>
      <c r="RQ36" s="43"/>
      <c r="RR36" s="43"/>
      <c r="RS36" s="43"/>
      <c r="RT36" s="43"/>
      <c r="RU36" s="43"/>
      <c r="RV36" s="43"/>
      <c r="RW36" s="43"/>
      <c r="RX36" s="43"/>
      <c r="RY36" s="43"/>
      <c r="RZ36" s="43"/>
      <c r="SA36" s="43"/>
      <c r="SB36" s="43"/>
      <c r="SC36" s="43"/>
      <c r="SD36" s="43"/>
      <c r="SE36" s="43"/>
      <c r="SF36" s="43"/>
      <c r="SG36" s="43"/>
      <c r="SH36" s="43"/>
      <c r="SI36" s="43"/>
      <c r="SJ36" s="43"/>
      <c r="SK36" s="43"/>
      <c r="SL36" s="43"/>
      <c r="SM36" s="43"/>
      <c r="SN36" s="43"/>
      <c r="SO36" s="43"/>
      <c r="SP36" s="43"/>
      <c r="SQ36" s="43"/>
      <c r="SR36" s="43"/>
      <c r="SS36" s="43"/>
      <c r="ST36" s="43"/>
      <c r="SU36" s="43"/>
      <c r="SV36" s="43"/>
      <c r="SW36" s="43"/>
      <c r="SX36" s="43"/>
      <c r="SY36" s="43"/>
      <c r="SZ36" s="43"/>
      <c r="TA36" s="43"/>
      <c r="TB36" s="43"/>
      <c r="TC36" s="43"/>
      <c r="TD36" s="43"/>
      <c r="TE36" s="43"/>
      <c r="TF36" s="43"/>
      <c r="TG36" s="43"/>
      <c r="TH36" s="43"/>
      <c r="TI36" s="43"/>
      <c r="TJ36" s="43"/>
      <c r="TK36" s="43"/>
      <c r="TL36" s="43"/>
      <c r="TM36" s="43"/>
      <c r="TN36" s="43"/>
      <c r="TO36" s="43"/>
      <c r="TP36" s="43"/>
      <c r="TQ36" s="43"/>
      <c r="TR36" s="43"/>
      <c r="TS36" s="43"/>
      <c r="TT36" s="43"/>
      <c r="TU36" s="43"/>
      <c r="TV36" s="43"/>
      <c r="TW36" s="43"/>
      <c r="TX36" s="43"/>
      <c r="TY36" s="43"/>
      <c r="TZ36" s="43"/>
      <c r="UA36" s="43"/>
      <c r="UB36" s="43"/>
      <c r="UC36" s="43"/>
      <c r="UD36" s="43"/>
      <c r="UE36" s="43"/>
      <c r="UF36" s="43"/>
      <c r="UG36" s="43"/>
      <c r="UH36" s="43"/>
      <c r="UI36" s="43"/>
      <c r="UJ36" s="43"/>
      <c r="UK36" s="43"/>
      <c r="UL36" s="43"/>
      <c r="UM36" s="43"/>
      <c r="UN36" s="43"/>
      <c r="UO36" s="43"/>
      <c r="UP36" s="43"/>
      <c r="UQ36" s="43"/>
      <c r="UR36" s="43"/>
      <c r="US36" s="43"/>
      <c r="UT36" s="43"/>
      <c r="UU36" s="43"/>
      <c r="UV36" s="43"/>
      <c r="UW36" s="43"/>
      <c r="UX36" s="43"/>
      <c r="UY36" s="43"/>
      <c r="UZ36" s="43"/>
      <c r="VA36" s="43"/>
      <c r="VB36" s="43"/>
      <c r="VC36" s="43"/>
      <c r="VD36" s="43"/>
      <c r="VE36" s="43"/>
      <c r="VF36" s="43"/>
      <c r="VG36" s="43"/>
      <c r="VH36" s="43"/>
      <c r="VI36" s="43"/>
      <c r="VJ36" s="43"/>
      <c r="VK36" s="43"/>
      <c r="VL36" s="43"/>
      <c r="VM36" s="43"/>
      <c r="VN36" s="43"/>
      <c r="VO36" s="43"/>
      <c r="VP36" s="43"/>
      <c r="VQ36" s="43"/>
      <c r="VR36" s="43"/>
      <c r="VS36" s="43"/>
      <c r="VT36" s="43"/>
      <c r="VU36" s="43"/>
      <c r="VV36" s="43"/>
      <c r="VW36" s="43"/>
      <c r="VX36" s="43"/>
      <c r="VY36" s="43"/>
      <c r="VZ36" s="43"/>
      <c r="WA36" s="43"/>
      <c r="WB36" s="43"/>
      <c r="WC36" s="43"/>
      <c r="WD36" s="43"/>
      <c r="WE36" s="43"/>
      <c r="WF36" s="43"/>
      <c r="WG36" s="43"/>
      <c r="WH36" s="43"/>
      <c r="WI36" s="43"/>
      <c r="WJ36" s="43"/>
      <c r="WK36" s="43"/>
      <c r="WL36" s="43"/>
      <c r="WM36" s="43"/>
      <c r="WN36" s="43"/>
      <c r="WO36" s="43"/>
      <c r="WP36" s="43"/>
      <c r="WQ36" s="43"/>
      <c r="WR36" s="43"/>
      <c r="WS36" s="43"/>
      <c r="WT36" s="43"/>
      <c r="WU36" s="43"/>
      <c r="WV36" s="43"/>
      <c r="WW36" s="43"/>
      <c r="WX36" s="43"/>
      <c r="WY36" s="43"/>
      <c r="WZ36" s="43"/>
      <c r="XA36" s="43"/>
      <c r="XB36" s="43"/>
      <c r="XC36" s="43"/>
      <c r="XD36" s="43"/>
      <c r="XE36" s="43"/>
      <c r="XF36" s="43"/>
      <c r="XG36" s="43"/>
      <c r="XH36" s="43"/>
      <c r="XI36" s="43"/>
      <c r="XJ36" s="43"/>
      <c r="XK36" s="43"/>
      <c r="XL36" s="43"/>
      <c r="XM36" s="43"/>
      <c r="XN36" s="43"/>
      <c r="XO36" s="43"/>
      <c r="XP36" s="43"/>
      <c r="XQ36" s="43"/>
      <c r="XR36" s="43"/>
      <c r="XS36" s="43"/>
      <c r="XT36" s="43"/>
      <c r="XU36" s="43"/>
      <c r="XV36" s="43"/>
      <c r="XW36" s="43"/>
      <c r="XX36" s="43"/>
      <c r="XY36" s="43"/>
      <c r="XZ36" s="43"/>
      <c r="YA36" s="44"/>
      <c r="YB36" s="44"/>
      <c r="YC36" s="44"/>
      <c r="YD36" s="44"/>
      <c r="YE36" s="44"/>
      <c r="YF36" s="43"/>
      <c r="YG36" s="43"/>
      <c r="YH36" s="43"/>
      <c r="YI36" s="43"/>
      <c r="YJ36" s="43"/>
      <c r="YK36" s="43"/>
      <c r="YL36" s="43"/>
      <c r="YM36" s="43"/>
      <c r="YN36" s="43"/>
      <c r="YO36" s="43"/>
      <c r="YP36" s="43"/>
      <c r="YQ36" s="43"/>
      <c r="YR36" s="43"/>
      <c r="YS36" s="43"/>
      <c r="YT36" s="43"/>
      <c r="YU36" s="43"/>
      <c r="YV36" s="43"/>
      <c r="YW36" s="43"/>
      <c r="YX36" s="43"/>
      <c r="YY36" s="43"/>
      <c r="YZ36" s="43"/>
      <c r="ZA36" s="43"/>
      <c r="ZB36" s="43"/>
      <c r="ZC36" s="43"/>
      <c r="ZD36" s="43"/>
      <c r="ZE36" s="43"/>
      <c r="ZF36" s="43"/>
      <c r="ZG36" s="43"/>
      <c r="ZH36" s="43"/>
      <c r="ZI36" s="43"/>
      <c r="ZJ36" s="43"/>
      <c r="ZK36" s="43"/>
      <c r="ZL36" s="43"/>
      <c r="ZM36" s="43"/>
      <c r="ZN36" s="43"/>
      <c r="ZO36" s="43"/>
      <c r="ZP36" s="43"/>
      <c r="ZQ36" s="43"/>
      <c r="ZR36" s="43"/>
      <c r="ZS36" s="43"/>
      <c r="ZT36" s="43"/>
      <c r="ZU36" s="43"/>
      <c r="ZV36" s="43"/>
      <c r="ZW36" s="44"/>
      <c r="ZX36" s="44"/>
      <c r="ZY36" s="44"/>
      <c r="ZZ36" s="44"/>
      <c r="AAA36" s="44"/>
      <c r="AAB36" s="44"/>
      <c r="AAC36" s="44"/>
      <c r="AAD36" s="44"/>
      <c r="AAE36" s="44"/>
      <c r="AAF36" s="44"/>
      <c r="AAG36" s="43"/>
      <c r="AAH36" s="43"/>
      <c r="AAI36" s="43"/>
      <c r="AAJ36" s="43"/>
      <c r="AAK36" s="43"/>
      <c r="AAL36" s="43"/>
      <c r="AAM36" s="43"/>
      <c r="AAN36" s="43"/>
      <c r="AAO36" s="43"/>
      <c r="AAP36" s="43"/>
      <c r="AAQ36" s="43"/>
      <c r="AAR36" s="43"/>
      <c r="AAS36" s="43"/>
      <c r="AAT36" s="43"/>
      <c r="AAU36" s="43"/>
      <c r="AAV36" s="43"/>
      <c r="AAW36" s="43"/>
      <c r="AAX36" s="43"/>
      <c r="AAY36" s="43"/>
      <c r="AAZ36" s="43"/>
      <c r="ABA36" s="43"/>
      <c r="ABB36" s="43"/>
      <c r="ABC36" s="43"/>
      <c r="ABD36" s="43"/>
      <c r="ABE36" s="43"/>
      <c r="ABF36" s="43"/>
      <c r="ABG36" s="43"/>
      <c r="ABH36" s="43"/>
      <c r="ABI36" s="43"/>
      <c r="ABJ36" s="43"/>
      <c r="ABK36" s="43"/>
      <c r="ABL36" s="43"/>
      <c r="ABM36" s="43"/>
      <c r="ABN36" s="43"/>
      <c r="ABO36" s="43"/>
      <c r="ABP36" s="43"/>
      <c r="ABQ36" s="43"/>
      <c r="ABR36" s="43"/>
      <c r="ABS36" s="43"/>
      <c r="ABT36" s="43"/>
      <c r="ABU36" s="43"/>
      <c r="ABV36" s="43"/>
      <c r="ABW36" s="43"/>
      <c r="ABX36" s="43"/>
      <c r="ABY36" s="43"/>
      <c r="ABZ36" s="43"/>
      <c r="ACA36" s="43"/>
      <c r="ACB36" s="43"/>
      <c r="ACC36" s="43"/>
      <c r="ACD36" s="43"/>
      <c r="ACE36" s="43"/>
      <c r="ACF36" s="43"/>
      <c r="ACG36" s="43"/>
      <c r="ACH36" s="45"/>
    </row>
    <row r="37" spans="1:762" x14ac:dyDescent="0.25">
      <c r="A37" s="46" t="s">
        <v>73</v>
      </c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  <c r="BW37" s="47"/>
      <c r="BX37" s="47"/>
      <c r="BY37" s="47"/>
      <c r="BZ37" s="47"/>
      <c r="CA37" s="47"/>
      <c r="CB37" s="47"/>
      <c r="CC37" s="47"/>
      <c r="CD37" s="47"/>
      <c r="CE37" s="47"/>
      <c r="CF37" s="47"/>
      <c r="CG37" s="47"/>
      <c r="CH37" s="47"/>
      <c r="CI37" s="47"/>
      <c r="CJ37" s="47"/>
      <c r="CK37" s="47"/>
      <c r="CL37" s="47"/>
      <c r="CM37" s="47"/>
      <c r="CN37" s="47"/>
      <c r="CO37" s="47"/>
      <c r="CP37" s="47"/>
      <c r="CQ37" s="47"/>
      <c r="CR37" s="47"/>
      <c r="CS37" s="47"/>
      <c r="CT37" s="47"/>
      <c r="CU37" s="47"/>
      <c r="CV37" s="47"/>
      <c r="CW37" s="47"/>
      <c r="CX37" s="47"/>
      <c r="CY37" s="47"/>
      <c r="CZ37" s="47"/>
      <c r="DA37" s="47"/>
      <c r="DB37" s="47"/>
      <c r="DC37" s="47"/>
      <c r="DD37" s="47"/>
      <c r="DE37" s="47"/>
      <c r="DF37" s="47"/>
      <c r="DG37" s="47"/>
      <c r="DH37" s="47"/>
      <c r="DI37" s="47"/>
      <c r="DJ37" s="47"/>
      <c r="DK37" s="47"/>
      <c r="DL37" s="47"/>
      <c r="DM37" s="47"/>
      <c r="DN37" s="47"/>
      <c r="DO37" s="47"/>
      <c r="DP37" s="47"/>
      <c r="DQ37" s="47"/>
      <c r="DR37" s="47"/>
      <c r="DS37" s="47"/>
      <c r="DT37" s="47"/>
      <c r="DU37" s="47"/>
      <c r="DV37" s="47"/>
      <c r="DW37" s="47"/>
      <c r="DX37" s="47"/>
      <c r="DY37" s="47"/>
      <c r="DZ37" s="47"/>
      <c r="EA37" s="47"/>
      <c r="EB37" s="47"/>
      <c r="EC37" s="47"/>
      <c r="ED37" s="47"/>
      <c r="EE37" s="47"/>
      <c r="EF37" s="47"/>
      <c r="EG37" s="47"/>
      <c r="EH37" s="47"/>
      <c r="EI37" s="47"/>
      <c r="EJ37" s="47"/>
      <c r="EK37" s="47"/>
      <c r="EL37" s="47"/>
      <c r="EM37" s="47"/>
      <c r="EN37" s="47"/>
      <c r="EO37" s="47"/>
      <c r="EP37" s="47"/>
      <c r="EQ37" s="47"/>
      <c r="ER37" s="47"/>
      <c r="ES37" s="47"/>
      <c r="ET37" s="47"/>
      <c r="EU37" s="47"/>
      <c r="EV37" s="47"/>
      <c r="EW37" s="47"/>
      <c r="EX37" s="47"/>
      <c r="EY37" s="47"/>
      <c r="EZ37" s="47"/>
      <c r="FA37" s="47"/>
      <c r="FB37" s="47"/>
      <c r="FC37" s="47"/>
      <c r="FD37" s="47"/>
      <c r="FE37" s="47"/>
      <c r="FF37" s="47"/>
      <c r="FG37" s="47"/>
      <c r="FH37" s="47"/>
      <c r="FI37" s="47"/>
      <c r="FJ37" s="47"/>
      <c r="FK37" s="47"/>
      <c r="FL37" s="47"/>
      <c r="FM37" s="47"/>
      <c r="FN37" s="47"/>
      <c r="FO37" s="47"/>
      <c r="FP37" s="47"/>
      <c r="FQ37" s="47"/>
      <c r="FR37" s="47"/>
      <c r="FS37" s="47"/>
      <c r="FT37" s="47"/>
      <c r="FU37" s="47"/>
      <c r="FV37" s="47"/>
      <c r="FW37" s="47"/>
      <c r="FX37" s="47"/>
      <c r="FY37" s="47"/>
      <c r="FZ37" s="47"/>
      <c r="GA37" s="47"/>
      <c r="GB37" s="47"/>
      <c r="GC37" s="47"/>
      <c r="GD37" s="47"/>
      <c r="GE37" s="47"/>
      <c r="GF37" s="47"/>
      <c r="GG37" s="47"/>
      <c r="GH37" s="47"/>
      <c r="GI37" s="47"/>
      <c r="GJ37" s="47"/>
      <c r="GK37" s="47"/>
      <c r="GL37" s="47"/>
      <c r="GM37" s="47"/>
      <c r="GN37" s="47"/>
      <c r="GO37" s="47"/>
      <c r="GP37" s="47"/>
      <c r="GQ37" s="47"/>
      <c r="GR37" s="47"/>
      <c r="GS37" s="47"/>
      <c r="GT37" s="47"/>
      <c r="GU37" s="47"/>
      <c r="GV37" s="47"/>
      <c r="GW37" s="47"/>
      <c r="GX37" s="47"/>
      <c r="GY37" s="47"/>
      <c r="GZ37" s="47"/>
      <c r="HA37" s="47"/>
      <c r="HB37" s="47"/>
      <c r="HC37" s="47"/>
      <c r="HD37" s="47"/>
      <c r="HE37" s="47"/>
      <c r="HF37" s="47"/>
      <c r="HG37" s="47"/>
      <c r="HH37" s="47"/>
      <c r="HI37" s="47"/>
      <c r="HJ37" s="47"/>
      <c r="HK37" s="47"/>
      <c r="HL37" s="47"/>
      <c r="HM37" s="47"/>
      <c r="HN37" s="47"/>
      <c r="HO37" s="47"/>
      <c r="HP37" s="47"/>
      <c r="HQ37" s="47"/>
      <c r="HR37" s="47"/>
      <c r="HS37" s="47"/>
      <c r="HT37" s="47"/>
      <c r="HU37" s="47"/>
      <c r="HV37" s="47"/>
      <c r="HW37" s="47"/>
      <c r="HX37" s="47"/>
      <c r="HY37" s="47"/>
      <c r="HZ37" s="47"/>
      <c r="IA37" s="47"/>
      <c r="IB37" s="47"/>
      <c r="IC37" s="47"/>
      <c r="ID37" s="47"/>
      <c r="IE37" s="47"/>
      <c r="IF37" s="47"/>
      <c r="IG37" s="47"/>
      <c r="IH37" s="47"/>
      <c r="II37" s="47"/>
      <c r="IJ37" s="47"/>
      <c r="IK37" s="47"/>
      <c r="IL37" s="47"/>
      <c r="IM37" s="47"/>
      <c r="IN37" s="47"/>
      <c r="IO37" s="47"/>
      <c r="IP37" s="47"/>
      <c r="IQ37" s="47"/>
      <c r="IR37" s="47"/>
      <c r="IS37" s="47"/>
      <c r="IT37" s="47"/>
      <c r="IU37" s="47"/>
      <c r="IV37" s="47"/>
      <c r="IW37" s="47"/>
      <c r="IX37" s="47"/>
      <c r="IY37" s="47"/>
      <c r="IZ37" s="47"/>
      <c r="JA37" s="47"/>
      <c r="JB37" s="47"/>
      <c r="JC37" s="47"/>
      <c r="JD37" s="47"/>
      <c r="JE37" s="47"/>
      <c r="JF37" s="47"/>
      <c r="JG37" s="47"/>
      <c r="JH37" s="47"/>
      <c r="JI37" s="47"/>
      <c r="JJ37" s="47"/>
      <c r="JK37" s="47"/>
      <c r="JL37" s="47"/>
      <c r="JM37" s="47"/>
      <c r="JN37" s="47"/>
      <c r="JO37" s="47"/>
      <c r="JP37" s="47"/>
      <c r="JQ37" s="47"/>
      <c r="JR37" s="47"/>
      <c r="JS37" s="47"/>
      <c r="JT37" s="47"/>
      <c r="JU37" s="47"/>
      <c r="JV37" s="47"/>
      <c r="JW37" s="47"/>
      <c r="JX37" s="47"/>
      <c r="JY37" s="47"/>
      <c r="JZ37" s="47"/>
      <c r="KA37" s="47"/>
      <c r="KB37" s="47"/>
      <c r="KC37" s="47"/>
      <c r="KD37" s="47"/>
      <c r="KE37" s="47"/>
      <c r="KF37" s="47"/>
      <c r="KG37" s="47"/>
      <c r="KH37" s="47"/>
      <c r="KI37" s="47"/>
      <c r="KJ37" s="47"/>
      <c r="KK37" s="47"/>
      <c r="KL37" s="47"/>
      <c r="KM37" s="47"/>
      <c r="KN37" s="47"/>
      <c r="KO37" s="47"/>
      <c r="KP37" s="47"/>
      <c r="KQ37" s="47"/>
      <c r="KR37" s="47"/>
      <c r="KS37" s="47"/>
      <c r="KT37" s="47"/>
      <c r="KU37" s="47"/>
      <c r="KV37" s="47"/>
      <c r="KW37" s="47"/>
      <c r="KX37" s="47"/>
      <c r="KY37" s="47"/>
      <c r="KZ37" s="47"/>
      <c r="LA37" s="47"/>
      <c r="LB37" s="47"/>
      <c r="LC37" s="47"/>
      <c r="LD37" s="47"/>
      <c r="LE37" s="47"/>
      <c r="LF37" s="47"/>
      <c r="LG37" s="47"/>
      <c r="LH37" s="47"/>
      <c r="LI37" s="47"/>
      <c r="LJ37" s="47"/>
      <c r="LK37" s="47"/>
      <c r="LL37" s="47"/>
      <c r="LM37" s="47"/>
      <c r="LN37" s="47"/>
      <c r="LO37" s="47"/>
      <c r="LP37" s="47"/>
      <c r="LQ37" s="47"/>
      <c r="LR37" s="47"/>
      <c r="LS37" s="47"/>
      <c r="LT37" s="47">
        <v>233</v>
      </c>
      <c r="LU37" s="47">
        <v>377</v>
      </c>
      <c r="LV37" s="47"/>
      <c r="LW37" s="47"/>
      <c r="LX37" s="47"/>
      <c r="LY37" s="47"/>
      <c r="LZ37" s="47"/>
      <c r="MA37" s="47"/>
      <c r="MB37" s="47"/>
      <c r="MC37" s="47"/>
      <c r="MD37" s="47"/>
      <c r="ME37" s="47"/>
      <c r="MF37" s="47"/>
      <c r="MG37" s="47"/>
      <c r="MH37" s="47"/>
      <c r="MI37" s="47"/>
      <c r="MJ37" s="47"/>
      <c r="MK37" s="47"/>
      <c r="ML37" s="47"/>
      <c r="MM37" s="47"/>
      <c r="MN37" s="47"/>
      <c r="MO37" s="47"/>
      <c r="MP37" s="47"/>
      <c r="MQ37" s="47"/>
      <c r="MR37" s="47"/>
      <c r="MS37" s="47"/>
      <c r="MT37" s="47"/>
      <c r="MU37" s="47"/>
      <c r="MV37" s="47"/>
      <c r="MW37" s="47"/>
      <c r="MX37" s="47"/>
      <c r="MY37" s="47"/>
      <c r="MZ37" s="47"/>
      <c r="NA37" s="47"/>
      <c r="NB37" s="47"/>
      <c r="NC37" s="47"/>
      <c r="ND37" s="47"/>
      <c r="NE37" s="47"/>
      <c r="NF37" s="47"/>
      <c r="NG37" s="47"/>
      <c r="NH37" s="47"/>
      <c r="NI37" s="47"/>
      <c r="NJ37" s="44"/>
      <c r="NK37" s="44"/>
      <c r="NL37" s="44"/>
      <c r="NM37" s="44"/>
      <c r="NN37" s="44"/>
      <c r="NO37" s="47"/>
      <c r="NP37" s="47"/>
      <c r="NQ37" s="47"/>
      <c r="NR37" s="47"/>
      <c r="NS37" s="47"/>
      <c r="NT37" s="47"/>
      <c r="NU37" s="47"/>
      <c r="NV37" s="47"/>
      <c r="NW37" s="47"/>
      <c r="NX37" s="47"/>
      <c r="NY37" s="47"/>
      <c r="NZ37" s="47"/>
      <c r="OA37" s="47"/>
      <c r="OB37" s="47"/>
      <c r="OC37" s="47"/>
      <c r="OD37" s="47"/>
      <c r="OE37" s="47"/>
      <c r="OF37" s="47"/>
      <c r="OG37" s="47"/>
      <c r="OH37" s="47"/>
      <c r="OI37" s="47"/>
      <c r="OJ37" s="47"/>
      <c r="OK37" s="47"/>
      <c r="OL37" s="47"/>
      <c r="OM37" s="47"/>
      <c r="ON37" s="47"/>
      <c r="OO37" s="47"/>
      <c r="OP37" s="47"/>
      <c r="OQ37" s="47"/>
      <c r="OR37" s="47"/>
      <c r="OS37" s="47"/>
      <c r="OT37" s="47"/>
      <c r="OU37" s="47"/>
      <c r="OV37" s="47"/>
      <c r="OW37" s="47"/>
      <c r="OX37" s="47"/>
      <c r="OY37" s="47"/>
      <c r="OZ37" s="47"/>
      <c r="PA37" s="47"/>
      <c r="PB37" s="47"/>
      <c r="PC37" s="47"/>
      <c r="PD37" s="47"/>
      <c r="PE37" s="47"/>
      <c r="PF37" s="47"/>
      <c r="PG37" s="47"/>
      <c r="PH37" s="47"/>
      <c r="PI37" s="47"/>
      <c r="PJ37" s="47"/>
      <c r="PK37" s="47"/>
      <c r="PL37" s="47"/>
      <c r="PM37" s="47"/>
      <c r="PN37" s="47"/>
      <c r="PO37" s="47"/>
      <c r="PP37" s="47"/>
      <c r="PQ37" s="47"/>
      <c r="PR37" s="47"/>
      <c r="PS37" s="47"/>
      <c r="PT37" s="47"/>
      <c r="PU37" s="47"/>
      <c r="PV37" s="47"/>
      <c r="PW37" s="47"/>
      <c r="PX37" s="47"/>
      <c r="PY37" s="47"/>
      <c r="PZ37" s="47"/>
      <c r="QA37" s="47"/>
      <c r="QB37" s="47"/>
      <c r="QC37" s="47"/>
      <c r="QD37" s="47"/>
      <c r="QE37" s="47"/>
      <c r="QF37" s="47"/>
      <c r="QG37" s="47"/>
      <c r="QH37" s="47"/>
      <c r="QI37" s="47"/>
      <c r="QJ37" s="47"/>
      <c r="QK37" s="47"/>
      <c r="QL37" s="47"/>
      <c r="QM37" s="47"/>
      <c r="QN37" s="47"/>
      <c r="QO37" s="47"/>
      <c r="QP37" s="47"/>
      <c r="QQ37" s="47"/>
      <c r="QR37" s="47"/>
      <c r="QS37" s="47"/>
      <c r="QT37" s="47"/>
      <c r="QU37" s="47"/>
      <c r="QV37" s="47"/>
      <c r="QW37" s="47"/>
      <c r="QX37" s="47"/>
      <c r="QY37" s="47"/>
      <c r="QZ37" s="47"/>
      <c r="RA37" s="47"/>
      <c r="RB37" s="47"/>
      <c r="RC37" s="47"/>
      <c r="RD37" s="47"/>
      <c r="RE37" s="47"/>
      <c r="RF37" s="47"/>
      <c r="RG37" s="47"/>
      <c r="RH37" s="47"/>
      <c r="RI37" s="47"/>
      <c r="RJ37" s="47"/>
      <c r="RK37" s="47"/>
      <c r="RL37" s="47"/>
      <c r="RM37" s="47"/>
      <c r="RN37" s="47"/>
      <c r="RO37" s="47"/>
      <c r="RP37" s="47"/>
      <c r="RQ37" s="47"/>
      <c r="RR37" s="47"/>
      <c r="RS37" s="47"/>
      <c r="RT37" s="47"/>
      <c r="RU37" s="47"/>
      <c r="RV37" s="47"/>
      <c r="RW37" s="47"/>
      <c r="RX37" s="47"/>
      <c r="RY37" s="47"/>
      <c r="RZ37" s="47"/>
      <c r="SA37" s="47"/>
      <c r="SB37" s="47"/>
      <c r="SC37" s="47"/>
      <c r="SD37" s="47"/>
      <c r="SE37" s="47"/>
      <c r="SF37" s="47"/>
      <c r="SG37" s="47"/>
      <c r="SH37" s="47"/>
      <c r="SI37" s="47"/>
      <c r="SJ37" s="47"/>
      <c r="SK37" s="47"/>
      <c r="SL37" s="47"/>
      <c r="SM37" s="47"/>
      <c r="SN37" s="47"/>
      <c r="SO37" s="47"/>
      <c r="SP37" s="47"/>
      <c r="SQ37" s="47"/>
      <c r="SR37" s="47"/>
      <c r="SS37" s="47"/>
      <c r="ST37" s="47"/>
      <c r="SU37" s="47"/>
      <c r="SV37" s="47"/>
      <c r="SW37" s="47"/>
      <c r="SX37" s="47"/>
      <c r="SY37" s="47"/>
      <c r="SZ37" s="47"/>
      <c r="TA37" s="47"/>
      <c r="TB37" s="47"/>
      <c r="TC37" s="47"/>
      <c r="TD37" s="47"/>
      <c r="TE37" s="47"/>
      <c r="TF37" s="47"/>
      <c r="TG37" s="47"/>
      <c r="TH37" s="47"/>
      <c r="TI37" s="47"/>
      <c r="TJ37" s="47"/>
      <c r="TK37" s="47"/>
      <c r="TL37" s="47"/>
      <c r="TM37" s="47"/>
      <c r="TN37" s="47"/>
      <c r="TO37" s="47"/>
      <c r="TP37" s="47"/>
      <c r="TQ37" s="47"/>
      <c r="TR37" s="47"/>
      <c r="TS37" s="47"/>
      <c r="TT37" s="47"/>
      <c r="TU37" s="47"/>
      <c r="TV37" s="47"/>
      <c r="TW37" s="47"/>
      <c r="TX37" s="47">
        <v>132</v>
      </c>
      <c r="TY37" s="47" t="s">
        <v>1867</v>
      </c>
      <c r="TZ37" s="47"/>
      <c r="UA37" s="47"/>
      <c r="UB37" s="47"/>
      <c r="UC37" s="47"/>
      <c r="UD37" s="47"/>
      <c r="UE37" s="47"/>
      <c r="UF37" s="47"/>
      <c r="UG37" s="47"/>
      <c r="UH37" s="47"/>
      <c r="UI37" s="47"/>
      <c r="UJ37" s="47"/>
      <c r="UK37" s="47"/>
      <c r="UL37" s="47"/>
      <c r="UM37" s="47"/>
      <c r="UN37" s="47"/>
      <c r="UO37" s="47"/>
      <c r="UP37" s="47"/>
      <c r="UQ37" s="47"/>
      <c r="UR37" s="47"/>
      <c r="US37" s="47"/>
      <c r="UT37" s="47"/>
      <c r="UU37" s="47"/>
      <c r="UV37" s="47"/>
      <c r="UW37" s="47"/>
      <c r="UX37" s="47"/>
      <c r="UY37" s="47"/>
      <c r="UZ37" s="47"/>
      <c r="VA37" s="47"/>
      <c r="VB37" s="47"/>
      <c r="VC37" s="47"/>
      <c r="VD37" s="47"/>
      <c r="VE37" s="47"/>
      <c r="VF37" s="47"/>
      <c r="VG37" s="47"/>
      <c r="VH37" s="47"/>
      <c r="VI37" s="47"/>
      <c r="VJ37" s="47"/>
      <c r="VK37" s="47"/>
      <c r="VL37" s="47"/>
      <c r="VM37" s="47"/>
      <c r="VN37" s="47"/>
      <c r="VO37" s="47"/>
      <c r="VP37" s="47"/>
      <c r="VQ37" s="47"/>
      <c r="VR37" s="47"/>
      <c r="VS37" s="47"/>
      <c r="VT37" s="47"/>
      <c r="VU37" s="47"/>
      <c r="VV37" s="47"/>
      <c r="VW37" s="47"/>
      <c r="VX37" s="47"/>
      <c r="VY37" s="47"/>
      <c r="VZ37" s="47"/>
      <c r="WA37" s="47"/>
      <c r="WB37" s="47"/>
      <c r="WC37" s="47"/>
      <c r="WD37" s="47"/>
      <c r="WE37" s="47"/>
      <c r="WF37" s="47"/>
      <c r="WG37" s="47"/>
      <c r="WH37" s="47"/>
      <c r="WI37" s="47"/>
      <c r="WJ37" s="47"/>
      <c r="WK37" s="47"/>
      <c r="WL37" s="47"/>
      <c r="WM37" s="47"/>
      <c r="WN37" s="47"/>
      <c r="WO37" s="47"/>
      <c r="WP37" s="47"/>
      <c r="WQ37" s="47"/>
      <c r="WR37" s="47"/>
      <c r="WS37" s="47"/>
      <c r="WT37" s="47"/>
      <c r="WU37" s="47"/>
      <c r="WV37" s="47"/>
      <c r="WW37" s="47"/>
      <c r="WX37" s="47"/>
      <c r="WY37" s="47"/>
      <c r="WZ37" s="47"/>
      <c r="XA37" s="47"/>
      <c r="XB37" s="47"/>
      <c r="XC37" s="47"/>
      <c r="XD37" s="47"/>
      <c r="XE37" s="47"/>
      <c r="XF37" s="47"/>
      <c r="XG37" s="47"/>
      <c r="XH37" s="47">
        <v>13</v>
      </c>
      <c r="XI37" s="47">
        <v>28</v>
      </c>
      <c r="XJ37" s="47"/>
      <c r="XK37" s="47"/>
      <c r="XL37" s="47"/>
      <c r="XM37" s="47"/>
      <c r="XN37" s="47"/>
      <c r="XO37" s="47"/>
      <c r="XP37" s="47"/>
      <c r="XQ37" s="47"/>
      <c r="XR37" s="47"/>
      <c r="XS37" s="47"/>
      <c r="XT37" s="47"/>
      <c r="XU37" s="47"/>
      <c r="XV37" s="47"/>
      <c r="XW37" s="47"/>
      <c r="XX37" s="47"/>
      <c r="XY37" s="47"/>
      <c r="XZ37" s="47"/>
      <c r="YA37" s="44"/>
      <c r="YB37" s="44"/>
      <c r="YC37" s="44"/>
      <c r="YD37" s="44"/>
      <c r="YE37" s="44"/>
      <c r="YF37" s="47"/>
      <c r="YG37" s="47"/>
      <c r="YH37" s="47"/>
      <c r="YI37" s="47"/>
      <c r="YJ37" s="47"/>
      <c r="YK37" s="47"/>
      <c r="YL37" s="47"/>
      <c r="YM37" s="47"/>
      <c r="YN37" s="47"/>
      <c r="YO37" s="47"/>
      <c r="YP37" s="47"/>
      <c r="YQ37" s="47"/>
      <c r="YR37" s="47"/>
      <c r="YS37" s="47"/>
      <c r="YT37" s="47"/>
      <c r="YU37" s="47"/>
      <c r="YV37" s="47"/>
      <c r="YW37" s="47"/>
      <c r="YX37" s="47"/>
      <c r="YY37" s="47"/>
      <c r="YZ37" s="47"/>
      <c r="ZA37" s="47"/>
      <c r="ZB37" s="47"/>
      <c r="ZC37" s="47"/>
      <c r="ZD37" s="47"/>
      <c r="ZE37" s="47"/>
      <c r="ZF37" s="47"/>
      <c r="ZG37" s="47"/>
      <c r="ZH37" s="47"/>
      <c r="ZI37" s="47"/>
      <c r="ZJ37" s="47"/>
      <c r="ZK37" s="47"/>
      <c r="ZL37" s="47"/>
      <c r="ZM37" s="47"/>
      <c r="ZN37" s="47"/>
      <c r="ZO37" s="47"/>
      <c r="ZP37" s="47"/>
      <c r="ZQ37" s="47"/>
      <c r="ZR37" s="47"/>
      <c r="ZS37" s="47"/>
      <c r="ZT37" s="47"/>
      <c r="ZU37" s="47"/>
      <c r="ZV37" s="47"/>
      <c r="ZW37" s="44"/>
      <c r="ZX37" s="44"/>
      <c r="ZY37" s="44"/>
      <c r="ZZ37" s="44"/>
      <c r="AAA37" s="44"/>
      <c r="AAB37" s="44"/>
      <c r="AAC37" s="44"/>
      <c r="AAD37" s="44"/>
      <c r="AAE37" s="44"/>
      <c r="AAF37" s="44"/>
      <c r="AAG37" s="47"/>
      <c r="AAH37" s="47"/>
      <c r="AAI37" s="47"/>
      <c r="AAJ37" s="47"/>
      <c r="AAK37" s="47"/>
      <c r="AAL37" s="47"/>
      <c r="AAM37" s="47"/>
      <c r="AAN37" s="47"/>
      <c r="AAO37" s="47"/>
      <c r="AAP37" s="47"/>
      <c r="AAQ37" s="47"/>
      <c r="AAR37" s="47"/>
      <c r="AAS37" s="47"/>
      <c r="AAT37" s="47"/>
      <c r="AAU37" s="47"/>
      <c r="AAV37" s="47"/>
      <c r="AAW37" s="47"/>
      <c r="AAX37" s="47"/>
      <c r="AAY37" s="47"/>
      <c r="AAZ37" s="47"/>
      <c r="ABA37" s="47"/>
      <c r="ABB37" s="47"/>
      <c r="ABC37" s="47"/>
      <c r="ABD37" s="47"/>
      <c r="ABE37" s="47"/>
      <c r="ABF37" s="47"/>
      <c r="ABG37" s="47"/>
      <c r="ABH37" s="47"/>
      <c r="ABI37" s="47"/>
      <c r="ABJ37" s="47"/>
      <c r="ABK37" s="47"/>
      <c r="ABL37" s="47"/>
      <c r="ABM37" s="47"/>
      <c r="ABN37" s="47"/>
      <c r="ABO37" s="47"/>
      <c r="ABP37" s="47"/>
      <c r="ABQ37" s="47"/>
      <c r="ABR37" s="47"/>
      <c r="ABS37" s="47"/>
      <c r="ABT37" s="47"/>
      <c r="ABU37" s="47"/>
      <c r="ABV37" s="47"/>
      <c r="ABW37" s="47"/>
      <c r="ABX37" s="47"/>
      <c r="ABY37" s="47"/>
      <c r="ABZ37" s="47"/>
      <c r="ACA37" s="47"/>
      <c r="ACB37" s="47"/>
      <c r="ACC37" s="47"/>
      <c r="ACD37" s="47"/>
      <c r="ACE37" s="47"/>
      <c r="ACF37" s="47"/>
      <c r="ACG37" s="47"/>
      <c r="ACH37" s="48"/>
    </row>
    <row r="38" spans="1:762" x14ac:dyDescent="0.25">
      <c r="A38" s="42" t="s">
        <v>74</v>
      </c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 t="s">
        <v>554</v>
      </c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 t="s">
        <v>635</v>
      </c>
      <c r="BD38" s="43"/>
      <c r="BE38" s="43"/>
      <c r="BF38" s="43"/>
      <c r="BG38" s="43">
        <v>32</v>
      </c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43"/>
      <c r="BZ38" s="43"/>
      <c r="CA38" s="43"/>
      <c r="CB38" s="43"/>
      <c r="CC38" s="43"/>
      <c r="CD38" s="43"/>
      <c r="CE38" s="43"/>
      <c r="CF38" s="43"/>
      <c r="CG38" s="43"/>
      <c r="CH38" s="43"/>
      <c r="CI38" s="43"/>
      <c r="CJ38" s="43"/>
      <c r="CK38" s="43"/>
      <c r="CL38" s="43"/>
      <c r="CM38" s="43"/>
      <c r="CN38" s="43"/>
      <c r="CO38" s="43"/>
      <c r="CP38" s="43"/>
      <c r="CQ38" s="43"/>
      <c r="CR38" s="43"/>
      <c r="CS38" s="43"/>
      <c r="CT38" s="43"/>
      <c r="CU38" s="43"/>
      <c r="CV38" s="43"/>
      <c r="CW38" s="43"/>
      <c r="CX38" s="43"/>
      <c r="CY38" s="43"/>
      <c r="CZ38" s="43"/>
      <c r="DA38" s="43"/>
      <c r="DB38" s="43"/>
      <c r="DC38" s="43"/>
      <c r="DD38" s="43">
        <v>3500</v>
      </c>
      <c r="DE38" s="43"/>
      <c r="DF38" s="43">
        <v>25000</v>
      </c>
      <c r="DG38" s="43"/>
      <c r="DH38" s="43"/>
      <c r="DI38" s="43"/>
      <c r="DJ38" s="43"/>
      <c r="DK38" s="43"/>
      <c r="DL38" s="43"/>
      <c r="DM38" s="43"/>
      <c r="DN38" s="43"/>
      <c r="DO38" s="43"/>
      <c r="DP38" s="43"/>
      <c r="DQ38" s="43"/>
      <c r="DR38" s="43"/>
      <c r="DS38" s="43"/>
      <c r="DT38" s="43"/>
      <c r="DU38" s="43"/>
      <c r="DV38" s="43"/>
      <c r="DW38" s="43"/>
      <c r="DX38" s="43"/>
      <c r="DY38" s="43"/>
      <c r="DZ38" s="43"/>
      <c r="EA38" s="43"/>
      <c r="EB38" s="43"/>
      <c r="EC38" s="43"/>
      <c r="ED38" s="43"/>
      <c r="EE38" s="43"/>
      <c r="EF38" s="43"/>
      <c r="EG38" s="43"/>
      <c r="EH38" s="43"/>
      <c r="EI38" s="43"/>
      <c r="EJ38" s="43" t="s">
        <v>2023</v>
      </c>
      <c r="EK38" s="43"/>
      <c r="EL38" s="43"/>
      <c r="EM38" s="43" t="s">
        <v>2015</v>
      </c>
      <c r="EN38" s="43"/>
      <c r="EO38" s="43"/>
      <c r="EP38" s="43"/>
      <c r="EQ38" s="43"/>
      <c r="ER38" s="43"/>
      <c r="ES38" s="43"/>
      <c r="ET38" s="43"/>
      <c r="EU38" s="43"/>
      <c r="EV38" s="43"/>
      <c r="EW38" s="43" t="s">
        <v>1869</v>
      </c>
      <c r="EX38" s="43"/>
      <c r="EY38" s="43"/>
      <c r="EZ38" s="43"/>
      <c r="FA38" s="43"/>
      <c r="FB38" s="43"/>
      <c r="FC38" s="43"/>
      <c r="FD38" s="43" t="s">
        <v>1078</v>
      </c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 t="s">
        <v>1968</v>
      </c>
      <c r="GV38" s="43"/>
      <c r="GW38" s="43"/>
      <c r="GX38" s="43">
        <v>129</v>
      </c>
      <c r="GY38" s="43"/>
      <c r="GZ38" s="43"/>
      <c r="HA38" s="43" t="s">
        <v>1969</v>
      </c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 t="s">
        <v>1970</v>
      </c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  <c r="IU38" s="43"/>
      <c r="IV38" s="43"/>
      <c r="IW38" s="43"/>
      <c r="IX38" s="43"/>
      <c r="IY38" s="43"/>
      <c r="IZ38" s="43"/>
      <c r="JA38" s="43"/>
      <c r="JB38" s="43"/>
      <c r="JC38" s="43"/>
      <c r="JD38" s="43"/>
      <c r="JE38" s="43"/>
      <c r="JF38" s="43"/>
      <c r="JG38" s="43"/>
      <c r="JH38" s="43">
        <v>69</v>
      </c>
      <c r="JI38" s="43"/>
      <c r="JJ38" s="43" t="s">
        <v>1979</v>
      </c>
      <c r="JK38" s="43"/>
      <c r="JL38" s="43">
        <v>75</v>
      </c>
      <c r="JM38" s="43"/>
      <c r="JN38" s="43"/>
      <c r="JO38" s="43"/>
      <c r="JP38" s="43"/>
      <c r="JQ38" s="43"/>
      <c r="JR38" s="43"/>
      <c r="JS38" s="43"/>
      <c r="JT38" s="43"/>
      <c r="JU38" s="43"/>
      <c r="JV38" s="43" t="s">
        <v>1980</v>
      </c>
      <c r="JW38" s="43"/>
      <c r="JX38" s="43"/>
      <c r="JY38" s="43"/>
      <c r="JZ38" s="43"/>
      <c r="KA38" s="43"/>
      <c r="KB38" s="43"/>
      <c r="KC38" s="43" t="s">
        <v>1981</v>
      </c>
      <c r="KD38" s="43"/>
      <c r="KE38" s="43"/>
      <c r="KF38" s="43"/>
      <c r="KG38" s="43"/>
      <c r="KH38" s="43"/>
      <c r="KI38" s="43"/>
      <c r="KJ38" s="43"/>
      <c r="KK38" s="43"/>
      <c r="KL38" s="43"/>
      <c r="KM38" s="43"/>
      <c r="KN38" s="43"/>
      <c r="KO38" s="43"/>
      <c r="KP38" s="43"/>
      <c r="KQ38" s="43"/>
      <c r="KR38" s="43"/>
      <c r="KS38" s="43"/>
      <c r="KT38" s="43"/>
      <c r="KU38" s="43"/>
      <c r="KV38" s="43"/>
      <c r="KW38" s="43"/>
      <c r="KX38" s="43"/>
      <c r="KY38" s="43"/>
      <c r="KZ38" s="43"/>
      <c r="LA38" s="43"/>
      <c r="LB38" s="43"/>
      <c r="LC38" s="43"/>
      <c r="LD38" s="43"/>
      <c r="LE38" s="43"/>
      <c r="LF38" s="43"/>
      <c r="LG38" s="43"/>
      <c r="LH38" s="43"/>
      <c r="LI38" s="43"/>
      <c r="LJ38" s="43"/>
      <c r="LK38" s="43"/>
      <c r="LL38" s="43"/>
      <c r="LM38" s="43"/>
      <c r="LN38" s="43"/>
      <c r="LO38" s="43"/>
      <c r="LP38" s="43"/>
      <c r="LQ38" s="43"/>
      <c r="LR38" s="43"/>
      <c r="LS38" s="43"/>
      <c r="LT38" s="43" t="s">
        <v>1991</v>
      </c>
      <c r="LU38" s="43"/>
      <c r="LV38" s="43"/>
      <c r="LW38" s="43" t="s">
        <v>1992</v>
      </c>
      <c r="LX38" s="43"/>
      <c r="LY38" s="43"/>
      <c r="LZ38" s="43" t="s">
        <v>1993</v>
      </c>
      <c r="MA38" s="43"/>
      <c r="MB38" s="43"/>
      <c r="MC38" s="43"/>
      <c r="MD38" s="43"/>
      <c r="ME38" s="43"/>
      <c r="MF38" s="43"/>
      <c r="MG38" s="43"/>
      <c r="MH38" s="43"/>
      <c r="MI38" s="43"/>
      <c r="MJ38" s="43" t="s">
        <v>1994</v>
      </c>
      <c r="MK38" s="43"/>
      <c r="ML38" s="43"/>
      <c r="MM38" s="43"/>
      <c r="MN38" s="43"/>
      <c r="MO38" s="43"/>
      <c r="MP38" s="43"/>
      <c r="MQ38" s="43"/>
      <c r="MR38" s="43"/>
      <c r="MS38" s="43"/>
      <c r="MT38" s="43"/>
      <c r="MU38" s="43"/>
      <c r="MV38" s="43"/>
      <c r="MW38" s="43"/>
      <c r="MX38" s="43"/>
      <c r="MY38" s="43"/>
      <c r="MZ38" s="43"/>
      <c r="NA38" s="43"/>
      <c r="NB38" s="43"/>
      <c r="NC38" s="43"/>
      <c r="ND38" s="43"/>
      <c r="NE38" s="43"/>
      <c r="NF38" s="43"/>
      <c r="NG38" s="43"/>
      <c r="NH38" s="43"/>
      <c r="NI38" s="43"/>
      <c r="NJ38" s="44"/>
      <c r="NK38" s="44"/>
      <c r="NL38" s="44"/>
      <c r="NM38" s="44"/>
      <c r="NN38" s="44"/>
      <c r="NO38" s="43"/>
      <c r="NP38" s="43"/>
      <c r="NQ38" s="43"/>
      <c r="NR38" s="43">
        <v>10.6</v>
      </c>
      <c r="NS38" s="43"/>
      <c r="NT38" s="43"/>
      <c r="NU38" s="43" t="s">
        <v>640</v>
      </c>
      <c r="NV38" s="43"/>
      <c r="NW38" s="43"/>
      <c r="NX38" s="43"/>
      <c r="NY38" s="43"/>
      <c r="NZ38" s="43"/>
      <c r="OA38" s="43"/>
      <c r="OB38" s="43"/>
      <c r="OC38" s="43"/>
      <c r="OD38" s="43"/>
      <c r="OE38" s="43"/>
      <c r="OF38" s="43"/>
      <c r="OG38" s="43"/>
      <c r="OH38" s="43"/>
      <c r="OI38" s="43"/>
      <c r="OJ38" s="43"/>
      <c r="OK38" s="43"/>
      <c r="OL38" s="43"/>
      <c r="OM38" s="43" t="s">
        <v>355</v>
      </c>
      <c r="ON38" s="43"/>
      <c r="OO38" s="43"/>
      <c r="OP38" s="43"/>
      <c r="OQ38" s="43"/>
      <c r="OR38" s="43"/>
      <c r="OS38" s="43"/>
      <c r="OT38" s="43"/>
      <c r="OU38" s="43"/>
      <c r="OV38" s="43"/>
      <c r="OW38" s="43"/>
      <c r="OX38" s="43"/>
      <c r="OY38" s="43"/>
      <c r="OZ38" s="43"/>
      <c r="PA38" s="43"/>
      <c r="PB38" s="43"/>
      <c r="PC38" s="43"/>
      <c r="PD38" s="43"/>
      <c r="PE38" s="43"/>
      <c r="PF38" s="43"/>
      <c r="PG38" s="43"/>
      <c r="PH38" s="43"/>
      <c r="PI38" s="43"/>
      <c r="PJ38" s="43"/>
      <c r="PK38" s="43"/>
      <c r="PL38" s="43"/>
      <c r="PM38" s="43"/>
      <c r="PN38" s="43"/>
      <c r="PO38" s="43"/>
      <c r="PP38" s="43"/>
      <c r="PQ38" s="43"/>
      <c r="PR38" s="43"/>
      <c r="PS38" s="43"/>
      <c r="PT38" s="43"/>
      <c r="PU38" s="43"/>
      <c r="PV38" s="43"/>
      <c r="PW38" s="43"/>
      <c r="PX38" s="43" t="s">
        <v>728</v>
      </c>
      <c r="PY38" s="43"/>
      <c r="PZ38" s="43">
        <v>258</v>
      </c>
      <c r="QA38" s="43"/>
      <c r="QB38" s="43"/>
      <c r="QC38" s="43"/>
      <c r="QD38" s="43" t="s">
        <v>653</v>
      </c>
      <c r="QE38" s="43"/>
      <c r="QF38" s="43"/>
      <c r="QG38" s="43"/>
      <c r="QH38" s="43"/>
      <c r="QI38" s="43"/>
      <c r="QJ38" s="43"/>
      <c r="QK38" s="43" t="s">
        <v>1966</v>
      </c>
      <c r="QL38" s="43"/>
      <c r="QM38" s="43"/>
      <c r="QN38" s="43" t="s">
        <v>1998</v>
      </c>
      <c r="QO38" s="43"/>
      <c r="QP38" s="43"/>
      <c r="QQ38" s="43">
        <v>54</v>
      </c>
      <c r="QR38" s="43"/>
      <c r="QS38" s="43"/>
      <c r="QT38" s="43"/>
      <c r="QU38" s="43"/>
      <c r="QV38" s="43"/>
      <c r="QW38" s="43"/>
      <c r="QX38" s="43"/>
      <c r="QY38" s="43"/>
      <c r="QZ38" s="43"/>
      <c r="RA38" s="43" t="s">
        <v>1999</v>
      </c>
      <c r="RB38" s="43"/>
      <c r="RC38" s="43"/>
      <c r="RD38" s="43"/>
      <c r="RE38" s="43"/>
      <c r="RF38" s="43"/>
      <c r="RG38" s="43"/>
      <c r="RH38" s="43"/>
      <c r="RI38" s="43"/>
      <c r="RJ38" s="43"/>
      <c r="RK38" s="43"/>
      <c r="RL38" s="43"/>
      <c r="RM38" s="43"/>
      <c r="RN38" s="43"/>
      <c r="RO38" s="43"/>
      <c r="RP38" s="43"/>
      <c r="RQ38" s="43"/>
      <c r="RR38" s="43"/>
      <c r="RS38" s="43"/>
      <c r="RT38" s="43"/>
      <c r="RU38" s="43"/>
      <c r="RV38" s="43"/>
      <c r="RW38" s="43"/>
      <c r="RX38" s="43"/>
      <c r="RY38" s="43"/>
      <c r="RZ38" s="43"/>
      <c r="SA38" s="43"/>
      <c r="SB38" s="43"/>
      <c r="SC38" s="43"/>
      <c r="SD38" s="43"/>
      <c r="SE38" s="43"/>
      <c r="SF38" s="43"/>
      <c r="SG38" s="43"/>
      <c r="SH38" s="43"/>
      <c r="SI38" s="43"/>
      <c r="SJ38" s="43"/>
      <c r="SK38" s="43"/>
      <c r="SL38" s="43"/>
      <c r="SM38" s="43"/>
      <c r="SN38" s="43"/>
      <c r="SO38" s="43"/>
      <c r="SP38" s="43"/>
      <c r="SQ38" s="43"/>
      <c r="SR38" s="43"/>
      <c r="SS38" s="43"/>
      <c r="ST38" s="43"/>
      <c r="SU38" s="43"/>
      <c r="SV38" s="43">
        <v>4020</v>
      </c>
      <c r="SW38" s="43"/>
      <c r="SX38" s="43"/>
      <c r="SY38" s="43">
        <v>4200</v>
      </c>
      <c r="SZ38" s="43"/>
      <c r="TA38" s="43"/>
      <c r="TB38" s="43"/>
      <c r="TC38" s="43"/>
      <c r="TD38" s="43"/>
      <c r="TE38" s="43"/>
      <c r="TF38" s="43"/>
      <c r="TG38" s="43">
        <v>4380</v>
      </c>
      <c r="TH38" s="43"/>
      <c r="TI38" s="43"/>
      <c r="TJ38" s="43"/>
      <c r="TK38" s="43"/>
      <c r="TL38" s="43"/>
      <c r="TM38" s="43"/>
      <c r="TN38" s="43"/>
      <c r="TO38" s="43"/>
      <c r="TP38" s="43"/>
      <c r="TQ38" s="43"/>
      <c r="TR38" s="43"/>
      <c r="TS38" s="43"/>
      <c r="TT38" s="43"/>
      <c r="TU38" s="43"/>
      <c r="TV38" s="43"/>
      <c r="TW38" s="43"/>
      <c r="TX38" s="43">
        <v>53</v>
      </c>
      <c r="TY38" s="43"/>
      <c r="TZ38" s="43"/>
      <c r="UA38" s="43"/>
      <c r="UB38" s="43"/>
      <c r="UC38" s="43">
        <v>61</v>
      </c>
      <c r="UD38" s="43"/>
      <c r="UE38" s="43"/>
      <c r="UF38" s="43"/>
      <c r="UG38" s="43"/>
      <c r="UH38" s="43"/>
      <c r="UI38" s="43"/>
      <c r="UJ38" s="43"/>
      <c r="UK38" s="43"/>
      <c r="UL38" s="43"/>
      <c r="UM38" s="43"/>
      <c r="UN38" s="43"/>
      <c r="UO38" s="43"/>
      <c r="UP38" s="43"/>
      <c r="UQ38" s="43"/>
      <c r="UR38" s="43"/>
      <c r="US38" s="43"/>
      <c r="UT38" s="43"/>
      <c r="UU38" s="43"/>
      <c r="UV38" s="43"/>
      <c r="UW38" s="43"/>
      <c r="UX38" s="43"/>
      <c r="UY38" s="43"/>
      <c r="UZ38" s="43" t="s">
        <v>636</v>
      </c>
      <c r="VA38" s="43"/>
      <c r="VB38" s="43"/>
      <c r="VC38" s="43"/>
      <c r="VD38" s="43" t="s">
        <v>567</v>
      </c>
      <c r="VE38" s="43"/>
      <c r="VF38" s="43"/>
      <c r="VG38" s="43"/>
      <c r="VH38" s="43"/>
      <c r="VI38" s="43"/>
      <c r="VJ38" s="43"/>
      <c r="VK38" s="43"/>
      <c r="VL38" s="43"/>
      <c r="VM38" s="43"/>
      <c r="VN38" s="43"/>
      <c r="VO38" s="43"/>
      <c r="VP38" s="43"/>
      <c r="VQ38" s="43"/>
      <c r="VR38" s="43"/>
      <c r="VS38" s="43"/>
      <c r="VT38" s="43"/>
      <c r="VU38" s="43"/>
      <c r="VV38" s="43"/>
      <c r="VW38" s="43"/>
      <c r="VX38" s="43"/>
      <c r="VY38" s="43"/>
      <c r="VZ38" s="43"/>
      <c r="WA38" s="43"/>
      <c r="WB38" s="43"/>
      <c r="WC38" s="43"/>
      <c r="WD38" s="43"/>
      <c r="WE38" s="43"/>
      <c r="WF38" s="43"/>
      <c r="WG38" s="43"/>
      <c r="WH38" s="43"/>
      <c r="WI38" s="43"/>
      <c r="WJ38" s="43"/>
      <c r="WK38" s="43">
        <v>15</v>
      </c>
      <c r="WL38" s="43"/>
      <c r="WM38" s="43"/>
      <c r="WN38" s="43"/>
      <c r="WO38" s="43" t="s">
        <v>1828</v>
      </c>
      <c r="WP38" s="43"/>
      <c r="WQ38" s="43"/>
      <c r="WR38" s="43"/>
      <c r="WS38" s="43"/>
      <c r="WT38" s="43" t="s">
        <v>2014</v>
      </c>
      <c r="WU38" s="43"/>
      <c r="WV38" s="43"/>
      <c r="WW38" s="43"/>
      <c r="WX38" s="43"/>
      <c r="WY38" s="43"/>
      <c r="WZ38" s="43"/>
      <c r="XA38" s="43"/>
      <c r="XB38" s="43"/>
      <c r="XC38" s="43"/>
      <c r="XD38" s="43">
        <v>33</v>
      </c>
      <c r="XE38" s="43" t="s">
        <v>1078</v>
      </c>
      <c r="XF38" s="43"/>
      <c r="XG38" s="43"/>
      <c r="XH38" s="43"/>
      <c r="XI38" s="43"/>
      <c r="XJ38" s="43"/>
      <c r="XK38" s="43"/>
      <c r="XL38" s="43"/>
      <c r="XM38" s="43"/>
      <c r="XN38" s="43"/>
      <c r="XO38" s="43"/>
      <c r="XP38" s="43"/>
      <c r="XQ38" s="43"/>
      <c r="XR38" s="43">
        <v>71.599999999999994</v>
      </c>
      <c r="XS38" s="43"/>
      <c r="XT38" s="43"/>
      <c r="XU38" s="43"/>
      <c r="XV38" s="43"/>
      <c r="XW38" s="43"/>
      <c r="XX38" s="43"/>
      <c r="XY38" s="43"/>
      <c r="XZ38" s="43"/>
      <c r="YA38" s="44">
        <v>98</v>
      </c>
      <c r="YB38" s="44"/>
      <c r="YC38" s="44"/>
      <c r="YD38" s="44"/>
      <c r="YE38" s="44"/>
      <c r="YF38" s="43" t="s">
        <v>634</v>
      </c>
      <c r="YG38" s="43"/>
      <c r="YH38" s="43"/>
      <c r="YI38" s="43"/>
      <c r="YJ38" s="43" t="s">
        <v>533</v>
      </c>
      <c r="YK38" s="43"/>
      <c r="YL38" s="43"/>
      <c r="YM38" s="43"/>
      <c r="YN38" s="43"/>
      <c r="YO38" s="43"/>
      <c r="YP38" s="43"/>
      <c r="YQ38" s="43"/>
      <c r="YR38" s="43"/>
      <c r="YS38" s="43"/>
      <c r="YT38" s="43"/>
      <c r="YU38" s="43"/>
      <c r="YV38" s="43"/>
      <c r="YW38" s="43" t="s">
        <v>649</v>
      </c>
      <c r="YX38" s="43"/>
      <c r="YY38" s="43"/>
      <c r="YZ38" s="43"/>
      <c r="ZA38" s="43">
        <v>222</v>
      </c>
      <c r="ZB38" s="43"/>
      <c r="ZC38" s="43"/>
      <c r="ZD38" s="43"/>
      <c r="ZE38" s="43"/>
      <c r="ZF38" s="43"/>
      <c r="ZG38" s="43"/>
      <c r="ZH38" s="43"/>
      <c r="ZI38" s="43"/>
      <c r="ZJ38" s="43"/>
      <c r="ZK38" s="43"/>
      <c r="ZL38" s="43"/>
      <c r="ZM38" s="43"/>
      <c r="ZN38" s="43"/>
      <c r="ZO38" s="43"/>
      <c r="ZP38" s="43"/>
      <c r="ZQ38" s="43"/>
      <c r="ZR38" s="43"/>
      <c r="ZS38" s="43"/>
      <c r="ZT38" s="43"/>
      <c r="ZU38" s="43"/>
      <c r="ZV38" s="43"/>
      <c r="ZW38" s="44"/>
      <c r="ZX38" s="44"/>
      <c r="ZY38" s="44"/>
      <c r="ZZ38" s="44"/>
      <c r="AAA38" s="44"/>
      <c r="AAB38" s="44"/>
      <c r="AAC38" s="44"/>
      <c r="AAD38" s="44"/>
      <c r="AAE38" s="44"/>
      <c r="AAF38" s="44"/>
      <c r="AAG38" s="43"/>
      <c r="AAH38" s="43"/>
      <c r="AAI38" s="43"/>
      <c r="AAJ38" s="43"/>
      <c r="AAK38" s="43"/>
      <c r="AAL38" s="43"/>
      <c r="AAM38" s="43"/>
      <c r="AAN38" s="52">
        <v>0.28299999999999997</v>
      </c>
      <c r="AAO38" s="43"/>
      <c r="AAP38" s="43"/>
      <c r="AAQ38" s="43"/>
      <c r="AAR38" s="43"/>
      <c r="AAS38" s="43"/>
      <c r="AAT38" s="43"/>
      <c r="AAU38" s="43"/>
      <c r="AAV38" s="43"/>
      <c r="AAW38" s="43"/>
      <c r="AAX38" s="43"/>
      <c r="AAY38" s="43"/>
      <c r="AAZ38" s="43"/>
      <c r="ABA38" s="43"/>
      <c r="ABB38" s="43"/>
      <c r="ABC38" s="43"/>
      <c r="ABD38" s="43"/>
      <c r="ABE38" s="43"/>
      <c r="ABF38" s="43"/>
      <c r="ABG38" s="43"/>
      <c r="ABH38" s="43"/>
      <c r="ABI38" s="43"/>
      <c r="ABJ38" s="43"/>
      <c r="ABK38" s="43"/>
      <c r="ABL38" s="43"/>
      <c r="ABM38" s="43"/>
      <c r="ABN38" s="43"/>
      <c r="ABO38" s="43"/>
      <c r="ABP38" s="43"/>
      <c r="ABQ38" s="43"/>
      <c r="ABR38" s="43"/>
      <c r="ABS38" s="43"/>
      <c r="ABT38" s="43"/>
      <c r="ABU38" s="43"/>
      <c r="ABV38" s="43"/>
      <c r="ABW38" s="43"/>
      <c r="ABX38" s="43"/>
      <c r="ABY38" s="43"/>
      <c r="ABZ38" s="43"/>
      <c r="ACA38" s="43"/>
      <c r="ACB38" s="43"/>
      <c r="ACC38" s="43" t="s">
        <v>654</v>
      </c>
      <c r="ACD38" s="43"/>
      <c r="ACE38" s="43"/>
      <c r="ACF38" s="43"/>
      <c r="ACG38" s="43"/>
      <c r="ACH38" s="45"/>
    </row>
    <row r="39" spans="1:762" x14ac:dyDescent="0.25">
      <c r="A39" s="46" t="s">
        <v>76</v>
      </c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  <c r="BW39" s="47"/>
      <c r="BX39" s="47"/>
      <c r="BY39" s="47"/>
      <c r="BZ39" s="47"/>
      <c r="CA39" s="47"/>
      <c r="CB39" s="47"/>
      <c r="CC39" s="47"/>
      <c r="CD39" s="47"/>
      <c r="CE39" s="47"/>
      <c r="CF39" s="47"/>
      <c r="CG39" s="47"/>
      <c r="CH39" s="47"/>
      <c r="CI39" s="47"/>
      <c r="CJ39" s="47"/>
      <c r="CK39" s="47"/>
      <c r="CL39" s="47"/>
      <c r="CM39" s="47"/>
      <c r="CN39" s="47"/>
      <c r="CO39" s="47"/>
      <c r="CP39" s="47"/>
      <c r="CQ39" s="47"/>
      <c r="CR39" s="47"/>
      <c r="CS39" s="47"/>
      <c r="CT39" s="47"/>
      <c r="CU39" s="47"/>
      <c r="CV39" s="47"/>
      <c r="CW39" s="47"/>
      <c r="CX39" s="47"/>
      <c r="CY39" s="47"/>
      <c r="CZ39" s="47"/>
      <c r="DA39" s="47"/>
      <c r="DB39" s="47"/>
      <c r="DC39" s="47"/>
      <c r="DD39" s="47"/>
      <c r="DE39" s="47"/>
      <c r="DF39" s="47"/>
      <c r="DG39" s="47"/>
      <c r="DH39" s="47"/>
      <c r="DI39" s="47"/>
      <c r="DJ39" s="47"/>
      <c r="DK39" s="47"/>
      <c r="DL39" s="47"/>
      <c r="DM39" s="47"/>
      <c r="DN39" s="47"/>
      <c r="DO39" s="47"/>
      <c r="DP39" s="47"/>
      <c r="DQ39" s="47"/>
      <c r="DR39" s="47"/>
      <c r="DS39" s="47"/>
      <c r="DT39" s="47"/>
      <c r="DU39" s="47"/>
      <c r="DV39" s="47"/>
      <c r="DW39" s="47"/>
      <c r="DX39" s="47"/>
      <c r="DY39" s="47"/>
      <c r="DZ39" s="47"/>
      <c r="EA39" s="47"/>
      <c r="EB39" s="47"/>
      <c r="EC39" s="47"/>
      <c r="ED39" s="47"/>
      <c r="EE39" s="47"/>
      <c r="EF39" s="47">
        <v>39</v>
      </c>
      <c r="EG39" s="47"/>
      <c r="EH39" s="47"/>
      <c r="EI39" s="47"/>
      <c r="EJ39" s="47"/>
      <c r="EK39" s="47"/>
      <c r="EL39" s="47"/>
      <c r="EM39" s="47"/>
      <c r="EN39" s="47"/>
      <c r="EO39" s="47"/>
      <c r="EP39" s="47"/>
      <c r="EQ39" s="47"/>
      <c r="ER39" s="47">
        <v>25</v>
      </c>
      <c r="ES39" s="47"/>
      <c r="ET39" s="47"/>
      <c r="EU39" s="47"/>
      <c r="EV39" s="47"/>
      <c r="EW39" s="47"/>
      <c r="EX39" s="47"/>
      <c r="EY39" s="47"/>
      <c r="EZ39" s="47"/>
      <c r="FA39" s="47"/>
      <c r="FB39" s="47"/>
      <c r="FC39" s="47"/>
      <c r="FD39" s="47"/>
      <c r="FE39" s="47"/>
      <c r="FF39" s="47"/>
      <c r="FG39" s="47"/>
      <c r="FH39" s="47"/>
      <c r="FI39" s="47"/>
      <c r="FJ39" s="47"/>
      <c r="FK39" s="47"/>
      <c r="FL39" s="47"/>
      <c r="FM39" s="47"/>
      <c r="FN39" s="47"/>
      <c r="FO39" s="47"/>
      <c r="FP39" s="47"/>
      <c r="FQ39" s="47"/>
      <c r="FR39" s="47"/>
      <c r="FS39" s="47"/>
      <c r="FT39" s="47"/>
      <c r="FU39" s="47"/>
      <c r="FV39" s="47"/>
      <c r="FW39" s="47"/>
      <c r="FX39" s="47"/>
      <c r="FY39" s="47"/>
      <c r="FZ39" s="47"/>
      <c r="GA39" s="47"/>
      <c r="GB39" s="47"/>
      <c r="GC39" s="47"/>
      <c r="GD39" s="47"/>
      <c r="GE39" s="47"/>
      <c r="GF39" s="47"/>
      <c r="GG39" s="47"/>
      <c r="GH39" s="47"/>
      <c r="GI39" s="47"/>
      <c r="GJ39" s="47"/>
      <c r="GK39" s="47"/>
      <c r="GL39" s="47"/>
      <c r="GM39" s="47"/>
      <c r="GN39" s="47"/>
      <c r="GO39" s="47"/>
      <c r="GP39" s="47"/>
      <c r="GQ39" s="47"/>
      <c r="GR39" s="47"/>
      <c r="GS39" s="47"/>
      <c r="GT39" s="47"/>
      <c r="GU39" s="47">
        <v>53</v>
      </c>
      <c r="GV39" s="47"/>
      <c r="GW39" s="47"/>
      <c r="GX39" s="47"/>
      <c r="GY39" s="47"/>
      <c r="GZ39" s="47"/>
      <c r="HA39" s="47"/>
      <c r="HB39" s="47"/>
      <c r="HC39" s="47"/>
      <c r="HD39" s="47"/>
      <c r="HE39" s="47"/>
      <c r="HF39" s="47">
        <v>38</v>
      </c>
      <c r="HG39" s="47"/>
      <c r="HH39" s="47"/>
      <c r="HI39" s="47"/>
      <c r="HJ39" s="47"/>
      <c r="HK39" s="47"/>
      <c r="HL39" s="47"/>
      <c r="HM39" s="47"/>
      <c r="HN39" s="47"/>
      <c r="HO39" s="47"/>
      <c r="HP39" s="47"/>
      <c r="HQ39" s="47"/>
      <c r="HR39" s="47"/>
      <c r="HS39" s="47"/>
      <c r="HT39" s="47"/>
      <c r="HU39" s="47"/>
      <c r="HV39" s="47"/>
      <c r="HW39" s="47"/>
      <c r="HX39" s="47"/>
      <c r="HY39" s="47"/>
      <c r="HZ39" s="47"/>
      <c r="IA39" s="47"/>
      <c r="IB39" s="47"/>
      <c r="IC39" s="47"/>
      <c r="ID39" s="47"/>
      <c r="IE39" s="47"/>
      <c r="IF39" s="47"/>
      <c r="IG39" s="47"/>
      <c r="IH39" s="47"/>
      <c r="II39" s="47"/>
      <c r="IJ39" s="47"/>
      <c r="IK39" s="47"/>
      <c r="IL39" s="47"/>
      <c r="IM39" s="47"/>
      <c r="IN39" s="47"/>
      <c r="IO39" s="47"/>
      <c r="IP39" s="47"/>
      <c r="IQ39" s="47"/>
      <c r="IR39" s="47"/>
      <c r="IS39" s="47"/>
      <c r="IT39" s="47"/>
      <c r="IU39" s="47"/>
      <c r="IV39" s="47"/>
      <c r="IW39" s="47"/>
      <c r="IX39" s="47"/>
      <c r="IY39" s="47"/>
      <c r="IZ39" s="47"/>
      <c r="JA39" s="47"/>
      <c r="JB39" s="47"/>
      <c r="JC39" s="47"/>
      <c r="JD39" s="47"/>
      <c r="JE39" s="47"/>
      <c r="JF39" s="47"/>
      <c r="JG39" s="47"/>
      <c r="JH39" s="47"/>
      <c r="JI39" s="47"/>
      <c r="JJ39" s="47"/>
      <c r="JK39" s="47"/>
      <c r="JL39" s="47"/>
      <c r="JM39" s="47"/>
      <c r="JN39" s="47"/>
      <c r="JO39" s="47"/>
      <c r="JP39" s="47"/>
      <c r="JQ39" s="47"/>
      <c r="JR39" s="47"/>
      <c r="JS39" s="47"/>
      <c r="JT39" s="47"/>
      <c r="JU39" s="47"/>
      <c r="JV39" s="47"/>
      <c r="JW39" s="47"/>
      <c r="JX39" s="47"/>
      <c r="JY39" s="47"/>
      <c r="JZ39" s="47"/>
      <c r="KA39" s="47"/>
      <c r="KB39" s="47"/>
      <c r="KC39" s="47"/>
      <c r="KD39" s="47"/>
      <c r="KE39" s="47"/>
      <c r="KF39" s="47"/>
      <c r="KG39" s="47"/>
      <c r="KH39" s="47"/>
      <c r="KI39" s="47"/>
      <c r="KJ39" s="47"/>
      <c r="KK39" s="47"/>
      <c r="KL39" s="47"/>
      <c r="KM39" s="47"/>
      <c r="KN39" s="47"/>
      <c r="KO39" s="47"/>
      <c r="KP39" s="47"/>
      <c r="KQ39" s="47"/>
      <c r="KR39" s="47"/>
      <c r="KS39" s="47"/>
      <c r="KT39" s="47"/>
      <c r="KU39" s="47"/>
      <c r="KV39" s="47"/>
      <c r="KW39" s="47"/>
      <c r="KX39" s="47"/>
      <c r="KY39" s="47"/>
      <c r="KZ39" s="47"/>
      <c r="LA39" s="47"/>
      <c r="LB39" s="47"/>
      <c r="LC39" s="47"/>
      <c r="LD39" s="47"/>
      <c r="LE39" s="47"/>
      <c r="LF39" s="47"/>
      <c r="LG39" s="47"/>
      <c r="LH39" s="47"/>
      <c r="LI39" s="47"/>
      <c r="LJ39" s="47"/>
      <c r="LK39" s="47"/>
      <c r="LL39" s="47"/>
      <c r="LM39" s="47"/>
      <c r="LN39" s="47"/>
      <c r="LO39" s="47"/>
      <c r="LP39" s="47"/>
      <c r="LQ39" s="47"/>
      <c r="LR39" s="47"/>
      <c r="LS39" s="47"/>
      <c r="LT39" s="47"/>
      <c r="LU39" s="47"/>
      <c r="LV39" s="47"/>
      <c r="LW39" s="47"/>
      <c r="LX39" s="47"/>
      <c r="LY39" s="47"/>
      <c r="LZ39" s="47"/>
      <c r="MA39" s="47"/>
      <c r="MB39" s="47"/>
      <c r="MC39" s="47"/>
      <c r="MD39" s="47"/>
      <c r="ME39" s="47"/>
      <c r="MF39" s="47"/>
      <c r="MG39" s="47"/>
      <c r="MH39" s="47"/>
      <c r="MI39" s="47"/>
      <c r="MJ39" s="47"/>
      <c r="MK39" s="47"/>
      <c r="ML39" s="47"/>
      <c r="MM39" s="47"/>
      <c r="MN39" s="47"/>
      <c r="MO39" s="47"/>
      <c r="MP39" s="47"/>
      <c r="MQ39" s="47"/>
      <c r="MR39" s="47"/>
      <c r="MS39" s="47"/>
      <c r="MT39" s="47"/>
      <c r="MU39" s="47"/>
      <c r="MV39" s="47"/>
      <c r="MW39" s="47"/>
      <c r="MX39" s="47"/>
      <c r="MY39" s="47"/>
      <c r="MZ39" s="47"/>
      <c r="NA39" s="47"/>
      <c r="NB39" s="47"/>
      <c r="NC39" s="47"/>
      <c r="ND39" s="47"/>
      <c r="NE39" s="47"/>
      <c r="NF39" s="47"/>
      <c r="NG39" s="47"/>
      <c r="NH39" s="47"/>
      <c r="NI39" s="47"/>
      <c r="NJ39" s="44"/>
      <c r="NK39" s="44"/>
      <c r="NL39" s="44"/>
      <c r="NM39" s="44"/>
      <c r="NN39" s="44"/>
      <c r="NO39" s="47"/>
      <c r="NP39" s="47"/>
      <c r="NQ39" s="47"/>
      <c r="NR39" s="47"/>
      <c r="NS39" s="47"/>
      <c r="NT39" s="47"/>
      <c r="NU39" s="47"/>
      <c r="NV39" s="47"/>
      <c r="NW39" s="47"/>
      <c r="NX39" s="47"/>
      <c r="NY39" s="47"/>
      <c r="NZ39" s="47"/>
      <c r="OA39" s="47"/>
      <c r="OB39" s="47"/>
      <c r="OC39" s="47"/>
      <c r="OD39" s="47"/>
      <c r="OE39" s="47"/>
      <c r="OF39" s="47"/>
      <c r="OG39" s="47"/>
      <c r="OH39" s="47"/>
      <c r="OI39" s="47"/>
      <c r="OJ39" s="47"/>
      <c r="OK39" s="47"/>
      <c r="OL39" s="47"/>
      <c r="OM39" s="47"/>
      <c r="ON39" s="47"/>
      <c r="OO39" s="47"/>
      <c r="OP39" s="47"/>
      <c r="OQ39" s="47"/>
      <c r="OR39" s="47"/>
      <c r="OS39" s="47"/>
      <c r="OT39" s="47"/>
      <c r="OU39" s="47"/>
      <c r="OV39" s="47"/>
      <c r="OW39" s="47"/>
      <c r="OX39" s="47"/>
      <c r="OY39" s="47"/>
      <c r="OZ39" s="47"/>
      <c r="PA39" s="47"/>
      <c r="PB39" s="47"/>
      <c r="PC39" s="47"/>
      <c r="PD39" s="47"/>
      <c r="PE39" s="47"/>
      <c r="PF39" s="47"/>
      <c r="PG39" s="47"/>
      <c r="PH39" s="47"/>
      <c r="PI39" s="47"/>
      <c r="PJ39" s="47"/>
      <c r="PK39" s="47"/>
      <c r="PL39" s="47"/>
      <c r="PM39" s="47"/>
      <c r="PN39" s="47"/>
      <c r="PO39" s="47"/>
      <c r="PP39" s="47"/>
      <c r="PQ39" s="47"/>
      <c r="PR39" s="47"/>
      <c r="PS39" s="47"/>
      <c r="PT39" s="47"/>
      <c r="PU39" s="47"/>
      <c r="PV39" s="47"/>
      <c r="PW39" s="47"/>
      <c r="PX39" s="47"/>
      <c r="PY39" s="47"/>
      <c r="PZ39" s="47"/>
      <c r="QA39" s="47"/>
      <c r="QB39" s="47"/>
      <c r="QC39" s="47"/>
      <c r="QD39" s="47"/>
      <c r="QE39" s="47"/>
      <c r="QF39" s="47"/>
      <c r="QG39" s="47"/>
      <c r="QH39" s="47"/>
      <c r="QI39" s="47"/>
      <c r="QJ39" s="47"/>
      <c r="QK39" s="47"/>
      <c r="QL39" s="47"/>
      <c r="QM39" s="47"/>
      <c r="QN39" s="47"/>
      <c r="QO39" s="47"/>
      <c r="QP39" s="47"/>
      <c r="QQ39" s="47"/>
      <c r="QR39" s="47"/>
      <c r="QS39" s="47"/>
      <c r="QT39" s="47"/>
      <c r="QU39" s="47"/>
      <c r="QV39" s="47"/>
      <c r="QW39" s="47"/>
      <c r="QX39" s="47"/>
      <c r="QY39" s="47"/>
      <c r="QZ39" s="47"/>
      <c r="RA39" s="47"/>
      <c r="RB39" s="47"/>
      <c r="RC39" s="47"/>
      <c r="RD39" s="47"/>
      <c r="RE39" s="47"/>
      <c r="RF39" s="47"/>
      <c r="RG39" s="47"/>
      <c r="RH39" s="47"/>
      <c r="RI39" s="47"/>
      <c r="RJ39" s="47"/>
      <c r="RK39" s="47"/>
      <c r="RL39" s="47"/>
      <c r="RM39" s="47"/>
      <c r="RN39" s="47"/>
      <c r="RO39" s="47"/>
      <c r="RP39" s="47"/>
      <c r="RQ39" s="47"/>
      <c r="RR39" s="47"/>
      <c r="RS39" s="47"/>
      <c r="RT39" s="47"/>
      <c r="RU39" s="47"/>
      <c r="RV39" s="47"/>
      <c r="RW39" s="47"/>
      <c r="RX39" s="47"/>
      <c r="RY39" s="47"/>
      <c r="RZ39" s="47"/>
      <c r="SA39" s="47"/>
      <c r="SB39" s="47"/>
      <c r="SC39" s="47"/>
      <c r="SD39" s="47"/>
      <c r="SE39" s="47"/>
      <c r="SF39" s="47"/>
      <c r="SG39" s="47"/>
      <c r="SH39" s="47"/>
      <c r="SI39" s="47"/>
      <c r="SJ39" s="47"/>
      <c r="SK39" s="47"/>
      <c r="SL39" s="47"/>
      <c r="SM39" s="47"/>
      <c r="SN39" s="47"/>
      <c r="SO39" s="47"/>
      <c r="SP39" s="47"/>
      <c r="SQ39" s="47"/>
      <c r="SR39" s="47"/>
      <c r="SS39" s="47"/>
      <c r="ST39" s="47"/>
      <c r="SU39" s="47"/>
      <c r="SV39" s="47"/>
      <c r="SW39" s="47"/>
      <c r="SX39" s="47"/>
      <c r="SY39" s="47"/>
      <c r="SZ39" s="47"/>
      <c r="TA39" s="47"/>
      <c r="TB39" s="47"/>
      <c r="TC39" s="47"/>
      <c r="TD39" s="47"/>
      <c r="TE39" s="47"/>
      <c r="TF39" s="47"/>
      <c r="TG39" s="47"/>
      <c r="TH39" s="47"/>
      <c r="TI39" s="47"/>
      <c r="TJ39" s="47"/>
      <c r="TK39" s="47"/>
      <c r="TL39" s="47"/>
      <c r="TM39" s="47"/>
      <c r="TN39" s="47"/>
      <c r="TO39" s="47"/>
      <c r="TP39" s="47"/>
      <c r="TQ39" s="47"/>
      <c r="TR39" s="47"/>
      <c r="TS39" s="47"/>
      <c r="TT39" s="47"/>
      <c r="TU39" s="47"/>
      <c r="TV39" s="47"/>
      <c r="TW39" s="47"/>
      <c r="TX39" s="47" t="s">
        <v>730</v>
      </c>
      <c r="TY39" s="47"/>
      <c r="TZ39" s="47"/>
      <c r="UA39" s="47"/>
      <c r="UB39" s="47"/>
      <c r="UC39" s="47"/>
      <c r="UD39" s="47"/>
      <c r="UE39" s="47"/>
      <c r="UF39" s="47"/>
      <c r="UG39" s="47"/>
      <c r="UH39" s="47" t="s">
        <v>731</v>
      </c>
      <c r="UI39" s="47"/>
      <c r="UJ39" s="47"/>
      <c r="UK39" s="47"/>
      <c r="UL39" s="47"/>
      <c r="UM39" s="47"/>
      <c r="UN39" s="47"/>
      <c r="UO39" s="47"/>
      <c r="UP39" s="47"/>
      <c r="UQ39" s="47"/>
      <c r="UR39" s="47"/>
      <c r="US39" s="47"/>
      <c r="UT39" s="47"/>
      <c r="UU39" s="47"/>
      <c r="UV39" s="47"/>
      <c r="UW39" s="47"/>
      <c r="UX39" s="47"/>
      <c r="UY39" s="47"/>
      <c r="UZ39" s="47"/>
      <c r="VA39" s="47"/>
      <c r="VB39" s="47"/>
      <c r="VC39" s="47"/>
      <c r="VD39" s="47"/>
      <c r="VE39" s="47"/>
      <c r="VF39" s="47"/>
      <c r="VG39" s="47"/>
      <c r="VH39" s="47"/>
      <c r="VI39" s="47"/>
      <c r="VJ39" s="47"/>
      <c r="VK39" s="47"/>
      <c r="VL39" s="47"/>
      <c r="VM39" s="47"/>
      <c r="VN39" s="47"/>
      <c r="VO39" s="47"/>
      <c r="VP39" s="47"/>
      <c r="VQ39" s="47"/>
      <c r="VR39" s="47"/>
      <c r="VS39" s="47"/>
      <c r="VT39" s="47"/>
      <c r="VU39" s="47"/>
      <c r="VV39" s="47"/>
      <c r="VW39" s="47"/>
      <c r="VX39" s="47"/>
      <c r="VY39" s="47"/>
      <c r="VZ39" s="47"/>
      <c r="WA39" s="47"/>
      <c r="WB39" s="47"/>
      <c r="WC39" s="47"/>
      <c r="WD39" s="47"/>
      <c r="WE39" s="47"/>
      <c r="WF39" s="47"/>
      <c r="WG39" s="47"/>
      <c r="WH39" s="47"/>
      <c r="WI39" s="47"/>
      <c r="WJ39" s="47"/>
      <c r="WK39" s="47"/>
      <c r="WL39" s="47"/>
      <c r="WM39" s="47"/>
      <c r="WN39" s="47"/>
      <c r="WO39" s="47"/>
      <c r="WP39" s="47"/>
      <c r="WQ39" s="47"/>
      <c r="WR39" s="47"/>
      <c r="WS39" s="47"/>
      <c r="WT39" s="47"/>
      <c r="WU39" s="47"/>
      <c r="WV39" s="47"/>
      <c r="WW39" s="47"/>
      <c r="WX39" s="47"/>
      <c r="WY39" s="47"/>
      <c r="WZ39" s="47"/>
      <c r="XA39" s="47"/>
      <c r="XB39" s="47"/>
      <c r="XC39" s="47"/>
      <c r="XD39" s="47"/>
      <c r="XE39" s="47"/>
      <c r="XF39" s="47"/>
      <c r="XG39" s="47"/>
      <c r="XH39" s="47">
        <v>71.2</v>
      </c>
      <c r="XI39" s="47"/>
      <c r="XJ39" s="47"/>
      <c r="XK39" s="47"/>
      <c r="XL39" s="47"/>
      <c r="XM39" s="47"/>
      <c r="XN39" s="47"/>
      <c r="XO39" s="47"/>
      <c r="XP39" s="47">
        <v>10.3</v>
      </c>
      <c r="XQ39" s="47"/>
      <c r="XR39" s="47"/>
      <c r="XS39" s="47"/>
      <c r="XT39" s="47"/>
      <c r="XU39" s="47"/>
      <c r="XV39" s="47"/>
      <c r="XW39" s="47"/>
      <c r="XX39" s="47"/>
      <c r="XY39" s="47"/>
      <c r="XZ39" s="47"/>
      <c r="YA39" s="44"/>
      <c r="YB39" s="44"/>
      <c r="YC39" s="44"/>
      <c r="YD39" s="44"/>
      <c r="YE39" s="44"/>
      <c r="YF39" s="47"/>
      <c r="YG39" s="47"/>
      <c r="YH39" s="47"/>
      <c r="YI39" s="47"/>
      <c r="YJ39" s="47"/>
      <c r="YK39" s="47"/>
      <c r="YL39" s="47"/>
      <c r="YM39" s="47"/>
      <c r="YN39" s="47"/>
      <c r="YO39" s="47"/>
      <c r="YP39" s="47"/>
      <c r="YQ39" s="47"/>
      <c r="YR39" s="47"/>
      <c r="YS39" s="47"/>
      <c r="YT39" s="47"/>
      <c r="YU39" s="47"/>
      <c r="YV39" s="47"/>
      <c r="YW39" s="47"/>
      <c r="YX39" s="47"/>
      <c r="YY39" s="47"/>
      <c r="YZ39" s="47"/>
      <c r="ZA39" s="47"/>
      <c r="ZB39" s="47"/>
      <c r="ZC39" s="47"/>
      <c r="ZD39" s="47"/>
      <c r="ZE39" s="47"/>
      <c r="ZF39" s="47"/>
      <c r="ZG39" s="47"/>
      <c r="ZH39" s="47"/>
      <c r="ZI39" s="47"/>
      <c r="ZJ39" s="47"/>
      <c r="ZK39" s="47"/>
      <c r="ZL39" s="47"/>
      <c r="ZM39" s="47"/>
      <c r="ZN39" s="47"/>
      <c r="ZO39" s="47"/>
      <c r="ZP39" s="47"/>
      <c r="ZQ39" s="47"/>
      <c r="ZR39" s="47"/>
      <c r="ZS39" s="47"/>
      <c r="ZT39" s="47"/>
      <c r="ZU39" s="47"/>
      <c r="ZV39" s="47"/>
      <c r="ZW39" s="44"/>
      <c r="ZX39" s="44"/>
      <c r="ZY39" s="44"/>
      <c r="ZZ39" s="44"/>
      <c r="AAA39" s="44"/>
      <c r="AAB39" s="44"/>
      <c r="AAC39" s="44"/>
      <c r="AAD39" s="44"/>
      <c r="AAE39" s="44"/>
      <c r="AAF39" s="44"/>
      <c r="AAG39" s="47"/>
      <c r="AAH39" s="47"/>
      <c r="AAI39" s="47"/>
      <c r="AAJ39" s="47"/>
      <c r="AAK39" s="47"/>
      <c r="AAL39" s="47"/>
      <c r="AAM39" s="47"/>
      <c r="AAN39" s="47"/>
      <c r="AAO39" s="47"/>
      <c r="AAP39" s="47"/>
      <c r="AAQ39" s="47"/>
      <c r="AAR39" s="47"/>
      <c r="AAS39" s="47"/>
      <c r="AAT39" s="47"/>
      <c r="AAU39" s="47"/>
      <c r="AAV39" s="47"/>
      <c r="AAW39" s="47"/>
      <c r="AAX39" s="47"/>
      <c r="AAY39" s="47"/>
      <c r="AAZ39" s="47"/>
      <c r="ABA39" s="47"/>
      <c r="ABB39" s="47"/>
      <c r="ABC39" s="47"/>
      <c r="ABD39" s="47"/>
      <c r="ABE39" s="47"/>
      <c r="ABF39" s="47"/>
      <c r="ABG39" s="47"/>
      <c r="ABH39" s="47"/>
      <c r="ABI39" s="47"/>
      <c r="ABJ39" s="47"/>
      <c r="ABK39" s="47"/>
      <c r="ABL39" s="47"/>
      <c r="ABM39" s="47"/>
      <c r="ABN39" s="47"/>
      <c r="ABO39" s="47"/>
      <c r="ABP39" s="47"/>
      <c r="ABQ39" s="47"/>
      <c r="ABR39" s="47"/>
      <c r="ABS39" s="47"/>
      <c r="ABT39" s="47"/>
      <c r="ABU39" s="47"/>
      <c r="ABV39" s="47"/>
      <c r="ABW39" s="47"/>
      <c r="ABX39" s="47"/>
      <c r="ABY39" s="47"/>
      <c r="ABZ39" s="47"/>
      <c r="ACA39" s="47"/>
      <c r="ACB39" s="47"/>
      <c r="ACC39" s="47"/>
      <c r="ACD39" s="47"/>
      <c r="ACE39" s="47"/>
      <c r="ACF39" s="47"/>
      <c r="ACG39" s="47"/>
      <c r="ACH39" s="48"/>
    </row>
    <row r="40" spans="1:762" x14ac:dyDescent="0.25">
      <c r="A40" s="42" t="s">
        <v>78</v>
      </c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3"/>
      <c r="BZ40" s="43"/>
      <c r="CA40" s="43"/>
      <c r="CB40" s="43"/>
      <c r="CC40" s="43"/>
      <c r="CD40" s="43"/>
      <c r="CE40" s="43"/>
      <c r="CF40" s="43"/>
      <c r="CG40" s="43"/>
      <c r="CH40" s="43"/>
      <c r="CI40" s="43"/>
      <c r="CJ40" s="43"/>
      <c r="CK40" s="43"/>
      <c r="CL40" s="43"/>
      <c r="CM40" s="43"/>
      <c r="CN40" s="43"/>
      <c r="CO40" s="43"/>
      <c r="CP40" s="43"/>
      <c r="CQ40" s="43"/>
      <c r="CR40" s="43"/>
      <c r="CS40" s="43"/>
      <c r="CT40" s="43"/>
      <c r="CU40" s="43"/>
      <c r="CV40" s="43"/>
      <c r="CW40" s="43"/>
      <c r="CX40" s="43"/>
      <c r="CY40" s="43"/>
      <c r="CZ40" s="43"/>
      <c r="DA40" s="43"/>
      <c r="DB40" s="43"/>
      <c r="DC40" s="43"/>
      <c r="DD40" s="43"/>
      <c r="DE40" s="43"/>
      <c r="DF40" s="43"/>
      <c r="DG40" s="43"/>
      <c r="DH40" s="43"/>
      <c r="DI40" s="43"/>
      <c r="DJ40" s="43"/>
      <c r="DK40" s="43"/>
      <c r="DL40" s="43"/>
      <c r="DM40" s="43"/>
      <c r="DN40" s="43"/>
      <c r="DO40" s="43"/>
      <c r="DP40" s="43"/>
      <c r="DQ40" s="43"/>
      <c r="DR40" s="43"/>
      <c r="DS40" s="43"/>
      <c r="DT40" s="43"/>
      <c r="DU40" s="43"/>
      <c r="DV40" s="43"/>
      <c r="DW40" s="43"/>
      <c r="DX40" s="43"/>
      <c r="DY40" s="43"/>
      <c r="DZ40" s="43"/>
      <c r="EA40" s="43"/>
      <c r="EB40" s="43"/>
      <c r="EC40" s="43"/>
      <c r="ED40" s="43"/>
      <c r="EE40" s="43"/>
      <c r="EF40" s="43">
        <v>15</v>
      </c>
      <c r="EG40" s="43"/>
      <c r="EH40" s="43"/>
      <c r="EI40" s="43"/>
      <c r="EJ40" s="43"/>
      <c r="EK40" s="43"/>
      <c r="EL40" s="43"/>
      <c r="EM40" s="43"/>
      <c r="EN40" s="43"/>
      <c r="EO40" s="43"/>
      <c r="EP40" s="43"/>
      <c r="EQ40" s="43"/>
      <c r="ER40" s="43"/>
      <c r="ES40" s="43"/>
      <c r="ET40" s="43"/>
      <c r="EU40" s="43"/>
      <c r="EV40" s="43"/>
      <c r="EW40" s="43"/>
      <c r="EX40" s="43"/>
      <c r="EY40" s="43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>
        <v>15</v>
      </c>
      <c r="FT40" s="43"/>
      <c r="FU40" s="43">
        <v>18</v>
      </c>
      <c r="FV40" s="43"/>
      <c r="FW40" s="43">
        <v>506</v>
      </c>
      <c r="FX40" s="43">
        <v>4563</v>
      </c>
      <c r="FY40" s="43">
        <v>4396</v>
      </c>
      <c r="FZ40" s="43"/>
      <c r="GA40" s="43">
        <v>1897</v>
      </c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>
        <v>12</v>
      </c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>
        <v>21</v>
      </c>
      <c r="IG40" s="43">
        <v>12</v>
      </c>
      <c r="IH40" s="43"/>
      <c r="II40" s="43">
        <v>14</v>
      </c>
      <c r="IJ40" s="43"/>
      <c r="IK40" s="43">
        <v>390</v>
      </c>
      <c r="IL40" s="43">
        <v>3135</v>
      </c>
      <c r="IM40" s="43">
        <v>4112</v>
      </c>
      <c r="IN40" s="43">
        <v>2774</v>
      </c>
      <c r="IO40" s="43"/>
      <c r="IP40" s="43"/>
      <c r="IQ40" s="43"/>
      <c r="IR40" s="43"/>
      <c r="IS40" s="43"/>
      <c r="IT40" s="43"/>
      <c r="IU40" s="43"/>
      <c r="IV40" s="43"/>
      <c r="IW40" s="43"/>
      <c r="IX40" s="43"/>
      <c r="IY40" s="43"/>
      <c r="IZ40" s="43"/>
      <c r="JA40" s="43"/>
      <c r="JB40" s="43"/>
      <c r="JC40" s="43"/>
      <c r="JD40" s="43"/>
      <c r="JE40" s="43"/>
      <c r="JF40" s="43"/>
      <c r="JG40" s="43"/>
      <c r="JH40" s="43"/>
      <c r="JI40" s="43"/>
      <c r="JJ40" s="43"/>
      <c r="JK40" s="43"/>
      <c r="JL40" s="43"/>
      <c r="JM40" s="43"/>
      <c r="JN40" s="43"/>
      <c r="JO40" s="43"/>
      <c r="JP40" s="43"/>
      <c r="JQ40" s="43"/>
      <c r="JR40" s="43"/>
      <c r="JS40" s="43"/>
      <c r="JT40" s="43"/>
      <c r="JU40" s="43"/>
      <c r="JV40" s="43"/>
      <c r="JW40" s="43"/>
      <c r="JX40" s="43"/>
      <c r="JY40" s="43"/>
      <c r="JZ40" s="43"/>
      <c r="KA40" s="43"/>
      <c r="KB40" s="43"/>
      <c r="KC40" s="43"/>
      <c r="KD40" s="43"/>
      <c r="KE40" s="43"/>
      <c r="KF40" s="43"/>
      <c r="KG40" s="43"/>
      <c r="KH40" s="43"/>
      <c r="KI40" s="43"/>
      <c r="KJ40" s="43"/>
      <c r="KK40" s="43"/>
      <c r="KL40" s="43"/>
      <c r="KM40" s="43"/>
      <c r="KN40" s="43"/>
      <c r="KO40" s="43"/>
      <c r="KP40" s="43"/>
      <c r="KQ40" s="43"/>
      <c r="KR40" s="43">
        <v>12</v>
      </c>
      <c r="KS40" s="43"/>
      <c r="KT40" s="43">
        <v>7</v>
      </c>
      <c r="KU40" s="43"/>
      <c r="KV40" s="43">
        <v>23</v>
      </c>
      <c r="KW40" s="43">
        <v>47</v>
      </c>
      <c r="KX40" s="43">
        <v>55</v>
      </c>
      <c r="KY40" s="43">
        <v>82</v>
      </c>
      <c r="KZ40" s="43">
        <v>148</v>
      </c>
      <c r="LA40" s="43"/>
      <c r="LB40" s="43"/>
      <c r="LC40" s="43"/>
      <c r="LD40" s="43"/>
      <c r="LE40" s="43"/>
      <c r="LF40" s="43"/>
      <c r="LG40" s="43"/>
      <c r="LH40" s="43"/>
      <c r="LI40" s="43"/>
      <c r="LJ40" s="43"/>
      <c r="LK40" s="43"/>
      <c r="LL40" s="43"/>
      <c r="LM40" s="43"/>
      <c r="LN40" s="43"/>
      <c r="LO40" s="43"/>
      <c r="LP40" s="43"/>
      <c r="LQ40" s="43"/>
      <c r="LR40" s="43"/>
      <c r="LS40" s="43"/>
      <c r="LT40" s="43"/>
      <c r="LU40" s="43"/>
      <c r="LV40" s="43"/>
      <c r="LW40" s="43"/>
      <c r="LX40" s="43"/>
      <c r="LY40" s="43"/>
      <c r="LZ40" s="43"/>
      <c r="MA40" s="43"/>
      <c r="MB40" s="43"/>
      <c r="MC40" s="43"/>
      <c r="MD40" s="43"/>
      <c r="ME40" s="43"/>
      <c r="MF40" s="43"/>
      <c r="MG40" s="43"/>
      <c r="MH40" s="43"/>
      <c r="MI40" s="43"/>
      <c r="MJ40" s="43"/>
      <c r="MK40" s="43"/>
      <c r="ML40" s="43"/>
      <c r="MM40" s="43"/>
      <c r="MN40" s="43"/>
      <c r="MO40" s="43"/>
      <c r="MP40" s="43"/>
      <c r="MQ40" s="43"/>
      <c r="MR40" s="43"/>
      <c r="MS40" s="43"/>
      <c r="MT40" s="43"/>
      <c r="MU40" s="43"/>
      <c r="MV40" s="43"/>
      <c r="MW40" s="43"/>
      <c r="MX40" s="43"/>
      <c r="MY40" s="43"/>
      <c r="MZ40" s="43"/>
      <c r="NA40" s="43"/>
      <c r="NB40" s="43"/>
      <c r="NC40" s="43">
        <v>110</v>
      </c>
      <c r="ND40" s="43">
        <v>6331</v>
      </c>
      <c r="NE40" s="43">
        <v>6436</v>
      </c>
      <c r="NF40" s="43">
        <v>3313</v>
      </c>
      <c r="NG40" s="43"/>
      <c r="NH40" s="43"/>
      <c r="NI40" s="43"/>
      <c r="NJ40" s="44"/>
      <c r="NK40" s="44"/>
      <c r="NL40" s="44"/>
      <c r="NM40" s="44"/>
      <c r="NN40" s="44"/>
      <c r="NO40" s="43" t="s">
        <v>1677</v>
      </c>
      <c r="NP40" s="43"/>
      <c r="NQ40" s="43"/>
      <c r="NR40" s="43"/>
      <c r="NS40" s="43"/>
      <c r="NT40" s="43"/>
      <c r="NU40" s="43"/>
      <c r="NV40" s="43"/>
      <c r="NW40" s="43"/>
      <c r="NX40" s="43"/>
      <c r="NY40" s="43"/>
      <c r="NZ40" s="43"/>
      <c r="OA40" s="43"/>
      <c r="OB40" s="43"/>
      <c r="OC40" s="43"/>
      <c r="OD40" s="43"/>
      <c r="OE40" s="43"/>
      <c r="OF40" s="43"/>
      <c r="OG40" s="43"/>
      <c r="OH40" s="43"/>
      <c r="OI40" s="43"/>
      <c r="OJ40" s="43"/>
      <c r="OK40" s="43"/>
      <c r="OL40" s="43"/>
      <c r="OM40" s="43"/>
      <c r="ON40" s="43"/>
      <c r="OO40" s="43"/>
      <c r="OP40" s="43"/>
      <c r="OQ40" s="43"/>
      <c r="OR40" s="43"/>
      <c r="OS40" s="43"/>
      <c r="OT40" s="43"/>
      <c r="OU40" s="43"/>
      <c r="OV40" s="43"/>
      <c r="OW40" s="43"/>
      <c r="OX40" s="43"/>
      <c r="OY40" s="43"/>
      <c r="OZ40" s="43">
        <v>6.97</v>
      </c>
      <c r="PA40" s="53">
        <v>8.84</v>
      </c>
      <c r="PB40" s="43">
        <v>63.58</v>
      </c>
      <c r="PC40" s="43">
        <v>176.97</v>
      </c>
      <c r="PD40" s="43" t="s">
        <v>754</v>
      </c>
      <c r="PE40" s="43" t="s">
        <v>758</v>
      </c>
      <c r="PF40" s="43" t="s">
        <v>763</v>
      </c>
      <c r="PG40" s="43"/>
      <c r="PH40" s="43"/>
      <c r="PI40" s="43"/>
      <c r="PJ40" s="43"/>
      <c r="PK40" s="43"/>
      <c r="PL40" s="43"/>
      <c r="PM40" s="43"/>
      <c r="PN40" s="43"/>
      <c r="PO40" s="43"/>
      <c r="PP40" s="43"/>
      <c r="PQ40" s="43"/>
      <c r="PR40" s="43"/>
      <c r="PS40" s="43"/>
      <c r="PT40" s="43"/>
      <c r="PU40" s="43"/>
      <c r="PV40" s="43"/>
      <c r="PW40" s="43"/>
      <c r="PX40" s="43"/>
      <c r="PY40" s="43"/>
      <c r="PZ40" s="43"/>
      <c r="QA40" s="43"/>
      <c r="QB40" s="43"/>
      <c r="QC40" s="43"/>
      <c r="QD40" s="43"/>
      <c r="QE40" s="43"/>
      <c r="QF40" s="43"/>
      <c r="QG40" s="43"/>
      <c r="QH40" s="43"/>
      <c r="QI40" s="43"/>
      <c r="QJ40" s="43"/>
      <c r="QK40" s="43">
        <v>60</v>
      </c>
      <c r="QL40" s="43"/>
      <c r="QM40" s="43"/>
      <c r="QN40" s="43"/>
      <c r="QO40" s="43"/>
      <c r="QP40" s="43"/>
      <c r="QQ40" s="43"/>
      <c r="QR40" s="43"/>
      <c r="QS40" s="43"/>
      <c r="QT40" s="43"/>
      <c r="QU40" s="43"/>
      <c r="QV40" s="43"/>
      <c r="QW40" s="43"/>
      <c r="QX40" s="43"/>
      <c r="QY40" s="43"/>
      <c r="QZ40" s="43"/>
      <c r="RA40" s="43"/>
      <c r="RB40" s="43"/>
      <c r="RC40" s="43"/>
      <c r="RD40" s="43"/>
      <c r="RE40" s="43"/>
      <c r="RF40" s="43"/>
      <c r="RG40" s="43"/>
      <c r="RH40" s="43"/>
      <c r="RI40" s="43"/>
      <c r="RJ40" s="43"/>
      <c r="RK40" s="43"/>
      <c r="RL40" s="43"/>
      <c r="RM40" s="43"/>
      <c r="RN40" s="43"/>
      <c r="RO40" s="43"/>
      <c r="RP40" s="43"/>
      <c r="RQ40" s="43"/>
      <c r="RR40" s="43"/>
      <c r="RS40" s="43"/>
      <c r="RT40" s="43"/>
      <c r="RU40" s="43"/>
      <c r="RV40" s="43"/>
      <c r="RW40" s="43"/>
      <c r="RX40" s="43">
        <v>60</v>
      </c>
      <c r="RY40" s="43">
        <v>31</v>
      </c>
      <c r="RZ40" s="43"/>
      <c r="SA40" s="43">
        <v>131</v>
      </c>
      <c r="SB40" s="43">
        <v>163</v>
      </c>
      <c r="SC40" s="43">
        <v>153</v>
      </c>
      <c r="SD40" s="43"/>
      <c r="SE40" s="43"/>
      <c r="SF40" s="43"/>
      <c r="SG40" s="43"/>
      <c r="SH40" s="43"/>
      <c r="SI40" s="43"/>
      <c r="SJ40" s="43"/>
      <c r="SK40" s="43"/>
      <c r="SL40" s="43"/>
      <c r="SM40" s="43"/>
      <c r="SN40" s="43"/>
      <c r="SO40" s="43"/>
      <c r="SP40" s="43"/>
      <c r="SQ40" s="43"/>
      <c r="SR40" s="43"/>
      <c r="SS40" s="43"/>
      <c r="ST40" s="43"/>
      <c r="SU40" s="43"/>
      <c r="SV40" s="43"/>
      <c r="SW40" s="43"/>
      <c r="SX40" s="43"/>
      <c r="SY40" s="43"/>
      <c r="SZ40" s="43"/>
      <c r="TA40" s="43"/>
      <c r="TB40" s="43"/>
      <c r="TC40" s="43"/>
      <c r="TD40" s="43"/>
      <c r="TE40" s="43"/>
      <c r="TF40" s="43"/>
      <c r="TG40" s="43"/>
      <c r="TH40" s="43"/>
      <c r="TI40" s="43"/>
      <c r="TJ40" s="43"/>
      <c r="TK40" s="43"/>
      <c r="TL40" s="43"/>
      <c r="TM40" s="43"/>
      <c r="TN40" s="43"/>
      <c r="TO40" s="43"/>
      <c r="TP40" s="43"/>
      <c r="TQ40" s="43"/>
      <c r="TR40" s="43"/>
      <c r="TS40" s="43"/>
      <c r="TT40" s="43"/>
      <c r="TU40" s="43"/>
      <c r="TV40" s="43"/>
      <c r="TW40" s="43"/>
      <c r="TX40" s="43"/>
      <c r="TY40" s="43"/>
      <c r="TZ40" s="43"/>
      <c r="UA40" s="43"/>
      <c r="UB40" s="43"/>
      <c r="UC40" s="43"/>
      <c r="UD40" s="43"/>
      <c r="UE40" s="43"/>
      <c r="UF40" s="43"/>
      <c r="UG40" s="43"/>
      <c r="UH40" s="43"/>
      <c r="UI40" s="43"/>
      <c r="UJ40" s="43"/>
      <c r="UK40" s="43"/>
      <c r="UL40" s="43"/>
      <c r="UM40" s="43"/>
      <c r="UN40" s="43"/>
      <c r="UO40" s="43"/>
      <c r="UP40" s="43"/>
      <c r="UQ40" s="43"/>
      <c r="UR40" s="43"/>
      <c r="US40" s="43"/>
      <c r="UT40" s="43"/>
      <c r="UU40" s="43"/>
      <c r="UV40" s="43"/>
      <c r="UW40" s="43"/>
      <c r="UX40" s="43" t="s">
        <v>760</v>
      </c>
      <c r="UY40" s="43"/>
      <c r="UZ40" s="43">
        <v>1</v>
      </c>
      <c r="VA40" s="43"/>
      <c r="VB40" s="43"/>
      <c r="VC40" s="43"/>
      <c r="VD40" s="43"/>
      <c r="VE40" s="43"/>
      <c r="VF40" s="43"/>
      <c r="VG40" s="43"/>
      <c r="VH40" s="43"/>
      <c r="VI40" s="43"/>
      <c r="VJ40" s="43"/>
      <c r="VK40" s="43"/>
      <c r="VL40" s="43"/>
      <c r="VM40" s="43"/>
      <c r="VN40" s="43"/>
      <c r="VO40" s="43"/>
      <c r="VP40" s="43"/>
      <c r="VQ40" s="43"/>
      <c r="VR40" s="43"/>
      <c r="VS40" s="43"/>
      <c r="VT40" s="43">
        <v>5.77</v>
      </c>
      <c r="VU40" s="43"/>
      <c r="VV40" s="43"/>
      <c r="VW40" s="43"/>
      <c r="VX40" s="43"/>
      <c r="VY40" s="43"/>
      <c r="VZ40" s="43"/>
      <c r="WA40" s="43"/>
      <c r="WB40" s="43"/>
      <c r="WC40" s="43"/>
      <c r="WD40" s="43"/>
      <c r="WE40" s="43"/>
      <c r="WF40" s="43"/>
      <c r="WG40" s="43"/>
      <c r="WH40" s="43"/>
      <c r="WI40" s="43"/>
      <c r="WJ40" s="43"/>
      <c r="WK40" s="43"/>
      <c r="WL40" s="43"/>
      <c r="WM40" s="43"/>
      <c r="WN40" s="43" t="s">
        <v>747</v>
      </c>
      <c r="WO40" s="43"/>
      <c r="WP40" s="43"/>
      <c r="WQ40" s="43"/>
      <c r="WR40" s="43"/>
      <c r="WS40" s="43"/>
      <c r="WT40" s="43"/>
      <c r="WU40" s="43"/>
      <c r="WV40" s="43"/>
      <c r="WW40" s="43"/>
      <c r="WX40" s="43"/>
      <c r="WY40" s="43"/>
      <c r="WZ40" s="43"/>
      <c r="XA40" s="43"/>
      <c r="XB40" s="43"/>
      <c r="XC40" s="43"/>
      <c r="XD40" s="43"/>
      <c r="XE40" s="43"/>
      <c r="XF40" s="43"/>
      <c r="XG40" s="43"/>
      <c r="XH40" s="43"/>
      <c r="XI40" s="43"/>
      <c r="XJ40" s="43"/>
      <c r="XK40" s="43"/>
      <c r="XL40" s="43"/>
      <c r="XM40" s="43"/>
      <c r="XN40" s="43"/>
      <c r="XO40" s="43"/>
      <c r="XP40" s="43"/>
      <c r="XQ40" s="43"/>
      <c r="XR40" s="43"/>
      <c r="XS40" s="43"/>
      <c r="XT40" s="43"/>
      <c r="XU40" s="43"/>
      <c r="XV40" s="43"/>
      <c r="XW40" s="43"/>
      <c r="XX40" s="43"/>
      <c r="XY40" s="43"/>
      <c r="XZ40" s="43"/>
      <c r="YA40" s="44"/>
      <c r="YB40" s="44"/>
      <c r="YC40" s="44"/>
      <c r="YD40" s="44"/>
      <c r="YE40" s="44"/>
      <c r="YF40" s="43"/>
      <c r="YG40" s="43"/>
      <c r="YH40" s="43"/>
      <c r="YI40" s="43"/>
      <c r="YJ40" s="43"/>
      <c r="YK40" s="43"/>
      <c r="YL40" s="43"/>
      <c r="YM40" s="43"/>
      <c r="YN40" s="43"/>
      <c r="YO40" s="43"/>
      <c r="YP40" s="43"/>
      <c r="YQ40" s="43"/>
      <c r="YR40" s="43"/>
      <c r="YS40" s="43"/>
      <c r="YT40" s="43"/>
      <c r="YU40" s="43"/>
      <c r="YV40" s="43"/>
      <c r="YW40" s="43"/>
      <c r="YX40" s="43"/>
      <c r="YY40" s="43"/>
      <c r="YZ40" s="43"/>
      <c r="ZA40" s="43"/>
      <c r="ZB40" s="43"/>
      <c r="ZC40" s="43"/>
      <c r="ZD40" s="43"/>
      <c r="ZE40" s="43"/>
      <c r="ZF40" s="43"/>
      <c r="ZG40" s="43"/>
      <c r="ZH40" s="43"/>
      <c r="ZI40" s="43"/>
      <c r="ZJ40" s="43"/>
      <c r="ZK40" s="43"/>
      <c r="ZL40" s="43"/>
      <c r="ZM40" s="43"/>
      <c r="ZN40" s="43"/>
      <c r="ZO40" s="43"/>
      <c r="ZP40" s="43"/>
      <c r="ZQ40" s="43"/>
      <c r="ZR40" s="43"/>
      <c r="ZS40" s="43"/>
      <c r="ZT40" s="43"/>
      <c r="ZU40" s="43"/>
      <c r="ZV40" s="43"/>
      <c r="ZW40" s="44"/>
      <c r="ZX40" s="44"/>
      <c r="ZY40" s="44"/>
      <c r="ZZ40" s="44"/>
      <c r="AAA40" s="44"/>
      <c r="AAB40" s="44"/>
      <c r="AAC40" s="44"/>
      <c r="AAD40" s="44"/>
      <c r="AAE40" s="44"/>
      <c r="AAF40" s="44"/>
      <c r="AAG40" s="43"/>
      <c r="AAH40" s="43"/>
      <c r="AAI40" s="43"/>
      <c r="AAJ40" s="43"/>
      <c r="AAK40" s="43"/>
      <c r="AAL40" s="43"/>
      <c r="AAM40" s="43"/>
      <c r="AAN40" s="43"/>
      <c r="AAO40" s="43"/>
      <c r="AAP40" s="43"/>
      <c r="AAQ40" s="43"/>
      <c r="AAR40" s="43"/>
      <c r="AAS40" s="43"/>
      <c r="AAT40" s="43"/>
      <c r="AAU40" s="43"/>
      <c r="AAV40" s="43"/>
      <c r="AAW40" s="43"/>
      <c r="AAX40" s="43"/>
      <c r="AAY40" s="43"/>
      <c r="AAZ40" s="43"/>
      <c r="ABA40" s="43"/>
      <c r="ABB40" s="43"/>
      <c r="ABC40" s="43"/>
      <c r="ABD40" s="43"/>
      <c r="ABE40" s="43"/>
      <c r="ABF40" s="43"/>
      <c r="ABG40" s="43"/>
      <c r="ABH40" s="43"/>
      <c r="ABI40" s="43"/>
      <c r="ABJ40" s="43"/>
      <c r="ABK40" s="43"/>
      <c r="ABL40" s="43"/>
      <c r="ABM40" s="43"/>
      <c r="ABN40" s="43"/>
      <c r="ABO40" s="43"/>
      <c r="ABP40" s="43"/>
      <c r="ABQ40" s="43"/>
      <c r="ABR40" s="43"/>
      <c r="ABS40" s="43"/>
      <c r="ABT40" s="43"/>
      <c r="ABU40" s="43"/>
      <c r="ABV40" s="43"/>
      <c r="ABW40" s="43"/>
      <c r="ABX40" s="43"/>
      <c r="ABY40" s="43"/>
      <c r="ABZ40" s="43"/>
      <c r="ACA40" s="43"/>
      <c r="ACB40" s="43"/>
      <c r="ACC40" s="43"/>
      <c r="ACD40" s="43"/>
      <c r="ACE40" s="43"/>
      <c r="ACF40" s="43"/>
      <c r="ACG40" s="43"/>
      <c r="ACH40" s="45"/>
    </row>
    <row r="41" spans="1:762" x14ac:dyDescent="0.25">
      <c r="A41" s="46" t="s">
        <v>80</v>
      </c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51">
        <v>0.96</v>
      </c>
      <c r="AD41" s="51"/>
      <c r="AE41" s="51"/>
      <c r="AF41" s="51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>
        <v>32.799999999999997</v>
      </c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7"/>
      <c r="CA41" s="47"/>
      <c r="CB41" s="47"/>
      <c r="CC41" s="47"/>
      <c r="CD41" s="47"/>
      <c r="CE41" s="47"/>
      <c r="CF41" s="47"/>
      <c r="CG41" s="47"/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7"/>
      <c r="CU41" s="47"/>
      <c r="CV41" s="47"/>
      <c r="CW41" s="47"/>
      <c r="CX41" s="47"/>
      <c r="CY41" s="47"/>
      <c r="CZ41" s="47"/>
      <c r="DA41" s="47"/>
      <c r="DB41" s="47"/>
      <c r="DC41" s="47"/>
      <c r="DD41" s="47">
        <v>9400</v>
      </c>
      <c r="DE41" s="47"/>
      <c r="DF41" s="47">
        <v>10000</v>
      </c>
      <c r="DG41" s="47"/>
      <c r="DH41" s="47"/>
      <c r="DI41" s="47"/>
      <c r="DJ41" s="47"/>
      <c r="DK41" s="47"/>
      <c r="DL41" s="47"/>
      <c r="DM41" s="47"/>
      <c r="DN41" s="47"/>
      <c r="DO41" s="47"/>
      <c r="DP41" s="47"/>
      <c r="DQ41" s="47"/>
      <c r="DR41" s="47"/>
      <c r="DS41" s="47"/>
      <c r="DT41" s="47"/>
      <c r="DU41" s="47"/>
      <c r="DV41" s="47"/>
      <c r="DW41" s="47"/>
      <c r="DX41" s="47"/>
      <c r="DY41" s="47"/>
      <c r="DZ41" s="47"/>
      <c r="EA41" s="47"/>
      <c r="EB41" s="47"/>
      <c r="EC41" s="47"/>
      <c r="ED41" s="47"/>
      <c r="EE41" s="47"/>
      <c r="EF41" s="47">
        <v>1485</v>
      </c>
      <c r="EG41" s="47"/>
      <c r="EH41" s="47"/>
      <c r="EI41" s="47"/>
      <c r="EJ41" s="47">
        <v>1614</v>
      </c>
      <c r="EK41" s="47"/>
      <c r="EL41" s="47"/>
      <c r="EM41" s="47"/>
      <c r="EN41" s="47"/>
      <c r="EO41" s="47"/>
      <c r="EP41" s="47"/>
      <c r="EQ41" s="47"/>
      <c r="ER41" s="47">
        <v>1728</v>
      </c>
      <c r="ES41" s="47"/>
      <c r="ET41" s="47"/>
      <c r="EU41" s="47"/>
      <c r="EV41" s="47"/>
      <c r="EW41" s="47"/>
      <c r="EX41" s="47">
        <v>912</v>
      </c>
      <c r="EY41" s="47"/>
      <c r="EZ41" s="47"/>
      <c r="FA41" s="47"/>
      <c r="FB41" s="47"/>
      <c r="FC41" s="47"/>
      <c r="FD41" s="47"/>
      <c r="FE41" s="47"/>
      <c r="FF41" s="47"/>
      <c r="FG41" s="47"/>
      <c r="FH41" s="47"/>
      <c r="FI41" s="47"/>
      <c r="FJ41" s="47"/>
      <c r="FK41" s="47"/>
      <c r="FL41" s="47"/>
      <c r="FM41" s="47"/>
      <c r="FN41" s="47"/>
      <c r="FO41" s="47"/>
      <c r="FP41" s="47"/>
      <c r="FQ41" s="47"/>
      <c r="FR41" s="47"/>
      <c r="FS41" s="47"/>
      <c r="FT41" s="47"/>
      <c r="FU41" s="47"/>
      <c r="FV41" s="47"/>
      <c r="FW41" s="47"/>
      <c r="FX41" s="47"/>
      <c r="FY41" s="47"/>
      <c r="FZ41" s="47"/>
      <c r="GA41" s="47"/>
      <c r="GB41" s="47"/>
      <c r="GC41" s="47"/>
      <c r="GD41" s="47"/>
      <c r="GE41" s="47"/>
      <c r="GF41" s="47"/>
      <c r="GG41" s="47"/>
      <c r="GH41" s="47"/>
      <c r="GI41" s="47"/>
      <c r="GJ41" s="47"/>
      <c r="GK41" s="47"/>
      <c r="GL41" s="47"/>
      <c r="GM41" s="47"/>
      <c r="GN41" s="47"/>
      <c r="GO41" s="47"/>
      <c r="GP41" s="47"/>
      <c r="GQ41" s="47"/>
      <c r="GR41" s="47"/>
      <c r="GS41" s="47"/>
      <c r="GT41" s="47"/>
      <c r="GU41" s="47">
        <v>2376</v>
      </c>
      <c r="GV41" s="47"/>
      <c r="GW41" s="47"/>
      <c r="GX41" s="47">
        <v>2262</v>
      </c>
      <c r="GY41" s="47"/>
      <c r="GZ41" s="47"/>
      <c r="HA41" s="47"/>
      <c r="HB41" s="47"/>
      <c r="HC41" s="47"/>
      <c r="HD41" s="47"/>
      <c r="HE41" s="47"/>
      <c r="HF41" s="47">
        <v>1722</v>
      </c>
      <c r="HG41" s="47"/>
      <c r="HH41" s="47"/>
      <c r="HI41" s="47"/>
      <c r="HJ41" s="47"/>
      <c r="HK41" s="47"/>
      <c r="HL41" s="47">
        <v>1548</v>
      </c>
      <c r="HM41" s="47"/>
      <c r="HN41" s="47"/>
      <c r="HO41" s="47"/>
      <c r="HP41" s="47"/>
      <c r="HQ41" s="47"/>
      <c r="HR41" s="47"/>
      <c r="HS41" s="47"/>
      <c r="HT41" s="47"/>
      <c r="HU41" s="47"/>
      <c r="HV41" s="47"/>
      <c r="HW41" s="47"/>
      <c r="HX41" s="47"/>
      <c r="HY41" s="47"/>
      <c r="HZ41" s="47"/>
      <c r="IA41" s="47"/>
      <c r="IB41" s="47"/>
      <c r="IC41" s="47"/>
      <c r="ID41" s="47"/>
      <c r="IE41" s="47"/>
      <c r="IF41" s="47"/>
      <c r="IG41" s="47"/>
      <c r="IH41" s="47"/>
      <c r="II41" s="47"/>
      <c r="IJ41" s="47"/>
      <c r="IK41" s="47"/>
      <c r="IL41" s="47"/>
      <c r="IM41" s="47"/>
      <c r="IN41" s="47"/>
      <c r="IO41" s="47"/>
      <c r="IP41" s="47"/>
      <c r="IQ41" s="47"/>
      <c r="IR41" s="47"/>
      <c r="IS41" s="47"/>
      <c r="IT41" s="47"/>
      <c r="IU41" s="47"/>
      <c r="IV41" s="47"/>
      <c r="IW41" s="47"/>
      <c r="IX41" s="47"/>
      <c r="IY41" s="47"/>
      <c r="IZ41" s="47"/>
      <c r="JA41" s="47"/>
      <c r="JB41" s="47"/>
      <c r="JC41" s="47"/>
      <c r="JD41" s="47"/>
      <c r="JE41" s="47"/>
      <c r="JF41" s="47"/>
      <c r="JG41" s="47"/>
      <c r="JH41" s="47">
        <v>243</v>
      </c>
      <c r="JI41" s="47"/>
      <c r="JJ41" s="47"/>
      <c r="JK41" s="47"/>
      <c r="JL41" s="47"/>
      <c r="JM41" s="47"/>
      <c r="JN41" s="47"/>
      <c r="JO41" s="47"/>
      <c r="JP41" s="47"/>
      <c r="JQ41" s="47"/>
      <c r="JR41" s="47"/>
      <c r="JS41" s="47"/>
      <c r="JT41" s="47"/>
      <c r="JU41" s="47"/>
      <c r="JV41" s="47"/>
      <c r="JW41" s="47"/>
      <c r="JX41" s="47"/>
      <c r="JY41" s="47"/>
      <c r="JZ41" s="47"/>
      <c r="KA41" s="47"/>
      <c r="KB41" s="47"/>
      <c r="KC41" s="47"/>
      <c r="KD41" s="47"/>
      <c r="KE41" s="47"/>
      <c r="KF41" s="47"/>
      <c r="KG41" s="47"/>
      <c r="KH41" s="47"/>
      <c r="KI41" s="47"/>
      <c r="KJ41" s="47"/>
      <c r="KK41" s="47"/>
      <c r="KL41" s="47"/>
      <c r="KM41" s="47"/>
      <c r="KN41" s="47"/>
      <c r="KO41" s="47"/>
      <c r="KP41" s="47"/>
      <c r="KQ41" s="47"/>
      <c r="KR41" s="47"/>
      <c r="KS41" s="47"/>
      <c r="KT41" s="47"/>
      <c r="KU41" s="47"/>
      <c r="KV41" s="47"/>
      <c r="KW41" s="47"/>
      <c r="KX41" s="47"/>
      <c r="KY41" s="47"/>
      <c r="KZ41" s="47"/>
      <c r="LA41" s="47"/>
      <c r="LB41" s="47"/>
      <c r="LC41" s="47"/>
      <c r="LD41" s="47"/>
      <c r="LE41" s="47"/>
      <c r="LF41" s="47"/>
      <c r="LG41" s="47"/>
      <c r="LH41" s="47"/>
      <c r="LI41" s="47"/>
      <c r="LJ41" s="47"/>
      <c r="LK41" s="47"/>
      <c r="LL41" s="47"/>
      <c r="LM41" s="47"/>
      <c r="LN41" s="47"/>
      <c r="LO41" s="47"/>
      <c r="LP41" s="47"/>
      <c r="LQ41" s="47"/>
      <c r="LR41" s="47"/>
      <c r="LS41" s="47"/>
      <c r="LT41" s="47"/>
      <c r="LU41" s="47"/>
      <c r="LV41" s="47"/>
      <c r="LW41" s="47">
        <v>414</v>
      </c>
      <c r="LX41" s="47"/>
      <c r="LY41" s="47"/>
      <c r="LZ41" s="47"/>
      <c r="MA41" s="47"/>
      <c r="MB41" s="47"/>
      <c r="MC41" s="47"/>
      <c r="MD41" s="47"/>
      <c r="ME41" s="47">
        <v>288</v>
      </c>
      <c r="MF41" s="47"/>
      <c r="MG41" s="47"/>
      <c r="MH41" s="47"/>
      <c r="MI41" s="47"/>
      <c r="MJ41" s="47"/>
      <c r="MK41" s="47">
        <v>258</v>
      </c>
      <c r="ML41" s="47"/>
      <c r="MM41" s="47"/>
      <c r="MN41" s="47"/>
      <c r="MO41" s="47"/>
      <c r="MP41" s="47"/>
      <c r="MQ41" s="47"/>
      <c r="MR41" s="47"/>
      <c r="MS41" s="47"/>
      <c r="MT41" s="47"/>
      <c r="MU41" s="47"/>
      <c r="MV41" s="47"/>
      <c r="MW41" s="47"/>
      <c r="MX41" s="47"/>
      <c r="MY41" s="47"/>
      <c r="MZ41" s="47"/>
      <c r="NA41" s="47"/>
      <c r="NB41" s="47"/>
      <c r="NC41" s="47"/>
      <c r="ND41" s="47"/>
      <c r="NE41" s="47"/>
      <c r="NF41" s="47"/>
      <c r="NG41" s="47"/>
      <c r="NH41" s="47"/>
      <c r="NI41" s="47"/>
      <c r="NJ41" s="44"/>
      <c r="NK41" s="44"/>
      <c r="NL41" s="44"/>
      <c r="NM41" s="44"/>
      <c r="NN41" s="44"/>
      <c r="NO41" s="47">
        <v>208</v>
      </c>
      <c r="NP41" s="47"/>
      <c r="NQ41" s="47"/>
      <c r="NR41" s="47">
        <v>22.7</v>
      </c>
      <c r="NS41" s="47"/>
      <c r="NT41" s="47"/>
      <c r="NU41" s="47"/>
      <c r="NV41" s="47"/>
      <c r="NW41" s="47"/>
      <c r="NX41" s="47"/>
      <c r="NY41" s="47"/>
      <c r="NZ41" s="47"/>
      <c r="OA41" s="47">
        <v>154</v>
      </c>
      <c r="OB41" s="47"/>
      <c r="OC41" s="47"/>
      <c r="OD41" s="47"/>
      <c r="OE41" s="47"/>
      <c r="OF41" s="47">
        <v>115</v>
      </c>
      <c r="OG41" s="47"/>
      <c r="OH41" s="47"/>
      <c r="OI41" s="47"/>
      <c r="OJ41" s="47"/>
      <c r="OK41" s="47"/>
      <c r="OL41" s="47"/>
      <c r="OM41" s="47"/>
      <c r="ON41" s="47"/>
      <c r="OO41" s="47"/>
      <c r="OP41" s="47"/>
      <c r="OQ41" s="47"/>
      <c r="OR41" s="47"/>
      <c r="OS41" s="47"/>
      <c r="OT41" s="47"/>
      <c r="OU41" s="47"/>
      <c r="OV41" s="47"/>
      <c r="OW41" s="47"/>
      <c r="OX41" s="47"/>
      <c r="OY41" s="47"/>
      <c r="OZ41" s="47"/>
      <c r="PA41" s="47"/>
      <c r="PB41" s="47"/>
      <c r="PC41" s="47"/>
      <c r="PD41" s="47"/>
      <c r="PE41" s="47"/>
      <c r="PF41" s="47"/>
      <c r="PG41" s="47"/>
      <c r="PH41" s="47"/>
      <c r="PI41" s="47"/>
      <c r="PJ41" s="47"/>
      <c r="PK41" s="47"/>
      <c r="PL41" s="47"/>
      <c r="PM41" s="47"/>
      <c r="PN41" s="47"/>
      <c r="PO41" s="47"/>
      <c r="PP41" s="47"/>
      <c r="PQ41" s="47"/>
      <c r="PR41" s="47"/>
      <c r="PS41" s="47"/>
      <c r="PT41" s="47"/>
      <c r="PU41" s="47"/>
      <c r="PV41" s="47"/>
      <c r="PW41" s="47"/>
      <c r="PX41" s="47"/>
      <c r="PY41" s="47"/>
      <c r="PZ41" s="47"/>
      <c r="QA41" s="47"/>
      <c r="QB41" s="47"/>
      <c r="QC41" s="47"/>
      <c r="QD41" s="47"/>
      <c r="QE41" s="47"/>
      <c r="QF41" s="47"/>
      <c r="QG41" s="47"/>
      <c r="QH41" s="47"/>
      <c r="QI41" s="47"/>
      <c r="QJ41" s="47"/>
      <c r="QK41" s="47" t="s">
        <v>2000</v>
      </c>
      <c r="QL41" s="47"/>
      <c r="QM41" s="47"/>
      <c r="QN41" s="47">
        <v>219</v>
      </c>
      <c r="QO41" s="47"/>
      <c r="QP41" s="47"/>
      <c r="QQ41" s="47"/>
      <c r="QR41" s="47"/>
      <c r="QS41" s="47"/>
      <c r="QT41" s="47"/>
      <c r="QU41" s="47"/>
      <c r="QV41" s="47" t="s">
        <v>2001</v>
      </c>
      <c r="QW41" s="47"/>
      <c r="QX41" s="47"/>
      <c r="QY41" s="47"/>
      <c r="QZ41" s="47"/>
      <c r="RA41" s="47"/>
      <c r="RB41" s="47" t="s">
        <v>2002</v>
      </c>
      <c r="RC41" s="47"/>
      <c r="RD41" s="47"/>
      <c r="RE41" s="47"/>
      <c r="RF41" s="47"/>
      <c r="RG41" s="47"/>
      <c r="RH41" s="47"/>
      <c r="RI41" s="47"/>
      <c r="RJ41" s="47"/>
      <c r="RK41" s="47"/>
      <c r="RL41" s="47"/>
      <c r="RM41" s="47"/>
      <c r="RN41" s="47"/>
      <c r="RO41" s="47"/>
      <c r="RP41" s="47"/>
      <c r="RQ41" s="47"/>
      <c r="RR41" s="47"/>
      <c r="RS41" s="47"/>
      <c r="RT41" s="47"/>
      <c r="RU41" s="47"/>
      <c r="RV41" s="47"/>
      <c r="RW41" s="47"/>
      <c r="RX41" s="47"/>
      <c r="RY41" s="47"/>
      <c r="RZ41" s="47"/>
      <c r="SA41" s="47"/>
      <c r="SB41" s="47"/>
      <c r="SC41" s="47"/>
      <c r="SD41" s="47"/>
      <c r="SE41" s="47"/>
      <c r="SF41" s="47"/>
      <c r="SG41" s="47"/>
      <c r="SH41" s="47"/>
      <c r="SI41" s="47"/>
      <c r="SJ41" s="47"/>
      <c r="SK41" s="47"/>
      <c r="SL41" s="47"/>
      <c r="SM41" s="47"/>
      <c r="SN41" s="47"/>
      <c r="SO41" s="47"/>
      <c r="SP41" s="47"/>
      <c r="SQ41" s="47"/>
      <c r="SR41" s="47"/>
      <c r="SS41" s="47"/>
      <c r="ST41" s="47"/>
      <c r="SU41" s="47"/>
      <c r="SV41" s="47"/>
      <c r="SW41" s="47"/>
      <c r="SX41" s="47"/>
      <c r="SY41" s="47"/>
      <c r="SZ41" s="47"/>
      <c r="TA41" s="47"/>
      <c r="TB41" s="47"/>
      <c r="TC41" s="47"/>
      <c r="TD41" s="47"/>
      <c r="TE41" s="47"/>
      <c r="TF41" s="47"/>
      <c r="TG41" s="47"/>
      <c r="TH41" s="47"/>
      <c r="TI41" s="47"/>
      <c r="TJ41" s="47"/>
      <c r="TK41" s="47"/>
      <c r="TL41" s="47"/>
      <c r="TM41" s="47"/>
      <c r="TN41" s="47"/>
      <c r="TO41" s="47"/>
      <c r="TP41" s="47"/>
      <c r="TQ41" s="47"/>
      <c r="TR41" s="47"/>
      <c r="TS41" s="47"/>
      <c r="TT41" s="47"/>
      <c r="TU41" s="47"/>
      <c r="TV41" s="47"/>
      <c r="TW41" s="47"/>
      <c r="TX41" s="47">
        <v>98</v>
      </c>
      <c r="TY41" s="47"/>
      <c r="TZ41" s="47"/>
      <c r="UA41" s="47"/>
      <c r="UB41" s="47"/>
      <c r="UC41" s="47"/>
      <c r="UD41" s="47"/>
      <c r="UE41" s="47"/>
      <c r="UF41" s="47"/>
      <c r="UG41" s="47"/>
      <c r="UH41" s="47"/>
      <c r="UI41" s="47"/>
      <c r="UJ41" s="47"/>
      <c r="UK41" s="47"/>
      <c r="UL41" s="47"/>
      <c r="UM41" s="47"/>
      <c r="UN41" s="47"/>
      <c r="UO41" s="47"/>
      <c r="UP41" s="47"/>
      <c r="UQ41" s="47"/>
      <c r="UR41" s="47"/>
      <c r="US41" s="47"/>
      <c r="UT41" s="47"/>
      <c r="UU41" s="47"/>
      <c r="UV41" s="47"/>
      <c r="UW41" s="47"/>
      <c r="UX41" s="47"/>
      <c r="UY41" s="47"/>
      <c r="UZ41" s="47"/>
      <c r="VA41" s="47"/>
      <c r="VB41" s="47"/>
      <c r="VC41" s="47"/>
      <c r="VD41" s="47"/>
      <c r="VE41" s="47"/>
      <c r="VF41" s="47"/>
      <c r="VG41" s="47"/>
      <c r="VH41" s="47"/>
      <c r="VI41" s="47"/>
      <c r="VJ41" s="47"/>
      <c r="VK41" s="47"/>
      <c r="VL41" s="47"/>
      <c r="VM41" s="47"/>
      <c r="VN41" s="47"/>
      <c r="VO41" s="47"/>
      <c r="VP41" s="47"/>
      <c r="VQ41" s="47"/>
      <c r="VR41" s="47"/>
      <c r="VS41" s="47"/>
      <c r="VT41" s="47"/>
      <c r="VU41" s="47"/>
      <c r="VV41" s="47"/>
      <c r="VW41" s="47"/>
      <c r="VX41" s="47"/>
      <c r="VY41" s="47"/>
      <c r="VZ41" s="47"/>
      <c r="WA41" s="47"/>
      <c r="WB41" s="47"/>
      <c r="WC41" s="47"/>
      <c r="WD41" s="47"/>
      <c r="WE41" s="47"/>
      <c r="WF41" s="47"/>
      <c r="WG41" s="47"/>
      <c r="WH41" s="47"/>
      <c r="WI41" s="47"/>
      <c r="WJ41" s="47"/>
      <c r="WK41" s="47"/>
      <c r="WL41" s="47"/>
      <c r="WM41" s="47"/>
      <c r="WN41" s="47"/>
      <c r="WO41" s="47" t="s">
        <v>2015</v>
      </c>
      <c r="WP41" s="47"/>
      <c r="WQ41" s="47"/>
      <c r="WR41" s="47"/>
      <c r="WS41" s="47"/>
      <c r="WT41" s="47"/>
      <c r="WU41" s="47"/>
      <c r="WV41" s="47"/>
      <c r="WW41" s="47"/>
      <c r="WX41" s="47"/>
      <c r="WY41" s="47"/>
      <c r="WZ41" s="47"/>
      <c r="XA41" s="47"/>
      <c r="XB41" s="47"/>
      <c r="XC41" s="47"/>
      <c r="XD41" s="47"/>
      <c r="XE41" s="47"/>
      <c r="XF41" s="47"/>
      <c r="XG41" s="47"/>
      <c r="XH41" s="47">
        <v>5</v>
      </c>
      <c r="XI41" s="47"/>
      <c r="XJ41" s="47"/>
      <c r="XK41" s="47"/>
      <c r="XL41" s="47"/>
      <c r="XM41" s="47"/>
      <c r="XN41" s="47"/>
      <c r="XO41" s="47"/>
      <c r="XP41" s="47"/>
      <c r="XQ41" s="47"/>
      <c r="XR41" s="47"/>
      <c r="XS41" s="47"/>
      <c r="XT41" s="47"/>
      <c r="XU41" s="47"/>
      <c r="XV41" s="47"/>
      <c r="XW41" s="47"/>
      <c r="XX41" s="47"/>
      <c r="XY41" s="47"/>
      <c r="XZ41" s="47"/>
      <c r="YA41" s="44"/>
      <c r="YB41" s="44"/>
      <c r="YC41" s="44"/>
      <c r="YD41" s="44"/>
      <c r="YE41" s="44"/>
      <c r="YF41" s="47"/>
      <c r="YG41" s="47"/>
      <c r="YH41" s="47"/>
      <c r="YI41" s="47"/>
      <c r="YJ41" s="47"/>
      <c r="YK41" s="47"/>
      <c r="YL41" s="47"/>
      <c r="YM41" s="47"/>
      <c r="YN41" s="47"/>
      <c r="YO41" s="47"/>
      <c r="YP41" s="47"/>
      <c r="YQ41" s="47"/>
      <c r="YR41" s="47"/>
      <c r="YS41" s="47"/>
      <c r="YT41" s="47"/>
      <c r="YU41" s="47"/>
      <c r="YV41" s="47"/>
      <c r="YW41" s="47"/>
      <c r="YX41" s="47"/>
      <c r="YY41" s="47"/>
      <c r="YZ41" s="47"/>
      <c r="ZA41" s="47"/>
      <c r="ZB41" s="47"/>
      <c r="ZC41" s="47"/>
      <c r="ZD41" s="47"/>
      <c r="ZE41" s="47"/>
      <c r="ZF41" s="47"/>
      <c r="ZG41" s="47"/>
      <c r="ZH41" s="47"/>
      <c r="ZI41" s="47"/>
      <c r="ZJ41" s="47"/>
      <c r="ZK41" s="47"/>
      <c r="ZL41" s="47"/>
      <c r="ZM41" s="47"/>
      <c r="ZN41" s="47"/>
      <c r="ZO41" s="47"/>
      <c r="ZP41" s="47"/>
      <c r="ZQ41" s="47"/>
      <c r="ZR41" s="47"/>
      <c r="ZS41" s="47"/>
      <c r="ZT41" s="47"/>
      <c r="ZU41" s="47"/>
      <c r="ZV41" s="47"/>
      <c r="ZW41" s="44"/>
      <c r="ZX41" s="44"/>
      <c r="ZY41" s="44"/>
      <c r="ZZ41" s="44"/>
      <c r="AAA41" s="44"/>
      <c r="AAB41" s="44"/>
      <c r="AAC41" s="44"/>
      <c r="AAD41" s="44"/>
      <c r="AAE41" s="44"/>
      <c r="AAF41" s="44"/>
      <c r="AAG41" s="47"/>
      <c r="AAH41" s="47"/>
      <c r="AAI41" s="47"/>
      <c r="AAJ41" s="47"/>
      <c r="AAK41" s="47"/>
      <c r="AAL41" s="47"/>
      <c r="AAM41" s="47"/>
      <c r="AAN41" s="47"/>
      <c r="AAO41" s="47"/>
      <c r="AAP41" s="47"/>
      <c r="AAQ41" s="47"/>
      <c r="AAR41" s="47"/>
      <c r="AAS41" s="47"/>
      <c r="AAT41" s="47"/>
      <c r="AAU41" s="47"/>
      <c r="AAV41" s="47"/>
      <c r="AAW41" s="47"/>
      <c r="AAX41" s="47"/>
      <c r="AAY41" s="47"/>
      <c r="AAZ41" s="47"/>
      <c r="ABA41" s="47"/>
      <c r="ABB41" s="47"/>
      <c r="ABC41" s="47"/>
      <c r="ABD41" s="47"/>
      <c r="ABE41" s="47"/>
      <c r="ABF41" s="47"/>
      <c r="ABG41" s="47"/>
      <c r="ABH41" s="47"/>
      <c r="ABI41" s="47"/>
      <c r="ABJ41" s="47"/>
      <c r="ABK41" s="47"/>
      <c r="ABL41" s="47"/>
      <c r="ABM41" s="47"/>
      <c r="ABN41" s="47"/>
      <c r="ABO41" s="47"/>
      <c r="ABP41" s="47"/>
      <c r="ABQ41" s="47"/>
      <c r="ABR41" s="47"/>
      <c r="ABS41" s="47"/>
      <c r="ABT41" s="47"/>
      <c r="ABU41" s="47"/>
      <c r="ABV41" s="47"/>
      <c r="ABW41" s="47"/>
      <c r="ABX41" s="47"/>
      <c r="ABY41" s="47"/>
      <c r="ABZ41" s="47"/>
      <c r="ACA41" s="47"/>
      <c r="ACB41" s="47"/>
      <c r="ACC41" s="47"/>
      <c r="ACD41" s="47"/>
      <c r="ACE41" s="47"/>
      <c r="ACF41" s="47"/>
      <c r="ACG41" s="47"/>
      <c r="ACH41" s="48"/>
    </row>
    <row r="42" spans="1:762" x14ac:dyDescent="0.25">
      <c r="A42" s="42" t="s">
        <v>82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3"/>
      <c r="BZ42" s="43"/>
      <c r="CA42" s="43"/>
      <c r="CB42" s="43"/>
      <c r="CC42" s="43"/>
      <c r="CD42" s="43"/>
      <c r="CE42" s="43"/>
      <c r="CF42" s="43"/>
      <c r="CG42" s="43"/>
      <c r="CH42" s="43"/>
      <c r="CI42" s="43"/>
      <c r="CJ42" s="43"/>
      <c r="CK42" s="43"/>
      <c r="CL42" s="43"/>
      <c r="CM42" s="43"/>
      <c r="CN42" s="43"/>
      <c r="CO42" s="43"/>
      <c r="CP42" s="43"/>
      <c r="CQ42" s="43"/>
      <c r="CR42" s="43"/>
      <c r="CS42" s="43"/>
      <c r="CT42" s="43"/>
      <c r="CU42" s="43"/>
      <c r="CV42" s="43"/>
      <c r="CW42" s="43"/>
      <c r="CX42" s="43"/>
      <c r="CY42" s="43"/>
      <c r="CZ42" s="43"/>
      <c r="DA42" s="43"/>
      <c r="DB42" s="43"/>
      <c r="DC42" s="43"/>
      <c r="DD42" s="43">
        <v>8300</v>
      </c>
      <c r="DE42" s="43"/>
      <c r="DF42" s="43"/>
      <c r="DG42" s="43"/>
      <c r="DH42" s="43"/>
      <c r="DI42" s="43"/>
      <c r="DJ42" s="43"/>
      <c r="DK42" s="43"/>
      <c r="DL42" s="43"/>
      <c r="DM42" s="43"/>
      <c r="DN42" s="43"/>
      <c r="DO42" s="43"/>
      <c r="DP42" s="43"/>
      <c r="DQ42" s="43"/>
      <c r="DR42" s="43"/>
      <c r="DS42" s="43"/>
      <c r="DT42" s="43"/>
      <c r="DU42" s="43"/>
      <c r="DV42" s="43"/>
      <c r="DW42" s="43"/>
      <c r="DX42" s="43"/>
      <c r="DY42" s="43"/>
      <c r="DZ42" s="43"/>
      <c r="EA42" s="43"/>
      <c r="EB42" s="43"/>
      <c r="EC42" s="43"/>
      <c r="ED42" s="43"/>
      <c r="EE42" s="43"/>
      <c r="EF42" s="43">
        <v>161</v>
      </c>
      <c r="EG42" s="43"/>
      <c r="EH42" s="43"/>
      <c r="EI42" s="43"/>
      <c r="EJ42" s="43"/>
      <c r="EK42" s="43"/>
      <c r="EL42" s="43"/>
      <c r="EM42" s="43"/>
      <c r="EN42" s="43"/>
      <c r="EO42" s="43"/>
      <c r="EP42" s="43"/>
      <c r="EQ42" s="43"/>
      <c r="ER42" s="43"/>
      <c r="ES42" s="43"/>
      <c r="ET42" s="43"/>
      <c r="EU42" s="43"/>
      <c r="EV42" s="43"/>
      <c r="EW42" s="43"/>
      <c r="EX42" s="43"/>
      <c r="EY42" s="43"/>
      <c r="EZ42" s="43"/>
      <c r="FA42" s="43"/>
      <c r="FB42" s="43"/>
      <c r="FC42" s="43"/>
      <c r="FD42" s="43"/>
      <c r="FE42" s="43">
        <v>20.5</v>
      </c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>
        <v>920</v>
      </c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>
        <v>45.8</v>
      </c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  <c r="IU42" s="43"/>
      <c r="IV42" s="43"/>
      <c r="IW42" s="43"/>
      <c r="IX42" s="43"/>
      <c r="IY42" s="43"/>
      <c r="IZ42" s="43"/>
      <c r="JA42" s="43"/>
      <c r="JB42" s="43"/>
      <c r="JC42" s="43"/>
      <c r="JD42" s="43"/>
      <c r="JE42" s="43"/>
      <c r="JF42" s="43"/>
      <c r="JG42" s="43"/>
      <c r="JH42" s="43"/>
      <c r="JI42" s="43"/>
      <c r="JJ42" s="43"/>
      <c r="JK42" s="43"/>
      <c r="JL42" s="43"/>
      <c r="JM42" s="43"/>
      <c r="JN42" s="43"/>
      <c r="JO42" s="43"/>
      <c r="JP42" s="43"/>
      <c r="JQ42" s="43"/>
      <c r="JR42" s="43"/>
      <c r="JS42" s="43"/>
      <c r="JT42" s="43"/>
      <c r="JU42" s="43"/>
      <c r="JV42" s="43"/>
      <c r="JW42" s="43"/>
      <c r="JX42" s="43"/>
      <c r="JY42" s="43"/>
      <c r="JZ42" s="43"/>
      <c r="KA42" s="43"/>
      <c r="KB42" s="43"/>
      <c r="KC42" s="43"/>
      <c r="KD42" s="43"/>
      <c r="KE42" s="43"/>
      <c r="KF42" s="43"/>
      <c r="KG42" s="43"/>
      <c r="KH42" s="43"/>
      <c r="KI42" s="43"/>
      <c r="KJ42" s="43"/>
      <c r="KK42" s="43"/>
      <c r="KL42" s="43"/>
      <c r="KM42" s="43"/>
      <c r="KN42" s="43"/>
      <c r="KO42" s="43"/>
      <c r="KP42" s="43"/>
      <c r="KQ42" s="43"/>
      <c r="KR42" s="43"/>
      <c r="KS42" s="43"/>
      <c r="KT42" s="43"/>
      <c r="KU42" s="43"/>
      <c r="KV42" s="43"/>
      <c r="KW42" s="43"/>
      <c r="KX42" s="43"/>
      <c r="KY42" s="43"/>
      <c r="KZ42" s="43"/>
      <c r="LA42" s="43"/>
      <c r="LB42" s="43"/>
      <c r="LC42" s="43"/>
      <c r="LD42" s="43"/>
      <c r="LE42" s="43"/>
      <c r="LF42" s="43"/>
      <c r="LG42" s="43"/>
      <c r="LH42" s="43"/>
      <c r="LI42" s="43"/>
      <c r="LJ42" s="43"/>
      <c r="LK42" s="43"/>
      <c r="LL42" s="43"/>
      <c r="LM42" s="43"/>
      <c r="LN42" s="43"/>
      <c r="LO42" s="43"/>
      <c r="LP42" s="43"/>
      <c r="LQ42" s="43"/>
      <c r="LR42" s="43"/>
      <c r="LS42" s="43"/>
      <c r="LT42" s="43">
        <v>255</v>
      </c>
      <c r="LU42" s="43"/>
      <c r="LV42" s="43"/>
      <c r="LW42" s="43"/>
      <c r="LX42" s="43"/>
      <c r="LY42" s="43"/>
      <c r="LZ42" s="43"/>
      <c r="MA42" s="43"/>
      <c r="MB42" s="43"/>
      <c r="MC42" s="43"/>
      <c r="MD42" s="43"/>
      <c r="ME42" s="43"/>
      <c r="MF42" s="43"/>
      <c r="MG42" s="43"/>
      <c r="MH42" s="43"/>
      <c r="MI42" s="43"/>
      <c r="MJ42" s="43"/>
      <c r="MK42" s="43"/>
      <c r="ML42" s="43"/>
      <c r="MM42" s="43"/>
      <c r="MN42" s="43"/>
      <c r="MO42" s="43"/>
      <c r="MP42" s="43"/>
      <c r="MQ42" s="43"/>
      <c r="MR42" s="43"/>
      <c r="MS42" s="43"/>
      <c r="MT42" s="43"/>
      <c r="MU42" s="43"/>
      <c r="MV42" s="43"/>
      <c r="MW42" s="43"/>
      <c r="MX42" s="43"/>
      <c r="MY42" s="43"/>
      <c r="MZ42" s="43"/>
      <c r="NA42" s="43"/>
      <c r="NB42" s="43"/>
      <c r="NC42" s="43"/>
      <c r="ND42" s="43"/>
      <c r="NE42" s="43"/>
      <c r="NF42" s="43"/>
      <c r="NG42" s="43"/>
      <c r="NH42" s="43"/>
      <c r="NI42" s="43"/>
      <c r="NJ42" s="44"/>
      <c r="NK42" s="44"/>
      <c r="NL42" s="44"/>
      <c r="NM42" s="44"/>
      <c r="NN42" s="44"/>
      <c r="NO42" s="43">
        <v>33.200000000000003</v>
      </c>
      <c r="NP42" s="43"/>
      <c r="NQ42" s="43"/>
      <c r="NR42" s="43"/>
      <c r="NS42" s="43"/>
      <c r="NT42" s="43"/>
      <c r="NU42" s="43"/>
      <c r="NV42" s="43"/>
      <c r="NW42" s="43"/>
      <c r="NX42" s="43"/>
      <c r="NY42" s="43"/>
      <c r="NZ42" s="43"/>
      <c r="OA42" s="43"/>
      <c r="OB42" s="43"/>
      <c r="OC42" s="43"/>
      <c r="OD42" s="43"/>
      <c r="OE42" s="43"/>
      <c r="OF42" s="43"/>
      <c r="OG42" s="43"/>
      <c r="OH42" s="43"/>
      <c r="OI42" s="43"/>
      <c r="OJ42" s="43"/>
      <c r="OK42" s="43">
        <v>14.8</v>
      </c>
      <c r="OL42" s="43"/>
      <c r="OM42" s="43"/>
      <c r="ON42" s="43"/>
      <c r="OO42" s="43"/>
      <c r="OP42" s="43"/>
      <c r="OQ42" s="43"/>
      <c r="OR42" s="43"/>
      <c r="OS42" s="43"/>
      <c r="OT42" s="43"/>
      <c r="OU42" s="43"/>
      <c r="OV42" s="43"/>
      <c r="OW42" s="43"/>
      <c r="OX42" s="43"/>
      <c r="OY42" s="43"/>
      <c r="OZ42" s="43"/>
      <c r="PA42" s="43"/>
      <c r="PB42" s="43"/>
      <c r="PC42" s="43"/>
      <c r="PD42" s="43"/>
      <c r="PE42" s="43"/>
      <c r="PF42" s="43"/>
      <c r="PG42" s="43"/>
      <c r="PH42" s="43"/>
      <c r="PI42" s="43"/>
      <c r="PJ42" s="43"/>
      <c r="PK42" s="43"/>
      <c r="PL42" s="43"/>
      <c r="PM42" s="43"/>
      <c r="PN42" s="43"/>
      <c r="PO42" s="43"/>
      <c r="PP42" s="43"/>
      <c r="PQ42" s="43"/>
      <c r="PR42" s="43"/>
      <c r="PS42" s="43"/>
      <c r="PT42" s="43"/>
      <c r="PU42" s="43"/>
      <c r="PV42" s="43"/>
      <c r="PW42" s="43"/>
      <c r="PX42" s="43"/>
      <c r="PY42" s="43"/>
      <c r="PZ42" s="43"/>
      <c r="QA42" s="43"/>
      <c r="QB42" s="43"/>
      <c r="QC42" s="43"/>
      <c r="QD42" s="43"/>
      <c r="QE42" s="43"/>
      <c r="QF42" s="43"/>
      <c r="QG42" s="43"/>
      <c r="QH42" s="43"/>
      <c r="QI42" s="43"/>
      <c r="QJ42" s="43"/>
      <c r="QK42" s="43"/>
      <c r="QL42" s="43"/>
      <c r="QM42" s="43"/>
      <c r="QN42" s="43"/>
      <c r="QO42" s="43"/>
      <c r="QP42" s="43"/>
      <c r="QQ42" s="43"/>
      <c r="QR42" s="43"/>
      <c r="QS42" s="43"/>
      <c r="QT42" s="43"/>
      <c r="QU42" s="43"/>
      <c r="QV42" s="43"/>
      <c r="QW42" s="43"/>
      <c r="QX42" s="43"/>
      <c r="QY42" s="43"/>
      <c r="QZ42" s="43"/>
      <c r="RA42" s="43"/>
      <c r="RB42" s="43"/>
      <c r="RC42" s="43"/>
      <c r="RD42" s="43"/>
      <c r="RE42" s="43"/>
      <c r="RF42" s="43"/>
      <c r="RG42" s="43"/>
      <c r="RH42" s="43"/>
      <c r="RI42" s="43"/>
      <c r="RJ42" s="43"/>
      <c r="RK42" s="43"/>
      <c r="RL42" s="43"/>
      <c r="RM42" s="43"/>
      <c r="RN42" s="43"/>
      <c r="RO42" s="43"/>
      <c r="RP42" s="43"/>
      <c r="RQ42" s="43"/>
      <c r="RR42" s="43"/>
      <c r="RS42" s="43"/>
      <c r="RT42" s="43"/>
      <c r="RU42" s="43"/>
      <c r="RV42" s="43"/>
      <c r="RW42" s="43"/>
      <c r="RX42" s="43"/>
      <c r="RY42" s="43"/>
      <c r="RZ42" s="43"/>
      <c r="SA42" s="43"/>
      <c r="SB42" s="43"/>
      <c r="SC42" s="43"/>
      <c r="SD42" s="43"/>
      <c r="SE42" s="43"/>
      <c r="SF42" s="43"/>
      <c r="SG42" s="43"/>
      <c r="SH42" s="43"/>
      <c r="SI42" s="43"/>
      <c r="SJ42" s="43"/>
      <c r="SK42" s="43"/>
      <c r="SL42" s="43"/>
      <c r="SM42" s="43"/>
      <c r="SN42" s="43"/>
      <c r="SO42" s="43"/>
      <c r="SP42" s="43"/>
      <c r="SQ42" s="43"/>
      <c r="SR42" s="43"/>
      <c r="SS42" s="43"/>
      <c r="ST42" s="43"/>
      <c r="SU42" s="43"/>
      <c r="SV42" s="43"/>
      <c r="SW42" s="43"/>
      <c r="SX42" s="43"/>
      <c r="SY42" s="43"/>
      <c r="SZ42" s="43"/>
      <c r="TA42" s="43"/>
      <c r="TB42" s="43"/>
      <c r="TC42" s="43"/>
      <c r="TD42" s="43"/>
      <c r="TE42" s="43"/>
      <c r="TF42" s="43"/>
      <c r="TG42" s="43"/>
      <c r="TH42" s="43"/>
      <c r="TI42" s="43"/>
      <c r="TJ42" s="43"/>
      <c r="TK42" s="43"/>
      <c r="TL42" s="43"/>
      <c r="TM42" s="43"/>
      <c r="TN42" s="43"/>
      <c r="TO42" s="43"/>
      <c r="TP42" s="43"/>
      <c r="TQ42" s="43"/>
      <c r="TR42" s="43"/>
      <c r="TS42" s="43"/>
      <c r="TT42" s="43"/>
      <c r="TU42" s="43"/>
      <c r="TV42" s="43"/>
      <c r="TW42" s="43"/>
      <c r="TX42" s="43">
        <v>52.3</v>
      </c>
      <c r="TY42" s="43"/>
      <c r="TZ42" s="43"/>
      <c r="UA42" s="43"/>
      <c r="UB42" s="43"/>
      <c r="UC42" s="43"/>
      <c r="UD42" s="43"/>
      <c r="UE42" s="43"/>
      <c r="UF42" s="43"/>
      <c r="UG42" s="43"/>
      <c r="UH42" s="43"/>
      <c r="UI42" s="43"/>
      <c r="UJ42" s="43"/>
      <c r="UK42" s="43"/>
      <c r="UL42" s="43"/>
      <c r="UM42" s="43"/>
      <c r="UN42" s="43"/>
      <c r="UO42" s="43"/>
      <c r="UP42" s="43"/>
      <c r="UQ42" s="43"/>
      <c r="UR42" s="43"/>
      <c r="US42" s="43"/>
      <c r="UT42" s="43"/>
      <c r="UU42" s="43"/>
      <c r="UV42" s="43"/>
      <c r="UW42" s="43"/>
      <c r="UX42" s="43"/>
      <c r="UY42" s="43"/>
      <c r="UZ42" s="43"/>
      <c r="VA42" s="43"/>
      <c r="VB42" s="43"/>
      <c r="VC42" s="43"/>
      <c r="VD42" s="43"/>
      <c r="VE42" s="43"/>
      <c r="VF42" s="43"/>
      <c r="VG42" s="43"/>
      <c r="VH42" s="43"/>
      <c r="VI42" s="43"/>
      <c r="VJ42" s="43"/>
      <c r="VK42" s="43"/>
      <c r="VL42" s="43"/>
      <c r="VM42" s="43"/>
      <c r="VN42" s="43"/>
      <c r="VO42" s="43"/>
      <c r="VP42" s="43"/>
      <c r="VQ42" s="43"/>
      <c r="VR42" s="43"/>
      <c r="VS42" s="43"/>
      <c r="VT42" s="43"/>
      <c r="VU42" s="43"/>
      <c r="VV42" s="43"/>
      <c r="VW42" s="43"/>
      <c r="VX42" s="43"/>
      <c r="VY42" s="43"/>
      <c r="VZ42" s="43"/>
      <c r="WA42" s="43"/>
      <c r="WB42" s="43"/>
      <c r="WC42" s="43"/>
      <c r="WD42" s="43"/>
      <c r="WE42" s="43"/>
      <c r="WF42" s="43"/>
      <c r="WG42" s="43"/>
      <c r="WH42" s="43"/>
      <c r="WI42" s="43"/>
      <c r="WJ42" s="43"/>
      <c r="WK42" s="43"/>
      <c r="WL42" s="43"/>
      <c r="WM42" s="43"/>
      <c r="WN42" s="43"/>
      <c r="WO42" s="43">
        <v>48</v>
      </c>
      <c r="WP42" s="43"/>
      <c r="WQ42" s="43"/>
      <c r="WR42" s="43"/>
      <c r="WS42" s="43"/>
      <c r="WT42" s="43"/>
      <c r="WU42" s="43"/>
      <c r="WV42" s="43"/>
      <c r="WW42" s="43"/>
      <c r="WX42" s="43"/>
      <c r="WY42" s="43"/>
      <c r="WZ42" s="43"/>
      <c r="XA42" s="43"/>
      <c r="XB42" s="43"/>
      <c r="XC42" s="43"/>
      <c r="XD42" s="43"/>
      <c r="XE42" s="43"/>
      <c r="XF42" s="43"/>
      <c r="XG42" s="43"/>
      <c r="XH42" s="43"/>
      <c r="XI42" s="43"/>
      <c r="XJ42" s="43"/>
      <c r="XK42" s="43"/>
      <c r="XL42" s="43"/>
      <c r="XM42" s="43"/>
      <c r="XN42" s="43"/>
      <c r="XO42" s="43"/>
      <c r="XP42" s="43"/>
      <c r="XQ42" s="43"/>
      <c r="XR42" s="43"/>
      <c r="XS42" s="43"/>
      <c r="XT42" s="43"/>
      <c r="XU42" s="43"/>
      <c r="XV42" s="43"/>
      <c r="XW42" s="43"/>
      <c r="XX42" s="43"/>
      <c r="XY42" s="43"/>
      <c r="XZ42" s="43"/>
      <c r="YA42" s="44"/>
      <c r="YB42" s="44"/>
      <c r="YC42" s="44"/>
      <c r="YD42" s="44"/>
      <c r="YE42" s="44"/>
      <c r="YF42" s="43"/>
      <c r="YG42" s="43"/>
      <c r="YH42" s="43"/>
      <c r="YI42" s="43"/>
      <c r="YJ42" s="43"/>
      <c r="YK42" s="43"/>
      <c r="YL42" s="43"/>
      <c r="YM42" s="43"/>
      <c r="YN42" s="43"/>
      <c r="YO42" s="43"/>
      <c r="YP42" s="43"/>
      <c r="YQ42" s="43"/>
      <c r="YR42" s="43"/>
      <c r="YS42" s="43"/>
      <c r="YT42" s="43"/>
      <c r="YU42" s="43"/>
      <c r="YV42" s="43"/>
      <c r="YW42" s="43"/>
      <c r="YX42" s="43"/>
      <c r="YY42" s="43"/>
      <c r="YZ42" s="43"/>
      <c r="ZA42" s="43"/>
      <c r="ZB42" s="43"/>
      <c r="ZC42" s="43"/>
      <c r="ZD42" s="43"/>
      <c r="ZE42" s="43"/>
      <c r="ZF42" s="43"/>
      <c r="ZG42" s="43"/>
      <c r="ZH42" s="43"/>
      <c r="ZI42" s="43"/>
      <c r="ZJ42" s="43"/>
      <c r="ZK42" s="43"/>
      <c r="ZL42" s="43"/>
      <c r="ZM42" s="43"/>
      <c r="ZN42" s="43"/>
      <c r="ZO42" s="43"/>
      <c r="ZP42" s="43"/>
      <c r="ZQ42" s="43"/>
      <c r="ZR42" s="43"/>
      <c r="ZS42" s="43"/>
      <c r="ZT42" s="43"/>
      <c r="ZU42" s="43"/>
      <c r="ZV42" s="43"/>
      <c r="ZW42" s="44" t="s">
        <v>2020</v>
      </c>
      <c r="ZX42" s="44"/>
      <c r="ZY42" s="44"/>
      <c r="ZZ42" s="44"/>
      <c r="AAA42" s="44"/>
      <c r="AAB42" s="44"/>
      <c r="AAC42" s="44"/>
      <c r="AAD42" s="44"/>
      <c r="AAE42" s="44"/>
      <c r="AAF42" s="44"/>
      <c r="AAG42" s="43"/>
      <c r="AAH42" s="43"/>
      <c r="AAI42" s="43"/>
      <c r="AAJ42" s="43"/>
      <c r="AAK42" s="43"/>
      <c r="AAL42" s="43"/>
      <c r="AAM42" s="43"/>
      <c r="AAN42" s="43"/>
      <c r="AAO42" s="43"/>
      <c r="AAP42" s="43"/>
      <c r="AAQ42" s="43"/>
      <c r="AAR42" s="43"/>
      <c r="AAS42" s="43"/>
      <c r="AAT42" s="43"/>
      <c r="AAU42" s="43"/>
      <c r="AAV42" s="43"/>
      <c r="AAW42" s="43"/>
      <c r="AAX42" s="43"/>
      <c r="AAY42" s="43"/>
      <c r="AAZ42" s="43"/>
      <c r="ABA42" s="43"/>
      <c r="ABB42" s="43"/>
      <c r="ABC42" s="43"/>
      <c r="ABD42" s="43"/>
      <c r="ABE42" s="43"/>
      <c r="ABF42" s="43"/>
      <c r="ABG42" s="43"/>
      <c r="ABH42" s="43"/>
      <c r="ABI42" s="43"/>
      <c r="ABJ42" s="43"/>
      <c r="ABK42" s="43"/>
      <c r="ABL42" s="43"/>
      <c r="ABM42" s="43"/>
      <c r="ABN42" s="43"/>
      <c r="ABO42" s="43"/>
      <c r="ABP42" s="43"/>
      <c r="ABQ42" s="43"/>
      <c r="ABR42" s="43"/>
      <c r="ABS42" s="43"/>
      <c r="ABT42" s="43"/>
      <c r="ABU42" s="43"/>
      <c r="ABV42" s="43"/>
      <c r="ABW42" s="43"/>
      <c r="ABX42" s="43"/>
      <c r="ABY42" s="43"/>
      <c r="ABZ42" s="43"/>
      <c r="ACA42" s="43"/>
      <c r="ACB42" s="43"/>
      <c r="ACC42" s="43"/>
      <c r="ACD42" s="43"/>
      <c r="ACE42" s="43"/>
      <c r="ACF42" s="43"/>
      <c r="ACG42" s="43"/>
      <c r="ACH42" s="45"/>
    </row>
    <row r="43" spans="1:762" x14ac:dyDescent="0.25">
      <c r="A43" s="46" t="s">
        <v>84</v>
      </c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47"/>
      <c r="BX43" s="47"/>
      <c r="BY43" s="47"/>
      <c r="BZ43" s="47"/>
      <c r="CA43" s="47"/>
      <c r="CB43" s="47"/>
      <c r="CC43" s="47"/>
      <c r="CD43" s="47"/>
      <c r="CE43" s="47"/>
      <c r="CF43" s="47"/>
      <c r="CG43" s="47"/>
      <c r="CH43" s="47"/>
      <c r="CI43" s="47"/>
      <c r="CJ43" s="47"/>
      <c r="CK43" s="47"/>
      <c r="CL43" s="47"/>
      <c r="CM43" s="47"/>
      <c r="CN43" s="47"/>
      <c r="CO43" s="47"/>
      <c r="CP43" s="47"/>
      <c r="CQ43" s="47"/>
      <c r="CR43" s="47"/>
      <c r="CS43" s="47"/>
      <c r="CT43" s="47"/>
      <c r="CU43" s="47"/>
      <c r="CV43" s="47"/>
      <c r="CW43" s="47"/>
      <c r="CX43" s="47"/>
      <c r="CY43" s="47"/>
      <c r="CZ43" s="47"/>
      <c r="DA43" s="47"/>
      <c r="DB43" s="47"/>
      <c r="DC43" s="47"/>
      <c r="DD43" s="47"/>
      <c r="DE43" s="47"/>
      <c r="DF43" s="47"/>
      <c r="DG43" s="47"/>
      <c r="DH43" s="47"/>
      <c r="DI43" s="47"/>
      <c r="DJ43" s="47"/>
      <c r="DK43" s="47"/>
      <c r="DL43" s="47"/>
      <c r="DM43" s="47"/>
      <c r="DN43" s="47"/>
      <c r="DO43" s="47"/>
      <c r="DP43" s="47"/>
      <c r="DQ43" s="47"/>
      <c r="DR43" s="47"/>
      <c r="DS43" s="47"/>
      <c r="DT43" s="47"/>
      <c r="DU43" s="47"/>
      <c r="DV43" s="47"/>
      <c r="DW43" s="47"/>
      <c r="DX43" s="47"/>
      <c r="DY43" s="47"/>
      <c r="DZ43" s="47"/>
      <c r="EA43" s="47"/>
      <c r="EB43" s="47"/>
      <c r="EC43" s="47"/>
      <c r="ED43" s="47"/>
      <c r="EE43" s="47"/>
      <c r="EF43" s="47"/>
      <c r="EG43" s="47"/>
      <c r="EH43" s="47"/>
      <c r="EI43" s="47"/>
      <c r="EJ43" s="47"/>
      <c r="EK43" s="47"/>
      <c r="EL43" s="47"/>
      <c r="EM43" s="47"/>
      <c r="EN43" s="47"/>
      <c r="EO43" s="47"/>
      <c r="EP43" s="47"/>
      <c r="EQ43" s="47"/>
      <c r="ER43" s="47"/>
      <c r="ES43" s="47"/>
      <c r="ET43" s="47"/>
      <c r="EU43" s="47"/>
      <c r="EV43" s="47"/>
      <c r="EW43" s="47"/>
      <c r="EX43" s="47"/>
      <c r="EY43" s="47"/>
      <c r="EZ43" s="47"/>
      <c r="FA43" s="47"/>
      <c r="FB43" s="47"/>
      <c r="FC43" s="47"/>
      <c r="FD43" s="47"/>
      <c r="FE43" s="47"/>
      <c r="FF43" s="47"/>
      <c r="FG43" s="47"/>
      <c r="FH43" s="47"/>
      <c r="FI43" s="47"/>
      <c r="FJ43" s="47"/>
      <c r="FK43" s="47"/>
      <c r="FL43" s="47"/>
      <c r="FM43" s="47"/>
      <c r="FN43" s="47"/>
      <c r="FO43" s="47"/>
      <c r="FP43" s="47"/>
      <c r="FQ43" s="47"/>
      <c r="FR43" s="47"/>
      <c r="FS43" s="47"/>
      <c r="FT43" s="47"/>
      <c r="FU43" s="47"/>
      <c r="FV43" s="47"/>
      <c r="FW43" s="47"/>
      <c r="FX43" s="47"/>
      <c r="FY43" s="47"/>
      <c r="FZ43" s="47"/>
      <c r="GA43" s="47"/>
      <c r="GB43" s="47"/>
      <c r="GC43" s="47"/>
      <c r="GD43" s="47"/>
      <c r="GE43" s="47"/>
      <c r="GF43" s="47"/>
      <c r="GG43" s="47"/>
      <c r="GH43" s="47"/>
      <c r="GI43" s="47"/>
      <c r="GJ43" s="47"/>
      <c r="GK43" s="47"/>
      <c r="GL43" s="47"/>
      <c r="GM43" s="47"/>
      <c r="GN43" s="47"/>
      <c r="GO43" s="47"/>
      <c r="GP43" s="47"/>
      <c r="GQ43" s="47"/>
      <c r="GR43" s="47"/>
      <c r="GS43" s="47"/>
      <c r="GT43" s="47"/>
      <c r="GU43" s="47"/>
      <c r="GV43" s="47"/>
      <c r="GW43" s="47"/>
      <c r="GX43" s="47"/>
      <c r="GY43" s="47"/>
      <c r="GZ43" s="47"/>
      <c r="HA43" s="47"/>
      <c r="HB43" s="47"/>
      <c r="HC43" s="47"/>
      <c r="HD43" s="47"/>
      <c r="HE43" s="47"/>
      <c r="HF43" s="47"/>
      <c r="HG43" s="47"/>
      <c r="HH43" s="47"/>
      <c r="HI43" s="47"/>
      <c r="HJ43" s="47"/>
      <c r="HK43" s="47"/>
      <c r="HL43" s="47"/>
      <c r="HM43" s="47"/>
      <c r="HN43" s="47"/>
      <c r="HO43" s="47"/>
      <c r="HP43" s="47"/>
      <c r="HQ43" s="47"/>
      <c r="HR43" s="47"/>
      <c r="HS43" s="47"/>
      <c r="HT43" s="47"/>
      <c r="HU43" s="47"/>
      <c r="HV43" s="47"/>
      <c r="HW43" s="47"/>
      <c r="HX43" s="47"/>
      <c r="HY43" s="47"/>
      <c r="HZ43" s="47"/>
      <c r="IA43" s="47"/>
      <c r="IB43" s="47"/>
      <c r="IC43" s="47"/>
      <c r="ID43" s="47"/>
      <c r="IE43" s="47"/>
      <c r="IF43" s="47"/>
      <c r="IG43" s="47"/>
      <c r="IH43" s="47"/>
      <c r="II43" s="47"/>
      <c r="IJ43" s="47"/>
      <c r="IK43" s="47"/>
      <c r="IL43" s="47"/>
      <c r="IM43" s="47"/>
      <c r="IN43" s="47"/>
      <c r="IO43" s="47"/>
      <c r="IP43" s="47"/>
      <c r="IQ43" s="47"/>
      <c r="IR43" s="47"/>
      <c r="IS43" s="47"/>
      <c r="IT43" s="47"/>
      <c r="IU43" s="47"/>
      <c r="IV43" s="47"/>
      <c r="IW43" s="47"/>
      <c r="IX43" s="47"/>
      <c r="IY43" s="47"/>
      <c r="IZ43" s="47"/>
      <c r="JA43" s="47"/>
      <c r="JB43" s="47"/>
      <c r="JC43" s="47"/>
      <c r="JD43" s="47"/>
      <c r="JE43" s="47"/>
      <c r="JF43" s="47"/>
      <c r="JG43" s="47"/>
      <c r="JH43" s="47"/>
      <c r="JI43" s="47"/>
      <c r="JJ43" s="47"/>
      <c r="JK43" s="47"/>
      <c r="JL43" s="47"/>
      <c r="JM43" s="47"/>
      <c r="JN43" s="47"/>
      <c r="JO43" s="47"/>
      <c r="JP43" s="47"/>
      <c r="JQ43" s="47"/>
      <c r="JR43" s="47"/>
      <c r="JS43" s="47"/>
      <c r="JT43" s="47"/>
      <c r="JU43" s="47"/>
      <c r="JV43" s="47"/>
      <c r="JW43" s="47"/>
      <c r="JX43" s="47"/>
      <c r="JY43" s="47"/>
      <c r="JZ43" s="47"/>
      <c r="KA43" s="47"/>
      <c r="KB43" s="47"/>
      <c r="KC43" s="47"/>
      <c r="KD43" s="47"/>
      <c r="KE43" s="47"/>
      <c r="KF43" s="47"/>
      <c r="KG43" s="47"/>
      <c r="KH43" s="47"/>
      <c r="KI43" s="47"/>
      <c r="KJ43" s="47"/>
      <c r="KK43" s="47"/>
      <c r="KL43" s="47"/>
      <c r="KM43" s="47"/>
      <c r="KN43" s="47"/>
      <c r="KO43" s="47"/>
      <c r="KP43" s="47"/>
      <c r="KQ43" s="47"/>
      <c r="KR43" s="47"/>
      <c r="KS43" s="47"/>
      <c r="KT43" s="47"/>
      <c r="KU43" s="47"/>
      <c r="KV43" s="47"/>
      <c r="KW43" s="47"/>
      <c r="KX43" s="47"/>
      <c r="KY43" s="47"/>
      <c r="KZ43" s="47"/>
      <c r="LA43" s="47"/>
      <c r="LB43" s="47"/>
      <c r="LC43" s="47"/>
      <c r="LD43" s="47"/>
      <c r="LE43" s="47"/>
      <c r="LF43" s="47"/>
      <c r="LG43" s="47"/>
      <c r="LH43" s="47"/>
      <c r="LI43" s="47"/>
      <c r="LJ43" s="47"/>
      <c r="LK43" s="47"/>
      <c r="LL43" s="47"/>
      <c r="LM43" s="47"/>
      <c r="LN43" s="47"/>
      <c r="LO43" s="47"/>
      <c r="LP43" s="47"/>
      <c r="LQ43" s="47"/>
      <c r="LR43" s="47"/>
      <c r="LS43" s="47"/>
      <c r="LT43" s="47"/>
      <c r="LU43" s="47"/>
      <c r="LV43" s="47"/>
      <c r="LW43" s="47"/>
      <c r="LX43" s="47"/>
      <c r="LY43" s="47"/>
      <c r="LZ43" s="47"/>
      <c r="MA43" s="47"/>
      <c r="MB43" s="47"/>
      <c r="MC43" s="47"/>
      <c r="MD43" s="47"/>
      <c r="ME43" s="47"/>
      <c r="MF43" s="47"/>
      <c r="MG43" s="47"/>
      <c r="MH43" s="47"/>
      <c r="MI43" s="47"/>
      <c r="MJ43" s="47"/>
      <c r="MK43" s="47"/>
      <c r="ML43" s="47"/>
      <c r="MM43" s="47"/>
      <c r="MN43" s="47"/>
      <c r="MO43" s="47"/>
      <c r="MP43" s="47"/>
      <c r="MQ43" s="47"/>
      <c r="MR43" s="47"/>
      <c r="MS43" s="47"/>
      <c r="MT43" s="47"/>
      <c r="MU43" s="47"/>
      <c r="MV43" s="47"/>
      <c r="MW43" s="47"/>
      <c r="MX43" s="47"/>
      <c r="MY43" s="47"/>
      <c r="MZ43" s="47"/>
      <c r="NA43" s="47"/>
      <c r="NB43" s="47"/>
      <c r="NC43" s="47"/>
      <c r="ND43" s="47"/>
      <c r="NE43" s="47"/>
      <c r="NF43" s="47"/>
      <c r="NG43" s="47"/>
      <c r="NH43" s="47"/>
      <c r="NI43" s="47"/>
      <c r="NJ43" s="44"/>
      <c r="NK43" s="44"/>
      <c r="NL43" s="44"/>
      <c r="NM43" s="44"/>
      <c r="NN43" s="44"/>
      <c r="NO43" s="47"/>
      <c r="NP43" s="47"/>
      <c r="NQ43" s="47"/>
      <c r="NR43" s="47"/>
      <c r="NS43" s="47"/>
      <c r="NT43" s="47"/>
      <c r="NU43" s="47"/>
      <c r="NV43" s="47"/>
      <c r="NW43" s="47"/>
      <c r="NX43" s="47"/>
      <c r="NY43" s="47"/>
      <c r="NZ43" s="47"/>
      <c r="OA43" s="47"/>
      <c r="OB43" s="47"/>
      <c r="OC43" s="47"/>
      <c r="OD43" s="47"/>
      <c r="OE43" s="47"/>
      <c r="OF43" s="47"/>
      <c r="OG43" s="47"/>
      <c r="OH43" s="47"/>
      <c r="OI43" s="47"/>
      <c r="OJ43" s="47"/>
      <c r="OK43" s="47"/>
      <c r="OL43" s="47"/>
      <c r="OM43" s="47"/>
      <c r="ON43" s="47"/>
      <c r="OO43" s="47"/>
      <c r="OP43" s="47"/>
      <c r="OQ43" s="47"/>
      <c r="OR43" s="47"/>
      <c r="OS43" s="47"/>
      <c r="OT43" s="47"/>
      <c r="OU43" s="47"/>
      <c r="OV43" s="47"/>
      <c r="OW43" s="47"/>
      <c r="OX43" s="47"/>
      <c r="OY43" s="47"/>
      <c r="OZ43" s="47"/>
      <c r="PA43" s="47"/>
      <c r="PB43" s="47"/>
      <c r="PC43" s="47"/>
      <c r="PD43" s="47"/>
      <c r="PE43" s="47"/>
      <c r="PF43" s="47"/>
      <c r="PG43" s="47"/>
      <c r="PH43" s="47"/>
      <c r="PI43" s="47"/>
      <c r="PJ43" s="47"/>
      <c r="PK43" s="47"/>
      <c r="PL43" s="47"/>
      <c r="PM43" s="47"/>
      <c r="PN43" s="47"/>
      <c r="PO43" s="47"/>
      <c r="PP43" s="47"/>
      <c r="PQ43" s="47"/>
      <c r="PR43" s="47"/>
      <c r="PS43" s="47"/>
      <c r="PT43" s="47"/>
      <c r="PU43" s="47"/>
      <c r="PV43" s="47"/>
      <c r="PW43" s="47"/>
      <c r="PX43" s="47"/>
      <c r="PY43" s="47"/>
      <c r="PZ43" s="47"/>
      <c r="QA43" s="47"/>
      <c r="QB43" s="47"/>
      <c r="QC43" s="47"/>
      <c r="QD43" s="47"/>
      <c r="QE43" s="47"/>
      <c r="QF43" s="47"/>
      <c r="QG43" s="47"/>
      <c r="QH43" s="47"/>
      <c r="QI43" s="47"/>
      <c r="QJ43" s="47"/>
      <c r="QK43" s="47"/>
      <c r="QL43" s="47"/>
      <c r="QM43" s="47"/>
      <c r="QN43" s="47"/>
      <c r="QO43" s="47"/>
      <c r="QP43" s="47"/>
      <c r="QQ43" s="47"/>
      <c r="QR43" s="47"/>
      <c r="QS43" s="47"/>
      <c r="QT43" s="47"/>
      <c r="QU43" s="47"/>
      <c r="QV43" s="47"/>
      <c r="QW43" s="47"/>
      <c r="QX43" s="47"/>
      <c r="QY43" s="47"/>
      <c r="QZ43" s="47"/>
      <c r="RA43" s="47"/>
      <c r="RB43" s="47"/>
      <c r="RC43" s="47"/>
      <c r="RD43" s="47"/>
      <c r="RE43" s="47"/>
      <c r="RF43" s="47"/>
      <c r="RG43" s="47"/>
      <c r="RH43" s="47"/>
      <c r="RI43" s="47"/>
      <c r="RJ43" s="47"/>
      <c r="RK43" s="47"/>
      <c r="RL43" s="47"/>
      <c r="RM43" s="47"/>
      <c r="RN43" s="47"/>
      <c r="RO43" s="47"/>
      <c r="RP43" s="47"/>
      <c r="RQ43" s="47"/>
      <c r="RR43" s="47"/>
      <c r="RS43" s="47"/>
      <c r="RT43" s="47"/>
      <c r="RU43" s="47"/>
      <c r="RV43" s="47"/>
      <c r="RW43" s="47"/>
      <c r="RX43" s="47"/>
      <c r="RY43" s="47"/>
      <c r="RZ43" s="47"/>
      <c r="SA43" s="47"/>
      <c r="SB43" s="47"/>
      <c r="SC43" s="47"/>
      <c r="SD43" s="47"/>
      <c r="SE43" s="47"/>
      <c r="SF43" s="47"/>
      <c r="SG43" s="47"/>
      <c r="SH43" s="47"/>
      <c r="SI43" s="47"/>
      <c r="SJ43" s="47"/>
      <c r="SK43" s="47"/>
      <c r="SL43" s="47"/>
      <c r="SM43" s="47"/>
      <c r="SN43" s="47"/>
      <c r="SO43" s="47"/>
      <c r="SP43" s="47"/>
      <c r="SQ43" s="47"/>
      <c r="SR43" s="47"/>
      <c r="SS43" s="47"/>
      <c r="ST43" s="47"/>
      <c r="SU43" s="47"/>
      <c r="SV43" s="47"/>
      <c r="SW43" s="47"/>
      <c r="SX43" s="47"/>
      <c r="SY43" s="47"/>
      <c r="SZ43" s="47"/>
      <c r="TA43" s="47"/>
      <c r="TB43" s="47"/>
      <c r="TC43" s="47"/>
      <c r="TD43" s="47"/>
      <c r="TE43" s="47"/>
      <c r="TF43" s="47"/>
      <c r="TG43" s="47"/>
      <c r="TH43" s="47"/>
      <c r="TI43" s="47"/>
      <c r="TJ43" s="47"/>
      <c r="TK43" s="47"/>
      <c r="TL43" s="47"/>
      <c r="TM43" s="47"/>
      <c r="TN43" s="47"/>
      <c r="TO43" s="47"/>
      <c r="TP43" s="47"/>
      <c r="TQ43" s="47"/>
      <c r="TR43" s="47"/>
      <c r="TS43" s="47"/>
      <c r="TT43" s="47"/>
      <c r="TU43" s="47"/>
      <c r="TV43" s="47"/>
      <c r="TW43" s="47"/>
      <c r="TX43" s="47"/>
      <c r="TY43" s="47"/>
      <c r="TZ43" s="47"/>
      <c r="UA43" s="47"/>
      <c r="UB43" s="47"/>
      <c r="UC43" s="47"/>
      <c r="UD43" s="47"/>
      <c r="UE43" s="47"/>
      <c r="UF43" s="47"/>
      <c r="UG43" s="47"/>
      <c r="UH43" s="47"/>
      <c r="UI43" s="47"/>
      <c r="UJ43" s="47"/>
      <c r="UK43" s="47"/>
      <c r="UL43" s="47"/>
      <c r="UM43" s="47"/>
      <c r="UN43" s="47"/>
      <c r="UO43" s="47"/>
      <c r="UP43" s="47"/>
      <c r="UQ43" s="47"/>
      <c r="UR43" s="47"/>
      <c r="US43" s="47"/>
      <c r="UT43" s="47"/>
      <c r="UU43" s="47"/>
      <c r="UV43" s="47"/>
      <c r="UW43" s="47"/>
      <c r="UX43" s="47"/>
      <c r="UY43" s="47"/>
      <c r="UZ43" s="47"/>
      <c r="VA43" s="47"/>
      <c r="VB43" s="47"/>
      <c r="VC43" s="47"/>
      <c r="VD43" s="47"/>
      <c r="VE43" s="47"/>
      <c r="VF43" s="47"/>
      <c r="VG43" s="47"/>
      <c r="VH43" s="47"/>
      <c r="VI43" s="47"/>
      <c r="VJ43" s="47"/>
      <c r="VK43" s="47"/>
      <c r="VL43" s="47"/>
      <c r="VM43" s="47"/>
      <c r="VN43" s="47"/>
      <c r="VO43" s="47"/>
      <c r="VP43" s="47"/>
      <c r="VQ43" s="47"/>
      <c r="VR43" s="47"/>
      <c r="VS43" s="47"/>
      <c r="VT43" s="47"/>
      <c r="VU43" s="47"/>
      <c r="VV43" s="47"/>
      <c r="VW43" s="47"/>
      <c r="VX43" s="47"/>
      <c r="VY43" s="47"/>
      <c r="VZ43" s="47"/>
      <c r="WA43" s="47"/>
      <c r="WB43" s="47"/>
      <c r="WC43" s="47"/>
      <c r="WD43" s="47"/>
      <c r="WE43" s="47"/>
      <c r="WF43" s="47"/>
      <c r="WG43" s="47"/>
      <c r="WH43" s="47"/>
      <c r="WI43" s="47"/>
      <c r="WJ43" s="47"/>
      <c r="WK43" s="47"/>
      <c r="WL43" s="47"/>
      <c r="WM43" s="47"/>
      <c r="WN43" s="47"/>
      <c r="WO43" s="47"/>
      <c r="WP43" s="47"/>
      <c r="WQ43" s="47"/>
      <c r="WR43" s="47"/>
      <c r="WS43" s="47"/>
      <c r="WT43" s="47"/>
      <c r="WU43" s="47"/>
      <c r="WV43" s="47"/>
      <c r="WW43" s="47"/>
      <c r="WX43" s="47"/>
      <c r="WY43" s="47"/>
      <c r="WZ43" s="47"/>
      <c r="XA43" s="47"/>
      <c r="XB43" s="47"/>
      <c r="XC43" s="47"/>
      <c r="XD43" s="47"/>
      <c r="XE43" s="47"/>
      <c r="XF43" s="47"/>
      <c r="XG43" s="47"/>
      <c r="XH43" s="47"/>
      <c r="XI43" s="47"/>
      <c r="XJ43" s="47"/>
      <c r="XK43" s="47"/>
      <c r="XL43" s="47"/>
      <c r="XM43" s="47"/>
      <c r="XN43" s="47"/>
      <c r="XO43" s="47"/>
      <c r="XP43" s="47"/>
      <c r="XQ43" s="47"/>
      <c r="XR43" s="47"/>
      <c r="XS43" s="47"/>
      <c r="XT43" s="47"/>
      <c r="XU43" s="47"/>
      <c r="XV43" s="47"/>
      <c r="XW43" s="47"/>
      <c r="XX43" s="47"/>
      <c r="XY43" s="47"/>
      <c r="XZ43" s="47"/>
      <c r="YA43" s="44"/>
      <c r="YB43" s="44"/>
      <c r="YC43" s="44"/>
      <c r="YD43" s="44"/>
      <c r="YE43" s="44"/>
      <c r="YF43" s="47"/>
      <c r="YG43" s="47"/>
      <c r="YH43" s="47"/>
      <c r="YI43" s="47"/>
      <c r="YJ43" s="47"/>
      <c r="YK43" s="47"/>
      <c r="YL43" s="47"/>
      <c r="YM43" s="47"/>
      <c r="YN43" s="47"/>
      <c r="YO43" s="47"/>
      <c r="YP43" s="47"/>
      <c r="YQ43" s="47"/>
      <c r="YR43" s="47"/>
      <c r="YS43" s="47"/>
      <c r="YT43" s="47"/>
      <c r="YU43" s="47"/>
      <c r="YV43" s="47"/>
      <c r="YW43" s="47"/>
      <c r="YX43" s="47"/>
      <c r="YY43" s="47"/>
      <c r="YZ43" s="47"/>
      <c r="ZA43" s="47"/>
      <c r="ZB43" s="47"/>
      <c r="ZC43" s="47"/>
      <c r="ZD43" s="47"/>
      <c r="ZE43" s="47"/>
      <c r="ZF43" s="47"/>
      <c r="ZG43" s="47"/>
      <c r="ZH43" s="47"/>
      <c r="ZI43" s="47"/>
      <c r="ZJ43" s="47"/>
      <c r="ZK43" s="47"/>
      <c r="ZL43" s="47"/>
      <c r="ZM43" s="47"/>
      <c r="ZN43" s="47"/>
      <c r="ZO43" s="47"/>
      <c r="ZP43" s="47"/>
      <c r="ZQ43" s="47"/>
      <c r="ZR43" s="47"/>
      <c r="ZS43" s="47"/>
      <c r="ZT43" s="47"/>
      <c r="ZU43" s="47"/>
      <c r="ZV43" s="47"/>
      <c r="ZW43" s="44"/>
      <c r="ZX43" s="44"/>
      <c r="ZY43" s="44"/>
      <c r="ZZ43" s="44"/>
      <c r="AAA43" s="44"/>
      <c r="AAB43" s="44"/>
      <c r="AAC43" s="44"/>
      <c r="AAD43" s="44"/>
      <c r="AAE43" s="44"/>
      <c r="AAF43" s="44"/>
      <c r="AAG43" s="47"/>
      <c r="AAH43" s="47"/>
      <c r="AAI43" s="47"/>
      <c r="AAJ43" s="47"/>
      <c r="AAK43" s="47"/>
      <c r="AAL43" s="47"/>
      <c r="AAM43" s="47"/>
      <c r="AAN43" s="47"/>
      <c r="AAO43" s="47"/>
      <c r="AAP43" s="47"/>
      <c r="AAQ43" s="47"/>
      <c r="AAR43" s="47"/>
      <c r="AAS43" s="47"/>
      <c r="AAT43" s="47"/>
      <c r="AAU43" s="47"/>
      <c r="AAV43" s="47"/>
      <c r="AAW43" s="47"/>
      <c r="AAX43" s="47"/>
      <c r="AAY43" s="47"/>
      <c r="AAZ43" s="47"/>
      <c r="ABA43" s="47"/>
      <c r="ABB43" s="47"/>
      <c r="ABC43" s="47"/>
      <c r="ABD43" s="47"/>
      <c r="ABE43" s="47"/>
      <c r="ABF43" s="47"/>
      <c r="ABG43" s="47"/>
      <c r="ABH43" s="47"/>
      <c r="ABI43" s="47"/>
      <c r="ABJ43" s="47"/>
      <c r="ABK43" s="47"/>
      <c r="ABL43" s="47"/>
      <c r="ABM43" s="47"/>
      <c r="ABN43" s="47"/>
      <c r="ABO43" s="47"/>
      <c r="ABP43" s="47"/>
      <c r="ABQ43" s="47"/>
      <c r="ABR43" s="47"/>
      <c r="ABS43" s="47"/>
      <c r="ABT43" s="47"/>
      <c r="ABU43" s="47"/>
      <c r="ABV43" s="47"/>
      <c r="ABW43" s="47"/>
      <c r="ABX43" s="47"/>
      <c r="ABY43" s="47"/>
      <c r="ABZ43" s="47"/>
      <c r="ACA43" s="47"/>
      <c r="ACB43" s="47"/>
      <c r="ACC43" s="47"/>
      <c r="ACD43" s="47"/>
      <c r="ACE43" s="47"/>
      <c r="ACF43" s="47"/>
      <c r="ACG43" s="47"/>
      <c r="ACH43" s="48"/>
    </row>
    <row r="44" spans="1:762" x14ac:dyDescent="0.25">
      <c r="A44" s="42" t="s">
        <v>85</v>
      </c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3"/>
      <c r="BZ44" s="43"/>
      <c r="CA44" s="43"/>
      <c r="CB44" s="43"/>
      <c r="CC44" s="43"/>
      <c r="CD44" s="43"/>
      <c r="CE44" s="43"/>
      <c r="CF44" s="43"/>
      <c r="CG44" s="43"/>
      <c r="CH44" s="43"/>
      <c r="CI44" s="43"/>
      <c r="CJ44" s="43"/>
      <c r="CK44" s="43"/>
      <c r="CL44" s="43"/>
      <c r="CM44" s="43"/>
      <c r="CN44" s="43"/>
      <c r="CO44" s="43"/>
      <c r="CP44" s="43"/>
      <c r="CQ44" s="43"/>
      <c r="CR44" s="43"/>
      <c r="CS44" s="43"/>
      <c r="CT44" s="43"/>
      <c r="CU44" s="43"/>
      <c r="CV44" s="43"/>
      <c r="CW44" s="43"/>
      <c r="CX44" s="43"/>
      <c r="CY44" s="43"/>
      <c r="CZ44" s="43"/>
      <c r="DA44" s="43"/>
      <c r="DB44" s="43"/>
      <c r="DC44" s="43"/>
      <c r="DD44" s="43">
        <v>6900</v>
      </c>
      <c r="DE44" s="43"/>
      <c r="DF44" s="43"/>
      <c r="DG44" s="43"/>
      <c r="DH44" s="43"/>
      <c r="DI44" s="43"/>
      <c r="DJ44" s="43"/>
      <c r="DK44" s="43"/>
      <c r="DL44" s="43"/>
      <c r="DM44" s="43"/>
      <c r="DN44" s="43"/>
      <c r="DO44" s="43"/>
      <c r="DP44" s="43"/>
      <c r="DQ44" s="43"/>
      <c r="DR44" s="43"/>
      <c r="DS44" s="43"/>
      <c r="DT44" s="43"/>
      <c r="DU44" s="43"/>
      <c r="DV44" s="43"/>
      <c r="DW44" s="43"/>
      <c r="DX44" s="43"/>
      <c r="DY44" s="43"/>
      <c r="DZ44" s="43"/>
      <c r="EA44" s="43"/>
      <c r="EB44" s="43"/>
      <c r="EC44" s="43"/>
      <c r="ED44" s="43"/>
      <c r="EE44" s="43"/>
      <c r="EF44" s="43">
        <v>258</v>
      </c>
      <c r="EG44" s="43"/>
      <c r="EH44" s="43"/>
      <c r="EI44" s="43"/>
      <c r="EJ44" s="43"/>
      <c r="EK44" s="43"/>
      <c r="EL44" s="43"/>
      <c r="EM44" s="43"/>
      <c r="EN44" s="43"/>
      <c r="EO44" s="43"/>
      <c r="EP44" s="43"/>
      <c r="EQ44" s="43"/>
      <c r="ER44" s="43"/>
      <c r="ES44" s="43"/>
      <c r="ET44" s="43"/>
      <c r="EU44" s="43"/>
      <c r="EV44" s="43"/>
      <c r="EW44" s="43"/>
      <c r="EX44" s="43">
        <v>71</v>
      </c>
      <c r="EY44" s="43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>
        <v>358</v>
      </c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>
        <v>45</v>
      </c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  <c r="IT44" s="43"/>
      <c r="IU44" s="43"/>
      <c r="IV44" s="43"/>
      <c r="IW44" s="43"/>
      <c r="IX44" s="43"/>
      <c r="IY44" s="43"/>
      <c r="IZ44" s="43"/>
      <c r="JA44" s="43"/>
      <c r="JB44" s="43"/>
      <c r="JC44" s="43"/>
      <c r="JD44" s="43"/>
      <c r="JE44" s="43"/>
      <c r="JF44" s="43"/>
      <c r="JG44" s="43"/>
      <c r="JH44" s="43">
        <v>90</v>
      </c>
      <c r="JI44" s="43"/>
      <c r="JJ44" s="43"/>
      <c r="JK44" s="43"/>
      <c r="JL44" s="43"/>
      <c r="JM44" s="43"/>
      <c r="JN44" s="43"/>
      <c r="JO44" s="43"/>
      <c r="JP44" s="43"/>
      <c r="JQ44" s="43"/>
      <c r="JR44" s="43"/>
      <c r="JS44" s="43"/>
      <c r="JT44" s="43"/>
      <c r="JU44" s="43"/>
      <c r="JV44" s="43"/>
      <c r="JW44" s="43">
        <v>21</v>
      </c>
      <c r="JX44" s="43"/>
      <c r="JY44" s="43"/>
      <c r="JZ44" s="43"/>
      <c r="KA44" s="43"/>
      <c r="KB44" s="43"/>
      <c r="KC44" s="43"/>
      <c r="KD44" s="43"/>
      <c r="KE44" s="43"/>
      <c r="KF44" s="43"/>
      <c r="KG44" s="43"/>
      <c r="KH44" s="43"/>
      <c r="KI44" s="43"/>
      <c r="KJ44" s="43"/>
      <c r="KK44" s="43"/>
      <c r="KL44" s="43"/>
      <c r="KM44" s="43"/>
      <c r="KN44" s="43"/>
      <c r="KO44" s="43"/>
      <c r="KP44" s="43"/>
      <c r="KQ44" s="43"/>
      <c r="KR44" s="43"/>
      <c r="KS44" s="43"/>
      <c r="KT44" s="43"/>
      <c r="KU44" s="43"/>
      <c r="KV44" s="43"/>
      <c r="KW44" s="43"/>
      <c r="KX44" s="43"/>
      <c r="KY44" s="43"/>
      <c r="KZ44" s="43"/>
      <c r="LA44" s="43"/>
      <c r="LB44" s="43"/>
      <c r="LC44" s="43"/>
      <c r="LD44" s="43"/>
      <c r="LE44" s="43"/>
      <c r="LF44" s="43"/>
      <c r="LG44" s="43"/>
      <c r="LH44" s="43"/>
      <c r="LI44" s="43"/>
      <c r="LJ44" s="43"/>
      <c r="LK44" s="43"/>
      <c r="LL44" s="43"/>
      <c r="LM44" s="43"/>
      <c r="LN44" s="43"/>
      <c r="LO44" s="43"/>
      <c r="LP44" s="43"/>
      <c r="LQ44" s="43"/>
      <c r="LR44" s="43"/>
      <c r="LS44" s="43"/>
      <c r="LT44" s="43"/>
      <c r="LU44" s="43"/>
      <c r="LV44" s="43"/>
      <c r="LW44" s="43"/>
      <c r="LX44" s="43"/>
      <c r="LY44" s="43"/>
      <c r="LZ44" s="43"/>
      <c r="MA44" s="43"/>
      <c r="MB44" s="43"/>
      <c r="MC44" s="43"/>
      <c r="MD44" s="43"/>
      <c r="ME44" s="43"/>
      <c r="MF44" s="43"/>
      <c r="MG44" s="43"/>
      <c r="MH44" s="43"/>
      <c r="MI44" s="43"/>
      <c r="MJ44" s="43"/>
      <c r="MK44" s="43"/>
      <c r="ML44" s="43"/>
      <c r="MM44" s="43"/>
      <c r="MN44" s="43"/>
      <c r="MO44" s="43"/>
      <c r="MP44" s="43"/>
      <c r="MQ44" s="43"/>
      <c r="MR44" s="43"/>
      <c r="MS44" s="43"/>
      <c r="MT44" s="43"/>
      <c r="MU44" s="43"/>
      <c r="MV44" s="43"/>
      <c r="MW44" s="43"/>
      <c r="MX44" s="43"/>
      <c r="MY44" s="43"/>
      <c r="MZ44" s="43"/>
      <c r="NA44" s="43"/>
      <c r="NB44" s="43"/>
      <c r="NC44" s="43"/>
      <c r="ND44" s="43"/>
      <c r="NE44" s="43"/>
      <c r="NF44" s="43"/>
      <c r="NG44" s="43"/>
      <c r="NH44" s="43"/>
      <c r="NI44" s="43"/>
      <c r="NJ44" s="44"/>
      <c r="NK44" s="44"/>
      <c r="NL44" s="44"/>
      <c r="NM44" s="44"/>
      <c r="NN44" s="44"/>
      <c r="NO44" s="53">
        <v>11.9</v>
      </c>
      <c r="NP44" s="43"/>
      <c r="NQ44" s="43"/>
      <c r="NR44" s="43"/>
      <c r="NS44" s="43"/>
      <c r="NT44" s="43"/>
      <c r="NU44" s="43"/>
      <c r="NV44" s="43"/>
      <c r="NW44" s="43"/>
      <c r="NX44" s="43"/>
      <c r="NY44" s="43"/>
      <c r="NZ44" s="43"/>
      <c r="OA44" s="43"/>
      <c r="OB44" s="43"/>
      <c r="OC44" s="43"/>
      <c r="OD44" s="43"/>
      <c r="OE44" s="43"/>
      <c r="OF44" s="43"/>
      <c r="OG44" s="43"/>
      <c r="OH44" s="43"/>
      <c r="OI44" s="43"/>
      <c r="OJ44" s="43"/>
      <c r="OK44" s="43"/>
      <c r="OL44" s="43"/>
      <c r="OM44" s="43"/>
      <c r="ON44" s="43"/>
      <c r="OO44" s="43"/>
      <c r="OP44" s="43"/>
      <c r="OQ44" s="43"/>
      <c r="OR44" s="43"/>
      <c r="OS44" s="43"/>
      <c r="OT44" s="43"/>
      <c r="OU44" s="43"/>
      <c r="OV44" s="43"/>
      <c r="OW44" s="43"/>
      <c r="OX44" s="43"/>
      <c r="OY44" s="43"/>
      <c r="OZ44" s="43"/>
      <c r="PA44" s="43"/>
      <c r="PB44" s="43"/>
      <c r="PC44" s="43"/>
      <c r="PD44" s="43"/>
      <c r="PE44" s="43"/>
      <c r="PF44" s="43"/>
      <c r="PG44" s="43"/>
      <c r="PH44" s="43"/>
      <c r="PI44" s="43"/>
      <c r="PJ44" s="43"/>
      <c r="PK44" s="43"/>
      <c r="PL44" s="43"/>
      <c r="PM44" s="43"/>
      <c r="PN44" s="43"/>
      <c r="PO44" s="43"/>
      <c r="PP44" s="43"/>
      <c r="PQ44" s="43"/>
      <c r="PR44" s="43"/>
      <c r="PS44" s="43"/>
      <c r="PT44" s="43"/>
      <c r="PU44" s="43"/>
      <c r="PV44" s="43"/>
      <c r="PW44" s="43"/>
      <c r="PX44" s="43"/>
      <c r="PY44" s="43"/>
      <c r="PZ44" s="43"/>
      <c r="QA44" s="43"/>
      <c r="QB44" s="43"/>
      <c r="QC44" s="43"/>
      <c r="QD44" s="43"/>
      <c r="QE44" s="43"/>
      <c r="QF44" s="43"/>
      <c r="QG44" s="43"/>
      <c r="QH44" s="43"/>
      <c r="QI44" s="43"/>
      <c r="QJ44" s="43"/>
      <c r="QK44" s="43">
        <v>83</v>
      </c>
      <c r="QL44" s="43"/>
      <c r="QM44" s="43"/>
      <c r="QN44" s="43"/>
      <c r="QO44" s="43"/>
      <c r="QP44" s="43"/>
      <c r="QQ44" s="43"/>
      <c r="QR44" s="43"/>
      <c r="QS44" s="43"/>
      <c r="QT44" s="43"/>
      <c r="QU44" s="43"/>
      <c r="QV44" s="43"/>
      <c r="QW44" s="43"/>
      <c r="QX44" s="43"/>
      <c r="QY44" s="43"/>
      <c r="QZ44" s="43"/>
      <c r="RA44" s="43"/>
      <c r="RB44" s="43">
        <v>60</v>
      </c>
      <c r="RC44" s="43"/>
      <c r="RD44" s="43"/>
      <c r="RE44" s="43"/>
      <c r="RF44" s="43"/>
      <c r="RG44" s="43"/>
      <c r="RH44" s="43"/>
      <c r="RI44" s="43"/>
      <c r="RJ44" s="43"/>
      <c r="RK44" s="43"/>
      <c r="RL44" s="43"/>
      <c r="RM44" s="43"/>
      <c r="RN44" s="43"/>
      <c r="RO44" s="43"/>
      <c r="RP44" s="43"/>
      <c r="RQ44" s="43"/>
      <c r="RR44" s="43"/>
      <c r="RS44" s="43"/>
      <c r="RT44" s="43"/>
      <c r="RU44" s="43"/>
      <c r="RV44" s="43"/>
      <c r="RW44" s="43"/>
      <c r="RX44" s="43"/>
      <c r="RY44" s="43"/>
      <c r="RZ44" s="43"/>
      <c r="SA44" s="43"/>
      <c r="SB44" s="43"/>
      <c r="SC44" s="43"/>
      <c r="SD44" s="43"/>
      <c r="SE44" s="43"/>
      <c r="SF44" s="43"/>
      <c r="SG44" s="43"/>
      <c r="SH44" s="43"/>
      <c r="SI44" s="43"/>
      <c r="SJ44" s="43"/>
      <c r="SK44" s="43"/>
      <c r="SL44" s="43"/>
      <c r="SM44" s="43"/>
      <c r="SN44" s="43"/>
      <c r="SO44" s="43"/>
      <c r="SP44" s="43"/>
      <c r="SQ44" s="43"/>
      <c r="SR44" s="43"/>
      <c r="SS44" s="43"/>
      <c r="ST44" s="43"/>
      <c r="SU44" s="43"/>
      <c r="SV44" s="43"/>
      <c r="SW44" s="43"/>
      <c r="SX44" s="43"/>
      <c r="SY44" s="43"/>
      <c r="SZ44" s="43"/>
      <c r="TA44" s="43"/>
      <c r="TB44" s="43"/>
      <c r="TC44" s="43"/>
      <c r="TD44" s="43"/>
      <c r="TE44" s="43"/>
      <c r="TF44" s="43"/>
      <c r="TG44" s="43"/>
      <c r="TH44" s="43"/>
      <c r="TI44" s="43"/>
      <c r="TJ44" s="43"/>
      <c r="TK44" s="43"/>
      <c r="TL44" s="43"/>
      <c r="TM44" s="43"/>
      <c r="TN44" s="43"/>
      <c r="TO44" s="43"/>
      <c r="TP44" s="43"/>
      <c r="TQ44" s="43"/>
      <c r="TR44" s="43"/>
      <c r="TS44" s="43"/>
      <c r="TT44" s="43"/>
      <c r="TU44" s="43"/>
      <c r="TV44" s="43"/>
      <c r="TW44" s="43"/>
      <c r="TX44" s="43"/>
      <c r="TY44" s="43"/>
      <c r="TZ44" s="43"/>
      <c r="UA44" s="43"/>
      <c r="UB44" s="43"/>
      <c r="UC44" s="43"/>
      <c r="UD44" s="43"/>
      <c r="UE44" s="43"/>
      <c r="UF44" s="43"/>
      <c r="UG44" s="43"/>
      <c r="UH44" s="43"/>
      <c r="UI44" s="43"/>
      <c r="UJ44" s="43"/>
      <c r="UK44" s="43"/>
      <c r="UL44" s="43"/>
      <c r="UM44" s="43"/>
      <c r="UN44" s="43"/>
      <c r="UO44" s="43"/>
      <c r="UP44" s="43"/>
      <c r="UQ44" s="43"/>
      <c r="UR44" s="43"/>
      <c r="US44" s="43"/>
      <c r="UT44" s="43"/>
      <c r="UU44" s="43"/>
      <c r="UV44" s="43"/>
      <c r="UW44" s="43"/>
      <c r="UX44" s="43"/>
      <c r="UY44" s="43"/>
      <c r="UZ44" s="43"/>
      <c r="VA44" s="43"/>
      <c r="VB44" s="43"/>
      <c r="VC44" s="43"/>
      <c r="VD44" s="43"/>
      <c r="VE44" s="43"/>
      <c r="VF44" s="43"/>
      <c r="VG44" s="43"/>
      <c r="VH44" s="43"/>
      <c r="VI44" s="43"/>
      <c r="VJ44" s="43"/>
      <c r="VK44" s="43"/>
      <c r="VL44" s="43"/>
      <c r="VM44" s="43"/>
      <c r="VN44" s="43"/>
      <c r="VO44" s="43"/>
      <c r="VP44" s="43"/>
      <c r="VQ44" s="43"/>
      <c r="VR44" s="43"/>
      <c r="VS44" s="43"/>
      <c r="VT44" s="43"/>
      <c r="VU44" s="43"/>
      <c r="VV44" s="43"/>
      <c r="VW44" s="43"/>
      <c r="VX44" s="43"/>
      <c r="VY44" s="43"/>
      <c r="VZ44" s="43"/>
      <c r="WA44" s="43"/>
      <c r="WB44" s="43"/>
      <c r="WC44" s="43"/>
      <c r="WD44" s="43"/>
      <c r="WE44" s="43"/>
      <c r="WF44" s="43"/>
      <c r="WG44" s="43"/>
      <c r="WH44" s="43"/>
      <c r="WI44" s="43"/>
      <c r="WJ44" s="43"/>
      <c r="WK44" s="43"/>
      <c r="WL44" s="43"/>
      <c r="WM44" s="43"/>
      <c r="WN44" s="43"/>
      <c r="WO44" s="43">
        <v>33</v>
      </c>
      <c r="WP44" s="43"/>
      <c r="WQ44" s="43"/>
      <c r="WR44" s="43"/>
      <c r="WS44" s="43"/>
      <c r="WT44" s="43"/>
      <c r="WU44" s="43"/>
      <c r="WV44" s="43"/>
      <c r="WW44" s="43"/>
      <c r="WX44" s="43"/>
      <c r="WY44" s="43"/>
      <c r="WZ44" s="43"/>
      <c r="XA44" s="43"/>
      <c r="XB44" s="43"/>
      <c r="XC44" s="43"/>
      <c r="XD44" s="43"/>
      <c r="XE44" s="43"/>
      <c r="XF44" s="43"/>
      <c r="XG44" s="43"/>
      <c r="XH44" s="43" t="s">
        <v>2026</v>
      </c>
      <c r="XI44" s="43"/>
      <c r="XJ44" s="43"/>
      <c r="XK44" s="43"/>
      <c r="XL44" s="43"/>
      <c r="XM44" s="43"/>
      <c r="XN44" s="43"/>
      <c r="XO44" s="43"/>
      <c r="XP44" s="43"/>
      <c r="XQ44" s="43"/>
      <c r="XR44" s="43"/>
      <c r="XS44" s="43"/>
      <c r="XT44" s="43"/>
      <c r="XU44" s="43"/>
      <c r="XV44" s="43"/>
      <c r="XW44" s="43"/>
      <c r="XX44" s="43"/>
      <c r="XY44" s="43"/>
      <c r="XZ44" s="43"/>
      <c r="YA44" s="44"/>
      <c r="YB44" s="44"/>
      <c r="YC44" s="44"/>
      <c r="YD44" s="44"/>
      <c r="YE44" s="44"/>
      <c r="YF44" s="43"/>
      <c r="YG44" s="43"/>
      <c r="YH44" s="43"/>
      <c r="YI44" s="43"/>
      <c r="YJ44" s="43"/>
      <c r="YK44" s="43"/>
      <c r="YL44" s="43"/>
      <c r="YM44" s="43"/>
      <c r="YN44" s="43"/>
      <c r="YO44" s="43"/>
      <c r="YP44" s="43"/>
      <c r="YQ44" s="43"/>
      <c r="YR44" s="43"/>
      <c r="YS44" s="43"/>
      <c r="YT44" s="43"/>
      <c r="YU44" s="43"/>
      <c r="YV44" s="43"/>
      <c r="YW44" s="43"/>
      <c r="YX44" s="43"/>
      <c r="YY44" s="43"/>
      <c r="YZ44" s="43"/>
      <c r="ZA44" s="43"/>
      <c r="ZB44" s="43"/>
      <c r="ZC44" s="43"/>
      <c r="ZD44" s="43"/>
      <c r="ZE44" s="43"/>
      <c r="ZF44" s="43"/>
      <c r="ZG44" s="43"/>
      <c r="ZH44" s="43"/>
      <c r="ZI44" s="43"/>
      <c r="ZJ44" s="43"/>
      <c r="ZK44" s="43"/>
      <c r="ZL44" s="43"/>
      <c r="ZM44" s="43"/>
      <c r="ZN44" s="43"/>
      <c r="ZO44" s="43"/>
      <c r="ZP44" s="43"/>
      <c r="ZQ44" s="43"/>
      <c r="ZR44" s="43"/>
      <c r="ZS44" s="43"/>
      <c r="ZT44" s="43"/>
      <c r="ZU44" s="43"/>
      <c r="ZV44" s="43"/>
      <c r="ZW44" s="44"/>
      <c r="ZX44" s="44"/>
      <c r="ZY44" s="44"/>
      <c r="ZZ44" s="44"/>
      <c r="AAA44" s="44"/>
      <c r="AAB44" s="44"/>
      <c r="AAC44" s="44"/>
      <c r="AAD44" s="44"/>
      <c r="AAE44" s="44"/>
      <c r="AAF44" s="44"/>
      <c r="AAG44" s="43"/>
      <c r="AAH44" s="43"/>
      <c r="AAI44" s="43"/>
      <c r="AAJ44" s="43"/>
      <c r="AAK44" s="43"/>
      <c r="AAL44" s="43"/>
      <c r="AAM44" s="43"/>
      <c r="AAN44" s="43"/>
      <c r="AAO44" s="43"/>
      <c r="AAP44" s="43"/>
      <c r="AAQ44" s="43"/>
      <c r="AAR44" s="43"/>
      <c r="AAS44" s="43"/>
      <c r="AAT44" s="43"/>
      <c r="AAU44" s="43"/>
      <c r="AAV44" s="43"/>
      <c r="AAW44" s="43"/>
      <c r="AAX44" s="43"/>
      <c r="AAY44" s="43"/>
      <c r="AAZ44" s="43"/>
      <c r="ABA44" s="43"/>
      <c r="ABB44" s="43"/>
      <c r="ABC44" s="43"/>
      <c r="ABD44" s="43"/>
      <c r="ABE44" s="43"/>
      <c r="ABF44" s="43"/>
      <c r="ABG44" s="43"/>
      <c r="ABH44" s="43"/>
      <c r="ABI44" s="43"/>
      <c r="ABJ44" s="43"/>
      <c r="ABK44" s="43"/>
      <c r="ABL44" s="43"/>
      <c r="ABM44" s="43"/>
      <c r="ABN44" s="43"/>
      <c r="ABO44" s="43"/>
      <c r="ABP44" s="43"/>
      <c r="ABQ44" s="43"/>
      <c r="ABR44" s="43"/>
      <c r="ABS44" s="43"/>
      <c r="ABT44" s="43"/>
      <c r="ABU44" s="43"/>
      <c r="ABV44" s="43"/>
      <c r="ABW44" s="43"/>
      <c r="ABX44" s="43"/>
      <c r="ABY44" s="43"/>
      <c r="ABZ44" s="43"/>
      <c r="ACA44" s="43"/>
      <c r="ACB44" s="43"/>
      <c r="ACC44" s="43"/>
      <c r="ACD44" s="43"/>
      <c r="ACE44" s="43"/>
      <c r="ACF44" s="43"/>
      <c r="ACG44" s="43"/>
      <c r="ACH44" s="45"/>
    </row>
    <row r="45" spans="1:762" x14ac:dyDescent="0.25">
      <c r="A45" s="46" t="s">
        <v>87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>
        <v>70</v>
      </c>
      <c r="AF45" s="47"/>
      <c r="AG45" s="47"/>
      <c r="AH45" s="47"/>
      <c r="AI45" s="47"/>
      <c r="AJ45" s="47"/>
      <c r="AK45" s="47"/>
      <c r="AL45" s="47">
        <v>67</v>
      </c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>
        <v>44.5</v>
      </c>
      <c r="BF45" s="47"/>
      <c r="BG45" s="47"/>
      <c r="BH45" s="47"/>
      <c r="BI45" s="47"/>
      <c r="BJ45" s="47"/>
      <c r="BK45" s="47"/>
      <c r="BL45" s="47"/>
      <c r="BM45" s="47">
        <v>42.3</v>
      </c>
      <c r="BN45" s="47"/>
      <c r="BO45" s="47"/>
      <c r="BP45" s="47"/>
      <c r="BQ45" s="47"/>
      <c r="BR45" s="47"/>
      <c r="BS45" s="47"/>
      <c r="BT45" s="47"/>
      <c r="BU45" s="47"/>
      <c r="BV45" s="47"/>
      <c r="BW45" s="47"/>
      <c r="BX45" s="47"/>
      <c r="BY45" s="47"/>
      <c r="BZ45" s="47"/>
      <c r="CA45" s="47"/>
      <c r="CB45" s="47"/>
      <c r="CC45" s="47"/>
      <c r="CD45" s="47"/>
      <c r="CE45" s="47"/>
      <c r="CF45" s="47"/>
      <c r="CG45" s="47">
        <v>790</v>
      </c>
      <c r="CH45" s="47"/>
      <c r="CI45" s="47"/>
      <c r="CJ45" s="47"/>
      <c r="CK45" s="47"/>
      <c r="CL45" s="47"/>
      <c r="CM45" s="47"/>
      <c r="CN45" s="47"/>
      <c r="CO45" s="47"/>
      <c r="CP45" s="47"/>
      <c r="CQ45" s="47"/>
      <c r="CR45" s="47"/>
      <c r="CS45" s="47"/>
      <c r="CT45" s="47"/>
      <c r="CU45" s="47"/>
      <c r="CV45" s="51">
        <v>1.08</v>
      </c>
      <c r="CW45" s="51"/>
      <c r="CX45" s="51"/>
      <c r="CY45" s="51"/>
      <c r="CZ45" s="47"/>
      <c r="DA45" s="47"/>
      <c r="DB45" s="47"/>
      <c r="DC45" s="47"/>
      <c r="DD45" s="47">
        <v>4200</v>
      </c>
      <c r="DE45" s="47"/>
      <c r="DF45" s="47">
        <v>4000</v>
      </c>
      <c r="DG45" s="47"/>
      <c r="DH45" s="47"/>
      <c r="DI45" s="47"/>
      <c r="DJ45" s="47"/>
      <c r="DK45" s="47"/>
      <c r="DL45" s="47"/>
      <c r="DM45" s="47"/>
      <c r="DN45" s="47"/>
      <c r="DO45" s="47"/>
      <c r="DP45" s="47"/>
      <c r="DQ45" s="47">
        <v>285000</v>
      </c>
      <c r="DR45" s="47"/>
      <c r="DS45" s="47"/>
      <c r="DT45" s="47"/>
      <c r="DU45" s="47"/>
      <c r="DV45" s="47"/>
      <c r="DW45" s="47"/>
      <c r="DX45" s="47"/>
      <c r="DY45" s="47"/>
      <c r="DZ45" s="47"/>
      <c r="EA45" s="47"/>
      <c r="EB45" s="47"/>
      <c r="EC45" s="47"/>
      <c r="ED45" s="47"/>
      <c r="EE45" s="47"/>
      <c r="EF45" s="47" t="s">
        <v>1956</v>
      </c>
      <c r="EG45" s="47"/>
      <c r="EH45" s="47"/>
      <c r="EI45" s="47"/>
      <c r="EJ45" s="47" t="s">
        <v>1957</v>
      </c>
      <c r="EK45" s="47"/>
      <c r="EL45" s="47"/>
      <c r="EM45" s="47"/>
      <c r="EN45" s="47"/>
      <c r="EO45" s="47"/>
      <c r="EP45" s="47"/>
      <c r="EQ45" s="47"/>
      <c r="ER45" s="47"/>
      <c r="ES45" s="47"/>
      <c r="ET45" s="47"/>
      <c r="EU45" s="47"/>
      <c r="EV45" s="47"/>
      <c r="EW45" s="47" t="s">
        <v>1958</v>
      </c>
      <c r="EX45" s="47"/>
      <c r="EY45" s="47" t="s">
        <v>1959</v>
      </c>
      <c r="EZ45" s="47"/>
      <c r="FA45" s="47"/>
      <c r="FB45" s="47"/>
      <c r="FC45" s="47"/>
      <c r="FD45" s="47"/>
      <c r="FE45" s="47"/>
      <c r="FF45" s="47"/>
      <c r="FG45" s="47"/>
      <c r="FH45" s="47"/>
      <c r="FI45" s="47"/>
      <c r="FJ45" s="47"/>
      <c r="FK45" s="47"/>
      <c r="FL45" s="47"/>
      <c r="FM45" s="47"/>
      <c r="FN45" s="47"/>
      <c r="FO45" s="47"/>
      <c r="FP45" s="47"/>
      <c r="FQ45" s="47"/>
      <c r="FR45" s="47"/>
      <c r="FS45" s="47"/>
      <c r="FT45" s="47"/>
      <c r="FU45" s="47"/>
      <c r="FV45" s="47"/>
      <c r="FW45" s="47"/>
      <c r="FX45" s="47"/>
      <c r="FY45" s="47"/>
      <c r="FZ45" s="47"/>
      <c r="GA45" s="47"/>
      <c r="GB45" s="47"/>
      <c r="GC45" s="47"/>
      <c r="GD45" s="47"/>
      <c r="GE45" s="47"/>
      <c r="GF45" s="47"/>
      <c r="GG45" s="47"/>
      <c r="GH45" s="47"/>
      <c r="GI45" s="47"/>
      <c r="GJ45" s="47"/>
      <c r="GK45" s="47"/>
      <c r="GL45" s="47"/>
      <c r="GM45" s="47"/>
      <c r="GN45" s="47"/>
      <c r="GO45" s="47"/>
      <c r="GP45" s="47"/>
      <c r="GQ45" s="47"/>
      <c r="GR45" s="47"/>
      <c r="GS45" s="47"/>
      <c r="GT45" s="47"/>
      <c r="GU45" s="47" t="s">
        <v>1971</v>
      </c>
      <c r="GV45" s="47"/>
      <c r="GW45" s="47"/>
      <c r="GX45" s="47" t="s">
        <v>1972</v>
      </c>
      <c r="GY45" s="47"/>
      <c r="GZ45" s="47"/>
      <c r="HA45" s="47"/>
      <c r="HB45" s="47"/>
      <c r="HC45" s="47"/>
      <c r="HD45" s="47"/>
      <c r="HE45" s="47"/>
      <c r="HF45" s="47"/>
      <c r="HG45" s="47"/>
      <c r="HH45" s="47">
        <v>321</v>
      </c>
      <c r="HI45" s="47"/>
      <c r="HJ45" s="47"/>
      <c r="HK45" s="47"/>
      <c r="HL45" s="47"/>
      <c r="HM45" s="47" t="s">
        <v>1973</v>
      </c>
      <c r="HN45" s="47"/>
      <c r="HO45" s="47"/>
      <c r="HP45" s="47"/>
      <c r="HQ45" s="47"/>
      <c r="HR45" s="47"/>
      <c r="HS45" s="47"/>
      <c r="HT45" s="47"/>
      <c r="HU45" s="47"/>
      <c r="HV45" s="47"/>
      <c r="HW45" s="47"/>
      <c r="HX45" s="47"/>
      <c r="HY45" s="47"/>
      <c r="HZ45" s="47"/>
      <c r="IA45" s="47"/>
      <c r="IB45" s="47"/>
      <c r="IC45" s="47"/>
      <c r="ID45" s="47"/>
      <c r="IE45" s="47"/>
      <c r="IF45" s="47"/>
      <c r="IG45" s="47"/>
      <c r="IH45" s="47"/>
      <c r="II45" s="47"/>
      <c r="IJ45" s="47"/>
      <c r="IK45" s="47"/>
      <c r="IL45" s="47"/>
      <c r="IM45" s="47"/>
      <c r="IN45" s="47"/>
      <c r="IO45" s="47"/>
      <c r="IP45" s="47"/>
      <c r="IQ45" s="47"/>
      <c r="IR45" s="47"/>
      <c r="IS45" s="47"/>
      <c r="IT45" s="47"/>
      <c r="IU45" s="47"/>
      <c r="IV45" s="47"/>
      <c r="IW45" s="47"/>
      <c r="IX45" s="47"/>
      <c r="IY45" s="47"/>
      <c r="IZ45" s="47"/>
      <c r="JA45" s="47"/>
      <c r="JB45" s="47"/>
      <c r="JC45" s="47"/>
      <c r="JD45" s="47"/>
      <c r="JE45" s="47"/>
      <c r="JF45" s="47"/>
      <c r="JG45" s="47"/>
      <c r="JH45" s="47" t="s">
        <v>1982</v>
      </c>
      <c r="JI45" s="47"/>
      <c r="JJ45" s="47" t="s">
        <v>1982</v>
      </c>
      <c r="JK45" s="47"/>
      <c r="JL45" s="47"/>
      <c r="JM45" s="47"/>
      <c r="JN45" s="47"/>
      <c r="JO45" s="47"/>
      <c r="JP45" s="47"/>
      <c r="JQ45" s="47"/>
      <c r="JR45" s="47"/>
      <c r="JS45" s="47" t="s">
        <v>1983</v>
      </c>
      <c r="JT45" s="47"/>
      <c r="JU45" s="47"/>
      <c r="JV45" s="47"/>
      <c r="JW45" s="47"/>
      <c r="JX45" s="47" t="s">
        <v>1984</v>
      </c>
      <c r="JY45" s="47"/>
      <c r="JZ45" s="47"/>
      <c r="KA45" s="47"/>
      <c r="KB45" s="47"/>
      <c r="KC45" s="47"/>
      <c r="KD45" s="47"/>
      <c r="KE45" s="47"/>
      <c r="KF45" s="47"/>
      <c r="KG45" s="47"/>
      <c r="KH45" s="47"/>
      <c r="KI45" s="47"/>
      <c r="KJ45" s="47"/>
      <c r="KK45" s="47"/>
      <c r="KL45" s="47"/>
      <c r="KM45" s="47"/>
      <c r="KN45" s="47"/>
      <c r="KO45" s="47"/>
      <c r="KP45" s="47"/>
      <c r="KQ45" s="47"/>
      <c r="KR45" s="47"/>
      <c r="KS45" s="47"/>
      <c r="KT45" s="47"/>
      <c r="KU45" s="47"/>
      <c r="KV45" s="47"/>
      <c r="KW45" s="47"/>
      <c r="KX45" s="47"/>
      <c r="KY45" s="47"/>
      <c r="KZ45" s="47"/>
      <c r="LA45" s="47"/>
      <c r="LB45" s="47"/>
      <c r="LC45" s="47"/>
      <c r="LD45" s="47"/>
      <c r="LE45" s="47"/>
      <c r="LF45" s="47"/>
      <c r="LG45" s="47"/>
      <c r="LH45" s="47"/>
      <c r="LI45" s="47"/>
      <c r="LJ45" s="47"/>
      <c r="LK45" s="47"/>
      <c r="LL45" s="47"/>
      <c r="LM45" s="47"/>
      <c r="LN45" s="47"/>
      <c r="LO45" s="47"/>
      <c r="LP45" s="47"/>
      <c r="LQ45" s="47"/>
      <c r="LR45" s="47"/>
      <c r="LS45" s="47"/>
      <c r="LT45" s="47"/>
      <c r="LU45" s="47"/>
      <c r="LV45" s="47"/>
      <c r="LW45" s="47"/>
      <c r="LX45" s="47"/>
      <c r="LY45" s="47"/>
      <c r="LZ45" s="47"/>
      <c r="MA45" s="47"/>
      <c r="MB45" s="47"/>
      <c r="MC45" s="47"/>
      <c r="MD45" s="47"/>
      <c r="ME45" s="47"/>
      <c r="MF45" s="47"/>
      <c r="MG45" s="47"/>
      <c r="MH45" s="47"/>
      <c r="MI45" s="47"/>
      <c r="MJ45" s="47"/>
      <c r="MK45" s="47"/>
      <c r="ML45" s="47"/>
      <c r="MM45" s="47"/>
      <c r="MN45" s="47"/>
      <c r="MO45" s="47"/>
      <c r="MP45" s="47"/>
      <c r="MQ45" s="47"/>
      <c r="MR45" s="47"/>
      <c r="MS45" s="47"/>
      <c r="MT45" s="47"/>
      <c r="MU45" s="47"/>
      <c r="MV45" s="47"/>
      <c r="MW45" s="47"/>
      <c r="MX45" s="47"/>
      <c r="MY45" s="47"/>
      <c r="MZ45" s="47"/>
      <c r="NA45" s="47"/>
      <c r="NB45" s="47"/>
      <c r="NC45" s="47"/>
      <c r="ND45" s="47"/>
      <c r="NE45" s="47"/>
      <c r="NF45" s="47"/>
      <c r="NG45" s="47"/>
      <c r="NH45" s="47"/>
      <c r="NI45" s="47"/>
      <c r="NJ45" s="44"/>
      <c r="NK45" s="44"/>
      <c r="NL45" s="44"/>
      <c r="NM45" s="44"/>
      <c r="NN45" s="44"/>
      <c r="NO45" s="47">
        <v>11.5</v>
      </c>
      <c r="NP45" s="47"/>
      <c r="NQ45" s="47"/>
      <c r="NR45" s="47"/>
      <c r="NS45" s="47"/>
      <c r="NT45" s="47"/>
      <c r="NU45" s="47"/>
      <c r="NV45" s="47"/>
      <c r="NW45" s="47"/>
      <c r="NX45" s="47"/>
      <c r="NY45" s="47"/>
      <c r="NZ45" s="47"/>
      <c r="OA45" s="47"/>
      <c r="OB45" s="47"/>
      <c r="OC45" s="47">
        <v>9</v>
      </c>
      <c r="OD45" s="47"/>
      <c r="OE45" s="47"/>
      <c r="OF45" s="47"/>
      <c r="OG45" s="47"/>
      <c r="OH45" s="47">
        <v>11</v>
      </c>
      <c r="OI45" s="47"/>
      <c r="OJ45" s="47"/>
      <c r="OK45" s="47"/>
      <c r="OL45" s="47"/>
      <c r="OM45" s="47"/>
      <c r="ON45" s="47"/>
      <c r="OO45" s="47"/>
      <c r="OP45" s="47"/>
      <c r="OQ45" s="47"/>
      <c r="OR45" s="47"/>
      <c r="OS45" s="47"/>
      <c r="OT45" s="47"/>
      <c r="OU45" s="47"/>
      <c r="OV45" s="47"/>
      <c r="OW45" s="47"/>
      <c r="OX45" s="47"/>
      <c r="OY45" s="47"/>
      <c r="OZ45" s="47"/>
      <c r="PA45" s="47"/>
      <c r="PB45" s="47"/>
      <c r="PC45" s="47"/>
      <c r="PD45" s="47"/>
      <c r="PE45" s="47"/>
      <c r="PF45" s="47"/>
      <c r="PG45" s="47"/>
      <c r="PH45" s="47"/>
      <c r="PI45" s="47"/>
      <c r="PJ45" s="47"/>
      <c r="PK45" s="47"/>
      <c r="PL45" s="47"/>
      <c r="PM45" s="47"/>
      <c r="PN45" s="47"/>
      <c r="PO45" s="47"/>
      <c r="PP45" s="47"/>
      <c r="PQ45" s="47"/>
      <c r="PR45" s="47"/>
      <c r="PS45" s="47"/>
      <c r="PT45" s="47"/>
      <c r="PU45" s="47"/>
      <c r="PV45" s="47"/>
      <c r="PW45" s="47"/>
      <c r="PX45" s="47"/>
      <c r="PY45" s="47"/>
      <c r="PZ45" s="47"/>
      <c r="QA45" s="47"/>
      <c r="QB45" s="47"/>
      <c r="QC45" s="47"/>
      <c r="QD45" s="47"/>
      <c r="QE45" s="47"/>
      <c r="QF45" s="47"/>
      <c r="QG45" s="47"/>
      <c r="QH45" s="47"/>
      <c r="QI45" s="47"/>
      <c r="QJ45" s="47"/>
      <c r="QK45" s="47" t="s">
        <v>2003</v>
      </c>
      <c r="QL45" s="47"/>
      <c r="QM45" s="47"/>
      <c r="QN45" s="47">
        <v>189</v>
      </c>
      <c r="QO45" s="47"/>
      <c r="QP45" s="47"/>
      <c r="QQ45" s="47"/>
      <c r="QR45" s="47"/>
      <c r="QS45" s="47"/>
      <c r="QT45" s="47"/>
      <c r="QU45" s="47"/>
      <c r="QV45" s="47"/>
      <c r="QW45" s="47"/>
      <c r="QX45" s="47" t="s">
        <v>2004</v>
      </c>
      <c r="QY45" s="47"/>
      <c r="QZ45" s="47"/>
      <c r="RA45" s="47"/>
      <c r="RB45" s="47"/>
      <c r="RC45" s="47">
        <v>294</v>
      </c>
      <c r="RD45" s="47"/>
      <c r="RE45" s="47"/>
      <c r="RF45" s="47"/>
      <c r="RG45" s="47"/>
      <c r="RH45" s="47"/>
      <c r="RI45" s="47"/>
      <c r="RJ45" s="47"/>
      <c r="RK45" s="47"/>
      <c r="RL45" s="47"/>
      <c r="RM45" s="47"/>
      <c r="RN45" s="47"/>
      <c r="RO45" s="47"/>
      <c r="RP45" s="47"/>
      <c r="RQ45" s="47"/>
      <c r="RR45" s="47"/>
      <c r="RS45" s="47"/>
      <c r="RT45" s="47"/>
      <c r="RU45" s="47"/>
      <c r="RV45" s="47"/>
      <c r="RW45" s="47"/>
      <c r="RX45" s="47"/>
      <c r="RY45" s="47"/>
      <c r="RZ45" s="47"/>
      <c r="SA45" s="47"/>
      <c r="SB45" s="47"/>
      <c r="SC45" s="47"/>
      <c r="SD45" s="47"/>
      <c r="SE45" s="47"/>
      <c r="SF45" s="47"/>
      <c r="SG45" s="47"/>
      <c r="SH45" s="47"/>
      <c r="SI45" s="47"/>
      <c r="SJ45" s="47"/>
      <c r="SK45" s="47"/>
      <c r="SL45" s="47"/>
      <c r="SM45" s="47"/>
      <c r="SN45" s="47"/>
      <c r="SO45" s="47"/>
      <c r="SP45" s="47"/>
      <c r="SQ45" s="47"/>
      <c r="SR45" s="47"/>
      <c r="SS45" s="47"/>
      <c r="ST45" s="47"/>
      <c r="SU45" s="47"/>
      <c r="SV45" s="47"/>
      <c r="SW45" s="47"/>
      <c r="SX45" s="47"/>
      <c r="SY45" s="47"/>
      <c r="SZ45" s="47"/>
      <c r="TA45" s="47"/>
      <c r="TB45" s="47"/>
      <c r="TC45" s="47"/>
      <c r="TD45" s="47"/>
      <c r="TE45" s="47"/>
      <c r="TF45" s="47"/>
      <c r="TG45" s="47"/>
      <c r="TH45" s="47"/>
      <c r="TI45" s="47"/>
      <c r="TJ45" s="47"/>
      <c r="TK45" s="47"/>
      <c r="TL45" s="47"/>
      <c r="TM45" s="47"/>
      <c r="TN45" s="47"/>
      <c r="TO45" s="47"/>
      <c r="TP45" s="47"/>
      <c r="TQ45" s="47"/>
      <c r="TR45" s="47"/>
      <c r="TS45" s="47"/>
      <c r="TT45" s="47"/>
      <c r="TU45" s="47"/>
      <c r="TV45" s="47"/>
      <c r="TW45" s="47"/>
      <c r="TX45" s="47">
        <v>109</v>
      </c>
      <c r="TY45" s="47"/>
      <c r="TZ45" s="47">
        <v>92</v>
      </c>
      <c r="UA45" s="47"/>
      <c r="UB45" s="47"/>
      <c r="UC45" s="47"/>
      <c r="UD45" s="47"/>
      <c r="UE45" s="47"/>
      <c r="UF45" s="47"/>
      <c r="UG45" s="47"/>
      <c r="UH45" s="47"/>
      <c r="UI45" s="47"/>
      <c r="UJ45" s="47"/>
      <c r="UK45" s="47"/>
      <c r="UL45" s="47"/>
      <c r="UM45" s="47"/>
      <c r="UN45" s="47"/>
      <c r="UO45" s="47">
        <v>86</v>
      </c>
      <c r="UP45" s="47"/>
      <c r="UQ45" s="47"/>
      <c r="UR45" s="47"/>
      <c r="US45" s="47"/>
      <c r="UT45" s="47"/>
      <c r="UU45" s="47"/>
      <c r="UV45" s="47"/>
      <c r="UW45" s="47"/>
      <c r="UX45" s="47"/>
      <c r="UY45" s="47"/>
      <c r="UZ45" s="47"/>
      <c r="VA45" s="47"/>
      <c r="VB45" s="47">
        <v>1.3</v>
      </c>
      <c r="VC45" s="47"/>
      <c r="VD45" s="47"/>
      <c r="VE45" s="47"/>
      <c r="VF45" s="47"/>
      <c r="VG45" s="47"/>
      <c r="VH45" s="47"/>
      <c r="VI45" s="47"/>
      <c r="VJ45" s="47">
        <v>1.3</v>
      </c>
      <c r="VK45" s="47"/>
      <c r="VL45" s="47"/>
      <c r="VM45" s="47"/>
      <c r="VN45" s="47"/>
      <c r="VO45" s="47"/>
      <c r="VP45" s="47"/>
      <c r="VQ45" s="47"/>
      <c r="VR45" s="47"/>
      <c r="VS45" s="47"/>
      <c r="VT45" s="47"/>
      <c r="VU45" s="47"/>
      <c r="VV45" s="47"/>
      <c r="VW45" s="47"/>
      <c r="VX45" s="47"/>
      <c r="VY45" s="47"/>
      <c r="VZ45" s="47"/>
      <c r="WA45" s="47"/>
      <c r="WB45" s="47"/>
      <c r="WC45" s="47"/>
      <c r="WD45" s="47"/>
      <c r="WE45" s="47"/>
      <c r="WF45" s="47"/>
      <c r="WG45" s="47"/>
      <c r="WH45" s="47"/>
      <c r="WI45" s="47"/>
      <c r="WJ45" s="47"/>
      <c r="WK45" s="47"/>
      <c r="WL45" s="47"/>
      <c r="WM45" s="47"/>
      <c r="WN45" s="47"/>
      <c r="WO45" s="47"/>
      <c r="WP45" s="47"/>
      <c r="WQ45" s="47"/>
      <c r="WR45" s="47"/>
      <c r="WS45" s="47"/>
      <c r="WT45" s="47"/>
      <c r="WU45" s="47"/>
      <c r="WV45" s="47"/>
      <c r="WW45" s="47"/>
      <c r="WX45" s="47"/>
      <c r="WY45" s="47"/>
      <c r="WZ45" s="47"/>
      <c r="XA45" s="47"/>
      <c r="XB45" s="47"/>
      <c r="XC45" s="47"/>
      <c r="XD45" s="47"/>
      <c r="XE45" s="47"/>
      <c r="XF45" s="47"/>
      <c r="XG45" s="47"/>
      <c r="XH45" s="47">
        <v>241</v>
      </c>
      <c r="XI45" s="47"/>
      <c r="XJ45" s="47">
        <v>180</v>
      </c>
      <c r="XK45" s="47"/>
      <c r="XL45" s="47"/>
      <c r="XM45" s="47"/>
      <c r="XN45" s="47"/>
      <c r="XO45" s="47"/>
      <c r="XP45" s="47"/>
      <c r="XQ45" s="47">
        <v>49</v>
      </c>
      <c r="XR45" s="47"/>
      <c r="XS45" s="47"/>
      <c r="XT45" s="47">
        <v>12.9</v>
      </c>
      <c r="XU45" s="47"/>
      <c r="XV45" s="47"/>
      <c r="XW45" s="47"/>
      <c r="XX45" s="47"/>
      <c r="XY45" s="47"/>
      <c r="XZ45" s="47"/>
      <c r="YA45" s="44"/>
      <c r="YB45" s="44"/>
      <c r="YC45" s="44"/>
      <c r="YD45" s="44"/>
      <c r="YE45" s="44"/>
      <c r="YF45" s="47"/>
      <c r="YG45" s="47"/>
      <c r="YH45" s="47"/>
      <c r="YI45" s="47"/>
      <c r="YJ45" s="47"/>
      <c r="YK45" s="47"/>
      <c r="YL45" s="47"/>
      <c r="YM45" s="47"/>
      <c r="YN45" s="47"/>
      <c r="YO45" s="47"/>
      <c r="YP45" s="47"/>
      <c r="YQ45" s="47"/>
      <c r="YR45" s="47"/>
      <c r="YS45" s="47"/>
      <c r="YT45" s="47"/>
      <c r="YU45" s="47"/>
      <c r="YV45" s="47"/>
      <c r="YW45" s="47"/>
      <c r="YX45" s="47"/>
      <c r="YY45" s="47"/>
      <c r="YZ45" s="47"/>
      <c r="ZA45" s="47">
        <v>113</v>
      </c>
      <c r="ZB45" s="47"/>
      <c r="ZC45" s="47">
        <v>108</v>
      </c>
      <c r="ZD45" s="47"/>
      <c r="ZE45" s="47"/>
      <c r="ZF45" s="47"/>
      <c r="ZG45" s="47"/>
      <c r="ZH45" s="47"/>
      <c r="ZI45" s="47"/>
      <c r="ZJ45" s="47"/>
      <c r="ZK45" s="47"/>
      <c r="ZL45" s="47"/>
      <c r="ZM45" s="47"/>
      <c r="ZN45" s="47"/>
      <c r="ZO45" s="47"/>
      <c r="ZP45" s="47" t="s">
        <v>783</v>
      </c>
      <c r="ZQ45" s="47"/>
      <c r="ZR45" s="47"/>
      <c r="ZS45" s="47"/>
      <c r="ZT45" s="47"/>
      <c r="ZU45" s="47"/>
      <c r="ZV45" s="47"/>
      <c r="ZW45" s="44"/>
      <c r="ZX45" s="44"/>
      <c r="ZY45" s="44"/>
      <c r="ZZ45" s="44"/>
      <c r="AAA45" s="44"/>
      <c r="AAB45" s="44"/>
      <c r="AAC45" s="44"/>
      <c r="AAD45" s="44"/>
      <c r="AAE45" s="44"/>
      <c r="AAF45" s="44"/>
      <c r="AAG45" s="47"/>
      <c r="AAH45" s="47"/>
      <c r="AAI45" s="47"/>
      <c r="AAJ45" s="47"/>
      <c r="AAK45" s="47"/>
      <c r="AAL45" s="47"/>
      <c r="AAM45" s="47"/>
      <c r="AAN45" s="47"/>
      <c r="AAO45" s="47"/>
      <c r="AAP45" s="47"/>
      <c r="AAQ45" s="47"/>
      <c r="AAR45" s="47"/>
      <c r="AAS45" s="47"/>
      <c r="AAT45" s="47"/>
      <c r="AAU45" s="47"/>
      <c r="AAV45" s="47"/>
      <c r="AAW45" s="47"/>
      <c r="AAX45" s="47"/>
      <c r="AAY45" s="47"/>
      <c r="AAZ45" s="47"/>
      <c r="ABA45" s="47"/>
      <c r="ABB45" s="47"/>
      <c r="ABC45" s="47"/>
      <c r="ABD45" s="47"/>
      <c r="ABE45" s="47"/>
      <c r="ABF45" s="47"/>
      <c r="ABG45" s="47"/>
      <c r="ABH45" s="47"/>
      <c r="ABI45" s="47"/>
      <c r="ABJ45" s="47"/>
      <c r="ABK45" s="47"/>
      <c r="ABL45" s="47"/>
      <c r="ABM45" s="47"/>
      <c r="ABN45" s="47"/>
      <c r="ABO45" s="47"/>
      <c r="ABP45" s="47"/>
      <c r="ABQ45" s="47"/>
      <c r="ABR45" s="47"/>
      <c r="ABS45" s="47"/>
      <c r="ABT45" s="47"/>
      <c r="ABU45" s="47"/>
      <c r="ABV45" s="47"/>
      <c r="ABW45" s="47"/>
      <c r="ABX45" s="47"/>
      <c r="ABY45" s="47"/>
      <c r="ABZ45" s="47"/>
      <c r="ACA45" s="47"/>
      <c r="ACB45" s="47"/>
      <c r="ACC45" s="47"/>
      <c r="ACD45" s="47"/>
      <c r="ACE45" s="47"/>
      <c r="ACF45" s="47"/>
      <c r="ACG45" s="47"/>
      <c r="ACH45" s="48"/>
    </row>
    <row r="46" spans="1:762" x14ac:dyDescent="0.25">
      <c r="A46" s="42" t="s">
        <v>89</v>
      </c>
      <c r="B46" s="43">
        <v>8000</v>
      </c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>
        <v>13</v>
      </c>
      <c r="AD46" s="43">
        <v>39</v>
      </c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3"/>
      <c r="BO46" s="43"/>
      <c r="BP46" s="43"/>
      <c r="BQ46" s="43"/>
      <c r="BR46" s="43"/>
      <c r="BS46" s="43"/>
      <c r="BT46" s="43"/>
      <c r="BU46" s="43"/>
      <c r="BV46" s="43"/>
      <c r="BW46" s="43"/>
      <c r="BX46" s="43"/>
      <c r="BY46" s="43"/>
      <c r="BZ46" s="43"/>
      <c r="CA46" s="43"/>
      <c r="CB46" s="43"/>
      <c r="CC46" s="43"/>
      <c r="CD46" s="43"/>
      <c r="CE46" s="43"/>
      <c r="CF46" s="43"/>
      <c r="CG46" s="43"/>
      <c r="CH46" s="43"/>
      <c r="CI46" s="43"/>
      <c r="CJ46" s="43"/>
      <c r="CK46" s="43"/>
      <c r="CL46" s="43"/>
      <c r="CM46" s="43"/>
      <c r="CN46" s="43"/>
      <c r="CO46" s="43"/>
      <c r="CP46" s="43"/>
      <c r="CQ46" s="43"/>
      <c r="CR46" s="43"/>
      <c r="CS46" s="43"/>
      <c r="CT46" s="43"/>
      <c r="CU46" s="43"/>
      <c r="CV46" s="43"/>
      <c r="CW46" s="43"/>
      <c r="CX46" s="43"/>
      <c r="CY46" s="43"/>
      <c r="CZ46" s="43"/>
      <c r="DA46" s="43"/>
      <c r="DB46" s="43"/>
      <c r="DC46" s="43"/>
      <c r="DD46" s="43"/>
      <c r="DE46" s="43"/>
      <c r="DF46" s="43"/>
      <c r="DG46" s="43"/>
      <c r="DH46" s="43"/>
      <c r="DI46" s="43"/>
      <c r="DJ46" s="43"/>
      <c r="DK46" s="43"/>
      <c r="DL46" s="43"/>
      <c r="DM46" s="43"/>
      <c r="DN46" s="43"/>
      <c r="DO46" s="43"/>
      <c r="DP46" s="43"/>
      <c r="DQ46" s="43"/>
      <c r="DR46" s="43"/>
      <c r="DS46" s="43"/>
      <c r="DT46" s="43"/>
      <c r="DU46" s="43"/>
      <c r="DV46" s="43"/>
      <c r="DW46" s="43"/>
      <c r="DX46" s="43"/>
      <c r="DY46" s="43"/>
      <c r="DZ46" s="43"/>
      <c r="EA46" s="43"/>
      <c r="EB46" s="43"/>
      <c r="EC46" s="43"/>
      <c r="ED46" s="43"/>
      <c r="EE46" s="43"/>
      <c r="EF46" s="43">
        <v>10499</v>
      </c>
      <c r="EG46" s="43">
        <v>7931</v>
      </c>
      <c r="EH46" s="43">
        <v>3657</v>
      </c>
      <c r="EI46" s="43"/>
      <c r="EJ46" s="43"/>
      <c r="EK46" s="43"/>
      <c r="EL46" s="43"/>
      <c r="EM46" s="43"/>
      <c r="EN46" s="43"/>
      <c r="EO46" s="43"/>
      <c r="EP46" s="43"/>
      <c r="EQ46" s="43"/>
      <c r="ER46" s="43"/>
      <c r="ES46" s="43"/>
      <c r="ET46" s="43"/>
      <c r="EU46" s="43"/>
      <c r="EV46" s="43"/>
      <c r="EW46" s="43"/>
      <c r="EX46" s="43"/>
      <c r="EY46" s="43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>
        <v>11047</v>
      </c>
      <c r="GV46" s="43">
        <v>8688</v>
      </c>
      <c r="GW46" s="43">
        <v>4612</v>
      </c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  <c r="IT46" s="43"/>
      <c r="IU46" s="43"/>
      <c r="IV46" s="43"/>
      <c r="IW46" s="43"/>
      <c r="IX46" s="43"/>
      <c r="IY46" s="43"/>
      <c r="IZ46" s="43"/>
      <c r="JA46" s="43"/>
      <c r="JB46" s="43"/>
      <c r="JC46" s="43"/>
      <c r="JD46" s="43"/>
      <c r="JE46" s="43"/>
      <c r="JF46" s="43"/>
      <c r="JG46" s="43"/>
      <c r="JH46" s="43"/>
      <c r="JI46" s="43"/>
      <c r="JJ46" s="43"/>
      <c r="JK46" s="43"/>
      <c r="JL46" s="43"/>
      <c r="JM46" s="43"/>
      <c r="JN46" s="43"/>
      <c r="JO46" s="43"/>
      <c r="JP46" s="43"/>
      <c r="JQ46" s="43"/>
      <c r="JR46" s="43"/>
      <c r="JS46" s="43"/>
      <c r="JT46" s="43"/>
      <c r="JU46" s="43"/>
      <c r="JV46" s="43"/>
      <c r="JW46" s="43"/>
      <c r="JX46" s="43"/>
      <c r="JY46" s="43"/>
      <c r="JZ46" s="43"/>
      <c r="KA46" s="43"/>
      <c r="KB46" s="43"/>
      <c r="KC46" s="43"/>
      <c r="KD46" s="43"/>
      <c r="KE46" s="43"/>
      <c r="KF46" s="43"/>
      <c r="KG46" s="43"/>
      <c r="KH46" s="43"/>
      <c r="KI46" s="43"/>
      <c r="KJ46" s="43"/>
      <c r="KK46" s="43"/>
      <c r="KL46" s="43"/>
      <c r="KM46" s="43"/>
      <c r="KN46" s="43"/>
      <c r="KO46" s="43"/>
      <c r="KP46" s="43"/>
      <c r="KQ46" s="43"/>
      <c r="KR46" s="43"/>
      <c r="KS46" s="43"/>
      <c r="KT46" s="43"/>
      <c r="KU46" s="43"/>
      <c r="KV46" s="43"/>
      <c r="KW46" s="43"/>
      <c r="KX46" s="43"/>
      <c r="KY46" s="43"/>
      <c r="KZ46" s="43"/>
      <c r="LA46" s="43"/>
      <c r="LB46" s="43"/>
      <c r="LC46" s="43"/>
      <c r="LD46" s="43"/>
      <c r="LE46" s="43"/>
      <c r="LF46" s="43"/>
      <c r="LG46" s="43"/>
      <c r="LH46" s="43"/>
      <c r="LI46" s="43"/>
      <c r="LJ46" s="43"/>
      <c r="LK46" s="43"/>
      <c r="LL46" s="43"/>
      <c r="LM46" s="43"/>
      <c r="LN46" s="43"/>
      <c r="LO46" s="43"/>
      <c r="LP46" s="43"/>
      <c r="LQ46" s="43"/>
      <c r="LR46" s="43"/>
      <c r="LS46" s="43"/>
      <c r="LT46" s="43"/>
      <c r="LU46" s="43"/>
      <c r="LV46" s="43"/>
      <c r="LW46" s="43"/>
      <c r="LX46" s="43"/>
      <c r="LY46" s="43"/>
      <c r="LZ46" s="43"/>
      <c r="MA46" s="43"/>
      <c r="MB46" s="43"/>
      <c r="MC46" s="43"/>
      <c r="MD46" s="43"/>
      <c r="ME46" s="43"/>
      <c r="MF46" s="43"/>
      <c r="MG46" s="43"/>
      <c r="MH46" s="43"/>
      <c r="MI46" s="43"/>
      <c r="MJ46" s="43"/>
      <c r="MK46" s="43"/>
      <c r="ML46" s="43"/>
      <c r="MM46" s="43"/>
      <c r="MN46" s="43"/>
      <c r="MO46" s="43"/>
      <c r="MP46" s="43"/>
      <c r="MQ46" s="43"/>
      <c r="MR46" s="43"/>
      <c r="MS46" s="43"/>
      <c r="MT46" s="43"/>
      <c r="MU46" s="43"/>
      <c r="MV46" s="43"/>
      <c r="MW46" s="43"/>
      <c r="MX46" s="43"/>
      <c r="MY46" s="43"/>
      <c r="MZ46" s="43"/>
      <c r="NA46" s="43"/>
      <c r="NB46" s="43"/>
      <c r="NC46" s="43"/>
      <c r="ND46" s="43"/>
      <c r="NE46" s="43"/>
      <c r="NF46" s="43"/>
      <c r="NG46" s="43"/>
      <c r="NH46" s="43"/>
      <c r="NI46" s="43"/>
      <c r="NJ46" s="44"/>
      <c r="NK46" s="44"/>
      <c r="NL46" s="44"/>
      <c r="NM46" s="44"/>
      <c r="NN46" s="44"/>
      <c r="NO46" s="43"/>
      <c r="NP46" s="43"/>
      <c r="NQ46" s="43"/>
      <c r="NR46" s="43"/>
      <c r="NS46" s="43"/>
      <c r="NT46" s="43"/>
      <c r="NU46" s="43"/>
      <c r="NV46" s="43"/>
      <c r="NW46" s="43"/>
      <c r="NX46" s="43"/>
      <c r="NY46" s="43"/>
      <c r="NZ46" s="43"/>
      <c r="OA46" s="43"/>
      <c r="OB46" s="43"/>
      <c r="OC46" s="43"/>
      <c r="OD46" s="43"/>
      <c r="OE46" s="43"/>
      <c r="OF46" s="43"/>
      <c r="OG46" s="43"/>
      <c r="OH46" s="43"/>
      <c r="OI46" s="43"/>
      <c r="OJ46" s="43"/>
      <c r="OK46" s="43"/>
      <c r="OL46" s="43"/>
      <c r="OM46" s="43"/>
      <c r="ON46" s="43"/>
      <c r="OO46" s="43"/>
      <c r="OP46" s="43"/>
      <c r="OQ46" s="43"/>
      <c r="OR46" s="43"/>
      <c r="OS46" s="43"/>
      <c r="OT46" s="43"/>
      <c r="OU46" s="43"/>
      <c r="OV46" s="43"/>
      <c r="OW46" s="43"/>
      <c r="OX46" s="43"/>
      <c r="OY46" s="43"/>
      <c r="OZ46" s="43"/>
      <c r="PA46" s="43"/>
      <c r="PB46" s="43"/>
      <c r="PC46" s="43"/>
      <c r="PD46" s="43"/>
      <c r="PE46" s="43"/>
      <c r="PF46" s="43"/>
      <c r="PG46" s="43"/>
      <c r="PH46" s="43"/>
      <c r="PI46" s="43"/>
      <c r="PJ46" s="43"/>
      <c r="PK46" s="43"/>
      <c r="PL46" s="43"/>
      <c r="PM46" s="43"/>
      <c r="PN46" s="43"/>
      <c r="PO46" s="43"/>
      <c r="PP46" s="43"/>
      <c r="PQ46" s="43"/>
      <c r="PR46" s="43"/>
      <c r="PS46" s="43"/>
      <c r="PT46" s="43"/>
      <c r="PU46" s="43"/>
      <c r="PV46" s="43"/>
      <c r="PW46" s="43"/>
      <c r="PX46" s="43"/>
      <c r="PY46" s="43"/>
      <c r="PZ46" s="43"/>
      <c r="QA46" s="43"/>
      <c r="QB46" s="43"/>
      <c r="QC46" s="43"/>
      <c r="QD46" s="43"/>
      <c r="QE46" s="43"/>
      <c r="QF46" s="43"/>
      <c r="QG46" s="43"/>
      <c r="QH46" s="43"/>
      <c r="QI46" s="43"/>
      <c r="QJ46" s="43"/>
      <c r="QK46" s="43"/>
      <c r="QL46" s="43"/>
      <c r="QM46" s="43"/>
      <c r="QN46" s="43"/>
      <c r="QO46" s="43"/>
      <c r="QP46" s="43"/>
      <c r="QQ46" s="43"/>
      <c r="QR46" s="43"/>
      <c r="QS46" s="43"/>
      <c r="QT46" s="43"/>
      <c r="QU46" s="43"/>
      <c r="QV46" s="43"/>
      <c r="QW46" s="43"/>
      <c r="QX46" s="43"/>
      <c r="QY46" s="43"/>
      <c r="QZ46" s="43"/>
      <c r="RA46" s="43"/>
      <c r="RB46" s="43"/>
      <c r="RC46" s="43"/>
      <c r="RD46" s="43"/>
      <c r="RE46" s="43"/>
      <c r="RF46" s="43"/>
      <c r="RG46" s="43"/>
      <c r="RH46" s="43"/>
      <c r="RI46" s="43"/>
      <c r="RJ46" s="43"/>
      <c r="RK46" s="43"/>
      <c r="RL46" s="43"/>
      <c r="RM46" s="43"/>
      <c r="RN46" s="43"/>
      <c r="RO46" s="43"/>
      <c r="RP46" s="43"/>
      <c r="RQ46" s="43"/>
      <c r="RR46" s="43"/>
      <c r="RS46" s="43"/>
      <c r="RT46" s="43"/>
      <c r="RU46" s="43"/>
      <c r="RV46" s="43"/>
      <c r="RW46" s="43"/>
      <c r="RX46" s="43"/>
      <c r="RY46" s="43"/>
      <c r="RZ46" s="43"/>
      <c r="SA46" s="43"/>
      <c r="SB46" s="43"/>
      <c r="SC46" s="43"/>
      <c r="SD46" s="43"/>
      <c r="SE46" s="43"/>
      <c r="SF46" s="43"/>
      <c r="SG46" s="43"/>
      <c r="SH46" s="43"/>
      <c r="SI46" s="43"/>
      <c r="SJ46" s="43"/>
      <c r="SK46" s="43"/>
      <c r="SL46" s="43"/>
      <c r="SM46" s="43"/>
      <c r="SN46" s="43"/>
      <c r="SO46" s="43"/>
      <c r="SP46" s="43"/>
      <c r="SQ46" s="43"/>
      <c r="SR46" s="43"/>
      <c r="SS46" s="43"/>
      <c r="ST46" s="43"/>
      <c r="SU46" s="43"/>
      <c r="SV46" s="43"/>
      <c r="SW46" s="43"/>
      <c r="SX46" s="43"/>
      <c r="SY46" s="43"/>
      <c r="SZ46" s="43"/>
      <c r="TA46" s="43"/>
      <c r="TB46" s="43"/>
      <c r="TC46" s="43"/>
      <c r="TD46" s="43"/>
      <c r="TE46" s="43"/>
      <c r="TF46" s="43"/>
      <c r="TG46" s="43"/>
      <c r="TH46" s="43"/>
      <c r="TI46" s="43"/>
      <c r="TJ46" s="43"/>
      <c r="TK46" s="43"/>
      <c r="TL46" s="43"/>
      <c r="TM46" s="43"/>
      <c r="TN46" s="43"/>
      <c r="TO46" s="43"/>
      <c r="TP46" s="43"/>
      <c r="TQ46" s="43"/>
      <c r="TR46" s="43"/>
      <c r="TS46" s="43"/>
      <c r="TT46" s="43"/>
      <c r="TU46" s="43"/>
      <c r="TV46" s="43"/>
      <c r="TW46" s="43"/>
      <c r="TX46" s="43"/>
      <c r="TY46" s="43"/>
      <c r="TZ46" s="43"/>
      <c r="UA46" s="43"/>
      <c r="UB46" s="43"/>
      <c r="UC46" s="43"/>
      <c r="UD46" s="43"/>
      <c r="UE46" s="43"/>
      <c r="UF46" s="43"/>
      <c r="UG46" s="43"/>
      <c r="UH46" s="43"/>
      <c r="UI46" s="43"/>
      <c r="UJ46" s="43"/>
      <c r="UK46" s="43"/>
      <c r="UL46" s="43"/>
      <c r="UM46" s="43"/>
      <c r="UN46" s="43"/>
      <c r="UO46" s="43"/>
      <c r="UP46" s="43"/>
      <c r="UQ46" s="43"/>
      <c r="UR46" s="43"/>
      <c r="US46" s="43"/>
      <c r="UT46" s="43"/>
      <c r="UU46" s="43"/>
      <c r="UV46" s="43"/>
      <c r="UW46" s="43"/>
      <c r="UX46" s="43"/>
      <c r="UY46" s="43"/>
      <c r="UZ46" s="43"/>
      <c r="VA46" s="43"/>
      <c r="VB46" s="43"/>
      <c r="VC46" s="43"/>
      <c r="VD46" s="43"/>
      <c r="VE46" s="43"/>
      <c r="VF46" s="43"/>
      <c r="VG46" s="43"/>
      <c r="VH46" s="43"/>
      <c r="VI46" s="43"/>
      <c r="VJ46" s="43"/>
      <c r="VK46" s="43"/>
      <c r="VL46" s="43"/>
      <c r="VM46" s="43"/>
      <c r="VN46" s="43"/>
      <c r="VO46" s="43"/>
      <c r="VP46" s="43"/>
      <c r="VQ46" s="43"/>
      <c r="VR46" s="43"/>
      <c r="VS46" s="43"/>
      <c r="VT46" s="43"/>
      <c r="VU46" s="43"/>
      <c r="VV46" s="43"/>
      <c r="VW46" s="43"/>
      <c r="VX46" s="43"/>
      <c r="VY46" s="43"/>
      <c r="VZ46" s="43"/>
      <c r="WA46" s="43"/>
      <c r="WB46" s="43"/>
      <c r="WC46" s="43"/>
      <c r="WD46" s="43"/>
      <c r="WE46" s="43"/>
      <c r="WF46" s="43"/>
      <c r="WG46" s="43"/>
      <c r="WH46" s="43"/>
      <c r="WI46" s="43"/>
      <c r="WJ46" s="43"/>
      <c r="WK46" s="43"/>
      <c r="WL46" s="43"/>
      <c r="WM46" s="43"/>
      <c r="WN46" s="43"/>
      <c r="WO46" s="43"/>
      <c r="WP46" s="43"/>
      <c r="WQ46" s="43"/>
      <c r="WR46" s="43"/>
      <c r="WS46" s="43"/>
      <c r="WT46" s="43"/>
      <c r="WU46" s="43"/>
      <c r="WV46" s="43"/>
      <c r="WW46" s="43"/>
      <c r="WX46" s="43"/>
      <c r="WY46" s="43"/>
      <c r="WZ46" s="43"/>
      <c r="XA46" s="43"/>
      <c r="XB46" s="43"/>
      <c r="XC46" s="43"/>
      <c r="XD46" s="43"/>
      <c r="XE46" s="43"/>
      <c r="XF46" s="43"/>
      <c r="XG46" s="43"/>
      <c r="XH46" s="43"/>
      <c r="XI46" s="43"/>
      <c r="XJ46" s="43"/>
      <c r="XK46" s="43"/>
      <c r="XL46" s="43"/>
      <c r="XM46" s="43"/>
      <c r="XN46" s="43"/>
      <c r="XO46" s="43"/>
      <c r="XP46" s="43"/>
      <c r="XQ46" s="43"/>
      <c r="XR46" s="43"/>
      <c r="XS46" s="43"/>
      <c r="XT46" s="43"/>
      <c r="XU46" s="43"/>
      <c r="XV46" s="43"/>
      <c r="XW46" s="43"/>
      <c r="XX46" s="43"/>
      <c r="XY46" s="43"/>
      <c r="XZ46" s="43"/>
      <c r="YA46" s="44"/>
      <c r="YB46" s="44"/>
      <c r="YC46" s="44"/>
      <c r="YD46" s="44"/>
      <c r="YE46" s="44"/>
      <c r="YF46" s="43"/>
      <c r="YG46" s="43"/>
      <c r="YH46" s="43"/>
      <c r="YI46" s="43"/>
      <c r="YJ46" s="43"/>
      <c r="YK46" s="43"/>
      <c r="YL46" s="43"/>
      <c r="YM46" s="43"/>
      <c r="YN46" s="43"/>
      <c r="YO46" s="43"/>
      <c r="YP46" s="43"/>
      <c r="YQ46" s="43"/>
      <c r="YR46" s="43"/>
      <c r="YS46" s="43"/>
      <c r="YT46" s="43"/>
      <c r="YU46" s="43"/>
      <c r="YV46" s="43"/>
      <c r="YW46" s="43"/>
      <c r="YX46" s="43"/>
      <c r="YY46" s="43"/>
      <c r="YZ46" s="43"/>
      <c r="ZA46" s="43"/>
      <c r="ZB46" s="43"/>
      <c r="ZC46" s="43"/>
      <c r="ZD46" s="43"/>
      <c r="ZE46" s="43"/>
      <c r="ZF46" s="43"/>
      <c r="ZG46" s="43"/>
      <c r="ZH46" s="43"/>
      <c r="ZI46" s="43"/>
      <c r="ZJ46" s="43"/>
      <c r="ZK46" s="43"/>
      <c r="ZL46" s="43"/>
      <c r="ZM46" s="43"/>
      <c r="ZN46" s="43"/>
      <c r="ZO46" s="43"/>
      <c r="ZP46" s="43"/>
      <c r="ZQ46" s="43"/>
      <c r="ZR46" s="43"/>
      <c r="ZS46" s="43"/>
      <c r="ZT46" s="43"/>
      <c r="ZU46" s="43"/>
      <c r="ZV46" s="43"/>
      <c r="ZW46" s="54">
        <v>0.4839</v>
      </c>
      <c r="ZX46" s="44"/>
      <c r="ZY46" s="44"/>
      <c r="ZZ46" s="44"/>
      <c r="AAA46" s="44"/>
      <c r="AAB46" s="44"/>
      <c r="AAC46" s="44"/>
      <c r="AAD46" s="44"/>
      <c r="AAE46" s="44"/>
      <c r="AAF46" s="44"/>
      <c r="AAG46" s="43"/>
      <c r="AAH46" s="43"/>
      <c r="AAI46" s="43"/>
      <c r="AAJ46" s="43"/>
      <c r="AAK46" s="43"/>
      <c r="AAL46" s="43"/>
      <c r="AAM46" s="43"/>
      <c r="AAN46" s="43"/>
      <c r="AAO46" s="43"/>
      <c r="AAP46" s="43"/>
      <c r="AAQ46" s="43"/>
      <c r="AAR46" s="43"/>
      <c r="AAS46" s="43"/>
      <c r="AAT46" s="43"/>
      <c r="AAU46" s="43"/>
      <c r="AAV46" s="43"/>
      <c r="AAW46" s="43"/>
      <c r="AAX46" s="43"/>
      <c r="AAY46" s="43"/>
      <c r="AAZ46" s="43"/>
      <c r="ABA46" s="43"/>
      <c r="ABB46" s="43"/>
      <c r="ABC46" s="43"/>
      <c r="ABD46" s="43"/>
      <c r="ABE46" s="43"/>
      <c r="ABF46" s="43"/>
      <c r="ABG46" s="43"/>
      <c r="ABH46" s="43"/>
      <c r="ABI46" s="43"/>
      <c r="ABJ46" s="43"/>
      <c r="ABK46" s="43"/>
      <c r="ABL46" s="43"/>
      <c r="ABM46" s="43"/>
      <c r="ABN46" s="43"/>
      <c r="ABO46" s="43"/>
      <c r="ABP46" s="43"/>
      <c r="ABQ46" s="43"/>
      <c r="ABR46" s="43"/>
      <c r="ABS46" s="43"/>
      <c r="ABT46" s="43"/>
      <c r="ABU46" s="43"/>
      <c r="ABV46" s="43"/>
      <c r="ABW46" s="43"/>
      <c r="ABX46" s="43"/>
      <c r="ABY46" s="43"/>
      <c r="ABZ46" s="43"/>
      <c r="ACA46" s="43"/>
      <c r="ACB46" s="43"/>
      <c r="ACC46" s="43"/>
      <c r="ACD46" s="43"/>
      <c r="ACE46" s="43"/>
      <c r="ACF46" s="43"/>
      <c r="ACG46" s="43"/>
      <c r="ACH46" s="45"/>
    </row>
    <row r="47" spans="1:762" x14ac:dyDescent="0.25">
      <c r="A47" s="46" t="s">
        <v>91</v>
      </c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  <c r="BW47" s="47"/>
      <c r="BX47" s="47"/>
      <c r="BY47" s="47"/>
      <c r="BZ47" s="47"/>
      <c r="CA47" s="47"/>
      <c r="CB47" s="47"/>
      <c r="CC47" s="47"/>
      <c r="CD47" s="47"/>
      <c r="CE47" s="47"/>
      <c r="CF47" s="47"/>
      <c r="CG47" s="47"/>
      <c r="CH47" s="47"/>
      <c r="CI47" s="47"/>
      <c r="CJ47" s="47"/>
      <c r="CK47" s="47"/>
      <c r="CL47" s="47"/>
      <c r="CM47" s="47"/>
      <c r="CN47" s="47"/>
      <c r="CO47" s="47"/>
      <c r="CP47" s="47"/>
      <c r="CQ47" s="47"/>
      <c r="CR47" s="47"/>
      <c r="CS47" s="47"/>
      <c r="CT47" s="47"/>
      <c r="CU47" s="47"/>
      <c r="CV47" s="47"/>
      <c r="CW47" s="47"/>
      <c r="CX47" s="47"/>
      <c r="CY47" s="47"/>
      <c r="CZ47" s="47"/>
      <c r="DA47" s="47"/>
      <c r="DB47" s="47"/>
      <c r="DC47" s="47"/>
      <c r="DD47" s="47"/>
      <c r="DE47" s="47"/>
      <c r="DF47" s="47"/>
      <c r="DG47" s="47"/>
      <c r="DH47" s="47"/>
      <c r="DI47" s="47"/>
      <c r="DJ47" s="47"/>
      <c r="DK47" s="47"/>
      <c r="DL47" s="47"/>
      <c r="DM47" s="47"/>
      <c r="DN47" s="47"/>
      <c r="DO47" s="47"/>
      <c r="DP47" s="47"/>
      <c r="DQ47" s="47"/>
      <c r="DR47" s="47"/>
      <c r="DS47" s="47"/>
      <c r="DT47" s="47"/>
      <c r="DU47" s="47"/>
      <c r="DV47" s="47"/>
      <c r="DW47" s="47"/>
      <c r="DX47" s="47"/>
      <c r="DY47" s="47"/>
      <c r="DZ47" s="47"/>
      <c r="EA47" s="47"/>
      <c r="EB47" s="47"/>
      <c r="EC47" s="47"/>
      <c r="ED47" s="47"/>
      <c r="EE47" s="47"/>
      <c r="EF47" s="47"/>
      <c r="EG47" s="47"/>
      <c r="EH47" s="47"/>
      <c r="EI47" s="47"/>
      <c r="EJ47" s="47"/>
      <c r="EK47" s="47"/>
      <c r="EL47" s="47"/>
      <c r="EM47" s="47"/>
      <c r="EN47" s="47"/>
      <c r="EO47" s="47"/>
      <c r="EP47" s="47"/>
      <c r="EQ47" s="47"/>
      <c r="ER47" s="47"/>
      <c r="ES47" s="47"/>
      <c r="ET47" s="47"/>
      <c r="EU47" s="47"/>
      <c r="EV47" s="47"/>
      <c r="EW47" s="47"/>
      <c r="EX47" s="47"/>
      <c r="EY47" s="47"/>
      <c r="EZ47" s="47"/>
      <c r="FA47" s="47"/>
      <c r="FB47" s="47"/>
      <c r="FC47" s="47"/>
      <c r="FD47" s="47"/>
      <c r="FE47" s="47"/>
      <c r="FF47" s="47"/>
      <c r="FG47" s="47"/>
      <c r="FH47" s="47"/>
      <c r="FI47" s="47"/>
      <c r="FJ47" s="47"/>
      <c r="FK47" s="47"/>
      <c r="FL47" s="47"/>
      <c r="FM47" s="47"/>
      <c r="FN47" s="47"/>
      <c r="FO47" s="47"/>
      <c r="FP47" s="47"/>
      <c r="FQ47" s="47"/>
      <c r="FR47" s="47"/>
      <c r="FS47" s="47"/>
      <c r="FT47" s="47"/>
      <c r="FU47" s="47"/>
      <c r="FV47" s="47"/>
      <c r="FW47" s="47"/>
      <c r="FX47" s="47"/>
      <c r="FY47" s="47"/>
      <c r="FZ47" s="47"/>
      <c r="GA47" s="47"/>
      <c r="GB47" s="47"/>
      <c r="GC47" s="47"/>
      <c r="GD47" s="47"/>
      <c r="GE47" s="47"/>
      <c r="GF47" s="47"/>
      <c r="GG47" s="47"/>
      <c r="GH47" s="47"/>
      <c r="GI47" s="47"/>
      <c r="GJ47" s="47"/>
      <c r="GK47" s="47"/>
      <c r="GL47" s="47"/>
      <c r="GM47" s="47"/>
      <c r="GN47" s="47"/>
      <c r="GO47" s="47"/>
      <c r="GP47" s="47"/>
      <c r="GQ47" s="47"/>
      <c r="GR47" s="47"/>
      <c r="GS47" s="47"/>
      <c r="GT47" s="47"/>
      <c r="GU47" s="47"/>
      <c r="GV47" s="47"/>
      <c r="GW47" s="47"/>
      <c r="GX47" s="47"/>
      <c r="GY47" s="47"/>
      <c r="GZ47" s="47"/>
      <c r="HA47" s="47"/>
      <c r="HB47" s="47"/>
      <c r="HC47" s="47"/>
      <c r="HD47" s="47"/>
      <c r="HE47" s="47"/>
      <c r="HF47" s="47"/>
      <c r="HG47" s="47"/>
      <c r="HH47" s="47"/>
      <c r="HI47" s="47"/>
      <c r="HJ47" s="47"/>
      <c r="HK47" s="47"/>
      <c r="HL47" s="47"/>
      <c r="HM47" s="47"/>
      <c r="HN47" s="47"/>
      <c r="HO47" s="47"/>
      <c r="HP47" s="47"/>
      <c r="HQ47" s="47"/>
      <c r="HR47" s="47"/>
      <c r="HS47" s="47"/>
      <c r="HT47" s="47"/>
      <c r="HU47" s="47"/>
      <c r="HV47" s="47"/>
      <c r="HW47" s="47"/>
      <c r="HX47" s="47"/>
      <c r="HY47" s="47"/>
      <c r="HZ47" s="47"/>
      <c r="IA47" s="47"/>
      <c r="IB47" s="47"/>
      <c r="IC47" s="47"/>
      <c r="ID47" s="47"/>
      <c r="IE47" s="47"/>
      <c r="IF47" s="47"/>
      <c r="IG47" s="47"/>
      <c r="IH47" s="47"/>
      <c r="II47" s="47"/>
      <c r="IJ47" s="47"/>
      <c r="IK47" s="47"/>
      <c r="IL47" s="47"/>
      <c r="IM47" s="47"/>
      <c r="IN47" s="47"/>
      <c r="IO47" s="47"/>
      <c r="IP47" s="47"/>
      <c r="IQ47" s="47"/>
      <c r="IR47" s="47"/>
      <c r="IS47" s="47"/>
      <c r="IT47" s="47"/>
      <c r="IU47" s="47"/>
      <c r="IV47" s="47"/>
      <c r="IW47" s="47"/>
      <c r="IX47" s="47"/>
      <c r="IY47" s="47"/>
      <c r="IZ47" s="47"/>
      <c r="JA47" s="47"/>
      <c r="JB47" s="47"/>
      <c r="JC47" s="47"/>
      <c r="JD47" s="47"/>
      <c r="JE47" s="47"/>
      <c r="JF47" s="47"/>
      <c r="JG47" s="47"/>
      <c r="JH47" s="47"/>
      <c r="JI47" s="47"/>
      <c r="JJ47" s="47"/>
      <c r="JK47" s="47"/>
      <c r="JL47" s="47"/>
      <c r="JM47" s="47"/>
      <c r="JN47" s="47"/>
      <c r="JO47" s="47"/>
      <c r="JP47" s="47"/>
      <c r="JQ47" s="47"/>
      <c r="JR47" s="47"/>
      <c r="JS47" s="47"/>
      <c r="JT47" s="47"/>
      <c r="JU47" s="47"/>
      <c r="JV47" s="47"/>
      <c r="JW47" s="47"/>
      <c r="JX47" s="47"/>
      <c r="JY47" s="47"/>
      <c r="JZ47" s="47"/>
      <c r="KA47" s="47"/>
      <c r="KB47" s="47"/>
      <c r="KC47" s="47"/>
      <c r="KD47" s="47"/>
      <c r="KE47" s="47"/>
      <c r="KF47" s="47"/>
      <c r="KG47" s="47"/>
      <c r="KH47" s="47"/>
      <c r="KI47" s="47"/>
      <c r="KJ47" s="47"/>
      <c r="KK47" s="47"/>
      <c r="KL47" s="47"/>
      <c r="KM47" s="47"/>
      <c r="KN47" s="47"/>
      <c r="KO47" s="47"/>
      <c r="KP47" s="47"/>
      <c r="KQ47" s="47"/>
      <c r="KR47" s="47"/>
      <c r="KS47" s="47"/>
      <c r="KT47" s="47"/>
      <c r="KU47" s="47"/>
      <c r="KV47" s="47"/>
      <c r="KW47" s="47"/>
      <c r="KX47" s="47"/>
      <c r="KY47" s="47"/>
      <c r="KZ47" s="47"/>
      <c r="LA47" s="47"/>
      <c r="LB47" s="47"/>
      <c r="LC47" s="47"/>
      <c r="LD47" s="47"/>
      <c r="LE47" s="47"/>
      <c r="LF47" s="47"/>
      <c r="LG47" s="47"/>
      <c r="LH47" s="47"/>
      <c r="LI47" s="47"/>
      <c r="LJ47" s="47"/>
      <c r="LK47" s="47"/>
      <c r="LL47" s="47"/>
      <c r="LM47" s="47"/>
      <c r="LN47" s="47"/>
      <c r="LO47" s="47"/>
      <c r="LP47" s="47"/>
      <c r="LQ47" s="47"/>
      <c r="LR47" s="47"/>
      <c r="LS47" s="47"/>
      <c r="LT47" s="47"/>
      <c r="LU47" s="47"/>
      <c r="LV47" s="47"/>
      <c r="LW47" s="47"/>
      <c r="LX47" s="47"/>
      <c r="LY47" s="47"/>
      <c r="LZ47" s="47"/>
      <c r="MA47" s="47"/>
      <c r="MB47" s="47"/>
      <c r="MC47" s="47"/>
      <c r="MD47" s="47"/>
      <c r="ME47" s="47"/>
      <c r="MF47" s="47"/>
      <c r="MG47" s="47"/>
      <c r="MH47" s="47"/>
      <c r="MI47" s="47"/>
      <c r="MJ47" s="47"/>
      <c r="MK47" s="47"/>
      <c r="ML47" s="47"/>
      <c r="MM47" s="47"/>
      <c r="MN47" s="47"/>
      <c r="MO47" s="47"/>
      <c r="MP47" s="47"/>
      <c r="MQ47" s="47"/>
      <c r="MR47" s="47"/>
      <c r="MS47" s="47"/>
      <c r="MT47" s="47"/>
      <c r="MU47" s="47"/>
      <c r="MV47" s="47"/>
      <c r="MW47" s="47"/>
      <c r="MX47" s="47"/>
      <c r="MY47" s="47"/>
      <c r="MZ47" s="47"/>
      <c r="NA47" s="47"/>
      <c r="NB47" s="47"/>
      <c r="NC47" s="47"/>
      <c r="ND47" s="47"/>
      <c r="NE47" s="47"/>
      <c r="NF47" s="47"/>
      <c r="NG47" s="47"/>
      <c r="NH47" s="47"/>
      <c r="NI47" s="47"/>
      <c r="NJ47" s="44"/>
      <c r="NK47" s="44"/>
      <c r="NL47" s="44"/>
      <c r="NM47" s="44"/>
      <c r="NN47" s="44"/>
      <c r="NO47" s="47"/>
      <c r="NP47" s="47"/>
      <c r="NQ47" s="47"/>
      <c r="NR47" s="47"/>
      <c r="NS47" s="47"/>
      <c r="NT47" s="47"/>
      <c r="NU47" s="47"/>
      <c r="NV47" s="47"/>
      <c r="NW47" s="47"/>
      <c r="NX47" s="47"/>
      <c r="NY47" s="47"/>
      <c r="NZ47" s="47"/>
      <c r="OA47" s="47"/>
      <c r="OB47" s="47"/>
      <c r="OC47" s="47"/>
      <c r="OD47" s="47"/>
      <c r="OE47" s="47"/>
      <c r="OF47" s="47"/>
      <c r="OG47" s="47"/>
      <c r="OH47" s="47"/>
      <c r="OI47" s="47"/>
      <c r="OJ47" s="47"/>
      <c r="OK47" s="47"/>
      <c r="OL47" s="47"/>
      <c r="OM47" s="47"/>
      <c r="ON47" s="47"/>
      <c r="OO47" s="47"/>
      <c r="OP47" s="47"/>
      <c r="OQ47" s="47"/>
      <c r="OR47" s="47"/>
      <c r="OS47" s="47"/>
      <c r="OT47" s="47"/>
      <c r="OU47" s="47"/>
      <c r="OV47" s="47"/>
      <c r="OW47" s="47"/>
      <c r="OX47" s="47"/>
      <c r="OY47" s="47"/>
      <c r="OZ47" s="47"/>
      <c r="PA47" s="47"/>
      <c r="PB47" s="47"/>
      <c r="PC47" s="47"/>
      <c r="PD47" s="47"/>
      <c r="PE47" s="47"/>
      <c r="PF47" s="47"/>
      <c r="PG47" s="47"/>
      <c r="PH47" s="47"/>
      <c r="PI47" s="47"/>
      <c r="PJ47" s="47"/>
      <c r="PK47" s="47"/>
      <c r="PL47" s="47"/>
      <c r="PM47" s="47"/>
      <c r="PN47" s="47"/>
      <c r="PO47" s="47"/>
      <c r="PP47" s="47"/>
      <c r="PQ47" s="47"/>
      <c r="PR47" s="47"/>
      <c r="PS47" s="47"/>
      <c r="PT47" s="47"/>
      <c r="PU47" s="47"/>
      <c r="PV47" s="47"/>
      <c r="PW47" s="47"/>
      <c r="PX47" s="47"/>
      <c r="PY47" s="47"/>
      <c r="PZ47" s="47"/>
      <c r="QA47" s="47"/>
      <c r="QB47" s="47"/>
      <c r="QC47" s="47"/>
      <c r="QD47" s="47"/>
      <c r="QE47" s="47"/>
      <c r="QF47" s="47"/>
      <c r="QG47" s="47"/>
      <c r="QH47" s="47"/>
      <c r="QI47" s="47"/>
      <c r="QJ47" s="47"/>
      <c r="QK47" s="47"/>
      <c r="QL47" s="47"/>
      <c r="QM47" s="47"/>
      <c r="QN47" s="47"/>
      <c r="QO47" s="47"/>
      <c r="QP47" s="47"/>
      <c r="QQ47" s="47"/>
      <c r="QR47" s="47"/>
      <c r="QS47" s="47"/>
      <c r="QT47" s="47"/>
      <c r="QU47" s="47"/>
      <c r="QV47" s="47"/>
      <c r="QW47" s="47"/>
      <c r="QX47" s="47"/>
      <c r="QY47" s="47"/>
      <c r="QZ47" s="47"/>
      <c r="RA47" s="47"/>
      <c r="RB47" s="47"/>
      <c r="RC47" s="47"/>
      <c r="RD47" s="47"/>
      <c r="RE47" s="47"/>
      <c r="RF47" s="47"/>
      <c r="RG47" s="47"/>
      <c r="RH47" s="47"/>
      <c r="RI47" s="47"/>
      <c r="RJ47" s="47"/>
      <c r="RK47" s="47"/>
      <c r="RL47" s="47"/>
      <c r="RM47" s="47"/>
      <c r="RN47" s="47"/>
      <c r="RO47" s="47"/>
      <c r="RP47" s="47"/>
      <c r="RQ47" s="47"/>
      <c r="RR47" s="47"/>
      <c r="RS47" s="47"/>
      <c r="RT47" s="47"/>
      <c r="RU47" s="47"/>
      <c r="RV47" s="47"/>
      <c r="RW47" s="47"/>
      <c r="RX47" s="47"/>
      <c r="RY47" s="47"/>
      <c r="RZ47" s="47"/>
      <c r="SA47" s="47"/>
      <c r="SB47" s="47"/>
      <c r="SC47" s="47"/>
      <c r="SD47" s="47"/>
      <c r="SE47" s="47"/>
      <c r="SF47" s="47"/>
      <c r="SG47" s="47"/>
      <c r="SH47" s="47"/>
      <c r="SI47" s="47"/>
      <c r="SJ47" s="47"/>
      <c r="SK47" s="47"/>
      <c r="SL47" s="47"/>
      <c r="SM47" s="47"/>
      <c r="SN47" s="47"/>
      <c r="SO47" s="47"/>
      <c r="SP47" s="47"/>
      <c r="SQ47" s="47"/>
      <c r="SR47" s="47"/>
      <c r="SS47" s="47"/>
      <c r="ST47" s="47"/>
      <c r="SU47" s="47"/>
      <c r="SV47" s="47"/>
      <c r="SW47" s="47"/>
      <c r="SX47" s="47"/>
      <c r="SY47" s="47"/>
      <c r="SZ47" s="47"/>
      <c r="TA47" s="47"/>
      <c r="TB47" s="47"/>
      <c r="TC47" s="47"/>
      <c r="TD47" s="47"/>
      <c r="TE47" s="47"/>
      <c r="TF47" s="47"/>
      <c r="TG47" s="47"/>
      <c r="TH47" s="47"/>
      <c r="TI47" s="47"/>
      <c r="TJ47" s="47"/>
      <c r="TK47" s="47"/>
      <c r="TL47" s="47"/>
      <c r="TM47" s="47"/>
      <c r="TN47" s="47"/>
      <c r="TO47" s="47"/>
      <c r="TP47" s="47"/>
      <c r="TQ47" s="47"/>
      <c r="TR47" s="47"/>
      <c r="TS47" s="47"/>
      <c r="TT47" s="47"/>
      <c r="TU47" s="47"/>
      <c r="TV47" s="47"/>
      <c r="TW47" s="47"/>
      <c r="TX47" s="47"/>
      <c r="TY47" s="47"/>
      <c r="TZ47" s="47"/>
      <c r="UA47" s="47"/>
      <c r="UB47" s="47"/>
      <c r="UC47" s="47"/>
      <c r="UD47" s="47"/>
      <c r="UE47" s="47"/>
      <c r="UF47" s="47"/>
      <c r="UG47" s="47"/>
      <c r="UH47" s="47"/>
      <c r="UI47" s="47"/>
      <c r="UJ47" s="47"/>
      <c r="UK47" s="47"/>
      <c r="UL47" s="47"/>
      <c r="UM47" s="47"/>
      <c r="UN47" s="47"/>
      <c r="UO47" s="47"/>
      <c r="UP47" s="47"/>
      <c r="UQ47" s="47"/>
      <c r="UR47" s="47"/>
      <c r="US47" s="47"/>
      <c r="UT47" s="47"/>
      <c r="UU47" s="47"/>
      <c r="UV47" s="47"/>
      <c r="UW47" s="47"/>
      <c r="UX47" s="47"/>
      <c r="UY47" s="47"/>
      <c r="UZ47" s="47"/>
      <c r="VA47" s="47"/>
      <c r="VB47" s="47"/>
      <c r="VC47" s="47"/>
      <c r="VD47" s="47"/>
      <c r="VE47" s="47"/>
      <c r="VF47" s="47"/>
      <c r="VG47" s="47"/>
      <c r="VH47" s="47"/>
      <c r="VI47" s="47"/>
      <c r="VJ47" s="47"/>
      <c r="VK47" s="47"/>
      <c r="VL47" s="47"/>
      <c r="VM47" s="47"/>
      <c r="VN47" s="47"/>
      <c r="VO47" s="47"/>
      <c r="VP47" s="47"/>
      <c r="VQ47" s="47"/>
      <c r="VR47" s="47"/>
      <c r="VS47" s="47"/>
      <c r="VT47" s="47"/>
      <c r="VU47" s="47"/>
      <c r="VV47" s="47"/>
      <c r="VW47" s="47"/>
      <c r="VX47" s="47"/>
      <c r="VY47" s="47"/>
      <c r="VZ47" s="47"/>
      <c r="WA47" s="47"/>
      <c r="WB47" s="47"/>
      <c r="WC47" s="47"/>
      <c r="WD47" s="47"/>
      <c r="WE47" s="47"/>
      <c r="WF47" s="47"/>
      <c r="WG47" s="47"/>
      <c r="WH47" s="47"/>
      <c r="WI47" s="47"/>
      <c r="WJ47" s="47"/>
      <c r="WK47" s="47"/>
      <c r="WL47" s="47"/>
      <c r="WM47" s="47"/>
      <c r="WN47" s="47"/>
      <c r="WO47" s="47"/>
      <c r="WP47" s="47"/>
      <c r="WQ47" s="47"/>
      <c r="WR47" s="47"/>
      <c r="WS47" s="47"/>
      <c r="WT47" s="47"/>
      <c r="WU47" s="47"/>
      <c r="WV47" s="47"/>
      <c r="WW47" s="47"/>
      <c r="WX47" s="47"/>
      <c r="WY47" s="47"/>
      <c r="WZ47" s="47"/>
      <c r="XA47" s="47"/>
      <c r="XB47" s="47"/>
      <c r="XC47" s="47"/>
      <c r="XD47" s="47"/>
      <c r="XE47" s="47"/>
      <c r="XF47" s="47"/>
      <c r="XG47" s="47"/>
      <c r="XH47" s="47"/>
      <c r="XI47" s="47"/>
      <c r="XJ47" s="47"/>
      <c r="XK47" s="47"/>
      <c r="XL47" s="47"/>
      <c r="XM47" s="47"/>
      <c r="XN47" s="47"/>
      <c r="XO47" s="47"/>
      <c r="XP47" s="47"/>
      <c r="XQ47" s="47"/>
      <c r="XR47" s="47"/>
      <c r="XS47" s="47"/>
      <c r="XT47" s="47"/>
      <c r="XU47" s="47"/>
      <c r="XV47" s="47"/>
      <c r="XW47" s="47"/>
      <c r="XX47" s="47"/>
      <c r="XY47" s="47"/>
      <c r="XZ47" s="47"/>
      <c r="YA47" s="44"/>
      <c r="YB47" s="44"/>
      <c r="YC47" s="44"/>
      <c r="YD47" s="44"/>
      <c r="YE47" s="44"/>
      <c r="YF47" s="47"/>
      <c r="YG47" s="47"/>
      <c r="YH47" s="47"/>
      <c r="YI47" s="47"/>
      <c r="YJ47" s="47"/>
      <c r="YK47" s="47"/>
      <c r="YL47" s="47"/>
      <c r="YM47" s="47"/>
      <c r="YN47" s="47"/>
      <c r="YO47" s="47"/>
      <c r="YP47" s="47"/>
      <c r="YQ47" s="47"/>
      <c r="YR47" s="47"/>
      <c r="YS47" s="47"/>
      <c r="YT47" s="47"/>
      <c r="YU47" s="47"/>
      <c r="YV47" s="47"/>
      <c r="YW47" s="47"/>
      <c r="YX47" s="47"/>
      <c r="YY47" s="47"/>
      <c r="YZ47" s="47"/>
      <c r="ZA47" s="47"/>
      <c r="ZB47" s="47"/>
      <c r="ZC47" s="47"/>
      <c r="ZD47" s="47"/>
      <c r="ZE47" s="47"/>
      <c r="ZF47" s="47"/>
      <c r="ZG47" s="47"/>
      <c r="ZH47" s="47"/>
      <c r="ZI47" s="47"/>
      <c r="ZJ47" s="47"/>
      <c r="ZK47" s="47"/>
      <c r="ZL47" s="47"/>
      <c r="ZM47" s="47"/>
      <c r="ZN47" s="47"/>
      <c r="ZO47" s="47"/>
      <c r="ZP47" s="47"/>
      <c r="ZQ47" s="47"/>
      <c r="ZR47" s="47"/>
      <c r="ZS47" s="47"/>
      <c r="ZT47" s="47"/>
      <c r="ZU47" s="47"/>
      <c r="ZV47" s="47"/>
      <c r="ZW47" s="44"/>
      <c r="ZX47" s="44"/>
      <c r="ZY47" s="44"/>
      <c r="ZZ47" s="44"/>
      <c r="AAA47" s="44"/>
      <c r="AAB47" s="44"/>
      <c r="AAC47" s="44"/>
      <c r="AAD47" s="44"/>
      <c r="AAE47" s="44"/>
      <c r="AAF47" s="44"/>
      <c r="AAG47" s="47"/>
      <c r="AAH47" s="47"/>
      <c r="AAI47" s="47"/>
      <c r="AAJ47" s="47"/>
      <c r="AAK47" s="47"/>
      <c r="AAL47" s="47"/>
      <c r="AAM47" s="47"/>
      <c r="AAN47" s="47"/>
      <c r="AAO47" s="47"/>
      <c r="AAP47" s="47"/>
      <c r="AAQ47" s="47"/>
      <c r="AAR47" s="47"/>
      <c r="AAS47" s="47"/>
      <c r="AAT47" s="47"/>
      <c r="AAU47" s="47"/>
      <c r="AAV47" s="47"/>
      <c r="AAW47" s="47"/>
      <c r="AAX47" s="47"/>
      <c r="AAY47" s="47"/>
      <c r="AAZ47" s="47"/>
      <c r="ABA47" s="47"/>
      <c r="ABB47" s="47"/>
      <c r="ABC47" s="47"/>
      <c r="ABD47" s="47"/>
      <c r="ABE47" s="47"/>
      <c r="ABF47" s="47"/>
      <c r="ABG47" s="47"/>
      <c r="ABH47" s="47"/>
      <c r="ABI47" s="47"/>
      <c r="ABJ47" s="47"/>
      <c r="ABK47" s="47"/>
      <c r="ABL47" s="47"/>
      <c r="ABM47" s="47"/>
      <c r="ABN47" s="47"/>
      <c r="ABO47" s="47"/>
      <c r="ABP47" s="47"/>
      <c r="ABQ47" s="47"/>
      <c r="ABR47" s="47"/>
      <c r="ABS47" s="47"/>
      <c r="ABT47" s="47"/>
      <c r="ABU47" s="47"/>
      <c r="ABV47" s="47"/>
      <c r="ABW47" s="47"/>
      <c r="ABX47" s="47"/>
      <c r="ABY47" s="47"/>
      <c r="ABZ47" s="47"/>
      <c r="ACA47" s="47"/>
      <c r="ACB47" s="47"/>
      <c r="ACC47" s="47"/>
      <c r="ACD47" s="47"/>
      <c r="ACE47" s="47"/>
      <c r="ACF47" s="47"/>
      <c r="ACG47" s="47"/>
      <c r="ACH47" s="48"/>
    </row>
    <row r="48" spans="1:762" x14ac:dyDescent="0.25">
      <c r="A48" s="42" t="s">
        <v>92</v>
      </c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43"/>
      <c r="BP48" s="43"/>
      <c r="BQ48" s="43"/>
      <c r="BR48" s="43"/>
      <c r="BS48" s="43"/>
      <c r="BT48" s="43"/>
      <c r="BU48" s="43"/>
      <c r="BV48" s="43"/>
      <c r="BW48" s="43"/>
      <c r="BX48" s="43"/>
      <c r="BY48" s="43"/>
      <c r="BZ48" s="43"/>
      <c r="CA48" s="43"/>
      <c r="CB48" s="43"/>
      <c r="CC48" s="43"/>
      <c r="CD48" s="43"/>
      <c r="CE48" s="43"/>
      <c r="CF48" s="43"/>
      <c r="CG48" s="43"/>
      <c r="CH48" s="43"/>
      <c r="CI48" s="43"/>
      <c r="CJ48" s="43"/>
      <c r="CK48" s="43"/>
      <c r="CL48" s="43"/>
      <c r="CM48" s="43"/>
      <c r="CN48" s="43"/>
      <c r="CO48" s="43"/>
      <c r="CP48" s="43"/>
      <c r="CQ48" s="43"/>
      <c r="CR48" s="43"/>
      <c r="CS48" s="43"/>
      <c r="CT48" s="43"/>
      <c r="CU48" s="43"/>
      <c r="CV48" s="43"/>
      <c r="CW48" s="43"/>
      <c r="CX48" s="43"/>
      <c r="CY48" s="43"/>
      <c r="CZ48" s="43"/>
      <c r="DA48" s="43"/>
      <c r="DB48" s="43"/>
      <c r="DC48" s="43"/>
      <c r="DD48" s="43"/>
      <c r="DE48" s="43"/>
      <c r="DF48" s="43"/>
      <c r="DG48" s="43"/>
      <c r="DH48" s="43"/>
      <c r="DI48" s="43"/>
      <c r="DJ48" s="43"/>
      <c r="DK48" s="43"/>
      <c r="DL48" s="43"/>
      <c r="DM48" s="43"/>
      <c r="DN48" s="43"/>
      <c r="DO48" s="43"/>
      <c r="DP48" s="43"/>
      <c r="DQ48" s="43"/>
      <c r="DR48" s="43"/>
      <c r="DS48" s="43"/>
      <c r="DT48" s="43"/>
      <c r="DU48" s="43"/>
      <c r="DV48" s="43"/>
      <c r="DW48" s="43"/>
      <c r="DX48" s="43"/>
      <c r="DY48" s="43"/>
      <c r="DZ48" s="43"/>
      <c r="EA48" s="43"/>
      <c r="EB48" s="43"/>
      <c r="EC48" s="43"/>
      <c r="ED48" s="43"/>
      <c r="EE48" s="43"/>
      <c r="EF48" s="43"/>
      <c r="EG48" s="43"/>
      <c r="EH48" s="43"/>
      <c r="EI48" s="43"/>
      <c r="EJ48" s="43"/>
      <c r="EK48" s="43"/>
      <c r="EL48" s="43"/>
      <c r="EM48" s="43"/>
      <c r="EN48" s="43"/>
      <c r="EO48" s="43"/>
      <c r="EP48" s="43"/>
      <c r="EQ48" s="43"/>
      <c r="ER48" s="43"/>
      <c r="ES48" s="43"/>
      <c r="ET48" s="43"/>
      <c r="EU48" s="43"/>
      <c r="EV48" s="43"/>
      <c r="EW48" s="43"/>
      <c r="EX48" s="43"/>
      <c r="EY48" s="43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  <c r="IT48" s="43"/>
      <c r="IU48" s="43"/>
      <c r="IV48" s="43"/>
      <c r="IW48" s="43"/>
      <c r="IX48" s="43"/>
      <c r="IY48" s="43"/>
      <c r="IZ48" s="43"/>
      <c r="JA48" s="43"/>
      <c r="JB48" s="43"/>
      <c r="JC48" s="43"/>
      <c r="JD48" s="43"/>
      <c r="JE48" s="43"/>
      <c r="JF48" s="43"/>
      <c r="JG48" s="43"/>
      <c r="JH48" s="43"/>
      <c r="JI48" s="43"/>
      <c r="JJ48" s="43"/>
      <c r="JK48" s="43"/>
      <c r="JL48" s="43"/>
      <c r="JM48" s="43"/>
      <c r="JN48" s="43"/>
      <c r="JO48" s="43"/>
      <c r="JP48" s="43"/>
      <c r="JQ48" s="43"/>
      <c r="JR48" s="43"/>
      <c r="JS48" s="43"/>
      <c r="JT48" s="43"/>
      <c r="JU48" s="43"/>
      <c r="JV48" s="43"/>
      <c r="JW48" s="43"/>
      <c r="JX48" s="43"/>
      <c r="JY48" s="43"/>
      <c r="JZ48" s="43"/>
      <c r="KA48" s="43"/>
      <c r="KB48" s="43"/>
      <c r="KC48" s="43"/>
      <c r="KD48" s="43"/>
      <c r="KE48" s="43"/>
      <c r="KF48" s="43"/>
      <c r="KG48" s="43"/>
      <c r="KH48" s="43"/>
      <c r="KI48" s="43"/>
      <c r="KJ48" s="43"/>
      <c r="KK48" s="43"/>
      <c r="KL48" s="43"/>
      <c r="KM48" s="43"/>
      <c r="KN48" s="43"/>
      <c r="KO48" s="43"/>
      <c r="KP48" s="43"/>
      <c r="KQ48" s="43"/>
      <c r="KR48" s="43"/>
      <c r="KS48" s="43"/>
      <c r="KT48" s="43"/>
      <c r="KU48" s="43"/>
      <c r="KV48" s="43"/>
      <c r="KW48" s="43"/>
      <c r="KX48" s="43"/>
      <c r="KY48" s="43"/>
      <c r="KZ48" s="43"/>
      <c r="LA48" s="43"/>
      <c r="LB48" s="43"/>
      <c r="LC48" s="43"/>
      <c r="LD48" s="43"/>
      <c r="LE48" s="43"/>
      <c r="LF48" s="43"/>
      <c r="LG48" s="43"/>
      <c r="LH48" s="43"/>
      <c r="LI48" s="43"/>
      <c r="LJ48" s="43"/>
      <c r="LK48" s="43"/>
      <c r="LL48" s="43"/>
      <c r="LM48" s="43"/>
      <c r="LN48" s="43"/>
      <c r="LO48" s="43"/>
      <c r="LP48" s="43"/>
      <c r="LQ48" s="43"/>
      <c r="LR48" s="43"/>
      <c r="LS48" s="43"/>
      <c r="LT48" s="43"/>
      <c r="LU48" s="43"/>
      <c r="LV48" s="43"/>
      <c r="LW48" s="43"/>
      <c r="LX48" s="43"/>
      <c r="LY48" s="43"/>
      <c r="LZ48" s="43"/>
      <c r="MA48" s="43"/>
      <c r="MB48" s="43"/>
      <c r="MC48" s="43"/>
      <c r="MD48" s="43"/>
      <c r="ME48" s="43"/>
      <c r="MF48" s="43"/>
      <c r="MG48" s="43"/>
      <c r="MH48" s="43"/>
      <c r="MI48" s="43"/>
      <c r="MJ48" s="43"/>
      <c r="MK48" s="43"/>
      <c r="ML48" s="43"/>
      <c r="MM48" s="43"/>
      <c r="MN48" s="43"/>
      <c r="MO48" s="43"/>
      <c r="MP48" s="43"/>
      <c r="MQ48" s="43"/>
      <c r="MR48" s="43"/>
      <c r="MS48" s="43"/>
      <c r="MT48" s="43"/>
      <c r="MU48" s="43"/>
      <c r="MV48" s="43"/>
      <c r="MW48" s="43"/>
      <c r="MX48" s="43"/>
      <c r="MY48" s="43"/>
      <c r="MZ48" s="43"/>
      <c r="NA48" s="43"/>
      <c r="NB48" s="43"/>
      <c r="NC48" s="43"/>
      <c r="ND48" s="43"/>
      <c r="NE48" s="43"/>
      <c r="NF48" s="43"/>
      <c r="NG48" s="43"/>
      <c r="NH48" s="43"/>
      <c r="NI48" s="43"/>
      <c r="NJ48" s="44"/>
      <c r="NK48" s="44"/>
      <c r="NL48" s="44"/>
      <c r="NM48" s="44"/>
      <c r="NN48" s="44"/>
      <c r="NO48" s="43"/>
      <c r="NP48" s="43"/>
      <c r="NQ48" s="43"/>
      <c r="NR48" s="43"/>
      <c r="NS48" s="43"/>
      <c r="NT48" s="43"/>
      <c r="NU48" s="43"/>
      <c r="NV48" s="43"/>
      <c r="NW48" s="43"/>
      <c r="NX48" s="43"/>
      <c r="NY48" s="43"/>
      <c r="NZ48" s="43"/>
      <c r="OA48" s="43"/>
      <c r="OB48" s="43"/>
      <c r="OC48" s="43"/>
      <c r="OD48" s="43"/>
      <c r="OE48" s="43"/>
      <c r="OF48" s="43"/>
      <c r="OG48" s="43"/>
      <c r="OH48" s="43"/>
      <c r="OI48" s="43"/>
      <c r="OJ48" s="43"/>
      <c r="OK48" s="43"/>
      <c r="OL48" s="43"/>
      <c r="OM48" s="43"/>
      <c r="ON48" s="43"/>
      <c r="OO48" s="43"/>
      <c r="OP48" s="43"/>
      <c r="OQ48" s="43"/>
      <c r="OR48" s="43"/>
      <c r="OS48" s="43"/>
      <c r="OT48" s="43"/>
      <c r="OU48" s="43"/>
      <c r="OV48" s="43"/>
      <c r="OW48" s="43"/>
      <c r="OX48" s="43"/>
      <c r="OY48" s="43"/>
      <c r="OZ48" s="43"/>
      <c r="PA48" s="43"/>
      <c r="PB48" s="43"/>
      <c r="PC48" s="43"/>
      <c r="PD48" s="43"/>
      <c r="PE48" s="43"/>
      <c r="PF48" s="43"/>
      <c r="PG48" s="43"/>
      <c r="PH48" s="43"/>
      <c r="PI48" s="43"/>
      <c r="PJ48" s="43"/>
      <c r="PK48" s="43"/>
      <c r="PL48" s="43"/>
      <c r="PM48" s="43"/>
      <c r="PN48" s="43"/>
      <c r="PO48" s="43"/>
      <c r="PP48" s="43"/>
      <c r="PQ48" s="43"/>
      <c r="PR48" s="43"/>
      <c r="PS48" s="43"/>
      <c r="PT48" s="43"/>
      <c r="PU48" s="43"/>
      <c r="PV48" s="43"/>
      <c r="PW48" s="43"/>
      <c r="PX48" s="43"/>
      <c r="PY48" s="43"/>
      <c r="PZ48" s="43"/>
      <c r="QA48" s="43"/>
      <c r="QB48" s="43"/>
      <c r="QC48" s="43"/>
      <c r="QD48" s="43"/>
      <c r="QE48" s="43"/>
      <c r="QF48" s="43"/>
      <c r="QG48" s="43"/>
      <c r="QH48" s="43"/>
      <c r="QI48" s="43"/>
      <c r="QJ48" s="43"/>
      <c r="QK48" s="43"/>
      <c r="QL48" s="43"/>
      <c r="QM48" s="43"/>
      <c r="QN48" s="43"/>
      <c r="QO48" s="43"/>
      <c r="QP48" s="43"/>
      <c r="QQ48" s="43"/>
      <c r="QR48" s="43"/>
      <c r="QS48" s="43"/>
      <c r="QT48" s="43"/>
      <c r="QU48" s="43"/>
      <c r="QV48" s="43"/>
      <c r="QW48" s="43"/>
      <c r="QX48" s="43"/>
      <c r="QY48" s="43"/>
      <c r="QZ48" s="43"/>
      <c r="RA48" s="43"/>
      <c r="RB48" s="43"/>
      <c r="RC48" s="43"/>
      <c r="RD48" s="43"/>
      <c r="RE48" s="43"/>
      <c r="RF48" s="43"/>
      <c r="RG48" s="43"/>
      <c r="RH48" s="43"/>
      <c r="RI48" s="43"/>
      <c r="RJ48" s="43"/>
      <c r="RK48" s="43"/>
      <c r="RL48" s="43"/>
      <c r="RM48" s="43"/>
      <c r="RN48" s="43"/>
      <c r="RO48" s="43"/>
      <c r="RP48" s="43"/>
      <c r="RQ48" s="43"/>
      <c r="RR48" s="43"/>
      <c r="RS48" s="43"/>
      <c r="RT48" s="43"/>
      <c r="RU48" s="43"/>
      <c r="RV48" s="43"/>
      <c r="RW48" s="43"/>
      <c r="RX48" s="43"/>
      <c r="RY48" s="43"/>
      <c r="RZ48" s="43"/>
      <c r="SA48" s="43"/>
      <c r="SB48" s="43"/>
      <c r="SC48" s="43"/>
      <c r="SD48" s="43"/>
      <c r="SE48" s="43"/>
      <c r="SF48" s="43"/>
      <c r="SG48" s="43"/>
      <c r="SH48" s="43"/>
      <c r="SI48" s="43"/>
      <c r="SJ48" s="43"/>
      <c r="SK48" s="43"/>
      <c r="SL48" s="43"/>
      <c r="SM48" s="43"/>
      <c r="SN48" s="43"/>
      <c r="SO48" s="43"/>
      <c r="SP48" s="43"/>
      <c r="SQ48" s="43"/>
      <c r="SR48" s="43"/>
      <c r="SS48" s="43"/>
      <c r="ST48" s="43"/>
      <c r="SU48" s="43"/>
      <c r="SV48" s="43"/>
      <c r="SW48" s="43"/>
      <c r="SX48" s="43"/>
      <c r="SY48" s="43"/>
      <c r="SZ48" s="43"/>
      <c r="TA48" s="43"/>
      <c r="TB48" s="43"/>
      <c r="TC48" s="43"/>
      <c r="TD48" s="43"/>
      <c r="TE48" s="43"/>
      <c r="TF48" s="43"/>
      <c r="TG48" s="43"/>
      <c r="TH48" s="43"/>
      <c r="TI48" s="43"/>
      <c r="TJ48" s="43"/>
      <c r="TK48" s="43"/>
      <c r="TL48" s="43"/>
      <c r="TM48" s="43"/>
      <c r="TN48" s="43"/>
      <c r="TO48" s="43"/>
      <c r="TP48" s="43"/>
      <c r="TQ48" s="43"/>
      <c r="TR48" s="43"/>
      <c r="TS48" s="43"/>
      <c r="TT48" s="43"/>
      <c r="TU48" s="43"/>
      <c r="TV48" s="43"/>
      <c r="TW48" s="43"/>
      <c r="TX48" s="43"/>
      <c r="TY48" s="43"/>
      <c r="TZ48" s="43"/>
      <c r="UA48" s="43"/>
      <c r="UB48" s="43"/>
      <c r="UC48" s="43"/>
      <c r="UD48" s="43"/>
      <c r="UE48" s="43"/>
      <c r="UF48" s="43"/>
      <c r="UG48" s="43"/>
      <c r="UH48" s="43"/>
      <c r="UI48" s="43"/>
      <c r="UJ48" s="43"/>
      <c r="UK48" s="43"/>
      <c r="UL48" s="43"/>
      <c r="UM48" s="43"/>
      <c r="UN48" s="43"/>
      <c r="UO48" s="43"/>
      <c r="UP48" s="43"/>
      <c r="UQ48" s="43"/>
      <c r="UR48" s="43"/>
      <c r="US48" s="43"/>
      <c r="UT48" s="43"/>
      <c r="UU48" s="43"/>
      <c r="UV48" s="43"/>
      <c r="UW48" s="43"/>
      <c r="UX48" s="43"/>
      <c r="UY48" s="43"/>
      <c r="UZ48" s="43"/>
      <c r="VA48" s="43"/>
      <c r="VB48" s="43"/>
      <c r="VC48" s="43"/>
      <c r="VD48" s="43"/>
      <c r="VE48" s="43"/>
      <c r="VF48" s="43"/>
      <c r="VG48" s="43"/>
      <c r="VH48" s="43"/>
      <c r="VI48" s="43"/>
      <c r="VJ48" s="43"/>
      <c r="VK48" s="43"/>
      <c r="VL48" s="43"/>
      <c r="VM48" s="43"/>
      <c r="VN48" s="43"/>
      <c r="VO48" s="43"/>
      <c r="VP48" s="43"/>
      <c r="VQ48" s="43"/>
      <c r="VR48" s="43"/>
      <c r="VS48" s="43"/>
      <c r="VT48" s="43"/>
      <c r="VU48" s="43"/>
      <c r="VV48" s="43"/>
      <c r="VW48" s="43"/>
      <c r="VX48" s="43"/>
      <c r="VY48" s="43"/>
      <c r="VZ48" s="43"/>
      <c r="WA48" s="43"/>
      <c r="WB48" s="43"/>
      <c r="WC48" s="43"/>
      <c r="WD48" s="43"/>
      <c r="WE48" s="43"/>
      <c r="WF48" s="43"/>
      <c r="WG48" s="43"/>
      <c r="WH48" s="43"/>
      <c r="WI48" s="43"/>
      <c r="WJ48" s="43"/>
      <c r="WK48" s="43"/>
      <c r="WL48" s="43"/>
      <c r="WM48" s="43"/>
      <c r="WN48" s="43"/>
      <c r="WO48" s="43"/>
      <c r="WP48" s="43"/>
      <c r="WQ48" s="43"/>
      <c r="WR48" s="43"/>
      <c r="WS48" s="43"/>
      <c r="WT48" s="43"/>
      <c r="WU48" s="43"/>
      <c r="WV48" s="43"/>
      <c r="WW48" s="43"/>
      <c r="WX48" s="43"/>
      <c r="WY48" s="43"/>
      <c r="WZ48" s="43"/>
      <c r="XA48" s="43"/>
      <c r="XB48" s="43"/>
      <c r="XC48" s="43"/>
      <c r="XD48" s="43"/>
      <c r="XE48" s="43"/>
      <c r="XF48" s="43"/>
      <c r="XG48" s="43"/>
      <c r="XH48" s="43"/>
      <c r="XI48" s="43"/>
      <c r="XJ48" s="43"/>
      <c r="XK48" s="43"/>
      <c r="XL48" s="43"/>
      <c r="XM48" s="43"/>
      <c r="XN48" s="43"/>
      <c r="XO48" s="43"/>
      <c r="XP48" s="43"/>
      <c r="XQ48" s="43"/>
      <c r="XR48" s="43"/>
      <c r="XS48" s="43"/>
      <c r="XT48" s="43"/>
      <c r="XU48" s="43"/>
      <c r="XV48" s="43"/>
      <c r="XW48" s="43"/>
      <c r="XX48" s="43"/>
      <c r="XY48" s="43"/>
      <c r="XZ48" s="43"/>
      <c r="YA48" s="44"/>
      <c r="YB48" s="44"/>
      <c r="YC48" s="44"/>
      <c r="YD48" s="44"/>
      <c r="YE48" s="44"/>
      <c r="YF48" s="43"/>
      <c r="YG48" s="43"/>
      <c r="YH48" s="43"/>
      <c r="YI48" s="43"/>
      <c r="YJ48" s="43"/>
      <c r="YK48" s="43"/>
      <c r="YL48" s="43"/>
      <c r="YM48" s="43"/>
      <c r="YN48" s="43"/>
      <c r="YO48" s="43"/>
      <c r="YP48" s="43"/>
      <c r="YQ48" s="43"/>
      <c r="YR48" s="43"/>
      <c r="YS48" s="43"/>
      <c r="YT48" s="43"/>
      <c r="YU48" s="43"/>
      <c r="YV48" s="43"/>
      <c r="YW48" s="43"/>
      <c r="YX48" s="43"/>
      <c r="YY48" s="43"/>
      <c r="YZ48" s="43"/>
      <c r="ZA48" s="43"/>
      <c r="ZB48" s="43"/>
      <c r="ZC48" s="43"/>
      <c r="ZD48" s="43"/>
      <c r="ZE48" s="43"/>
      <c r="ZF48" s="43"/>
      <c r="ZG48" s="43"/>
      <c r="ZH48" s="43"/>
      <c r="ZI48" s="43"/>
      <c r="ZJ48" s="43"/>
      <c r="ZK48" s="43"/>
      <c r="ZL48" s="43"/>
      <c r="ZM48" s="43"/>
      <c r="ZN48" s="43"/>
      <c r="ZO48" s="43"/>
      <c r="ZP48" s="43"/>
      <c r="ZQ48" s="43"/>
      <c r="ZR48" s="43"/>
      <c r="ZS48" s="43"/>
      <c r="ZT48" s="43"/>
      <c r="ZU48" s="43"/>
      <c r="ZV48" s="43"/>
      <c r="ZW48" s="44"/>
      <c r="ZX48" s="44"/>
      <c r="ZY48" s="44"/>
      <c r="ZZ48" s="44"/>
      <c r="AAA48" s="44"/>
      <c r="AAB48" s="44"/>
      <c r="AAC48" s="44"/>
      <c r="AAD48" s="44"/>
      <c r="AAE48" s="44"/>
      <c r="AAF48" s="44"/>
      <c r="AAG48" s="43"/>
      <c r="AAH48" s="43"/>
      <c r="AAI48" s="43"/>
      <c r="AAJ48" s="43"/>
      <c r="AAK48" s="43"/>
      <c r="AAL48" s="43"/>
      <c r="AAM48" s="43"/>
      <c r="AAN48" s="43"/>
      <c r="AAO48" s="43"/>
      <c r="AAP48" s="43"/>
      <c r="AAQ48" s="43"/>
      <c r="AAR48" s="43"/>
      <c r="AAS48" s="43"/>
      <c r="AAT48" s="43"/>
      <c r="AAU48" s="43"/>
      <c r="AAV48" s="43"/>
      <c r="AAW48" s="43"/>
      <c r="AAX48" s="43"/>
      <c r="AAY48" s="43"/>
      <c r="AAZ48" s="43"/>
      <c r="ABA48" s="43"/>
      <c r="ABB48" s="43"/>
      <c r="ABC48" s="43"/>
      <c r="ABD48" s="43"/>
      <c r="ABE48" s="43"/>
      <c r="ABF48" s="43"/>
      <c r="ABG48" s="43"/>
      <c r="ABH48" s="43"/>
      <c r="ABI48" s="43"/>
      <c r="ABJ48" s="43"/>
      <c r="ABK48" s="43"/>
      <c r="ABL48" s="43"/>
      <c r="ABM48" s="43"/>
      <c r="ABN48" s="43"/>
      <c r="ABO48" s="43"/>
      <c r="ABP48" s="43"/>
      <c r="ABQ48" s="43"/>
      <c r="ABR48" s="43"/>
      <c r="ABS48" s="43"/>
      <c r="ABT48" s="43"/>
      <c r="ABU48" s="43"/>
      <c r="ABV48" s="43"/>
      <c r="ABW48" s="43"/>
      <c r="ABX48" s="43"/>
      <c r="ABY48" s="43"/>
      <c r="ABZ48" s="43"/>
      <c r="ACA48" s="43"/>
      <c r="ACB48" s="43"/>
      <c r="ACC48" s="43"/>
      <c r="ACD48" s="43"/>
      <c r="ACE48" s="43"/>
      <c r="ACF48" s="43"/>
      <c r="ACG48" s="43"/>
      <c r="ACH48" s="45"/>
    </row>
    <row r="49" spans="1:762" x14ac:dyDescent="0.25">
      <c r="A49" s="46" t="s">
        <v>93</v>
      </c>
      <c r="B49" s="47">
        <v>63</v>
      </c>
      <c r="C49" s="47">
        <v>42</v>
      </c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 t="s">
        <v>786</v>
      </c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 t="s">
        <v>787</v>
      </c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>
        <v>21</v>
      </c>
      <c r="BW49" s="47"/>
      <c r="BX49" s="47"/>
      <c r="BY49" s="47"/>
      <c r="BZ49" s="47"/>
      <c r="CA49" s="47"/>
      <c r="CB49" s="47"/>
      <c r="CC49" s="47"/>
      <c r="CD49" s="47"/>
      <c r="CE49" s="47"/>
      <c r="CF49" s="47"/>
      <c r="CG49" s="47"/>
      <c r="CH49" s="47"/>
      <c r="CI49" s="47"/>
      <c r="CJ49" s="47"/>
      <c r="CK49" s="47"/>
      <c r="CL49" s="47"/>
      <c r="CM49" s="47"/>
      <c r="CN49" s="47"/>
      <c r="CO49" s="47"/>
      <c r="CP49" s="47"/>
      <c r="CQ49" s="47"/>
      <c r="CR49" s="47"/>
      <c r="CS49" s="47"/>
      <c r="CT49" s="47"/>
      <c r="CU49" s="47"/>
      <c r="CV49" s="47"/>
      <c r="CW49" s="47"/>
      <c r="CX49" s="47"/>
      <c r="CY49" s="47"/>
      <c r="CZ49" s="47"/>
      <c r="DA49" s="47"/>
      <c r="DB49" s="47"/>
      <c r="DC49" s="47"/>
      <c r="DD49" s="47">
        <v>12600</v>
      </c>
      <c r="DE49" s="47"/>
      <c r="DF49" s="47">
        <v>11500</v>
      </c>
      <c r="DG49" s="47"/>
      <c r="DH49" s="47"/>
      <c r="DI49" s="47"/>
      <c r="DJ49" s="47"/>
      <c r="DK49" s="47"/>
      <c r="DL49" s="47"/>
      <c r="DM49" s="47"/>
      <c r="DN49" s="47"/>
      <c r="DO49" s="47"/>
      <c r="DP49" s="47"/>
      <c r="DQ49" s="47"/>
      <c r="DR49" s="47"/>
      <c r="DS49" s="47"/>
      <c r="DT49" s="47"/>
      <c r="DU49" s="47">
        <v>12410</v>
      </c>
      <c r="DV49" s="47"/>
      <c r="DW49" s="47"/>
      <c r="DX49" s="47"/>
      <c r="DY49" s="47"/>
      <c r="DZ49" s="47"/>
      <c r="EA49" s="47"/>
      <c r="EB49" s="47"/>
      <c r="EC49" s="47"/>
      <c r="ED49" s="47">
        <v>12610</v>
      </c>
      <c r="EE49" s="47"/>
      <c r="EF49" s="47">
        <v>22</v>
      </c>
      <c r="EG49" s="47"/>
      <c r="EH49" s="47"/>
      <c r="EI49" s="47"/>
      <c r="EJ49" s="47">
        <v>22</v>
      </c>
      <c r="EK49" s="47"/>
      <c r="EL49" s="47"/>
      <c r="EM49" s="47"/>
      <c r="EN49" s="47"/>
      <c r="EO49" s="47"/>
      <c r="EP49" s="47"/>
      <c r="EQ49" s="47"/>
      <c r="ER49" s="47"/>
      <c r="ES49" s="47"/>
      <c r="ET49" s="47"/>
      <c r="EU49" s="47"/>
      <c r="EV49" s="47"/>
      <c r="EW49" s="47"/>
      <c r="EX49" s="47">
        <v>36</v>
      </c>
      <c r="EY49" s="47"/>
      <c r="EZ49" s="47"/>
      <c r="FA49" s="47"/>
      <c r="FB49" s="47">
        <v>18</v>
      </c>
      <c r="FC49" s="47"/>
      <c r="FD49" s="47"/>
      <c r="FE49" s="47"/>
      <c r="FF49" s="47"/>
      <c r="FG49" s="47"/>
      <c r="FH49" s="47"/>
      <c r="FI49" s="47">
        <v>17</v>
      </c>
      <c r="FJ49" s="47"/>
      <c r="FK49" s="47"/>
      <c r="FL49" s="47"/>
      <c r="FM49" s="47"/>
      <c r="FN49" s="47"/>
      <c r="FO49" s="47"/>
      <c r="FP49" s="47"/>
      <c r="FQ49" s="47"/>
      <c r="FR49" s="47"/>
      <c r="FS49" s="47"/>
      <c r="FT49" s="47"/>
      <c r="FU49" s="47"/>
      <c r="FV49" s="47"/>
      <c r="FW49" s="47"/>
      <c r="FX49" s="47"/>
      <c r="FY49" s="47"/>
      <c r="FZ49" s="47"/>
      <c r="GA49" s="47"/>
      <c r="GB49" s="47"/>
      <c r="GC49" s="47"/>
      <c r="GD49" s="47"/>
      <c r="GE49" s="47"/>
      <c r="GF49" s="47"/>
      <c r="GG49" s="47"/>
      <c r="GH49" s="47"/>
      <c r="GI49" s="47"/>
      <c r="GJ49" s="47"/>
      <c r="GK49" s="47"/>
      <c r="GL49" s="47"/>
      <c r="GM49" s="47"/>
      <c r="GN49" s="47"/>
      <c r="GO49" s="47"/>
      <c r="GP49" s="47"/>
      <c r="GQ49" s="47"/>
      <c r="GR49" s="47"/>
      <c r="GS49" s="47"/>
      <c r="GT49" s="47"/>
      <c r="GU49" s="47">
        <v>23</v>
      </c>
      <c r="GV49" s="47"/>
      <c r="GW49" s="47"/>
      <c r="GX49" s="47">
        <v>22</v>
      </c>
      <c r="GY49" s="47"/>
      <c r="GZ49" s="47"/>
      <c r="HA49" s="47"/>
      <c r="HB49" s="47"/>
      <c r="HC49" s="47"/>
      <c r="HD49" s="47"/>
      <c r="HE49" s="47"/>
      <c r="HF49" s="47"/>
      <c r="HG49" s="47"/>
      <c r="HH49" s="47"/>
      <c r="HI49" s="47"/>
      <c r="HJ49" s="47"/>
      <c r="HK49" s="47"/>
      <c r="HL49" s="47">
        <v>58</v>
      </c>
      <c r="HM49" s="47"/>
      <c r="HN49" s="47"/>
      <c r="HO49" s="47"/>
      <c r="HP49" s="47">
        <v>34</v>
      </c>
      <c r="HQ49" s="47"/>
      <c r="HR49" s="47"/>
      <c r="HS49" s="47"/>
      <c r="HT49" s="47"/>
      <c r="HU49" s="47"/>
      <c r="HV49" s="47"/>
      <c r="HW49" s="47">
        <v>33</v>
      </c>
      <c r="HX49" s="47"/>
      <c r="HY49" s="47"/>
      <c r="HZ49" s="47"/>
      <c r="IA49" s="47"/>
      <c r="IB49" s="47"/>
      <c r="IC49" s="47"/>
      <c r="ID49" s="47"/>
      <c r="IE49" s="47"/>
      <c r="IF49" s="47"/>
      <c r="IG49" s="47"/>
      <c r="IH49" s="47"/>
      <c r="II49" s="47"/>
      <c r="IJ49" s="47"/>
      <c r="IK49" s="47"/>
      <c r="IL49" s="47"/>
      <c r="IM49" s="47"/>
      <c r="IN49" s="47"/>
      <c r="IO49" s="47"/>
      <c r="IP49" s="47"/>
      <c r="IQ49" s="47"/>
      <c r="IR49" s="47"/>
      <c r="IS49" s="47"/>
      <c r="IT49" s="47"/>
      <c r="IU49" s="47"/>
      <c r="IV49" s="47"/>
      <c r="IW49" s="47"/>
      <c r="IX49" s="47"/>
      <c r="IY49" s="47"/>
      <c r="IZ49" s="47"/>
      <c r="JA49" s="47"/>
      <c r="JB49" s="47"/>
      <c r="JC49" s="47"/>
      <c r="JD49" s="47"/>
      <c r="JE49" s="47"/>
      <c r="JF49" s="47"/>
      <c r="JG49" s="47"/>
      <c r="JH49" s="47">
        <v>95</v>
      </c>
      <c r="JI49" s="47"/>
      <c r="JJ49" s="47">
        <v>90</v>
      </c>
      <c r="JK49" s="47"/>
      <c r="JL49" s="47"/>
      <c r="JM49" s="47"/>
      <c r="JN49" s="47"/>
      <c r="JO49" s="47"/>
      <c r="JP49" s="47"/>
      <c r="JQ49" s="47">
        <v>91</v>
      </c>
      <c r="JR49" s="47"/>
      <c r="JS49" s="47"/>
      <c r="JT49" s="47"/>
      <c r="JU49" s="47"/>
      <c r="JV49" s="47"/>
      <c r="JW49" s="47">
        <v>159</v>
      </c>
      <c r="JX49" s="47"/>
      <c r="JY49" s="47"/>
      <c r="JZ49" s="47"/>
      <c r="KA49" s="47">
        <v>136</v>
      </c>
      <c r="KB49" s="47"/>
      <c r="KC49" s="47"/>
      <c r="KD49" s="47"/>
      <c r="KE49" s="47"/>
      <c r="KF49" s="47"/>
      <c r="KG49" s="47"/>
      <c r="KH49" s="47">
        <v>116</v>
      </c>
      <c r="KI49" s="47"/>
      <c r="KJ49" s="47"/>
      <c r="KK49" s="47"/>
      <c r="KL49" s="47"/>
      <c r="KM49" s="47"/>
      <c r="KN49" s="47"/>
      <c r="KO49" s="47"/>
      <c r="KP49" s="47"/>
      <c r="KQ49" s="47"/>
      <c r="KR49" s="47"/>
      <c r="KS49" s="47"/>
      <c r="KT49" s="47"/>
      <c r="KU49" s="47"/>
      <c r="KV49" s="47"/>
      <c r="KW49" s="47"/>
      <c r="KX49" s="47"/>
      <c r="KY49" s="47"/>
      <c r="KZ49" s="47"/>
      <c r="LA49" s="47"/>
      <c r="LB49" s="47"/>
      <c r="LC49" s="47"/>
      <c r="LD49" s="47"/>
      <c r="LE49" s="47"/>
      <c r="LF49" s="47"/>
      <c r="LG49" s="47"/>
      <c r="LH49" s="47"/>
      <c r="LI49" s="47"/>
      <c r="LJ49" s="47"/>
      <c r="LK49" s="47"/>
      <c r="LL49" s="47"/>
      <c r="LM49" s="47"/>
      <c r="LN49" s="47"/>
      <c r="LO49" s="47"/>
      <c r="LP49" s="47"/>
      <c r="LQ49" s="47"/>
      <c r="LR49" s="47"/>
      <c r="LS49" s="47"/>
      <c r="LT49" s="47">
        <v>236</v>
      </c>
      <c r="LU49" s="47"/>
      <c r="LV49" s="47"/>
      <c r="LW49" s="47">
        <v>235</v>
      </c>
      <c r="LX49" s="47"/>
      <c r="LY49" s="47"/>
      <c r="LZ49" s="47"/>
      <c r="MA49" s="47"/>
      <c r="MB49" s="47"/>
      <c r="MC49" s="47"/>
      <c r="MD49" s="47"/>
      <c r="ME49" s="47"/>
      <c r="MF49" s="47"/>
      <c r="MG49" s="47"/>
      <c r="MH49" s="47"/>
      <c r="MI49" s="47"/>
      <c r="MJ49" s="47"/>
      <c r="MK49" s="47"/>
      <c r="ML49" s="47"/>
      <c r="MM49" s="47"/>
      <c r="MN49" s="47"/>
      <c r="MO49" s="47"/>
      <c r="MP49" s="47"/>
      <c r="MQ49" s="47"/>
      <c r="MR49" s="47"/>
      <c r="MS49" s="47"/>
      <c r="MT49" s="47"/>
      <c r="MU49" s="47"/>
      <c r="MV49" s="47"/>
      <c r="MW49" s="47"/>
      <c r="MX49" s="47"/>
      <c r="MY49" s="47"/>
      <c r="MZ49" s="47"/>
      <c r="NA49" s="47"/>
      <c r="NB49" s="47"/>
      <c r="NC49" s="47"/>
      <c r="ND49" s="47"/>
      <c r="NE49" s="47"/>
      <c r="NF49" s="47"/>
      <c r="NG49" s="47"/>
      <c r="NH49" s="47"/>
      <c r="NI49" s="47"/>
      <c r="NJ49" s="44"/>
      <c r="NK49" s="44"/>
      <c r="NL49" s="44"/>
      <c r="NM49" s="44"/>
      <c r="NN49" s="44"/>
      <c r="NO49" s="47"/>
      <c r="NP49" s="47"/>
      <c r="NQ49" s="47"/>
      <c r="NR49" s="47"/>
      <c r="NS49" s="47"/>
      <c r="NT49" s="47"/>
      <c r="NU49" s="47"/>
      <c r="NV49" s="47"/>
      <c r="NW49" s="47"/>
      <c r="NX49" s="47"/>
      <c r="NY49" s="47"/>
      <c r="NZ49" s="47"/>
      <c r="OA49" s="47"/>
      <c r="OB49" s="47"/>
      <c r="OC49" s="47"/>
      <c r="OD49" s="47"/>
      <c r="OE49" s="47"/>
      <c r="OF49" s="47"/>
      <c r="OG49" s="47"/>
      <c r="OH49" s="47"/>
      <c r="OI49" s="47"/>
      <c r="OJ49" s="47"/>
      <c r="OK49" s="47"/>
      <c r="OL49" s="47"/>
      <c r="OM49" s="47"/>
      <c r="ON49" s="47"/>
      <c r="OO49" s="47"/>
      <c r="OP49" s="47"/>
      <c r="OQ49" s="47"/>
      <c r="OR49" s="47"/>
      <c r="OS49" s="47"/>
      <c r="OT49" s="47"/>
      <c r="OU49" s="47"/>
      <c r="OV49" s="47"/>
      <c r="OW49" s="47"/>
      <c r="OX49" s="47"/>
      <c r="OY49" s="47"/>
      <c r="OZ49" s="47"/>
      <c r="PA49" s="47"/>
      <c r="PB49" s="47"/>
      <c r="PC49" s="47"/>
      <c r="PD49" s="47"/>
      <c r="PE49" s="47"/>
      <c r="PF49" s="47"/>
      <c r="PG49" s="47"/>
      <c r="PH49" s="47"/>
      <c r="PI49" s="47"/>
      <c r="PJ49" s="47"/>
      <c r="PK49" s="47"/>
      <c r="PL49" s="47"/>
      <c r="PM49" s="47"/>
      <c r="PN49" s="47"/>
      <c r="PO49" s="47"/>
      <c r="PP49" s="47"/>
      <c r="PQ49" s="47"/>
      <c r="PR49" s="47"/>
      <c r="PS49" s="47"/>
      <c r="PT49" s="47"/>
      <c r="PU49" s="47"/>
      <c r="PV49" s="47"/>
      <c r="PW49" s="47"/>
      <c r="PX49" s="47"/>
      <c r="PY49" s="47"/>
      <c r="PZ49" s="47"/>
      <c r="QA49" s="47"/>
      <c r="QB49" s="47"/>
      <c r="QC49" s="47"/>
      <c r="QD49" s="47"/>
      <c r="QE49" s="47"/>
      <c r="QF49" s="47"/>
      <c r="QG49" s="47"/>
      <c r="QH49" s="47"/>
      <c r="QI49" s="47"/>
      <c r="QJ49" s="47"/>
      <c r="QK49" s="47">
        <v>93</v>
      </c>
      <c r="QL49" s="47"/>
      <c r="QM49" s="47"/>
      <c r="QN49" s="47">
        <v>84</v>
      </c>
      <c r="QO49" s="47"/>
      <c r="QP49" s="47"/>
      <c r="QQ49" s="47"/>
      <c r="QR49" s="47"/>
      <c r="QS49" s="47"/>
      <c r="QT49" s="47"/>
      <c r="QU49" s="47"/>
      <c r="QV49" s="47"/>
      <c r="QW49" s="47"/>
      <c r="QX49" s="47"/>
      <c r="QY49" s="47"/>
      <c r="QZ49" s="47"/>
      <c r="RA49" s="47"/>
      <c r="RB49" s="47">
        <v>94</v>
      </c>
      <c r="RC49" s="47"/>
      <c r="RD49" s="47"/>
      <c r="RE49" s="47"/>
      <c r="RF49" s="47">
        <v>89</v>
      </c>
      <c r="RG49" s="47"/>
      <c r="RH49" s="47"/>
      <c r="RI49" s="47"/>
      <c r="RJ49" s="47"/>
      <c r="RK49" s="47"/>
      <c r="RL49" s="47"/>
      <c r="RM49" s="47">
        <v>98</v>
      </c>
      <c r="RN49" s="47"/>
      <c r="RO49" s="47"/>
      <c r="RP49" s="47"/>
      <c r="RQ49" s="47"/>
      <c r="RR49" s="47"/>
      <c r="RS49" s="47"/>
      <c r="RT49" s="47"/>
      <c r="RU49" s="47"/>
      <c r="RV49" s="47"/>
      <c r="RW49" s="47"/>
      <c r="RX49" s="47"/>
      <c r="RY49" s="47"/>
      <c r="RZ49" s="47"/>
      <c r="SA49" s="47"/>
      <c r="SB49" s="47"/>
      <c r="SC49" s="47"/>
      <c r="SD49" s="47"/>
      <c r="SE49" s="47"/>
      <c r="SF49" s="47"/>
      <c r="SG49" s="47"/>
      <c r="SH49" s="47"/>
      <c r="SI49" s="47"/>
      <c r="SJ49" s="47"/>
      <c r="SK49" s="47"/>
      <c r="SL49" s="47"/>
      <c r="SM49" s="47"/>
      <c r="SN49" s="47"/>
      <c r="SO49" s="47"/>
      <c r="SP49" s="47"/>
      <c r="SQ49" s="47"/>
      <c r="SR49" s="47"/>
      <c r="SS49" s="47"/>
      <c r="ST49" s="47"/>
      <c r="SU49" s="47"/>
      <c r="SV49" s="47"/>
      <c r="SW49" s="47"/>
      <c r="SX49" s="47"/>
      <c r="SY49" s="47"/>
      <c r="SZ49" s="47"/>
      <c r="TA49" s="47"/>
      <c r="TB49" s="47"/>
      <c r="TC49" s="47"/>
      <c r="TD49" s="47"/>
      <c r="TE49" s="47"/>
      <c r="TF49" s="47"/>
      <c r="TG49" s="47"/>
      <c r="TH49" s="47"/>
      <c r="TI49" s="47"/>
      <c r="TJ49" s="47"/>
      <c r="TK49" s="47"/>
      <c r="TL49" s="47"/>
      <c r="TM49" s="47"/>
      <c r="TN49" s="47"/>
      <c r="TO49" s="47"/>
      <c r="TP49" s="47"/>
      <c r="TQ49" s="47"/>
      <c r="TR49" s="47"/>
      <c r="TS49" s="47"/>
      <c r="TT49" s="47"/>
      <c r="TU49" s="47"/>
      <c r="TV49" s="47"/>
      <c r="TW49" s="47"/>
      <c r="TX49" s="47">
        <v>88</v>
      </c>
      <c r="TY49" s="47"/>
      <c r="TZ49" s="47">
        <v>88</v>
      </c>
      <c r="UA49" s="47"/>
      <c r="UB49" s="47"/>
      <c r="UC49" s="47"/>
      <c r="UD49" s="47"/>
      <c r="UE49" s="47"/>
      <c r="UF49" s="47"/>
      <c r="UG49" s="47"/>
      <c r="UH49" s="47"/>
      <c r="UI49" s="47"/>
      <c r="UJ49" s="47"/>
      <c r="UK49" s="47"/>
      <c r="UL49" s="47"/>
      <c r="UM49" s="47"/>
      <c r="UN49" s="47" t="s">
        <v>731</v>
      </c>
      <c r="UO49" s="47"/>
      <c r="UP49" s="47"/>
      <c r="UQ49" s="47"/>
      <c r="UR49" s="47"/>
      <c r="US49" s="47" t="s">
        <v>731</v>
      </c>
      <c r="UT49" s="47"/>
      <c r="UU49" s="47"/>
      <c r="UV49" s="47"/>
      <c r="UW49" s="47"/>
      <c r="UX49" s="47"/>
      <c r="UY49" s="47"/>
      <c r="UZ49" s="47"/>
      <c r="VA49" s="47"/>
      <c r="VB49" s="47"/>
      <c r="VC49" s="47"/>
      <c r="VD49" s="47"/>
      <c r="VE49" s="47"/>
      <c r="VF49" s="47"/>
      <c r="VG49" s="47"/>
      <c r="VH49" s="47"/>
      <c r="VI49" s="47"/>
      <c r="VJ49" s="47"/>
      <c r="VK49" s="47"/>
      <c r="VL49" s="47"/>
      <c r="VM49" s="47"/>
      <c r="VN49" s="47"/>
      <c r="VO49" s="47"/>
      <c r="VP49" s="47"/>
      <c r="VQ49" s="47"/>
      <c r="VR49" s="47"/>
      <c r="VS49" s="47"/>
      <c r="VT49" s="47"/>
      <c r="VU49" s="47"/>
      <c r="VV49" s="47"/>
      <c r="VW49" s="47"/>
      <c r="VX49" s="47"/>
      <c r="VY49" s="47"/>
      <c r="VZ49" s="47"/>
      <c r="WA49" s="47"/>
      <c r="WB49" s="47"/>
      <c r="WC49" s="47"/>
      <c r="WD49" s="47"/>
      <c r="WE49" s="47"/>
      <c r="WF49" s="47"/>
      <c r="WG49" s="47"/>
      <c r="WH49" s="47"/>
      <c r="WI49" s="47"/>
      <c r="WJ49" s="47"/>
      <c r="WK49" s="47"/>
      <c r="WL49" s="47"/>
      <c r="WM49" s="47"/>
      <c r="WN49" s="47"/>
      <c r="WO49" s="47"/>
      <c r="WP49" s="47"/>
      <c r="WQ49" s="47">
        <v>155</v>
      </c>
      <c r="WR49" s="47">
        <v>188</v>
      </c>
      <c r="WS49" s="47"/>
      <c r="WT49" s="47"/>
      <c r="WU49" s="47"/>
      <c r="WV49" s="47"/>
      <c r="WW49" s="47"/>
      <c r="WX49" s="47"/>
      <c r="WY49" s="47"/>
      <c r="WZ49" s="47"/>
      <c r="XA49" s="47"/>
      <c r="XB49" s="47"/>
      <c r="XC49" s="47"/>
      <c r="XD49" s="47"/>
      <c r="XE49" s="47"/>
      <c r="XF49" s="47"/>
      <c r="XG49" s="47"/>
      <c r="XH49" s="47">
        <v>11</v>
      </c>
      <c r="XI49" s="47"/>
      <c r="XJ49" s="47"/>
      <c r="XK49" s="47">
        <v>3</v>
      </c>
      <c r="XL49" s="47"/>
      <c r="XM49" s="47"/>
      <c r="XN49" s="47"/>
      <c r="XO49" s="47"/>
      <c r="XP49" s="47"/>
      <c r="XQ49" s="47"/>
      <c r="XR49" s="47"/>
      <c r="XS49" s="47">
        <v>2</v>
      </c>
      <c r="XT49" s="47"/>
      <c r="XU49" s="47"/>
      <c r="XV49" s="47"/>
      <c r="XW49" s="47"/>
      <c r="XX49" s="47"/>
      <c r="XY49" s="47"/>
      <c r="XZ49" s="47"/>
      <c r="YA49" s="44"/>
      <c r="YB49" s="44"/>
      <c r="YC49" s="44"/>
      <c r="YD49" s="44"/>
      <c r="YE49" s="44"/>
      <c r="YF49" s="47">
        <v>0.63</v>
      </c>
      <c r="YG49" s="47"/>
      <c r="YH49" s="47"/>
      <c r="YI49" s="47"/>
      <c r="YJ49" s="47"/>
      <c r="YK49" s="47"/>
      <c r="YL49" s="47"/>
      <c r="YM49" s="47"/>
      <c r="YN49" s="47"/>
      <c r="YO49" s="47"/>
      <c r="YP49" s="47"/>
      <c r="YQ49" s="47"/>
      <c r="YR49" s="47"/>
      <c r="YS49" s="47"/>
      <c r="YT49" s="47"/>
      <c r="YU49" s="47"/>
      <c r="YV49" s="47"/>
      <c r="YW49" s="47"/>
      <c r="YX49" s="47"/>
      <c r="YY49" s="47"/>
      <c r="YZ49" s="47"/>
      <c r="ZA49" s="47" t="s">
        <v>835</v>
      </c>
      <c r="ZB49" s="47"/>
      <c r="ZC49" s="47" t="s">
        <v>836</v>
      </c>
      <c r="ZD49" s="47"/>
      <c r="ZE49" s="47"/>
      <c r="ZF49" s="47"/>
      <c r="ZG49" s="47"/>
      <c r="ZH49" s="47"/>
      <c r="ZI49" s="47"/>
      <c r="ZJ49" s="47"/>
      <c r="ZK49" s="47"/>
      <c r="ZL49" s="47"/>
      <c r="ZM49" s="47"/>
      <c r="ZN49" s="47"/>
      <c r="ZO49" s="47" t="s">
        <v>796</v>
      </c>
      <c r="ZP49" s="47"/>
      <c r="ZQ49" s="47"/>
      <c r="ZR49" s="47"/>
      <c r="ZS49" s="47"/>
      <c r="ZT49" s="47"/>
      <c r="ZU49" s="47"/>
      <c r="ZV49" s="47"/>
      <c r="ZW49" s="44"/>
      <c r="ZX49" s="44"/>
      <c r="ZY49" s="44"/>
      <c r="ZZ49" s="44"/>
      <c r="AAA49" s="44"/>
      <c r="AAB49" s="44"/>
      <c r="AAC49" s="44"/>
      <c r="AAD49" s="44"/>
      <c r="AAE49" s="44"/>
      <c r="AAF49" s="44"/>
      <c r="AAG49" s="47"/>
      <c r="AAH49" s="47"/>
      <c r="AAI49" s="47"/>
      <c r="AAJ49" s="47"/>
      <c r="AAK49" s="47"/>
      <c r="AAL49" s="47"/>
      <c r="AAM49" s="47"/>
      <c r="AAN49" s="47"/>
      <c r="AAO49" s="47"/>
      <c r="AAP49" s="47"/>
      <c r="AAQ49" s="47"/>
      <c r="AAR49" s="47"/>
      <c r="AAS49" s="47"/>
      <c r="AAT49" s="47"/>
      <c r="AAU49" s="47"/>
      <c r="AAV49" s="47"/>
      <c r="AAW49" s="47"/>
      <c r="AAX49" s="47"/>
      <c r="AAY49" s="47"/>
      <c r="AAZ49" s="47"/>
      <c r="ABA49" s="47"/>
      <c r="ABB49" s="47"/>
      <c r="ABC49" s="47"/>
      <c r="ABD49" s="47"/>
      <c r="ABE49" s="47"/>
      <c r="ABF49" s="47"/>
      <c r="ABG49" s="47"/>
      <c r="ABH49" s="47"/>
      <c r="ABI49" s="47"/>
      <c r="ABJ49" s="47"/>
      <c r="ABK49" s="47"/>
      <c r="ABL49" s="47"/>
      <c r="ABM49" s="47"/>
      <c r="ABN49" s="47"/>
      <c r="ABO49" s="47"/>
      <c r="ABP49" s="47"/>
      <c r="ABQ49" s="47"/>
      <c r="ABR49" s="47"/>
      <c r="ABS49" s="47"/>
      <c r="ABT49" s="47"/>
      <c r="ABU49" s="47"/>
      <c r="ABV49" s="47"/>
      <c r="ABW49" s="47"/>
      <c r="ABX49" s="47"/>
      <c r="ABY49" s="47"/>
      <c r="ABZ49" s="47"/>
      <c r="ACA49" s="47"/>
      <c r="ACB49" s="47"/>
      <c r="ACC49" s="47"/>
      <c r="ACD49" s="47"/>
      <c r="ACE49" s="47"/>
      <c r="ACF49" s="47"/>
      <c r="ACG49" s="47"/>
      <c r="ACH49" s="48"/>
    </row>
    <row r="50" spans="1:762" x14ac:dyDescent="0.25">
      <c r="A50" s="42" t="s">
        <v>95</v>
      </c>
      <c r="B50" s="43">
        <v>29</v>
      </c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>
        <v>24</v>
      </c>
      <c r="AB50" s="43">
        <v>16</v>
      </c>
      <c r="AC50" s="43" t="s">
        <v>799</v>
      </c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 t="s">
        <v>799</v>
      </c>
      <c r="BC50" s="43">
        <v>25</v>
      </c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3"/>
      <c r="BO50" s="43"/>
      <c r="BP50" s="43"/>
      <c r="BQ50" s="43"/>
      <c r="BR50" s="43"/>
      <c r="BS50" s="43"/>
      <c r="BT50" s="43"/>
      <c r="BU50" s="43"/>
      <c r="BV50" s="43"/>
      <c r="BW50" s="43"/>
      <c r="BX50" s="43"/>
      <c r="BY50" s="43"/>
      <c r="BZ50" s="43"/>
      <c r="CA50" s="43"/>
      <c r="CB50" s="43"/>
      <c r="CC50" s="43"/>
      <c r="CD50" s="43">
        <v>22</v>
      </c>
      <c r="CE50" s="43"/>
      <c r="CF50" s="43"/>
      <c r="CG50" s="43"/>
      <c r="CH50" s="43"/>
      <c r="CI50" s="43"/>
      <c r="CJ50" s="43"/>
      <c r="CK50" s="43"/>
      <c r="CL50" s="43"/>
      <c r="CM50" s="43"/>
      <c r="CN50" s="43"/>
      <c r="CO50" s="43"/>
      <c r="CP50" s="43"/>
      <c r="CQ50" s="43"/>
      <c r="CR50" s="43"/>
      <c r="CS50" s="43"/>
      <c r="CT50" s="43"/>
      <c r="CU50" s="43"/>
      <c r="CV50" s="43"/>
      <c r="CW50" s="43"/>
      <c r="CX50" s="43"/>
      <c r="CY50" s="43"/>
      <c r="CZ50" s="43"/>
      <c r="DA50" s="43"/>
      <c r="DB50" s="43"/>
      <c r="DC50" s="43"/>
      <c r="DD50" s="43">
        <v>14100</v>
      </c>
      <c r="DE50" s="43"/>
      <c r="DF50" s="43"/>
      <c r="DG50" s="43"/>
      <c r="DH50" s="43"/>
      <c r="DI50" s="43"/>
      <c r="DJ50" s="43"/>
      <c r="DK50" s="43"/>
      <c r="DL50" s="43"/>
      <c r="DM50" s="43"/>
      <c r="DN50" s="43"/>
      <c r="DO50" s="43"/>
      <c r="DP50" s="43"/>
      <c r="DQ50" s="43"/>
      <c r="DR50" s="43"/>
      <c r="DS50" s="43"/>
      <c r="DT50" s="43"/>
      <c r="DU50" s="43"/>
      <c r="DV50" s="43"/>
      <c r="DW50" s="43"/>
      <c r="DX50" s="43"/>
      <c r="DY50" s="43"/>
      <c r="DZ50" s="43"/>
      <c r="EA50" s="43"/>
      <c r="EB50" s="43"/>
      <c r="EC50" s="43"/>
      <c r="ED50" s="43"/>
      <c r="EE50" s="43"/>
      <c r="EF50" s="43">
        <v>38</v>
      </c>
      <c r="EG50" s="43"/>
      <c r="EH50" s="43"/>
      <c r="EI50" s="43"/>
      <c r="EJ50" s="43"/>
      <c r="EK50" s="43"/>
      <c r="EL50" s="43"/>
      <c r="EM50" s="43"/>
      <c r="EN50" s="43"/>
      <c r="EO50" s="43"/>
      <c r="EP50" s="43"/>
      <c r="EQ50" s="43"/>
      <c r="ER50" s="43"/>
      <c r="ES50" s="43"/>
      <c r="ET50" s="43"/>
      <c r="EU50" s="43"/>
      <c r="EV50" s="43"/>
      <c r="EW50" s="43"/>
      <c r="EX50" s="43"/>
      <c r="EY50" s="43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>
        <v>64</v>
      </c>
      <c r="GP50" s="43">
        <v>53</v>
      </c>
      <c r="GQ50" s="43">
        <v>54</v>
      </c>
      <c r="GR50" s="43">
        <v>57</v>
      </c>
      <c r="GS50" s="43">
        <v>57</v>
      </c>
      <c r="GT50" s="43"/>
      <c r="GU50" s="43">
        <v>51</v>
      </c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  <c r="IT50" s="43"/>
      <c r="IU50" s="43"/>
      <c r="IV50" s="43"/>
      <c r="IW50" s="43"/>
      <c r="IX50" s="43"/>
      <c r="IY50" s="43"/>
      <c r="IZ50" s="43"/>
      <c r="JA50" s="43"/>
      <c r="JB50" s="43">
        <v>73</v>
      </c>
      <c r="JC50" s="43">
        <v>69</v>
      </c>
      <c r="JD50" s="43">
        <v>72</v>
      </c>
      <c r="JE50" s="43">
        <v>82</v>
      </c>
      <c r="JF50" s="43">
        <v>86</v>
      </c>
      <c r="JG50" s="43"/>
      <c r="JH50" s="43"/>
      <c r="JI50" s="43"/>
      <c r="JJ50" s="43"/>
      <c r="JK50" s="43"/>
      <c r="JL50" s="43"/>
      <c r="JM50" s="43"/>
      <c r="JN50" s="43"/>
      <c r="JO50" s="43"/>
      <c r="JP50" s="43"/>
      <c r="JQ50" s="43"/>
      <c r="JR50" s="43"/>
      <c r="JS50" s="43"/>
      <c r="JT50" s="43"/>
      <c r="JU50" s="43"/>
      <c r="JV50" s="43"/>
      <c r="JW50" s="43"/>
      <c r="JX50" s="43"/>
      <c r="JY50" s="43"/>
      <c r="JZ50" s="43"/>
      <c r="KA50" s="43"/>
      <c r="KB50" s="43"/>
      <c r="KC50" s="43"/>
      <c r="KD50" s="43"/>
      <c r="KE50" s="43"/>
      <c r="KF50" s="43"/>
      <c r="KG50" s="43"/>
      <c r="KH50" s="43"/>
      <c r="KI50" s="43"/>
      <c r="KJ50" s="43"/>
      <c r="KK50" s="43"/>
      <c r="KL50" s="43"/>
      <c r="KM50" s="43"/>
      <c r="KN50" s="43"/>
      <c r="KO50" s="43"/>
      <c r="KP50" s="43"/>
      <c r="KQ50" s="43"/>
      <c r="KR50" s="43"/>
      <c r="KS50" s="43"/>
      <c r="KT50" s="43"/>
      <c r="KU50" s="43"/>
      <c r="KV50" s="43"/>
      <c r="KW50" s="43"/>
      <c r="KX50" s="43"/>
      <c r="KY50" s="43"/>
      <c r="KZ50" s="43"/>
      <c r="LA50" s="43"/>
      <c r="LB50" s="43"/>
      <c r="LC50" s="43"/>
      <c r="LD50" s="43"/>
      <c r="LE50" s="43"/>
      <c r="LF50" s="43"/>
      <c r="LG50" s="43"/>
      <c r="LH50" s="43"/>
      <c r="LI50" s="43"/>
      <c r="LJ50" s="43"/>
      <c r="LK50" s="43"/>
      <c r="LL50" s="43"/>
      <c r="LM50" s="43"/>
      <c r="LN50" s="43">
        <v>224</v>
      </c>
      <c r="LO50" s="43">
        <v>231</v>
      </c>
      <c r="LP50" s="43">
        <v>249</v>
      </c>
      <c r="LQ50" s="43">
        <v>301</v>
      </c>
      <c r="LR50" s="43">
        <v>378</v>
      </c>
      <c r="LS50" s="43"/>
      <c r="LT50" s="43">
        <v>196</v>
      </c>
      <c r="LU50" s="43"/>
      <c r="LV50" s="43"/>
      <c r="LW50" s="43"/>
      <c r="LX50" s="43"/>
      <c r="LY50" s="43"/>
      <c r="LZ50" s="43"/>
      <c r="MA50" s="43"/>
      <c r="MB50" s="43"/>
      <c r="MC50" s="43"/>
      <c r="MD50" s="43"/>
      <c r="ME50" s="43"/>
      <c r="MF50" s="43"/>
      <c r="MG50" s="43"/>
      <c r="MH50" s="43"/>
      <c r="MI50" s="43"/>
      <c r="MJ50" s="43"/>
      <c r="MK50" s="43"/>
      <c r="ML50" s="43"/>
      <c r="MM50" s="43"/>
      <c r="MN50" s="43"/>
      <c r="MO50" s="43"/>
      <c r="MP50" s="43"/>
      <c r="MQ50" s="43"/>
      <c r="MR50" s="43"/>
      <c r="MS50" s="43"/>
      <c r="MT50" s="43"/>
      <c r="MU50" s="43"/>
      <c r="MV50" s="43"/>
      <c r="MW50" s="43"/>
      <c r="MX50" s="43"/>
      <c r="MY50" s="43"/>
      <c r="MZ50" s="43"/>
      <c r="NA50" s="43"/>
      <c r="NB50" s="43"/>
      <c r="NC50" s="43"/>
      <c r="ND50" s="43"/>
      <c r="NE50" s="43"/>
      <c r="NF50" s="43"/>
      <c r="NG50" s="43">
        <v>195</v>
      </c>
      <c r="NH50" s="43">
        <v>267</v>
      </c>
      <c r="NI50" s="43">
        <v>252</v>
      </c>
      <c r="NJ50" s="44">
        <v>13.5</v>
      </c>
      <c r="NK50" s="44"/>
      <c r="NL50" s="44"/>
      <c r="NM50" s="44">
        <v>12.5</v>
      </c>
      <c r="NN50" s="44">
        <v>22</v>
      </c>
      <c r="NO50" s="43"/>
      <c r="NP50" s="43"/>
      <c r="NQ50" s="43"/>
      <c r="NR50" s="43"/>
      <c r="NS50" s="43"/>
      <c r="NT50" s="43"/>
      <c r="NU50" s="43"/>
      <c r="NV50" s="43"/>
      <c r="NW50" s="43"/>
      <c r="NX50" s="43"/>
      <c r="NY50" s="43"/>
      <c r="NZ50" s="43"/>
      <c r="OA50" s="43"/>
      <c r="OB50" s="43"/>
      <c r="OC50" s="43"/>
      <c r="OD50" s="43"/>
      <c r="OE50" s="43"/>
      <c r="OF50" s="43"/>
      <c r="OG50" s="43"/>
      <c r="OH50" s="43"/>
      <c r="OI50" s="43"/>
      <c r="OJ50" s="43"/>
      <c r="OK50" s="43"/>
      <c r="OL50" s="43"/>
      <c r="OM50" s="43"/>
      <c r="ON50" s="43"/>
      <c r="OO50" s="43"/>
      <c r="OP50" s="43"/>
      <c r="OQ50" s="43"/>
      <c r="OR50" s="43"/>
      <c r="OS50" s="43"/>
      <c r="OT50" s="43"/>
      <c r="OU50" s="43"/>
      <c r="OV50" s="43"/>
      <c r="OW50" s="43"/>
      <c r="OX50" s="43"/>
      <c r="OY50" s="43"/>
      <c r="OZ50" s="43"/>
      <c r="PA50" s="43"/>
      <c r="PB50" s="43"/>
      <c r="PC50" s="43"/>
      <c r="PD50" s="43"/>
      <c r="PE50" s="43"/>
      <c r="PF50" s="43"/>
      <c r="PG50" s="43"/>
      <c r="PH50" s="43"/>
      <c r="PI50" s="43"/>
      <c r="PJ50" s="43"/>
      <c r="PK50" s="43"/>
      <c r="PL50" s="43"/>
      <c r="PM50" s="43"/>
      <c r="PN50" s="43"/>
      <c r="PO50" s="43"/>
      <c r="PP50" s="43"/>
      <c r="PQ50" s="43"/>
      <c r="PR50" s="43" t="s">
        <v>1713</v>
      </c>
      <c r="PS50" s="43" t="s">
        <v>1714</v>
      </c>
      <c r="PT50" s="43" t="s">
        <v>1715</v>
      </c>
      <c r="PU50" s="43"/>
      <c r="PV50" s="43"/>
      <c r="PW50" s="43"/>
      <c r="PX50" s="43"/>
      <c r="PY50" s="43"/>
      <c r="PZ50" s="43"/>
      <c r="QA50" s="43"/>
      <c r="QB50" s="43"/>
      <c r="QC50" s="43"/>
      <c r="QD50" s="43"/>
      <c r="QE50" s="43"/>
      <c r="QF50" s="43"/>
      <c r="QG50" s="43"/>
      <c r="QH50" s="43"/>
      <c r="QI50" s="43"/>
      <c r="QJ50" s="43"/>
      <c r="QK50" s="43">
        <v>139</v>
      </c>
      <c r="QL50" s="43"/>
      <c r="QM50" s="43"/>
      <c r="QN50" s="43"/>
      <c r="QO50" s="43"/>
      <c r="QP50" s="43"/>
      <c r="QQ50" s="43"/>
      <c r="QR50" s="43"/>
      <c r="QS50" s="43"/>
      <c r="QT50" s="43"/>
      <c r="QU50" s="43"/>
      <c r="QV50" s="43"/>
      <c r="QW50" s="43"/>
      <c r="QX50" s="43"/>
      <c r="QY50" s="43"/>
      <c r="QZ50" s="43"/>
      <c r="RA50" s="43"/>
      <c r="RB50" s="43"/>
      <c r="RC50" s="43"/>
      <c r="RD50" s="43"/>
      <c r="RE50" s="43"/>
      <c r="RF50" s="43"/>
      <c r="RG50" s="43"/>
      <c r="RH50" s="43"/>
      <c r="RI50" s="43"/>
      <c r="RJ50" s="43"/>
      <c r="RK50" s="43"/>
      <c r="RL50" s="43"/>
      <c r="RM50" s="43"/>
      <c r="RN50" s="43"/>
      <c r="RO50" s="43"/>
      <c r="RP50" s="43"/>
      <c r="RQ50" s="43"/>
      <c r="RR50" s="43"/>
      <c r="RS50" s="43"/>
      <c r="RT50" s="43"/>
      <c r="RU50" s="43"/>
      <c r="RV50" s="43"/>
      <c r="RW50" s="43"/>
      <c r="RX50" s="43"/>
      <c r="RY50" s="43"/>
      <c r="RZ50" s="43"/>
      <c r="SA50" s="43"/>
      <c r="SB50" s="43"/>
      <c r="SC50" s="43"/>
      <c r="SD50" s="43"/>
      <c r="SE50" s="43"/>
      <c r="SF50" s="43"/>
      <c r="SG50" s="43"/>
      <c r="SH50" s="43"/>
      <c r="SI50" s="43"/>
      <c r="SJ50" s="43"/>
      <c r="SK50" s="43"/>
      <c r="SL50" s="43"/>
      <c r="SM50" s="43"/>
      <c r="SN50" s="43">
        <v>159</v>
      </c>
      <c r="SO50" s="43">
        <v>142</v>
      </c>
      <c r="SP50" s="43">
        <v>138</v>
      </c>
      <c r="SQ50" s="43">
        <v>137</v>
      </c>
      <c r="SR50" s="43">
        <v>131</v>
      </c>
      <c r="SS50" s="43"/>
      <c r="ST50" s="43"/>
      <c r="SU50" s="43"/>
      <c r="SV50" s="43"/>
      <c r="SW50" s="43"/>
      <c r="SX50" s="43"/>
      <c r="SY50" s="43"/>
      <c r="SZ50" s="43"/>
      <c r="TA50" s="43"/>
      <c r="TB50" s="43"/>
      <c r="TC50" s="43"/>
      <c r="TD50" s="43"/>
      <c r="TE50" s="43"/>
      <c r="TF50" s="43"/>
      <c r="TG50" s="43"/>
      <c r="TH50" s="43"/>
      <c r="TI50" s="43"/>
      <c r="TJ50" s="43"/>
      <c r="TK50" s="43"/>
      <c r="TL50" s="43"/>
      <c r="TM50" s="43"/>
      <c r="TN50" s="43"/>
      <c r="TO50" s="43"/>
      <c r="TP50" s="43"/>
      <c r="TQ50" s="43"/>
      <c r="TR50" s="43"/>
      <c r="TS50" s="43"/>
      <c r="TT50" s="43"/>
      <c r="TU50" s="43"/>
      <c r="TV50" s="43"/>
      <c r="TW50" s="43"/>
      <c r="TX50" s="43">
        <v>88</v>
      </c>
      <c r="TY50" s="43"/>
      <c r="TZ50" s="43"/>
      <c r="UA50" s="43"/>
      <c r="UB50" s="43"/>
      <c r="UC50" s="43"/>
      <c r="UD50" s="43"/>
      <c r="UE50" s="43"/>
      <c r="UF50" s="43"/>
      <c r="UG50" s="43"/>
      <c r="UH50" s="43"/>
      <c r="UI50" s="43"/>
      <c r="UJ50" s="43"/>
      <c r="UK50" s="43"/>
      <c r="UL50" s="43"/>
      <c r="UM50" s="43"/>
      <c r="UN50" s="43"/>
      <c r="UO50" s="43"/>
      <c r="UP50" s="43"/>
      <c r="UQ50" s="43"/>
      <c r="UR50" s="43"/>
      <c r="US50" s="43"/>
      <c r="UT50" s="43"/>
      <c r="UU50" s="43"/>
      <c r="UV50" s="43"/>
      <c r="UW50" s="43"/>
      <c r="UX50" s="43"/>
      <c r="UY50" s="43">
        <v>88</v>
      </c>
      <c r="UZ50" s="43">
        <v>0.93</v>
      </c>
      <c r="VA50" s="43"/>
      <c r="VB50" s="43"/>
      <c r="VC50" s="43"/>
      <c r="VD50" s="43"/>
      <c r="VE50" s="43"/>
      <c r="VF50" s="43"/>
      <c r="VG50" s="43"/>
      <c r="VH50" s="43"/>
      <c r="VI50" s="43"/>
      <c r="VJ50" s="43"/>
      <c r="VK50" s="43"/>
      <c r="VL50" s="43"/>
      <c r="VM50" s="43"/>
      <c r="VN50" s="43"/>
      <c r="VO50" s="43"/>
      <c r="VP50" s="43"/>
      <c r="VQ50" s="43"/>
      <c r="VR50" s="43"/>
      <c r="VS50" s="43"/>
      <c r="VT50" s="43"/>
      <c r="VU50" s="43"/>
      <c r="VV50" s="43"/>
      <c r="VW50" s="43"/>
      <c r="VX50" s="43"/>
      <c r="VY50" s="43"/>
      <c r="VZ50" s="43"/>
      <c r="WA50" s="43"/>
      <c r="WB50" s="43"/>
      <c r="WC50" s="43"/>
      <c r="WD50" s="43"/>
      <c r="WE50" s="43"/>
      <c r="WF50" s="43"/>
      <c r="WG50" s="43"/>
      <c r="WH50" s="43"/>
      <c r="WI50" s="43"/>
      <c r="WJ50" s="43"/>
      <c r="WK50" s="43"/>
      <c r="WL50" s="43"/>
      <c r="WM50" s="43"/>
      <c r="WN50" s="43"/>
      <c r="WO50" s="43"/>
      <c r="WP50" s="43"/>
      <c r="WQ50" s="43"/>
      <c r="WR50" s="43"/>
      <c r="WS50" s="43"/>
      <c r="WT50" s="43"/>
      <c r="WU50" s="43"/>
      <c r="WV50" s="43"/>
      <c r="WW50" s="43"/>
      <c r="WX50" s="43"/>
      <c r="WY50" s="43"/>
      <c r="WZ50" s="43"/>
      <c r="XA50" s="43"/>
      <c r="XB50" s="43"/>
      <c r="XC50" s="43"/>
      <c r="XD50" s="43"/>
      <c r="XE50" s="43"/>
      <c r="XF50" s="43"/>
      <c r="XG50" s="43"/>
      <c r="XH50" s="43">
        <v>33</v>
      </c>
      <c r="XI50" s="43"/>
      <c r="XJ50" s="43"/>
      <c r="XK50" s="43"/>
      <c r="XL50" s="43"/>
      <c r="XM50" s="43"/>
      <c r="XN50" s="43"/>
      <c r="XO50" s="43"/>
      <c r="XP50" s="43"/>
      <c r="XQ50" s="43"/>
      <c r="XR50" s="43"/>
      <c r="XS50" s="43"/>
      <c r="XT50" s="43"/>
      <c r="XU50" s="43"/>
      <c r="XV50" s="43"/>
      <c r="XW50" s="43"/>
      <c r="XX50" s="43">
        <v>4.5</v>
      </c>
      <c r="XY50" s="43">
        <v>1</v>
      </c>
      <c r="XZ50" s="43">
        <v>0.5</v>
      </c>
      <c r="YA50" s="44"/>
      <c r="YB50" s="44"/>
      <c r="YC50" s="44"/>
      <c r="YD50" s="44"/>
      <c r="YE50" s="44"/>
      <c r="YF50" s="43"/>
      <c r="YG50" s="43"/>
      <c r="YH50" s="43"/>
      <c r="YI50" s="43"/>
      <c r="YJ50" s="43"/>
      <c r="YK50" s="43"/>
      <c r="YL50" s="43"/>
      <c r="YM50" s="43"/>
      <c r="YN50" s="43"/>
      <c r="YO50" s="43"/>
      <c r="YP50" s="43"/>
      <c r="YQ50" s="43"/>
      <c r="YR50" s="43"/>
      <c r="YS50" s="43"/>
      <c r="YT50" s="43"/>
      <c r="YU50" s="43"/>
      <c r="YV50" s="43"/>
      <c r="YW50" s="43"/>
      <c r="YX50" s="43"/>
      <c r="YY50" s="43"/>
      <c r="YZ50" s="43"/>
      <c r="ZA50" s="43" t="s">
        <v>834</v>
      </c>
      <c r="ZB50" s="43"/>
      <c r="ZC50" s="43"/>
      <c r="ZD50" s="43"/>
      <c r="ZE50" s="43"/>
      <c r="ZF50" s="43"/>
      <c r="ZG50" s="43"/>
      <c r="ZH50" s="43"/>
      <c r="ZI50" s="43"/>
      <c r="ZJ50" s="43"/>
      <c r="ZK50" s="43"/>
      <c r="ZL50" s="43"/>
      <c r="ZM50" s="43"/>
      <c r="ZN50" s="43"/>
      <c r="ZO50" s="43"/>
      <c r="ZP50" s="43"/>
      <c r="ZQ50" s="43"/>
      <c r="ZR50" s="43"/>
      <c r="ZS50" s="43"/>
      <c r="ZT50" s="43"/>
      <c r="ZU50" s="43"/>
      <c r="ZV50" s="43"/>
      <c r="ZW50" s="44"/>
      <c r="ZX50" s="44"/>
      <c r="ZY50" s="44"/>
      <c r="ZZ50" s="44"/>
      <c r="AAA50" s="44"/>
      <c r="AAB50" s="44"/>
      <c r="AAC50" s="44"/>
      <c r="AAD50" s="44"/>
      <c r="AAE50" s="44"/>
      <c r="AAF50" s="44"/>
      <c r="AAG50" s="43"/>
      <c r="AAH50" s="43"/>
      <c r="AAI50" s="43"/>
      <c r="AAJ50" s="43"/>
      <c r="AAK50" s="43"/>
      <c r="AAL50" s="43"/>
      <c r="AAM50" s="43"/>
      <c r="AAN50" s="43"/>
      <c r="AAO50" s="43"/>
      <c r="AAP50" s="43"/>
      <c r="AAQ50" s="43"/>
      <c r="AAR50" s="43"/>
      <c r="AAS50" s="43"/>
      <c r="AAT50" s="43"/>
      <c r="AAU50" s="43"/>
      <c r="AAV50" s="43"/>
      <c r="AAW50" s="43"/>
      <c r="AAX50" s="43"/>
      <c r="AAY50" s="43"/>
      <c r="AAZ50" s="43"/>
      <c r="ABA50" s="43"/>
      <c r="ABB50" s="43"/>
      <c r="ABC50" s="43"/>
      <c r="ABD50" s="43"/>
      <c r="ABE50" s="43"/>
      <c r="ABF50" s="43"/>
      <c r="ABG50" s="43"/>
      <c r="ABH50" s="43"/>
      <c r="ABI50" s="43"/>
      <c r="ABJ50" s="43"/>
      <c r="ABK50" s="43"/>
      <c r="ABL50" s="43"/>
      <c r="ABM50" s="43"/>
      <c r="ABN50" s="43"/>
      <c r="ABO50" s="43"/>
      <c r="ABP50" s="43"/>
      <c r="ABQ50" s="43"/>
      <c r="ABR50" s="43"/>
      <c r="ABS50" s="43"/>
      <c r="ABT50" s="43"/>
      <c r="ABU50" s="43"/>
      <c r="ABV50" s="43"/>
      <c r="ABW50" s="43"/>
      <c r="ABX50" s="43"/>
      <c r="ABY50" s="43"/>
      <c r="ABZ50" s="43"/>
      <c r="ACA50" s="43"/>
      <c r="ACB50" s="43"/>
      <c r="ACC50" s="43"/>
      <c r="ACD50" s="43"/>
      <c r="ACE50" s="43"/>
      <c r="ACF50" s="43"/>
      <c r="ACG50" s="43"/>
      <c r="ACH50" s="45"/>
    </row>
    <row r="51" spans="1:762" x14ac:dyDescent="0.25">
      <c r="A51" s="46" t="s">
        <v>97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  <c r="BW51" s="47"/>
      <c r="BX51" s="47"/>
      <c r="BY51" s="47"/>
      <c r="BZ51" s="47"/>
      <c r="CA51" s="47"/>
      <c r="CB51" s="47"/>
      <c r="CC51" s="47"/>
      <c r="CD51" s="47"/>
      <c r="CE51" s="47"/>
      <c r="CF51" s="47"/>
      <c r="CG51" s="47"/>
      <c r="CH51" s="47"/>
      <c r="CI51" s="47"/>
      <c r="CJ51" s="47"/>
      <c r="CK51" s="47"/>
      <c r="CL51" s="47"/>
      <c r="CM51" s="47"/>
      <c r="CN51" s="47"/>
      <c r="CO51" s="47"/>
      <c r="CP51" s="47"/>
      <c r="CQ51" s="47"/>
      <c r="CR51" s="47"/>
      <c r="CS51" s="47"/>
      <c r="CT51" s="47"/>
      <c r="CU51" s="47"/>
      <c r="CV51" s="47"/>
      <c r="CW51" s="47"/>
      <c r="CX51" s="47"/>
      <c r="CY51" s="47"/>
      <c r="CZ51" s="47"/>
      <c r="DA51" s="47"/>
      <c r="DB51" s="47"/>
      <c r="DC51" s="47"/>
      <c r="DD51" s="47"/>
      <c r="DE51" s="47"/>
      <c r="DF51" s="47"/>
      <c r="DG51" s="47"/>
      <c r="DH51" s="47"/>
      <c r="DI51" s="47"/>
      <c r="DJ51" s="47"/>
      <c r="DK51" s="47"/>
      <c r="DL51" s="47"/>
      <c r="DM51" s="47"/>
      <c r="DN51" s="47"/>
      <c r="DO51" s="47"/>
      <c r="DP51" s="47"/>
      <c r="DQ51" s="47"/>
      <c r="DR51" s="47"/>
      <c r="DS51" s="47"/>
      <c r="DT51" s="47"/>
      <c r="DU51" s="47"/>
      <c r="DV51" s="47"/>
      <c r="DW51" s="47"/>
      <c r="DX51" s="47"/>
      <c r="DY51" s="47"/>
      <c r="DZ51" s="47"/>
      <c r="EA51" s="47"/>
      <c r="EB51" s="47"/>
      <c r="EC51" s="47"/>
      <c r="ED51" s="47"/>
      <c r="EE51" s="47"/>
      <c r="EF51" s="47"/>
      <c r="EG51" s="47"/>
      <c r="EH51" s="47"/>
      <c r="EI51" s="47"/>
      <c r="EJ51" s="47"/>
      <c r="EK51" s="47"/>
      <c r="EL51" s="47"/>
      <c r="EM51" s="47"/>
      <c r="EN51" s="47"/>
      <c r="EO51" s="47"/>
      <c r="EP51" s="47"/>
      <c r="EQ51" s="47"/>
      <c r="ER51" s="47"/>
      <c r="ES51" s="47"/>
      <c r="ET51" s="47"/>
      <c r="EU51" s="47"/>
      <c r="EV51" s="47"/>
      <c r="EW51" s="47"/>
      <c r="EX51" s="47"/>
      <c r="EY51" s="47"/>
      <c r="EZ51" s="47"/>
      <c r="FA51" s="47"/>
      <c r="FB51" s="47"/>
      <c r="FC51" s="47"/>
      <c r="FD51" s="47"/>
      <c r="FE51" s="47"/>
      <c r="FF51" s="47"/>
      <c r="FG51" s="47"/>
      <c r="FH51" s="47"/>
      <c r="FI51" s="47"/>
      <c r="FJ51" s="47"/>
      <c r="FK51" s="47"/>
      <c r="FL51" s="47"/>
      <c r="FM51" s="47"/>
      <c r="FN51" s="47"/>
      <c r="FO51" s="47"/>
      <c r="FP51" s="47"/>
      <c r="FQ51" s="47"/>
      <c r="FR51" s="47"/>
      <c r="FS51" s="47"/>
      <c r="FT51" s="47"/>
      <c r="FU51" s="47"/>
      <c r="FV51" s="47"/>
      <c r="FW51" s="47"/>
      <c r="FX51" s="47"/>
      <c r="FY51" s="47"/>
      <c r="FZ51" s="47"/>
      <c r="GA51" s="47"/>
      <c r="GB51" s="47"/>
      <c r="GC51" s="47"/>
      <c r="GD51" s="47"/>
      <c r="GE51" s="47"/>
      <c r="GF51" s="47"/>
      <c r="GG51" s="47"/>
      <c r="GH51" s="47"/>
      <c r="GI51" s="47"/>
      <c r="GJ51" s="47"/>
      <c r="GK51" s="47"/>
      <c r="GL51" s="47"/>
      <c r="GM51" s="47"/>
      <c r="GN51" s="47"/>
      <c r="GO51" s="47"/>
      <c r="GP51" s="47"/>
      <c r="GQ51" s="47"/>
      <c r="GR51" s="47"/>
      <c r="GS51" s="47"/>
      <c r="GT51" s="47"/>
      <c r="GU51" s="47"/>
      <c r="GV51" s="47"/>
      <c r="GW51" s="47"/>
      <c r="GX51" s="47"/>
      <c r="GY51" s="47"/>
      <c r="GZ51" s="47"/>
      <c r="HA51" s="47"/>
      <c r="HB51" s="47"/>
      <c r="HC51" s="47"/>
      <c r="HD51" s="47"/>
      <c r="HE51" s="47"/>
      <c r="HF51" s="47"/>
      <c r="HG51" s="47"/>
      <c r="HH51" s="47"/>
      <c r="HI51" s="47"/>
      <c r="HJ51" s="47"/>
      <c r="HK51" s="47"/>
      <c r="HL51" s="47"/>
      <c r="HM51" s="47"/>
      <c r="HN51" s="47"/>
      <c r="HO51" s="47"/>
      <c r="HP51" s="47"/>
      <c r="HQ51" s="47"/>
      <c r="HR51" s="47"/>
      <c r="HS51" s="47"/>
      <c r="HT51" s="47"/>
      <c r="HU51" s="47"/>
      <c r="HV51" s="47"/>
      <c r="HW51" s="47"/>
      <c r="HX51" s="47"/>
      <c r="HY51" s="47"/>
      <c r="HZ51" s="47"/>
      <c r="IA51" s="47"/>
      <c r="IB51" s="47"/>
      <c r="IC51" s="47"/>
      <c r="ID51" s="47"/>
      <c r="IE51" s="47"/>
      <c r="IF51" s="47"/>
      <c r="IG51" s="47"/>
      <c r="IH51" s="47"/>
      <c r="II51" s="47"/>
      <c r="IJ51" s="47"/>
      <c r="IK51" s="47"/>
      <c r="IL51" s="47"/>
      <c r="IM51" s="47"/>
      <c r="IN51" s="47"/>
      <c r="IO51" s="47"/>
      <c r="IP51" s="47"/>
      <c r="IQ51" s="47"/>
      <c r="IR51" s="47"/>
      <c r="IS51" s="47"/>
      <c r="IT51" s="47"/>
      <c r="IU51" s="47"/>
      <c r="IV51" s="47"/>
      <c r="IW51" s="47"/>
      <c r="IX51" s="47"/>
      <c r="IY51" s="47"/>
      <c r="IZ51" s="47"/>
      <c r="JA51" s="47"/>
      <c r="JB51" s="47"/>
      <c r="JC51" s="47"/>
      <c r="JD51" s="47"/>
      <c r="JE51" s="47"/>
      <c r="JF51" s="47"/>
      <c r="JG51" s="47"/>
      <c r="JH51" s="47"/>
      <c r="JI51" s="47"/>
      <c r="JJ51" s="47"/>
      <c r="JK51" s="47"/>
      <c r="JL51" s="47"/>
      <c r="JM51" s="47"/>
      <c r="JN51" s="47"/>
      <c r="JO51" s="47"/>
      <c r="JP51" s="47"/>
      <c r="JQ51" s="47"/>
      <c r="JR51" s="47"/>
      <c r="JS51" s="47"/>
      <c r="JT51" s="47"/>
      <c r="JU51" s="47"/>
      <c r="JV51" s="47"/>
      <c r="JW51" s="47"/>
      <c r="JX51" s="47"/>
      <c r="JY51" s="47"/>
      <c r="JZ51" s="47"/>
      <c r="KA51" s="47"/>
      <c r="KB51" s="47"/>
      <c r="KC51" s="47"/>
      <c r="KD51" s="47"/>
      <c r="KE51" s="47"/>
      <c r="KF51" s="47"/>
      <c r="KG51" s="47"/>
      <c r="KH51" s="47"/>
      <c r="KI51" s="47"/>
      <c r="KJ51" s="47"/>
      <c r="KK51" s="47"/>
      <c r="KL51" s="47"/>
      <c r="KM51" s="47"/>
      <c r="KN51" s="47"/>
      <c r="KO51" s="47"/>
      <c r="KP51" s="47"/>
      <c r="KQ51" s="47"/>
      <c r="KR51" s="47"/>
      <c r="KS51" s="47"/>
      <c r="KT51" s="47"/>
      <c r="KU51" s="47"/>
      <c r="KV51" s="47"/>
      <c r="KW51" s="47"/>
      <c r="KX51" s="47"/>
      <c r="KY51" s="47"/>
      <c r="KZ51" s="47"/>
      <c r="LA51" s="47"/>
      <c r="LB51" s="47"/>
      <c r="LC51" s="47"/>
      <c r="LD51" s="47"/>
      <c r="LE51" s="47"/>
      <c r="LF51" s="47"/>
      <c r="LG51" s="47"/>
      <c r="LH51" s="47"/>
      <c r="LI51" s="47"/>
      <c r="LJ51" s="47"/>
      <c r="LK51" s="47"/>
      <c r="LL51" s="47"/>
      <c r="LM51" s="47"/>
      <c r="LN51" s="47"/>
      <c r="LO51" s="47"/>
      <c r="LP51" s="47"/>
      <c r="LQ51" s="47"/>
      <c r="LR51" s="47"/>
      <c r="LS51" s="47"/>
      <c r="LT51" s="47"/>
      <c r="LU51" s="47"/>
      <c r="LV51" s="47"/>
      <c r="LW51" s="47"/>
      <c r="LX51" s="47"/>
      <c r="LY51" s="47"/>
      <c r="LZ51" s="47"/>
      <c r="MA51" s="47"/>
      <c r="MB51" s="47"/>
      <c r="MC51" s="47"/>
      <c r="MD51" s="47"/>
      <c r="ME51" s="47"/>
      <c r="MF51" s="47"/>
      <c r="MG51" s="47"/>
      <c r="MH51" s="47"/>
      <c r="MI51" s="47"/>
      <c r="MJ51" s="47"/>
      <c r="MK51" s="47"/>
      <c r="ML51" s="47"/>
      <c r="MM51" s="47"/>
      <c r="MN51" s="47"/>
      <c r="MO51" s="47"/>
      <c r="MP51" s="47"/>
      <c r="MQ51" s="47"/>
      <c r="MR51" s="47"/>
      <c r="MS51" s="47"/>
      <c r="MT51" s="47"/>
      <c r="MU51" s="47"/>
      <c r="MV51" s="47"/>
      <c r="MW51" s="47"/>
      <c r="MX51" s="47"/>
      <c r="MY51" s="47"/>
      <c r="MZ51" s="47"/>
      <c r="NA51" s="47"/>
      <c r="NB51" s="47"/>
      <c r="NC51" s="47"/>
      <c r="ND51" s="47"/>
      <c r="NE51" s="47"/>
      <c r="NF51" s="47"/>
      <c r="NG51" s="47"/>
      <c r="NH51" s="47"/>
      <c r="NI51" s="47"/>
      <c r="NJ51" s="44"/>
      <c r="NK51" s="44"/>
      <c r="NL51" s="44"/>
      <c r="NM51" s="44"/>
      <c r="NN51" s="44"/>
      <c r="NO51" s="47"/>
      <c r="NP51" s="47"/>
      <c r="NQ51" s="47"/>
      <c r="NR51" s="47"/>
      <c r="NS51" s="47"/>
      <c r="NT51" s="47"/>
      <c r="NU51" s="47"/>
      <c r="NV51" s="47"/>
      <c r="NW51" s="47"/>
      <c r="NX51" s="47"/>
      <c r="NY51" s="47"/>
      <c r="NZ51" s="47"/>
      <c r="OA51" s="47"/>
      <c r="OB51" s="47"/>
      <c r="OC51" s="47"/>
      <c r="OD51" s="47"/>
      <c r="OE51" s="47"/>
      <c r="OF51" s="47"/>
      <c r="OG51" s="47"/>
      <c r="OH51" s="47"/>
      <c r="OI51" s="47"/>
      <c r="OJ51" s="47"/>
      <c r="OK51" s="47"/>
      <c r="OL51" s="47"/>
      <c r="OM51" s="47"/>
      <c r="ON51" s="47"/>
      <c r="OO51" s="47"/>
      <c r="OP51" s="47"/>
      <c r="OQ51" s="47"/>
      <c r="OR51" s="47"/>
      <c r="OS51" s="47"/>
      <c r="OT51" s="47"/>
      <c r="OU51" s="47"/>
      <c r="OV51" s="47"/>
      <c r="OW51" s="47"/>
      <c r="OX51" s="47"/>
      <c r="OY51" s="47"/>
      <c r="OZ51" s="47"/>
      <c r="PA51" s="47"/>
      <c r="PB51" s="47"/>
      <c r="PC51" s="47"/>
      <c r="PD51" s="47"/>
      <c r="PE51" s="47"/>
      <c r="PF51" s="47"/>
      <c r="PG51" s="47"/>
      <c r="PH51" s="47"/>
      <c r="PI51" s="47"/>
      <c r="PJ51" s="47"/>
      <c r="PK51" s="47"/>
      <c r="PL51" s="47"/>
      <c r="PM51" s="47"/>
      <c r="PN51" s="47"/>
      <c r="PO51" s="47"/>
      <c r="PP51" s="47"/>
      <c r="PQ51" s="47"/>
      <c r="PR51" s="47"/>
      <c r="PS51" s="47"/>
      <c r="PT51" s="47"/>
      <c r="PU51" s="47"/>
      <c r="PV51" s="47"/>
      <c r="PW51" s="47"/>
      <c r="PX51" s="47"/>
      <c r="PY51" s="47"/>
      <c r="PZ51" s="47"/>
      <c r="QA51" s="47"/>
      <c r="QB51" s="47"/>
      <c r="QC51" s="47"/>
      <c r="QD51" s="47"/>
      <c r="QE51" s="47"/>
      <c r="QF51" s="47"/>
      <c r="QG51" s="47"/>
      <c r="QH51" s="47"/>
      <c r="QI51" s="47"/>
      <c r="QJ51" s="47"/>
      <c r="QK51" s="47"/>
      <c r="QL51" s="47"/>
      <c r="QM51" s="47"/>
      <c r="QN51" s="47"/>
      <c r="QO51" s="47"/>
      <c r="QP51" s="47"/>
      <c r="QQ51" s="47"/>
      <c r="QR51" s="47"/>
      <c r="QS51" s="47"/>
      <c r="QT51" s="47"/>
      <c r="QU51" s="47"/>
      <c r="QV51" s="47"/>
      <c r="QW51" s="47"/>
      <c r="QX51" s="47"/>
      <c r="QY51" s="47"/>
      <c r="QZ51" s="47"/>
      <c r="RA51" s="47"/>
      <c r="RB51" s="47"/>
      <c r="RC51" s="47"/>
      <c r="RD51" s="47"/>
      <c r="RE51" s="47"/>
      <c r="RF51" s="47"/>
      <c r="RG51" s="47"/>
      <c r="RH51" s="47"/>
      <c r="RI51" s="47"/>
      <c r="RJ51" s="47"/>
      <c r="RK51" s="47"/>
      <c r="RL51" s="47"/>
      <c r="RM51" s="47"/>
      <c r="RN51" s="47"/>
      <c r="RO51" s="47"/>
      <c r="RP51" s="47"/>
      <c r="RQ51" s="47"/>
      <c r="RR51" s="47"/>
      <c r="RS51" s="47"/>
      <c r="RT51" s="47"/>
      <c r="RU51" s="47"/>
      <c r="RV51" s="47"/>
      <c r="RW51" s="47"/>
      <c r="RX51" s="47"/>
      <c r="RY51" s="47"/>
      <c r="RZ51" s="47"/>
      <c r="SA51" s="47"/>
      <c r="SB51" s="47"/>
      <c r="SC51" s="47"/>
      <c r="SD51" s="47"/>
      <c r="SE51" s="47"/>
      <c r="SF51" s="47"/>
      <c r="SG51" s="47"/>
      <c r="SH51" s="47"/>
      <c r="SI51" s="47"/>
      <c r="SJ51" s="47"/>
      <c r="SK51" s="47"/>
      <c r="SL51" s="47"/>
      <c r="SM51" s="47"/>
      <c r="SN51" s="47"/>
      <c r="SO51" s="47"/>
      <c r="SP51" s="47"/>
      <c r="SQ51" s="47"/>
      <c r="SR51" s="47"/>
      <c r="SS51" s="47"/>
      <c r="ST51" s="47"/>
      <c r="SU51" s="47"/>
      <c r="SV51" s="47"/>
      <c r="SW51" s="47"/>
      <c r="SX51" s="47"/>
      <c r="SY51" s="47"/>
      <c r="SZ51" s="47"/>
      <c r="TA51" s="47"/>
      <c r="TB51" s="47"/>
      <c r="TC51" s="47"/>
      <c r="TD51" s="47"/>
      <c r="TE51" s="47"/>
      <c r="TF51" s="47"/>
      <c r="TG51" s="47"/>
      <c r="TH51" s="47"/>
      <c r="TI51" s="47"/>
      <c r="TJ51" s="47"/>
      <c r="TK51" s="47"/>
      <c r="TL51" s="47"/>
      <c r="TM51" s="47"/>
      <c r="TN51" s="47"/>
      <c r="TO51" s="47"/>
      <c r="TP51" s="47"/>
      <c r="TQ51" s="47"/>
      <c r="TR51" s="47"/>
      <c r="TS51" s="47"/>
      <c r="TT51" s="47"/>
      <c r="TU51" s="47"/>
      <c r="TV51" s="47"/>
      <c r="TW51" s="47"/>
      <c r="TX51" s="47"/>
      <c r="TY51" s="47"/>
      <c r="TZ51" s="47"/>
      <c r="UA51" s="47"/>
      <c r="UB51" s="47"/>
      <c r="UC51" s="47"/>
      <c r="UD51" s="47"/>
      <c r="UE51" s="47"/>
      <c r="UF51" s="47"/>
      <c r="UG51" s="47"/>
      <c r="UH51" s="47"/>
      <c r="UI51" s="47"/>
      <c r="UJ51" s="47"/>
      <c r="UK51" s="47"/>
      <c r="UL51" s="47"/>
      <c r="UM51" s="47"/>
      <c r="UN51" s="47"/>
      <c r="UO51" s="47"/>
      <c r="UP51" s="47"/>
      <c r="UQ51" s="47"/>
      <c r="UR51" s="47"/>
      <c r="US51" s="47"/>
      <c r="UT51" s="47"/>
      <c r="UU51" s="47"/>
      <c r="UV51" s="47"/>
      <c r="UW51" s="47"/>
      <c r="UX51" s="47"/>
      <c r="UY51" s="47"/>
      <c r="UZ51" s="47"/>
      <c r="VA51" s="47"/>
      <c r="VB51" s="47"/>
      <c r="VC51" s="47"/>
      <c r="VD51" s="47"/>
      <c r="VE51" s="47"/>
      <c r="VF51" s="47"/>
      <c r="VG51" s="47"/>
      <c r="VH51" s="47"/>
      <c r="VI51" s="47"/>
      <c r="VJ51" s="47"/>
      <c r="VK51" s="47"/>
      <c r="VL51" s="47"/>
      <c r="VM51" s="47"/>
      <c r="VN51" s="47"/>
      <c r="VO51" s="47"/>
      <c r="VP51" s="47"/>
      <c r="VQ51" s="47"/>
      <c r="VR51" s="47"/>
      <c r="VS51" s="47"/>
      <c r="VT51" s="47"/>
      <c r="VU51" s="47"/>
      <c r="VV51" s="47"/>
      <c r="VW51" s="47"/>
      <c r="VX51" s="47"/>
      <c r="VY51" s="47"/>
      <c r="VZ51" s="47"/>
      <c r="WA51" s="47"/>
      <c r="WB51" s="47"/>
      <c r="WC51" s="47"/>
      <c r="WD51" s="47"/>
      <c r="WE51" s="47"/>
      <c r="WF51" s="47"/>
      <c r="WG51" s="47"/>
      <c r="WH51" s="47"/>
      <c r="WI51" s="47"/>
      <c r="WJ51" s="47"/>
      <c r="WK51" s="47"/>
      <c r="WL51" s="47"/>
      <c r="WM51" s="47"/>
      <c r="WN51" s="47"/>
      <c r="WO51" s="47"/>
      <c r="WP51" s="47"/>
      <c r="WQ51" s="47"/>
      <c r="WR51" s="47"/>
      <c r="WS51" s="47"/>
      <c r="WT51" s="47"/>
      <c r="WU51" s="47"/>
      <c r="WV51" s="47"/>
      <c r="WW51" s="47"/>
      <c r="WX51" s="47"/>
      <c r="WY51" s="47"/>
      <c r="WZ51" s="47"/>
      <c r="XA51" s="47"/>
      <c r="XB51" s="47"/>
      <c r="XC51" s="47"/>
      <c r="XD51" s="47"/>
      <c r="XE51" s="47"/>
      <c r="XF51" s="47"/>
      <c r="XG51" s="47"/>
      <c r="XH51" s="47"/>
      <c r="XI51" s="47"/>
      <c r="XJ51" s="47"/>
      <c r="XK51" s="47"/>
      <c r="XL51" s="47"/>
      <c r="XM51" s="47"/>
      <c r="XN51" s="47"/>
      <c r="XO51" s="47"/>
      <c r="XP51" s="47"/>
      <c r="XQ51" s="47"/>
      <c r="XR51" s="47"/>
      <c r="XS51" s="47"/>
      <c r="XT51" s="47"/>
      <c r="XU51" s="47"/>
      <c r="XV51" s="47"/>
      <c r="XW51" s="47"/>
      <c r="XX51" s="47"/>
      <c r="XY51" s="47"/>
      <c r="XZ51" s="47"/>
      <c r="YA51" s="44"/>
      <c r="YB51" s="44"/>
      <c r="YC51" s="44"/>
      <c r="YD51" s="44"/>
      <c r="YE51" s="44"/>
      <c r="YF51" s="47"/>
      <c r="YG51" s="47"/>
      <c r="YH51" s="47"/>
      <c r="YI51" s="47"/>
      <c r="YJ51" s="47"/>
      <c r="YK51" s="47"/>
      <c r="YL51" s="47"/>
      <c r="YM51" s="47"/>
      <c r="YN51" s="47"/>
      <c r="YO51" s="47"/>
      <c r="YP51" s="47"/>
      <c r="YQ51" s="47"/>
      <c r="YR51" s="47"/>
      <c r="YS51" s="47"/>
      <c r="YT51" s="47"/>
      <c r="YU51" s="47"/>
      <c r="YV51" s="47"/>
      <c r="YW51" s="47"/>
      <c r="YX51" s="47"/>
      <c r="YY51" s="47"/>
      <c r="YZ51" s="47"/>
      <c r="ZA51" s="47"/>
      <c r="ZB51" s="47"/>
      <c r="ZC51" s="47"/>
      <c r="ZD51" s="47"/>
      <c r="ZE51" s="47"/>
      <c r="ZF51" s="47"/>
      <c r="ZG51" s="47"/>
      <c r="ZH51" s="47"/>
      <c r="ZI51" s="47"/>
      <c r="ZJ51" s="47"/>
      <c r="ZK51" s="47"/>
      <c r="ZL51" s="47"/>
      <c r="ZM51" s="47"/>
      <c r="ZN51" s="47"/>
      <c r="ZO51" s="47"/>
      <c r="ZP51" s="47"/>
      <c r="ZQ51" s="47"/>
      <c r="ZR51" s="47"/>
      <c r="ZS51" s="47"/>
      <c r="ZT51" s="47"/>
      <c r="ZU51" s="47"/>
      <c r="ZV51" s="47"/>
      <c r="ZW51" s="44"/>
      <c r="ZX51" s="44"/>
      <c r="ZY51" s="44"/>
      <c r="ZZ51" s="44"/>
      <c r="AAA51" s="44"/>
      <c r="AAB51" s="44"/>
      <c r="AAC51" s="44"/>
      <c r="AAD51" s="44"/>
      <c r="AAE51" s="44"/>
      <c r="AAF51" s="44"/>
      <c r="AAG51" s="47"/>
      <c r="AAH51" s="47"/>
      <c r="AAI51" s="47"/>
      <c r="AAJ51" s="47"/>
      <c r="AAK51" s="47"/>
      <c r="AAL51" s="47"/>
      <c r="AAM51" s="47"/>
      <c r="AAN51" s="47"/>
      <c r="AAO51" s="47"/>
      <c r="AAP51" s="47"/>
      <c r="AAQ51" s="47"/>
      <c r="AAR51" s="47"/>
      <c r="AAS51" s="47"/>
      <c r="AAT51" s="47"/>
      <c r="AAU51" s="47"/>
      <c r="AAV51" s="47"/>
      <c r="AAW51" s="47"/>
      <c r="AAX51" s="47"/>
      <c r="AAY51" s="47"/>
      <c r="AAZ51" s="47"/>
      <c r="ABA51" s="47"/>
      <c r="ABB51" s="47"/>
      <c r="ABC51" s="47"/>
      <c r="ABD51" s="47"/>
      <c r="ABE51" s="47"/>
      <c r="ABF51" s="47"/>
      <c r="ABG51" s="47"/>
      <c r="ABH51" s="47"/>
      <c r="ABI51" s="47"/>
      <c r="ABJ51" s="47"/>
      <c r="ABK51" s="47"/>
      <c r="ABL51" s="47"/>
      <c r="ABM51" s="47"/>
      <c r="ABN51" s="47"/>
      <c r="ABO51" s="47"/>
      <c r="ABP51" s="47"/>
      <c r="ABQ51" s="47"/>
      <c r="ABR51" s="47"/>
      <c r="ABS51" s="47"/>
      <c r="ABT51" s="47"/>
      <c r="ABU51" s="47"/>
      <c r="ABV51" s="47"/>
      <c r="ABW51" s="47"/>
      <c r="ABX51" s="47"/>
      <c r="ABY51" s="47"/>
      <c r="ABZ51" s="47"/>
      <c r="ACA51" s="47"/>
      <c r="ACB51" s="47"/>
      <c r="ACC51" s="47"/>
      <c r="ACD51" s="47"/>
      <c r="ACE51" s="47"/>
      <c r="ACF51" s="47"/>
      <c r="ACG51" s="47"/>
      <c r="ACH51" s="48"/>
    </row>
    <row r="52" spans="1:762" x14ac:dyDescent="0.25">
      <c r="A52" s="42" t="s">
        <v>99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43"/>
      <c r="BN52" s="43"/>
      <c r="BO52" s="43"/>
      <c r="BP52" s="43"/>
      <c r="BQ52" s="43"/>
      <c r="BR52" s="43"/>
      <c r="BS52" s="43"/>
      <c r="BT52" s="43"/>
      <c r="BU52" s="43"/>
      <c r="BV52" s="43"/>
      <c r="BW52" s="43"/>
      <c r="BX52" s="43"/>
      <c r="BY52" s="43"/>
      <c r="BZ52" s="43"/>
      <c r="CA52" s="43"/>
      <c r="CB52" s="43"/>
      <c r="CC52" s="43"/>
      <c r="CD52" s="43"/>
      <c r="CE52" s="43"/>
      <c r="CF52" s="43"/>
      <c r="CG52" s="43"/>
      <c r="CH52" s="43"/>
      <c r="CI52" s="43"/>
      <c r="CJ52" s="43"/>
      <c r="CK52" s="43"/>
      <c r="CL52" s="43"/>
      <c r="CM52" s="43"/>
      <c r="CN52" s="43"/>
      <c r="CO52" s="43"/>
      <c r="CP52" s="43"/>
      <c r="CQ52" s="43"/>
      <c r="CR52" s="43"/>
      <c r="CS52" s="43"/>
      <c r="CT52" s="43"/>
      <c r="CU52" s="43"/>
      <c r="CV52" s="43"/>
      <c r="CW52" s="43"/>
      <c r="CX52" s="43"/>
      <c r="CY52" s="43"/>
      <c r="CZ52" s="43"/>
      <c r="DA52" s="43"/>
      <c r="DB52" s="43"/>
      <c r="DC52" s="43"/>
      <c r="DD52" s="43"/>
      <c r="DE52" s="43"/>
      <c r="DF52" s="43"/>
      <c r="DG52" s="43"/>
      <c r="DH52" s="43"/>
      <c r="DI52" s="43"/>
      <c r="DJ52" s="43"/>
      <c r="DK52" s="43"/>
      <c r="DL52" s="43"/>
      <c r="DM52" s="43"/>
      <c r="DN52" s="43"/>
      <c r="DO52" s="43"/>
      <c r="DP52" s="43"/>
      <c r="DQ52" s="43"/>
      <c r="DR52" s="43"/>
      <c r="DS52" s="43"/>
      <c r="DT52" s="43"/>
      <c r="DU52" s="43"/>
      <c r="DV52" s="43"/>
      <c r="DW52" s="43"/>
      <c r="DX52" s="43"/>
      <c r="DY52" s="43"/>
      <c r="DZ52" s="43"/>
      <c r="EA52" s="43"/>
      <c r="EB52" s="43"/>
      <c r="EC52" s="43"/>
      <c r="ED52" s="43"/>
      <c r="EE52" s="43"/>
      <c r="EF52" s="43"/>
      <c r="EG52" s="43"/>
      <c r="EH52" s="43"/>
      <c r="EI52" s="43"/>
      <c r="EJ52" s="43"/>
      <c r="EK52" s="43"/>
      <c r="EL52" s="43"/>
      <c r="EM52" s="43"/>
      <c r="EN52" s="43"/>
      <c r="EO52" s="43"/>
      <c r="EP52" s="43"/>
      <c r="EQ52" s="43"/>
      <c r="ER52" s="43"/>
      <c r="ES52" s="43"/>
      <c r="ET52" s="43"/>
      <c r="EU52" s="43"/>
      <c r="EV52" s="43"/>
      <c r="EW52" s="43"/>
      <c r="EX52" s="43"/>
      <c r="EY52" s="43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  <c r="IT52" s="43"/>
      <c r="IU52" s="43"/>
      <c r="IV52" s="43"/>
      <c r="IW52" s="43"/>
      <c r="IX52" s="43"/>
      <c r="IY52" s="43"/>
      <c r="IZ52" s="43"/>
      <c r="JA52" s="43"/>
      <c r="JB52" s="43"/>
      <c r="JC52" s="43"/>
      <c r="JD52" s="43"/>
      <c r="JE52" s="43"/>
      <c r="JF52" s="43"/>
      <c r="JG52" s="43"/>
      <c r="JH52" s="43"/>
      <c r="JI52" s="43"/>
      <c r="JJ52" s="43"/>
      <c r="JK52" s="43"/>
      <c r="JL52" s="43"/>
      <c r="JM52" s="43"/>
      <c r="JN52" s="43"/>
      <c r="JO52" s="43"/>
      <c r="JP52" s="43"/>
      <c r="JQ52" s="43"/>
      <c r="JR52" s="43"/>
      <c r="JS52" s="43"/>
      <c r="JT52" s="43"/>
      <c r="JU52" s="43"/>
      <c r="JV52" s="43"/>
      <c r="JW52" s="43"/>
      <c r="JX52" s="43"/>
      <c r="JY52" s="43"/>
      <c r="JZ52" s="43"/>
      <c r="KA52" s="43"/>
      <c r="KB52" s="43"/>
      <c r="KC52" s="43"/>
      <c r="KD52" s="43"/>
      <c r="KE52" s="43"/>
      <c r="KF52" s="43"/>
      <c r="KG52" s="43"/>
      <c r="KH52" s="43"/>
      <c r="KI52" s="43"/>
      <c r="KJ52" s="43"/>
      <c r="KK52" s="43"/>
      <c r="KL52" s="43"/>
      <c r="KM52" s="43"/>
      <c r="KN52" s="43"/>
      <c r="KO52" s="43"/>
      <c r="KP52" s="43"/>
      <c r="KQ52" s="43"/>
      <c r="KR52" s="43"/>
      <c r="KS52" s="43"/>
      <c r="KT52" s="43"/>
      <c r="KU52" s="43"/>
      <c r="KV52" s="43"/>
      <c r="KW52" s="43"/>
      <c r="KX52" s="43"/>
      <c r="KY52" s="43"/>
      <c r="KZ52" s="43"/>
      <c r="LA52" s="43"/>
      <c r="LB52" s="43"/>
      <c r="LC52" s="43"/>
      <c r="LD52" s="43"/>
      <c r="LE52" s="43"/>
      <c r="LF52" s="43"/>
      <c r="LG52" s="43"/>
      <c r="LH52" s="43"/>
      <c r="LI52" s="43"/>
      <c r="LJ52" s="43"/>
      <c r="LK52" s="43"/>
      <c r="LL52" s="43"/>
      <c r="LM52" s="43"/>
      <c r="LN52" s="43"/>
      <c r="LO52" s="43"/>
      <c r="LP52" s="43"/>
      <c r="LQ52" s="43"/>
      <c r="LR52" s="43"/>
      <c r="LS52" s="43"/>
      <c r="LT52" s="43"/>
      <c r="LU52" s="43"/>
      <c r="LV52" s="43"/>
      <c r="LW52" s="43"/>
      <c r="LX52" s="43"/>
      <c r="LY52" s="43"/>
      <c r="LZ52" s="43"/>
      <c r="MA52" s="43"/>
      <c r="MB52" s="43"/>
      <c r="MC52" s="43"/>
      <c r="MD52" s="43"/>
      <c r="ME52" s="43"/>
      <c r="MF52" s="43"/>
      <c r="MG52" s="43"/>
      <c r="MH52" s="43"/>
      <c r="MI52" s="43"/>
      <c r="MJ52" s="43"/>
      <c r="MK52" s="43"/>
      <c r="ML52" s="43"/>
      <c r="MM52" s="43"/>
      <c r="MN52" s="43"/>
      <c r="MO52" s="43"/>
      <c r="MP52" s="43"/>
      <c r="MQ52" s="43"/>
      <c r="MR52" s="43"/>
      <c r="MS52" s="43"/>
      <c r="MT52" s="43"/>
      <c r="MU52" s="43"/>
      <c r="MV52" s="43"/>
      <c r="MW52" s="43"/>
      <c r="MX52" s="43"/>
      <c r="MY52" s="43"/>
      <c r="MZ52" s="43"/>
      <c r="NA52" s="43"/>
      <c r="NB52" s="43"/>
      <c r="NC52" s="43"/>
      <c r="ND52" s="43"/>
      <c r="NE52" s="43"/>
      <c r="NF52" s="43"/>
      <c r="NG52" s="43"/>
      <c r="NH52" s="43"/>
      <c r="NI52" s="43"/>
      <c r="NJ52" s="44"/>
      <c r="NK52" s="44"/>
      <c r="NL52" s="44"/>
      <c r="NM52" s="44"/>
      <c r="NN52" s="44"/>
      <c r="NO52" s="43"/>
      <c r="NP52" s="43"/>
      <c r="NQ52" s="43"/>
      <c r="NR52" s="43"/>
      <c r="NS52" s="43"/>
      <c r="NT52" s="43"/>
      <c r="NU52" s="43"/>
      <c r="NV52" s="43"/>
      <c r="NW52" s="43"/>
      <c r="NX52" s="43"/>
      <c r="NY52" s="43"/>
      <c r="NZ52" s="43"/>
      <c r="OA52" s="43"/>
      <c r="OB52" s="43"/>
      <c r="OC52" s="43"/>
      <c r="OD52" s="43"/>
      <c r="OE52" s="43"/>
      <c r="OF52" s="43"/>
      <c r="OG52" s="43"/>
      <c r="OH52" s="43"/>
      <c r="OI52" s="43"/>
      <c r="OJ52" s="43"/>
      <c r="OK52" s="43"/>
      <c r="OL52" s="43"/>
      <c r="OM52" s="43"/>
      <c r="ON52" s="43"/>
      <c r="OO52" s="43"/>
      <c r="OP52" s="43"/>
      <c r="OQ52" s="43"/>
      <c r="OR52" s="43"/>
      <c r="OS52" s="43"/>
      <c r="OT52" s="43"/>
      <c r="OU52" s="43"/>
      <c r="OV52" s="43"/>
      <c r="OW52" s="43"/>
      <c r="OX52" s="43"/>
      <c r="OY52" s="43"/>
      <c r="OZ52" s="43"/>
      <c r="PA52" s="43"/>
      <c r="PB52" s="43"/>
      <c r="PC52" s="43"/>
      <c r="PD52" s="43"/>
      <c r="PE52" s="43"/>
      <c r="PF52" s="43"/>
      <c r="PG52" s="43"/>
      <c r="PH52" s="43"/>
      <c r="PI52" s="43"/>
      <c r="PJ52" s="43"/>
      <c r="PK52" s="43"/>
      <c r="PL52" s="43"/>
      <c r="PM52" s="43"/>
      <c r="PN52" s="43"/>
      <c r="PO52" s="43"/>
      <c r="PP52" s="43"/>
      <c r="PQ52" s="43"/>
      <c r="PR52" s="43"/>
      <c r="PS52" s="43"/>
      <c r="PT52" s="43"/>
      <c r="PU52" s="43"/>
      <c r="PV52" s="43"/>
      <c r="PW52" s="43"/>
      <c r="PX52" s="43"/>
      <c r="PY52" s="43"/>
      <c r="PZ52" s="43"/>
      <c r="QA52" s="43"/>
      <c r="QB52" s="43"/>
      <c r="QC52" s="43"/>
      <c r="QD52" s="43"/>
      <c r="QE52" s="43"/>
      <c r="QF52" s="43"/>
      <c r="QG52" s="43"/>
      <c r="QH52" s="43"/>
      <c r="QI52" s="43"/>
      <c r="QJ52" s="43"/>
      <c r="QK52" s="43"/>
      <c r="QL52" s="43"/>
      <c r="QM52" s="43"/>
      <c r="QN52" s="43"/>
      <c r="QO52" s="43"/>
      <c r="QP52" s="43"/>
      <c r="QQ52" s="43"/>
      <c r="QR52" s="43"/>
      <c r="QS52" s="43"/>
      <c r="QT52" s="43"/>
      <c r="QU52" s="43"/>
      <c r="QV52" s="43"/>
      <c r="QW52" s="43"/>
      <c r="QX52" s="43"/>
      <c r="QY52" s="43"/>
      <c r="QZ52" s="43"/>
      <c r="RA52" s="43"/>
      <c r="RB52" s="43"/>
      <c r="RC52" s="43"/>
      <c r="RD52" s="43"/>
      <c r="RE52" s="43"/>
      <c r="RF52" s="43"/>
      <c r="RG52" s="43"/>
      <c r="RH52" s="43"/>
      <c r="RI52" s="43"/>
      <c r="RJ52" s="43"/>
      <c r="RK52" s="43"/>
      <c r="RL52" s="43"/>
      <c r="RM52" s="43"/>
      <c r="RN52" s="43"/>
      <c r="RO52" s="43"/>
      <c r="RP52" s="43"/>
      <c r="RQ52" s="43"/>
      <c r="RR52" s="43"/>
      <c r="RS52" s="43"/>
      <c r="RT52" s="43"/>
      <c r="RU52" s="43"/>
      <c r="RV52" s="43"/>
      <c r="RW52" s="43"/>
      <c r="RX52" s="43"/>
      <c r="RY52" s="43"/>
      <c r="RZ52" s="43"/>
      <c r="SA52" s="43"/>
      <c r="SB52" s="43"/>
      <c r="SC52" s="43"/>
      <c r="SD52" s="43"/>
      <c r="SE52" s="43"/>
      <c r="SF52" s="43"/>
      <c r="SG52" s="43"/>
      <c r="SH52" s="43"/>
      <c r="SI52" s="43"/>
      <c r="SJ52" s="43"/>
      <c r="SK52" s="43"/>
      <c r="SL52" s="43"/>
      <c r="SM52" s="43"/>
      <c r="SN52" s="43"/>
      <c r="SO52" s="43"/>
      <c r="SP52" s="43"/>
      <c r="SQ52" s="43"/>
      <c r="SR52" s="43"/>
      <c r="SS52" s="43"/>
      <c r="ST52" s="43"/>
      <c r="SU52" s="43"/>
      <c r="SV52" s="43"/>
      <c r="SW52" s="43"/>
      <c r="SX52" s="43"/>
      <c r="SY52" s="43"/>
      <c r="SZ52" s="43"/>
      <c r="TA52" s="43"/>
      <c r="TB52" s="43"/>
      <c r="TC52" s="43"/>
      <c r="TD52" s="43"/>
      <c r="TE52" s="43"/>
      <c r="TF52" s="43"/>
      <c r="TG52" s="43"/>
      <c r="TH52" s="43"/>
      <c r="TI52" s="43"/>
      <c r="TJ52" s="43"/>
      <c r="TK52" s="43"/>
      <c r="TL52" s="43"/>
      <c r="TM52" s="43"/>
      <c r="TN52" s="43"/>
      <c r="TO52" s="43"/>
      <c r="TP52" s="43"/>
      <c r="TQ52" s="43"/>
      <c r="TR52" s="43"/>
      <c r="TS52" s="43"/>
      <c r="TT52" s="43"/>
      <c r="TU52" s="43"/>
      <c r="TV52" s="43"/>
      <c r="TW52" s="43"/>
      <c r="TX52" s="43" t="s">
        <v>1868</v>
      </c>
      <c r="TY52" s="43">
        <v>440</v>
      </c>
      <c r="TZ52" s="43"/>
      <c r="UA52" s="43"/>
      <c r="UB52" s="43"/>
      <c r="UC52" s="43"/>
      <c r="UD52" s="43"/>
      <c r="UE52" s="43"/>
      <c r="UF52" s="43"/>
      <c r="UG52" s="43"/>
      <c r="UH52" s="43"/>
      <c r="UI52" s="43"/>
      <c r="UJ52" s="43"/>
      <c r="UK52" s="43"/>
      <c r="UL52" s="43"/>
      <c r="UM52" s="43"/>
      <c r="UN52" s="43"/>
      <c r="UO52" s="43"/>
      <c r="UP52" s="43"/>
      <c r="UQ52" s="43"/>
      <c r="UR52" s="43"/>
      <c r="US52" s="43"/>
      <c r="UT52" s="43"/>
      <c r="UU52" s="43"/>
      <c r="UV52" s="43"/>
      <c r="UW52" s="43"/>
      <c r="UX52" s="43"/>
      <c r="UY52" s="43"/>
      <c r="UZ52" s="43"/>
      <c r="VA52" s="43"/>
      <c r="VB52" s="43"/>
      <c r="VC52" s="43"/>
      <c r="VD52" s="43"/>
      <c r="VE52" s="43"/>
      <c r="VF52" s="43"/>
      <c r="VG52" s="43"/>
      <c r="VH52" s="43"/>
      <c r="VI52" s="43"/>
      <c r="VJ52" s="43"/>
      <c r="VK52" s="43"/>
      <c r="VL52" s="43"/>
      <c r="VM52" s="43"/>
      <c r="VN52" s="43"/>
      <c r="VO52" s="43"/>
      <c r="VP52" s="43"/>
      <c r="VQ52" s="43"/>
      <c r="VR52" s="43"/>
      <c r="VS52" s="43"/>
      <c r="VT52" s="43"/>
      <c r="VU52" s="43"/>
      <c r="VV52" s="43"/>
      <c r="VW52" s="43"/>
      <c r="VX52" s="43"/>
      <c r="VY52" s="43"/>
      <c r="VZ52" s="43"/>
      <c r="WA52" s="43"/>
      <c r="WB52" s="43"/>
      <c r="WC52" s="43"/>
      <c r="WD52" s="43"/>
      <c r="WE52" s="43"/>
      <c r="WF52" s="43"/>
      <c r="WG52" s="43"/>
      <c r="WH52" s="43"/>
      <c r="WI52" s="43"/>
      <c r="WJ52" s="43"/>
      <c r="WK52" s="43"/>
      <c r="WL52" s="43"/>
      <c r="WM52" s="43"/>
      <c r="WN52" s="43"/>
      <c r="WO52" s="43"/>
      <c r="WP52" s="43"/>
      <c r="WQ52" s="43"/>
      <c r="WR52" s="43"/>
      <c r="WS52" s="43"/>
      <c r="WT52" s="43"/>
      <c r="WU52" s="43"/>
      <c r="WV52" s="43"/>
      <c r="WW52" s="43"/>
      <c r="WX52" s="43"/>
      <c r="WY52" s="43"/>
      <c r="WZ52" s="43"/>
      <c r="XA52" s="43"/>
      <c r="XB52" s="43"/>
      <c r="XC52" s="43"/>
      <c r="XD52" s="43"/>
      <c r="XE52" s="43"/>
      <c r="XF52" s="43"/>
      <c r="XG52" s="43"/>
      <c r="XH52" s="43"/>
      <c r="XI52" s="43"/>
      <c r="XJ52" s="43"/>
      <c r="XK52" s="43"/>
      <c r="XL52" s="43"/>
      <c r="XM52" s="43"/>
      <c r="XN52" s="43"/>
      <c r="XO52" s="43"/>
      <c r="XP52" s="43"/>
      <c r="XQ52" s="43"/>
      <c r="XR52" s="43"/>
      <c r="XS52" s="43"/>
      <c r="XT52" s="43"/>
      <c r="XU52" s="43"/>
      <c r="XV52" s="43"/>
      <c r="XW52" s="43"/>
      <c r="XX52" s="43"/>
      <c r="XY52" s="43"/>
      <c r="XZ52" s="43"/>
      <c r="YA52" s="44"/>
      <c r="YB52" s="44"/>
      <c r="YC52" s="44"/>
      <c r="YD52" s="44"/>
      <c r="YE52" s="44"/>
      <c r="YF52" s="43"/>
      <c r="YG52" s="43"/>
      <c r="YH52" s="43"/>
      <c r="YI52" s="43"/>
      <c r="YJ52" s="43"/>
      <c r="YK52" s="43"/>
      <c r="YL52" s="43"/>
      <c r="YM52" s="43"/>
      <c r="YN52" s="43"/>
      <c r="YO52" s="43"/>
      <c r="YP52" s="43"/>
      <c r="YQ52" s="43"/>
      <c r="YR52" s="43"/>
      <c r="YS52" s="43"/>
      <c r="YT52" s="43"/>
      <c r="YU52" s="43"/>
      <c r="YV52" s="43"/>
      <c r="YW52" s="43"/>
      <c r="YX52" s="43"/>
      <c r="YY52" s="43"/>
      <c r="YZ52" s="43"/>
      <c r="ZA52" s="43"/>
      <c r="ZB52" s="43"/>
      <c r="ZC52" s="43"/>
      <c r="ZD52" s="43"/>
      <c r="ZE52" s="43"/>
      <c r="ZF52" s="43"/>
      <c r="ZG52" s="43"/>
      <c r="ZH52" s="43"/>
      <c r="ZI52" s="43"/>
      <c r="ZJ52" s="43"/>
      <c r="ZK52" s="43"/>
      <c r="ZL52" s="43"/>
      <c r="ZM52" s="43"/>
      <c r="ZN52" s="43"/>
      <c r="ZO52" s="43"/>
      <c r="ZP52" s="43"/>
      <c r="ZQ52" s="43"/>
      <c r="ZR52" s="43"/>
      <c r="ZS52" s="43"/>
      <c r="ZT52" s="43"/>
      <c r="ZU52" s="43"/>
      <c r="ZV52" s="43"/>
      <c r="ZW52" s="44"/>
      <c r="ZX52" s="44"/>
      <c r="ZY52" s="44"/>
      <c r="ZZ52" s="44"/>
      <c r="AAA52" s="44"/>
      <c r="AAB52" s="44"/>
      <c r="AAC52" s="44"/>
      <c r="AAD52" s="44"/>
      <c r="AAE52" s="44"/>
      <c r="AAF52" s="44"/>
      <c r="AAG52" s="43"/>
      <c r="AAH52" s="43"/>
      <c r="AAI52" s="43"/>
      <c r="AAJ52" s="43"/>
      <c r="AAK52" s="43"/>
      <c r="AAL52" s="43"/>
      <c r="AAM52" s="43"/>
      <c r="AAN52" s="43"/>
      <c r="AAO52" s="43"/>
      <c r="AAP52" s="43"/>
      <c r="AAQ52" s="43"/>
      <c r="AAR52" s="43"/>
      <c r="AAS52" s="43"/>
      <c r="AAT52" s="43"/>
      <c r="AAU52" s="43"/>
      <c r="AAV52" s="43"/>
      <c r="AAW52" s="43"/>
      <c r="AAX52" s="43"/>
      <c r="AAY52" s="43"/>
      <c r="AAZ52" s="43"/>
      <c r="ABA52" s="43"/>
      <c r="ABB52" s="43"/>
      <c r="ABC52" s="43"/>
      <c r="ABD52" s="43"/>
      <c r="ABE52" s="43"/>
      <c r="ABF52" s="43"/>
      <c r="ABG52" s="43"/>
      <c r="ABH52" s="43"/>
      <c r="ABI52" s="43"/>
      <c r="ABJ52" s="43"/>
      <c r="ABK52" s="43"/>
      <c r="ABL52" s="43"/>
      <c r="ABM52" s="43"/>
      <c r="ABN52" s="43"/>
      <c r="ABO52" s="43"/>
      <c r="ABP52" s="43"/>
      <c r="ABQ52" s="43"/>
      <c r="ABR52" s="43"/>
      <c r="ABS52" s="43"/>
      <c r="ABT52" s="43"/>
      <c r="ABU52" s="43"/>
      <c r="ABV52" s="43"/>
      <c r="ABW52" s="43"/>
      <c r="ABX52" s="43"/>
      <c r="ABY52" s="43"/>
      <c r="ABZ52" s="43"/>
      <c r="ACA52" s="43"/>
      <c r="ACB52" s="43"/>
      <c r="ACC52" s="43"/>
      <c r="ACD52" s="43"/>
      <c r="ACE52" s="43"/>
      <c r="ACF52" s="43"/>
      <c r="ACG52" s="43"/>
      <c r="ACH52" s="45"/>
    </row>
    <row r="53" spans="1:762" x14ac:dyDescent="0.25">
      <c r="A53" s="46" t="s">
        <v>100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  <c r="BW53" s="47"/>
      <c r="BX53" s="47"/>
      <c r="BY53" s="47"/>
      <c r="BZ53" s="47"/>
      <c r="CA53" s="47"/>
      <c r="CB53" s="47"/>
      <c r="CC53" s="47"/>
      <c r="CD53" s="47"/>
      <c r="CE53" s="47"/>
      <c r="CF53" s="47"/>
      <c r="CG53" s="47"/>
      <c r="CH53" s="47"/>
      <c r="CI53" s="47"/>
      <c r="CJ53" s="47"/>
      <c r="CK53" s="47"/>
      <c r="CL53" s="47"/>
      <c r="CM53" s="47"/>
      <c r="CN53" s="47"/>
      <c r="CO53" s="47"/>
      <c r="CP53" s="47"/>
      <c r="CQ53" s="47"/>
      <c r="CR53" s="47"/>
      <c r="CS53" s="47"/>
      <c r="CT53" s="47"/>
      <c r="CU53" s="47"/>
      <c r="CV53" s="47"/>
      <c r="CW53" s="47"/>
      <c r="CX53" s="47"/>
      <c r="CY53" s="47"/>
      <c r="CZ53" s="47"/>
      <c r="DA53" s="47"/>
      <c r="DB53" s="47"/>
      <c r="DC53" s="47"/>
      <c r="DD53" s="47"/>
      <c r="DE53" s="47"/>
      <c r="DF53" s="47"/>
      <c r="DG53" s="47"/>
      <c r="DH53" s="47"/>
      <c r="DI53" s="47"/>
      <c r="DJ53" s="47"/>
      <c r="DK53" s="47"/>
      <c r="DL53" s="47"/>
      <c r="DM53" s="47"/>
      <c r="DN53" s="47"/>
      <c r="DO53" s="47"/>
      <c r="DP53" s="47"/>
      <c r="DQ53" s="47"/>
      <c r="DR53" s="47"/>
      <c r="DS53" s="47"/>
      <c r="DT53" s="47"/>
      <c r="DU53" s="47"/>
      <c r="DV53" s="47"/>
      <c r="DW53" s="47"/>
      <c r="DX53" s="47"/>
      <c r="DY53" s="47"/>
      <c r="DZ53" s="47"/>
      <c r="EA53" s="47"/>
      <c r="EB53" s="47"/>
      <c r="EC53" s="47"/>
      <c r="ED53" s="47"/>
      <c r="EE53" s="47"/>
      <c r="EF53" s="47"/>
      <c r="EG53" s="47"/>
      <c r="EH53" s="47"/>
      <c r="EI53" s="47"/>
      <c r="EJ53" s="47"/>
      <c r="EK53" s="47"/>
      <c r="EL53" s="47"/>
      <c r="EM53" s="47"/>
      <c r="EN53" s="47"/>
      <c r="EO53" s="47"/>
      <c r="EP53" s="47"/>
      <c r="EQ53" s="47"/>
      <c r="ER53" s="47"/>
      <c r="ES53" s="47"/>
      <c r="ET53" s="47"/>
      <c r="EU53" s="47"/>
      <c r="EV53" s="47"/>
      <c r="EW53" s="47"/>
      <c r="EX53" s="47"/>
      <c r="EY53" s="47"/>
      <c r="EZ53" s="47"/>
      <c r="FA53" s="47"/>
      <c r="FB53" s="47"/>
      <c r="FC53" s="47"/>
      <c r="FD53" s="47"/>
      <c r="FE53" s="47"/>
      <c r="FF53" s="47"/>
      <c r="FG53" s="47"/>
      <c r="FH53" s="47"/>
      <c r="FI53" s="47"/>
      <c r="FJ53" s="47"/>
      <c r="FK53" s="47"/>
      <c r="FL53" s="47"/>
      <c r="FM53" s="47"/>
      <c r="FN53" s="47"/>
      <c r="FO53" s="47"/>
      <c r="FP53" s="47"/>
      <c r="FQ53" s="47"/>
      <c r="FR53" s="47"/>
      <c r="FS53" s="47"/>
      <c r="FT53" s="47"/>
      <c r="FU53" s="47"/>
      <c r="FV53" s="47"/>
      <c r="FW53" s="47"/>
      <c r="FX53" s="47"/>
      <c r="FY53" s="47"/>
      <c r="FZ53" s="47"/>
      <c r="GA53" s="47"/>
      <c r="GB53" s="47"/>
      <c r="GC53" s="47"/>
      <c r="GD53" s="47"/>
      <c r="GE53" s="47"/>
      <c r="GF53" s="47"/>
      <c r="GG53" s="47"/>
      <c r="GH53" s="47"/>
      <c r="GI53" s="47"/>
      <c r="GJ53" s="47"/>
      <c r="GK53" s="47"/>
      <c r="GL53" s="47"/>
      <c r="GM53" s="47"/>
      <c r="GN53" s="47"/>
      <c r="GO53" s="47"/>
      <c r="GP53" s="47"/>
      <c r="GQ53" s="47"/>
      <c r="GR53" s="47"/>
      <c r="GS53" s="47"/>
      <c r="GT53" s="47"/>
      <c r="GU53" s="47"/>
      <c r="GV53" s="47"/>
      <c r="GW53" s="47"/>
      <c r="GX53" s="47"/>
      <c r="GY53" s="47"/>
      <c r="GZ53" s="47"/>
      <c r="HA53" s="47"/>
      <c r="HB53" s="47"/>
      <c r="HC53" s="47"/>
      <c r="HD53" s="47"/>
      <c r="HE53" s="47"/>
      <c r="HF53" s="47"/>
      <c r="HG53" s="47"/>
      <c r="HH53" s="47"/>
      <c r="HI53" s="47"/>
      <c r="HJ53" s="47"/>
      <c r="HK53" s="47"/>
      <c r="HL53" s="47"/>
      <c r="HM53" s="47"/>
      <c r="HN53" s="47"/>
      <c r="HO53" s="47"/>
      <c r="HP53" s="47"/>
      <c r="HQ53" s="47"/>
      <c r="HR53" s="47"/>
      <c r="HS53" s="47"/>
      <c r="HT53" s="47"/>
      <c r="HU53" s="47"/>
      <c r="HV53" s="47"/>
      <c r="HW53" s="47"/>
      <c r="HX53" s="47"/>
      <c r="HY53" s="47"/>
      <c r="HZ53" s="47"/>
      <c r="IA53" s="47"/>
      <c r="IB53" s="47"/>
      <c r="IC53" s="47"/>
      <c r="ID53" s="47"/>
      <c r="IE53" s="47"/>
      <c r="IF53" s="47"/>
      <c r="IG53" s="47"/>
      <c r="IH53" s="47"/>
      <c r="II53" s="47"/>
      <c r="IJ53" s="47"/>
      <c r="IK53" s="47"/>
      <c r="IL53" s="47"/>
      <c r="IM53" s="47"/>
      <c r="IN53" s="47"/>
      <c r="IO53" s="47"/>
      <c r="IP53" s="47"/>
      <c r="IQ53" s="47"/>
      <c r="IR53" s="47"/>
      <c r="IS53" s="47"/>
      <c r="IT53" s="47"/>
      <c r="IU53" s="47"/>
      <c r="IV53" s="47"/>
      <c r="IW53" s="47"/>
      <c r="IX53" s="47"/>
      <c r="IY53" s="47"/>
      <c r="IZ53" s="47"/>
      <c r="JA53" s="47"/>
      <c r="JB53" s="47"/>
      <c r="JC53" s="47"/>
      <c r="JD53" s="47"/>
      <c r="JE53" s="47"/>
      <c r="JF53" s="47"/>
      <c r="JG53" s="47"/>
      <c r="JH53" s="47"/>
      <c r="JI53" s="47"/>
      <c r="JJ53" s="47"/>
      <c r="JK53" s="47"/>
      <c r="JL53" s="47"/>
      <c r="JM53" s="47"/>
      <c r="JN53" s="47"/>
      <c r="JO53" s="47"/>
      <c r="JP53" s="47"/>
      <c r="JQ53" s="47"/>
      <c r="JR53" s="47"/>
      <c r="JS53" s="47"/>
      <c r="JT53" s="47"/>
      <c r="JU53" s="47"/>
      <c r="JV53" s="47"/>
      <c r="JW53" s="47"/>
      <c r="JX53" s="47"/>
      <c r="JY53" s="47"/>
      <c r="JZ53" s="47"/>
      <c r="KA53" s="47"/>
      <c r="KB53" s="47"/>
      <c r="KC53" s="47"/>
      <c r="KD53" s="47"/>
      <c r="KE53" s="47"/>
      <c r="KF53" s="47"/>
      <c r="KG53" s="47"/>
      <c r="KH53" s="47"/>
      <c r="KI53" s="47"/>
      <c r="KJ53" s="47"/>
      <c r="KK53" s="47"/>
      <c r="KL53" s="47"/>
      <c r="KM53" s="47"/>
      <c r="KN53" s="47"/>
      <c r="KO53" s="47"/>
      <c r="KP53" s="47"/>
      <c r="KQ53" s="47"/>
      <c r="KR53" s="47"/>
      <c r="KS53" s="47"/>
      <c r="KT53" s="47"/>
      <c r="KU53" s="47"/>
      <c r="KV53" s="47"/>
      <c r="KW53" s="47"/>
      <c r="KX53" s="47"/>
      <c r="KY53" s="47"/>
      <c r="KZ53" s="47"/>
      <c r="LA53" s="47"/>
      <c r="LB53" s="47"/>
      <c r="LC53" s="47"/>
      <c r="LD53" s="47"/>
      <c r="LE53" s="47"/>
      <c r="LF53" s="47"/>
      <c r="LG53" s="47"/>
      <c r="LH53" s="47"/>
      <c r="LI53" s="47"/>
      <c r="LJ53" s="47"/>
      <c r="LK53" s="47"/>
      <c r="LL53" s="47"/>
      <c r="LM53" s="47"/>
      <c r="LN53" s="47"/>
      <c r="LO53" s="47"/>
      <c r="LP53" s="47"/>
      <c r="LQ53" s="47"/>
      <c r="LR53" s="47"/>
      <c r="LS53" s="47"/>
      <c r="LT53" s="47"/>
      <c r="LU53" s="47"/>
      <c r="LV53" s="47"/>
      <c r="LW53" s="47"/>
      <c r="LX53" s="47"/>
      <c r="LY53" s="47"/>
      <c r="LZ53" s="47"/>
      <c r="MA53" s="47"/>
      <c r="MB53" s="47"/>
      <c r="MC53" s="47"/>
      <c r="MD53" s="47"/>
      <c r="ME53" s="47"/>
      <c r="MF53" s="47"/>
      <c r="MG53" s="47"/>
      <c r="MH53" s="47"/>
      <c r="MI53" s="47"/>
      <c r="MJ53" s="47"/>
      <c r="MK53" s="47"/>
      <c r="ML53" s="47"/>
      <c r="MM53" s="47"/>
      <c r="MN53" s="47"/>
      <c r="MO53" s="47"/>
      <c r="MP53" s="47"/>
      <c r="MQ53" s="47"/>
      <c r="MR53" s="47"/>
      <c r="MS53" s="47"/>
      <c r="MT53" s="47"/>
      <c r="MU53" s="47"/>
      <c r="MV53" s="47"/>
      <c r="MW53" s="47"/>
      <c r="MX53" s="47"/>
      <c r="MY53" s="47"/>
      <c r="MZ53" s="47"/>
      <c r="NA53" s="47"/>
      <c r="NB53" s="47"/>
      <c r="NC53" s="47"/>
      <c r="ND53" s="47"/>
      <c r="NE53" s="47"/>
      <c r="NF53" s="47"/>
      <c r="NG53" s="47"/>
      <c r="NH53" s="47"/>
      <c r="NI53" s="47"/>
      <c r="NJ53" s="44"/>
      <c r="NK53" s="44"/>
      <c r="NL53" s="44"/>
      <c r="NM53" s="44"/>
      <c r="NN53" s="44"/>
      <c r="NO53" s="47"/>
      <c r="NP53" s="47"/>
      <c r="NQ53" s="47"/>
      <c r="NR53" s="47"/>
      <c r="NS53" s="47"/>
      <c r="NT53" s="47"/>
      <c r="NU53" s="47"/>
      <c r="NV53" s="47"/>
      <c r="NW53" s="47"/>
      <c r="NX53" s="47"/>
      <c r="NY53" s="47"/>
      <c r="NZ53" s="47"/>
      <c r="OA53" s="47"/>
      <c r="OB53" s="47"/>
      <c r="OC53" s="47"/>
      <c r="OD53" s="47"/>
      <c r="OE53" s="47"/>
      <c r="OF53" s="47"/>
      <c r="OG53" s="47"/>
      <c r="OH53" s="47"/>
      <c r="OI53" s="47"/>
      <c r="OJ53" s="47"/>
      <c r="OK53" s="47"/>
      <c r="OL53" s="47"/>
      <c r="OM53" s="47"/>
      <c r="ON53" s="47"/>
      <c r="OO53" s="47"/>
      <c r="OP53" s="47"/>
      <c r="OQ53" s="47"/>
      <c r="OR53" s="47"/>
      <c r="OS53" s="47"/>
      <c r="OT53" s="47"/>
      <c r="OU53" s="47"/>
      <c r="OV53" s="47"/>
      <c r="OW53" s="47"/>
      <c r="OX53" s="47"/>
      <c r="OY53" s="47"/>
      <c r="OZ53" s="47"/>
      <c r="PA53" s="47"/>
      <c r="PB53" s="47"/>
      <c r="PC53" s="47"/>
      <c r="PD53" s="47"/>
      <c r="PE53" s="47"/>
      <c r="PF53" s="47"/>
      <c r="PG53" s="47"/>
      <c r="PH53" s="47"/>
      <c r="PI53" s="47"/>
      <c r="PJ53" s="47"/>
      <c r="PK53" s="47"/>
      <c r="PL53" s="47"/>
      <c r="PM53" s="47"/>
      <c r="PN53" s="47"/>
      <c r="PO53" s="47"/>
      <c r="PP53" s="47"/>
      <c r="PQ53" s="47"/>
      <c r="PR53" s="47"/>
      <c r="PS53" s="47"/>
      <c r="PT53" s="47"/>
      <c r="PU53" s="47"/>
      <c r="PV53" s="47"/>
      <c r="PW53" s="47"/>
      <c r="PX53" s="47"/>
      <c r="PY53" s="47"/>
      <c r="PZ53" s="47"/>
      <c r="QA53" s="47"/>
      <c r="QB53" s="47"/>
      <c r="QC53" s="47"/>
      <c r="QD53" s="47"/>
      <c r="QE53" s="47"/>
      <c r="QF53" s="47"/>
      <c r="QG53" s="47"/>
      <c r="QH53" s="47"/>
      <c r="QI53" s="47"/>
      <c r="QJ53" s="47"/>
      <c r="QK53" s="47"/>
      <c r="QL53" s="47"/>
      <c r="QM53" s="47"/>
      <c r="QN53" s="47"/>
      <c r="QO53" s="47"/>
      <c r="QP53" s="47"/>
      <c r="QQ53" s="47"/>
      <c r="QR53" s="47"/>
      <c r="QS53" s="47"/>
      <c r="QT53" s="47"/>
      <c r="QU53" s="47"/>
      <c r="QV53" s="47"/>
      <c r="QW53" s="47"/>
      <c r="QX53" s="47"/>
      <c r="QY53" s="47"/>
      <c r="QZ53" s="47"/>
      <c r="RA53" s="47"/>
      <c r="RB53" s="47"/>
      <c r="RC53" s="47"/>
      <c r="RD53" s="47"/>
      <c r="RE53" s="47"/>
      <c r="RF53" s="47"/>
      <c r="RG53" s="47"/>
      <c r="RH53" s="47"/>
      <c r="RI53" s="47"/>
      <c r="RJ53" s="47"/>
      <c r="RK53" s="47"/>
      <c r="RL53" s="47"/>
      <c r="RM53" s="47"/>
      <c r="RN53" s="47"/>
      <c r="RO53" s="47"/>
      <c r="RP53" s="47"/>
      <c r="RQ53" s="47"/>
      <c r="RR53" s="47"/>
      <c r="RS53" s="47"/>
      <c r="RT53" s="47"/>
      <c r="RU53" s="47"/>
      <c r="RV53" s="47"/>
      <c r="RW53" s="47"/>
      <c r="RX53" s="47"/>
      <c r="RY53" s="47"/>
      <c r="RZ53" s="47"/>
      <c r="SA53" s="47"/>
      <c r="SB53" s="47"/>
      <c r="SC53" s="47"/>
      <c r="SD53" s="47"/>
      <c r="SE53" s="47"/>
      <c r="SF53" s="47"/>
      <c r="SG53" s="47"/>
      <c r="SH53" s="47"/>
      <c r="SI53" s="47"/>
      <c r="SJ53" s="47"/>
      <c r="SK53" s="47"/>
      <c r="SL53" s="47"/>
      <c r="SM53" s="47"/>
      <c r="SN53" s="47"/>
      <c r="SO53" s="47"/>
      <c r="SP53" s="47"/>
      <c r="SQ53" s="47"/>
      <c r="SR53" s="47"/>
      <c r="SS53" s="47"/>
      <c r="ST53" s="47"/>
      <c r="SU53" s="47"/>
      <c r="SV53" s="47"/>
      <c r="SW53" s="47"/>
      <c r="SX53" s="47"/>
      <c r="SY53" s="47"/>
      <c r="SZ53" s="47"/>
      <c r="TA53" s="47"/>
      <c r="TB53" s="47"/>
      <c r="TC53" s="47"/>
      <c r="TD53" s="47"/>
      <c r="TE53" s="47"/>
      <c r="TF53" s="47"/>
      <c r="TG53" s="47"/>
      <c r="TH53" s="47"/>
      <c r="TI53" s="47"/>
      <c r="TJ53" s="47"/>
      <c r="TK53" s="47"/>
      <c r="TL53" s="47"/>
      <c r="TM53" s="47"/>
      <c r="TN53" s="47"/>
      <c r="TO53" s="47"/>
      <c r="TP53" s="47"/>
      <c r="TQ53" s="47"/>
      <c r="TR53" s="47"/>
      <c r="TS53" s="47"/>
      <c r="TT53" s="47"/>
      <c r="TU53" s="47"/>
      <c r="TV53" s="47"/>
      <c r="TW53" s="47"/>
      <c r="TX53" s="47" t="s">
        <v>1868</v>
      </c>
      <c r="TY53" s="47">
        <v>440</v>
      </c>
      <c r="TZ53" s="47"/>
      <c r="UA53" s="47"/>
      <c r="UB53" s="47"/>
      <c r="UC53" s="47"/>
      <c r="UD53" s="47"/>
      <c r="UE53" s="47"/>
      <c r="UF53" s="47"/>
      <c r="UG53" s="47"/>
      <c r="UH53" s="47"/>
      <c r="UI53" s="47"/>
      <c r="UJ53" s="47"/>
      <c r="UK53" s="47"/>
      <c r="UL53" s="47"/>
      <c r="UM53" s="47"/>
      <c r="UN53" s="47"/>
      <c r="UO53" s="47"/>
      <c r="UP53" s="47"/>
      <c r="UQ53" s="47"/>
      <c r="UR53" s="47"/>
      <c r="US53" s="47"/>
      <c r="UT53" s="47"/>
      <c r="UU53" s="47"/>
      <c r="UV53" s="47"/>
      <c r="UW53" s="47"/>
      <c r="UX53" s="47"/>
      <c r="UY53" s="47"/>
      <c r="UZ53" s="47"/>
      <c r="VA53" s="47"/>
      <c r="VB53" s="47"/>
      <c r="VC53" s="47"/>
      <c r="VD53" s="47"/>
      <c r="VE53" s="47"/>
      <c r="VF53" s="47"/>
      <c r="VG53" s="47"/>
      <c r="VH53" s="47"/>
      <c r="VI53" s="47"/>
      <c r="VJ53" s="47"/>
      <c r="VK53" s="47"/>
      <c r="VL53" s="47"/>
      <c r="VM53" s="47"/>
      <c r="VN53" s="47"/>
      <c r="VO53" s="47"/>
      <c r="VP53" s="47"/>
      <c r="VQ53" s="47"/>
      <c r="VR53" s="47"/>
      <c r="VS53" s="47"/>
      <c r="VT53" s="47"/>
      <c r="VU53" s="47"/>
      <c r="VV53" s="47"/>
      <c r="VW53" s="47"/>
      <c r="VX53" s="47"/>
      <c r="VY53" s="47"/>
      <c r="VZ53" s="47"/>
      <c r="WA53" s="47"/>
      <c r="WB53" s="47"/>
      <c r="WC53" s="47"/>
      <c r="WD53" s="47"/>
      <c r="WE53" s="47"/>
      <c r="WF53" s="47"/>
      <c r="WG53" s="47"/>
      <c r="WH53" s="47"/>
      <c r="WI53" s="47"/>
      <c r="WJ53" s="47"/>
      <c r="WK53" s="47"/>
      <c r="WL53" s="47"/>
      <c r="WM53" s="47"/>
      <c r="WN53" s="47"/>
      <c r="WO53" s="47"/>
      <c r="WP53" s="47"/>
      <c r="WQ53" s="47"/>
      <c r="WR53" s="47"/>
      <c r="WS53" s="47"/>
      <c r="WT53" s="47"/>
      <c r="WU53" s="47"/>
      <c r="WV53" s="47"/>
      <c r="WW53" s="47"/>
      <c r="WX53" s="47"/>
      <c r="WY53" s="47"/>
      <c r="WZ53" s="47"/>
      <c r="XA53" s="47"/>
      <c r="XB53" s="47"/>
      <c r="XC53" s="47"/>
      <c r="XD53" s="47"/>
      <c r="XE53" s="47"/>
      <c r="XF53" s="47"/>
      <c r="XG53" s="47"/>
      <c r="XH53" s="47"/>
      <c r="XI53" s="47"/>
      <c r="XJ53" s="47"/>
      <c r="XK53" s="47"/>
      <c r="XL53" s="47"/>
      <c r="XM53" s="47"/>
      <c r="XN53" s="47"/>
      <c r="XO53" s="47"/>
      <c r="XP53" s="47"/>
      <c r="XQ53" s="47"/>
      <c r="XR53" s="47"/>
      <c r="XS53" s="47"/>
      <c r="XT53" s="47"/>
      <c r="XU53" s="47"/>
      <c r="XV53" s="47"/>
      <c r="XW53" s="47"/>
      <c r="XX53" s="47"/>
      <c r="XY53" s="47"/>
      <c r="XZ53" s="47"/>
      <c r="YA53" s="44"/>
      <c r="YB53" s="44"/>
      <c r="YC53" s="44"/>
      <c r="YD53" s="44"/>
      <c r="YE53" s="44"/>
      <c r="YF53" s="47"/>
      <c r="YG53" s="47"/>
      <c r="YH53" s="47"/>
      <c r="YI53" s="47"/>
      <c r="YJ53" s="47"/>
      <c r="YK53" s="47"/>
      <c r="YL53" s="47"/>
      <c r="YM53" s="47"/>
      <c r="YN53" s="47"/>
      <c r="YO53" s="47"/>
      <c r="YP53" s="47"/>
      <c r="YQ53" s="47"/>
      <c r="YR53" s="47"/>
      <c r="YS53" s="47"/>
      <c r="YT53" s="47"/>
      <c r="YU53" s="47"/>
      <c r="YV53" s="47"/>
      <c r="YW53" s="47"/>
      <c r="YX53" s="47"/>
      <c r="YY53" s="47"/>
      <c r="YZ53" s="47"/>
      <c r="ZA53" s="47"/>
      <c r="ZB53" s="47"/>
      <c r="ZC53" s="47"/>
      <c r="ZD53" s="47"/>
      <c r="ZE53" s="47"/>
      <c r="ZF53" s="47"/>
      <c r="ZG53" s="47"/>
      <c r="ZH53" s="47"/>
      <c r="ZI53" s="47"/>
      <c r="ZJ53" s="47"/>
      <c r="ZK53" s="47"/>
      <c r="ZL53" s="47"/>
      <c r="ZM53" s="47"/>
      <c r="ZN53" s="47"/>
      <c r="ZO53" s="47"/>
      <c r="ZP53" s="47"/>
      <c r="ZQ53" s="47"/>
      <c r="ZR53" s="47"/>
      <c r="ZS53" s="47"/>
      <c r="ZT53" s="47"/>
      <c r="ZU53" s="47"/>
      <c r="ZV53" s="47"/>
      <c r="ZW53" s="44"/>
      <c r="ZX53" s="44"/>
      <c r="ZY53" s="44"/>
      <c r="ZZ53" s="44"/>
      <c r="AAA53" s="44"/>
      <c r="AAB53" s="44"/>
      <c r="AAC53" s="44"/>
      <c r="AAD53" s="44"/>
      <c r="AAE53" s="44"/>
      <c r="AAF53" s="44"/>
      <c r="AAG53" s="47"/>
      <c r="AAH53" s="47"/>
      <c r="AAI53" s="47"/>
      <c r="AAJ53" s="47"/>
      <c r="AAK53" s="47"/>
      <c r="AAL53" s="47"/>
      <c r="AAM53" s="47"/>
      <c r="AAN53" s="47"/>
      <c r="AAO53" s="47"/>
      <c r="AAP53" s="47"/>
      <c r="AAQ53" s="47"/>
      <c r="AAR53" s="47"/>
      <c r="AAS53" s="47"/>
      <c r="AAT53" s="47"/>
      <c r="AAU53" s="47"/>
      <c r="AAV53" s="47"/>
      <c r="AAW53" s="47"/>
      <c r="AAX53" s="47"/>
      <c r="AAY53" s="47"/>
      <c r="AAZ53" s="47"/>
      <c r="ABA53" s="47"/>
      <c r="ABB53" s="47"/>
      <c r="ABC53" s="47"/>
      <c r="ABD53" s="47"/>
      <c r="ABE53" s="47"/>
      <c r="ABF53" s="47"/>
      <c r="ABG53" s="47"/>
      <c r="ABH53" s="47"/>
      <c r="ABI53" s="47"/>
      <c r="ABJ53" s="47"/>
      <c r="ABK53" s="47"/>
      <c r="ABL53" s="47"/>
      <c r="ABM53" s="47"/>
      <c r="ABN53" s="47"/>
      <c r="ABO53" s="47"/>
      <c r="ABP53" s="47"/>
      <c r="ABQ53" s="47"/>
      <c r="ABR53" s="47"/>
      <c r="ABS53" s="47"/>
      <c r="ABT53" s="47"/>
      <c r="ABU53" s="47"/>
      <c r="ABV53" s="47"/>
      <c r="ABW53" s="47"/>
      <c r="ABX53" s="47"/>
      <c r="ABY53" s="47"/>
      <c r="ABZ53" s="47"/>
      <c r="ACA53" s="47"/>
      <c r="ACB53" s="47"/>
      <c r="ACC53" s="47"/>
      <c r="ACD53" s="47"/>
      <c r="ACE53" s="47"/>
      <c r="ACF53" s="47"/>
      <c r="ACG53" s="47"/>
      <c r="ACH53" s="48"/>
    </row>
    <row r="54" spans="1:762" x14ac:dyDescent="0.25">
      <c r="A54" s="42" t="s">
        <v>101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  <c r="BO54" s="43"/>
      <c r="BP54" s="43"/>
      <c r="BQ54" s="43"/>
      <c r="BR54" s="43"/>
      <c r="BS54" s="43"/>
      <c r="BT54" s="43"/>
      <c r="BU54" s="43"/>
      <c r="BV54" s="43"/>
      <c r="BW54" s="43"/>
      <c r="BX54" s="43"/>
      <c r="BY54" s="43"/>
      <c r="BZ54" s="43"/>
      <c r="CA54" s="43"/>
      <c r="CB54" s="43"/>
      <c r="CC54" s="43"/>
      <c r="CD54" s="43"/>
      <c r="CE54" s="43"/>
      <c r="CF54" s="43"/>
      <c r="CG54" s="43"/>
      <c r="CH54" s="43"/>
      <c r="CI54" s="43"/>
      <c r="CJ54" s="43"/>
      <c r="CK54" s="43"/>
      <c r="CL54" s="43"/>
      <c r="CM54" s="43"/>
      <c r="CN54" s="43"/>
      <c r="CO54" s="43"/>
      <c r="CP54" s="43"/>
      <c r="CQ54" s="43"/>
      <c r="CR54" s="43"/>
      <c r="CS54" s="43"/>
      <c r="CT54" s="43"/>
      <c r="CU54" s="43"/>
      <c r="CV54" s="43"/>
      <c r="CW54" s="43"/>
      <c r="CX54" s="43"/>
      <c r="CY54" s="43"/>
      <c r="CZ54" s="43"/>
      <c r="DA54" s="43"/>
      <c r="DB54" s="43"/>
      <c r="DC54" s="43"/>
      <c r="DD54" s="43"/>
      <c r="DE54" s="43"/>
      <c r="DF54" s="43"/>
      <c r="DG54" s="43"/>
      <c r="DH54" s="43"/>
      <c r="DI54" s="43"/>
      <c r="DJ54" s="43"/>
      <c r="DK54" s="43"/>
      <c r="DL54" s="43"/>
      <c r="DM54" s="43"/>
      <c r="DN54" s="43"/>
      <c r="DO54" s="43"/>
      <c r="DP54" s="43"/>
      <c r="DQ54" s="43"/>
      <c r="DR54" s="43"/>
      <c r="DS54" s="43"/>
      <c r="DT54" s="43"/>
      <c r="DU54" s="43"/>
      <c r="DV54" s="43"/>
      <c r="DW54" s="43"/>
      <c r="DX54" s="43"/>
      <c r="DY54" s="43"/>
      <c r="DZ54" s="43"/>
      <c r="EA54" s="43"/>
      <c r="EB54" s="43"/>
      <c r="EC54" s="43"/>
      <c r="ED54" s="43"/>
      <c r="EE54" s="43"/>
      <c r="EF54" s="43"/>
      <c r="EG54" s="43"/>
      <c r="EH54" s="43"/>
      <c r="EI54" s="43"/>
      <c r="EJ54" s="43"/>
      <c r="EK54" s="43"/>
      <c r="EL54" s="43"/>
      <c r="EM54" s="43"/>
      <c r="EN54" s="43"/>
      <c r="EO54" s="43"/>
      <c r="EP54" s="43"/>
      <c r="EQ54" s="43"/>
      <c r="ER54" s="43"/>
      <c r="ES54" s="43"/>
      <c r="ET54" s="43"/>
      <c r="EU54" s="43"/>
      <c r="EV54" s="43"/>
      <c r="EW54" s="43"/>
      <c r="EX54" s="43"/>
      <c r="EY54" s="43"/>
      <c r="EZ54" s="43"/>
      <c r="FA54" s="43"/>
      <c r="FB54" s="43"/>
      <c r="FC54" s="43"/>
      <c r="FD54" s="43"/>
      <c r="FE54" s="43"/>
      <c r="FF54" s="43"/>
      <c r="FG54" s="43"/>
      <c r="FH54" s="43"/>
      <c r="FI54" s="43"/>
      <c r="FJ54" s="43"/>
      <c r="FK54" s="43"/>
      <c r="FL54" s="43"/>
      <c r="FM54" s="43"/>
      <c r="FN54" s="43"/>
      <c r="FO54" s="43"/>
      <c r="FP54" s="43"/>
      <c r="FQ54" s="43"/>
      <c r="FR54" s="43"/>
      <c r="FS54" s="43"/>
      <c r="FT54" s="43"/>
      <c r="FU54" s="43"/>
      <c r="FV54" s="43"/>
      <c r="FW54" s="43"/>
      <c r="FX54" s="43"/>
      <c r="FY54" s="43"/>
      <c r="FZ54" s="43"/>
      <c r="GA54" s="43"/>
      <c r="GB54" s="43"/>
      <c r="GC54" s="43"/>
      <c r="GD54" s="43"/>
      <c r="GE54" s="43"/>
      <c r="GF54" s="43"/>
      <c r="GG54" s="43"/>
      <c r="GH54" s="43"/>
      <c r="GI54" s="43"/>
      <c r="GJ54" s="43"/>
      <c r="GK54" s="43"/>
      <c r="GL54" s="43"/>
      <c r="GM54" s="43"/>
      <c r="GN54" s="43"/>
      <c r="GO54" s="43"/>
      <c r="GP54" s="43"/>
      <c r="GQ54" s="43"/>
      <c r="GR54" s="43"/>
      <c r="GS54" s="43"/>
      <c r="GT54" s="43"/>
      <c r="GU54" s="43"/>
      <c r="GV54" s="43"/>
      <c r="GW54" s="43"/>
      <c r="GX54" s="43"/>
      <c r="GY54" s="43"/>
      <c r="GZ54" s="43"/>
      <c r="HA54" s="43"/>
      <c r="HB54" s="43"/>
      <c r="HC54" s="43"/>
      <c r="HD54" s="43"/>
      <c r="HE54" s="43"/>
      <c r="HF54" s="43"/>
      <c r="HG54" s="43"/>
      <c r="HH54" s="43"/>
      <c r="HI54" s="43"/>
      <c r="HJ54" s="43"/>
      <c r="HK54" s="43"/>
      <c r="HL54" s="43"/>
      <c r="HM54" s="43"/>
      <c r="HN54" s="43"/>
      <c r="HO54" s="43"/>
      <c r="HP54" s="43"/>
      <c r="HQ54" s="43"/>
      <c r="HR54" s="43"/>
      <c r="HS54" s="43"/>
      <c r="HT54" s="43"/>
      <c r="HU54" s="43"/>
      <c r="HV54" s="43"/>
      <c r="HW54" s="43"/>
      <c r="HX54" s="43"/>
      <c r="HY54" s="43"/>
      <c r="HZ54" s="43"/>
      <c r="IA54" s="43"/>
      <c r="IB54" s="43"/>
      <c r="IC54" s="43"/>
      <c r="ID54" s="43"/>
      <c r="IE54" s="43"/>
      <c r="IF54" s="43"/>
      <c r="IG54" s="43"/>
      <c r="IH54" s="43"/>
      <c r="II54" s="43"/>
      <c r="IJ54" s="43"/>
      <c r="IK54" s="43"/>
      <c r="IL54" s="43"/>
      <c r="IM54" s="43"/>
      <c r="IN54" s="43"/>
      <c r="IO54" s="43"/>
      <c r="IP54" s="43"/>
      <c r="IQ54" s="43"/>
      <c r="IR54" s="43"/>
      <c r="IS54" s="43"/>
      <c r="IT54" s="43"/>
      <c r="IU54" s="43"/>
      <c r="IV54" s="43"/>
      <c r="IW54" s="43"/>
      <c r="IX54" s="43"/>
      <c r="IY54" s="43"/>
      <c r="IZ54" s="43"/>
      <c r="JA54" s="43"/>
      <c r="JB54" s="43"/>
      <c r="JC54" s="43"/>
      <c r="JD54" s="43"/>
      <c r="JE54" s="43"/>
      <c r="JF54" s="43"/>
      <c r="JG54" s="43"/>
      <c r="JH54" s="43"/>
      <c r="JI54" s="43"/>
      <c r="JJ54" s="43"/>
      <c r="JK54" s="43"/>
      <c r="JL54" s="43"/>
      <c r="JM54" s="43"/>
      <c r="JN54" s="43"/>
      <c r="JO54" s="43"/>
      <c r="JP54" s="43"/>
      <c r="JQ54" s="43"/>
      <c r="JR54" s="43"/>
      <c r="JS54" s="43"/>
      <c r="JT54" s="43"/>
      <c r="JU54" s="43"/>
      <c r="JV54" s="43"/>
      <c r="JW54" s="43"/>
      <c r="JX54" s="43"/>
      <c r="JY54" s="43"/>
      <c r="JZ54" s="43"/>
      <c r="KA54" s="43"/>
      <c r="KB54" s="43"/>
      <c r="KC54" s="43"/>
      <c r="KD54" s="43"/>
      <c r="KE54" s="43"/>
      <c r="KF54" s="43"/>
      <c r="KG54" s="43"/>
      <c r="KH54" s="43"/>
      <c r="KI54" s="43"/>
      <c r="KJ54" s="43"/>
      <c r="KK54" s="43"/>
      <c r="KL54" s="43"/>
      <c r="KM54" s="43"/>
      <c r="KN54" s="43"/>
      <c r="KO54" s="43"/>
      <c r="KP54" s="43"/>
      <c r="KQ54" s="43"/>
      <c r="KR54" s="43"/>
      <c r="KS54" s="43"/>
      <c r="KT54" s="43"/>
      <c r="KU54" s="43"/>
      <c r="KV54" s="43"/>
      <c r="KW54" s="43"/>
      <c r="KX54" s="43"/>
      <c r="KY54" s="43"/>
      <c r="KZ54" s="43"/>
      <c r="LA54" s="43"/>
      <c r="LB54" s="43"/>
      <c r="LC54" s="43"/>
      <c r="LD54" s="43"/>
      <c r="LE54" s="43"/>
      <c r="LF54" s="43"/>
      <c r="LG54" s="43"/>
      <c r="LH54" s="43"/>
      <c r="LI54" s="43"/>
      <c r="LJ54" s="43"/>
      <c r="LK54" s="43"/>
      <c r="LL54" s="43"/>
      <c r="LM54" s="43"/>
      <c r="LN54" s="43"/>
      <c r="LO54" s="43"/>
      <c r="LP54" s="43"/>
      <c r="LQ54" s="43"/>
      <c r="LR54" s="43"/>
      <c r="LS54" s="43"/>
      <c r="LT54" s="43"/>
      <c r="LU54" s="43"/>
      <c r="LV54" s="43"/>
      <c r="LW54" s="43"/>
      <c r="LX54" s="43"/>
      <c r="LY54" s="43"/>
      <c r="LZ54" s="43"/>
      <c r="MA54" s="43"/>
      <c r="MB54" s="43"/>
      <c r="MC54" s="43"/>
      <c r="MD54" s="43"/>
      <c r="ME54" s="43"/>
      <c r="MF54" s="43"/>
      <c r="MG54" s="43"/>
      <c r="MH54" s="43"/>
      <c r="MI54" s="43"/>
      <c r="MJ54" s="43"/>
      <c r="MK54" s="43"/>
      <c r="ML54" s="43"/>
      <c r="MM54" s="43"/>
      <c r="MN54" s="43"/>
      <c r="MO54" s="43"/>
      <c r="MP54" s="43"/>
      <c r="MQ54" s="43"/>
      <c r="MR54" s="43"/>
      <c r="MS54" s="43"/>
      <c r="MT54" s="43"/>
      <c r="MU54" s="43"/>
      <c r="MV54" s="43"/>
      <c r="MW54" s="43"/>
      <c r="MX54" s="43"/>
      <c r="MY54" s="43"/>
      <c r="MZ54" s="43"/>
      <c r="NA54" s="43"/>
      <c r="NB54" s="43"/>
      <c r="NC54" s="43"/>
      <c r="ND54" s="43"/>
      <c r="NE54" s="43"/>
      <c r="NF54" s="43"/>
      <c r="NG54" s="43"/>
      <c r="NH54" s="43"/>
      <c r="NI54" s="43"/>
      <c r="NJ54" s="44"/>
      <c r="NK54" s="44"/>
      <c r="NL54" s="44"/>
      <c r="NM54" s="44"/>
      <c r="NN54" s="44"/>
      <c r="NO54" s="43"/>
      <c r="NP54" s="43"/>
      <c r="NQ54" s="43"/>
      <c r="NR54" s="43"/>
      <c r="NS54" s="43"/>
      <c r="NT54" s="43"/>
      <c r="NU54" s="43"/>
      <c r="NV54" s="43"/>
      <c r="NW54" s="43"/>
      <c r="NX54" s="43"/>
      <c r="NY54" s="43"/>
      <c r="NZ54" s="43"/>
      <c r="OA54" s="43"/>
      <c r="OB54" s="43"/>
      <c r="OC54" s="43"/>
      <c r="OD54" s="43"/>
      <c r="OE54" s="43"/>
      <c r="OF54" s="43"/>
      <c r="OG54" s="43"/>
      <c r="OH54" s="43"/>
      <c r="OI54" s="43"/>
      <c r="OJ54" s="43"/>
      <c r="OK54" s="43"/>
      <c r="OL54" s="43"/>
      <c r="OM54" s="43"/>
      <c r="ON54" s="43"/>
      <c r="OO54" s="43"/>
      <c r="OP54" s="43"/>
      <c r="OQ54" s="43"/>
      <c r="OR54" s="43"/>
      <c r="OS54" s="43"/>
      <c r="OT54" s="43"/>
      <c r="OU54" s="43"/>
      <c r="OV54" s="43"/>
      <c r="OW54" s="43"/>
      <c r="OX54" s="43"/>
      <c r="OY54" s="43"/>
      <c r="OZ54" s="43"/>
      <c r="PA54" s="43"/>
      <c r="PB54" s="43"/>
      <c r="PC54" s="43"/>
      <c r="PD54" s="43"/>
      <c r="PE54" s="43"/>
      <c r="PF54" s="43"/>
      <c r="PG54" s="43"/>
      <c r="PH54" s="43"/>
      <c r="PI54" s="43"/>
      <c r="PJ54" s="43"/>
      <c r="PK54" s="43"/>
      <c r="PL54" s="43"/>
      <c r="PM54" s="43"/>
      <c r="PN54" s="43"/>
      <c r="PO54" s="43"/>
      <c r="PP54" s="43"/>
      <c r="PQ54" s="43"/>
      <c r="PR54" s="43"/>
      <c r="PS54" s="43"/>
      <c r="PT54" s="43"/>
      <c r="PU54" s="43"/>
      <c r="PV54" s="43"/>
      <c r="PW54" s="43"/>
      <c r="PX54" s="43"/>
      <c r="PY54" s="43"/>
      <c r="PZ54" s="43"/>
      <c r="QA54" s="43"/>
      <c r="QB54" s="43"/>
      <c r="QC54" s="43"/>
      <c r="QD54" s="43"/>
      <c r="QE54" s="43"/>
      <c r="QF54" s="43"/>
      <c r="QG54" s="43"/>
      <c r="QH54" s="43"/>
      <c r="QI54" s="43"/>
      <c r="QJ54" s="43"/>
      <c r="QK54" s="43"/>
      <c r="QL54" s="43"/>
      <c r="QM54" s="43"/>
      <c r="QN54" s="43"/>
      <c r="QO54" s="43"/>
      <c r="QP54" s="43"/>
      <c r="QQ54" s="43"/>
      <c r="QR54" s="43"/>
      <c r="QS54" s="43"/>
      <c r="QT54" s="43"/>
      <c r="QU54" s="43"/>
      <c r="QV54" s="43"/>
      <c r="QW54" s="43"/>
      <c r="QX54" s="43"/>
      <c r="QY54" s="43"/>
      <c r="QZ54" s="43"/>
      <c r="RA54" s="43"/>
      <c r="RB54" s="43"/>
      <c r="RC54" s="43"/>
      <c r="RD54" s="43"/>
      <c r="RE54" s="43"/>
      <c r="RF54" s="43"/>
      <c r="RG54" s="43"/>
      <c r="RH54" s="43"/>
      <c r="RI54" s="43"/>
      <c r="RJ54" s="43"/>
      <c r="RK54" s="43"/>
      <c r="RL54" s="43"/>
      <c r="RM54" s="43"/>
      <c r="RN54" s="43"/>
      <c r="RO54" s="43"/>
      <c r="RP54" s="43"/>
      <c r="RQ54" s="43"/>
      <c r="RR54" s="43"/>
      <c r="RS54" s="43"/>
      <c r="RT54" s="43"/>
      <c r="RU54" s="43"/>
      <c r="RV54" s="43"/>
      <c r="RW54" s="43"/>
      <c r="RX54" s="43"/>
      <c r="RY54" s="43"/>
      <c r="RZ54" s="43"/>
      <c r="SA54" s="43"/>
      <c r="SB54" s="43"/>
      <c r="SC54" s="43"/>
      <c r="SD54" s="43"/>
      <c r="SE54" s="43"/>
      <c r="SF54" s="43"/>
      <c r="SG54" s="43"/>
      <c r="SH54" s="43"/>
      <c r="SI54" s="43"/>
      <c r="SJ54" s="43"/>
      <c r="SK54" s="43"/>
      <c r="SL54" s="43"/>
      <c r="SM54" s="43"/>
      <c r="SN54" s="43"/>
      <c r="SO54" s="43"/>
      <c r="SP54" s="43"/>
      <c r="SQ54" s="43"/>
      <c r="SR54" s="43"/>
      <c r="SS54" s="43"/>
      <c r="ST54" s="43"/>
      <c r="SU54" s="43"/>
      <c r="SV54" s="43"/>
      <c r="SW54" s="43"/>
      <c r="SX54" s="43"/>
      <c r="SY54" s="43"/>
      <c r="SZ54" s="43"/>
      <c r="TA54" s="43"/>
      <c r="TB54" s="43"/>
      <c r="TC54" s="43"/>
      <c r="TD54" s="43"/>
      <c r="TE54" s="43"/>
      <c r="TF54" s="43"/>
      <c r="TG54" s="43"/>
      <c r="TH54" s="43"/>
      <c r="TI54" s="43"/>
      <c r="TJ54" s="43"/>
      <c r="TK54" s="43"/>
      <c r="TL54" s="43"/>
      <c r="TM54" s="43"/>
      <c r="TN54" s="43"/>
      <c r="TO54" s="43"/>
      <c r="TP54" s="43"/>
      <c r="TQ54" s="43"/>
      <c r="TR54" s="43"/>
      <c r="TS54" s="43"/>
      <c r="TT54" s="43"/>
      <c r="TU54" s="43"/>
      <c r="TV54" s="43"/>
      <c r="TW54" s="43"/>
      <c r="TX54" s="43" t="s">
        <v>1868</v>
      </c>
      <c r="TY54" s="43">
        <v>440</v>
      </c>
      <c r="TZ54" s="43"/>
      <c r="UA54" s="43"/>
      <c r="UB54" s="43"/>
      <c r="UC54" s="43"/>
      <c r="UD54" s="43"/>
      <c r="UE54" s="43"/>
      <c r="UF54" s="43"/>
      <c r="UG54" s="43"/>
      <c r="UH54" s="43"/>
      <c r="UI54" s="43"/>
      <c r="UJ54" s="43"/>
      <c r="UK54" s="43"/>
      <c r="UL54" s="43"/>
      <c r="UM54" s="43"/>
      <c r="UN54" s="43"/>
      <c r="UO54" s="43"/>
      <c r="UP54" s="43"/>
      <c r="UQ54" s="43"/>
      <c r="UR54" s="43"/>
      <c r="US54" s="43"/>
      <c r="UT54" s="43"/>
      <c r="UU54" s="43"/>
      <c r="UV54" s="43"/>
      <c r="UW54" s="43"/>
      <c r="UX54" s="43"/>
      <c r="UY54" s="43"/>
      <c r="UZ54" s="43"/>
      <c r="VA54" s="43"/>
      <c r="VB54" s="43"/>
      <c r="VC54" s="43"/>
      <c r="VD54" s="43"/>
      <c r="VE54" s="43"/>
      <c r="VF54" s="43"/>
      <c r="VG54" s="43"/>
      <c r="VH54" s="43"/>
      <c r="VI54" s="43"/>
      <c r="VJ54" s="43"/>
      <c r="VK54" s="43"/>
      <c r="VL54" s="43"/>
      <c r="VM54" s="43"/>
      <c r="VN54" s="43"/>
      <c r="VO54" s="43"/>
      <c r="VP54" s="43"/>
      <c r="VQ54" s="43"/>
      <c r="VR54" s="43"/>
      <c r="VS54" s="43"/>
      <c r="VT54" s="43"/>
      <c r="VU54" s="43"/>
      <c r="VV54" s="43"/>
      <c r="VW54" s="43"/>
      <c r="VX54" s="43"/>
      <c r="VY54" s="43"/>
      <c r="VZ54" s="43"/>
      <c r="WA54" s="43"/>
      <c r="WB54" s="43"/>
      <c r="WC54" s="43"/>
      <c r="WD54" s="43"/>
      <c r="WE54" s="43"/>
      <c r="WF54" s="43"/>
      <c r="WG54" s="43"/>
      <c r="WH54" s="43"/>
      <c r="WI54" s="43"/>
      <c r="WJ54" s="43"/>
      <c r="WK54" s="43"/>
      <c r="WL54" s="43"/>
      <c r="WM54" s="43"/>
      <c r="WN54" s="43"/>
      <c r="WO54" s="43"/>
      <c r="WP54" s="43"/>
      <c r="WQ54" s="43"/>
      <c r="WR54" s="43"/>
      <c r="WS54" s="43"/>
      <c r="WT54" s="43"/>
      <c r="WU54" s="43"/>
      <c r="WV54" s="43"/>
      <c r="WW54" s="43"/>
      <c r="WX54" s="43"/>
      <c r="WY54" s="43"/>
      <c r="WZ54" s="43"/>
      <c r="XA54" s="43"/>
      <c r="XB54" s="43"/>
      <c r="XC54" s="43"/>
      <c r="XD54" s="43"/>
      <c r="XE54" s="43"/>
      <c r="XF54" s="43"/>
      <c r="XG54" s="43"/>
      <c r="XH54" s="43"/>
      <c r="XI54" s="43"/>
      <c r="XJ54" s="43"/>
      <c r="XK54" s="43"/>
      <c r="XL54" s="43"/>
      <c r="XM54" s="43"/>
      <c r="XN54" s="43"/>
      <c r="XO54" s="43"/>
      <c r="XP54" s="43"/>
      <c r="XQ54" s="43"/>
      <c r="XR54" s="43"/>
      <c r="XS54" s="43"/>
      <c r="XT54" s="43"/>
      <c r="XU54" s="43"/>
      <c r="XV54" s="43"/>
      <c r="XW54" s="43"/>
      <c r="XX54" s="43"/>
      <c r="XY54" s="43"/>
      <c r="XZ54" s="43"/>
      <c r="YA54" s="44"/>
      <c r="YB54" s="44"/>
      <c r="YC54" s="44"/>
      <c r="YD54" s="44"/>
      <c r="YE54" s="44"/>
      <c r="YF54" s="43"/>
      <c r="YG54" s="43"/>
      <c r="YH54" s="43"/>
      <c r="YI54" s="43"/>
      <c r="YJ54" s="43"/>
      <c r="YK54" s="43"/>
      <c r="YL54" s="43"/>
      <c r="YM54" s="43"/>
      <c r="YN54" s="43"/>
      <c r="YO54" s="43"/>
      <c r="YP54" s="43"/>
      <c r="YQ54" s="43"/>
      <c r="YR54" s="43"/>
      <c r="YS54" s="43"/>
      <c r="YT54" s="43"/>
      <c r="YU54" s="43"/>
      <c r="YV54" s="43"/>
      <c r="YW54" s="43"/>
      <c r="YX54" s="43"/>
      <c r="YY54" s="43"/>
      <c r="YZ54" s="43"/>
      <c r="ZA54" s="43"/>
      <c r="ZB54" s="43"/>
      <c r="ZC54" s="43"/>
      <c r="ZD54" s="43"/>
      <c r="ZE54" s="43"/>
      <c r="ZF54" s="43"/>
      <c r="ZG54" s="43"/>
      <c r="ZH54" s="43"/>
      <c r="ZI54" s="43"/>
      <c r="ZJ54" s="43"/>
      <c r="ZK54" s="43"/>
      <c r="ZL54" s="43"/>
      <c r="ZM54" s="43"/>
      <c r="ZN54" s="43"/>
      <c r="ZO54" s="43"/>
      <c r="ZP54" s="43"/>
      <c r="ZQ54" s="43"/>
      <c r="ZR54" s="43"/>
      <c r="ZS54" s="43"/>
      <c r="ZT54" s="43"/>
      <c r="ZU54" s="43"/>
      <c r="ZV54" s="43"/>
      <c r="ZW54" s="44"/>
      <c r="ZX54" s="44"/>
      <c r="ZY54" s="44"/>
      <c r="ZZ54" s="44"/>
      <c r="AAA54" s="44"/>
      <c r="AAB54" s="44"/>
      <c r="AAC54" s="44"/>
      <c r="AAD54" s="44"/>
      <c r="AAE54" s="44"/>
      <c r="AAF54" s="44"/>
      <c r="AAG54" s="43"/>
      <c r="AAH54" s="43"/>
      <c r="AAI54" s="43"/>
      <c r="AAJ54" s="43"/>
      <c r="AAK54" s="43"/>
      <c r="AAL54" s="43"/>
      <c r="AAM54" s="43"/>
      <c r="AAN54" s="43"/>
      <c r="AAO54" s="43"/>
      <c r="AAP54" s="43"/>
      <c r="AAQ54" s="43"/>
      <c r="AAR54" s="43"/>
      <c r="AAS54" s="43"/>
      <c r="AAT54" s="43"/>
      <c r="AAU54" s="43"/>
      <c r="AAV54" s="43"/>
      <c r="AAW54" s="43"/>
      <c r="AAX54" s="43"/>
      <c r="AAY54" s="43"/>
      <c r="AAZ54" s="43"/>
      <c r="ABA54" s="43"/>
      <c r="ABB54" s="43"/>
      <c r="ABC54" s="43"/>
      <c r="ABD54" s="43"/>
      <c r="ABE54" s="43"/>
      <c r="ABF54" s="43"/>
      <c r="ABG54" s="43"/>
      <c r="ABH54" s="43"/>
      <c r="ABI54" s="43"/>
      <c r="ABJ54" s="43"/>
      <c r="ABK54" s="43"/>
      <c r="ABL54" s="43"/>
      <c r="ABM54" s="43"/>
      <c r="ABN54" s="43"/>
      <c r="ABO54" s="43"/>
      <c r="ABP54" s="43"/>
      <c r="ABQ54" s="43"/>
      <c r="ABR54" s="43"/>
      <c r="ABS54" s="43"/>
      <c r="ABT54" s="43"/>
      <c r="ABU54" s="43"/>
      <c r="ABV54" s="43"/>
      <c r="ABW54" s="43"/>
      <c r="ABX54" s="43"/>
      <c r="ABY54" s="43"/>
      <c r="ABZ54" s="43"/>
      <c r="ACA54" s="43"/>
      <c r="ACB54" s="43"/>
      <c r="ACC54" s="43"/>
      <c r="ACD54" s="43"/>
      <c r="ACE54" s="43"/>
      <c r="ACF54" s="43"/>
      <c r="ACG54" s="43"/>
      <c r="ACH54" s="45"/>
    </row>
    <row r="55" spans="1:762" x14ac:dyDescent="0.25">
      <c r="A55" s="46" t="s">
        <v>102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  <c r="BW55" s="47"/>
      <c r="BX55" s="47"/>
      <c r="BY55" s="47"/>
      <c r="BZ55" s="47"/>
      <c r="CA55" s="47"/>
      <c r="CB55" s="47"/>
      <c r="CC55" s="47"/>
      <c r="CD55" s="47"/>
      <c r="CE55" s="47"/>
      <c r="CF55" s="47"/>
      <c r="CG55" s="47"/>
      <c r="CH55" s="47"/>
      <c r="CI55" s="47"/>
      <c r="CJ55" s="47"/>
      <c r="CK55" s="47"/>
      <c r="CL55" s="47"/>
      <c r="CM55" s="47"/>
      <c r="CN55" s="47"/>
      <c r="CO55" s="47"/>
      <c r="CP55" s="47"/>
      <c r="CQ55" s="47"/>
      <c r="CR55" s="47"/>
      <c r="CS55" s="47"/>
      <c r="CT55" s="47"/>
      <c r="CU55" s="47"/>
      <c r="CV55" s="47"/>
      <c r="CW55" s="47"/>
      <c r="CX55" s="47"/>
      <c r="CY55" s="47"/>
      <c r="CZ55" s="47"/>
      <c r="DA55" s="47"/>
      <c r="DB55" s="47"/>
      <c r="DC55" s="47"/>
      <c r="DD55" s="47"/>
      <c r="DE55" s="47"/>
      <c r="DF55" s="47"/>
      <c r="DG55" s="47"/>
      <c r="DH55" s="47"/>
      <c r="DI55" s="47"/>
      <c r="DJ55" s="47"/>
      <c r="DK55" s="47"/>
      <c r="DL55" s="47"/>
      <c r="DM55" s="47"/>
      <c r="DN55" s="47"/>
      <c r="DO55" s="47"/>
      <c r="DP55" s="47"/>
      <c r="DQ55" s="47"/>
      <c r="DR55" s="47"/>
      <c r="DS55" s="47"/>
      <c r="DT55" s="47"/>
      <c r="DU55" s="47"/>
      <c r="DV55" s="47"/>
      <c r="DW55" s="47"/>
      <c r="DX55" s="47"/>
      <c r="DY55" s="47"/>
      <c r="DZ55" s="47"/>
      <c r="EA55" s="47"/>
      <c r="EB55" s="47"/>
      <c r="EC55" s="47"/>
      <c r="ED55" s="47"/>
      <c r="EE55" s="47"/>
      <c r="EF55" s="47"/>
      <c r="EG55" s="47"/>
      <c r="EH55" s="47"/>
      <c r="EI55" s="47"/>
      <c r="EJ55" s="47"/>
      <c r="EK55" s="47"/>
      <c r="EL55" s="47"/>
      <c r="EM55" s="47"/>
      <c r="EN55" s="47"/>
      <c r="EO55" s="47"/>
      <c r="EP55" s="47"/>
      <c r="EQ55" s="47"/>
      <c r="ER55" s="47"/>
      <c r="ES55" s="47"/>
      <c r="ET55" s="47"/>
      <c r="EU55" s="47"/>
      <c r="EV55" s="47"/>
      <c r="EW55" s="47"/>
      <c r="EX55" s="47"/>
      <c r="EY55" s="47"/>
      <c r="EZ55" s="47"/>
      <c r="FA55" s="47"/>
      <c r="FB55" s="47"/>
      <c r="FC55" s="47"/>
      <c r="FD55" s="47"/>
      <c r="FE55" s="47"/>
      <c r="FF55" s="47"/>
      <c r="FG55" s="47"/>
      <c r="FH55" s="47"/>
      <c r="FI55" s="47"/>
      <c r="FJ55" s="47"/>
      <c r="FK55" s="47"/>
      <c r="FL55" s="47"/>
      <c r="FM55" s="47"/>
      <c r="FN55" s="47"/>
      <c r="FO55" s="47"/>
      <c r="FP55" s="47"/>
      <c r="FQ55" s="47"/>
      <c r="FR55" s="47"/>
      <c r="FS55" s="47"/>
      <c r="FT55" s="47"/>
      <c r="FU55" s="47"/>
      <c r="FV55" s="47"/>
      <c r="FW55" s="47"/>
      <c r="FX55" s="47"/>
      <c r="FY55" s="47"/>
      <c r="FZ55" s="47"/>
      <c r="GA55" s="47"/>
      <c r="GB55" s="47"/>
      <c r="GC55" s="47"/>
      <c r="GD55" s="47"/>
      <c r="GE55" s="47"/>
      <c r="GF55" s="47"/>
      <c r="GG55" s="47"/>
      <c r="GH55" s="47"/>
      <c r="GI55" s="47"/>
      <c r="GJ55" s="47"/>
      <c r="GK55" s="47"/>
      <c r="GL55" s="47"/>
      <c r="GM55" s="47"/>
      <c r="GN55" s="47"/>
      <c r="GO55" s="47"/>
      <c r="GP55" s="47"/>
      <c r="GQ55" s="47"/>
      <c r="GR55" s="47"/>
      <c r="GS55" s="47"/>
      <c r="GT55" s="47"/>
      <c r="GU55" s="47"/>
      <c r="GV55" s="47"/>
      <c r="GW55" s="47"/>
      <c r="GX55" s="47"/>
      <c r="GY55" s="47"/>
      <c r="GZ55" s="47"/>
      <c r="HA55" s="47"/>
      <c r="HB55" s="47"/>
      <c r="HC55" s="47"/>
      <c r="HD55" s="47"/>
      <c r="HE55" s="47"/>
      <c r="HF55" s="47"/>
      <c r="HG55" s="47"/>
      <c r="HH55" s="47"/>
      <c r="HI55" s="47"/>
      <c r="HJ55" s="47"/>
      <c r="HK55" s="47"/>
      <c r="HL55" s="47"/>
      <c r="HM55" s="47"/>
      <c r="HN55" s="47"/>
      <c r="HO55" s="47"/>
      <c r="HP55" s="47"/>
      <c r="HQ55" s="47"/>
      <c r="HR55" s="47"/>
      <c r="HS55" s="47"/>
      <c r="HT55" s="47"/>
      <c r="HU55" s="47"/>
      <c r="HV55" s="47"/>
      <c r="HW55" s="47"/>
      <c r="HX55" s="47"/>
      <c r="HY55" s="47"/>
      <c r="HZ55" s="47"/>
      <c r="IA55" s="47"/>
      <c r="IB55" s="47"/>
      <c r="IC55" s="47"/>
      <c r="ID55" s="47"/>
      <c r="IE55" s="47"/>
      <c r="IF55" s="47"/>
      <c r="IG55" s="47"/>
      <c r="IH55" s="47"/>
      <c r="II55" s="47"/>
      <c r="IJ55" s="47"/>
      <c r="IK55" s="47"/>
      <c r="IL55" s="47"/>
      <c r="IM55" s="47"/>
      <c r="IN55" s="47"/>
      <c r="IO55" s="47"/>
      <c r="IP55" s="47"/>
      <c r="IQ55" s="47"/>
      <c r="IR55" s="47"/>
      <c r="IS55" s="47"/>
      <c r="IT55" s="47"/>
      <c r="IU55" s="47"/>
      <c r="IV55" s="47"/>
      <c r="IW55" s="47"/>
      <c r="IX55" s="47"/>
      <c r="IY55" s="47"/>
      <c r="IZ55" s="47"/>
      <c r="JA55" s="47"/>
      <c r="JB55" s="47"/>
      <c r="JC55" s="47"/>
      <c r="JD55" s="47"/>
      <c r="JE55" s="47"/>
      <c r="JF55" s="47"/>
      <c r="JG55" s="47"/>
      <c r="JH55" s="47"/>
      <c r="JI55" s="47"/>
      <c r="JJ55" s="47"/>
      <c r="JK55" s="47"/>
      <c r="JL55" s="47"/>
      <c r="JM55" s="47"/>
      <c r="JN55" s="47"/>
      <c r="JO55" s="47"/>
      <c r="JP55" s="47"/>
      <c r="JQ55" s="47"/>
      <c r="JR55" s="47"/>
      <c r="JS55" s="47"/>
      <c r="JT55" s="47"/>
      <c r="JU55" s="47"/>
      <c r="JV55" s="47"/>
      <c r="JW55" s="47"/>
      <c r="JX55" s="47"/>
      <c r="JY55" s="47"/>
      <c r="JZ55" s="47"/>
      <c r="KA55" s="47"/>
      <c r="KB55" s="47"/>
      <c r="KC55" s="47"/>
      <c r="KD55" s="47"/>
      <c r="KE55" s="47"/>
      <c r="KF55" s="47"/>
      <c r="KG55" s="47"/>
      <c r="KH55" s="47"/>
      <c r="KI55" s="47"/>
      <c r="KJ55" s="47"/>
      <c r="KK55" s="47"/>
      <c r="KL55" s="47"/>
      <c r="KM55" s="47"/>
      <c r="KN55" s="47"/>
      <c r="KO55" s="47"/>
      <c r="KP55" s="47"/>
      <c r="KQ55" s="47"/>
      <c r="KR55" s="47"/>
      <c r="KS55" s="47"/>
      <c r="KT55" s="47"/>
      <c r="KU55" s="47"/>
      <c r="KV55" s="47"/>
      <c r="KW55" s="47"/>
      <c r="KX55" s="47"/>
      <c r="KY55" s="47"/>
      <c r="KZ55" s="47"/>
      <c r="LA55" s="47"/>
      <c r="LB55" s="47"/>
      <c r="LC55" s="47"/>
      <c r="LD55" s="47"/>
      <c r="LE55" s="47"/>
      <c r="LF55" s="47"/>
      <c r="LG55" s="47"/>
      <c r="LH55" s="47"/>
      <c r="LI55" s="47"/>
      <c r="LJ55" s="47"/>
      <c r="LK55" s="47"/>
      <c r="LL55" s="47"/>
      <c r="LM55" s="47"/>
      <c r="LN55" s="47"/>
      <c r="LO55" s="47"/>
      <c r="LP55" s="47"/>
      <c r="LQ55" s="47"/>
      <c r="LR55" s="47"/>
      <c r="LS55" s="47"/>
      <c r="LT55" s="47"/>
      <c r="LU55" s="47"/>
      <c r="LV55" s="47"/>
      <c r="LW55" s="47"/>
      <c r="LX55" s="47"/>
      <c r="LY55" s="47"/>
      <c r="LZ55" s="47"/>
      <c r="MA55" s="47"/>
      <c r="MB55" s="47"/>
      <c r="MC55" s="47"/>
      <c r="MD55" s="47"/>
      <c r="ME55" s="47"/>
      <c r="MF55" s="47"/>
      <c r="MG55" s="47"/>
      <c r="MH55" s="47"/>
      <c r="MI55" s="47"/>
      <c r="MJ55" s="47"/>
      <c r="MK55" s="47"/>
      <c r="ML55" s="47"/>
      <c r="MM55" s="47"/>
      <c r="MN55" s="47"/>
      <c r="MO55" s="47"/>
      <c r="MP55" s="47"/>
      <c r="MQ55" s="47"/>
      <c r="MR55" s="47"/>
      <c r="MS55" s="47"/>
      <c r="MT55" s="47"/>
      <c r="MU55" s="47"/>
      <c r="MV55" s="47"/>
      <c r="MW55" s="47"/>
      <c r="MX55" s="47"/>
      <c r="MY55" s="47"/>
      <c r="MZ55" s="47"/>
      <c r="NA55" s="47"/>
      <c r="NB55" s="47"/>
      <c r="NC55" s="47"/>
      <c r="ND55" s="47"/>
      <c r="NE55" s="47"/>
      <c r="NF55" s="47"/>
      <c r="NG55" s="47"/>
      <c r="NH55" s="47"/>
      <c r="NI55" s="47"/>
      <c r="NJ55" s="44"/>
      <c r="NK55" s="44"/>
      <c r="NL55" s="44"/>
      <c r="NM55" s="44"/>
      <c r="NN55" s="44"/>
      <c r="NO55" s="47"/>
      <c r="NP55" s="47"/>
      <c r="NQ55" s="47"/>
      <c r="NR55" s="47"/>
      <c r="NS55" s="47"/>
      <c r="NT55" s="47"/>
      <c r="NU55" s="47"/>
      <c r="NV55" s="47"/>
      <c r="NW55" s="47"/>
      <c r="NX55" s="47"/>
      <c r="NY55" s="47"/>
      <c r="NZ55" s="47"/>
      <c r="OA55" s="47"/>
      <c r="OB55" s="47"/>
      <c r="OC55" s="47"/>
      <c r="OD55" s="47"/>
      <c r="OE55" s="47"/>
      <c r="OF55" s="47"/>
      <c r="OG55" s="47"/>
      <c r="OH55" s="47"/>
      <c r="OI55" s="47"/>
      <c r="OJ55" s="47"/>
      <c r="OK55" s="47"/>
      <c r="OL55" s="47"/>
      <c r="OM55" s="47"/>
      <c r="ON55" s="47"/>
      <c r="OO55" s="47"/>
      <c r="OP55" s="47"/>
      <c r="OQ55" s="47"/>
      <c r="OR55" s="47"/>
      <c r="OS55" s="47"/>
      <c r="OT55" s="47"/>
      <c r="OU55" s="47"/>
      <c r="OV55" s="47"/>
      <c r="OW55" s="47"/>
      <c r="OX55" s="47"/>
      <c r="OY55" s="47"/>
      <c r="OZ55" s="47"/>
      <c r="PA55" s="47"/>
      <c r="PB55" s="47"/>
      <c r="PC55" s="47"/>
      <c r="PD55" s="47"/>
      <c r="PE55" s="47"/>
      <c r="PF55" s="47"/>
      <c r="PG55" s="47"/>
      <c r="PH55" s="47"/>
      <c r="PI55" s="47"/>
      <c r="PJ55" s="47"/>
      <c r="PK55" s="47"/>
      <c r="PL55" s="47"/>
      <c r="PM55" s="47"/>
      <c r="PN55" s="47"/>
      <c r="PO55" s="47"/>
      <c r="PP55" s="47"/>
      <c r="PQ55" s="47"/>
      <c r="PR55" s="47"/>
      <c r="PS55" s="47"/>
      <c r="PT55" s="47"/>
      <c r="PU55" s="47"/>
      <c r="PV55" s="47"/>
      <c r="PW55" s="47"/>
      <c r="PX55" s="47"/>
      <c r="PY55" s="47"/>
      <c r="PZ55" s="47"/>
      <c r="QA55" s="47"/>
      <c r="QB55" s="47"/>
      <c r="QC55" s="47"/>
      <c r="QD55" s="47"/>
      <c r="QE55" s="47"/>
      <c r="QF55" s="47"/>
      <c r="QG55" s="47"/>
      <c r="QH55" s="47"/>
      <c r="QI55" s="47"/>
      <c r="QJ55" s="47"/>
      <c r="QK55" s="47"/>
      <c r="QL55" s="47"/>
      <c r="QM55" s="47"/>
      <c r="QN55" s="47"/>
      <c r="QO55" s="47"/>
      <c r="QP55" s="47"/>
      <c r="QQ55" s="47"/>
      <c r="QR55" s="47"/>
      <c r="QS55" s="47"/>
      <c r="QT55" s="47"/>
      <c r="QU55" s="47"/>
      <c r="QV55" s="47"/>
      <c r="QW55" s="47"/>
      <c r="QX55" s="47"/>
      <c r="QY55" s="47"/>
      <c r="QZ55" s="47"/>
      <c r="RA55" s="47"/>
      <c r="RB55" s="47"/>
      <c r="RC55" s="47"/>
      <c r="RD55" s="47"/>
      <c r="RE55" s="47"/>
      <c r="RF55" s="47"/>
      <c r="RG55" s="47"/>
      <c r="RH55" s="47"/>
      <c r="RI55" s="47"/>
      <c r="RJ55" s="47"/>
      <c r="RK55" s="47"/>
      <c r="RL55" s="47"/>
      <c r="RM55" s="47"/>
      <c r="RN55" s="47"/>
      <c r="RO55" s="47"/>
      <c r="RP55" s="47"/>
      <c r="RQ55" s="47"/>
      <c r="RR55" s="47"/>
      <c r="RS55" s="47"/>
      <c r="RT55" s="47"/>
      <c r="RU55" s="47"/>
      <c r="RV55" s="47"/>
      <c r="RW55" s="47"/>
      <c r="RX55" s="47"/>
      <c r="RY55" s="47"/>
      <c r="RZ55" s="47"/>
      <c r="SA55" s="47"/>
      <c r="SB55" s="47"/>
      <c r="SC55" s="47"/>
      <c r="SD55" s="47"/>
      <c r="SE55" s="47"/>
      <c r="SF55" s="47"/>
      <c r="SG55" s="47"/>
      <c r="SH55" s="47"/>
      <c r="SI55" s="47"/>
      <c r="SJ55" s="47"/>
      <c r="SK55" s="47"/>
      <c r="SL55" s="47"/>
      <c r="SM55" s="47"/>
      <c r="SN55" s="47"/>
      <c r="SO55" s="47"/>
      <c r="SP55" s="47"/>
      <c r="SQ55" s="47"/>
      <c r="SR55" s="47"/>
      <c r="SS55" s="47"/>
      <c r="ST55" s="47"/>
      <c r="SU55" s="47"/>
      <c r="SV55" s="47"/>
      <c r="SW55" s="47"/>
      <c r="SX55" s="47"/>
      <c r="SY55" s="47"/>
      <c r="SZ55" s="47"/>
      <c r="TA55" s="47"/>
      <c r="TB55" s="47"/>
      <c r="TC55" s="47"/>
      <c r="TD55" s="47"/>
      <c r="TE55" s="47"/>
      <c r="TF55" s="47"/>
      <c r="TG55" s="47"/>
      <c r="TH55" s="47"/>
      <c r="TI55" s="47"/>
      <c r="TJ55" s="47"/>
      <c r="TK55" s="47"/>
      <c r="TL55" s="47"/>
      <c r="TM55" s="47"/>
      <c r="TN55" s="47"/>
      <c r="TO55" s="47"/>
      <c r="TP55" s="47"/>
      <c r="TQ55" s="47"/>
      <c r="TR55" s="47"/>
      <c r="TS55" s="47"/>
      <c r="TT55" s="47"/>
      <c r="TU55" s="47"/>
      <c r="TV55" s="47"/>
      <c r="TW55" s="47"/>
      <c r="TX55" s="47" t="s">
        <v>837</v>
      </c>
      <c r="TY55" s="47"/>
      <c r="TZ55" s="47"/>
      <c r="UA55" s="47"/>
      <c r="UB55" s="47"/>
      <c r="UC55" s="47"/>
      <c r="UD55" s="47"/>
      <c r="UE55" s="47"/>
      <c r="UF55" s="47"/>
      <c r="UG55" s="47"/>
      <c r="UH55" s="47"/>
      <c r="UI55" s="47"/>
      <c r="UJ55" s="47"/>
      <c r="UK55" s="47"/>
      <c r="UL55" s="47"/>
      <c r="UM55" s="47"/>
      <c r="UN55" s="47"/>
      <c r="UO55" s="47"/>
      <c r="UP55" s="47"/>
      <c r="UQ55" s="47"/>
      <c r="UR55" s="47"/>
      <c r="US55" s="47"/>
      <c r="UT55" s="47"/>
      <c r="UU55" s="47"/>
      <c r="UV55" s="47"/>
      <c r="UW55" s="47"/>
      <c r="UX55" s="47"/>
      <c r="UY55" s="47"/>
      <c r="UZ55" s="47"/>
      <c r="VA55" s="47"/>
      <c r="VB55" s="47"/>
      <c r="VC55" s="47"/>
      <c r="VD55" s="47"/>
      <c r="VE55" s="47"/>
      <c r="VF55" s="47"/>
      <c r="VG55" s="47"/>
      <c r="VH55" s="47"/>
      <c r="VI55" s="47"/>
      <c r="VJ55" s="47"/>
      <c r="VK55" s="47"/>
      <c r="VL55" s="47"/>
      <c r="VM55" s="47"/>
      <c r="VN55" s="47"/>
      <c r="VO55" s="47"/>
      <c r="VP55" s="47"/>
      <c r="VQ55" s="47"/>
      <c r="VR55" s="47"/>
      <c r="VS55" s="47"/>
      <c r="VT55" s="47"/>
      <c r="VU55" s="47"/>
      <c r="VV55" s="47"/>
      <c r="VW55" s="47"/>
      <c r="VX55" s="47"/>
      <c r="VY55" s="47"/>
      <c r="VZ55" s="47"/>
      <c r="WA55" s="47"/>
      <c r="WB55" s="47"/>
      <c r="WC55" s="47"/>
      <c r="WD55" s="47"/>
      <c r="WE55" s="47"/>
      <c r="WF55" s="47"/>
      <c r="WG55" s="47"/>
      <c r="WH55" s="47"/>
      <c r="WI55" s="47"/>
      <c r="WJ55" s="47"/>
      <c r="WK55" s="47"/>
      <c r="WL55" s="47"/>
      <c r="WM55" s="47"/>
      <c r="WN55" s="47"/>
      <c r="WO55" s="47"/>
      <c r="WP55" s="47"/>
      <c r="WQ55" s="47"/>
      <c r="WR55" s="47"/>
      <c r="WS55" s="47"/>
      <c r="WT55" s="47"/>
      <c r="WU55" s="47"/>
      <c r="WV55" s="47"/>
      <c r="WW55" s="47"/>
      <c r="WX55" s="47"/>
      <c r="WY55" s="47"/>
      <c r="WZ55" s="47"/>
      <c r="XA55" s="47"/>
      <c r="XB55" s="47"/>
      <c r="XC55" s="47"/>
      <c r="XD55" s="47"/>
      <c r="XE55" s="47"/>
      <c r="XF55" s="47"/>
      <c r="XG55" s="47"/>
      <c r="XH55" s="47"/>
      <c r="XI55" s="47"/>
      <c r="XJ55" s="47"/>
      <c r="XK55" s="47"/>
      <c r="XL55" s="47"/>
      <c r="XM55" s="47"/>
      <c r="XN55" s="47"/>
      <c r="XO55" s="47"/>
      <c r="XP55" s="47"/>
      <c r="XQ55" s="47"/>
      <c r="XR55" s="47"/>
      <c r="XS55" s="47"/>
      <c r="XT55" s="47"/>
      <c r="XU55" s="47"/>
      <c r="XV55" s="47"/>
      <c r="XW55" s="47"/>
      <c r="XX55" s="47"/>
      <c r="XY55" s="47"/>
      <c r="XZ55" s="47"/>
      <c r="YA55" s="44"/>
      <c r="YB55" s="44"/>
      <c r="YC55" s="44"/>
      <c r="YD55" s="44"/>
      <c r="YE55" s="44"/>
      <c r="YF55" s="47"/>
      <c r="YG55" s="47"/>
      <c r="YH55" s="47"/>
      <c r="YI55" s="47"/>
      <c r="YJ55" s="47"/>
      <c r="YK55" s="47"/>
      <c r="YL55" s="47"/>
      <c r="YM55" s="47"/>
      <c r="YN55" s="47"/>
      <c r="YO55" s="47"/>
      <c r="YP55" s="47"/>
      <c r="YQ55" s="47"/>
      <c r="YR55" s="47"/>
      <c r="YS55" s="47"/>
      <c r="YT55" s="47"/>
      <c r="YU55" s="47"/>
      <c r="YV55" s="47"/>
      <c r="YW55" s="47"/>
      <c r="YX55" s="47"/>
      <c r="YY55" s="47"/>
      <c r="YZ55" s="47"/>
      <c r="ZA55" s="47"/>
      <c r="ZB55" s="47"/>
      <c r="ZC55" s="47"/>
      <c r="ZD55" s="47"/>
      <c r="ZE55" s="47"/>
      <c r="ZF55" s="47"/>
      <c r="ZG55" s="47"/>
      <c r="ZH55" s="47"/>
      <c r="ZI55" s="47"/>
      <c r="ZJ55" s="47"/>
      <c r="ZK55" s="47"/>
      <c r="ZL55" s="47"/>
      <c r="ZM55" s="47"/>
      <c r="ZN55" s="47"/>
      <c r="ZO55" s="47"/>
      <c r="ZP55" s="47"/>
      <c r="ZQ55" s="47"/>
      <c r="ZR55" s="47"/>
      <c r="ZS55" s="47"/>
      <c r="ZT55" s="47"/>
      <c r="ZU55" s="47"/>
      <c r="ZV55" s="47"/>
      <c r="ZW55" s="44"/>
      <c r="ZX55" s="44"/>
      <c r="ZY55" s="44"/>
      <c r="ZZ55" s="44"/>
      <c r="AAA55" s="44"/>
      <c r="AAB55" s="44"/>
      <c r="AAC55" s="44"/>
      <c r="AAD55" s="44"/>
      <c r="AAE55" s="44"/>
      <c r="AAF55" s="44"/>
      <c r="AAG55" s="47"/>
      <c r="AAH55" s="47"/>
      <c r="AAI55" s="47"/>
      <c r="AAJ55" s="47"/>
      <c r="AAK55" s="47"/>
      <c r="AAL55" s="47"/>
      <c r="AAM55" s="47"/>
      <c r="AAN55" s="47"/>
      <c r="AAO55" s="47"/>
      <c r="AAP55" s="47"/>
      <c r="AAQ55" s="47"/>
      <c r="AAR55" s="47"/>
      <c r="AAS55" s="47"/>
      <c r="AAT55" s="47"/>
      <c r="AAU55" s="47"/>
      <c r="AAV55" s="47"/>
      <c r="AAW55" s="47"/>
      <c r="AAX55" s="47"/>
      <c r="AAY55" s="47"/>
      <c r="AAZ55" s="47"/>
      <c r="ABA55" s="47"/>
      <c r="ABB55" s="47"/>
      <c r="ABC55" s="47"/>
      <c r="ABD55" s="47"/>
      <c r="ABE55" s="47"/>
      <c r="ABF55" s="47"/>
      <c r="ABG55" s="47"/>
      <c r="ABH55" s="47"/>
      <c r="ABI55" s="47"/>
      <c r="ABJ55" s="47"/>
      <c r="ABK55" s="47"/>
      <c r="ABL55" s="47"/>
      <c r="ABM55" s="47"/>
      <c r="ABN55" s="47"/>
      <c r="ABO55" s="47"/>
      <c r="ABP55" s="47"/>
      <c r="ABQ55" s="47"/>
      <c r="ABR55" s="47"/>
      <c r="ABS55" s="47"/>
      <c r="ABT55" s="47"/>
      <c r="ABU55" s="47"/>
      <c r="ABV55" s="47"/>
      <c r="ABW55" s="47"/>
      <c r="ABX55" s="47"/>
      <c r="ABY55" s="47"/>
      <c r="ABZ55" s="47"/>
      <c r="ACA55" s="47"/>
      <c r="ACB55" s="47"/>
      <c r="ACC55" s="47"/>
      <c r="ACD55" s="47"/>
      <c r="ACE55" s="47"/>
      <c r="ACF55" s="47"/>
      <c r="ACG55" s="47"/>
      <c r="ACH55" s="48"/>
    </row>
    <row r="56" spans="1:762" x14ac:dyDescent="0.25">
      <c r="A56" s="42" t="s">
        <v>103</v>
      </c>
      <c r="B56" s="43"/>
      <c r="C56" s="43"/>
      <c r="D56" s="43"/>
      <c r="E56" s="43"/>
      <c r="F56" s="43" t="s">
        <v>1954</v>
      </c>
      <c r="G56" s="43">
        <v>16.440000000000001</v>
      </c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>
        <v>1</v>
      </c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3"/>
      <c r="BX56" s="43"/>
      <c r="BY56" s="43"/>
      <c r="BZ56" s="43"/>
      <c r="CA56" s="43"/>
      <c r="CB56" s="43"/>
      <c r="CC56" s="43"/>
      <c r="CD56" s="43"/>
      <c r="CE56" s="43"/>
      <c r="CF56" s="43">
        <v>472</v>
      </c>
      <c r="CG56" s="43"/>
      <c r="CH56" s="43"/>
      <c r="CI56" s="43"/>
      <c r="CJ56" s="43"/>
      <c r="CK56" s="43"/>
      <c r="CL56" s="43"/>
      <c r="CM56" s="43"/>
      <c r="CN56" s="43"/>
      <c r="CO56" s="43"/>
      <c r="CP56" s="43"/>
      <c r="CQ56" s="43"/>
      <c r="CR56" s="43"/>
      <c r="CS56" s="43"/>
      <c r="CT56" s="43"/>
      <c r="CU56" s="43"/>
      <c r="CV56" s="43"/>
      <c r="CW56" s="43"/>
      <c r="CX56" s="43"/>
      <c r="CY56" s="43"/>
      <c r="CZ56" s="43"/>
      <c r="DA56" s="43"/>
      <c r="DB56" s="43"/>
      <c r="DC56" s="43"/>
      <c r="DD56" s="43">
        <v>16950</v>
      </c>
      <c r="DE56" s="43"/>
      <c r="DF56" s="43"/>
      <c r="DG56" s="43"/>
      <c r="DH56" s="43"/>
      <c r="DI56" s="43">
        <v>9500</v>
      </c>
      <c r="DJ56" s="43"/>
      <c r="DK56" s="43">
        <v>16500</v>
      </c>
      <c r="DL56" s="43"/>
      <c r="DM56" s="43"/>
      <c r="DN56" s="43"/>
      <c r="DO56" s="43"/>
      <c r="DP56" s="43"/>
      <c r="DQ56" s="43"/>
      <c r="DR56" s="43"/>
      <c r="DS56" s="43"/>
      <c r="DT56" s="43"/>
      <c r="DU56" s="43"/>
      <c r="DV56" s="43"/>
      <c r="DW56" s="43"/>
      <c r="DX56" s="43"/>
      <c r="DY56" s="43"/>
      <c r="DZ56" s="43"/>
      <c r="EA56" s="43"/>
      <c r="EB56" s="43"/>
      <c r="EC56" s="43"/>
      <c r="ED56" s="43"/>
      <c r="EE56" s="43"/>
      <c r="EF56" s="43" t="s">
        <v>1960</v>
      </c>
      <c r="EG56" s="43"/>
      <c r="EH56" s="43"/>
      <c r="EI56" s="43"/>
      <c r="EJ56" s="43"/>
      <c r="EK56" s="43"/>
      <c r="EL56" s="43"/>
      <c r="EM56" s="43">
        <v>1423</v>
      </c>
      <c r="EN56" s="43" t="s">
        <v>1961</v>
      </c>
      <c r="EO56" s="43"/>
      <c r="EP56" s="43"/>
      <c r="EQ56" s="43"/>
      <c r="ER56" s="43"/>
      <c r="ES56" s="43"/>
      <c r="ET56" s="43"/>
      <c r="EU56" s="43"/>
      <c r="EV56" s="43"/>
      <c r="EW56" s="43"/>
      <c r="EX56" s="43"/>
      <c r="EY56" s="43"/>
      <c r="EZ56" s="43"/>
      <c r="FA56" s="43"/>
      <c r="FB56" s="43"/>
      <c r="FC56" s="43"/>
      <c r="FD56" s="43"/>
      <c r="FE56" s="43"/>
      <c r="FF56" s="43"/>
      <c r="FG56" s="43"/>
      <c r="FH56" s="43"/>
      <c r="FI56" s="43"/>
      <c r="FJ56" s="43"/>
      <c r="FK56" s="43"/>
      <c r="FL56" s="43"/>
      <c r="FM56" s="43"/>
      <c r="FN56" s="43"/>
      <c r="FO56" s="43"/>
      <c r="FP56" s="43"/>
      <c r="FQ56" s="43"/>
      <c r="FR56" s="43"/>
      <c r="FS56" s="43"/>
      <c r="FT56" s="43"/>
      <c r="FU56" s="43"/>
      <c r="FV56" s="43"/>
      <c r="FW56" s="43"/>
      <c r="FX56" s="43"/>
      <c r="FY56" s="43"/>
      <c r="FZ56" s="43"/>
      <c r="GA56" s="43"/>
      <c r="GB56" s="43"/>
      <c r="GC56" s="43"/>
      <c r="GD56" s="43"/>
      <c r="GE56" s="43"/>
      <c r="GF56" s="43"/>
      <c r="GG56" s="43"/>
      <c r="GH56" s="43"/>
      <c r="GI56" s="43"/>
      <c r="GJ56" s="43"/>
      <c r="GK56" s="43"/>
      <c r="GL56" s="43"/>
      <c r="GM56" s="43"/>
      <c r="GN56" s="43"/>
      <c r="GO56" s="43"/>
      <c r="GP56" s="43"/>
      <c r="GQ56" s="43"/>
      <c r="GR56" s="43"/>
      <c r="GS56" s="43"/>
      <c r="GT56" s="43"/>
      <c r="GU56" s="43">
        <v>27</v>
      </c>
      <c r="GV56" s="43"/>
      <c r="GW56" s="43"/>
      <c r="GX56" s="43"/>
      <c r="GY56" s="43"/>
      <c r="GZ56" s="43"/>
      <c r="HA56" s="43" t="s">
        <v>1974</v>
      </c>
      <c r="HB56" s="43">
        <v>4365</v>
      </c>
      <c r="HC56" s="43"/>
      <c r="HD56" s="43"/>
      <c r="HE56" s="43"/>
      <c r="HF56" s="43"/>
      <c r="HG56" s="43"/>
      <c r="HH56" s="43"/>
      <c r="HI56" s="43"/>
      <c r="HJ56" s="43"/>
      <c r="HK56" s="43"/>
      <c r="HL56" s="43"/>
      <c r="HM56" s="43"/>
      <c r="HN56" s="43"/>
      <c r="HO56" s="43"/>
      <c r="HP56" s="43"/>
      <c r="HQ56" s="43"/>
      <c r="HR56" s="43"/>
      <c r="HS56" s="43"/>
      <c r="HT56" s="43"/>
      <c r="HU56" s="43"/>
      <c r="HV56" s="43"/>
      <c r="HW56" s="43"/>
      <c r="HX56" s="43"/>
      <c r="HY56" s="43"/>
      <c r="HZ56" s="43"/>
      <c r="IA56" s="43"/>
      <c r="IB56" s="43"/>
      <c r="IC56" s="43"/>
      <c r="ID56" s="43"/>
      <c r="IE56" s="43"/>
      <c r="IF56" s="43"/>
      <c r="IG56" s="43"/>
      <c r="IH56" s="43"/>
      <c r="II56" s="43"/>
      <c r="IJ56" s="43"/>
      <c r="IK56" s="43"/>
      <c r="IL56" s="43"/>
      <c r="IM56" s="43"/>
      <c r="IN56" s="43"/>
      <c r="IO56" s="43"/>
      <c r="IP56" s="43"/>
      <c r="IQ56" s="43"/>
      <c r="IR56" s="43"/>
      <c r="IS56" s="43"/>
      <c r="IT56" s="43"/>
      <c r="IU56" s="43"/>
      <c r="IV56" s="43"/>
      <c r="IW56" s="43"/>
      <c r="IX56" s="43"/>
      <c r="IY56" s="43"/>
      <c r="IZ56" s="43"/>
      <c r="JA56" s="43"/>
      <c r="JB56" s="43"/>
      <c r="JC56" s="43"/>
      <c r="JD56" s="43"/>
      <c r="JE56" s="43"/>
      <c r="JF56" s="43"/>
      <c r="JG56" s="43"/>
      <c r="JH56" s="43"/>
      <c r="JI56" s="43"/>
      <c r="JJ56" s="43"/>
      <c r="JK56" s="43"/>
      <c r="JL56" s="43"/>
      <c r="JM56" s="43">
        <v>138</v>
      </c>
      <c r="JN56" s="43"/>
      <c r="JO56" s="43"/>
      <c r="JP56" s="43"/>
      <c r="JQ56" s="43"/>
      <c r="JR56" s="43"/>
      <c r="JS56" s="43"/>
      <c r="JT56" s="43"/>
      <c r="JU56" s="43"/>
      <c r="JV56" s="43"/>
      <c r="JW56" s="43"/>
      <c r="JX56" s="43"/>
      <c r="JY56" s="43"/>
      <c r="JZ56" s="43"/>
      <c r="KA56" s="43"/>
      <c r="KB56" s="43"/>
      <c r="KC56" s="43"/>
      <c r="KD56" s="43"/>
      <c r="KE56" s="43"/>
      <c r="KF56" s="43"/>
      <c r="KG56" s="43"/>
      <c r="KH56" s="43"/>
      <c r="KI56" s="43"/>
      <c r="KJ56" s="43"/>
      <c r="KK56" s="43"/>
      <c r="KL56" s="43"/>
      <c r="KM56" s="43"/>
      <c r="KN56" s="43"/>
      <c r="KO56" s="43"/>
      <c r="KP56" s="43"/>
      <c r="KQ56" s="43"/>
      <c r="KR56" s="43"/>
      <c r="KS56" s="43"/>
      <c r="KT56" s="43"/>
      <c r="KU56" s="43"/>
      <c r="KV56" s="43"/>
      <c r="KW56" s="43"/>
      <c r="KX56" s="43"/>
      <c r="KY56" s="43"/>
      <c r="KZ56" s="43"/>
      <c r="LA56" s="43"/>
      <c r="LB56" s="43"/>
      <c r="LC56" s="43"/>
      <c r="LD56" s="43"/>
      <c r="LE56" s="43"/>
      <c r="LF56" s="43"/>
      <c r="LG56" s="43"/>
      <c r="LH56" s="43"/>
      <c r="LI56" s="43"/>
      <c r="LJ56" s="43"/>
      <c r="LK56" s="43"/>
      <c r="LL56" s="43"/>
      <c r="LM56" s="43"/>
      <c r="LN56" s="43"/>
      <c r="LO56" s="43"/>
      <c r="LP56" s="43"/>
      <c r="LQ56" s="43"/>
      <c r="LR56" s="43"/>
      <c r="LS56" s="43"/>
      <c r="LT56" s="43"/>
      <c r="LU56" s="43"/>
      <c r="LV56" s="43"/>
      <c r="LW56" s="43"/>
      <c r="LX56" s="43"/>
      <c r="LY56" s="43"/>
      <c r="LZ56" s="43">
        <v>2790</v>
      </c>
      <c r="MA56" s="43">
        <v>8397</v>
      </c>
      <c r="MB56" s="43"/>
      <c r="MC56" s="43"/>
      <c r="MD56" s="43"/>
      <c r="ME56" s="43"/>
      <c r="MF56" s="43"/>
      <c r="MG56" s="43"/>
      <c r="MH56" s="43"/>
      <c r="MI56" s="43"/>
      <c r="MJ56" s="43"/>
      <c r="MK56" s="43"/>
      <c r="ML56" s="43"/>
      <c r="MM56" s="43"/>
      <c r="MN56" s="43"/>
      <c r="MO56" s="43"/>
      <c r="MP56" s="43"/>
      <c r="MQ56" s="43"/>
      <c r="MR56" s="43"/>
      <c r="MS56" s="43"/>
      <c r="MT56" s="43"/>
      <c r="MU56" s="43"/>
      <c r="MV56" s="43"/>
      <c r="MW56" s="43"/>
      <c r="MX56" s="43"/>
      <c r="MY56" s="43"/>
      <c r="MZ56" s="43"/>
      <c r="NA56" s="43"/>
      <c r="NB56" s="43"/>
      <c r="NC56" s="43"/>
      <c r="ND56" s="43"/>
      <c r="NE56" s="43"/>
      <c r="NF56" s="43"/>
      <c r="NG56" s="43"/>
      <c r="NH56" s="43"/>
      <c r="NI56" s="43"/>
      <c r="NJ56" s="44"/>
      <c r="NK56" s="44"/>
      <c r="NL56" s="44"/>
      <c r="NM56" s="44"/>
      <c r="NN56" s="44"/>
      <c r="NO56" s="43">
        <v>8</v>
      </c>
      <c r="NP56" s="43"/>
      <c r="NQ56" s="43"/>
      <c r="NR56" s="43"/>
      <c r="NS56" s="43"/>
      <c r="NT56" s="43"/>
      <c r="NU56" s="43"/>
      <c r="NV56" s="43"/>
      <c r="NW56" s="43">
        <v>8.3000000000000007</v>
      </c>
      <c r="NX56" s="43"/>
      <c r="NY56" s="43"/>
      <c r="NZ56" s="43"/>
      <c r="OA56" s="43"/>
      <c r="OB56" s="43"/>
      <c r="OC56" s="43"/>
      <c r="OD56" s="43"/>
      <c r="OE56" s="43"/>
      <c r="OF56" s="43"/>
      <c r="OG56" s="43"/>
      <c r="OH56" s="43"/>
      <c r="OI56" s="43"/>
      <c r="OJ56" s="43"/>
      <c r="OK56" s="43"/>
      <c r="OL56" s="43"/>
      <c r="OM56" s="43"/>
      <c r="ON56" s="43"/>
      <c r="OO56" s="43"/>
      <c r="OP56" s="43"/>
      <c r="OQ56" s="43"/>
      <c r="OR56" s="43"/>
      <c r="OS56" s="43"/>
      <c r="OT56" s="43"/>
      <c r="OU56" s="43"/>
      <c r="OV56" s="43"/>
      <c r="OW56" s="43"/>
      <c r="OX56" s="43"/>
      <c r="OY56" s="43"/>
      <c r="OZ56" s="43"/>
      <c r="PA56" s="43"/>
      <c r="PB56" s="43"/>
      <c r="PC56" s="43"/>
      <c r="PD56" s="43"/>
      <c r="PE56" s="43"/>
      <c r="PF56" s="43"/>
      <c r="PG56" s="43"/>
      <c r="PH56" s="43"/>
      <c r="PI56" s="43"/>
      <c r="PJ56" s="43"/>
      <c r="PK56" s="43"/>
      <c r="PL56" s="43"/>
      <c r="PM56" s="43"/>
      <c r="PN56" s="43"/>
      <c r="PO56" s="43"/>
      <c r="PP56" s="43"/>
      <c r="PQ56" s="43"/>
      <c r="PR56" s="43"/>
      <c r="PS56" s="43"/>
      <c r="PT56" s="43"/>
      <c r="PU56" s="43"/>
      <c r="PV56" s="43"/>
      <c r="PW56" s="43"/>
      <c r="PX56" s="43"/>
      <c r="PY56" s="43"/>
      <c r="PZ56" s="43"/>
      <c r="QA56" s="43"/>
      <c r="QB56" s="43"/>
      <c r="QC56" s="43"/>
      <c r="QD56" s="43"/>
      <c r="QE56" s="43"/>
      <c r="QF56" s="43"/>
      <c r="QG56" s="43"/>
      <c r="QH56" s="43"/>
      <c r="QI56" s="43"/>
      <c r="QJ56" s="43"/>
      <c r="QK56" s="43">
        <v>90</v>
      </c>
      <c r="QL56" s="43"/>
      <c r="QM56" s="43"/>
      <c r="QN56" s="43"/>
      <c r="QO56" s="43"/>
      <c r="QP56" s="43"/>
      <c r="QQ56" s="43"/>
      <c r="QR56" s="43" t="s">
        <v>2005</v>
      </c>
      <c r="QS56" s="43"/>
      <c r="QT56" s="43"/>
      <c r="QU56" s="43"/>
      <c r="QV56" s="43"/>
      <c r="QW56" s="43"/>
      <c r="QX56" s="43"/>
      <c r="QY56" s="43"/>
      <c r="QZ56" s="43"/>
      <c r="RA56" s="43"/>
      <c r="RB56" s="43"/>
      <c r="RC56" s="43"/>
      <c r="RD56" s="43"/>
      <c r="RE56" s="43"/>
      <c r="RF56" s="43"/>
      <c r="RG56" s="43"/>
      <c r="RH56" s="43"/>
      <c r="RI56" s="43"/>
      <c r="RJ56" s="43"/>
      <c r="RK56" s="43"/>
      <c r="RL56" s="43"/>
      <c r="RM56" s="43"/>
      <c r="RN56" s="43"/>
      <c r="RO56" s="43"/>
      <c r="RP56" s="43"/>
      <c r="RQ56" s="43"/>
      <c r="RR56" s="43"/>
      <c r="RS56" s="43"/>
      <c r="RT56" s="43"/>
      <c r="RU56" s="43"/>
      <c r="RV56" s="43"/>
      <c r="RW56" s="43"/>
      <c r="RX56" s="43"/>
      <c r="RY56" s="43"/>
      <c r="RZ56" s="43"/>
      <c r="SA56" s="43"/>
      <c r="SB56" s="43"/>
      <c r="SC56" s="43"/>
      <c r="SD56" s="43"/>
      <c r="SE56" s="43"/>
      <c r="SF56" s="43"/>
      <c r="SG56" s="43"/>
      <c r="SH56" s="43"/>
      <c r="SI56" s="43"/>
      <c r="SJ56" s="43"/>
      <c r="SK56" s="43"/>
      <c r="SL56" s="43"/>
      <c r="SM56" s="43"/>
      <c r="SN56" s="43"/>
      <c r="SO56" s="43"/>
      <c r="SP56" s="43"/>
      <c r="SQ56" s="43"/>
      <c r="SR56" s="43"/>
      <c r="SS56" s="43"/>
      <c r="ST56" s="43"/>
      <c r="SU56" s="43"/>
      <c r="SV56" s="43"/>
      <c r="SW56" s="43"/>
      <c r="SX56" s="43"/>
      <c r="SY56" s="43"/>
      <c r="SZ56" s="43"/>
      <c r="TA56" s="43"/>
      <c r="TB56" s="43"/>
      <c r="TC56" s="43"/>
      <c r="TD56" s="43"/>
      <c r="TE56" s="43"/>
      <c r="TF56" s="43"/>
      <c r="TG56" s="43"/>
      <c r="TH56" s="43"/>
      <c r="TI56" s="43"/>
      <c r="TJ56" s="43"/>
      <c r="TK56" s="43"/>
      <c r="TL56" s="43"/>
      <c r="TM56" s="43"/>
      <c r="TN56" s="43"/>
      <c r="TO56" s="43"/>
      <c r="TP56" s="43"/>
      <c r="TQ56" s="43"/>
      <c r="TR56" s="43"/>
      <c r="TS56" s="43"/>
      <c r="TT56" s="43"/>
      <c r="TU56" s="43"/>
      <c r="TV56" s="43"/>
      <c r="TW56" s="43"/>
      <c r="TX56" s="43">
        <v>62</v>
      </c>
      <c r="TY56" s="43"/>
      <c r="TZ56" s="43"/>
      <c r="UA56" s="43"/>
      <c r="UB56" s="43"/>
      <c r="UC56" s="43"/>
      <c r="UD56" s="43">
        <v>175</v>
      </c>
      <c r="UE56" s="43"/>
      <c r="UF56" s="43"/>
      <c r="UG56" s="43"/>
      <c r="UH56" s="43"/>
      <c r="UI56" s="43"/>
      <c r="UJ56" s="43"/>
      <c r="UK56" s="43"/>
      <c r="UL56" s="43"/>
      <c r="UM56" s="43"/>
      <c r="UN56" s="43"/>
      <c r="UO56" s="43"/>
      <c r="UP56" s="43"/>
      <c r="UQ56" s="43"/>
      <c r="UR56" s="43"/>
      <c r="US56" s="43"/>
      <c r="UT56" s="43"/>
      <c r="UU56" s="43"/>
      <c r="UV56" s="43"/>
      <c r="UW56" s="43"/>
      <c r="UX56" s="43"/>
      <c r="UY56" s="43"/>
      <c r="UZ56" s="43"/>
      <c r="VA56" s="43"/>
      <c r="VB56" s="43"/>
      <c r="VC56" s="43"/>
      <c r="VD56" s="43"/>
      <c r="VE56" s="43"/>
      <c r="VF56" s="43"/>
      <c r="VG56" s="43"/>
      <c r="VH56" s="43"/>
      <c r="VI56" s="43"/>
      <c r="VJ56" s="43"/>
      <c r="VK56" s="43"/>
      <c r="VL56" s="43"/>
      <c r="VM56" s="43"/>
      <c r="VN56" s="43"/>
      <c r="VO56" s="43"/>
      <c r="VP56" s="43"/>
      <c r="VQ56" s="43"/>
      <c r="VR56" s="43"/>
      <c r="VS56" s="43"/>
      <c r="VT56" s="43" t="s">
        <v>2011</v>
      </c>
      <c r="VU56" s="43"/>
      <c r="VV56" s="43"/>
      <c r="VW56" s="43"/>
      <c r="VX56" s="43"/>
      <c r="VY56" s="43"/>
      <c r="VZ56" s="43"/>
      <c r="WA56" s="43"/>
      <c r="WB56" s="43"/>
      <c r="WC56" s="43"/>
      <c r="WD56" s="43"/>
      <c r="WE56" s="43"/>
      <c r="WF56" s="43"/>
      <c r="WG56" s="43"/>
      <c r="WH56" s="43"/>
      <c r="WI56" s="43"/>
      <c r="WJ56" s="43"/>
      <c r="WK56" s="43"/>
      <c r="WL56" s="43"/>
      <c r="WM56" s="43"/>
      <c r="WN56" s="43"/>
      <c r="WO56" s="43">
        <v>27</v>
      </c>
      <c r="WP56" s="43"/>
      <c r="WQ56" s="43"/>
      <c r="WR56" s="43"/>
      <c r="WS56" s="43"/>
      <c r="WT56" s="43"/>
      <c r="WU56" s="43"/>
      <c r="WV56" s="43"/>
      <c r="WW56" s="43"/>
      <c r="WX56" s="43"/>
      <c r="WY56" s="43"/>
      <c r="WZ56" s="43"/>
      <c r="XA56" s="43"/>
      <c r="XB56" s="43"/>
      <c r="XC56" s="43"/>
      <c r="XD56" s="43"/>
      <c r="XE56" s="43"/>
      <c r="XF56" s="43"/>
      <c r="XG56" s="43"/>
      <c r="XH56" s="43">
        <v>24.5</v>
      </c>
      <c r="XI56" s="43"/>
      <c r="XJ56" s="43"/>
      <c r="XK56" s="43"/>
      <c r="XL56" s="43"/>
      <c r="XM56" s="43"/>
      <c r="XN56" s="43"/>
      <c r="XO56" s="43"/>
      <c r="XP56" s="43"/>
      <c r="XQ56" s="43"/>
      <c r="XR56" s="43"/>
      <c r="XS56" s="43"/>
      <c r="XT56" s="43"/>
      <c r="XU56" s="43"/>
      <c r="XV56" s="43"/>
      <c r="XW56" s="43"/>
      <c r="XX56" s="43"/>
      <c r="XY56" s="43"/>
      <c r="XZ56" s="43"/>
      <c r="YA56" s="44"/>
      <c r="YB56" s="44"/>
      <c r="YC56" s="44"/>
      <c r="YD56" s="44"/>
      <c r="YE56" s="44"/>
      <c r="YF56" s="43">
        <v>5.43</v>
      </c>
      <c r="YG56" s="43"/>
      <c r="YH56" s="43"/>
      <c r="YI56" s="43"/>
      <c r="YJ56" s="43"/>
      <c r="YK56" s="43">
        <v>10.54</v>
      </c>
      <c r="YL56" s="43"/>
      <c r="YM56" s="43"/>
      <c r="YN56" s="43"/>
      <c r="YO56" s="43"/>
      <c r="YP56" s="43"/>
      <c r="YQ56" s="43"/>
      <c r="YR56" s="43"/>
      <c r="YS56" s="43"/>
      <c r="YT56" s="43"/>
      <c r="YU56" s="43"/>
      <c r="YV56" s="43"/>
      <c r="YW56" s="43"/>
      <c r="YX56" s="43"/>
      <c r="YY56" s="43"/>
      <c r="YZ56" s="43"/>
      <c r="ZA56" s="43"/>
      <c r="ZB56" s="43"/>
      <c r="ZC56" s="43">
        <v>305</v>
      </c>
      <c r="ZD56" s="43"/>
      <c r="ZE56" s="43"/>
      <c r="ZF56" s="43">
        <v>170</v>
      </c>
      <c r="ZG56" s="43"/>
      <c r="ZH56" s="43">
        <v>86</v>
      </c>
      <c r="ZI56" s="43"/>
      <c r="ZJ56" s="43"/>
      <c r="ZK56" s="43"/>
      <c r="ZL56" s="43"/>
      <c r="ZM56" s="43"/>
      <c r="ZN56" s="43"/>
      <c r="ZO56" s="43"/>
      <c r="ZP56" s="43"/>
      <c r="ZQ56" s="43"/>
      <c r="ZR56" s="43"/>
      <c r="ZS56" s="43"/>
      <c r="ZT56" s="43"/>
      <c r="ZU56" s="43"/>
      <c r="ZV56" s="43"/>
      <c r="ZW56" s="44"/>
      <c r="ZX56" s="44"/>
      <c r="ZY56" s="44"/>
      <c r="ZZ56" s="44"/>
      <c r="AAA56" s="44"/>
      <c r="AAB56" s="44"/>
      <c r="AAC56" s="44"/>
      <c r="AAD56" s="44"/>
      <c r="AAE56" s="44"/>
      <c r="AAF56" s="44"/>
      <c r="AAG56" s="43"/>
      <c r="AAH56" s="43"/>
      <c r="AAI56" s="43"/>
      <c r="AAJ56" s="43"/>
      <c r="AAK56" s="43"/>
      <c r="AAL56" s="43"/>
      <c r="AAM56" s="43"/>
      <c r="AAN56" s="43"/>
      <c r="AAO56" s="43"/>
      <c r="AAP56" s="43"/>
      <c r="AAQ56" s="43"/>
      <c r="AAR56" s="43"/>
      <c r="AAS56" s="43"/>
      <c r="AAT56" s="43"/>
      <c r="AAU56" s="43"/>
      <c r="AAV56" s="43"/>
      <c r="AAW56" s="43"/>
      <c r="AAX56" s="43"/>
      <c r="AAY56" s="43"/>
      <c r="AAZ56" s="43"/>
      <c r="ABA56" s="43"/>
      <c r="ABB56" s="43"/>
      <c r="ABC56" s="43"/>
      <c r="ABD56" s="43"/>
      <c r="ABE56" s="43"/>
      <c r="ABF56" s="43"/>
      <c r="ABG56" s="43"/>
      <c r="ABH56" s="43"/>
      <c r="ABI56" s="43"/>
      <c r="ABJ56" s="43"/>
      <c r="ABK56" s="43"/>
      <c r="ABL56" s="43"/>
      <c r="ABM56" s="43"/>
      <c r="ABN56" s="43"/>
      <c r="ABO56" s="43"/>
      <c r="ABP56" s="43"/>
      <c r="ABQ56" s="43"/>
      <c r="ABR56" s="43"/>
      <c r="ABS56" s="43"/>
      <c r="ABT56" s="43"/>
      <c r="ABU56" s="43"/>
      <c r="ABV56" s="43"/>
      <c r="ABW56" s="43"/>
      <c r="ABX56" s="43"/>
      <c r="ABY56" s="43"/>
      <c r="ABZ56" s="43"/>
      <c r="ACA56" s="43"/>
      <c r="ACB56" s="43"/>
      <c r="ACC56" s="43"/>
      <c r="ACD56" s="43"/>
      <c r="ACE56" s="43"/>
      <c r="ACF56" s="43"/>
      <c r="ACG56" s="43"/>
      <c r="ACH56" s="45"/>
    </row>
    <row r="57" spans="1:762" x14ac:dyDescent="0.25">
      <c r="A57" s="46" t="s">
        <v>105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  <c r="BW57" s="47"/>
      <c r="BX57" s="47"/>
      <c r="BY57" s="47"/>
      <c r="BZ57" s="47"/>
      <c r="CA57" s="47"/>
      <c r="CB57" s="47"/>
      <c r="CC57" s="47"/>
      <c r="CD57" s="47"/>
      <c r="CE57" s="47"/>
      <c r="CF57" s="47"/>
      <c r="CG57" s="47"/>
      <c r="CH57" s="47"/>
      <c r="CI57" s="47"/>
      <c r="CJ57" s="47"/>
      <c r="CK57" s="47"/>
      <c r="CL57" s="47"/>
      <c r="CM57" s="47"/>
      <c r="CN57" s="47"/>
      <c r="CO57" s="47"/>
      <c r="CP57" s="47"/>
      <c r="CQ57" s="47"/>
      <c r="CR57" s="47"/>
      <c r="CS57" s="47"/>
      <c r="CT57" s="47"/>
      <c r="CU57" s="47"/>
      <c r="CV57" s="47"/>
      <c r="CW57" s="47"/>
      <c r="CX57" s="47"/>
      <c r="CY57" s="47"/>
      <c r="CZ57" s="47"/>
      <c r="DA57" s="47"/>
      <c r="DB57" s="47"/>
      <c r="DC57" s="47"/>
      <c r="DD57" s="47"/>
      <c r="DE57" s="47"/>
      <c r="DF57" s="47"/>
      <c r="DG57" s="47"/>
      <c r="DH57" s="47"/>
      <c r="DI57" s="47"/>
      <c r="DJ57" s="47"/>
      <c r="DK57" s="47"/>
      <c r="DL57" s="47"/>
      <c r="DM57" s="47"/>
      <c r="DN57" s="47"/>
      <c r="DO57" s="47"/>
      <c r="DP57" s="47"/>
      <c r="DQ57" s="47"/>
      <c r="DR57" s="47"/>
      <c r="DS57" s="47"/>
      <c r="DT57" s="47"/>
      <c r="DU57" s="47"/>
      <c r="DV57" s="47"/>
      <c r="DW57" s="47"/>
      <c r="DX57" s="47"/>
      <c r="DY57" s="47"/>
      <c r="DZ57" s="47"/>
      <c r="EA57" s="47"/>
      <c r="EB57" s="47"/>
      <c r="EC57" s="47"/>
      <c r="ED57" s="47"/>
      <c r="EE57" s="47"/>
      <c r="EF57" s="47"/>
      <c r="EG57" s="47"/>
      <c r="EH57" s="47"/>
      <c r="EI57" s="47"/>
      <c r="EJ57" s="47"/>
      <c r="EK57" s="47"/>
      <c r="EL57" s="47"/>
      <c r="EM57" s="47"/>
      <c r="EN57" s="47"/>
      <c r="EO57" s="47"/>
      <c r="EP57" s="47"/>
      <c r="EQ57" s="47"/>
      <c r="ER57" s="47"/>
      <c r="ES57" s="47"/>
      <c r="ET57" s="47"/>
      <c r="EU57" s="47"/>
      <c r="EV57" s="47"/>
      <c r="EW57" s="47"/>
      <c r="EX57" s="47"/>
      <c r="EY57" s="47"/>
      <c r="EZ57" s="47"/>
      <c r="FA57" s="47"/>
      <c r="FB57" s="47"/>
      <c r="FC57" s="47"/>
      <c r="FD57" s="47"/>
      <c r="FE57" s="47"/>
      <c r="FF57" s="47"/>
      <c r="FG57" s="47"/>
      <c r="FH57" s="47"/>
      <c r="FI57" s="47"/>
      <c r="FJ57" s="47"/>
      <c r="FK57" s="47"/>
      <c r="FL57" s="47"/>
      <c r="FM57" s="47"/>
      <c r="FN57" s="47"/>
      <c r="FO57" s="47"/>
      <c r="FP57" s="47"/>
      <c r="FQ57" s="47"/>
      <c r="FR57" s="47"/>
      <c r="FS57" s="47"/>
      <c r="FT57" s="47"/>
      <c r="FU57" s="47"/>
      <c r="FV57" s="47"/>
      <c r="FW57" s="47"/>
      <c r="FX57" s="47"/>
      <c r="FY57" s="47"/>
      <c r="FZ57" s="47"/>
      <c r="GA57" s="47"/>
      <c r="GB57" s="47"/>
      <c r="GC57" s="47"/>
      <c r="GD57" s="47"/>
      <c r="GE57" s="47"/>
      <c r="GF57" s="47"/>
      <c r="GG57" s="47"/>
      <c r="GH57" s="47"/>
      <c r="GI57" s="47"/>
      <c r="GJ57" s="47"/>
      <c r="GK57" s="47"/>
      <c r="GL57" s="47"/>
      <c r="GM57" s="47"/>
      <c r="GN57" s="47"/>
      <c r="GO57" s="47"/>
      <c r="GP57" s="47"/>
      <c r="GQ57" s="47"/>
      <c r="GR57" s="47"/>
      <c r="GS57" s="47"/>
      <c r="GT57" s="47"/>
      <c r="GU57" s="47"/>
      <c r="GV57" s="47"/>
      <c r="GW57" s="47"/>
      <c r="GX57" s="47"/>
      <c r="GY57" s="47"/>
      <c r="GZ57" s="47"/>
      <c r="HA57" s="47"/>
      <c r="HB57" s="47"/>
      <c r="HC57" s="47"/>
      <c r="HD57" s="47"/>
      <c r="HE57" s="47"/>
      <c r="HF57" s="47"/>
      <c r="HG57" s="47"/>
      <c r="HH57" s="47"/>
      <c r="HI57" s="47"/>
      <c r="HJ57" s="47"/>
      <c r="HK57" s="47"/>
      <c r="HL57" s="47"/>
      <c r="HM57" s="47"/>
      <c r="HN57" s="47"/>
      <c r="HO57" s="47"/>
      <c r="HP57" s="47"/>
      <c r="HQ57" s="47"/>
      <c r="HR57" s="47"/>
      <c r="HS57" s="47"/>
      <c r="HT57" s="47"/>
      <c r="HU57" s="47"/>
      <c r="HV57" s="47"/>
      <c r="HW57" s="47"/>
      <c r="HX57" s="47"/>
      <c r="HY57" s="47"/>
      <c r="HZ57" s="47"/>
      <c r="IA57" s="47"/>
      <c r="IB57" s="47"/>
      <c r="IC57" s="47"/>
      <c r="ID57" s="47"/>
      <c r="IE57" s="47"/>
      <c r="IF57" s="47"/>
      <c r="IG57" s="47"/>
      <c r="IH57" s="47"/>
      <c r="II57" s="47"/>
      <c r="IJ57" s="47"/>
      <c r="IK57" s="47"/>
      <c r="IL57" s="47"/>
      <c r="IM57" s="47"/>
      <c r="IN57" s="47"/>
      <c r="IO57" s="47"/>
      <c r="IP57" s="47"/>
      <c r="IQ57" s="47"/>
      <c r="IR57" s="47"/>
      <c r="IS57" s="47"/>
      <c r="IT57" s="47"/>
      <c r="IU57" s="47"/>
      <c r="IV57" s="47"/>
      <c r="IW57" s="47"/>
      <c r="IX57" s="47"/>
      <c r="IY57" s="47"/>
      <c r="IZ57" s="47"/>
      <c r="JA57" s="47"/>
      <c r="JB57" s="47"/>
      <c r="JC57" s="47"/>
      <c r="JD57" s="47"/>
      <c r="JE57" s="47"/>
      <c r="JF57" s="47"/>
      <c r="JG57" s="47"/>
      <c r="JH57" s="47"/>
      <c r="JI57" s="47"/>
      <c r="JJ57" s="47"/>
      <c r="JK57" s="47"/>
      <c r="JL57" s="47"/>
      <c r="JM57" s="47"/>
      <c r="JN57" s="47"/>
      <c r="JO57" s="47"/>
      <c r="JP57" s="47"/>
      <c r="JQ57" s="47"/>
      <c r="JR57" s="47"/>
      <c r="JS57" s="47"/>
      <c r="JT57" s="47"/>
      <c r="JU57" s="47"/>
      <c r="JV57" s="47"/>
      <c r="JW57" s="47"/>
      <c r="JX57" s="47"/>
      <c r="JY57" s="47"/>
      <c r="JZ57" s="47"/>
      <c r="KA57" s="47"/>
      <c r="KB57" s="47"/>
      <c r="KC57" s="47"/>
      <c r="KD57" s="47"/>
      <c r="KE57" s="47"/>
      <c r="KF57" s="47"/>
      <c r="KG57" s="47"/>
      <c r="KH57" s="47"/>
      <c r="KI57" s="47"/>
      <c r="KJ57" s="47"/>
      <c r="KK57" s="47"/>
      <c r="KL57" s="47"/>
      <c r="KM57" s="47"/>
      <c r="KN57" s="47"/>
      <c r="KO57" s="47"/>
      <c r="KP57" s="47"/>
      <c r="KQ57" s="47"/>
      <c r="KR57" s="47"/>
      <c r="KS57" s="47"/>
      <c r="KT57" s="47"/>
      <c r="KU57" s="47"/>
      <c r="KV57" s="47"/>
      <c r="KW57" s="47"/>
      <c r="KX57" s="47"/>
      <c r="KY57" s="47"/>
      <c r="KZ57" s="47"/>
      <c r="LA57" s="47"/>
      <c r="LB57" s="47"/>
      <c r="LC57" s="47"/>
      <c r="LD57" s="47"/>
      <c r="LE57" s="47"/>
      <c r="LF57" s="47"/>
      <c r="LG57" s="47"/>
      <c r="LH57" s="47"/>
      <c r="LI57" s="47"/>
      <c r="LJ57" s="47"/>
      <c r="LK57" s="47"/>
      <c r="LL57" s="47"/>
      <c r="LM57" s="47"/>
      <c r="LN57" s="47"/>
      <c r="LO57" s="47"/>
      <c r="LP57" s="47"/>
      <c r="LQ57" s="47"/>
      <c r="LR57" s="47"/>
      <c r="LS57" s="47"/>
      <c r="LT57" s="47"/>
      <c r="LU57" s="47"/>
      <c r="LV57" s="47"/>
      <c r="LW57" s="47"/>
      <c r="LX57" s="47"/>
      <c r="LY57" s="47"/>
      <c r="LZ57" s="47"/>
      <c r="MA57" s="47"/>
      <c r="MB57" s="47"/>
      <c r="MC57" s="47"/>
      <c r="MD57" s="47"/>
      <c r="ME57" s="47"/>
      <c r="MF57" s="47"/>
      <c r="MG57" s="47"/>
      <c r="MH57" s="47"/>
      <c r="MI57" s="47"/>
      <c r="MJ57" s="47"/>
      <c r="MK57" s="47"/>
      <c r="ML57" s="47"/>
      <c r="MM57" s="47"/>
      <c r="MN57" s="47"/>
      <c r="MO57" s="47"/>
      <c r="MP57" s="47"/>
      <c r="MQ57" s="47"/>
      <c r="MR57" s="47"/>
      <c r="MS57" s="47"/>
      <c r="MT57" s="47"/>
      <c r="MU57" s="47"/>
      <c r="MV57" s="47"/>
      <c r="MW57" s="47"/>
      <c r="MX57" s="47"/>
      <c r="MY57" s="47"/>
      <c r="MZ57" s="47"/>
      <c r="NA57" s="47"/>
      <c r="NB57" s="47"/>
      <c r="NC57" s="47"/>
      <c r="ND57" s="47"/>
      <c r="NE57" s="47"/>
      <c r="NF57" s="47"/>
      <c r="NG57" s="47"/>
      <c r="NH57" s="47"/>
      <c r="NI57" s="47"/>
      <c r="NJ57" s="44"/>
      <c r="NK57" s="44"/>
      <c r="NL57" s="44"/>
      <c r="NM57" s="44"/>
      <c r="NN57" s="44"/>
      <c r="NO57" s="47"/>
      <c r="NP57" s="47"/>
      <c r="NQ57" s="47"/>
      <c r="NR57" s="47"/>
      <c r="NS57" s="47"/>
      <c r="NT57" s="47"/>
      <c r="NU57" s="47"/>
      <c r="NV57" s="47"/>
      <c r="NW57" s="47"/>
      <c r="NX57" s="47"/>
      <c r="NY57" s="47"/>
      <c r="NZ57" s="47"/>
      <c r="OA57" s="47"/>
      <c r="OB57" s="47"/>
      <c r="OC57" s="47"/>
      <c r="OD57" s="47"/>
      <c r="OE57" s="47"/>
      <c r="OF57" s="47"/>
      <c r="OG57" s="47"/>
      <c r="OH57" s="47"/>
      <c r="OI57" s="47"/>
      <c r="OJ57" s="47"/>
      <c r="OK57" s="47"/>
      <c r="OL57" s="47"/>
      <c r="OM57" s="47"/>
      <c r="ON57" s="47"/>
      <c r="OO57" s="47"/>
      <c r="OP57" s="47"/>
      <c r="OQ57" s="47"/>
      <c r="OR57" s="47"/>
      <c r="OS57" s="47"/>
      <c r="OT57" s="47"/>
      <c r="OU57" s="47"/>
      <c r="OV57" s="47"/>
      <c r="OW57" s="47"/>
      <c r="OX57" s="47"/>
      <c r="OY57" s="47"/>
      <c r="OZ57" s="47"/>
      <c r="PA57" s="47"/>
      <c r="PB57" s="47"/>
      <c r="PC57" s="47"/>
      <c r="PD57" s="47"/>
      <c r="PE57" s="47"/>
      <c r="PF57" s="47"/>
      <c r="PG57" s="47"/>
      <c r="PH57" s="47"/>
      <c r="PI57" s="47"/>
      <c r="PJ57" s="47"/>
      <c r="PK57" s="47"/>
      <c r="PL57" s="47"/>
      <c r="PM57" s="47"/>
      <c r="PN57" s="47"/>
      <c r="PO57" s="47"/>
      <c r="PP57" s="47"/>
      <c r="PQ57" s="47"/>
      <c r="PR57" s="47"/>
      <c r="PS57" s="47"/>
      <c r="PT57" s="47"/>
      <c r="PU57" s="47"/>
      <c r="PV57" s="47"/>
      <c r="PW57" s="47"/>
      <c r="PX57" s="47"/>
      <c r="PY57" s="47"/>
      <c r="PZ57" s="47"/>
      <c r="QA57" s="47"/>
      <c r="QB57" s="47"/>
      <c r="QC57" s="47"/>
      <c r="QD57" s="47"/>
      <c r="QE57" s="47"/>
      <c r="QF57" s="47"/>
      <c r="QG57" s="47"/>
      <c r="QH57" s="47"/>
      <c r="QI57" s="47"/>
      <c r="QJ57" s="47"/>
      <c r="QK57" s="47"/>
      <c r="QL57" s="47"/>
      <c r="QM57" s="47"/>
      <c r="QN57" s="47"/>
      <c r="QO57" s="47"/>
      <c r="QP57" s="47"/>
      <c r="QQ57" s="47"/>
      <c r="QR57" s="47"/>
      <c r="QS57" s="47"/>
      <c r="QT57" s="47"/>
      <c r="QU57" s="47"/>
      <c r="QV57" s="47"/>
      <c r="QW57" s="47"/>
      <c r="QX57" s="47"/>
      <c r="QY57" s="47"/>
      <c r="QZ57" s="47"/>
      <c r="RA57" s="47"/>
      <c r="RB57" s="47"/>
      <c r="RC57" s="47"/>
      <c r="RD57" s="47"/>
      <c r="RE57" s="47"/>
      <c r="RF57" s="47"/>
      <c r="RG57" s="47"/>
      <c r="RH57" s="47"/>
      <c r="RI57" s="47"/>
      <c r="RJ57" s="47"/>
      <c r="RK57" s="47"/>
      <c r="RL57" s="47"/>
      <c r="RM57" s="47"/>
      <c r="RN57" s="47"/>
      <c r="RO57" s="47"/>
      <c r="RP57" s="47"/>
      <c r="RQ57" s="47"/>
      <c r="RR57" s="47"/>
      <c r="RS57" s="47"/>
      <c r="RT57" s="47"/>
      <c r="RU57" s="47"/>
      <c r="RV57" s="47"/>
      <c r="RW57" s="47"/>
      <c r="RX57" s="47"/>
      <c r="RY57" s="47"/>
      <c r="RZ57" s="47"/>
      <c r="SA57" s="47"/>
      <c r="SB57" s="47"/>
      <c r="SC57" s="47"/>
      <c r="SD57" s="47"/>
      <c r="SE57" s="47"/>
      <c r="SF57" s="47"/>
      <c r="SG57" s="47"/>
      <c r="SH57" s="47"/>
      <c r="SI57" s="47"/>
      <c r="SJ57" s="47"/>
      <c r="SK57" s="47"/>
      <c r="SL57" s="47"/>
      <c r="SM57" s="47"/>
      <c r="SN57" s="47"/>
      <c r="SO57" s="47"/>
      <c r="SP57" s="47"/>
      <c r="SQ57" s="47"/>
      <c r="SR57" s="47"/>
      <c r="SS57" s="47"/>
      <c r="ST57" s="47"/>
      <c r="SU57" s="47"/>
      <c r="SV57" s="47"/>
      <c r="SW57" s="47"/>
      <c r="SX57" s="47"/>
      <c r="SY57" s="47"/>
      <c r="SZ57" s="47"/>
      <c r="TA57" s="47"/>
      <c r="TB57" s="47"/>
      <c r="TC57" s="47"/>
      <c r="TD57" s="47"/>
      <c r="TE57" s="47"/>
      <c r="TF57" s="47"/>
      <c r="TG57" s="47"/>
      <c r="TH57" s="47"/>
      <c r="TI57" s="47"/>
      <c r="TJ57" s="47"/>
      <c r="TK57" s="47"/>
      <c r="TL57" s="47"/>
      <c r="TM57" s="47"/>
      <c r="TN57" s="47"/>
      <c r="TO57" s="47"/>
      <c r="TP57" s="47"/>
      <c r="TQ57" s="47"/>
      <c r="TR57" s="47"/>
      <c r="TS57" s="47"/>
      <c r="TT57" s="47"/>
      <c r="TU57" s="47"/>
      <c r="TV57" s="47"/>
      <c r="TW57" s="47"/>
      <c r="TX57" s="47" t="s">
        <v>837</v>
      </c>
      <c r="TY57" s="47"/>
      <c r="TZ57" s="47"/>
      <c r="UA57" s="47"/>
      <c r="UB57" s="47"/>
      <c r="UC57" s="47"/>
      <c r="UD57" s="47"/>
      <c r="UE57" s="47"/>
      <c r="UF57" s="47"/>
      <c r="UG57" s="47"/>
      <c r="UH57" s="47"/>
      <c r="UI57" s="47"/>
      <c r="UJ57" s="47"/>
      <c r="UK57" s="47"/>
      <c r="UL57" s="47"/>
      <c r="UM57" s="47"/>
      <c r="UN57" s="47"/>
      <c r="UO57" s="47"/>
      <c r="UP57" s="47"/>
      <c r="UQ57" s="47"/>
      <c r="UR57" s="47"/>
      <c r="US57" s="47"/>
      <c r="UT57" s="47"/>
      <c r="UU57" s="47"/>
      <c r="UV57" s="47"/>
      <c r="UW57" s="47"/>
      <c r="UX57" s="47"/>
      <c r="UY57" s="47"/>
      <c r="UZ57" s="47"/>
      <c r="VA57" s="47"/>
      <c r="VB57" s="47"/>
      <c r="VC57" s="47"/>
      <c r="VD57" s="47"/>
      <c r="VE57" s="47"/>
      <c r="VF57" s="47"/>
      <c r="VG57" s="47"/>
      <c r="VH57" s="47"/>
      <c r="VI57" s="47"/>
      <c r="VJ57" s="47"/>
      <c r="VK57" s="47"/>
      <c r="VL57" s="47"/>
      <c r="VM57" s="47"/>
      <c r="VN57" s="47"/>
      <c r="VO57" s="47"/>
      <c r="VP57" s="47"/>
      <c r="VQ57" s="47"/>
      <c r="VR57" s="47"/>
      <c r="VS57" s="47"/>
      <c r="VT57" s="47"/>
      <c r="VU57" s="47"/>
      <c r="VV57" s="47"/>
      <c r="VW57" s="47"/>
      <c r="VX57" s="47"/>
      <c r="VY57" s="47"/>
      <c r="VZ57" s="47"/>
      <c r="WA57" s="47"/>
      <c r="WB57" s="47"/>
      <c r="WC57" s="47"/>
      <c r="WD57" s="47"/>
      <c r="WE57" s="47"/>
      <c r="WF57" s="47"/>
      <c r="WG57" s="47"/>
      <c r="WH57" s="47"/>
      <c r="WI57" s="47"/>
      <c r="WJ57" s="47"/>
      <c r="WK57" s="47"/>
      <c r="WL57" s="47"/>
      <c r="WM57" s="47"/>
      <c r="WN57" s="47"/>
      <c r="WO57" s="47"/>
      <c r="WP57" s="47"/>
      <c r="WQ57" s="47"/>
      <c r="WR57" s="47"/>
      <c r="WS57" s="47"/>
      <c r="WT57" s="47"/>
      <c r="WU57" s="47"/>
      <c r="WV57" s="47"/>
      <c r="WW57" s="47"/>
      <c r="WX57" s="47"/>
      <c r="WY57" s="47"/>
      <c r="WZ57" s="47"/>
      <c r="XA57" s="47"/>
      <c r="XB57" s="47"/>
      <c r="XC57" s="47"/>
      <c r="XD57" s="47"/>
      <c r="XE57" s="47"/>
      <c r="XF57" s="47"/>
      <c r="XG57" s="47"/>
      <c r="XH57" s="47"/>
      <c r="XI57" s="47"/>
      <c r="XJ57" s="47"/>
      <c r="XK57" s="47"/>
      <c r="XL57" s="47"/>
      <c r="XM57" s="47"/>
      <c r="XN57" s="47"/>
      <c r="XO57" s="47"/>
      <c r="XP57" s="47"/>
      <c r="XQ57" s="47"/>
      <c r="XR57" s="47"/>
      <c r="XS57" s="47"/>
      <c r="XT57" s="47"/>
      <c r="XU57" s="47"/>
      <c r="XV57" s="47"/>
      <c r="XW57" s="47"/>
      <c r="XX57" s="47"/>
      <c r="XY57" s="47"/>
      <c r="XZ57" s="47"/>
      <c r="YA57" s="44"/>
      <c r="YB57" s="44"/>
      <c r="YC57" s="44"/>
      <c r="YD57" s="44"/>
      <c r="YE57" s="44"/>
      <c r="YF57" s="47"/>
      <c r="YG57" s="47"/>
      <c r="YH57" s="47"/>
      <c r="YI57" s="47"/>
      <c r="YJ57" s="47"/>
      <c r="YK57" s="47"/>
      <c r="YL57" s="47"/>
      <c r="YM57" s="47"/>
      <c r="YN57" s="47"/>
      <c r="YO57" s="47"/>
      <c r="YP57" s="47"/>
      <c r="YQ57" s="47"/>
      <c r="YR57" s="47"/>
      <c r="YS57" s="47"/>
      <c r="YT57" s="47"/>
      <c r="YU57" s="47"/>
      <c r="YV57" s="47"/>
      <c r="YW57" s="47"/>
      <c r="YX57" s="47"/>
      <c r="YY57" s="47"/>
      <c r="YZ57" s="47"/>
      <c r="ZA57" s="47"/>
      <c r="ZB57" s="47"/>
      <c r="ZC57" s="47"/>
      <c r="ZD57" s="47"/>
      <c r="ZE57" s="47"/>
      <c r="ZF57" s="47"/>
      <c r="ZG57" s="47"/>
      <c r="ZH57" s="47"/>
      <c r="ZI57" s="47"/>
      <c r="ZJ57" s="47"/>
      <c r="ZK57" s="47"/>
      <c r="ZL57" s="47"/>
      <c r="ZM57" s="47"/>
      <c r="ZN57" s="47"/>
      <c r="ZO57" s="47"/>
      <c r="ZP57" s="47"/>
      <c r="ZQ57" s="47"/>
      <c r="ZR57" s="47"/>
      <c r="ZS57" s="47"/>
      <c r="ZT57" s="47"/>
      <c r="ZU57" s="47"/>
      <c r="ZV57" s="47"/>
      <c r="ZW57" s="44"/>
      <c r="ZX57" s="44"/>
      <c r="ZY57" s="44"/>
      <c r="ZZ57" s="44"/>
      <c r="AAA57" s="44"/>
      <c r="AAB57" s="44"/>
      <c r="AAC57" s="44"/>
      <c r="AAD57" s="44"/>
      <c r="AAE57" s="44"/>
      <c r="AAF57" s="44"/>
      <c r="AAG57" s="47"/>
      <c r="AAH57" s="47"/>
      <c r="AAI57" s="47"/>
      <c r="AAJ57" s="47"/>
      <c r="AAK57" s="47"/>
      <c r="AAL57" s="47"/>
      <c r="AAM57" s="47"/>
      <c r="AAN57" s="47"/>
      <c r="AAO57" s="47"/>
      <c r="AAP57" s="47"/>
      <c r="AAQ57" s="47"/>
      <c r="AAR57" s="47"/>
      <c r="AAS57" s="47"/>
      <c r="AAT57" s="47"/>
      <c r="AAU57" s="47"/>
      <c r="AAV57" s="47"/>
      <c r="AAW57" s="47"/>
      <c r="AAX57" s="47"/>
      <c r="AAY57" s="47"/>
      <c r="AAZ57" s="47"/>
      <c r="ABA57" s="47"/>
      <c r="ABB57" s="47"/>
      <c r="ABC57" s="47"/>
      <c r="ABD57" s="47"/>
      <c r="ABE57" s="47"/>
      <c r="ABF57" s="47"/>
      <c r="ABG57" s="47"/>
      <c r="ABH57" s="47"/>
      <c r="ABI57" s="47"/>
      <c r="ABJ57" s="47"/>
      <c r="ABK57" s="47"/>
      <c r="ABL57" s="47"/>
      <c r="ABM57" s="47"/>
      <c r="ABN57" s="47"/>
      <c r="ABO57" s="47"/>
      <c r="ABP57" s="47"/>
      <c r="ABQ57" s="47"/>
      <c r="ABR57" s="47"/>
      <c r="ABS57" s="47"/>
      <c r="ABT57" s="47"/>
      <c r="ABU57" s="47"/>
      <c r="ABV57" s="47"/>
      <c r="ABW57" s="47"/>
      <c r="ABX57" s="47"/>
      <c r="ABY57" s="47"/>
      <c r="ABZ57" s="47"/>
      <c r="ACA57" s="47"/>
      <c r="ACB57" s="47"/>
      <c r="ACC57" s="47"/>
      <c r="ACD57" s="47"/>
      <c r="ACE57" s="47"/>
      <c r="ACF57" s="47"/>
      <c r="ACG57" s="47"/>
      <c r="ACH57" s="48"/>
    </row>
    <row r="58" spans="1:762" x14ac:dyDescent="0.25">
      <c r="A58" s="42" t="s">
        <v>106</v>
      </c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3"/>
      <c r="BX58" s="43"/>
      <c r="BY58" s="43"/>
      <c r="BZ58" s="43"/>
      <c r="CA58" s="43"/>
      <c r="CB58" s="43"/>
      <c r="CC58" s="43"/>
      <c r="CD58" s="43"/>
      <c r="CE58" s="43"/>
      <c r="CF58" s="43"/>
      <c r="CG58" s="43"/>
      <c r="CH58" s="43"/>
      <c r="CI58" s="43"/>
      <c r="CJ58" s="43"/>
      <c r="CK58" s="43"/>
      <c r="CL58" s="43"/>
      <c r="CM58" s="43"/>
      <c r="CN58" s="43"/>
      <c r="CO58" s="43"/>
      <c r="CP58" s="43"/>
      <c r="CQ58" s="43"/>
      <c r="CR58" s="43"/>
      <c r="CS58" s="43"/>
      <c r="CT58" s="43"/>
      <c r="CU58" s="43"/>
      <c r="CV58" s="43"/>
      <c r="CW58" s="43"/>
      <c r="CX58" s="43"/>
      <c r="CY58" s="43"/>
      <c r="CZ58" s="43"/>
      <c r="DA58" s="43"/>
      <c r="DB58" s="43"/>
      <c r="DC58" s="43"/>
      <c r="DD58" s="43"/>
      <c r="DE58" s="43"/>
      <c r="DF58" s="43"/>
      <c r="DG58" s="43"/>
      <c r="DH58" s="43"/>
      <c r="DI58" s="43"/>
      <c r="DJ58" s="43"/>
      <c r="DK58" s="43"/>
      <c r="DL58" s="43"/>
      <c r="DM58" s="43"/>
      <c r="DN58" s="43"/>
      <c r="DO58" s="43"/>
      <c r="DP58" s="43"/>
      <c r="DQ58" s="43"/>
      <c r="DR58" s="43"/>
      <c r="DS58" s="43"/>
      <c r="DT58" s="43"/>
      <c r="DU58" s="43"/>
      <c r="DV58" s="43"/>
      <c r="DW58" s="43"/>
      <c r="DX58" s="43"/>
      <c r="DY58" s="43"/>
      <c r="DZ58" s="43"/>
      <c r="EA58" s="43"/>
      <c r="EB58" s="43"/>
      <c r="EC58" s="43"/>
      <c r="ED58" s="43"/>
      <c r="EE58" s="43"/>
      <c r="EF58" s="43"/>
      <c r="EG58" s="43"/>
      <c r="EH58" s="43"/>
      <c r="EI58" s="43"/>
      <c r="EJ58" s="43"/>
      <c r="EK58" s="43"/>
      <c r="EL58" s="43"/>
      <c r="EM58" s="43"/>
      <c r="EN58" s="43"/>
      <c r="EO58" s="43"/>
      <c r="EP58" s="43"/>
      <c r="EQ58" s="43"/>
      <c r="ER58" s="43"/>
      <c r="ES58" s="43"/>
      <c r="ET58" s="43"/>
      <c r="EU58" s="43"/>
      <c r="EV58" s="43"/>
      <c r="EW58" s="43"/>
      <c r="EX58" s="43"/>
      <c r="EY58" s="43"/>
      <c r="EZ58" s="43"/>
      <c r="FA58" s="43"/>
      <c r="FB58" s="43"/>
      <c r="FC58" s="43"/>
      <c r="FD58" s="43"/>
      <c r="FE58" s="43"/>
      <c r="FF58" s="43"/>
      <c r="FG58" s="43"/>
      <c r="FH58" s="43"/>
      <c r="FI58" s="43"/>
      <c r="FJ58" s="43"/>
      <c r="FK58" s="43"/>
      <c r="FL58" s="43"/>
      <c r="FM58" s="43"/>
      <c r="FN58" s="43"/>
      <c r="FO58" s="43"/>
      <c r="FP58" s="43"/>
      <c r="FQ58" s="43"/>
      <c r="FR58" s="43"/>
      <c r="FS58" s="43"/>
      <c r="FT58" s="43"/>
      <c r="FU58" s="43"/>
      <c r="FV58" s="43"/>
      <c r="FW58" s="43"/>
      <c r="FX58" s="43"/>
      <c r="FY58" s="43"/>
      <c r="FZ58" s="43"/>
      <c r="GA58" s="43"/>
      <c r="GB58" s="43"/>
      <c r="GC58" s="43"/>
      <c r="GD58" s="43"/>
      <c r="GE58" s="43"/>
      <c r="GF58" s="43"/>
      <c r="GG58" s="43"/>
      <c r="GH58" s="43"/>
      <c r="GI58" s="43"/>
      <c r="GJ58" s="43"/>
      <c r="GK58" s="43"/>
      <c r="GL58" s="43"/>
      <c r="GM58" s="43"/>
      <c r="GN58" s="43"/>
      <c r="GO58" s="43"/>
      <c r="GP58" s="43"/>
      <c r="GQ58" s="43"/>
      <c r="GR58" s="43"/>
      <c r="GS58" s="43"/>
      <c r="GT58" s="43"/>
      <c r="GU58" s="43"/>
      <c r="GV58" s="43"/>
      <c r="GW58" s="43"/>
      <c r="GX58" s="43"/>
      <c r="GY58" s="43"/>
      <c r="GZ58" s="43"/>
      <c r="HA58" s="43"/>
      <c r="HB58" s="43"/>
      <c r="HC58" s="43"/>
      <c r="HD58" s="43"/>
      <c r="HE58" s="43"/>
      <c r="HF58" s="43"/>
      <c r="HG58" s="43"/>
      <c r="HH58" s="43"/>
      <c r="HI58" s="43"/>
      <c r="HJ58" s="43"/>
      <c r="HK58" s="43"/>
      <c r="HL58" s="43"/>
      <c r="HM58" s="43"/>
      <c r="HN58" s="43"/>
      <c r="HO58" s="43"/>
      <c r="HP58" s="43"/>
      <c r="HQ58" s="43"/>
      <c r="HR58" s="43"/>
      <c r="HS58" s="43"/>
      <c r="HT58" s="43"/>
      <c r="HU58" s="43"/>
      <c r="HV58" s="43"/>
      <c r="HW58" s="43"/>
      <c r="HX58" s="43"/>
      <c r="HY58" s="43"/>
      <c r="HZ58" s="43"/>
      <c r="IA58" s="43"/>
      <c r="IB58" s="43"/>
      <c r="IC58" s="43"/>
      <c r="ID58" s="43"/>
      <c r="IE58" s="43"/>
      <c r="IF58" s="43"/>
      <c r="IG58" s="43"/>
      <c r="IH58" s="43"/>
      <c r="II58" s="43"/>
      <c r="IJ58" s="43"/>
      <c r="IK58" s="43"/>
      <c r="IL58" s="43"/>
      <c r="IM58" s="43"/>
      <c r="IN58" s="43"/>
      <c r="IO58" s="43"/>
      <c r="IP58" s="43"/>
      <c r="IQ58" s="43"/>
      <c r="IR58" s="43"/>
      <c r="IS58" s="43"/>
      <c r="IT58" s="43"/>
      <c r="IU58" s="43"/>
      <c r="IV58" s="43"/>
      <c r="IW58" s="43"/>
      <c r="IX58" s="43"/>
      <c r="IY58" s="43"/>
      <c r="IZ58" s="43"/>
      <c r="JA58" s="43"/>
      <c r="JB58" s="43"/>
      <c r="JC58" s="43"/>
      <c r="JD58" s="43"/>
      <c r="JE58" s="43"/>
      <c r="JF58" s="43"/>
      <c r="JG58" s="43"/>
      <c r="JH58" s="43"/>
      <c r="JI58" s="43"/>
      <c r="JJ58" s="43"/>
      <c r="JK58" s="43"/>
      <c r="JL58" s="43"/>
      <c r="JM58" s="43"/>
      <c r="JN58" s="43"/>
      <c r="JO58" s="43"/>
      <c r="JP58" s="43"/>
      <c r="JQ58" s="43"/>
      <c r="JR58" s="43"/>
      <c r="JS58" s="43"/>
      <c r="JT58" s="43"/>
      <c r="JU58" s="43"/>
      <c r="JV58" s="43"/>
      <c r="JW58" s="43"/>
      <c r="JX58" s="43"/>
      <c r="JY58" s="43"/>
      <c r="JZ58" s="43"/>
      <c r="KA58" s="43"/>
      <c r="KB58" s="43"/>
      <c r="KC58" s="43"/>
      <c r="KD58" s="43"/>
      <c r="KE58" s="43"/>
      <c r="KF58" s="43"/>
      <c r="KG58" s="43"/>
      <c r="KH58" s="43"/>
      <c r="KI58" s="43"/>
      <c r="KJ58" s="43"/>
      <c r="KK58" s="43"/>
      <c r="KL58" s="43"/>
      <c r="KM58" s="43"/>
      <c r="KN58" s="43"/>
      <c r="KO58" s="43"/>
      <c r="KP58" s="43"/>
      <c r="KQ58" s="43"/>
      <c r="KR58" s="43"/>
      <c r="KS58" s="43"/>
      <c r="KT58" s="43"/>
      <c r="KU58" s="43"/>
      <c r="KV58" s="43"/>
      <c r="KW58" s="43"/>
      <c r="KX58" s="43"/>
      <c r="KY58" s="43"/>
      <c r="KZ58" s="43"/>
      <c r="LA58" s="43"/>
      <c r="LB58" s="43"/>
      <c r="LC58" s="43"/>
      <c r="LD58" s="43"/>
      <c r="LE58" s="43"/>
      <c r="LF58" s="43"/>
      <c r="LG58" s="43"/>
      <c r="LH58" s="43"/>
      <c r="LI58" s="43"/>
      <c r="LJ58" s="43"/>
      <c r="LK58" s="43"/>
      <c r="LL58" s="43"/>
      <c r="LM58" s="43"/>
      <c r="LN58" s="43"/>
      <c r="LO58" s="43"/>
      <c r="LP58" s="43"/>
      <c r="LQ58" s="43"/>
      <c r="LR58" s="43"/>
      <c r="LS58" s="43"/>
      <c r="LT58" s="43"/>
      <c r="LU58" s="43"/>
      <c r="LV58" s="43"/>
      <c r="LW58" s="43"/>
      <c r="LX58" s="43"/>
      <c r="LY58" s="43"/>
      <c r="LZ58" s="43"/>
      <c r="MA58" s="43"/>
      <c r="MB58" s="43"/>
      <c r="MC58" s="43"/>
      <c r="MD58" s="43"/>
      <c r="ME58" s="43"/>
      <c r="MF58" s="43"/>
      <c r="MG58" s="43"/>
      <c r="MH58" s="43"/>
      <c r="MI58" s="43"/>
      <c r="MJ58" s="43"/>
      <c r="MK58" s="43"/>
      <c r="ML58" s="43"/>
      <c r="MM58" s="43"/>
      <c r="MN58" s="43"/>
      <c r="MO58" s="43"/>
      <c r="MP58" s="43"/>
      <c r="MQ58" s="43"/>
      <c r="MR58" s="43"/>
      <c r="MS58" s="43"/>
      <c r="MT58" s="43"/>
      <c r="MU58" s="43"/>
      <c r="MV58" s="43"/>
      <c r="MW58" s="43"/>
      <c r="MX58" s="43"/>
      <c r="MY58" s="43"/>
      <c r="MZ58" s="43"/>
      <c r="NA58" s="43"/>
      <c r="NB58" s="43"/>
      <c r="NC58" s="43"/>
      <c r="ND58" s="43"/>
      <c r="NE58" s="43"/>
      <c r="NF58" s="43"/>
      <c r="NG58" s="43"/>
      <c r="NH58" s="43"/>
      <c r="NI58" s="43"/>
      <c r="NJ58" s="44"/>
      <c r="NK58" s="44"/>
      <c r="NL58" s="44"/>
      <c r="NM58" s="44"/>
      <c r="NN58" s="44"/>
      <c r="NO58" s="43"/>
      <c r="NP58" s="43"/>
      <c r="NQ58" s="43"/>
      <c r="NR58" s="43"/>
      <c r="NS58" s="43"/>
      <c r="NT58" s="43"/>
      <c r="NU58" s="43"/>
      <c r="NV58" s="43"/>
      <c r="NW58" s="43"/>
      <c r="NX58" s="43"/>
      <c r="NY58" s="43"/>
      <c r="NZ58" s="43"/>
      <c r="OA58" s="43"/>
      <c r="OB58" s="43"/>
      <c r="OC58" s="43"/>
      <c r="OD58" s="43"/>
      <c r="OE58" s="43"/>
      <c r="OF58" s="43"/>
      <c r="OG58" s="43"/>
      <c r="OH58" s="43"/>
      <c r="OI58" s="43"/>
      <c r="OJ58" s="43"/>
      <c r="OK58" s="43"/>
      <c r="OL58" s="43"/>
      <c r="OM58" s="43"/>
      <c r="ON58" s="43"/>
      <c r="OO58" s="43"/>
      <c r="OP58" s="43"/>
      <c r="OQ58" s="43"/>
      <c r="OR58" s="43"/>
      <c r="OS58" s="43"/>
      <c r="OT58" s="43"/>
      <c r="OU58" s="43"/>
      <c r="OV58" s="43"/>
      <c r="OW58" s="43"/>
      <c r="OX58" s="43"/>
      <c r="OY58" s="43"/>
      <c r="OZ58" s="43"/>
      <c r="PA58" s="43"/>
      <c r="PB58" s="43"/>
      <c r="PC58" s="43"/>
      <c r="PD58" s="43"/>
      <c r="PE58" s="43"/>
      <c r="PF58" s="43"/>
      <c r="PG58" s="43"/>
      <c r="PH58" s="43"/>
      <c r="PI58" s="43"/>
      <c r="PJ58" s="43"/>
      <c r="PK58" s="43"/>
      <c r="PL58" s="43"/>
      <c r="PM58" s="43"/>
      <c r="PN58" s="43"/>
      <c r="PO58" s="43"/>
      <c r="PP58" s="43"/>
      <c r="PQ58" s="43"/>
      <c r="PR58" s="43"/>
      <c r="PS58" s="43"/>
      <c r="PT58" s="43"/>
      <c r="PU58" s="43"/>
      <c r="PV58" s="43"/>
      <c r="PW58" s="43"/>
      <c r="PX58" s="43"/>
      <c r="PY58" s="43"/>
      <c r="PZ58" s="43"/>
      <c r="QA58" s="43"/>
      <c r="QB58" s="43"/>
      <c r="QC58" s="43"/>
      <c r="QD58" s="43"/>
      <c r="QE58" s="43"/>
      <c r="QF58" s="43"/>
      <c r="QG58" s="43"/>
      <c r="QH58" s="43"/>
      <c r="QI58" s="43"/>
      <c r="QJ58" s="43"/>
      <c r="QK58" s="43"/>
      <c r="QL58" s="43"/>
      <c r="QM58" s="43"/>
      <c r="QN58" s="43"/>
      <c r="QO58" s="43"/>
      <c r="QP58" s="43"/>
      <c r="QQ58" s="43"/>
      <c r="QR58" s="43"/>
      <c r="QS58" s="43"/>
      <c r="QT58" s="43"/>
      <c r="QU58" s="43"/>
      <c r="QV58" s="43"/>
      <c r="QW58" s="43"/>
      <c r="QX58" s="43"/>
      <c r="QY58" s="43"/>
      <c r="QZ58" s="43"/>
      <c r="RA58" s="43"/>
      <c r="RB58" s="43"/>
      <c r="RC58" s="43"/>
      <c r="RD58" s="43"/>
      <c r="RE58" s="43"/>
      <c r="RF58" s="43"/>
      <c r="RG58" s="43"/>
      <c r="RH58" s="43"/>
      <c r="RI58" s="43"/>
      <c r="RJ58" s="43"/>
      <c r="RK58" s="43"/>
      <c r="RL58" s="43"/>
      <c r="RM58" s="43"/>
      <c r="RN58" s="43"/>
      <c r="RO58" s="43"/>
      <c r="RP58" s="43"/>
      <c r="RQ58" s="43"/>
      <c r="RR58" s="43"/>
      <c r="RS58" s="43"/>
      <c r="RT58" s="43"/>
      <c r="RU58" s="43"/>
      <c r="RV58" s="43"/>
      <c r="RW58" s="43"/>
      <c r="RX58" s="43"/>
      <c r="RY58" s="43"/>
      <c r="RZ58" s="43"/>
      <c r="SA58" s="43"/>
      <c r="SB58" s="43"/>
      <c r="SC58" s="43"/>
      <c r="SD58" s="43"/>
      <c r="SE58" s="43"/>
      <c r="SF58" s="43"/>
      <c r="SG58" s="43"/>
      <c r="SH58" s="43"/>
      <c r="SI58" s="43"/>
      <c r="SJ58" s="43"/>
      <c r="SK58" s="43"/>
      <c r="SL58" s="43"/>
      <c r="SM58" s="43"/>
      <c r="SN58" s="43"/>
      <c r="SO58" s="43"/>
      <c r="SP58" s="43"/>
      <c r="SQ58" s="43"/>
      <c r="SR58" s="43"/>
      <c r="SS58" s="43"/>
      <c r="ST58" s="43"/>
      <c r="SU58" s="43"/>
      <c r="SV58" s="43"/>
      <c r="SW58" s="43"/>
      <c r="SX58" s="43"/>
      <c r="SY58" s="43"/>
      <c r="SZ58" s="43"/>
      <c r="TA58" s="43"/>
      <c r="TB58" s="43"/>
      <c r="TC58" s="43"/>
      <c r="TD58" s="43"/>
      <c r="TE58" s="43"/>
      <c r="TF58" s="43"/>
      <c r="TG58" s="43"/>
      <c r="TH58" s="43"/>
      <c r="TI58" s="43"/>
      <c r="TJ58" s="43"/>
      <c r="TK58" s="43"/>
      <c r="TL58" s="43"/>
      <c r="TM58" s="43"/>
      <c r="TN58" s="43"/>
      <c r="TO58" s="43"/>
      <c r="TP58" s="43"/>
      <c r="TQ58" s="43"/>
      <c r="TR58" s="43"/>
      <c r="TS58" s="43"/>
      <c r="TT58" s="43"/>
      <c r="TU58" s="43"/>
      <c r="TV58" s="43"/>
      <c r="TW58" s="43"/>
      <c r="TX58" s="43" t="s">
        <v>837</v>
      </c>
      <c r="TY58" s="43"/>
      <c r="TZ58" s="43"/>
      <c r="UA58" s="43"/>
      <c r="UB58" s="43"/>
      <c r="UC58" s="43"/>
      <c r="UD58" s="43"/>
      <c r="UE58" s="43"/>
      <c r="UF58" s="43"/>
      <c r="UG58" s="43"/>
      <c r="UH58" s="43"/>
      <c r="UI58" s="43"/>
      <c r="UJ58" s="43"/>
      <c r="UK58" s="43"/>
      <c r="UL58" s="43"/>
      <c r="UM58" s="43"/>
      <c r="UN58" s="43"/>
      <c r="UO58" s="43"/>
      <c r="UP58" s="43"/>
      <c r="UQ58" s="43"/>
      <c r="UR58" s="43"/>
      <c r="US58" s="43"/>
      <c r="UT58" s="43"/>
      <c r="UU58" s="43"/>
      <c r="UV58" s="43"/>
      <c r="UW58" s="43"/>
      <c r="UX58" s="43"/>
      <c r="UY58" s="43"/>
      <c r="UZ58" s="43"/>
      <c r="VA58" s="43"/>
      <c r="VB58" s="43"/>
      <c r="VC58" s="43"/>
      <c r="VD58" s="43"/>
      <c r="VE58" s="43"/>
      <c r="VF58" s="43"/>
      <c r="VG58" s="43"/>
      <c r="VH58" s="43"/>
      <c r="VI58" s="43"/>
      <c r="VJ58" s="43"/>
      <c r="VK58" s="43"/>
      <c r="VL58" s="43"/>
      <c r="VM58" s="43"/>
      <c r="VN58" s="43"/>
      <c r="VO58" s="43"/>
      <c r="VP58" s="43"/>
      <c r="VQ58" s="43"/>
      <c r="VR58" s="43"/>
      <c r="VS58" s="43"/>
      <c r="VT58" s="43"/>
      <c r="VU58" s="43"/>
      <c r="VV58" s="43"/>
      <c r="VW58" s="43"/>
      <c r="VX58" s="43"/>
      <c r="VY58" s="43"/>
      <c r="VZ58" s="43"/>
      <c r="WA58" s="43"/>
      <c r="WB58" s="43"/>
      <c r="WC58" s="43"/>
      <c r="WD58" s="43"/>
      <c r="WE58" s="43"/>
      <c r="WF58" s="43"/>
      <c r="WG58" s="43"/>
      <c r="WH58" s="43"/>
      <c r="WI58" s="43"/>
      <c r="WJ58" s="43"/>
      <c r="WK58" s="43"/>
      <c r="WL58" s="43"/>
      <c r="WM58" s="43"/>
      <c r="WN58" s="43"/>
      <c r="WO58" s="43"/>
      <c r="WP58" s="43"/>
      <c r="WQ58" s="43"/>
      <c r="WR58" s="43"/>
      <c r="WS58" s="43"/>
      <c r="WT58" s="43"/>
      <c r="WU58" s="43"/>
      <c r="WV58" s="43"/>
      <c r="WW58" s="43"/>
      <c r="WX58" s="43"/>
      <c r="WY58" s="43"/>
      <c r="WZ58" s="43"/>
      <c r="XA58" s="43"/>
      <c r="XB58" s="43"/>
      <c r="XC58" s="43"/>
      <c r="XD58" s="43"/>
      <c r="XE58" s="43"/>
      <c r="XF58" s="43"/>
      <c r="XG58" s="43"/>
      <c r="XH58" s="43"/>
      <c r="XI58" s="43"/>
      <c r="XJ58" s="43"/>
      <c r="XK58" s="43"/>
      <c r="XL58" s="43"/>
      <c r="XM58" s="43"/>
      <c r="XN58" s="43"/>
      <c r="XO58" s="43"/>
      <c r="XP58" s="43"/>
      <c r="XQ58" s="43"/>
      <c r="XR58" s="43"/>
      <c r="XS58" s="43"/>
      <c r="XT58" s="43"/>
      <c r="XU58" s="43"/>
      <c r="XV58" s="43"/>
      <c r="XW58" s="43"/>
      <c r="XX58" s="43"/>
      <c r="XY58" s="43"/>
      <c r="XZ58" s="43"/>
      <c r="YA58" s="44"/>
      <c r="YB58" s="44"/>
      <c r="YC58" s="44"/>
      <c r="YD58" s="44"/>
      <c r="YE58" s="44"/>
      <c r="YF58" s="43"/>
      <c r="YG58" s="43"/>
      <c r="YH58" s="43"/>
      <c r="YI58" s="43"/>
      <c r="YJ58" s="43"/>
      <c r="YK58" s="43"/>
      <c r="YL58" s="43"/>
      <c r="YM58" s="43"/>
      <c r="YN58" s="43"/>
      <c r="YO58" s="43"/>
      <c r="YP58" s="43"/>
      <c r="YQ58" s="43"/>
      <c r="YR58" s="43"/>
      <c r="YS58" s="43"/>
      <c r="YT58" s="43"/>
      <c r="YU58" s="43"/>
      <c r="YV58" s="43"/>
      <c r="YW58" s="43"/>
      <c r="YX58" s="43"/>
      <c r="YY58" s="43"/>
      <c r="YZ58" s="43"/>
      <c r="ZA58" s="43"/>
      <c r="ZB58" s="43"/>
      <c r="ZC58" s="43"/>
      <c r="ZD58" s="43"/>
      <c r="ZE58" s="43"/>
      <c r="ZF58" s="43"/>
      <c r="ZG58" s="43"/>
      <c r="ZH58" s="43"/>
      <c r="ZI58" s="43"/>
      <c r="ZJ58" s="43"/>
      <c r="ZK58" s="43"/>
      <c r="ZL58" s="43"/>
      <c r="ZM58" s="43"/>
      <c r="ZN58" s="43"/>
      <c r="ZO58" s="43"/>
      <c r="ZP58" s="43"/>
      <c r="ZQ58" s="43"/>
      <c r="ZR58" s="43"/>
      <c r="ZS58" s="43"/>
      <c r="ZT58" s="43"/>
      <c r="ZU58" s="43"/>
      <c r="ZV58" s="43"/>
      <c r="ZW58" s="44"/>
      <c r="ZX58" s="44"/>
      <c r="ZY58" s="44"/>
      <c r="ZZ58" s="44"/>
      <c r="AAA58" s="44"/>
      <c r="AAB58" s="44"/>
      <c r="AAC58" s="44"/>
      <c r="AAD58" s="44"/>
      <c r="AAE58" s="44"/>
      <c r="AAF58" s="44"/>
      <c r="AAG58" s="43"/>
      <c r="AAH58" s="43"/>
      <c r="AAI58" s="43"/>
      <c r="AAJ58" s="43"/>
      <c r="AAK58" s="43"/>
      <c r="AAL58" s="43"/>
      <c r="AAM58" s="43"/>
      <c r="AAN58" s="43"/>
      <c r="AAO58" s="43"/>
      <c r="AAP58" s="43"/>
      <c r="AAQ58" s="43"/>
      <c r="AAR58" s="43"/>
      <c r="AAS58" s="43"/>
      <c r="AAT58" s="43"/>
      <c r="AAU58" s="43"/>
      <c r="AAV58" s="43"/>
      <c r="AAW58" s="43"/>
      <c r="AAX58" s="43"/>
      <c r="AAY58" s="43"/>
      <c r="AAZ58" s="43"/>
      <c r="ABA58" s="43"/>
      <c r="ABB58" s="43"/>
      <c r="ABC58" s="43"/>
      <c r="ABD58" s="43"/>
      <c r="ABE58" s="43"/>
      <c r="ABF58" s="43"/>
      <c r="ABG58" s="43"/>
      <c r="ABH58" s="43"/>
      <c r="ABI58" s="43"/>
      <c r="ABJ58" s="43"/>
      <c r="ABK58" s="43"/>
      <c r="ABL58" s="43"/>
      <c r="ABM58" s="43"/>
      <c r="ABN58" s="43"/>
      <c r="ABO58" s="43"/>
      <c r="ABP58" s="43"/>
      <c r="ABQ58" s="43"/>
      <c r="ABR58" s="43"/>
      <c r="ABS58" s="43"/>
      <c r="ABT58" s="43"/>
      <c r="ABU58" s="43"/>
      <c r="ABV58" s="43"/>
      <c r="ABW58" s="43"/>
      <c r="ABX58" s="43"/>
      <c r="ABY58" s="43"/>
      <c r="ABZ58" s="43"/>
      <c r="ACA58" s="43"/>
      <c r="ACB58" s="43"/>
      <c r="ACC58" s="43"/>
      <c r="ACD58" s="43"/>
      <c r="ACE58" s="43"/>
      <c r="ACF58" s="43"/>
      <c r="ACG58" s="43"/>
      <c r="ACH58" s="45"/>
    </row>
    <row r="59" spans="1:762" x14ac:dyDescent="0.25">
      <c r="A59" s="46" t="s">
        <v>107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  <c r="BW59" s="47"/>
      <c r="BX59" s="47"/>
      <c r="BY59" s="47"/>
      <c r="BZ59" s="47"/>
      <c r="CA59" s="47"/>
      <c r="CB59" s="47"/>
      <c r="CC59" s="47"/>
      <c r="CD59" s="47"/>
      <c r="CE59" s="47"/>
      <c r="CF59" s="47"/>
      <c r="CG59" s="47"/>
      <c r="CH59" s="47"/>
      <c r="CI59" s="47"/>
      <c r="CJ59" s="47"/>
      <c r="CK59" s="47"/>
      <c r="CL59" s="47"/>
      <c r="CM59" s="47"/>
      <c r="CN59" s="47"/>
      <c r="CO59" s="47"/>
      <c r="CP59" s="47"/>
      <c r="CQ59" s="47"/>
      <c r="CR59" s="47"/>
      <c r="CS59" s="47"/>
      <c r="CT59" s="47"/>
      <c r="CU59" s="47"/>
      <c r="CV59" s="47"/>
      <c r="CW59" s="47"/>
      <c r="CX59" s="47"/>
      <c r="CY59" s="47"/>
      <c r="CZ59" s="47"/>
      <c r="DA59" s="47"/>
      <c r="DB59" s="47"/>
      <c r="DC59" s="47"/>
      <c r="DD59" s="47"/>
      <c r="DE59" s="47"/>
      <c r="DF59" s="47"/>
      <c r="DG59" s="47"/>
      <c r="DH59" s="47"/>
      <c r="DI59" s="47"/>
      <c r="DJ59" s="47"/>
      <c r="DK59" s="47"/>
      <c r="DL59" s="47"/>
      <c r="DM59" s="47"/>
      <c r="DN59" s="47"/>
      <c r="DO59" s="47"/>
      <c r="DP59" s="47"/>
      <c r="DQ59" s="47"/>
      <c r="DR59" s="47"/>
      <c r="DS59" s="47"/>
      <c r="DT59" s="47"/>
      <c r="DU59" s="47"/>
      <c r="DV59" s="47"/>
      <c r="DW59" s="47"/>
      <c r="DX59" s="47"/>
      <c r="DY59" s="47"/>
      <c r="DZ59" s="47"/>
      <c r="EA59" s="47"/>
      <c r="EB59" s="47"/>
      <c r="EC59" s="47"/>
      <c r="ED59" s="47"/>
      <c r="EE59" s="47"/>
      <c r="EF59" s="47"/>
      <c r="EG59" s="47"/>
      <c r="EH59" s="47"/>
      <c r="EI59" s="47"/>
      <c r="EJ59" s="47"/>
      <c r="EK59" s="47"/>
      <c r="EL59" s="47"/>
      <c r="EM59" s="47"/>
      <c r="EN59" s="47"/>
      <c r="EO59" s="47"/>
      <c r="EP59" s="47"/>
      <c r="EQ59" s="47"/>
      <c r="ER59" s="47"/>
      <c r="ES59" s="47"/>
      <c r="ET59" s="47"/>
      <c r="EU59" s="47"/>
      <c r="EV59" s="47"/>
      <c r="EW59" s="47"/>
      <c r="EX59" s="47"/>
      <c r="EY59" s="47"/>
      <c r="EZ59" s="47"/>
      <c r="FA59" s="47"/>
      <c r="FB59" s="47"/>
      <c r="FC59" s="47"/>
      <c r="FD59" s="47"/>
      <c r="FE59" s="47"/>
      <c r="FF59" s="47"/>
      <c r="FG59" s="47"/>
      <c r="FH59" s="47"/>
      <c r="FI59" s="47"/>
      <c r="FJ59" s="47"/>
      <c r="FK59" s="47"/>
      <c r="FL59" s="47"/>
      <c r="FM59" s="47"/>
      <c r="FN59" s="47"/>
      <c r="FO59" s="47"/>
      <c r="FP59" s="47"/>
      <c r="FQ59" s="47"/>
      <c r="FR59" s="47"/>
      <c r="FS59" s="47"/>
      <c r="FT59" s="47"/>
      <c r="FU59" s="47"/>
      <c r="FV59" s="47"/>
      <c r="FW59" s="47"/>
      <c r="FX59" s="47"/>
      <c r="FY59" s="47"/>
      <c r="FZ59" s="47"/>
      <c r="GA59" s="47"/>
      <c r="GB59" s="47"/>
      <c r="GC59" s="47"/>
      <c r="GD59" s="47"/>
      <c r="GE59" s="47"/>
      <c r="GF59" s="47"/>
      <c r="GG59" s="47"/>
      <c r="GH59" s="47"/>
      <c r="GI59" s="47"/>
      <c r="GJ59" s="47"/>
      <c r="GK59" s="47"/>
      <c r="GL59" s="47"/>
      <c r="GM59" s="47"/>
      <c r="GN59" s="47"/>
      <c r="GO59" s="47"/>
      <c r="GP59" s="47"/>
      <c r="GQ59" s="47"/>
      <c r="GR59" s="47"/>
      <c r="GS59" s="47"/>
      <c r="GT59" s="47"/>
      <c r="GU59" s="47"/>
      <c r="GV59" s="47"/>
      <c r="GW59" s="47"/>
      <c r="GX59" s="47"/>
      <c r="GY59" s="47"/>
      <c r="GZ59" s="47"/>
      <c r="HA59" s="47"/>
      <c r="HB59" s="47"/>
      <c r="HC59" s="47"/>
      <c r="HD59" s="47"/>
      <c r="HE59" s="47"/>
      <c r="HF59" s="47"/>
      <c r="HG59" s="47"/>
      <c r="HH59" s="47"/>
      <c r="HI59" s="47"/>
      <c r="HJ59" s="47"/>
      <c r="HK59" s="47"/>
      <c r="HL59" s="47"/>
      <c r="HM59" s="47"/>
      <c r="HN59" s="47"/>
      <c r="HO59" s="47"/>
      <c r="HP59" s="47"/>
      <c r="HQ59" s="47"/>
      <c r="HR59" s="47"/>
      <c r="HS59" s="47"/>
      <c r="HT59" s="47"/>
      <c r="HU59" s="47"/>
      <c r="HV59" s="47"/>
      <c r="HW59" s="47"/>
      <c r="HX59" s="47"/>
      <c r="HY59" s="47"/>
      <c r="HZ59" s="47"/>
      <c r="IA59" s="47"/>
      <c r="IB59" s="47"/>
      <c r="IC59" s="47"/>
      <c r="ID59" s="47"/>
      <c r="IE59" s="47"/>
      <c r="IF59" s="47"/>
      <c r="IG59" s="47"/>
      <c r="IH59" s="47"/>
      <c r="II59" s="47"/>
      <c r="IJ59" s="47"/>
      <c r="IK59" s="47"/>
      <c r="IL59" s="47"/>
      <c r="IM59" s="47"/>
      <c r="IN59" s="47"/>
      <c r="IO59" s="47"/>
      <c r="IP59" s="47"/>
      <c r="IQ59" s="47"/>
      <c r="IR59" s="47"/>
      <c r="IS59" s="47"/>
      <c r="IT59" s="47"/>
      <c r="IU59" s="47"/>
      <c r="IV59" s="47"/>
      <c r="IW59" s="47"/>
      <c r="IX59" s="47"/>
      <c r="IY59" s="47"/>
      <c r="IZ59" s="47"/>
      <c r="JA59" s="47"/>
      <c r="JB59" s="47"/>
      <c r="JC59" s="47"/>
      <c r="JD59" s="47"/>
      <c r="JE59" s="47"/>
      <c r="JF59" s="47"/>
      <c r="JG59" s="47"/>
      <c r="JH59" s="47"/>
      <c r="JI59" s="47"/>
      <c r="JJ59" s="47"/>
      <c r="JK59" s="47"/>
      <c r="JL59" s="47"/>
      <c r="JM59" s="47"/>
      <c r="JN59" s="47"/>
      <c r="JO59" s="47"/>
      <c r="JP59" s="47"/>
      <c r="JQ59" s="47"/>
      <c r="JR59" s="47"/>
      <c r="JS59" s="47"/>
      <c r="JT59" s="47"/>
      <c r="JU59" s="47"/>
      <c r="JV59" s="47"/>
      <c r="JW59" s="47"/>
      <c r="JX59" s="47"/>
      <c r="JY59" s="47"/>
      <c r="JZ59" s="47"/>
      <c r="KA59" s="47"/>
      <c r="KB59" s="47"/>
      <c r="KC59" s="47"/>
      <c r="KD59" s="47"/>
      <c r="KE59" s="47"/>
      <c r="KF59" s="47"/>
      <c r="KG59" s="47"/>
      <c r="KH59" s="47"/>
      <c r="KI59" s="47"/>
      <c r="KJ59" s="47"/>
      <c r="KK59" s="47"/>
      <c r="KL59" s="47"/>
      <c r="KM59" s="47"/>
      <c r="KN59" s="47"/>
      <c r="KO59" s="47"/>
      <c r="KP59" s="47"/>
      <c r="KQ59" s="47"/>
      <c r="KR59" s="47"/>
      <c r="KS59" s="47"/>
      <c r="KT59" s="47"/>
      <c r="KU59" s="47"/>
      <c r="KV59" s="47"/>
      <c r="KW59" s="47"/>
      <c r="KX59" s="47"/>
      <c r="KY59" s="47"/>
      <c r="KZ59" s="47"/>
      <c r="LA59" s="47"/>
      <c r="LB59" s="47"/>
      <c r="LC59" s="47"/>
      <c r="LD59" s="47"/>
      <c r="LE59" s="47"/>
      <c r="LF59" s="47"/>
      <c r="LG59" s="47"/>
      <c r="LH59" s="47"/>
      <c r="LI59" s="47"/>
      <c r="LJ59" s="47"/>
      <c r="LK59" s="47"/>
      <c r="LL59" s="47"/>
      <c r="LM59" s="47"/>
      <c r="LN59" s="47"/>
      <c r="LO59" s="47"/>
      <c r="LP59" s="47"/>
      <c r="LQ59" s="47"/>
      <c r="LR59" s="47"/>
      <c r="LS59" s="47"/>
      <c r="LT59" s="47"/>
      <c r="LU59" s="47"/>
      <c r="LV59" s="47"/>
      <c r="LW59" s="47"/>
      <c r="LX59" s="47"/>
      <c r="LY59" s="47"/>
      <c r="LZ59" s="47"/>
      <c r="MA59" s="47"/>
      <c r="MB59" s="47"/>
      <c r="MC59" s="47"/>
      <c r="MD59" s="47"/>
      <c r="ME59" s="47"/>
      <c r="MF59" s="47"/>
      <c r="MG59" s="47"/>
      <c r="MH59" s="47"/>
      <c r="MI59" s="47"/>
      <c r="MJ59" s="47"/>
      <c r="MK59" s="47"/>
      <c r="ML59" s="47"/>
      <c r="MM59" s="47"/>
      <c r="MN59" s="47"/>
      <c r="MO59" s="47"/>
      <c r="MP59" s="47"/>
      <c r="MQ59" s="47"/>
      <c r="MR59" s="47"/>
      <c r="MS59" s="47"/>
      <c r="MT59" s="47"/>
      <c r="MU59" s="47"/>
      <c r="MV59" s="47"/>
      <c r="MW59" s="47"/>
      <c r="MX59" s="47"/>
      <c r="MY59" s="47"/>
      <c r="MZ59" s="47"/>
      <c r="NA59" s="47"/>
      <c r="NB59" s="47"/>
      <c r="NC59" s="47"/>
      <c r="ND59" s="47"/>
      <c r="NE59" s="47"/>
      <c r="NF59" s="47"/>
      <c r="NG59" s="47"/>
      <c r="NH59" s="47"/>
      <c r="NI59" s="47"/>
      <c r="NJ59" s="44"/>
      <c r="NK59" s="44"/>
      <c r="NL59" s="44"/>
      <c r="NM59" s="44"/>
      <c r="NN59" s="44"/>
      <c r="NO59" s="47"/>
      <c r="NP59" s="47"/>
      <c r="NQ59" s="47"/>
      <c r="NR59" s="47"/>
      <c r="NS59" s="47"/>
      <c r="NT59" s="47"/>
      <c r="NU59" s="47"/>
      <c r="NV59" s="47"/>
      <c r="NW59" s="47"/>
      <c r="NX59" s="47"/>
      <c r="NY59" s="47"/>
      <c r="NZ59" s="47"/>
      <c r="OA59" s="47"/>
      <c r="OB59" s="47"/>
      <c r="OC59" s="47"/>
      <c r="OD59" s="47"/>
      <c r="OE59" s="47"/>
      <c r="OF59" s="47"/>
      <c r="OG59" s="47"/>
      <c r="OH59" s="47"/>
      <c r="OI59" s="47"/>
      <c r="OJ59" s="47"/>
      <c r="OK59" s="47"/>
      <c r="OL59" s="47"/>
      <c r="OM59" s="47"/>
      <c r="ON59" s="47"/>
      <c r="OO59" s="47"/>
      <c r="OP59" s="47"/>
      <c r="OQ59" s="47"/>
      <c r="OR59" s="47"/>
      <c r="OS59" s="47"/>
      <c r="OT59" s="47"/>
      <c r="OU59" s="47"/>
      <c r="OV59" s="47"/>
      <c r="OW59" s="47"/>
      <c r="OX59" s="47"/>
      <c r="OY59" s="47"/>
      <c r="OZ59" s="47"/>
      <c r="PA59" s="47"/>
      <c r="PB59" s="47"/>
      <c r="PC59" s="47"/>
      <c r="PD59" s="47"/>
      <c r="PE59" s="47"/>
      <c r="PF59" s="47"/>
      <c r="PG59" s="47"/>
      <c r="PH59" s="47"/>
      <c r="PI59" s="47"/>
      <c r="PJ59" s="47"/>
      <c r="PK59" s="47"/>
      <c r="PL59" s="47"/>
      <c r="PM59" s="47"/>
      <c r="PN59" s="47"/>
      <c r="PO59" s="47"/>
      <c r="PP59" s="47"/>
      <c r="PQ59" s="47"/>
      <c r="PR59" s="47"/>
      <c r="PS59" s="47"/>
      <c r="PT59" s="47"/>
      <c r="PU59" s="47"/>
      <c r="PV59" s="47"/>
      <c r="PW59" s="47"/>
      <c r="PX59" s="47"/>
      <c r="PY59" s="47"/>
      <c r="PZ59" s="47"/>
      <c r="QA59" s="47"/>
      <c r="QB59" s="47"/>
      <c r="QC59" s="47"/>
      <c r="QD59" s="47"/>
      <c r="QE59" s="47"/>
      <c r="QF59" s="47"/>
      <c r="QG59" s="47"/>
      <c r="QH59" s="47"/>
      <c r="QI59" s="47"/>
      <c r="QJ59" s="47"/>
      <c r="QK59" s="47"/>
      <c r="QL59" s="47"/>
      <c r="QM59" s="47"/>
      <c r="QN59" s="47"/>
      <c r="QO59" s="47"/>
      <c r="QP59" s="47"/>
      <c r="QQ59" s="47"/>
      <c r="QR59" s="47"/>
      <c r="QS59" s="47"/>
      <c r="QT59" s="47"/>
      <c r="QU59" s="47"/>
      <c r="QV59" s="47"/>
      <c r="QW59" s="47"/>
      <c r="QX59" s="47"/>
      <c r="QY59" s="47"/>
      <c r="QZ59" s="47"/>
      <c r="RA59" s="47"/>
      <c r="RB59" s="47"/>
      <c r="RC59" s="47"/>
      <c r="RD59" s="47"/>
      <c r="RE59" s="47"/>
      <c r="RF59" s="47"/>
      <c r="RG59" s="47"/>
      <c r="RH59" s="47"/>
      <c r="RI59" s="47"/>
      <c r="RJ59" s="47"/>
      <c r="RK59" s="47"/>
      <c r="RL59" s="47"/>
      <c r="RM59" s="47"/>
      <c r="RN59" s="47"/>
      <c r="RO59" s="47"/>
      <c r="RP59" s="47"/>
      <c r="RQ59" s="47"/>
      <c r="RR59" s="47"/>
      <c r="RS59" s="47"/>
      <c r="RT59" s="47"/>
      <c r="RU59" s="47"/>
      <c r="RV59" s="47"/>
      <c r="RW59" s="47"/>
      <c r="RX59" s="47"/>
      <c r="RY59" s="47"/>
      <c r="RZ59" s="47"/>
      <c r="SA59" s="47"/>
      <c r="SB59" s="47"/>
      <c r="SC59" s="47"/>
      <c r="SD59" s="47"/>
      <c r="SE59" s="47"/>
      <c r="SF59" s="47"/>
      <c r="SG59" s="47"/>
      <c r="SH59" s="47"/>
      <c r="SI59" s="47"/>
      <c r="SJ59" s="47"/>
      <c r="SK59" s="47"/>
      <c r="SL59" s="47"/>
      <c r="SM59" s="47"/>
      <c r="SN59" s="47"/>
      <c r="SO59" s="47"/>
      <c r="SP59" s="47"/>
      <c r="SQ59" s="47"/>
      <c r="SR59" s="47"/>
      <c r="SS59" s="47"/>
      <c r="ST59" s="47"/>
      <c r="SU59" s="47"/>
      <c r="SV59" s="47"/>
      <c r="SW59" s="47"/>
      <c r="SX59" s="47"/>
      <c r="SY59" s="47"/>
      <c r="SZ59" s="47"/>
      <c r="TA59" s="47"/>
      <c r="TB59" s="47"/>
      <c r="TC59" s="47"/>
      <c r="TD59" s="47"/>
      <c r="TE59" s="47"/>
      <c r="TF59" s="47"/>
      <c r="TG59" s="47"/>
      <c r="TH59" s="47"/>
      <c r="TI59" s="47"/>
      <c r="TJ59" s="47"/>
      <c r="TK59" s="47"/>
      <c r="TL59" s="47"/>
      <c r="TM59" s="47"/>
      <c r="TN59" s="47"/>
      <c r="TO59" s="47"/>
      <c r="TP59" s="47"/>
      <c r="TQ59" s="47"/>
      <c r="TR59" s="47"/>
      <c r="TS59" s="47"/>
      <c r="TT59" s="47"/>
      <c r="TU59" s="47"/>
      <c r="TV59" s="47"/>
      <c r="TW59" s="47"/>
      <c r="TX59" s="47" t="s">
        <v>837</v>
      </c>
      <c r="TY59" s="47"/>
      <c r="TZ59" s="47"/>
      <c r="UA59" s="47"/>
      <c r="UB59" s="47"/>
      <c r="UC59" s="47"/>
      <c r="UD59" s="47"/>
      <c r="UE59" s="47"/>
      <c r="UF59" s="47"/>
      <c r="UG59" s="47"/>
      <c r="UH59" s="47"/>
      <c r="UI59" s="47"/>
      <c r="UJ59" s="47"/>
      <c r="UK59" s="47"/>
      <c r="UL59" s="47"/>
      <c r="UM59" s="47"/>
      <c r="UN59" s="47"/>
      <c r="UO59" s="47"/>
      <c r="UP59" s="47"/>
      <c r="UQ59" s="47"/>
      <c r="UR59" s="47"/>
      <c r="US59" s="47"/>
      <c r="UT59" s="47"/>
      <c r="UU59" s="47"/>
      <c r="UV59" s="47"/>
      <c r="UW59" s="47"/>
      <c r="UX59" s="47"/>
      <c r="UY59" s="47"/>
      <c r="UZ59" s="47"/>
      <c r="VA59" s="47"/>
      <c r="VB59" s="47"/>
      <c r="VC59" s="47"/>
      <c r="VD59" s="47"/>
      <c r="VE59" s="47"/>
      <c r="VF59" s="47"/>
      <c r="VG59" s="47"/>
      <c r="VH59" s="47"/>
      <c r="VI59" s="47"/>
      <c r="VJ59" s="47"/>
      <c r="VK59" s="47"/>
      <c r="VL59" s="47"/>
      <c r="VM59" s="47"/>
      <c r="VN59" s="47"/>
      <c r="VO59" s="47"/>
      <c r="VP59" s="47"/>
      <c r="VQ59" s="47"/>
      <c r="VR59" s="47"/>
      <c r="VS59" s="47"/>
      <c r="VT59" s="47"/>
      <c r="VU59" s="47"/>
      <c r="VV59" s="47"/>
      <c r="VW59" s="47"/>
      <c r="VX59" s="47"/>
      <c r="VY59" s="47"/>
      <c r="VZ59" s="47"/>
      <c r="WA59" s="47"/>
      <c r="WB59" s="47"/>
      <c r="WC59" s="47"/>
      <c r="WD59" s="47"/>
      <c r="WE59" s="47"/>
      <c r="WF59" s="47"/>
      <c r="WG59" s="47"/>
      <c r="WH59" s="47"/>
      <c r="WI59" s="47"/>
      <c r="WJ59" s="47"/>
      <c r="WK59" s="47"/>
      <c r="WL59" s="47"/>
      <c r="WM59" s="47"/>
      <c r="WN59" s="47"/>
      <c r="WO59" s="47"/>
      <c r="WP59" s="47"/>
      <c r="WQ59" s="47"/>
      <c r="WR59" s="47"/>
      <c r="WS59" s="47"/>
      <c r="WT59" s="47"/>
      <c r="WU59" s="47"/>
      <c r="WV59" s="47"/>
      <c r="WW59" s="47"/>
      <c r="WX59" s="47"/>
      <c r="WY59" s="47"/>
      <c r="WZ59" s="47"/>
      <c r="XA59" s="47"/>
      <c r="XB59" s="47"/>
      <c r="XC59" s="47"/>
      <c r="XD59" s="47"/>
      <c r="XE59" s="47"/>
      <c r="XF59" s="47"/>
      <c r="XG59" s="47"/>
      <c r="XH59" s="47"/>
      <c r="XI59" s="47"/>
      <c r="XJ59" s="47"/>
      <c r="XK59" s="47"/>
      <c r="XL59" s="47"/>
      <c r="XM59" s="47"/>
      <c r="XN59" s="47"/>
      <c r="XO59" s="47"/>
      <c r="XP59" s="47"/>
      <c r="XQ59" s="47"/>
      <c r="XR59" s="47"/>
      <c r="XS59" s="47"/>
      <c r="XT59" s="47"/>
      <c r="XU59" s="47"/>
      <c r="XV59" s="47"/>
      <c r="XW59" s="47"/>
      <c r="XX59" s="47"/>
      <c r="XY59" s="47"/>
      <c r="XZ59" s="47"/>
      <c r="YA59" s="44"/>
      <c r="YB59" s="44"/>
      <c r="YC59" s="44"/>
      <c r="YD59" s="44"/>
      <c r="YE59" s="44"/>
      <c r="YF59" s="47"/>
      <c r="YG59" s="47"/>
      <c r="YH59" s="47"/>
      <c r="YI59" s="47"/>
      <c r="YJ59" s="47"/>
      <c r="YK59" s="47"/>
      <c r="YL59" s="47"/>
      <c r="YM59" s="47"/>
      <c r="YN59" s="47"/>
      <c r="YO59" s="47"/>
      <c r="YP59" s="47"/>
      <c r="YQ59" s="47"/>
      <c r="YR59" s="47"/>
      <c r="YS59" s="47"/>
      <c r="YT59" s="47"/>
      <c r="YU59" s="47"/>
      <c r="YV59" s="47"/>
      <c r="YW59" s="47"/>
      <c r="YX59" s="47"/>
      <c r="YY59" s="47"/>
      <c r="YZ59" s="47"/>
      <c r="ZA59" s="47"/>
      <c r="ZB59" s="47"/>
      <c r="ZC59" s="47"/>
      <c r="ZD59" s="47"/>
      <c r="ZE59" s="47"/>
      <c r="ZF59" s="47"/>
      <c r="ZG59" s="47"/>
      <c r="ZH59" s="47"/>
      <c r="ZI59" s="47"/>
      <c r="ZJ59" s="47"/>
      <c r="ZK59" s="47"/>
      <c r="ZL59" s="47"/>
      <c r="ZM59" s="47"/>
      <c r="ZN59" s="47"/>
      <c r="ZO59" s="47"/>
      <c r="ZP59" s="47"/>
      <c r="ZQ59" s="47"/>
      <c r="ZR59" s="47"/>
      <c r="ZS59" s="47"/>
      <c r="ZT59" s="47"/>
      <c r="ZU59" s="47"/>
      <c r="ZV59" s="47"/>
      <c r="ZW59" s="44"/>
      <c r="ZX59" s="44"/>
      <c r="ZY59" s="44"/>
      <c r="ZZ59" s="44"/>
      <c r="AAA59" s="44"/>
      <c r="AAB59" s="44"/>
      <c r="AAC59" s="44"/>
      <c r="AAD59" s="44"/>
      <c r="AAE59" s="44"/>
      <c r="AAF59" s="44"/>
      <c r="AAG59" s="47"/>
      <c r="AAH59" s="47"/>
      <c r="AAI59" s="47"/>
      <c r="AAJ59" s="47"/>
      <c r="AAK59" s="47"/>
      <c r="AAL59" s="47"/>
      <c r="AAM59" s="47"/>
      <c r="AAN59" s="47"/>
      <c r="AAO59" s="47"/>
      <c r="AAP59" s="47"/>
      <c r="AAQ59" s="47"/>
      <c r="AAR59" s="47"/>
      <c r="AAS59" s="47"/>
      <c r="AAT59" s="47"/>
      <c r="AAU59" s="47"/>
      <c r="AAV59" s="47"/>
      <c r="AAW59" s="47"/>
      <c r="AAX59" s="47"/>
      <c r="AAY59" s="47"/>
      <c r="AAZ59" s="47"/>
      <c r="ABA59" s="47"/>
      <c r="ABB59" s="47"/>
      <c r="ABC59" s="47"/>
      <c r="ABD59" s="47"/>
      <c r="ABE59" s="47"/>
      <c r="ABF59" s="47"/>
      <c r="ABG59" s="47"/>
      <c r="ABH59" s="47"/>
      <c r="ABI59" s="47"/>
      <c r="ABJ59" s="47"/>
      <c r="ABK59" s="47"/>
      <c r="ABL59" s="47"/>
      <c r="ABM59" s="47"/>
      <c r="ABN59" s="47"/>
      <c r="ABO59" s="47"/>
      <c r="ABP59" s="47"/>
      <c r="ABQ59" s="47"/>
      <c r="ABR59" s="47"/>
      <c r="ABS59" s="47"/>
      <c r="ABT59" s="47"/>
      <c r="ABU59" s="47"/>
      <c r="ABV59" s="47"/>
      <c r="ABW59" s="47"/>
      <c r="ABX59" s="47"/>
      <c r="ABY59" s="47"/>
      <c r="ABZ59" s="47"/>
      <c r="ACA59" s="47"/>
      <c r="ACB59" s="47"/>
      <c r="ACC59" s="47"/>
      <c r="ACD59" s="47"/>
      <c r="ACE59" s="47"/>
      <c r="ACF59" s="47"/>
      <c r="ACG59" s="47"/>
      <c r="ACH59" s="48"/>
    </row>
    <row r="60" spans="1:762" x14ac:dyDescent="0.25">
      <c r="A60" s="42" t="s">
        <v>108</v>
      </c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  <c r="BM60" s="43"/>
      <c r="BN60" s="43"/>
      <c r="BO60" s="43"/>
      <c r="BP60" s="43"/>
      <c r="BQ60" s="43"/>
      <c r="BR60" s="43"/>
      <c r="BS60" s="43"/>
      <c r="BT60" s="43"/>
      <c r="BU60" s="43"/>
      <c r="BV60" s="43"/>
      <c r="BW60" s="43"/>
      <c r="BX60" s="43"/>
      <c r="BY60" s="43"/>
      <c r="BZ60" s="43"/>
      <c r="CA60" s="43"/>
      <c r="CB60" s="43"/>
      <c r="CC60" s="43"/>
      <c r="CD60" s="43"/>
      <c r="CE60" s="43"/>
      <c r="CF60" s="43"/>
      <c r="CG60" s="43"/>
      <c r="CH60" s="43"/>
      <c r="CI60" s="43"/>
      <c r="CJ60" s="43"/>
      <c r="CK60" s="43"/>
      <c r="CL60" s="43"/>
      <c r="CM60" s="43"/>
      <c r="CN60" s="43"/>
      <c r="CO60" s="43"/>
      <c r="CP60" s="43"/>
      <c r="CQ60" s="43"/>
      <c r="CR60" s="43"/>
      <c r="CS60" s="43"/>
      <c r="CT60" s="43"/>
      <c r="CU60" s="43"/>
      <c r="CV60" s="43"/>
      <c r="CW60" s="43"/>
      <c r="CX60" s="43"/>
      <c r="CY60" s="43"/>
      <c r="CZ60" s="43"/>
      <c r="DA60" s="43"/>
      <c r="DB60" s="43"/>
      <c r="DC60" s="43"/>
      <c r="DD60" s="43"/>
      <c r="DE60" s="43"/>
      <c r="DF60" s="43"/>
      <c r="DG60" s="43"/>
      <c r="DH60" s="43"/>
      <c r="DI60" s="43"/>
      <c r="DJ60" s="43"/>
      <c r="DK60" s="43"/>
      <c r="DL60" s="43"/>
      <c r="DM60" s="43"/>
      <c r="DN60" s="43"/>
      <c r="DO60" s="43"/>
      <c r="DP60" s="43"/>
      <c r="DQ60" s="43"/>
      <c r="DR60" s="43"/>
      <c r="DS60" s="43"/>
      <c r="DT60" s="43"/>
      <c r="DU60" s="43"/>
      <c r="DV60" s="43"/>
      <c r="DW60" s="43"/>
      <c r="DX60" s="43"/>
      <c r="DY60" s="43"/>
      <c r="DZ60" s="43"/>
      <c r="EA60" s="43"/>
      <c r="EB60" s="43"/>
      <c r="EC60" s="43"/>
      <c r="ED60" s="43"/>
      <c r="EE60" s="43"/>
      <c r="EF60" s="43"/>
      <c r="EG60" s="43"/>
      <c r="EH60" s="43"/>
      <c r="EI60" s="43"/>
      <c r="EJ60" s="43"/>
      <c r="EK60" s="43"/>
      <c r="EL60" s="43"/>
      <c r="EM60" s="43"/>
      <c r="EN60" s="43"/>
      <c r="EO60" s="43"/>
      <c r="EP60" s="43"/>
      <c r="EQ60" s="43"/>
      <c r="ER60" s="43"/>
      <c r="ES60" s="43"/>
      <c r="ET60" s="43"/>
      <c r="EU60" s="43"/>
      <c r="EV60" s="43"/>
      <c r="EW60" s="43"/>
      <c r="EX60" s="43"/>
      <c r="EY60" s="43"/>
      <c r="EZ60" s="43"/>
      <c r="FA60" s="43"/>
      <c r="FB60" s="43"/>
      <c r="FC60" s="43"/>
      <c r="FD60" s="43"/>
      <c r="FE60" s="43"/>
      <c r="FF60" s="43"/>
      <c r="FG60" s="43"/>
      <c r="FH60" s="43"/>
      <c r="FI60" s="43"/>
      <c r="FJ60" s="43"/>
      <c r="FK60" s="43"/>
      <c r="FL60" s="43"/>
      <c r="FM60" s="43"/>
      <c r="FN60" s="43"/>
      <c r="FO60" s="43"/>
      <c r="FP60" s="43"/>
      <c r="FQ60" s="43"/>
      <c r="FR60" s="43"/>
      <c r="FS60" s="43"/>
      <c r="FT60" s="43"/>
      <c r="FU60" s="43"/>
      <c r="FV60" s="43"/>
      <c r="FW60" s="43"/>
      <c r="FX60" s="43"/>
      <c r="FY60" s="43"/>
      <c r="FZ60" s="43"/>
      <c r="GA60" s="43"/>
      <c r="GB60" s="43"/>
      <c r="GC60" s="43"/>
      <c r="GD60" s="43"/>
      <c r="GE60" s="43"/>
      <c r="GF60" s="43"/>
      <c r="GG60" s="43"/>
      <c r="GH60" s="43"/>
      <c r="GI60" s="43"/>
      <c r="GJ60" s="43"/>
      <c r="GK60" s="43"/>
      <c r="GL60" s="43"/>
      <c r="GM60" s="43"/>
      <c r="GN60" s="43"/>
      <c r="GO60" s="43"/>
      <c r="GP60" s="43"/>
      <c r="GQ60" s="43"/>
      <c r="GR60" s="43"/>
      <c r="GS60" s="43"/>
      <c r="GT60" s="43"/>
      <c r="GU60" s="43"/>
      <c r="GV60" s="43"/>
      <c r="GW60" s="43"/>
      <c r="GX60" s="43"/>
      <c r="GY60" s="43"/>
      <c r="GZ60" s="43"/>
      <c r="HA60" s="43"/>
      <c r="HB60" s="43"/>
      <c r="HC60" s="43"/>
      <c r="HD60" s="43"/>
      <c r="HE60" s="43"/>
      <c r="HF60" s="43"/>
      <c r="HG60" s="43"/>
      <c r="HH60" s="43"/>
      <c r="HI60" s="43"/>
      <c r="HJ60" s="43"/>
      <c r="HK60" s="43"/>
      <c r="HL60" s="43"/>
      <c r="HM60" s="43"/>
      <c r="HN60" s="43"/>
      <c r="HO60" s="43"/>
      <c r="HP60" s="43"/>
      <c r="HQ60" s="43"/>
      <c r="HR60" s="43"/>
      <c r="HS60" s="43"/>
      <c r="HT60" s="43"/>
      <c r="HU60" s="43"/>
      <c r="HV60" s="43"/>
      <c r="HW60" s="43"/>
      <c r="HX60" s="43"/>
      <c r="HY60" s="43"/>
      <c r="HZ60" s="43"/>
      <c r="IA60" s="43"/>
      <c r="IB60" s="43"/>
      <c r="IC60" s="43"/>
      <c r="ID60" s="43"/>
      <c r="IE60" s="43"/>
      <c r="IF60" s="43"/>
      <c r="IG60" s="43"/>
      <c r="IH60" s="43"/>
      <c r="II60" s="43"/>
      <c r="IJ60" s="43"/>
      <c r="IK60" s="43"/>
      <c r="IL60" s="43"/>
      <c r="IM60" s="43"/>
      <c r="IN60" s="43"/>
      <c r="IO60" s="43"/>
      <c r="IP60" s="43"/>
      <c r="IQ60" s="43"/>
      <c r="IR60" s="43"/>
      <c r="IS60" s="43"/>
      <c r="IT60" s="43"/>
      <c r="IU60" s="43"/>
      <c r="IV60" s="43"/>
      <c r="IW60" s="43"/>
      <c r="IX60" s="43"/>
      <c r="IY60" s="43"/>
      <c r="IZ60" s="43"/>
      <c r="JA60" s="43"/>
      <c r="JB60" s="43"/>
      <c r="JC60" s="43"/>
      <c r="JD60" s="43"/>
      <c r="JE60" s="43"/>
      <c r="JF60" s="43"/>
      <c r="JG60" s="43"/>
      <c r="JH60" s="43"/>
      <c r="JI60" s="43"/>
      <c r="JJ60" s="43"/>
      <c r="JK60" s="43"/>
      <c r="JL60" s="43"/>
      <c r="JM60" s="43"/>
      <c r="JN60" s="43"/>
      <c r="JO60" s="43"/>
      <c r="JP60" s="43"/>
      <c r="JQ60" s="43"/>
      <c r="JR60" s="43"/>
      <c r="JS60" s="43"/>
      <c r="JT60" s="43"/>
      <c r="JU60" s="43"/>
      <c r="JV60" s="43"/>
      <c r="JW60" s="43"/>
      <c r="JX60" s="43"/>
      <c r="JY60" s="43"/>
      <c r="JZ60" s="43"/>
      <c r="KA60" s="43"/>
      <c r="KB60" s="43"/>
      <c r="KC60" s="43"/>
      <c r="KD60" s="43"/>
      <c r="KE60" s="43"/>
      <c r="KF60" s="43"/>
      <c r="KG60" s="43"/>
      <c r="KH60" s="43"/>
      <c r="KI60" s="43"/>
      <c r="KJ60" s="43"/>
      <c r="KK60" s="43"/>
      <c r="KL60" s="43"/>
      <c r="KM60" s="43"/>
      <c r="KN60" s="43"/>
      <c r="KO60" s="43"/>
      <c r="KP60" s="43"/>
      <c r="KQ60" s="43"/>
      <c r="KR60" s="43"/>
      <c r="KS60" s="43"/>
      <c r="KT60" s="43"/>
      <c r="KU60" s="43"/>
      <c r="KV60" s="43"/>
      <c r="KW60" s="43"/>
      <c r="KX60" s="43"/>
      <c r="KY60" s="43"/>
      <c r="KZ60" s="43"/>
      <c r="LA60" s="43"/>
      <c r="LB60" s="43"/>
      <c r="LC60" s="43"/>
      <c r="LD60" s="43"/>
      <c r="LE60" s="43"/>
      <c r="LF60" s="43"/>
      <c r="LG60" s="43"/>
      <c r="LH60" s="43"/>
      <c r="LI60" s="43"/>
      <c r="LJ60" s="43"/>
      <c r="LK60" s="43"/>
      <c r="LL60" s="43"/>
      <c r="LM60" s="43"/>
      <c r="LN60" s="43"/>
      <c r="LO60" s="43"/>
      <c r="LP60" s="43"/>
      <c r="LQ60" s="43"/>
      <c r="LR60" s="43"/>
      <c r="LS60" s="43"/>
      <c r="LT60" s="43"/>
      <c r="LU60" s="43"/>
      <c r="LV60" s="43"/>
      <c r="LW60" s="43"/>
      <c r="LX60" s="43"/>
      <c r="LY60" s="43"/>
      <c r="LZ60" s="43"/>
      <c r="MA60" s="43"/>
      <c r="MB60" s="43"/>
      <c r="MC60" s="43"/>
      <c r="MD60" s="43"/>
      <c r="ME60" s="43"/>
      <c r="MF60" s="43"/>
      <c r="MG60" s="43"/>
      <c r="MH60" s="43"/>
      <c r="MI60" s="43"/>
      <c r="MJ60" s="43"/>
      <c r="MK60" s="43"/>
      <c r="ML60" s="43"/>
      <c r="MM60" s="43"/>
      <c r="MN60" s="43"/>
      <c r="MO60" s="43"/>
      <c r="MP60" s="43"/>
      <c r="MQ60" s="43"/>
      <c r="MR60" s="43"/>
      <c r="MS60" s="43"/>
      <c r="MT60" s="43"/>
      <c r="MU60" s="43"/>
      <c r="MV60" s="43"/>
      <c r="MW60" s="43"/>
      <c r="MX60" s="43"/>
      <c r="MY60" s="43"/>
      <c r="MZ60" s="43"/>
      <c r="NA60" s="43"/>
      <c r="NB60" s="43"/>
      <c r="NC60" s="43"/>
      <c r="ND60" s="43"/>
      <c r="NE60" s="43"/>
      <c r="NF60" s="43"/>
      <c r="NG60" s="43"/>
      <c r="NH60" s="43"/>
      <c r="NI60" s="43"/>
      <c r="NJ60" s="44"/>
      <c r="NK60" s="44"/>
      <c r="NL60" s="44"/>
      <c r="NM60" s="44"/>
      <c r="NN60" s="44"/>
      <c r="NO60" s="43"/>
      <c r="NP60" s="43"/>
      <c r="NQ60" s="43"/>
      <c r="NR60" s="43"/>
      <c r="NS60" s="43"/>
      <c r="NT60" s="43"/>
      <c r="NU60" s="43"/>
      <c r="NV60" s="43"/>
      <c r="NW60" s="43"/>
      <c r="NX60" s="43"/>
      <c r="NY60" s="43"/>
      <c r="NZ60" s="43"/>
      <c r="OA60" s="43"/>
      <c r="OB60" s="43"/>
      <c r="OC60" s="43"/>
      <c r="OD60" s="43"/>
      <c r="OE60" s="43"/>
      <c r="OF60" s="43"/>
      <c r="OG60" s="43"/>
      <c r="OH60" s="43"/>
      <c r="OI60" s="43"/>
      <c r="OJ60" s="43"/>
      <c r="OK60" s="43"/>
      <c r="OL60" s="43"/>
      <c r="OM60" s="43"/>
      <c r="ON60" s="43"/>
      <c r="OO60" s="43"/>
      <c r="OP60" s="43"/>
      <c r="OQ60" s="43"/>
      <c r="OR60" s="43"/>
      <c r="OS60" s="43"/>
      <c r="OT60" s="43"/>
      <c r="OU60" s="43"/>
      <c r="OV60" s="43"/>
      <c r="OW60" s="43"/>
      <c r="OX60" s="43"/>
      <c r="OY60" s="43"/>
      <c r="OZ60" s="43"/>
      <c r="PA60" s="43"/>
      <c r="PB60" s="43"/>
      <c r="PC60" s="43"/>
      <c r="PD60" s="43"/>
      <c r="PE60" s="43"/>
      <c r="PF60" s="43"/>
      <c r="PG60" s="43"/>
      <c r="PH60" s="43"/>
      <c r="PI60" s="43"/>
      <c r="PJ60" s="43"/>
      <c r="PK60" s="43"/>
      <c r="PL60" s="43"/>
      <c r="PM60" s="43"/>
      <c r="PN60" s="43"/>
      <c r="PO60" s="43"/>
      <c r="PP60" s="43"/>
      <c r="PQ60" s="43"/>
      <c r="PR60" s="43"/>
      <c r="PS60" s="43"/>
      <c r="PT60" s="43"/>
      <c r="PU60" s="43"/>
      <c r="PV60" s="43"/>
      <c r="PW60" s="43"/>
      <c r="PX60" s="43"/>
      <c r="PY60" s="43"/>
      <c r="PZ60" s="43"/>
      <c r="QA60" s="43"/>
      <c r="QB60" s="43"/>
      <c r="QC60" s="43"/>
      <c r="QD60" s="43"/>
      <c r="QE60" s="43"/>
      <c r="QF60" s="43"/>
      <c r="QG60" s="43"/>
      <c r="QH60" s="43"/>
      <c r="QI60" s="43"/>
      <c r="QJ60" s="43"/>
      <c r="QK60" s="43"/>
      <c r="QL60" s="43"/>
      <c r="QM60" s="43"/>
      <c r="QN60" s="43"/>
      <c r="QO60" s="43"/>
      <c r="QP60" s="43"/>
      <c r="QQ60" s="43"/>
      <c r="QR60" s="43"/>
      <c r="QS60" s="43"/>
      <c r="QT60" s="43"/>
      <c r="QU60" s="43"/>
      <c r="QV60" s="43"/>
      <c r="QW60" s="43"/>
      <c r="QX60" s="43"/>
      <c r="QY60" s="43"/>
      <c r="QZ60" s="43"/>
      <c r="RA60" s="43"/>
      <c r="RB60" s="43"/>
      <c r="RC60" s="43"/>
      <c r="RD60" s="43"/>
      <c r="RE60" s="43"/>
      <c r="RF60" s="43"/>
      <c r="RG60" s="43"/>
      <c r="RH60" s="43"/>
      <c r="RI60" s="43"/>
      <c r="RJ60" s="43"/>
      <c r="RK60" s="43"/>
      <c r="RL60" s="43"/>
      <c r="RM60" s="43"/>
      <c r="RN60" s="43"/>
      <c r="RO60" s="43"/>
      <c r="RP60" s="43"/>
      <c r="RQ60" s="43"/>
      <c r="RR60" s="43"/>
      <c r="RS60" s="43"/>
      <c r="RT60" s="43"/>
      <c r="RU60" s="43"/>
      <c r="RV60" s="43"/>
      <c r="RW60" s="43"/>
      <c r="RX60" s="43"/>
      <c r="RY60" s="43"/>
      <c r="RZ60" s="43"/>
      <c r="SA60" s="43"/>
      <c r="SB60" s="43"/>
      <c r="SC60" s="43"/>
      <c r="SD60" s="43"/>
      <c r="SE60" s="43"/>
      <c r="SF60" s="43"/>
      <c r="SG60" s="43"/>
      <c r="SH60" s="43"/>
      <c r="SI60" s="43"/>
      <c r="SJ60" s="43"/>
      <c r="SK60" s="43"/>
      <c r="SL60" s="43"/>
      <c r="SM60" s="43"/>
      <c r="SN60" s="43"/>
      <c r="SO60" s="43"/>
      <c r="SP60" s="43"/>
      <c r="SQ60" s="43"/>
      <c r="SR60" s="43"/>
      <c r="SS60" s="43"/>
      <c r="ST60" s="43"/>
      <c r="SU60" s="43"/>
      <c r="SV60" s="43"/>
      <c r="SW60" s="43"/>
      <c r="SX60" s="43"/>
      <c r="SY60" s="43"/>
      <c r="SZ60" s="43"/>
      <c r="TA60" s="43"/>
      <c r="TB60" s="43"/>
      <c r="TC60" s="43"/>
      <c r="TD60" s="43"/>
      <c r="TE60" s="43"/>
      <c r="TF60" s="43"/>
      <c r="TG60" s="43"/>
      <c r="TH60" s="43"/>
      <c r="TI60" s="43"/>
      <c r="TJ60" s="43"/>
      <c r="TK60" s="43"/>
      <c r="TL60" s="43"/>
      <c r="TM60" s="43"/>
      <c r="TN60" s="43"/>
      <c r="TO60" s="43"/>
      <c r="TP60" s="43"/>
      <c r="TQ60" s="43"/>
      <c r="TR60" s="43"/>
      <c r="TS60" s="43"/>
      <c r="TT60" s="43"/>
      <c r="TU60" s="43"/>
      <c r="TV60" s="43"/>
      <c r="TW60" s="43"/>
      <c r="TX60" s="43" t="s">
        <v>837</v>
      </c>
      <c r="TY60" s="43"/>
      <c r="TZ60" s="43"/>
      <c r="UA60" s="43"/>
      <c r="UB60" s="43"/>
      <c r="UC60" s="43"/>
      <c r="UD60" s="43"/>
      <c r="UE60" s="43"/>
      <c r="UF60" s="43"/>
      <c r="UG60" s="43"/>
      <c r="UH60" s="43"/>
      <c r="UI60" s="43"/>
      <c r="UJ60" s="43"/>
      <c r="UK60" s="43"/>
      <c r="UL60" s="43"/>
      <c r="UM60" s="43"/>
      <c r="UN60" s="43"/>
      <c r="UO60" s="43"/>
      <c r="UP60" s="43"/>
      <c r="UQ60" s="43"/>
      <c r="UR60" s="43"/>
      <c r="US60" s="43"/>
      <c r="UT60" s="43"/>
      <c r="UU60" s="43"/>
      <c r="UV60" s="43"/>
      <c r="UW60" s="43"/>
      <c r="UX60" s="43"/>
      <c r="UY60" s="43"/>
      <c r="UZ60" s="43"/>
      <c r="VA60" s="43"/>
      <c r="VB60" s="43"/>
      <c r="VC60" s="43"/>
      <c r="VD60" s="43"/>
      <c r="VE60" s="43"/>
      <c r="VF60" s="43"/>
      <c r="VG60" s="43"/>
      <c r="VH60" s="43"/>
      <c r="VI60" s="43"/>
      <c r="VJ60" s="43"/>
      <c r="VK60" s="43"/>
      <c r="VL60" s="43"/>
      <c r="VM60" s="43"/>
      <c r="VN60" s="43"/>
      <c r="VO60" s="43"/>
      <c r="VP60" s="43"/>
      <c r="VQ60" s="43"/>
      <c r="VR60" s="43"/>
      <c r="VS60" s="43"/>
      <c r="VT60" s="43"/>
      <c r="VU60" s="43"/>
      <c r="VV60" s="43"/>
      <c r="VW60" s="43"/>
      <c r="VX60" s="43"/>
      <c r="VY60" s="43"/>
      <c r="VZ60" s="43"/>
      <c r="WA60" s="43"/>
      <c r="WB60" s="43"/>
      <c r="WC60" s="43"/>
      <c r="WD60" s="43"/>
      <c r="WE60" s="43"/>
      <c r="WF60" s="43"/>
      <c r="WG60" s="43"/>
      <c r="WH60" s="43"/>
      <c r="WI60" s="43"/>
      <c r="WJ60" s="43"/>
      <c r="WK60" s="43"/>
      <c r="WL60" s="43"/>
      <c r="WM60" s="43"/>
      <c r="WN60" s="43"/>
      <c r="WO60" s="43"/>
      <c r="WP60" s="43"/>
      <c r="WQ60" s="43"/>
      <c r="WR60" s="43"/>
      <c r="WS60" s="43"/>
      <c r="WT60" s="43"/>
      <c r="WU60" s="43"/>
      <c r="WV60" s="43"/>
      <c r="WW60" s="43"/>
      <c r="WX60" s="43"/>
      <c r="WY60" s="43"/>
      <c r="WZ60" s="43"/>
      <c r="XA60" s="43"/>
      <c r="XB60" s="43"/>
      <c r="XC60" s="43"/>
      <c r="XD60" s="43"/>
      <c r="XE60" s="43"/>
      <c r="XF60" s="43"/>
      <c r="XG60" s="43"/>
      <c r="XH60" s="43"/>
      <c r="XI60" s="43"/>
      <c r="XJ60" s="43"/>
      <c r="XK60" s="43"/>
      <c r="XL60" s="43"/>
      <c r="XM60" s="43"/>
      <c r="XN60" s="43"/>
      <c r="XO60" s="43"/>
      <c r="XP60" s="43"/>
      <c r="XQ60" s="43"/>
      <c r="XR60" s="43"/>
      <c r="XS60" s="43"/>
      <c r="XT60" s="43"/>
      <c r="XU60" s="43"/>
      <c r="XV60" s="43"/>
      <c r="XW60" s="43"/>
      <c r="XX60" s="43"/>
      <c r="XY60" s="43"/>
      <c r="XZ60" s="43"/>
      <c r="YA60" s="44"/>
      <c r="YB60" s="44"/>
      <c r="YC60" s="44"/>
      <c r="YD60" s="44"/>
      <c r="YE60" s="44"/>
      <c r="YF60" s="43"/>
      <c r="YG60" s="43"/>
      <c r="YH60" s="43"/>
      <c r="YI60" s="43"/>
      <c r="YJ60" s="43"/>
      <c r="YK60" s="43"/>
      <c r="YL60" s="43"/>
      <c r="YM60" s="43"/>
      <c r="YN60" s="43"/>
      <c r="YO60" s="43"/>
      <c r="YP60" s="43"/>
      <c r="YQ60" s="43"/>
      <c r="YR60" s="43"/>
      <c r="YS60" s="43"/>
      <c r="YT60" s="43"/>
      <c r="YU60" s="43"/>
      <c r="YV60" s="43"/>
      <c r="YW60" s="43"/>
      <c r="YX60" s="43"/>
      <c r="YY60" s="43"/>
      <c r="YZ60" s="43"/>
      <c r="ZA60" s="43"/>
      <c r="ZB60" s="43"/>
      <c r="ZC60" s="43"/>
      <c r="ZD60" s="43"/>
      <c r="ZE60" s="43"/>
      <c r="ZF60" s="43"/>
      <c r="ZG60" s="43"/>
      <c r="ZH60" s="43"/>
      <c r="ZI60" s="43"/>
      <c r="ZJ60" s="43"/>
      <c r="ZK60" s="43"/>
      <c r="ZL60" s="43"/>
      <c r="ZM60" s="43"/>
      <c r="ZN60" s="43"/>
      <c r="ZO60" s="43"/>
      <c r="ZP60" s="43"/>
      <c r="ZQ60" s="43"/>
      <c r="ZR60" s="43"/>
      <c r="ZS60" s="43"/>
      <c r="ZT60" s="43"/>
      <c r="ZU60" s="43"/>
      <c r="ZV60" s="43"/>
      <c r="ZW60" s="44"/>
      <c r="ZX60" s="44"/>
      <c r="ZY60" s="44"/>
      <c r="ZZ60" s="44"/>
      <c r="AAA60" s="44"/>
      <c r="AAB60" s="44"/>
      <c r="AAC60" s="44"/>
      <c r="AAD60" s="44"/>
      <c r="AAE60" s="44"/>
      <c r="AAF60" s="44"/>
      <c r="AAG60" s="43"/>
      <c r="AAH60" s="43"/>
      <c r="AAI60" s="43"/>
      <c r="AAJ60" s="43"/>
      <c r="AAK60" s="43"/>
      <c r="AAL60" s="43"/>
      <c r="AAM60" s="43"/>
      <c r="AAN60" s="43"/>
      <c r="AAO60" s="43"/>
      <c r="AAP60" s="43"/>
      <c r="AAQ60" s="43"/>
      <c r="AAR60" s="43"/>
      <c r="AAS60" s="43"/>
      <c r="AAT60" s="43"/>
      <c r="AAU60" s="43"/>
      <c r="AAV60" s="43"/>
      <c r="AAW60" s="43"/>
      <c r="AAX60" s="43"/>
      <c r="AAY60" s="43"/>
      <c r="AAZ60" s="43"/>
      <c r="ABA60" s="43"/>
      <c r="ABB60" s="43"/>
      <c r="ABC60" s="43"/>
      <c r="ABD60" s="43"/>
      <c r="ABE60" s="43"/>
      <c r="ABF60" s="43"/>
      <c r="ABG60" s="43"/>
      <c r="ABH60" s="43"/>
      <c r="ABI60" s="43"/>
      <c r="ABJ60" s="43"/>
      <c r="ABK60" s="43"/>
      <c r="ABL60" s="43"/>
      <c r="ABM60" s="43"/>
      <c r="ABN60" s="43"/>
      <c r="ABO60" s="43"/>
      <c r="ABP60" s="43"/>
      <c r="ABQ60" s="43"/>
      <c r="ABR60" s="43"/>
      <c r="ABS60" s="43"/>
      <c r="ABT60" s="43"/>
      <c r="ABU60" s="43"/>
      <c r="ABV60" s="43"/>
      <c r="ABW60" s="43"/>
      <c r="ABX60" s="43"/>
      <c r="ABY60" s="43"/>
      <c r="ABZ60" s="43"/>
      <c r="ACA60" s="43"/>
      <c r="ACB60" s="43"/>
      <c r="ACC60" s="43"/>
      <c r="ACD60" s="43"/>
      <c r="ACE60" s="43"/>
      <c r="ACF60" s="43"/>
      <c r="ACG60" s="43"/>
      <c r="ACH60" s="45"/>
    </row>
    <row r="61" spans="1:762" x14ac:dyDescent="0.25">
      <c r="A61" s="46" t="s">
        <v>109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7"/>
      <c r="BK61" s="47"/>
      <c r="BL61" s="47"/>
      <c r="BM61" s="47"/>
      <c r="BN61" s="47"/>
      <c r="BO61" s="47"/>
      <c r="BP61" s="47"/>
      <c r="BQ61" s="47"/>
      <c r="BR61" s="47"/>
      <c r="BS61" s="47"/>
      <c r="BT61" s="47"/>
      <c r="BU61" s="47"/>
      <c r="BV61" s="47"/>
      <c r="BW61" s="47"/>
      <c r="BX61" s="47"/>
      <c r="BY61" s="47"/>
      <c r="BZ61" s="47"/>
      <c r="CA61" s="47"/>
      <c r="CB61" s="47"/>
      <c r="CC61" s="47"/>
      <c r="CD61" s="47"/>
      <c r="CE61" s="47"/>
      <c r="CF61" s="47"/>
      <c r="CG61" s="47"/>
      <c r="CH61" s="47"/>
      <c r="CI61" s="47"/>
      <c r="CJ61" s="47"/>
      <c r="CK61" s="47"/>
      <c r="CL61" s="47"/>
      <c r="CM61" s="47"/>
      <c r="CN61" s="47"/>
      <c r="CO61" s="47"/>
      <c r="CP61" s="47"/>
      <c r="CQ61" s="47"/>
      <c r="CR61" s="47"/>
      <c r="CS61" s="47"/>
      <c r="CT61" s="47"/>
      <c r="CU61" s="47"/>
      <c r="CV61" s="47"/>
      <c r="CW61" s="47"/>
      <c r="CX61" s="47"/>
      <c r="CY61" s="47"/>
      <c r="CZ61" s="47"/>
      <c r="DA61" s="47"/>
      <c r="DB61" s="47"/>
      <c r="DC61" s="47"/>
      <c r="DD61" s="47"/>
      <c r="DE61" s="47"/>
      <c r="DF61" s="47"/>
      <c r="DG61" s="47"/>
      <c r="DH61" s="47"/>
      <c r="DI61" s="47"/>
      <c r="DJ61" s="47"/>
      <c r="DK61" s="47"/>
      <c r="DL61" s="47"/>
      <c r="DM61" s="47"/>
      <c r="DN61" s="47"/>
      <c r="DO61" s="47"/>
      <c r="DP61" s="47"/>
      <c r="DQ61" s="47"/>
      <c r="DR61" s="47"/>
      <c r="DS61" s="47"/>
      <c r="DT61" s="47"/>
      <c r="DU61" s="47"/>
      <c r="DV61" s="47"/>
      <c r="DW61" s="47"/>
      <c r="DX61" s="47"/>
      <c r="DY61" s="47"/>
      <c r="DZ61" s="47"/>
      <c r="EA61" s="47"/>
      <c r="EB61" s="47"/>
      <c r="EC61" s="47"/>
      <c r="ED61" s="47"/>
      <c r="EE61" s="47"/>
      <c r="EF61" s="47"/>
      <c r="EG61" s="47"/>
      <c r="EH61" s="47"/>
      <c r="EI61" s="47"/>
      <c r="EJ61" s="47"/>
      <c r="EK61" s="47"/>
      <c r="EL61" s="47"/>
      <c r="EM61" s="47"/>
      <c r="EN61" s="47"/>
      <c r="EO61" s="47"/>
      <c r="EP61" s="47"/>
      <c r="EQ61" s="47"/>
      <c r="ER61" s="47"/>
      <c r="ES61" s="47"/>
      <c r="ET61" s="47"/>
      <c r="EU61" s="47"/>
      <c r="EV61" s="47"/>
      <c r="EW61" s="47"/>
      <c r="EX61" s="47"/>
      <c r="EY61" s="47"/>
      <c r="EZ61" s="47"/>
      <c r="FA61" s="47"/>
      <c r="FB61" s="47"/>
      <c r="FC61" s="47"/>
      <c r="FD61" s="47"/>
      <c r="FE61" s="47"/>
      <c r="FF61" s="47"/>
      <c r="FG61" s="47"/>
      <c r="FH61" s="47"/>
      <c r="FI61" s="47"/>
      <c r="FJ61" s="47"/>
      <c r="FK61" s="47"/>
      <c r="FL61" s="47"/>
      <c r="FM61" s="47"/>
      <c r="FN61" s="47"/>
      <c r="FO61" s="47"/>
      <c r="FP61" s="47"/>
      <c r="FQ61" s="47"/>
      <c r="FR61" s="47"/>
      <c r="FS61" s="47"/>
      <c r="FT61" s="47"/>
      <c r="FU61" s="47"/>
      <c r="FV61" s="47"/>
      <c r="FW61" s="47"/>
      <c r="FX61" s="47"/>
      <c r="FY61" s="47"/>
      <c r="FZ61" s="47"/>
      <c r="GA61" s="47"/>
      <c r="GB61" s="47"/>
      <c r="GC61" s="47"/>
      <c r="GD61" s="47"/>
      <c r="GE61" s="47"/>
      <c r="GF61" s="47"/>
      <c r="GG61" s="47"/>
      <c r="GH61" s="47"/>
      <c r="GI61" s="47"/>
      <c r="GJ61" s="47"/>
      <c r="GK61" s="47"/>
      <c r="GL61" s="47"/>
      <c r="GM61" s="47"/>
      <c r="GN61" s="47"/>
      <c r="GO61" s="47"/>
      <c r="GP61" s="47"/>
      <c r="GQ61" s="47"/>
      <c r="GR61" s="47"/>
      <c r="GS61" s="47"/>
      <c r="GT61" s="47"/>
      <c r="GU61" s="47"/>
      <c r="GV61" s="47"/>
      <c r="GW61" s="47"/>
      <c r="GX61" s="47"/>
      <c r="GY61" s="47"/>
      <c r="GZ61" s="47"/>
      <c r="HA61" s="47"/>
      <c r="HB61" s="47"/>
      <c r="HC61" s="47"/>
      <c r="HD61" s="47"/>
      <c r="HE61" s="47"/>
      <c r="HF61" s="47"/>
      <c r="HG61" s="47"/>
      <c r="HH61" s="47"/>
      <c r="HI61" s="47"/>
      <c r="HJ61" s="47"/>
      <c r="HK61" s="47"/>
      <c r="HL61" s="47"/>
      <c r="HM61" s="47"/>
      <c r="HN61" s="47"/>
      <c r="HO61" s="47"/>
      <c r="HP61" s="47"/>
      <c r="HQ61" s="47"/>
      <c r="HR61" s="47"/>
      <c r="HS61" s="47"/>
      <c r="HT61" s="47"/>
      <c r="HU61" s="47"/>
      <c r="HV61" s="47"/>
      <c r="HW61" s="47"/>
      <c r="HX61" s="47"/>
      <c r="HY61" s="47"/>
      <c r="HZ61" s="47"/>
      <c r="IA61" s="47"/>
      <c r="IB61" s="47"/>
      <c r="IC61" s="47"/>
      <c r="ID61" s="47"/>
      <c r="IE61" s="47"/>
      <c r="IF61" s="47"/>
      <c r="IG61" s="47"/>
      <c r="IH61" s="47"/>
      <c r="II61" s="47"/>
      <c r="IJ61" s="47"/>
      <c r="IK61" s="47"/>
      <c r="IL61" s="47"/>
      <c r="IM61" s="47"/>
      <c r="IN61" s="47"/>
      <c r="IO61" s="47"/>
      <c r="IP61" s="47"/>
      <c r="IQ61" s="47"/>
      <c r="IR61" s="47"/>
      <c r="IS61" s="47"/>
      <c r="IT61" s="47"/>
      <c r="IU61" s="47"/>
      <c r="IV61" s="47"/>
      <c r="IW61" s="47"/>
      <c r="IX61" s="47"/>
      <c r="IY61" s="47"/>
      <c r="IZ61" s="47"/>
      <c r="JA61" s="47"/>
      <c r="JB61" s="47"/>
      <c r="JC61" s="47"/>
      <c r="JD61" s="47"/>
      <c r="JE61" s="47"/>
      <c r="JF61" s="47"/>
      <c r="JG61" s="47"/>
      <c r="JH61" s="47"/>
      <c r="JI61" s="47"/>
      <c r="JJ61" s="47"/>
      <c r="JK61" s="47"/>
      <c r="JL61" s="47"/>
      <c r="JM61" s="47"/>
      <c r="JN61" s="47"/>
      <c r="JO61" s="47"/>
      <c r="JP61" s="47"/>
      <c r="JQ61" s="47"/>
      <c r="JR61" s="47"/>
      <c r="JS61" s="47"/>
      <c r="JT61" s="47"/>
      <c r="JU61" s="47"/>
      <c r="JV61" s="47"/>
      <c r="JW61" s="47"/>
      <c r="JX61" s="47"/>
      <c r="JY61" s="47"/>
      <c r="JZ61" s="47"/>
      <c r="KA61" s="47"/>
      <c r="KB61" s="47"/>
      <c r="KC61" s="47"/>
      <c r="KD61" s="47"/>
      <c r="KE61" s="47"/>
      <c r="KF61" s="47"/>
      <c r="KG61" s="47"/>
      <c r="KH61" s="47"/>
      <c r="KI61" s="47"/>
      <c r="KJ61" s="47"/>
      <c r="KK61" s="47"/>
      <c r="KL61" s="47"/>
      <c r="KM61" s="47"/>
      <c r="KN61" s="47"/>
      <c r="KO61" s="47"/>
      <c r="KP61" s="47"/>
      <c r="KQ61" s="47"/>
      <c r="KR61" s="47"/>
      <c r="KS61" s="47"/>
      <c r="KT61" s="47"/>
      <c r="KU61" s="47"/>
      <c r="KV61" s="47"/>
      <c r="KW61" s="47"/>
      <c r="KX61" s="47"/>
      <c r="KY61" s="47"/>
      <c r="KZ61" s="47"/>
      <c r="LA61" s="47"/>
      <c r="LB61" s="47"/>
      <c r="LC61" s="47"/>
      <c r="LD61" s="47"/>
      <c r="LE61" s="47"/>
      <c r="LF61" s="47"/>
      <c r="LG61" s="47"/>
      <c r="LH61" s="47"/>
      <c r="LI61" s="47"/>
      <c r="LJ61" s="47"/>
      <c r="LK61" s="47"/>
      <c r="LL61" s="47"/>
      <c r="LM61" s="47"/>
      <c r="LN61" s="47"/>
      <c r="LO61" s="47"/>
      <c r="LP61" s="47"/>
      <c r="LQ61" s="47"/>
      <c r="LR61" s="47"/>
      <c r="LS61" s="47"/>
      <c r="LT61" s="47"/>
      <c r="LU61" s="47"/>
      <c r="LV61" s="47"/>
      <c r="LW61" s="47"/>
      <c r="LX61" s="47"/>
      <c r="LY61" s="47"/>
      <c r="LZ61" s="47"/>
      <c r="MA61" s="47"/>
      <c r="MB61" s="47"/>
      <c r="MC61" s="47"/>
      <c r="MD61" s="47"/>
      <c r="ME61" s="47"/>
      <c r="MF61" s="47"/>
      <c r="MG61" s="47"/>
      <c r="MH61" s="47"/>
      <c r="MI61" s="47"/>
      <c r="MJ61" s="47"/>
      <c r="MK61" s="47"/>
      <c r="ML61" s="47"/>
      <c r="MM61" s="47"/>
      <c r="MN61" s="47"/>
      <c r="MO61" s="47"/>
      <c r="MP61" s="47"/>
      <c r="MQ61" s="47"/>
      <c r="MR61" s="47"/>
      <c r="MS61" s="47"/>
      <c r="MT61" s="47"/>
      <c r="MU61" s="47"/>
      <c r="MV61" s="47"/>
      <c r="MW61" s="47"/>
      <c r="MX61" s="47"/>
      <c r="MY61" s="47"/>
      <c r="MZ61" s="47"/>
      <c r="NA61" s="47"/>
      <c r="NB61" s="47"/>
      <c r="NC61" s="47"/>
      <c r="ND61" s="47"/>
      <c r="NE61" s="47"/>
      <c r="NF61" s="47"/>
      <c r="NG61" s="47"/>
      <c r="NH61" s="47"/>
      <c r="NI61" s="47"/>
      <c r="NJ61" s="44"/>
      <c r="NK61" s="44"/>
      <c r="NL61" s="44"/>
      <c r="NM61" s="44"/>
      <c r="NN61" s="44"/>
      <c r="NO61" s="47"/>
      <c r="NP61" s="47"/>
      <c r="NQ61" s="47"/>
      <c r="NR61" s="47"/>
      <c r="NS61" s="47"/>
      <c r="NT61" s="47"/>
      <c r="NU61" s="47"/>
      <c r="NV61" s="47"/>
      <c r="NW61" s="47"/>
      <c r="NX61" s="47"/>
      <c r="NY61" s="47"/>
      <c r="NZ61" s="47"/>
      <c r="OA61" s="47"/>
      <c r="OB61" s="47"/>
      <c r="OC61" s="47"/>
      <c r="OD61" s="47"/>
      <c r="OE61" s="47"/>
      <c r="OF61" s="47"/>
      <c r="OG61" s="47"/>
      <c r="OH61" s="47"/>
      <c r="OI61" s="47"/>
      <c r="OJ61" s="47"/>
      <c r="OK61" s="47"/>
      <c r="OL61" s="47"/>
      <c r="OM61" s="47"/>
      <c r="ON61" s="47"/>
      <c r="OO61" s="47"/>
      <c r="OP61" s="47"/>
      <c r="OQ61" s="47"/>
      <c r="OR61" s="47"/>
      <c r="OS61" s="47"/>
      <c r="OT61" s="47"/>
      <c r="OU61" s="47"/>
      <c r="OV61" s="47"/>
      <c r="OW61" s="47"/>
      <c r="OX61" s="47"/>
      <c r="OY61" s="47"/>
      <c r="OZ61" s="47"/>
      <c r="PA61" s="47"/>
      <c r="PB61" s="47"/>
      <c r="PC61" s="47"/>
      <c r="PD61" s="47"/>
      <c r="PE61" s="47"/>
      <c r="PF61" s="47"/>
      <c r="PG61" s="47"/>
      <c r="PH61" s="47"/>
      <c r="PI61" s="47"/>
      <c r="PJ61" s="47"/>
      <c r="PK61" s="47"/>
      <c r="PL61" s="47"/>
      <c r="PM61" s="47"/>
      <c r="PN61" s="47"/>
      <c r="PO61" s="47"/>
      <c r="PP61" s="47"/>
      <c r="PQ61" s="47"/>
      <c r="PR61" s="47"/>
      <c r="PS61" s="47"/>
      <c r="PT61" s="47"/>
      <c r="PU61" s="47"/>
      <c r="PV61" s="47"/>
      <c r="PW61" s="47"/>
      <c r="PX61" s="47"/>
      <c r="PY61" s="47"/>
      <c r="PZ61" s="47"/>
      <c r="QA61" s="47"/>
      <c r="QB61" s="47"/>
      <c r="QC61" s="47"/>
      <c r="QD61" s="47"/>
      <c r="QE61" s="47"/>
      <c r="QF61" s="47"/>
      <c r="QG61" s="47"/>
      <c r="QH61" s="47"/>
      <c r="QI61" s="47"/>
      <c r="QJ61" s="47"/>
      <c r="QK61" s="47"/>
      <c r="QL61" s="47"/>
      <c r="QM61" s="47"/>
      <c r="QN61" s="47"/>
      <c r="QO61" s="47"/>
      <c r="QP61" s="47"/>
      <c r="QQ61" s="47"/>
      <c r="QR61" s="47"/>
      <c r="QS61" s="47"/>
      <c r="QT61" s="47"/>
      <c r="QU61" s="47"/>
      <c r="QV61" s="47"/>
      <c r="QW61" s="47"/>
      <c r="QX61" s="47"/>
      <c r="QY61" s="47"/>
      <c r="QZ61" s="47"/>
      <c r="RA61" s="47"/>
      <c r="RB61" s="47"/>
      <c r="RC61" s="47"/>
      <c r="RD61" s="47"/>
      <c r="RE61" s="47"/>
      <c r="RF61" s="47"/>
      <c r="RG61" s="47"/>
      <c r="RH61" s="47"/>
      <c r="RI61" s="47"/>
      <c r="RJ61" s="47"/>
      <c r="RK61" s="47"/>
      <c r="RL61" s="47"/>
      <c r="RM61" s="47"/>
      <c r="RN61" s="47"/>
      <c r="RO61" s="47"/>
      <c r="RP61" s="47"/>
      <c r="RQ61" s="47"/>
      <c r="RR61" s="47"/>
      <c r="RS61" s="47"/>
      <c r="RT61" s="47"/>
      <c r="RU61" s="47"/>
      <c r="RV61" s="47"/>
      <c r="RW61" s="47"/>
      <c r="RX61" s="47"/>
      <c r="RY61" s="47"/>
      <c r="RZ61" s="47"/>
      <c r="SA61" s="47"/>
      <c r="SB61" s="47"/>
      <c r="SC61" s="47"/>
      <c r="SD61" s="47"/>
      <c r="SE61" s="47"/>
      <c r="SF61" s="47"/>
      <c r="SG61" s="47"/>
      <c r="SH61" s="47"/>
      <c r="SI61" s="47"/>
      <c r="SJ61" s="47"/>
      <c r="SK61" s="47"/>
      <c r="SL61" s="47"/>
      <c r="SM61" s="47"/>
      <c r="SN61" s="47"/>
      <c r="SO61" s="47"/>
      <c r="SP61" s="47"/>
      <c r="SQ61" s="47"/>
      <c r="SR61" s="47"/>
      <c r="SS61" s="47"/>
      <c r="ST61" s="47"/>
      <c r="SU61" s="47"/>
      <c r="SV61" s="47"/>
      <c r="SW61" s="47"/>
      <c r="SX61" s="47"/>
      <c r="SY61" s="47"/>
      <c r="SZ61" s="47"/>
      <c r="TA61" s="47"/>
      <c r="TB61" s="47"/>
      <c r="TC61" s="47"/>
      <c r="TD61" s="47"/>
      <c r="TE61" s="47"/>
      <c r="TF61" s="47"/>
      <c r="TG61" s="47"/>
      <c r="TH61" s="47"/>
      <c r="TI61" s="47"/>
      <c r="TJ61" s="47"/>
      <c r="TK61" s="47"/>
      <c r="TL61" s="47"/>
      <c r="TM61" s="47"/>
      <c r="TN61" s="47"/>
      <c r="TO61" s="47"/>
      <c r="TP61" s="47"/>
      <c r="TQ61" s="47"/>
      <c r="TR61" s="47"/>
      <c r="TS61" s="47"/>
      <c r="TT61" s="47"/>
      <c r="TU61" s="47"/>
      <c r="TV61" s="47"/>
      <c r="TW61" s="47"/>
      <c r="TX61" s="47" t="s">
        <v>837</v>
      </c>
      <c r="TY61" s="47"/>
      <c r="TZ61" s="47"/>
      <c r="UA61" s="47"/>
      <c r="UB61" s="47"/>
      <c r="UC61" s="47"/>
      <c r="UD61" s="47"/>
      <c r="UE61" s="47"/>
      <c r="UF61" s="47"/>
      <c r="UG61" s="47"/>
      <c r="UH61" s="47"/>
      <c r="UI61" s="47"/>
      <c r="UJ61" s="47"/>
      <c r="UK61" s="47"/>
      <c r="UL61" s="47"/>
      <c r="UM61" s="47"/>
      <c r="UN61" s="47"/>
      <c r="UO61" s="47"/>
      <c r="UP61" s="47"/>
      <c r="UQ61" s="47"/>
      <c r="UR61" s="47"/>
      <c r="US61" s="47"/>
      <c r="UT61" s="47"/>
      <c r="UU61" s="47"/>
      <c r="UV61" s="47"/>
      <c r="UW61" s="47"/>
      <c r="UX61" s="47"/>
      <c r="UY61" s="47"/>
      <c r="UZ61" s="47"/>
      <c r="VA61" s="47"/>
      <c r="VB61" s="47"/>
      <c r="VC61" s="47"/>
      <c r="VD61" s="47"/>
      <c r="VE61" s="47"/>
      <c r="VF61" s="47"/>
      <c r="VG61" s="47"/>
      <c r="VH61" s="47"/>
      <c r="VI61" s="47"/>
      <c r="VJ61" s="47"/>
      <c r="VK61" s="47"/>
      <c r="VL61" s="47"/>
      <c r="VM61" s="47"/>
      <c r="VN61" s="47"/>
      <c r="VO61" s="47"/>
      <c r="VP61" s="47"/>
      <c r="VQ61" s="47"/>
      <c r="VR61" s="47"/>
      <c r="VS61" s="47"/>
      <c r="VT61" s="47"/>
      <c r="VU61" s="47"/>
      <c r="VV61" s="47"/>
      <c r="VW61" s="47"/>
      <c r="VX61" s="47"/>
      <c r="VY61" s="47"/>
      <c r="VZ61" s="47"/>
      <c r="WA61" s="47"/>
      <c r="WB61" s="47"/>
      <c r="WC61" s="47"/>
      <c r="WD61" s="47"/>
      <c r="WE61" s="47"/>
      <c r="WF61" s="47"/>
      <c r="WG61" s="47"/>
      <c r="WH61" s="47"/>
      <c r="WI61" s="47"/>
      <c r="WJ61" s="47"/>
      <c r="WK61" s="47"/>
      <c r="WL61" s="47"/>
      <c r="WM61" s="47"/>
      <c r="WN61" s="47"/>
      <c r="WO61" s="47"/>
      <c r="WP61" s="47"/>
      <c r="WQ61" s="47"/>
      <c r="WR61" s="47"/>
      <c r="WS61" s="47"/>
      <c r="WT61" s="47"/>
      <c r="WU61" s="47"/>
      <c r="WV61" s="47"/>
      <c r="WW61" s="47"/>
      <c r="WX61" s="47"/>
      <c r="WY61" s="47"/>
      <c r="WZ61" s="47"/>
      <c r="XA61" s="47"/>
      <c r="XB61" s="47"/>
      <c r="XC61" s="47"/>
      <c r="XD61" s="47"/>
      <c r="XE61" s="47"/>
      <c r="XF61" s="47"/>
      <c r="XG61" s="47"/>
      <c r="XH61" s="47"/>
      <c r="XI61" s="47"/>
      <c r="XJ61" s="47"/>
      <c r="XK61" s="47"/>
      <c r="XL61" s="47"/>
      <c r="XM61" s="47"/>
      <c r="XN61" s="47"/>
      <c r="XO61" s="47"/>
      <c r="XP61" s="47"/>
      <c r="XQ61" s="47"/>
      <c r="XR61" s="47"/>
      <c r="XS61" s="47"/>
      <c r="XT61" s="47"/>
      <c r="XU61" s="47"/>
      <c r="XV61" s="47"/>
      <c r="XW61" s="47"/>
      <c r="XX61" s="47"/>
      <c r="XY61" s="47"/>
      <c r="XZ61" s="47"/>
      <c r="YA61" s="44"/>
      <c r="YB61" s="44"/>
      <c r="YC61" s="44"/>
      <c r="YD61" s="44"/>
      <c r="YE61" s="44"/>
      <c r="YF61" s="47"/>
      <c r="YG61" s="47"/>
      <c r="YH61" s="47"/>
      <c r="YI61" s="47"/>
      <c r="YJ61" s="47"/>
      <c r="YK61" s="47"/>
      <c r="YL61" s="47"/>
      <c r="YM61" s="47"/>
      <c r="YN61" s="47"/>
      <c r="YO61" s="47"/>
      <c r="YP61" s="47"/>
      <c r="YQ61" s="47"/>
      <c r="YR61" s="47"/>
      <c r="YS61" s="47"/>
      <c r="YT61" s="47"/>
      <c r="YU61" s="47"/>
      <c r="YV61" s="47"/>
      <c r="YW61" s="47"/>
      <c r="YX61" s="47"/>
      <c r="YY61" s="47"/>
      <c r="YZ61" s="47"/>
      <c r="ZA61" s="47"/>
      <c r="ZB61" s="47"/>
      <c r="ZC61" s="47"/>
      <c r="ZD61" s="47"/>
      <c r="ZE61" s="47"/>
      <c r="ZF61" s="47"/>
      <c r="ZG61" s="47"/>
      <c r="ZH61" s="47"/>
      <c r="ZI61" s="47"/>
      <c r="ZJ61" s="47"/>
      <c r="ZK61" s="47"/>
      <c r="ZL61" s="47"/>
      <c r="ZM61" s="47"/>
      <c r="ZN61" s="47"/>
      <c r="ZO61" s="47"/>
      <c r="ZP61" s="47"/>
      <c r="ZQ61" s="47"/>
      <c r="ZR61" s="47"/>
      <c r="ZS61" s="47"/>
      <c r="ZT61" s="47"/>
      <c r="ZU61" s="47"/>
      <c r="ZV61" s="47"/>
      <c r="ZW61" s="44"/>
      <c r="ZX61" s="44"/>
      <c r="ZY61" s="44"/>
      <c r="ZZ61" s="44"/>
      <c r="AAA61" s="44"/>
      <c r="AAB61" s="44"/>
      <c r="AAC61" s="44"/>
      <c r="AAD61" s="44"/>
      <c r="AAE61" s="44"/>
      <c r="AAF61" s="44"/>
      <c r="AAG61" s="47"/>
      <c r="AAH61" s="47"/>
      <c r="AAI61" s="47"/>
      <c r="AAJ61" s="47"/>
      <c r="AAK61" s="47"/>
      <c r="AAL61" s="47"/>
      <c r="AAM61" s="47"/>
      <c r="AAN61" s="47"/>
      <c r="AAO61" s="47"/>
      <c r="AAP61" s="47"/>
      <c r="AAQ61" s="47"/>
      <c r="AAR61" s="47"/>
      <c r="AAS61" s="47"/>
      <c r="AAT61" s="47"/>
      <c r="AAU61" s="47"/>
      <c r="AAV61" s="47"/>
      <c r="AAW61" s="47"/>
      <c r="AAX61" s="47"/>
      <c r="AAY61" s="47"/>
      <c r="AAZ61" s="47"/>
      <c r="ABA61" s="47"/>
      <c r="ABB61" s="47"/>
      <c r="ABC61" s="47"/>
      <c r="ABD61" s="47"/>
      <c r="ABE61" s="47"/>
      <c r="ABF61" s="47"/>
      <c r="ABG61" s="47"/>
      <c r="ABH61" s="47"/>
      <c r="ABI61" s="47"/>
      <c r="ABJ61" s="47"/>
      <c r="ABK61" s="47"/>
      <c r="ABL61" s="47"/>
      <c r="ABM61" s="47"/>
      <c r="ABN61" s="47"/>
      <c r="ABO61" s="47"/>
      <c r="ABP61" s="47"/>
      <c r="ABQ61" s="47"/>
      <c r="ABR61" s="47"/>
      <c r="ABS61" s="47"/>
      <c r="ABT61" s="47"/>
      <c r="ABU61" s="47"/>
      <c r="ABV61" s="47"/>
      <c r="ABW61" s="47"/>
      <c r="ABX61" s="47"/>
      <c r="ABY61" s="47"/>
      <c r="ABZ61" s="47"/>
      <c r="ACA61" s="47"/>
      <c r="ACB61" s="47"/>
      <c r="ACC61" s="47"/>
      <c r="ACD61" s="47"/>
      <c r="ACE61" s="47"/>
      <c r="ACF61" s="47"/>
      <c r="ACG61" s="47"/>
      <c r="ACH61" s="48"/>
    </row>
    <row r="62" spans="1:762" x14ac:dyDescent="0.25">
      <c r="A62" s="42" t="s">
        <v>110</v>
      </c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43"/>
      <c r="BL62" s="43"/>
      <c r="BM62" s="43"/>
      <c r="BN62" s="43"/>
      <c r="BO62" s="43"/>
      <c r="BP62" s="43"/>
      <c r="BQ62" s="43"/>
      <c r="BR62" s="43"/>
      <c r="BS62" s="43"/>
      <c r="BT62" s="43"/>
      <c r="BU62" s="43"/>
      <c r="BV62" s="43"/>
      <c r="BW62" s="43"/>
      <c r="BX62" s="43"/>
      <c r="BY62" s="43"/>
      <c r="BZ62" s="43"/>
      <c r="CA62" s="43"/>
      <c r="CB62" s="43"/>
      <c r="CC62" s="43"/>
      <c r="CD62" s="43"/>
      <c r="CE62" s="43"/>
      <c r="CF62" s="43"/>
      <c r="CG62" s="43"/>
      <c r="CH62" s="43"/>
      <c r="CI62" s="43"/>
      <c r="CJ62" s="43"/>
      <c r="CK62" s="43"/>
      <c r="CL62" s="43"/>
      <c r="CM62" s="43"/>
      <c r="CN62" s="43"/>
      <c r="CO62" s="43"/>
      <c r="CP62" s="43"/>
      <c r="CQ62" s="43"/>
      <c r="CR62" s="43"/>
      <c r="CS62" s="43"/>
      <c r="CT62" s="43"/>
      <c r="CU62" s="43"/>
      <c r="CV62" s="43"/>
      <c r="CW62" s="43"/>
      <c r="CX62" s="43"/>
      <c r="CY62" s="43"/>
      <c r="CZ62" s="43"/>
      <c r="DA62" s="43"/>
      <c r="DB62" s="43"/>
      <c r="DC62" s="43"/>
      <c r="DD62" s="43"/>
      <c r="DE62" s="43"/>
      <c r="DF62" s="43"/>
      <c r="DG62" s="43"/>
      <c r="DH62" s="43"/>
      <c r="DI62" s="43"/>
      <c r="DJ62" s="43"/>
      <c r="DK62" s="43"/>
      <c r="DL62" s="43"/>
      <c r="DM62" s="43"/>
      <c r="DN62" s="43"/>
      <c r="DO62" s="43"/>
      <c r="DP62" s="43"/>
      <c r="DQ62" s="43"/>
      <c r="DR62" s="43"/>
      <c r="DS62" s="43"/>
      <c r="DT62" s="43"/>
      <c r="DU62" s="43"/>
      <c r="DV62" s="43"/>
      <c r="DW62" s="43"/>
      <c r="DX62" s="43"/>
      <c r="DY62" s="43"/>
      <c r="DZ62" s="43"/>
      <c r="EA62" s="43"/>
      <c r="EB62" s="43"/>
      <c r="EC62" s="43"/>
      <c r="ED62" s="43"/>
      <c r="EE62" s="43"/>
      <c r="EF62" s="43"/>
      <c r="EG62" s="43"/>
      <c r="EH62" s="43"/>
      <c r="EI62" s="43"/>
      <c r="EJ62" s="43"/>
      <c r="EK62" s="43"/>
      <c r="EL62" s="43"/>
      <c r="EM62" s="43"/>
      <c r="EN62" s="43"/>
      <c r="EO62" s="43"/>
      <c r="EP62" s="43"/>
      <c r="EQ62" s="43"/>
      <c r="ER62" s="43"/>
      <c r="ES62" s="43"/>
      <c r="ET62" s="43"/>
      <c r="EU62" s="43"/>
      <c r="EV62" s="43"/>
      <c r="EW62" s="43"/>
      <c r="EX62" s="43"/>
      <c r="EY62" s="43"/>
      <c r="EZ62" s="43"/>
      <c r="FA62" s="43"/>
      <c r="FB62" s="43"/>
      <c r="FC62" s="43"/>
      <c r="FD62" s="43"/>
      <c r="FE62" s="43"/>
      <c r="FF62" s="43"/>
      <c r="FG62" s="43"/>
      <c r="FH62" s="43"/>
      <c r="FI62" s="43"/>
      <c r="FJ62" s="43"/>
      <c r="FK62" s="43"/>
      <c r="FL62" s="43"/>
      <c r="FM62" s="43"/>
      <c r="FN62" s="43"/>
      <c r="FO62" s="43"/>
      <c r="FP62" s="43"/>
      <c r="FQ62" s="43"/>
      <c r="FR62" s="43"/>
      <c r="FS62" s="43"/>
      <c r="FT62" s="43"/>
      <c r="FU62" s="43"/>
      <c r="FV62" s="43"/>
      <c r="FW62" s="43"/>
      <c r="FX62" s="43"/>
      <c r="FY62" s="43"/>
      <c r="FZ62" s="43"/>
      <c r="GA62" s="43"/>
      <c r="GB62" s="43"/>
      <c r="GC62" s="43"/>
      <c r="GD62" s="43"/>
      <c r="GE62" s="43"/>
      <c r="GF62" s="43"/>
      <c r="GG62" s="43"/>
      <c r="GH62" s="43"/>
      <c r="GI62" s="43"/>
      <c r="GJ62" s="43"/>
      <c r="GK62" s="43"/>
      <c r="GL62" s="43"/>
      <c r="GM62" s="43"/>
      <c r="GN62" s="43"/>
      <c r="GO62" s="43"/>
      <c r="GP62" s="43"/>
      <c r="GQ62" s="43"/>
      <c r="GR62" s="43"/>
      <c r="GS62" s="43"/>
      <c r="GT62" s="43"/>
      <c r="GU62" s="43"/>
      <c r="GV62" s="43"/>
      <c r="GW62" s="43"/>
      <c r="GX62" s="43"/>
      <c r="GY62" s="43"/>
      <c r="GZ62" s="43"/>
      <c r="HA62" s="43"/>
      <c r="HB62" s="43"/>
      <c r="HC62" s="43"/>
      <c r="HD62" s="43"/>
      <c r="HE62" s="43"/>
      <c r="HF62" s="43"/>
      <c r="HG62" s="43"/>
      <c r="HH62" s="43"/>
      <c r="HI62" s="43"/>
      <c r="HJ62" s="43"/>
      <c r="HK62" s="43"/>
      <c r="HL62" s="43"/>
      <c r="HM62" s="43"/>
      <c r="HN62" s="43"/>
      <c r="HO62" s="43"/>
      <c r="HP62" s="43"/>
      <c r="HQ62" s="43"/>
      <c r="HR62" s="43"/>
      <c r="HS62" s="43"/>
      <c r="HT62" s="43"/>
      <c r="HU62" s="43"/>
      <c r="HV62" s="43"/>
      <c r="HW62" s="43"/>
      <c r="HX62" s="43"/>
      <c r="HY62" s="43"/>
      <c r="HZ62" s="43"/>
      <c r="IA62" s="43"/>
      <c r="IB62" s="43"/>
      <c r="IC62" s="43"/>
      <c r="ID62" s="43"/>
      <c r="IE62" s="43"/>
      <c r="IF62" s="43"/>
      <c r="IG62" s="43"/>
      <c r="IH62" s="43"/>
      <c r="II62" s="43"/>
      <c r="IJ62" s="43"/>
      <c r="IK62" s="43"/>
      <c r="IL62" s="43"/>
      <c r="IM62" s="43"/>
      <c r="IN62" s="43"/>
      <c r="IO62" s="43"/>
      <c r="IP62" s="43"/>
      <c r="IQ62" s="43"/>
      <c r="IR62" s="43"/>
      <c r="IS62" s="43"/>
      <c r="IT62" s="43"/>
      <c r="IU62" s="43"/>
      <c r="IV62" s="43"/>
      <c r="IW62" s="43"/>
      <c r="IX62" s="43"/>
      <c r="IY62" s="43"/>
      <c r="IZ62" s="43"/>
      <c r="JA62" s="43"/>
      <c r="JB62" s="43"/>
      <c r="JC62" s="43"/>
      <c r="JD62" s="43"/>
      <c r="JE62" s="43"/>
      <c r="JF62" s="43"/>
      <c r="JG62" s="43"/>
      <c r="JH62" s="43"/>
      <c r="JI62" s="43"/>
      <c r="JJ62" s="43"/>
      <c r="JK62" s="43"/>
      <c r="JL62" s="43"/>
      <c r="JM62" s="43"/>
      <c r="JN62" s="43"/>
      <c r="JO62" s="43"/>
      <c r="JP62" s="43"/>
      <c r="JQ62" s="43"/>
      <c r="JR62" s="43"/>
      <c r="JS62" s="43"/>
      <c r="JT62" s="43"/>
      <c r="JU62" s="43"/>
      <c r="JV62" s="43"/>
      <c r="JW62" s="43"/>
      <c r="JX62" s="43"/>
      <c r="JY62" s="43"/>
      <c r="JZ62" s="43"/>
      <c r="KA62" s="43"/>
      <c r="KB62" s="43"/>
      <c r="KC62" s="43"/>
      <c r="KD62" s="43"/>
      <c r="KE62" s="43"/>
      <c r="KF62" s="43"/>
      <c r="KG62" s="43"/>
      <c r="KH62" s="43"/>
      <c r="KI62" s="43"/>
      <c r="KJ62" s="43"/>
      <c r="KK62" s="43"/>
      <c r="KL62" s="43"/>
      <c r="KM62" s="43"/>
      <c r="KN62" s="43"/>
      <c r="KO62" s="43"/>
      <c r="KP62" s="43"/>
      <c r="KQ62" s="43"/>
      <c r="KR62" s="43"/>
      <c r="KS62" s="43"/>
      <c r="KT62" s="43"/>
      <c r="KU62" s="43"/>
      <c r="KV62" s="43"/>
      <c r="KW62" s="43"/>
      <c r="KX62" s="43"/>
      <c r="KY62" s="43"/>
      <c r="KZ62" s="43"/>
      <c r="LA62" s="43"/>
      <c r="LB62" s="43"/>
      <c r="LC62" s="43"/>
      <c r="LD62" s="43"/>
      <c r="LE62" s="43"/>
      <c r="LF62" s="43"/>
      <c r="LG62" s="43"/>
      <c r="LH62" s="43"/>
      <c r="LI62" s="43"/>
      <c r="LJ62" s="43"/>
      <c r="LK62" s="43"/>
      <c r="LL62" s="43"/>
      <c r="LM62" s="43"/>
      <c r="LN62" s="43"/>
      <c r="LO62" s="43"/>
      <c r="LP62" s="43"/>
      <c r="LQ62" s="43"/>
      <c r="LR62" s="43"/>
      <c r="LS62" s="43"/>
      <c r="LT62" s="43"/>
      <c r="LU62" s="43"/>
      <c r="LV62" s="43"/>
      <c r="LW62" s="43"/>
      <c r="LX62" s="43"/>
      <c r="LY62" s="43"/>
      <c r="LZ62" s="43"/>
      <c r="MA62" s="43"/>
      <c r="MB62" s="43"/>
      <c r="MC62" s="43"/>
      <c r="MD62" s="43"/>
      <c r="ME62" s="43"/>
      <c r="MF62" s="43"/>
      <c r="MG62" s="43"/>
      <c r="MH62" s="43"/>
      <c r="MI62" s="43"/>
      <c r="MJ62" s="43"/>
      <c r="MK62" s="43"/>
      <c r="ML62" s="43"/>
      <c r="MM62" s="43"/>
      <c r="MN62" s="43"/>
      <c r="MO62" s="43"/>
      <c r="MP62" s="43"/>
      <c r="MQ62" s="43"/>
      <c r="MR62" s="43"/>
      <c r="MS62" s="43"/>
      <c r="MT62" s="43"/>
      <c r="MU62" s="43"/>
      <c r="MV62" s="43"/>
      <c r="MW62" s="43"/>
      <c r="MX62" s="43"/>
      <c r="MY62" s="43"/>
      <c r="MZ62" s="43"/>
      <c r="NA62" s="43"/>
      <c r="NB62" s="43"/>
      <c r="NC62" s="43"/>
      <c r="ND62" s="43"/>
      <c r="NE62" s="43"/>
      <c r="NF62" s="43"/>
      <c r="NG62" s="43"/>
      <c r="NH62" s="43"/>
      <c r="NI62" s="43"/>
      <c r="NJ62" s="44"/>
      <c r="NK62" s="44"/>
      <c r="NL62" s="44"/>
      <c r="NM62" s="44"/>
      <c r="NN62" s="44"/>
      <c r="NO62" s="43"/>
      <c r="NP62" s="43"/>
      <c r="NQ62" s="43"/>
      <c r="NR62" s="43"/>
      <c r="NS62" s="43"/>
      <c r="NT62" s="43"/>
      <c r="NU62" s="43"/>
      <c r="NV62" s="43"/>
      <c r="NW62" s="43"/>
      <c r="NX62" s="43"/>
      <c r="NY62" s="43"/>
      <c r="NZ62" s="43"/>
      <c r="OA62" s="43"/>
      <c r="OB62" s="43"/>
      <c r="OC62" s="43"/>
      <c r="OD62" s="43"/>
      <c r="OE62" s="43"/>
      <c r="OF62" s="43"/>
      <c r="OG62" s="43"/>
      <c r="OH62" s="43"/>
      <c r="OI62" s="43"/>
      <c r="OJ62" s="43"/>
      <c r="OK62" s="43"/>
      <c r="OL62" s="43"/>
      <c r="OM62" s="43"/>
      <c r="ON62" s="43"/>
      <c r="OO62" s="43"/>
      <c r="OP62" s="43"/>
      <c r="OQ62" s="43"/>
      <c r="OR62" s="43"/>
      <c r="OS62" s="43"/>
      <c r="OT62" s="43"/>
      <c r="OU62" s="43"/>
      <c r="OV62" s="43"/>
      <c r="OW62" s="43"/>
      <c r="OX62" s="43"/>
      <c r="OY62" s="43"/>
      <c r="OZ62" s="43"/>
      <c r="PA62" s="43"/>
      <c r="PB62" s="43"/>
      <c r="PC62" s="43"/>
      <c r="PD62" s="43"/>
      <c r="PE62" s="43"/>
      <c r="PF62" s="43"/>
      <c r="PG62" s="43"/>
      <c r="PH62" s="43"/>
      <c r="PI62" s="43"/>
      <c r="PJ62" s="43"/>
      <c r="PK62" s="43"/>
      <c r="PL62" s="43"/>
      <c r="PM62" s="43"/>
      <c r="PN62" s="43"/>
      <c r="PO62" s="43"/>
      <c r="PP62" s="43"/>
      <c r="PQ62" s="43"/>
      <c r="PR62" s="43"/>
      <c r="PS62" s="43"/>
      <c r="PT62" s="43"/>
      <c r="PU62" s="43"/>
      <c r="PV62" s="43"/>
      <c r="PW62" s="43"/>
      <c r="PX62" s="43"/>
      <c r="PY62" s="43"/>
      <c r="PZ62" s="43"/>
      <c r="QA62" s="43"/>
      <c r="QB62" s="43"/>
      <c r="QC62" s="43"/>
      <c r="QD62" s="43"/>
      <c r="QE62" s="43"/>
      <c r="QF62" s="43"/>
      <c r="QG62" s="43"/>
      <c r="QH62" s="43"/>
      <c r="QI62" s="43"/>
      <c r="QJ62" s="43"/>
      <c r="QK62" s="43"/>
      <c r="QL62" s="43"/>
      <c r="QM62" s="43"/>
      <c r="QN62" s="43"/>
      <c r="QO62" s="43"/>
      <c r="QP62" s="43"/>
      <c r="QQ62" s="43"/>
      <c r="QR62" s="43"/>
      <c r="QS62" s="43"/>
      <c r="QT62" s="43"/>
      <c r="QU62" s="43"/>
      <c r="QV62" s="43"/>
      <c r="QW62" s="43"/>
      <c r="QX62" s="43"/>
      <c r="QY62" s="43"/>
      <c r="QZ62" s="43"/>
      <c r="RA62" s="43"/>
      <c r="RB62" s="43"/>
      <c r="RC62" s="43"/>
      <c r="RD62" s="43"/>
      <c r="RE62" s="43"/>
      <c r="RF62" s="43"/>
      <c r="RG62" s="43"/>
      <c r="RH62" s="43"/>
      <c r="RI62" s="43"/>
      <c r="RJ62" s="43"/>
      <c r="RK62" s="43"/>
      <c r="RL62" s="43"/>
      <c r="RM62" s="43"/>
      <c r="RN62" s="43"/>
      <c r="RO62" s="43"/>
      <c r="RP62" s="43"/>
      <c r="RQ62" s="43"/>
      <c r="RR62" s="43"/>
      <c r="RS62" s="43"/>
      <c r="RT62" s="43"/>
      <c r="RU62" s="43"/>
      <c r="RV62" s="43"/>
      <c r="RW62" s="43"/>
      <c r="RX62" s="43"/>
      <c r="RY62" s="43"/>
      <c r="RZ62" s="43"/>
      <c r="SA62" s="43"/>
      <c r="SB62" s="43"/>
      <c r="SC62" s="43"/>
      <c r="SD62" s="43"/>
      <c r="SE62" s="43"/>
      <c r="SF62" s="43"/>
      <c r="SG62" s="43"/>
      <c r="SH62" s="43"/>
      <c r="SI62" s="43"/>
      <c r="SJ62" s="43"/>
      <c r="SK62" s="43"/>
      <c r="SL62" s="43"/>
      <c r="SM62" s="43"/>
      <c r="SN62" s="43"/>
      <c r="SO62" s="43"/>
      <c r="SP62" s="43"/>
      <c r="SQ62" s="43"/>
      <c r="SR62" s="43"/>
      <c r="SS62" s="43"/>
      <c r="ST62" s="43"/>
      <c r="SU62" s="43"/>
      <c r="SV62" s="43"/>
      <c r="SW62" s="43"/>
      <c r="SX62" s="43"/>
      <c r="SY62" s="43"/>
      <c r="SZ62" s="43"/>
      <c r="TA62" s="43"/>
      <c r="TB62" s="43"/>
      <c r="TC62" s="43"/>
      <c r="TD62" s="43"/>
      <c r="TE62" s="43"/>
      <c r="TF62" s="43"/>
      <c r="TG62" s="43"/>
      <c r="TH62" s="43"/>
      <c r="TI62" s="43"/>
      <c r="TJ62" s="43"/>
      <c r="TK62" s="43"/>
      <c r="TL62" s="43"/>
      <c r="TM62" s="43"/>
      <c r="TN62" s="43"/>
      <c r="TO62" s="43"/>
      <c r="TP62" s="43"/>
      <c r="TQ62" s="43"/>
      <c r="TR62" s="43"/>
      <c r="TS62" s="43"/>
      <c r="TT62" s="43"/>
      <c r="TU62" s="43"/>
      <c r="TV62" s="43"/>
      <c r="TW62" s="43"/>
      <c r="TX62" s="43" t="s">
        <v>837</v>
      </c>
      <c r="TY62" s="43"/>
      <c r="TZ62" s="43"/>
      <c r="UA62" s="43"/>
      <c r="UB62" s="43"/>
      <c r="UC62" s="43"/>
      <c r="UD62" s="43"/>
      <c r="UE62" s="43"/>
      <c r="UF62" s="43"/>
      <c r="UG62" s="43"/>
      <c r="UH62" s="43"/>
      <c r="UI62" s="43"/>
      <c r="UJ62" s="43"/>
      <c r="UK62" s="43"/>
      <c r="UL62" s="43"/>
      <c r="UM62" s="43"/>
      <c r="UN62" s="43"/>
      <c r="UO62" s="43"/>
      <c r="UP62" s="43"/>
      <c r="UQ62" s="43"/>
      <c r="UR62" s="43"/>
      <c r="US62" s="43"/>
      <c r="UT62" s="43"/>
      <c r="UU62" s="43"/>
      <c r="UV62" s="43"/>
      <c r="UW62" s="43"/>
      <c r="UX62" s="43"/>
      <c r="UY62" s="43"/>
      <c r="UZ62" s="43"/>
      <c r="VA62" s="43"/>
      <c r="VB62" s="43"/>
      <c r="VC62" s="43"/>
      <c r="VD62" s="43"/>
      <c r="VE62" s="43"/>
      <c r="VF62" s="43"/>
      <c r="VG62" s="43"/>
      <c r="VH62" s="43"/>
      <c r="VI62" s="43"/>
      <c r="VJ62" s="43"/>
      <c r="VK62" s="43"/>
      <c r="VL62" s="43"/>
      <c r="VM62" s="43"/>
      <c r="VN62" s="43"/>
      <c r="VO62" s="43"/>
      <c r="VP62" s="43"/>
      <c r="VQ62" s="43"/>
      <c r="VR62" s="43"/>
      <c r="VS62" s="43"/>
      <c r="VT62" s="43"/>
      <c r="VU62" s="43"/>
      <c r="VV62" s="43"/>
      <c r="VW62" s="43"/>
      <c r="VX62" s="43"/>
      <c r="VY62" s="43"/>
      <c r="VZ62" s="43"/>
      <c r="WA62" s="43"/>
      <c r="WB62" s="43"/>
      <c r="WC62" s="43"/>
      <c r="WD62" s="43"/>
      <c r="WE62" s="43"/>
      <c r="WF62" s="43"/>
      <c r="WG62" s="43"/>
      <c r="WH62" s="43"/>
      <c r="WI62" s="43"/>
      <c r="WJ62" s="43"/>
      <c r="WK62" s="43"/>
      <c r="WL62" s="43"/>
      <c r="WM62" s="43"/>
      <c r="WN62" s="43"/>
      <c r="WO62" s="43"/>
      <c r="WP62" s="43"/>
      <c r="WQ62" s="43"/>
      <c r="WR62" s="43"/>
      <c r="WS62" s="43"/>
      <c r="WT62" s="43"/>
      <c r="WU62" s="43"/>
      <c r="WV62" s="43"/>
      <c r="WW62" s="43"/>
      <c r="WX62" s="43"/>
      <c r="WY62" s="43"/>
      <c r="WZ62" s="43"/>
      <c r="XA62" s="43"/>
      <c r="XB62" s="43"/>
      <c r="XC62" s="43"/>
      <c r="XD62" s="43"/>
      <c r="XE62" s="43"/>
      <c r="XF62" s="43"/>
      <c r="XG62" s="43"/>
      <c r="XH62" s="43"/>
      <c r="XI62" s="43"/>
      <c r="XJ62" s="43"/>
      <c r="XK62" s="43"/>
      <c r="XL62" s="43"/>
      <c r="XM62" s="43"/>
      <c r="XN62" s="43"/>
      <c r="XO62" s="43"/>
      <c r="XP62" s="43"/>
      <c r="XQ62" s="43"/>
      <c r="XR62" s="43"/>
      <c r="XS62" s="43"/>
      <c r="XT62" s="43"/>
      <c r="XU62" s="43"/>
      <c r="XV62" s="43"/>
      <c r="XW62" s="43"/>
      <c r="XX62" s="43"/>
      <c r="XY62" s="43"/>
      <c r="XZ62" s="43"/>
      <c r="YA62" s="44"/>
      <c r="YB62" s="44"/>
      <c r="YC62" s="44"/>
      <c r="YD62" s="44"/>
      <c r="YE62" s="44"/>
      <c r="YF62" s="43"/>
      <c r="YG62" s="43"/>
      <c r="YH62" s="43"/>
      <c r="YI62" s="43"/>
      <c r="YJ62" s="43"/>
      <c r="YK62" s="43"/>
      <c r="YL62" s="43"/>
      <c r="YM62" s="43"/>
      <c r="YN62" s="43"/>
      <c r="YO62" s="43"/>
      <c r="YP62" s="43"/>
      <c r="YQ62" s="43"/>
      <c r="YR62" s="43"/>
      <c r="YS62" s="43"/>
      <c r="YT62" s="43"/>
      <c r="YU62" s="43"/>
      <c r="YV62" s="43"/>
      <c r="YW62" s="43"/>
      <c r="YX62" s="43"/>
      <c r="YY62" s="43"/>
      <c r="YZ62" s="43"/>
      <c r="ZA62" s="43"/>
      <c r="ZB62" s="43"/>
      <c r="ZC62" s="43"/>
      <c r="ZD62" s="43"/>
      <c r="ZE62" s="43"/>
      <c r="ZF62" s="43"/>
      <c r="ZG62" s="43"/>
      <c r="ZH62" s="43"/>
      <c r="ZI62" s="43"/>
      <c r="ZJ62" s="43"/>
      <c r="ZK62" s="43"/>
      <c r="ZL62" s="43"/>
      <c r="ZM62" s="43"/>
      <c r="ZN62" s="43"/>
      <c r="ZO62" s="43"/>
      <c r="ZP62" s="43"/>
      <c r="ZQ62" s="43"/>
      <c r="ZR62" s="43"/>
      <c r="ZS62" s="43"/>
      <c r="ZT62" s="43"/>
      <c r="ZU62" s="43"/>
      <c r="ZV62" s="43"/>
      <c r="ZW62" s="44"/>
      <c r="ZX62" s="44"/>
      <c r="ZY62" s="44"/>
      <c r="ZZ62" s="44"/>
      <c r="AAA62" s="44"/>
      <c r="AAB62" s="44"/>
      <c r="AAC62" s="44"/>
      <c r="AAD62" s="44"/>
      <c r="AAE62" s="44"/>
      <c r="AAF62" s="44"/>
      <c r="AAG62" s="43"/>
      <c r="AAH62" s="43"/>
      <c r="AAI62" s="43"/>
      <c r="AAJ62" s="43"/>
      <c r="AAK62" s="43"/>
      <c r="AAL62" s="43"/>
      <c r="AAM62" s="43"/>
      <c r="AAN62" s="43"/>
      <c r="AAO62" s="43"/>
      <c r="AAP62" s="43"/>
      <c r="AAQ62" s="43"/>
      <c r="AAR62" s="43"/>
      <c r="AAS62" s="43"/>
      <c r="AAT62" s="43"/>
      <c r="AAU62" s="43"/>
      <c r="AAV62" s="43"/>
      <c r="AAW62" s="43"/>
      <c r="AAX62" s="43"/>
      <c r="AAY62" s="43"/>
      <c r="AAZ62" s="43"/>
      <c r="ABA62" s="43"/>
      <c r="ABB62" s="43"/>
      <c r="ABC62" s="43"/>
      <c r="ABD62" s="43"/>
      <c r="ABE62" s="43"/>
      <c r="ABF62" s="43"/>
      <c r="ABG62" s="43"/>
      <c r="ABH62" s="43"/>
      <c r="ABI62" s="43"/>
      <c r="ABJ62" s="43"/>
      <c r="ABK62" s="43"/>
      <c r="ABL62" s="43"/>
      <c r="ABM62" s="43"/>
      <c r="ABN62" s="43"/>
      <c r="ABO62" s="43"/>
      <c r="ABP62" s="43"/>
      <c r="ABQ62" s="43"/>
      <c r="ABR62" s="43"/>
      <c r="ABS62" s="43"/>
      <c r="ABT62" s="43"/>
      <c r="ABU62" s="43"/>
      <c r="ABV62" s="43"/>
      <c r="ABW62" s="43"/>
      <c r="ABX62" s="43"/>
      <c r="ABY62" s="43"/>
      <c r="ABZ62" s="43"/>
      <c r="ACA62" s="43"/>
      <c r="ACB62" s="43"/>
      <c r="ACC62" s="43"/>
      <c r="ACD62" s="43"/>
      <c r="ACE62" s="43"/>
      <c r="ACF62" s="43"/>
      <c r="ACG62" s="43"/>
      <c r="ACH62" s="45"/>
    </row>
    <row r="63" spans="1:762" x14ac:dyDescent="0.25">
      <c r="A63" s="46" t="s">
        <v>111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  <c r="BW63" s="47"/>
      <c r="BX63" s="47"/>
      <c r="BY63" s="47"/>
      <c r="BZ63" s="47"/>
      <c r="CA63" s="47"/>
      <c r="CB63" s="47"/>
      <c r="CC63" s="47"/>
      <c r="CD63" s="47"/>
      <c r="CE63" s="47"/>
      <c r="CF63" s="47"/>
      <c r="CG63" s="47"/>
      <c r="CH63" s="47"/>
      <c r="CI63" s="47"/>
      <c r="CJ63" s="47"/>
      <c r="CK63" s="47"/>
      <c r="CL63" s="47"/>
      <c r="CM63" s="47"/>
      <c r="CN63" s="47"/>
      <c r="CO63" s="47"/>
      <c r="CP63" s="47"/>
      <c r="CQ63" s="47"/>
      <c r="CR63" s="47"/>
      <c r="CS63" s="47"/>
      <c r="CT63" s="47"/>
      <c r="CU63" s="47"/>
      <c r="CV63" s="47"/>
      <c r="CW63" s="47"/>
      <c r="CX63" s="47"/>
      <c r="CY63" s="47"/>
      <c r="CZ63" s="47"/>
      <c r="DA63" s="47"/>
      <c r="DB63" s="47"/>
      <c r="DC63" s="47"/>
      <c r="DD63" s="47"/>
      <c r="DE63" s="47"/>
      <c r="DF63" s="47"/>
      <c r="DG63" s="47"/>
      <c r="DH63" s="47"/>
      <c r="DI63" s="47"/>
      <c r="DJ63" s="47"/>
      <c r="DK63" s="47"/>
      <c r="DL63" s="47"/>
      <c r="DM63" s="47"/>
      <c r="DN63" s="47"/>
      <c r="DO63" s="47"/>
      <c r="DP63" s="47"/>
      <c r="DQ63" s="47"/>
      <c r="DR63" s="47"/>
      <c r="DS63" s="47"/>
      <c r="DT63" s="47"/>
      <c r="DU63" s="47"/>
      <c r="DV63" s="47"/>
      <c r="DW63" s="47"/>
      <c r="DX63" s="47"/>
      <c r="DY63" s="47"/>
      <c r="DZ63" s="47"/>
      <c r="EA63" s="47"/>
      <c r="EB63" s="47"/>
      <c r="EC63" s="47"/>
      <c r="ED63" s="47"/>
      <c r="EE63" s="47"/>
      <c r="EF63" s="47"/>
      <c r="EG63" s="47"/>
      <c r="EH63" s="47"/>
      <c r="EI63" s="47"/>
      <c r="EJ63" s="47"/>
      <c r="EK63" s="47"/>
      <c r="EL63" s="47"/>
      <c r="EM63" s="47"/>
      <c r="EN63" s="47"/>
      <c r="EO63" s="47"/>
      <c r="EP63" s="47"/>
      <c r="EQ63" s="47"/>
      <c r="ER63" s="47"/>
      <c r="ES63" s="47"/>
      <c r="ET63" s="47"/>
      <c r="EU63" s="47"/>
      <c r="EV63" s="47"/>
      <c r="EW63" s="47"/>
      <c r="EX63" s="47"/>
      <c r="EY63" s="47"/>
      <c r="EZ63" s="47"/>
      <c r="FA63" s="47"/>
      <c r="FB63" s="47"/>
      <c r="FC63" s="47"/>
      <c r="FD63" s="47"/>
      <c r="FE63" s="47"/>
      <c r="FF63" s="47"/>
      <c r="FG63" s="47"/>
      <c r="FH63" s="47"/>
      <c r="FI63" s="47"/>
      <c r="FJ63" s="47"/>
      <c r="FK63" s="47"/>
      <c r="FL63" s="47"/>
      <c r="FM63" s="47"/>
      <c r="FN63" s="47"/>
      <c r="FO63" s="47"/>
      <c r="FP63" s="47"/>
      <c r="FQ63" s="47"/>
      <c r="FR63" s="47"/>
      <c r="FS63" s="47"/>
      <c r="FT63" s="47"/>
      <c r="FU63" s="47"/>
      <c r="FV63" s="47"/>
      <c r="FW63" s="47"/>
      <c r="FX63" s="47"/>
      <c r="FY63" s="47"/>
      <c r="FZ63" s="47"/>
      <c r="GA63" s="47"/>
      <c r="GB63" s="47"/>
      <c r="GC63" s="47"/>
      <c r="GD63" s="47"/>
      <c r="GE63" s="47"/>
      <c r="GF63" s="47"/>
      <c r="GG63" s="47"/>
      <c r="GH63" s="47"/>
      <c r="GI63" s="47"/>
      <c r="GJ63" s="47"/>
      <c r="GK63" s="47"/>
      <c r="GL63" s="47"/>
      <c r="GM63" s="47"/>
      <c r="GN63" s="47"/>
      <c r="GO63" s="47"/>
      <c r="GP63" s="47"/>
      <c r="GQ63" s="47"/>
      <c r="GR63" s="47"/>
      <c r="GS63" s="47"/>
      <c r="GT63" s="47"/>
      <c r="GU63" s="47"/>
      <c r="GV63" s="47"/>
      <c r="GW63" s="47"/>
      <c r="GX63" s="47"/>
      <c r="GY63" s="47"/>
      <c r="GZ63" s="47"/>
      <c r="HA63" s="47"/>
      <c r="HB63" s="47"/>
      <c r="HC63" s="47"/>
      <c r="HD63" s="47"/>
      <c r="HE63" s="47"/>
      <c r="HF63" s="47"/>
      <c r="HG63" s="47"/>
      <c r="HH63" s="47"/>
      <c r="HI63" s="47"/>
      <c r="HJ63" s="47"/>
      <c r="HK63" s="47"/>
      <c r="HL63" s="47"/>
      <c r="HM63" s="47"/>
      <c r="HN63" s="47"/>
      <c r="HO63" s="47"/>
      <c r="HP63" s="47"/>
      <c r="HQ63" s="47"/>
      <c r="HR63" s="47"/>
      <c r="HS63" s="47"/>
      <c r="HT63" s="47"/>
      <c r="HU63" s="47"/>
      <c r="HV63" s="47"/>
      <c r="HW63" s="47"/>
      <c r="HX63" s="47"/>
      <c r="HY63" s="47"/>
      <c r="HZ63" s="47"/>
      <c r="IA63" s="47"/>
      <c r="IB63" s="47"/>
      <c r="IC63" s="47"/>
      <c r="ID63" s="47"/>
      <c r="IE63" s="47"/>
      <c r="IF63" s="47"/>
      <c r="IG63" s="47"/>
      <c r="IH63" s="47"/>
      <c r="II63" s="47"/>
      <c r="IJ63" s="47"/>
      <c r="IK63" s="47"/>
      <c r="IL63" s="47"/>
      <c r="IM63" s="47"/>
      <c r="IN63" s="47"/>
      <c r="IO63" s="47"/>
      <c r="IP63" s="47"/>
      <c r="IQ63" s="47"/>
      <c r="IR63" s="47"/>
      <c r="IS63" s="47"/>
      <c r="IT63" s="47"/>
      <c r="IU63" s="47"/>
      <c r="IV63" s="47"/>
      <c r="IW63" s="47"/>
      <c r="IX63" s="47"/>
      <c r="IY63" s="47"/>
      <c r="IZ63" s="47"/>
      <c r="JA63" s="47"/>
      <c r="JB63" s="47"/>
      <c r="JC63" s="47"/>
      <c r="JD63" s="47"/>
      <c r="JE63" s="47"/>
      <c r="JF63" s="47"/>
      <c r="JG63" s="47"/>
      <c r="JH63" s="47"/>
      <c r="JI63" s="47"/>
      <c r="JJ63" s="47"/>
      <c r="JK63" s="47"/>
      <c r="JL63" s="47"/>
      <c r="JM63" s="47"/>
      <c r="JN63" s="47"/>
      <c r="JO63" s="47"/>
      <c r="JP63" s="47"/>
      <c r="JQ63" s="47"/>
      <c r="JR63" s="47"/>
      <c r="JS63" s="47"/>
      <c r="JT63" s="47"/>
      <c r="JU63" s="47"/>
      <c r="JV63" s="47"/>
      <c r="JW63" s="47"/>
      <c r="JX63" s="47"/>
      <c r="JY63" s="47"/>
      <c r="JZ63" s="47"/>
      <c r="KA63" s="47"/>
      <c r="KB63" s="47"/>
      <c r="KC63" s="47"/>
      <c r="KD63" s="47"/>
      <c r="KE63" s="47"/>
      <c r="KF63" s="47"/>
      <c r="KG63" s="47"/>
      <c r="KH63" s="47"/>
      <c r="KI63" s="47"/>
      <c r="KJ63" s="47"/>
      <c r="KK63" s="47"/>
      <c r="KL63" s="47"/>
      <c r="KM63" s="47"/>
      <c r="KN63" s="47"/>
      <c r="KO63" s="47"/>
      <c r="KP63" s="47"/>
      <c r="KQ63" s="47"/>
      <c r="KR63" s="47"/>
      <c r="KS63" s="47"/>
      <c r="KT63" s="47"/>
      <c r="KU63" s="47"/>
      <c r="KV63" s="47"/>
      <c r="KW63" s="47"/>
      <c r="KX63" s="47"/>
      <c r="KY63" s="47"/>
      <c r="KZ63" s="47"/>
      <c r="LA63" s="47"/>
      <c r="LB63" s="47"/>
      <c r="LC63" s="47"/>
      <c r="LD63" s="47"/>
      <c r="LE63" s="47"/>
      <c r="LF63" s="47"/>
      <c r="LG63" s="47"/>
      <c r="LH63" s="47"/>
      <c r="LI63" s="47"/>
      <c r="LJ63" s="47"/>
      <c r="LK63" s="47"/>
      <c r="LL63" s="47"/>
      <c r="LM63" s="47"/>
      <c r="LN63" s="47"/>
      <c r="LO63" s="47"/>
      <c r="LP63" s="47"/>
      <c r="LQ63" s="47"/>
      <c r="LR63" s="47"/>
      <c r="LS63" s="47"/>
      <c r="LT63" s="47"/>
      <c r="LU63" s="47"/>
      <c r="LV63" s="47"/>
      <c r="LW63" s="47"/>
      <c r="LX63" s="47"/>
      <c r="LY63" s="47"/>
      <c r="LZ63" s="47"/>
      <c r="MA63" s="47"/>
      <c r="MB63" s="47"/>
      <c r="MC63" s="47"/>
      <c r="MD63" s="47"/>
      <c r="ME63" s="47"/>
      <c r="MF63" s="47"/>
      <c r="MG63" s="47"/>
      <c r="MH63" s="47"/>
      <c r="MI63" s="47"/>
      <c r="MJ63" s="47"/>
      <c r="MK63" s="47"/>
      <c r="ML63" s="47"/>
      <c r="MM63" s="47"/>
      <c r="MN63" s="47"/>
      <c r="MO63" s="47"/>
      <c r="MP63" s="47"/>
      <c r="MQ63" s="47"/>
      <c r="MR63" s="47"/>
      <c r="MS63" s="47"/>
      <c r="MT63" s="47"/>
      <c r="MU63" s="47"/>
      <c r="MV63" s="47"/>
      <c r="MW63" s="47"/>
      <c r="MX63" s="47"/>
      <c r="MY63" s="47"/>
      <c r="MZ63" s="47"/>
      <c r="NA63" s="47"/>
      <c r="NB63" s="47"/>
      <c r="NC63" s="47"/>
      <c r="ND63" s="47"/>
      <c r="NE63" s="47"/>
      <c r="NF63" s="47"/>
      <c r="NG63" s="47"/>
      <c r="NH63" s="47"/>
      <c r="NI63" s="47"/>
      <c r="NJ63" s="44"/>
      <c r="NK63" s="44"/>
      <c r="NL63" s="44"/>
      <c r="NM63" s="44"/>
      <c r="NN63" s="44"/>
      <c r="NO63" s="47"/>
      <c r="NP63" s="47"/>
      <c r="NQ63" s="47"/>
      <c r="NR63" s="47"/>
      <c r="NS63" s="47"/>
      <c r="NT63" s="47"/>
      <c r="NU63" s="47"/>
      <c r="NV63" s="47"/>
      <c r="NW63" s="47"/>
      <c r="NX63" s="47"/>
      <c r="NY63" s="47"/>
      <c r="NZ63" s="47"/>
      <c r="OA63" s="47"/>
      <c r="OB63" s="47"/>
      <c r="OC63" s="47"/>
      <c r="OD63" s="47"/>
      <c r="OE63" s="47"/>
      <c r="OF63" s="47"/>
      <c r="OG63" s="47"/>
      <c r="OH63" s="47"/>
      <c r="OI63" s="47"/>
      <c r="OJ63" s="47"/>
      <c r="OK63" s="47"/>
      <c r="OL63" s="47"/>
      <c r="OM63" s="47"/>
      <c r="ON63" s="47"/>
      <c r="OO63" s="47"/>
      <c r="OP63" s="47"/>
      <c r="OQ63" s="47"/>
      <c r="OR63" s="47"/>
      <c r="OS63" s="47"/>
      <c r="OT63" s="47"/>
      <c r="OU63" s="47"/>
      <c r="OV63" s="47"/>
      <c r="OW63" s="47"/>
      <c r="OX63" s="47"/>
      <c r="OY63" s="47"/>
      <c r="OZ63" s="47"/>
      <c r="PA63" s="47"/>
      <c r="PB63" s="47"/>
      <c r="PC63" s="47"/>
      <c r="PD63" s="47"/>
      <c r="PE63" s="47"/>
      <c r="PF63" s="47"/>
      <c r="PG63" s="47"/>
      <c r="PH63" s="47"/>
      <c r="PI63" s="47"/>
      <c r="PJ63" s="47"/>
      <c r="PK63" s="47"/>
      <c r="PL63" s="47"/>
      <c r="PM63" s="47"/>
      <c r="PN63" s="47"/>
      <c r="PO63" s="47"/>
      <c r="PP63" s="47"/>
      <c r="PQ63" s="47"/>
      <c r="PR63" s="47"/>
      <c r="PS63" s="47"/>
      <c r="PT63" s="47"/>
      <c r="PU63" s="47"/>
      <c r="PV63" s="47"/>
      <c r="PW63" s="47"/>
      <c r="PX63" s="47"/>
      <c r="PY63" s="47"/>
      <c r="PZ63" s="47"/>
      <c r="QA63" s="47"/>
      <c r="QB63" s="47"/>
      <c r="QC63" s="47"/>
      <c r="QD63" s="47"/>
      <c r="QE63" s="47"/>
      <c r="QF63" s="47"/>
      <c r="QG63" s="47"/>
      <c r="QH63" s="47"/>
      <c r="QI63" s="47"/>
      <c r="QJ63" s="47"/>
      <c r="QK63" s="47"/>
      <c r="QL63" s="47"/>
      <c r="QM63" s="47"/>
      <c r="QN63" s="47"/>
      <c r="QO63" s="47"/>
      <c r="QP63" s="47"/>
      <c r="QQ63" s="47"/>
      <c r="QR63" s="47"/>
      <c r="QS63" s="47"/>
      <c r="QT63" s="47"/>
      <c r="QU63" s="47"/>
      <c r="QV63" s="47"/>
      <c r="QW63" s="47"/>
      <c r="QX63" s="47"/>
      <c r="QY63" s="47"/>
      <c r="QZ63" s="47"/>
      <c r="RA63" s="47"/>
      <c r="RB63" s="47"/>
      <c r="RC63" s="47"/>
      <c r="RD63" s="47"/>
      <c r="RE63" s="47"/>
      <c r="RF63" s="47"/>
      <c r="RG63" s="47"/>
      <c r="RH63" s="47"/>
      <c r="RI63" s="47"/>
      <c r="RJ63" s="47"/>
      <c r="RK63" s="47"/>
      <c r="RL63" s="47"/>
      <c r="RM63" s="47"/>
      <c r="RN63" s="47"/>
      <c r="RO63" s="47"/>
      <c r="RP63" s="47"/>
      <c r="RQ63" s="47"/>
      <c r="RR63" s="47"/>
      <c r="RS63" s="47"/>
      <c r="RT63" s="47"/>
      <c r="RU63" s="47"/>
      <c r="RV63" s="47"/>
      <c r="RW63" s="47"/>
      <c r="RX63" s="47"/>
      <c r="RY63" s="47"/>
      <c r="RZ63" s="47"/>
      <c r="SA63" s="47"/>
      <c r="SB63" s="47"/>
      <c r="SC63" s="47"/>
      <c r="SD63" s="47"/>
      <c r="SE63" s="47"/>
      <c r="SF63" s="47"/>
      <c r="SG63" s="47"/>
      <c r="SH63" s="47"/>
      <c r="SI63" s="47"/>
      <c r="SJ63" s="47"/>
      <c r="SK63" s="47"/>
      <c r="SL63" s="47"/>
      <c r="SM63" s="47"/>
      <c r="SN63" s="47"/>
      <c r="SO63" s="47"/>
      <c r="SP63" s="47"/>
      <c r="SQ63" s="47"/>
      <c r="SR63" s="47"/>
      <c r="SS63" s="47"/>
      <c r="ST63" s="47"/>
      <c r="SU63" s="47"/>
      <c r="SV63" s="47"/>
      <c r="SW63" s="47"/>
      <c r="SX63" s="47"/>
      <c r="SY63" s="47"/>
      <c r="SZ63" s="47"/>
      <c r="TA63" s="47"/>
      <c r="TB63" s="47"/>
      <c r="TC63" s="47"/>
      <c r="TD63" s="47"/>
      <c r="TE63" s="47"/>
      <c r="TF63" s="47"/>
      <c r="TG63" s="47"/>
      <c r="TH63" s="47"/>
      <c r="TI63" s="47"/>
      <c r="TJ63" s="47"/>
      <c r="TK63" s="47"/>
      <c r="TL63" s="47"/>
      <c r="TM63" s="47"/>
      <c r="TN63" s="47"/>
      <c r="TO63" s="47"/>
      <c r="TP63" s="47"/>
      <c r="TQ63" s="47"/>
      <c r="TR63" s="47"/>
      <c r="TS63" s="47"/>
      <c r="TT63" s="47"/>
      <c r="TU63" s="47"/>
      <c r="TV63" s="47"/>
      <c r="TW63" s="47"/>
      <c r="TX63" s="47" t="s">
        <v>837</v>
      </c>
      <c r="TY63" s="47"/>
      <c r="TZ63" s="47"/>
      <c r="UA63" s="47"/>
      <c r="UB63" s="47"/>
      <c r="UC63" s="47"/>
      <c r="UD63" s="47"/>
      <c r="UE63" s="47"/>
      <c r="UF63" s="47"/>
      <c r="UG63" s="47"/>
      <c r="UH63" s="47"/>
      <c r="UI63" s="47"/>
      <c r="UJ63" s="47"/>
      <c r="UK63" s="47"/>
      <c r="UL63" s="47"/>
      <c r="UM63" s="47"/>
      <c r="UN63" s="47"/>
      <c r="UO63" s="47"/>
      <c r="UP63" s="47"/>
      <c r="UQ63" s="47"/>
      <c r="UR63" s="47"/>
      <c r="US63" s="47"/>
      <c r="UT63" s="47"/>
      <c r="UU63" s="47"/>
      <c r="UV63" s="47"/>
      <c r="UW63" s="47"/>
      <c r="UX63" s="47"/>
      <c r="UY63" s="47"/>
      <c r="UZ63" s="47"/>
      <c r="VA63" s="47"/>
      <c r="VB63" s="47"/>
      <c r="VC63" s="47"/>
      <c r="VD63" s="47"/>
      <c r="VE63" s="47"/>
      <c r="VF63" s="47"/>
      <c r="VG63" s="47"/>
      <c r="VH63" s="47"/>
      <c r="VI63" s="47"/>
      <c r="VJ63" s="47"/>
      <c r="VK63" s="47"/>
      <c r="VL63" s="47"/>
      <c r="VM63" s="47"/>
      <c r="VN63" s="47"/>
      <c r="VO63" s="47"/>
      <c r="VP63" s="47"/>
      <c r="VQ63" s="47"/>
      <c r="VR63" s="47"/>
      <c r="VS63" s="47"/>
      <c r="VT63" s="47"/>
      <c r="VU63" s="47"/>
      <c r="VV63" s="47"/>
      <c r="VW63" s="47"/>
      <c r="VX63" s="47"/>
      <c r="VY63" s="47"/>
      <c r="VZ63" s="47"/>
      <c r="WA63" s="47"/>
      <c r="WB63" s="47"/>
      <c r="WC63" s="47"/>
      <c r="WD63" s="47"/>
      <c r="WE63" s="47"/>
      <c r="WF63" s="47"/>
      <c r="WG63" s="47"/>
      <c r="WH63" s="47"/>
      <c r="WI63" s="47"/>
      <c r="WJ63" s="47"/>
      <c r="WK63" s="47"/>
      <c r="WL63" s="47"/>
      <c r="WM63" s="47"/>
      <c r="WN63" s="47"/>
      <c r="WO63" s="47"/>
      <c r="WP63" s="47"/>
      <c r="WQ63" s="47"/>
      <c r="WR63" s="47"/>
      <c r="WS63" s="47"/>
      <c r="WT63" s="47"/>
      <c r="WU63" s="47"/>
      <c r="WV63" s="47"/>
      <c r="WW63" s="47"/>
      <c r="WX63" s="47"/>
      <c r="WY63" s="47"/>
      <c r="WZ63" s="47"/>
      <c r="XA63" s="47"/>
      <c r="XB63" s="47"/>
      <c r="XC63" s="47"/>
      <c r="XD63" s="47"/>
      <c r="XE63" s="47"/>
      <c r="XF63" s="47"/>
      <c r="XG63" s="47"/>
      <c r="XH63" s="47"/>
      <c r="XI63" s="47"/>
      <c r="XJ63" s="47"/>
      <c r="XK63" s="47"/>
      <c r="XL63" s="47"/>
      <c r="XM63" s="47"/>
      <c r="XN63" s="47"/>
      <c r="XO63" s="47"/>
      <c r="XP63" s="47"/>
      <c r="XQ63" s="47"/>
      <c r="XR63" s="47"/>
      <c r="XS63" s="47"/>
      <c r="XT63" s="47"/>
      <c r="XU63" s="47"/>
      <c r="XV63" s="47"/>
      <c r="XW63" s="47"/>
      <c r="XX63" s="47"/>
      <c r="XY63" s="47"/>
      <c r="XZ63" s="47"/>
      <c r="YA63" s="44"/>
      <c r="YB63" s="44"/>
      <c r="YC63" s="44"/>
      <c r="YD63" s="44"/>
      <c r="YE63" s="44"/>
      <c r="YF63" s="47"/>
      <c r="YG63" s="47"/>
      <c r="YH63" s="47"/>
      <c r="YI63" s="47"/>
      <c r="YJ63" s="47"/>
      <c r="YK63" s="47"/>
      <c r="YL63" s="47"/>
      <c r="YM63" s="47"/>
      <c r="YN63" s="47"/>
      <c r="YO63" s="47"/>
      <c r="YP63" s="47"/>
      <c r="YQ63" s="47"/>
      <c r="YR63" s="47"/>
      <c r="YS63" s="47"/>
      <c r="YT63" s="47"/>
      <c r="YU63" s="47"/>
      <c r="YV63" s="47"/>
      <c r="YW63" s="47"/>
      <c r="YX63" s="47"/>
      <c r="YY63" s="47"/>
      <c r="YZ63" s="47"/>
      <c r="ZA63" s="47"/>
      <c r="ZB63" s="47"/>
      <c r="ZC63" s="47"/>
      <c r="ZD63" s="47"/>
      <c r="ZE63" s="47"/>
      <c r="ZF63" s="47"/>
      <c r="ZG63" s="47"/>
      <c r="ZH63" s="47"/>
      <c r="ZI63" s="47"/>
      <c r="ZJ63" s="47"/>
      <c r="ZK63" s="47"/>
      <c r="ZL63" s="47"/>
      <c r="ZM63" s="47"/>
      <c r="ZN63" s="47"/>
      <c r="ZO63" s="47"/>
      <c r="ZP63" s="47"/>
      <c r="ZQ63" s="47"/>
      <c r="ZR63" s="47"/>
      <c r="ZS63" s="47"/>
      <c r="ZT63" s="47"/>
      <c r="ZU63" s="47"/>
      <c r="ZV63" s="47"/>
      <c r="ZW63" s="44"/>
      <c r="ZX63" s="44"/>
      <c r="ZY63" s="44"/>
      <c r="ZZ63" s="44"/>
      <c r="AAA63" s="44"/>
      <c r="AAB63" s="44"/>
      <c r="AAC63" s="44"/>
      <c r="AAD63" s="44"/>
      <c r="AAE63" s="44"/>
      <c r="AAF63" s="44"/>
      <c r="AAG63" s="47"/>
      <c r="AAH63" s="47"/>
      <c r="AAI63" s="47"/>
      <c r="AAJ63" s="47"/>
      <c r="AAK63" s="47"/>
      <c r="AAL63" s="47"/>
      <c r="AAM63" s="47"/>
      <c r="AAN63" s="47"/>
      <c r="AAO63" s="47"/>
      <c r="AAP63" s="47"/>
      <c r="AAQ63" s="47"/>
      <c r="AAR63" s="47"/>
      <c r="AAS63" s="47"/>
      <c r="AAT63" s="47"/>
      <c r="AAU63" s="47"/>
      <c r="AAV63" s="47"/>
      <c r="AAW63" s="47"/>
      <c r="AAX63" s="47"/>
      <c r="AAY63" s="47"/>
      <c r="AAZ63" s="47"/>
      <c r="ABA63" s="47"/>
      <c r="ABB63" s="47"/>
      <c r="ABC63" s="47"/>
      <c r="ABD63" s="47"/>
      <c r="ABE63" s="47"/>
      <c r="ABF63" s="47"/>
      <c r="ABG63" s="47"/>
      <c r="ABH63" s="47"/>
      <c r="ABI63" s="47"/>
      <c r="ABJ63" s="47"/>
      <c r="ABK63" s="47"/>
      <c r="ABL63" s="47"/>
      <c r="ABM63" s="47"/>
      <c r="ABN63" s="47"/>
      <c r="ABO63" s="47"/>
      <c r="ABP63" s="47"/>
      <c r="ABQ63" s="47"/>
      <c r="ABR63" s="47"/>
      <c r="ABS63" s="47"/>
      <c r="ABT63" s="47"/>
      <c r="ABU63" s="47"/>
      <c r="ABV63" s="47"/>
      <c r="ABW63" s="47"/>
      <c r="ABX63" s="47"/>
      <c r="ABY63" s="47"/>
      <c r="ABZ63" s="47"/>
      <c r="ACA63" s="47"/>
      <c r="ACB63" s="47"/>
      <c r="ACC63" s="47"/>
      <c r="ACD63" s="47"/>
      <c r="ACE63" s="47"/>
      <c r="ACF63" s="47"/>
      <c r="ACG63" s="47"/>
      <c r="ACH63" s="48"/>
    </row>
    <row r="64" spans="1:762" x14ac:dyDescent="0.25">
      <c r="A64" s="42" t="s">
        <v>112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43"/>
      <c r="BL64" s="43"/>
      <c r="BM64" s="43"/>
      <c r="BN64" s="43"/>
      <c r="BO64" s="43"/>
      <c r="BP64" s="43"/>
      <c r="BQ64" s="43"/>
      <c r="BR64" s="43"/>
      <c r="BS64" s="43"/>
      <c r="BT64" s="43"/>
      <c r="BU64" s="43"/>
      <c r="BV64" s="43"/>
      <c r="BW64" s="43"/>
      <c r="BX64" s="43"/>
      <c r="BY64" s="43"/>
      <c r="BZ64" s="43"/>
      <c r="CA64" s="43"/>
      <c r="CB64" s="43"/>
      <c r="CC64" s="43"/>
      <c r="CD64" s="43"/>
      <c r="CE64" s="43"/>
      <c r="CF64" s="43"/>
      <c r="CG64" s="43"/>
      <c r="CH64" s="43"/>
      <c r="CI64" s="43"/>
      <c r="CJ64" s="43"/>
      <c r="CK64" s="43"/>
      <c r="CL64" s="43"/>
      <c r="CM64" s="43"/>
      <c r="CN64" s="43"/>
      <c r="CO64" s="43"/>
      <c r="CP64" s="43"/>
      <c r="CQ64" s="43"/>
      <c r="CR64" s="43"/>
      <c r="CS64" s="43"/>
      <c r="CT64" s="43"/>
      <c r="CU64" s="43"/>
      <c r="CV64" s="43"/>
      <c r="CW64" s="43"/>
      <c r="CX64" s="43"/>
      <c r="CY64" s="43"/>
      <c r="CZ64" s="43"/>
      <c r="DA64" s="43"/>
      <c r="DB64" s="43"/>
      <c r="DC64" s="43"/>
      <c r="DD64" s="43"/>
      <c r="DE64" s="43"/>
      <c r="DF64" s="43"/>
      <c r="DG64" s="43"/>
      <c r="DH64" s="43"/>
      <c r="DI64" s="43"/>
      <c r="DJ64" s="43"/>
      <c r="DK64" s="43"/>
      <c r="DL64" s="43"/>
      <c r="DM64" s="43"/>
      <c r="DN64" s="43"/>
      <c r="DO64" s="43"/>
      <c r="DP64" s="43"/>
      <c r="DQ64" s="43"/>
      <c r="DR64" s="43"/>
      <c r="DS64" s="43"/>
      <c r="DT64" s="43"/>
      <c r="DU64" s="43"/>
      <c r="DV64" s="43"/>
      <c r="DW64" s="43"/>
      <c r="DX64" s="43"/>
      <c r="DY64" s="43"/>
      <c r="DZ64" s="43"/>
      <c r="EA64" s="43"/>
      <c r="EB64" s="43"/>
      <c r="EC64" s="43"/>
      <c r="ED64" s="43"/>
      <c r="EE64" s="43"/>
      <c r="EF64" s="43"/>
      <c r="EG64" s="43"/>
      <c r="EH64" s="43"/>
      <c r="EI64" s="43"/>
      <c r="EJ64" s="43"/>
      <c r="EK64" s="43"/>
      <c r="EL64" s="43"/>
      <c r="EM64" s="43"/>
      <c r="EN64" s="43"/>
      <c r="EO64" s="43"/>
      <c r="EP64" s="43"/>
      <c r="EQ64" s="43"/>
      <c r="ER64" s="43"/>
      <c r="ES64" s="43"/>
      <c r="ET64" s="43"/>
      <c r="EU64" s="43"/>
      <c r="EV64" s="43"/>
      <c r="EW64" s="43"/>
      <c r="EX64" s="43"/>
      <c r="EY64" s="43"/>
      <c r="EZ64" s="43"/>
      <c r="FA64" s="43"/>
      <c r="FB64" s="43"/>
      <c r="FC64" s="43"/>
      <c r="FD64" s="43"/>
      <c r="FE64" s="43"/>
      <c r="FF64" s="43"/>
      <c r="FG64" s="43"/>
      <c r="FH64" s="43"/>
      <c r="FI64" s="43"/>
      <c r="FJ64" s="43"/>
      <c r="FK64" s="43"/>
      <c r="FL64" s="43"/>
      <c r="FM64" s="43"/>
      <c r="FN64" s="43"/>
      <c r="FO64" s="43"/>
      <c r="FP64" s="43"/>
      <c r="FQ64" s="43"/>
      <c r="FR64" s="43"/>
      <c r="FS64" s="43"/>
      <c r="FT64" s="43"/>
      <c r="FU64" s="43"/>
      <c r="FV64" s="43"/>
      <c r="FW64" s="43"/>
      <c r="FX64" s="43"/>
      <c r="FY64" s="43"/>
      <c r="FZ64" s="43"/>
      <c r="GA64" s="43"/>
      <c r="GB64" s="43"/>
      <c r="GC64" s="43"/>
      <c r="GD64" s="43"/>
      <c r="GE64" s="43"/>
      <c r="GF64" s="43"/>
      <c r="GG64" s="43"/>
      <c r="GH64" s="43"/>
      <c r="GI64" s="43"/>
      <c r="GJ64" s="43"/>
      <c r="GK64" s="43"/>
      <c r="GL64" s="43"/>
      <c r="GM64" s="43"/>
      <c r="GN64" s="43"/>
      <c r="GO64" s="43"/>
      <c r="GP64" s="43"/>
      <c r="GQ64" s="43"/>
      <c r="GR64" s="43"/>
      <c r="GS64" s="43"/>
      <c r="GT64" s="43"/>
      <c r="GU64" s="43"/>
      <c r="GV64" s="43"/>
      <c r="GW64" s="43"/>
      <c r="GX64" s="43"/>
      <c r="GY64" s="43"/>
      <c r="GZ64" s="43"/>
      <c r="HA64" s="43"/>
      <c r="HB64" s="43"/>
      <c r="HC64" s="43"/>
      <c r="HD64" s="43"/>
      <c r="HE64" s="43"/>
      <c r="HF64" s="43"/>
      <c r="HG64" s="43"/>
      <c r="HH64" s="43"/>
      <c r="HI64" s="43"/>
      <c r="HJ64" s="43"/>
      <c r="HK64" s="43"/>
      <c r="HL64" s="43"/>
      <c r="HM64" s="43"/>
      <c r="HN64" s="43"/>
      <c r="HO64" s="43"/>
      <c r="HP64" s="43"/>
      <c r="HQ64" s="43"/>
      <c r="HR64" s="43"/>
      <c r="HS64" s="43"/>
      <c r="HT64" s="43"/>
      <c r="HU64" s="43"/>
      <c r="HV64" s="43"/>
      <c r="HW64" s="43"/>
      <c r="HX64" s="43"/>
      <c r="HY64" s="43"/>
      <c r="HZ64" s="43"/>
      <c r="IA64" s="43"/>
      <c r="IB64" s="43"/>
      <c r="IC64" s="43"/>
      <c r="ID64" s="43"/>
      <c r="IE64" s="43"/>
      <c r="IF64" s="43"/>
      <c r="IG64" s="43"/>
      <c r="IH64" s="43"/>
      <c r="II64" s="43"/>
      <c r="IJ64" s="43"/>
      <c r="IK64" s="43"/>
      <c r="IL64" s="43"/>
      <c r="IM64" s="43"/>
      <c r="IN64" s="43"/>
      <c r="IO64" s="43"/>
      <c r="IP64" s="43"/>
      <c r="IQ64" s="43"/>
      <c r="IR64" s="43"/>
      <c r="IS64" s="43"/>
      <c r="IT64" s="43"/>
      <c r="IU64" s="43"/>
      <c r="IV64" s="43"/>
      <c r="IW64" s="43"/>
      <c r="IX64" s="43"/>
      <c r="IY64" s="43"/>
      <c r="IZ64" s="43"/>
      <c r="JA64" s="43"/>
      <c r="JB64" s="43"/>
      <c r="JC64" s="43"/>
      <c r="JD64" s="43"/>
      <c r="JE64" s="43"/>
      <c r="JF64" s="43"/>
      <c r="JG64" s="43"/>
      <c r="JH64" s="43"/>
      <c r="JI64" s="43"/>
      <c r="JJ64" s="43"/>
      <c r="JK64" s="43"/>
      <c r="JL64" s="43"/>
      <c r="JM64" s="43"/>
      <c r="JN64" s="43"/>
      <c r="JO64" s="43"/>
      <c r="JP64" s="43"/>
      <c r="JQ64" s="43"/>
      <c r="JR64" s="43"/>
      <c r="JS64" s="43"/>
      <c r="JT64" s="43"/>
      <c r="JU64" s="43"/>
      <c r="JV64" s="43"/>
      <c r="JW64" s="43"/>
      <c r="JX64" s="43"/>
      <c r="JY64" s="43"/>
      <c r="JZ64" s="43"/>
      <c r="KA64" s="43"/>
      <c r="KB64" s="43"/>
      <c r="KC64" s="43"/>
      <c r="KD64" s="43"/>
      <c r="KE64" s="43"/>
      <c r="KF64" s="43"/>
      <c r="KG64" s="43"/>
      <c r="KH64" s="43"/>
      <c r="KI64" s="43"/>
      <c r="KJ64" s="43"/>
      <c r="KK64" s="43"/>
      <c r="KL64" s="43"/>
      <c r="KM64" s="43"/>
      <c r="KN64" s="43"/>
      <c r="KO64" s="43"/>
      <c r="KP64" s="43"/>
      <c r="KQ64" s="43"/>
      <c r="KR64" s="43"/>
      <c r="KS64" s="43"/>
      <c r="KT64" s="43"/>
      <c r="KU64" s="43"/>
      <c r="KV64" s="43"/>
      <c r="KW64" s="43"/>
      <c r="KX64" s="43"/>
      <c r="KY64" s="43"/>
      <c r="KZ64" s="43"/>
      <c r="LA64" s="43"/>
      <c r="LB64" s="43"/>
      <c r="LC64" s="43"/>
      <c r="LD64" s="43"/>
      <c r="LE64" s="43"/>
      <c r="LF64" s="43"/>
      <c r="LG64" s="43"/>
      <c r="LH64" s="43"/>
      <c r="LI64" s="43"/>
      <c r="LJ64" s="43"/>
      <c r="LK64" s="43"/>
      <c r="LL64" s="43"/>
      <c r="LM64" s="43"/>
      <c r="LN64" s="43"/>
      <c r="LO64" s="43"/>
      <c r="LP64" s="43"/>
      <c r="LQ64" s="43"/>
      <c r="LR64" s="43"/>
      <c r="LS64" s="43"/>
      <c r="LT64" s="43"/>
      <c r="LU64" s="43"/>
      <c r="LV64" s="43"/>
      <c r="LW64" s="43"/>
      <c r="LX64" s="43"/>
      <c r="LY64" s="43"/>
      <c r="LZ64" s="43"/>
      <c r="MA64" s="43"/>
      <c r="MB64" s="43"/>
      <c r="MC64" s="43"/>
      <c r="MD64" s="43"/>
      <c r="ME64" s="43"/>
      <c r="MF64" s="43"/>
      <c r="MG64" s="43"/>
      <c r="MH64" s="43"/>
      <c r="MI64" s="43"/>
      <c r="MJ64" s="43"/>
      <c r="MK64" s="43"/>
      <c r="ML64" s="43"/>
      <c r="MM64" s="43"/>
      <c r="MN64" s="43"/>
      <c r="MO64" s="43"/>
      <c r="MP64" s="43"/>
      <c r="MQ64" s="43"/>
      <c r="MR64" s="43"/>
      <c r="MS64" s="43"/>
      <c r="MT64" s="43"/>
      <c r="MU64" s="43"/>
      <c r="MV64" s="43"/>
      <c r="MW64" s="43"/>
      <c r="MX64" s="43"/>
      <c r="MY64" s="43"/>
      <c r="MZ64" s="43"/>
      <c r="NA64" s="43"/>
      <c r="NB64" s="43"/>
      <c r="NC64" s="43"/>
      <c r="ND64" s="43"/>
      <c r="NE64" s="43"/>
      <c r="NF64" s="43"/>
      <c r="NG64" s="43"/>
      <c r="NH64" s="43"/>
      <c r="NI64" s="43"/>
      <c r="NJ64" s="44"/>
      <c r="NK64" s="44"/>
      <c r="NL64" s="44"/>
      <c r="NM64" s="44"/>
      <c r="NN64" s="44"/>
      <c r="NO64" s="43"/>
      <c r="NP64" s="43"/>
      <c r="NQ64" s="43"/>
      <c r="NR64" s="43"/>
      <c r="NS64" s="43"/>
      <c r="NT64" s="43"/>
      <c r="NU64" s="43"/>
      <c r="NV64" s="43"/>
      <c r="NW64" s="43"/>
      <c r="NX64" s="43"/>
      <c r="NY64" s="43"/>
      <c r="NZ64" s="43"/>
      <c r="OA64" s="43"/>
      <c r="OB64" s="43"/>
      <c r="OC64" s="43"/>
      <c r="OD64" s="43"/>
      <c r="OE64" s="43"/>
      <c r="OF64" s="43"/>
      <c r="OG64" s="43"/>
      <c r="OH64" s="43"/>
      <c r="OI64" s="43"/>
      <c r="OJ64" s="43"/>
      <c r="OK64" s="43"/>
      <c r="OL64" s="43"/>
      <c r="OM64" s="43"/>
      <c r="ON64" s="43"/>
      <c r="OO64" s="43"/>
      <c r="OP64" s="43"/>
      <c r="OQ64" s="43"/>
      <c r="OR64" s="43"/>
      <c r="OS64" s="43"/>
      <c r="OT64" s="43"/>
      <c r="OU64" s="43"/>
      <c r="OV64" s="43"/>
      <c r="OW64" s="43"/>
      <c r="OX64" s="43"/>
      <c r="OY64" s="43"/>
      <c r="OZ64" s="43"/>
      <c r="PA64" s="43"/>
      <c r="PB64" s="43"/>
      <c r="PC64" s="43"/>
      <c r="PD64" s="43"/>
      <c r="PE64" s="43"/>
      <c r="PF64" s="43"/>
      <c r="PG64" s="43"/>
      <c r="PH64" s="43"/>
      <c r="PI64" s="43"/>
      <c r="PJ64" s="43"/>
      <c r="PK64" s="43"/>
      <c r="PL64" s="43"/>
      <c r="PM64" s="43"/>
      <c r="PN64" s="43"/>
      <c r="PO64" s="43"/>
      <c r="PP64" s="43"/>
      <c r="PQ64" s="43"/>
      <c r="PR64" s="43"/>
      <c r="PS64" s="43"/>
      <c r="PT64" s="43"/>
      <c r="PU64" s="43"/>
      <c r="PV64" s="43"/>
      <c r="PW64" s="43"/>
      <c r="PX64" s="43"/>
      <c r="PY64" s="43"/>
      <c r="PZ64" s="43"/>
      <c r="QA64" s="43"/>
      <c r="QB64" s="43"/>
      <c r="QC64" s="43"/>
      <c r="QD64" s="43"/>
      <c r="QE64" s="43"/>
      <c r="QF64" s="43"/>
      <c r="QG64" s="43"/>
      <c r="QH64" s="43"/>
      <c r="QI64" s="43"/>
      <c r="QJ64" s="43"/>
      <c r="QK64" s="43"/>
      <c r="QL64" s="43"/>
      <c r="QM64" s="43"/>
      <c r="QN64" s="43"/>
      <c r="QO64" s="43"/>
      <c r="QP64" s="43"/>
      <c r="QQ64" s="43"/>
      <c r="QR64" s="43"/>
      <c r="QS64" s="43"/>
      <c r="QT64" s="43"/>
      <c r="QU64" s="43"/>
      <c r="QV64" s="43"/>
      <c r="QW64" s="43"/>
      <c r="QX64" s="43"/>
      <c r="QY64" s="43"/>
      <c r="QZ64" s="43"/>
      <c r="RA64" s="43"/>
      <c r="RB64" s="43"/>
      <c r="RC64" s="43"/>
      <c r="RD64" s="43"/>
      <c r="RE64" s="43"/>
      <c r="RF64" s="43"/>
      <c r="RG64" s="43"/>
      <c r="RH64" s="43"/>
      <c r="RI64" s="43"/>
      <c r="RJ64" s="43"/>
      <c r="RK64" s="43"/>
      <c r="RL64" s="43"/>
      <c r="RM64" s="43"/>
      <c r="RN64" s="43"/>
      <c r="RO64" s="43"/>
      <c r="RP64" s="43"/>
      <c r="RQ64" s="43"/>
      <c r="RR64" s="43"/>
      <c r="RS64" s="43"/>
      <c r="RT64" s="43"/>
      <c r="RU64" s="43"/>
      <c r="RV64" s="43"/>
      <c r="RW64" s="43"/>
      <c r="RX64" s="43"/>
      <c r="RY64" s="43"/>
      <c r="RZ64" s="43"/>
      <c r="SA64" s="43"/>
      <c r="SB64" s="43"/>
      <c r="SC64" s="43"/>
      <c r="SD64" s="43"/>
      <c r="SE64" s="43"/>
      <c r="SF64" s="43"/>
      <c r="SG64" s="43"/>
      <c r="SH64" s="43"/>
      <c r="SI64" s="43"/>
      <c r="SJ64" s="43"/>
      <c r="SK64" s="43"/>
      <c r="SL64" s="43"/>
      <c r="SM64" s="43"/>
      <c r="SN64" s="43"/>
      <c r="SO64" s="43"/>
      <c r="SP64" s="43"/>
      <c r="SQ64" s="43"/>
      <c r="SR64" s="43"/>
      <c r="SS64" s="43"/>
      <c r="ST64" s="43"/>
      <c r="SU64" s="43"/>
      <c r="SV64" s="43"/>
      <c r="SW64" s="43"/>
      <c r="SX64" s="43"/>
      <c r="SY64" s="43"/>
      <c r="SZ64" s="43"/>
      <c r="TA64" s="43"/>
      <c r="TB64" s="43"/>
      <c r="TC64" s="43"/>
      <c r="TD64" s="43"/>
      <c r="TE64" s="43"/>
      <c r="TF64" s="43"/>
      <c r="TG64" s="43"/>
      <c r="TH64" s="43"/>
      <c r="TI64" s="43"/>
      <c r="TJ64" s="43"/>
      <c r="TK64" s="43"/>
      <c r="TL64" s="43"/>
      <c r="TM64" s="43"/>
      <c r="TN64" s="43"/>
      <c r="TO64" s="43"/>
      <c r="TP64" s="43"/>
      <c r="TQ64" s="43"/>
      <c r="TR64" s="43"/>
      <c r="TS64" s="43"/>
      <c r="TT64" s="43"/>
      <c r="TU64" s="43"/>
      <c r="TV64" s="43"/>
      <c r="TW64" s="43"/>
      <c r="TX64" s="43" t="s">
        <v>837</v>
      </c>
      <c r="TY64" s="43"/>
      <c r="TZ64" s="43"/>
      <c r="UA64" s="43"/>
      <c r="UB64" s="43"/>
      <c r="UC64" s="43"/>
      <c r="UD64" s="43"/>
      <c r="UE64" s="43"/>
      <c r="UF64" s="43"/>
      <c r="UG64" s="43"/>
      <c r="UH64" s="43"/>
      <c r="UI64" s="43"/>
      <c r="UJ64" s="43"/>
      <c r="UK64" s="43"/>
      <c r="UL64" s="43"/>
      <c r="UM64" s="43"/>
      <c r="UN64" s="43"/>
      <c r="UO64" s="43"/>
      <c r="UP64" s="43"/>
      <c r="UQ64" s="43"/>
      <c r="UR64" s="43"/>
      <c r="US64" s="43"/>
      <c r="UT64" s="43"/>
      <c r="UU64" s="43"/>
      <c r="UV64" s="43"/>
      <c r="UW64" s="43"/>
      <c r="UX64" s="43"/>
      <c r="UY64" s="43"/>
      <c r="UZ64" s="43"/>
      <c r="VA64" s="43"/>
      <c r="VB64" s="43"/>
      <c r="VC64" s="43"/>
      <c r="VD64" s="43"/>
      <c r="VE64" s="43"/>
      <c r="VF64" s="43"/>
      <c r="VG64" s="43"/>
      <c r="VH64" s="43"/>
      <c r="VI64" s="43"/>
      <c r="VJ64" s="43"/>
      <c r="VK64" s="43"/>
      <c r="VL64" s="43"/>
      <c r="VM64" s="43"/>
      <c r="VN64" s="43"/>
      <c r="VO64" s="43"/>
      <c r="VP64" s="43"/>
      <c r="VQ64" s="43"/>
      <c r="VR64" s="43"/>
      <c r="VS64" s="43"/>
      <c r="VT64" s="43"/>
      <c r="VU64" s="43"/>
      <c r="VV64" s="43"/>
      <c r="VW64" s="43"/>
      <c r="VX64" s="43"/>
      <c r="VY64" s="43"/>
      <c r="VZ64" s="43"/>
      <c r="WA64" s="43"/>
      <c r="WB64" s="43"/>
      <c r="WC64" s="43"/>
      <c r="WD64" s="43"/>
      <c r="WE64" s="43"/>
      <c r="WF64" s="43"/>
      <c r="WG64" s="43"/>
      <c r="WH64" s="43"/>
      <c r="WI64" s="43"/>
      <c r="WJ64" s="43"/>
      <c r="WK64" s="43"/>
      <c r="WL64" s="43"/>
      <c r="WM64" s="43"/>
      <c r="WN64" s="43"/>
      <c r="WO64" s="43"/>
      <c r="WP64" s="43"/>
      <c r="WQ64" s="43"/>
      <c r="WR64" s="43"/>
      <c r="WS64" s="43"/>
      <c r="WT64" s="43"/>
      <c r="WU64" s="43"/>
      <c r="WV64" s="43"/>
      <c r="WW64" s="43"/>
      <c r="WX64" s="43"/>
      <c r="WY64" s="43"/>
      <c r="WZ64" s="43"/>
      <c r="XA64" s="43"/>
      <c r="XB64" s="43"/>
      <c r="XC64" s="43"/>
      <c r="XD64" s="43"/>
      <c r="XE64" s="43"/>
      <c r="XF64" s="43"/>
      <c r="XG64" s="43"/>
      <c r="XH64" s="43"/>
      <c r="XI64" s="43"/>
      <c r="XJ64" s="43"/>
      <c r="XK64" s="43"/>
      <c r="XL64" s="43"/>
      <c r="XM64" s="43"/>
      <c r="XN64" s="43"/>
      <c r="XO64" s="43"/>
      <c r="XP64" s="43"/>
      <c r="XQ64" s="43"/>
      <c r="XR64" s="43"/>
      <c r="XS64" s="43"/>
      <c r="XT64" s="43"/>
      <c r="XU64" s="43"/>
      <c r="XV64" s="43"/>
      <c r="XW64" s="43"/>
      <c r="XX64" s="43"/>
      <c r="XY64" s="43"/>
      <c r="XZ64" s="43"/>
      <c r="YA64" s="44"/>
      <c r="YB64" s="44"/>
      <c r="YC64" s="44"/>
      <c r="YD64" s="44"/>
      <c r="YE64" s="44"/>
      <c r="YF64" s="43"/>
      <c r="YG64" s="43"/>
      <c r="YH64" s="43"/>
      <c r="YI64" s="43"/>
      <c r="YJ64" s="43"/>
      <c r="YK64" s="43"/>
      <c r="YL64" s="43"/>
      <c r="YM64" s="43"/>
      <c r="YN64" s="43"/>
      <c r="YO64" s="43"/>
      <c r="YP64" s="43"/>
      <c r="YQ64" s="43"/>
      <c r="YR64" s="43"/>
      <c r="YS64" s="43"/>
      <c r="YT64" s="43"/>
      <c r="YU64" s="43"/>
      <c r="YV64" s="43"/>
      <c r="YW64" s="43"/>
      <c r="YX64" s="43"/>
      <c r="YY64" s="43"/>
      <c r="YZ64" s="43"/>
      <c r="ZA64" s="43"/>
      <c r="ZB64" s="43"/>
      <c r="ZC64" s="43"/>
      <c r="ZD64" s="43"/>
      <c r="ZE64" s="43"/>
      <c r="ZF64" s="43"/>
      <c r="ZG64" s="43"/>
      <c r="ZH64" s="43"/>
      <c r="ZI64" s="43"/>
      <c r="ZJ64" s="43"/>
      <c r="ZK64" s="43"/>
      <c r="ZL64" s="43"/>
      <c r="ZM64" s="43"/>
      <c r="ZN64" s="43"/>
      <c r="ZO64" s="43"/>
      <c r="ZP64" s="43"/>
      <c r="ZQ64" s="43"/>
      <c r="ZR64" s="43"/>
      <c r="ZS64" s="43"/>
      <c r="ZT64" s="43"/>
      <c r="ZU64" s="43"/>
      <c r="ZV64" s="43"/>
      <c r="ZW64" s="44"/>
      <c r="ZX64" s="44"/>
      <c r="ZY64" s="44"/>
      <c r="ZZ64" s="44"/>
      <c r="AAA64" s="44"/>
      <c r="AAB64" s="44"/>
      <c r="AAC64" s="44"/>
      <c r="AAD64" s="44"/>
      <c r="AAE64" s="44"/>
      <c r="AAF64" s="44"/>
      <c r="AAG64" s="43"/>
      <c r="AAH64" s="43"/>
      <c r="AAI64" s="43"/>
      <c r="AAJ64" s="43"/>
      <c r="AAK64" s="43"/>
      <c r="AAL64" s="43"/>
      <c r="AAM64" s="43"/>
      <c r="AAN64" s="43"/>
      <c r="AAO64" s="43"/>
      <c r="AAP64" s="43"/>
      <c r="AAQ64" s="43"/>
      <c r="AAR64" s="43"/>
      <c r="AAS64" s="43"/>
      <c r="AAT64" s="43"/>
      <c r="AAU64" s="43"/>
      <c r="AAV64" s="43"/>
      <c r="AAW64" s="43"/>
      <c r="AAX64" s="43"/>
      <c r="AAY64" s="43"/>
      <c r="AAZ64" s="43"/>
      <c r="ABA64" s="43"/>
      <c r="ABB64" s="43"/>
      <c r="ABC64" s="43"/>
      <c r="ABD64" s="43"/>
      <c r="ABE64" s="43"/>
      <c r="ABF64" s="43"/>
      <c r="ABG64" s="43"/>
      <c r="ABH64" s="43"/>
      <c r="ABI64" s="43"/>
      <c r="ABJ64" s="43"/>
      <c r="ABK64" s="43"/>
      <c r="ABL64" s="43"/>
      <c r="ABM64" s="43"/>
      <c r="ABN64" s="43"/>
      <c r="ABO64" s="43"/>
      <c r="ABP64" s="43"/>
      <c r="ABQ64" s="43"/>
      <c r="ABR64" s="43"/>
      <c r="ABS64" s="43"/>
      <c r="ABT64" s="43"/>
      <c r="ABU64" s="43"/>
      <c r="ABV64" s="43"/>
      <c r="ABW64" s="43"/>
      <c r="ABX64" s="43"/>
      <c r="ABY64" s="43"/>
      <c r="ABZ64" s="43"/>
      <c r="ACA64" s="43"/>
      <c r="ACB64" s="43"/>
      <c r="ACC64" s="43"/>
      <c r="ACD64" s="43"/>
      <c r="ACE64" s="43"/>
      <c r="ACF64" s="43"/>
      <c r="ACG64" s="43"/>
      <c r="ACH64" s="45"/>
    </row>
    <row r="65" spans="1:762" x14ac:dyDescent="0.25">
      <c r="A65" s="46" t="s">
        <v>113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  <c r="BW65" s="47"/>
      <c r="BX65" s="47"/>
      <c r="BY65" s="47"/>
      <c r="BZ65" s="47"/>
      <c r="CA65" s="47"/>
      <c r="CB65" s="47"/>
      <c r="CC65" s="47"/>
      <c r="CD65" s="47"/>
      <c r="CE65" s="47"/>
      <c r="CF65" s="47"/>
      <c r="CG65" s="47"/>
      <c r="CH65" s="47"/>
      <c r="CI65" s="47"/>
      <c r="CJ65" s="47"/>
      <c r="CK65" s="47"/>
      <c r="CL65" s="47"/>
      <c r="CM65" s="47"/>
      <c r="CN65" s="47"/>
      <c r="CO65" s="47"/>
      <c r="CP65" s="47"/>
      <c r="CQ65" s="47"/>
      <c r="CR65" s="47"/>
      <c r="CS65" s="47"/>
      <c r="CT65" s="47"/>
      <c r="CU65" s="47"/>
      <c r="CV65" s="47"/>
      <c r="CW65" s="47"/>
      <c r="CX65" s="47"/>
      <c r="CY65" s="47"/>
      <c r="CZ65" s="47"/>
      <c r="DA65" s="47"/>
      <c r="DB65" s="47"/>
      <c r="DC65" s="47"/>
      <c r="DD65" s="47"/>
      <c r="DE65" s="47"/>
      <c r="DF65" s="47"/>
      <c r="DG65" s="47"/>
      <c r="DH65" s="47"/>
      <c r="DI65" s="47"/>
      <c r="DJ65" s="47"/>
      <c r="DK65" s="47"/>
      <c r="DL65" s="47"/>
      <c r="DM65" s="47"/>
      <c r="DN65" s="47"/>
      <c r="DO65" s="47"/>
      <c r="DP65" s="47"/>
      <c r="DQ65" s="47"/>
      <c r="DR65" s="47"/>
      <c r="DS65" s="47"/>
      <c r="DT65" s="47"/>
      <c r="DU65" s="47"/>
      <c r="DV65" s="47"/>
      <c r="DW65" s="47"/>
      <c r="DX65" s="47"/>
      <c r="DY65" s="47"/>
      <c r="DZ65" s="47"/>
      <c r="EA65" s="47"/>
      <c r="EB65" s="47"/>
      <c r="EC65" s="47"/>
      <c r="ED65" s="47"/>
      <c r="EE65" s="47"/>
      <c r="EF65" s="47"/>
      <c r="EG65" s="47"/>
      <c r="EH65" s="47"/>
      <c r="EI65" s="47"/>
      <c r="EJ65" s="47"/>
      <c r="EK65" s="47"/>
      <c r="EL65" s="47"/>
      <c r="EM65" s="47"/>
      <c r="EN65" s="47"/>
      <c r="EO65" s="47"/>
      <c r="EP65" s="47"/>
      <c r="EQ65" s="47"/>
      <c r="ER65" s="47"/>
      <c r="ES65" s="47"/>
      <c r="ET65" s="47"/>
      <c r="EU65" s="47"/>
      <c r="EV65" s="47"/>
      <c r="EW65" s="47"/>
      <c r="EX65" s="47"/>
      <c r="EY65" s="47"/>
      <c r="EZ65" s="47"/>
      <c r="FA65" s="47"/>
      <c r="FB65" s="47"/>
      <c r="FC65" s="47"/>
      <c r="FD65" s="47"/>
      <c r="FE65" s="47"/>
      <c r="FF65" s="47"/>
      <c r="FG65" s="47"/>
      <c r="FH65" s="47"/>
      <c r="FI65" s="47"/>
      <c r="FJ65" s="47"/>
      <c r="FK65" s="47"/>
      <c r="FL65" s="47"/>
      <c r="FM65" s="47"/>
      <c r="FN65" s="47"/>
      <c r="FO65" s="47"/>
      <c r="FP65" s="47"/>
      <c r="FQ65" s="47"/>
      <c r="FR65" s="47"/>
      <c r="FS65" s="47"/>
      <c r="FT65" s="47"/>
      <c r="FU65" s="47"/>
      <c r="FV65" s="47"/>
      <c r="FW65" s="47"/>
      <c r="FX65" s="47"/>
      <c r="FY65" s="47"/>
      <c r="FZ65" s="47"/>
      <c r="GA65" s="47"/>
      <c r="GB65" s="47"/>
      <c r="GC65" s="47"/>
      <c r="GD65" s="47"/>
      <c r="GE65" s="47"/>
      <c r="GF65" s="47"/>
      <c r="GG65" s="47"/>
      <c r="GH65" s="47"/>
      <c r="GI65" s="47"/>
      <c r="GJ65" s="47"/>
      <c r="GK65" s="47"/>
      <c r="GL65" s="47"/>
      <c r="GM65" s="47"/>
      <c r="GN65" s="47"/>
      <c r="GO65" s="47"/>
      <c r="GP65" s="47"/>
      <c r="GQ65" s="47"/>
      <c r="GR65" s="47"/>
      <c r="GS65" s="47"/>
      <c r="GT65" s="47"/>
      <c r="GU65" s="47"/>
      <c r="GV65" s="47"/>
      <c r="GW65" s="47"/>
      <c r="GX65" s="47"/>
      <c r="GY65" s="47"/>
      <c r="GZ65" s="47"/>
      <c r="HA65" s="47"/>
      <c r="HB65" s="47"/>
      <c r="HC65" s="47"/>
      <c r="HD65" s="47"/>
      <c r="HE65" s="47"/>
      <c r="HF65" s="47"/>
      <c r="HG65" s="47"/>
      <c r="HH65" s="47"/>
      <c r="HI65" s="47"/>
      <c r="HJ65" s="47"/>
      <c r="HK65" s="47"/>
      <c r="HL65" s="47"/>
      <c r="HM65" s="47"/>
      <c r="HN65" s="47"/>
      <c r="HO65" s="47"/>
      <c r="HP65" s="47"/>
      <c r="HQ65" s="47"/>
      <c r="HR65" s="47"/>
      <c r="HS65" s="47"/>
      <c r="HT65" s="47"/>
      <c r="HU65" s="47"/>
      <c r="HV65" s="47"/>
      <c r="HW65" s="47"/>
      <c r="HX65" s="47"/>
      <c r="HY65" s="47"/>
      <c r="HZ65" s="47"/>
      <c r="IA65" s="47"/>
      <c r="IB65" s="47"/>
      <c r="IC65" s="47"/>
      <c r="ID65" s="47"/>
      <c r="IE65" s="47"/>
      <c r="IF65" s="47"/>
      <c r="IG65" s="47"/>
      <c r="IH65" s="47"/>
      <c r="II65" s="47"/>
      <c r="IJ65" s="47"/>
      <c r="IK65" s="47"/>
      <c r="IL65" s="47"/>
      <c r="IM65" s="47"/>
      <c r="IN65" s="47"/>
      <c r="IO65" s="47"/>
      <c r="IP65" s="47"/>
      <c r="IQ65" s="47"/>
      <c r="IR65" s="47"/>
      <c r="IS65" s="47"/>
      <c r="IT65" s="47"/>
      <c r="IU65" s="47"/>
      <c r="IV65" s="47"/>
      <c r="IW65" s="47"/>
      <c r="IX65" s="47"/>
      <c r="IY65" s="47"/>
      <c r="IZ65" s="47"/>
      <c r="JA65" s="47"/>
      <c r="JB65" s="47"/>
      <c r="JC65" s="47"/>
      <c r="JD65" s="47"/>
      <c r="JE65" s="47"/>
      <c r="JF65" s="47"/>
      <c r="JG65" s="47"/>
      <c r="JH65" s="47"/>
      <c r="JI65" s="47"/>
      <c r="JJ65" s="47"/>
      <c r="JK65" s="47"/>
      <c r="JL65" s="47"/>
      <c r="JM65" s="47"/>
      <c r="JN65" s="47"/>
      <c r="JO65" s="47"/>
      <c r="JP65" s="47"/>
      <c r="JQ65" s="47"/>
      <c r="JR65" s="47"/>
      <c r="JS65" s="47"/>
      <c r="JT65" s="47"/>
      <c r="JU65" s="47"/>
      <c r="JV65" s="47"/>
      <c r="JW65" s="47"/>
      <c r="JX65" s="47"/>
      <c r="JY65" s="47"/>
      <c r="JZ65" s="47"/>
      <c r="KA65" s="47"/>
      <c r="KB65" s="47"/>
      <c r="KC65" s="47"/>
      <c r="KD65" s="47"/>
      <c r="KE65" s="47"/>
      <c r="KF65" s="47"/>
      <c r="KG65" s="47"/>
      <c r="KH65" s="47"/>
      <c r="KI65" s="47"/>
      <c r="KJ65" s="47"/>
      <c r="KK65" s="47"/>
      <c r="KL65" s="47"/>
      <c r="KM65" s="47"/>
      <c r="KN65" s="47"/>
      <c r="KO65" s="47"/>
      <c r="KP65" s="47"/>
      <c r="KQ65" s="47"/>
      <c r="KR65" s="47"/>
      <c r="KS65" s="47"/>
      <c r="KT65" s="47"/>
      <c r="KU65" s="47"/>
      <c r="KV65" s="47"/>
      <c r="KW65" s="47"/>
      <c r="KX65" s="47"/>
      <c r="KY65" s="47"/>
      <c r="KZ65" s="47"/>
      <c r="LA65" s="47"/>
      <c r="LB65" s="47"/>
      <c r="LC65" s="47"/>
      <c r="LD65" s="47"/>
      <c r="LE65" s="47"/>
      <c r="LF65" s="47"/>
      <c r="LG65" s="47"/>
      <c r="LH65" s="47"/>
      <c r="LI65" s="47"/>
      <c r="LJ65" s="47"/>
      <c r="LK65" s="47"/>
      <c r="LL65" s="47"/>
      <c r="LM65" s="47"/>
      <c r="LN65" s="47"/>
      <c r="LO65" s="47"/>
      <c r="LP65" s="47"/>
      <c r="LQ65" s="47"/>
      <c r="LR65" s="47"/>
      <c r="LS65" s="47"/>
      <c r="LT65" s="47"/>
      <c r="LU65" s="47"/>
      <c r="LV65" s="47"/>
      <c r="LW65" s="47"/>
      <c r="LX65" s="47"/>
      <c r="LY65" s="47"/>
      <c r="LZ65" s="47"/>
      <c r="MA65" s="47"/>
      <c r="MB65" s="47"/>
      <c r="MC65" s="47"/>
      <c r="MD65" s="47"/>
      <c r="ME65" s="47"/>
      <c r="MF65" s="47"/>
      <c r="MG65" s="47"/>
      <c r="MH65" s="47"/>
      <c r="MI65" s="47"/>
      <c r="MJ65" s="47"/>
      <c r="MK65" s="47"/>
      <c r="ML65" s="47"/>
      <c r="MM65" s="47"/>
      <c r="MN65" s="47"/>
      <c r="MO65" s="47"/>
      <c r="MP65" s="47"/>
      <c r="MQ65" s="47"/>
      <c r="MR65" s="47"/>
      <c r="MS65" s="47"/>
      <c r="MT65" s="47"/>
      <c r="MU65" s="47"/>
      <c r="MV65" s="47"/>
      <c r="MW65" s="47"/>
      <c r="MX65" s="47"/>
      <c r="MY65" s="47"/>
      <c r="MZ65" s="47"/>
      <c r="NA65" s="47"/>
      <c r="NB65" s="47"/>
      <c r="NC65" s="47"/>
      <c r="ND65" s="47"/>
      <c r="NE65" s="47"/>
      <c r="NF65" s="47"/>
      <c r="NG65" s="47"/>
      <c r="NH65" s="47"/>
      <c r="NI65" s="47"/>
      <c r="NJ65" s="44"/>
      <c r="NK65" s="44"/>
      <c r="NL65" s="44"/>
      <c r="NM65" s="44"/>
      <c r="NN65" s="44"/>
      <c r="NO65" s="47"/>
      <c r="NP65" s="47"/>
      <c r="NQ65" s="47"/>
      <c r="NR65" s="47"/>
      <c r="NS65" s="47"/>
      <c r="NT65" s="47"/>
      <c r="NU65" s="47"/>
      <c r="NV65" s="47"/>
      <c r="NW65" s="47"/>
      <c r="NX65" s="47"/>
      <c r="NY65" s="47"/>
      <c r="NZ65" s="47"/>
      <c r="OA65" s="47"/>
      <c r="OB65" s="47"/>
      <c r="OC65" s="47"/>
      <c r="OD65" s="47"/>
      <c r="OE65" s="47"/>
      <c r="OF65" s="47"/>
      <c r="OG65" s="47"/>
      <c r="OH65" s="47"/>
      <c r="OI65" s="47"/>
      <c r="OJ65" s="47"/>
      <c r="OK65" s="47"/>
      <c r="OL65" s="47"/>
      <c r="OM65" s="47"/>
      <c r="ON65" s="47"/>
      <c r="OO65" s="47"/>
      <c r="OP65" s="47"/>
      <c r="OQ65" s="47"/>
      <c r="OR65" s="47"/>
      <c r="OS65" s="47"/>
      <c r="OT65" s="47"/>
      <c r="OU65" s="47"/>
      <c r="OV65" s="47"/>
      <c r="OW65" s="47"/>
      <c r="OX65" s="47"/>
      <c r="OY65" s="47"/>
      <c r="OZ65" s="47"/>
      <c r="PA65" s="47"/>
      <c r="PB65" s="47"/>
      <c r="PC65" s="47"/>
      <c r="PD65" s="47"/>
      <c r="PE65" s="47"/>
      <c r="PF65" s="47"/>
      <c r="PG65" s="47"/>
      <c r="PH65" s="47"/>
      <c r="PI65" s="47"/>
      <c r="PJ65" s="47"/>
      <c r="PK65" s="47"/>
      <c r="PL65" s="47"/>
      <c r="PM65" s="47"/>
      <c r="PN65" s="47"/>
      <c r="PO65" s="47"/>
      <c r="PP65" s="47"/>
      <c r="PQ65" s="47"/>
      <c r="PR65" s="47"/>
      <c r="PS65" s="47"/>
      <c r="PT65" s="47"/>
      <c r="PU65" s="47"/>
      <c r="PV65" s="47"/>
      <c r="PW65" s="47"/>
      <c r="PX65" s="47"/>
      <c r="PY65" s="47"/>
      <c r="PZ65" s="47"/>
      <c r="QA65" s="47"/>
      <c r="QB65" s="47"/>
      <c r="QC65" s="47"/>
      <c r="QD65" s="47"/>
      <c r="QE65" s="47"/>
      <c r="QF65" s="47"/>
      <c r="QG65" s="47"/>
      <c r="QH65" s="47"/>
      <c r="QI65" s="47"/>
      <c r="QJ65" s="47"/>
      <c r="QK65" s="47"/>
      <c r="QL65" s="47"/>
      <c r="QM65" s="47"/>
      <c r="QN65" s="47"/>
      <c r="QO65" s="47"/>
      <c r="QP65" s="47"/>
      <c r="QQ65" s="47"/>
      <c r="QR65" s="47"/>
      <c r="QS65" s="47"/>
      <c r="QT65" s="47"/>
      <c r="QU65" s="47"/>
      <c r="QV65" s="47"/>
      <c r="QW65" s="47"/>
      <c r="QX65" s="47"/>
      <c r="QY65" s="47"/>
      <c r="QZ65" s="47"/>
      <c r="RA65" s="47"/>
      <c r="RB65" s="47"/>
      <c r="RC65" s="47"/>
      <c r="RD65" s="47"/>
      <c r="RE65" s="47"/>
      <c r="RF65" s="47"/>
      <c r="RG65" s="47"/>
      <c r="RH65" s="47"/>
      <c r="RI65" s="47"/>
      <c r="RJ65" s="47"/>
      <c r="RK65" s="47"/>
      <c r="RL65" s="47"/>
      <c r="RM65" s="47"/>
      <c r="RN65" s="47"/>
      <c r="RO65" s="47"/>
      <c r="RP65" s="47"/>
      <c r="RQ65" s="47"/>
      <c r="RR65" s="47"/>
      <c r="RS65" s="47"/>
      <c r="RT65" s="47"/>
      <c r="RU65" s="47"/>
      <c r="RV65" s="47"/>
      <c r="RW65" s="47"/>
      <c r="RX65" s="47"/>
      <c r="RY65" s="47"/>
      <c r="RZ65" s="47"/>
      <c r="SA65" s="47"/>
      <c r="SB65" s="47"/>
      <c r="SC65" s="47"/>
      <c r="SD65" s="47"/>
      <c r="SE65" s="47"/>
      <c r="SF65" s="47"/>
      <c r="SG65" s="47"/>
      <c r="SH65" s="47"/>
      <c r="SI65" s="47"/>
      <c r="SJ65" s="47"/>
      <c r="SK65" s="47"/>
      <c r="SL65" s="47"/>
      <c r="SM65" s="47"/>
      <c r="SN65" s="47"/>
      <c r="SO65" s="47"/>
      <c r="SP65" s="47"/>
      <c r="SQ65" s="47"/>
      <c r="SR65" s="47"/>
      <c r="SS65" s="47"/>
      <c r="ST65" s="47"/>
      <c r="SU65" s="47"/>
      <c r="SV65" s="47"/>
      <c r="SW65" s="47"/>
      <c r="SX65" s="47"/>
      <c r="SY65" s="47"/>
      <c r="SZ65" s="47"/>
      <c r="TA65" s="47"/>
      <c r="TB65" s="47"/>
      <c r="TC65" s="47"/>
      <c r="TD65" s="47"/>
      <c r="TE65" s="47"/>
      <c r="TF65" s="47"/>
      <c r="TG65" s="47"/>
      <c r="TH65" s="47"/>
      <c r="TI65" s="47"/>
      <c r="TJ65" s="47"/>
      <c r="TK65" s="47"/>
      <c r="TL65" s="47"/>
      <c r="TM65" s="47"/>
      <c r="TN65" s="47"/>
      <c r="TO65" s="47"/>
      <c r="TP65" s="47"/>
      <c r="TQ65" s="47"/>
      <c r="TR65" s="47"/>
      <c r="TS65" s="47"/>
      <c r="TT65" s="47"/>
      <c r="TU65" s="47"/>
      <c r="TV65" s="47"/>
      <c r="TW65" s="47"/>
      <c r="TX65" s="47"/>
      <c r="TY65" s="47"/>
      <c r="TZ65" s="47"/>
      <c r="UA65" s="47"/>
      <c r="UB65" s="47"/>
      <c r="UC65" s="47"/>
      <c r="UD65" s="47"/>
      <c r="UE65" s="47"/>
      <c r="UF65" s="47"/>
      <c r="UG65" s="47"/>
      <c r="UH65" s="47"/>
      <c r="UI65" s="47"/>
      <c r="UJ65" s="47"/>
      <c r="UK65" s="47"/>
      <c r="UL65" s="47"/>
      <c r="UM65" s="47"/>
      <c r="UN65" s="47"/>
      <c r="UO65" s="47"/>
      <c r="UP65" s="47"/>
      <c r="UQ65" s="47"/>
      <c r="UR65" s="47"/>
      <c r="US65" s="47"/>
      <c r="UT65" s="47"/>
      <c r="UU65" s="47"/>
      <c r="UV65" s="47"/>
      <c r="UW65" s="47"/>
      <c r="UX65" s="47"/>
      <c r="UY65" s="47"/>
      <c r="UZ65" s="47"/>
      <c r="VA65" s="47"/>
      <c r="VB65" s="47"/>
      <c r="VC65" s="47"/>
      <c r="VD65" s="47"/>
      <c r="VE65" s="47"/>
      <c r="VF65" s="47"/>
      <c r="VG65" s="47"/>
      <c r="VH65" s="47"/>
      <c r="VI65" s="47"/>
      <c r="VJ65" s="47"/>
      <c r="VK65" s="47"/>
      <c r="VL65" s="47"/>
      <c r="VM65" s="47"/>
      <c r="VN65" s="47"/>
      <c r="VO65" s="47"/>
      <c r="VP65" s="47"/>
      <c r="VQ65" s="47"/>
      <c r="VR65" s="47"/>
      <c r="VS65" s="47"/>
      <c r="VT65" s="47"/>
      <c r="VU65" s="47"/>
      <c r="VV65" s="47"/>
      <c r="VW65" s="47"/>
      <c r="VX65" s="47"/>
      <c r="VY65" s="47"/>
      <c r="VZ65" s="47"/>
      <c r="WA65" s="47"/>
      <c r="WB65" s="47"/>
      <c r="WC65" s="47"/>
      <c r="WD65" s="47"/>
      <c r="WE65" s="47"/>
      <c r="WF65" s="47"/>
      <c r="WG65" s="47"/>
      <c r="WH65" s="47"/>
      <c r="WI65" s="47"/>
      <c r="WJ65" s="47"/>
      <c r="WK65" s="47"/>
      <c r="WL65" s="47"/>
      <c r="WM65" s="47"/>
      <c r="WN65" s="47"/>
      <c r="WO65" s="47"/>
      <c r="WP65" s="47"/>
      <c r="WQ65" s="47"/>
      <c r="WR65" s="47"/>
      <c r="WS65" s="47"/>
      <c r="WT65" s="47"/>
      <c r="WU65" s="47"/>
      <c r="WV65" s="47"/>
      <c r="WW65" s="47"/>
      <c r="WX65" s="47"/>
      <c r="WY65" s="47"/>
      <c r="WZ65" s="47"/>
      <c r="XA65" s="47"/>
      <c r="XB65" s="47"/>
      <c r="XC65" s="47"/>
      <c r="XD65" s="47"/>
      <c r="XE65" s="47"/>
      <c r="XF65" s="47"/>
      <c r="XG65" s="47"/>
      <c r="XH65" s="47"/>
      <c r="XI65" s="47"/>
      <c r="XJ65" s="47"/>
      <c r="XK65" s="47"/>
      <c r="XL65" s="47"/>
      <c r="XM65" s="47"/>
      <c r="XN65" s="47"/>
      <c r="XO65" s="47"/>
      <c r="XP65" s="47"/>
      <c r="XQ65" s="47"/>
      <c r="XR65" s="47"/>
      <c r="XS65" s="47"/>
      <c r="XT65" s="47"/>
      <c r="XU65" s="47"/>
      <c r="XV65" s="47"/>
      <c r="XW65" s="47"/>
      <c r="XX65" s="47"/>
      <c r="XY65" s="47"/>
      <c r="XZ65" s="47"/>
      <c r="YA65" s="44"/>
      <c r="YB65" s="44"/>
      <c r="YC65" s="44"/>
      <c r="YD65" s="44"/>
      <c r="YE65" s="44"/>
      <c r="YF65" s="47"/>
      <c r="YG65" s="47"/>
      <c r="YH65" s="47"/>
      <c r="YI65" s="47"/>
      <c r="YJ65" s="47"/>
      <c r="YK65" s="47"/>
      <c r="YL65" s="47"/>
      <c r="YM65" s="47"/>
      <c r="YN65" s="47"/>
      <c r="YO65" s="47"/>
      <c r="YP65" s="47"/>
      <c r="YQ65" s="47"/>
      <c r="YR65" s="47"/>
      <c r="YS65" s="47"/>
      <c r="YT65" s="47"/>
      <c r="YU65" s="47"/>
      <c r="YV65" s="47"/>
      <c r="YW65" s="47"/>
      <c r="YX65" s="47"/>
      <c r="YY65" s="47"/>
      <c r="YZ65" s="47"/>
      <c r="ZA65" s="47"/>
      <c r="ZB65" s="47"/>
      <c r="ZC65" s="47"/>
      <c r="ZD65" s="47"/>
      <c r="ZE65" s="47"/>
      <c r="ZF65" s="47"/>
      <c r="ZG65" s="47"/>
      <c r="ZH65" s="47"/>
      <c r="ZI65" s="47"/>
      <c r="ZJ65" s="47"/>
      <c r="ZK65" s="47"/>
      <c r="ZL65" s="47"/>
      <c r="ZM65" s="47"/>
      <c r="ZN65" s="47"/>
      <c r="ZO65" s="47"/>
      <c r="ZP65" s="47"/>
      <c r="ZQ65" s="47"/>
      <c r="ZR65" s="47"/>
      <c r="ZS65" s="47"/>
      <c r="ZT65" s="47"/>
      <c r="ZU65" s="47"/>
      <c r="ZV65" s="47"/>
      <c r="ZW65" s="44"/>
      <c r="ZX65" s="44"/>
      <c r="ZY65" s="44"/>
      <c r="ZZ65" s="44"/>
      <c r="AAA65" s="44"/>
      <c r="AAB65" s="44"/>
      <c r="AAC65" s="44"/>
      <c r="AAD65" s="44"/>
      <c r="AAE65" s="44"/>
      <c r="AAF65" s="44"/>
      <c r="AAG65" s="47"/>
      <c r="AAH65" s="47"/>
      <c r="AAI65" s="47"/>
      <c r="AAJ65" s="47"/>
      <c r="AAK65" s="47"/>
      <c r="AAL65" s="47"/>
      <c r="AAM65" s="47"/>
      <c r="AAN65" s="47"/>
      <c r="AAO65" s="47"/>
      <c r="AAP65" s="47"/>
      <c r="AAQ65" s="47"/>
      <c r="AAR65" s="47"/>
      <c r="AAS65" s="47"/>
      <c r="AAT65" s="47"/>
      <c r="AAU65" s="47"/>
      <c r="AAV65" s="47"/>
      <c r="AAW65" s="47"/>
      <c r="AAX65" s="47"/>
      <c r="AAY65" s="47"/>
      <c r="AAZ65" s="47"/>
      <c r="ABA65" s="47"/>
      <c r="ABB65" s="47"/>
      <c r="ABC65" s="47"/>
      <c r="ABD65" s="47"/>
      <c r="ABE65" s="47"/>
      <c r="ABF65" s="47"/>
      <c r="ABG65" s="47"/>
      <c r="ABH65" s="47"/>
      <c r="ABI65" s="47"/>
      <c r="ABJ65" s="47"/>
      <c r="ABK65" s="47"/>
      <c r="ABL65" s="47"/>
      <c r="ABM65" s="47"/>
      <c r="ABN65" s="47"/>
      <c r="ABO65" s="47"/>
      <c r="ABP65" s="47"/>
      <c r="ABQ65" s="47"/>
      <c r="ABR65" s="47"/>
      <c r="ABS65" s="47"/>
      <c r="ABT65" s="47"/>
      <c r="ABU65" s="47"/>
      <c r="ABV65" s="47"/>
      <c r="ABW65" s="47"/>
      <c r="ABX65" s="47"/>
      <c r="ABY65" s="47"/>
      <c r="ABZ65" s="47"/>
      <c r="ACA65" s="47"/>
      <c r="ACB65" s="47"/>
      <c r="ACC65" s="47"/>
      <c r="ACD65" s="47"/>
      <c r="ACE65" s="47"/>
      <c r="ACF65" s="47"/>
      <c r="ACG65" s="47"/>
      <c r="ACH65" s="48"/>
    </row>
    <row r="66" spans="1:762" x14ac:dyDescent="0.25">
      <c r="A66" s="42" t="s">
        <v>115</v>
      </c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  <c r="BL66" s="43"/>
      <c r="BM66" s="43"/>
      <c r="BN66" s="43"/>
      <c r="BO66" s="43"/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3"/>
      <c r="CA66" s="43"/>
      <c r="CB66" s="43"/>
      <c r="CC66" s="43"/>
      <c r="CD66" s="43"/>
      <c r="CE66" s="43"/>
      <c r="CF66" s="43"/>
      <c r="CG66" s="43"/>
      <c r="CH66" s="43"/>
      <c r="CI66" s="43"/>
      <c r="CJ66" s="43"/>
      <c r="CK66" s="43"/>
      <c r="CL66" s="43"/>
      <c r="CM66" s="43"/>
      <c r="CN66" s="43"/>
      <c r="CO66" s="43"/>
      <c r="CP66" s="43"/>
      <c r="CQ66" s="43"/>
      <c r="CR66" s="43"/>
      <c r="CS66" s="43"/>
      <c r="CT66" s="43"/>
      <c r="CU66" s="43"/>
      <c r="CV66" s="43"/>
      <c r="CW66" s="43"/>
      <c r="CX66" s="43"/>
      <c r="CY66" s="43"/>
      <c r="CZ66" s="43"/>
      <c r="DA66" s="43"/>
      <c r="DB66" s="43"/>
      <c r="DC66" s="43"/>
      <c r="DD66" s="43"/>
      <c r="DE66" s="43"/>
      <c r="DF66" s="43"/>
      <c r="DG66" s="43"/>
      <c r="DH66" s="43"/>
      <c r="DI66" s="43"/>
      <c r="DJ66" s="43"/>
      <c r="DK66" s="43"/>
      <c r="DL66" s="43"/>
      <c r="DM66" s="43"/>
      <c r="DN66" s="43"/>
      <c r="DO66" s="43"/>
      <c r="DP66" s="43"/>
      <c r="DQ66" s="43"/>
      <c r="DR66" s="43"/>
      <c r="DS66" s="43"/>
      <c r="DT66" s="43"/>
      <c r="DU66" s="43"/>
      <c r="DV66" s="43"/>
      <c r="DW66" s="43"/>
      <c r="DX66" s="43"/>
      <c r="DY66" s="43"/>
      <c r="DZ66" s="43"/>
      <c r="EA66" s="43"/>
      <c r="EB66" s="43"/>
      <c r="EC66" s="43"/>
      <c r="ED66" s="43"/>
      <c r="EE66" s="43"/>
      <c r="EF66" s="43"/>
      <c r="EG66" s="43"/>
      <c r="EH66" s="43"/>
      <c r="EI66" s="43"/>
      <c r="EJ66" s="43"/>
      <c r="EK66" s="43"/>
      <c r="EL66" s="43"/>
      <c r="EM66" s="43"/>
      <c r="EN66" s="43"/>
      <c r="EO66" s="43"/>
      <c r="EP66" s="43"/>
      <c r="EQ66" s="43"/>
      <c r="ER66" s="43"/>
      <c r="ES66" s="43"/>
      <c r="ET66" s="43"/>
      <c r="EU66" s="43"/>
      <c r="EV66" s="43"/>
      <c r="EW66" s="43"/>
      <c r="EX66" s="43"/>
      <c r="EY66" s="43"/>
      <c r="EZ66" s="43"/>
      <c r="FA66" s="43"/>
      <c r="FB66" s="43"/>
      <c r="FC66" s="43"/>
      <c r="FD66" s="43"/>
      <c r="FE66" s="43"/>
      <c r="FF66" s="43"/>
      <c r="FG66" s="43"/>
      <c r="FH66" s="43"/>
      <c r="FI66" s="43"/>
      <c r="FJ66" s="43"/>
      <c r="FK66" s="43"/>
      <c r="FL66" s="43"/>
      <c r="FM66" s="43"/>
      <c r="FN66" s="43"/>
      <c r="FO66" s="43"/>
      <c r="FP66" s="43"/>
      <c r="FQ66" s="43"/>
      <c r="FR66" s="43"/>
      <c r="FS66" s="43"/>
      <c r="FT66" s="43"/>
      <c r="FU66" s="43"/>
      <c r="FV66" s="43"/>
      <c r="FW66" s="43"/>
      <c r="FX66" s="43"/>
      <c r="FY66" s="43"/>
      <c r="FZ66" s="43"/>
      <c r="GA66" s="43"/>
      <c r="GB66" s="43"/>
      <c r="GC66" s="43"/>
      <c r="GD66" s="43"/>
      <c r="GE66" s="43"/>
      <c r="GF66" s="43"/>
      <c r="GG66" s="43"/>
      <c r="GH66" s="43"/>
      <c r="GI66" s="43"/>
      <c r="GJ66" s="43"/>
      <c r="GK66" s="43"/>
      <c r="GL66" s="43"/>
      <c r="GM66" s="43"/>
      <c r="GN66" s="43"/>
      <c r="GO66" s="43"/>
      <c r="GP66" s="43"/>
      <c r="GQ66" s="43"/>
      <c r="GR66" s="43"/>
      <c r="GS66" s="43"/>
      <c r="GT66" s="43"/>
      <c r="GU66" s="43"/>
      <c r="GV66" s="43"/>
      <c r="GW66" s="43"/>
      <c r="GX66" s="43"/>
      <c r="GY66" s="43"/>
      <c r="GZ66" s="43"/>
      <c r="HA66" s="43"/>
      <c r="HB66" s="43"/>
      <c r="HC66" s="43"/>
      <c r="HD66" s="43"/>
      <c r="HE66" s="43"/>
      <c r="HF66" s="43"/>
      <c r="HG66" s="43"/>
      <c r="HH66" s="43"/>
      <c r="HI66" s="43"/>
      <c r="HJ66" s="43"/>
      <c r="HK66" s="43"/>
      <c r="HL66" s="43"/>
      <c r="HM66" s="43"/>
      <c r="HN66" s="43"/>
      <c r="HO66" s="43"/>
      <c r="HP66" s="43"/>
      <c r="HQ66" s="43"/>
      <c r="HR66" s="43"/>
      <c r="HS66" s="43"/>
      <c r="HT66" s="43"/>
      <c r="HU66" s="43"/>
      <c r="HV66" s="43"/>
      <c r="HW66" s="43"/>
      <c r="HX66" s="43"/>
      <c r="HY66" s="43"/>
      <c r="HZ66" s="43"/>
      <c r="IA66" s="43"/>
      <c r="IB66" s="43"/>
      <c r="IC66" s="43"/>
      <c r="ID66" s="43"/>
      <c r="IE66" s="43"/>
      <c r="IF66" s="43"/>
      <c r="IG66" s="43"/>
      <c r="IH66" s="43"/>
      <c r="II66" s="43"/>
      <c r="IJ66" s="43"/>
      <c r="IK66" s="43"/>
      <c r="IL66" s="43"/>
      <c r="IM66" s="43"/>
      <c r="IN66" s="43"/>
      <c r="IO66" s="43"/>
      <c r="IP66" s="43"/>
      <c r="IQ66" s="43"/>
      <c r="IR66" s="43"/>
      <c r="IS66" s="43"/>
      <c r="IT66" s="43"/>
      <c r="IU66" s="43"/>
      <c r="IV66" s="43"/>
      <c r="IW66" s="43"/>
      <c r="IX66" s="43"/>
      <c r="IY66" s="43"/>
      <c r="IZ66" s="43"/>
      <c r="JA66" s="43"/>
      <c r="JB66" s="43"/>
      <c r="JC66" s="43"/>
      <c r="JD66" s="43"/>
      <c r="JE66" s="43"/>
      <c r="JF66" s="43"/>
      <c r="JG66" s="43"/>
      <c r="JH66" s="43"/>
      <c r="JI66" s="43"/>
      <c r="JJ66" s="43"/>
      <c r="JK66" s="43"/>
      <c r="JL66" s="43"/>
      <c r="JM66" s="43"/>
      <c r="JN66" s="43"/>
      <c r="JO66" s="43"/>
      <c r="JP66" s="43"/>
      <c r="JQ66" s="43"/>
      <c r="JR66" s="43"/>
      <c r="JS66" s="43"/>
      <c r="JT66" s="43"/>
      <c r="JU66" s="43"/>
      <c r="JV66" s="43"/>
      <c r="JW66" s="43"/>
      <c r="JX66" s="43"/>
      <c r="JY66" s="43"/>
      <c r="JZ66" s="43"/>
      <c r="KA66" s="43"/>
      <c r="KB66" s="43"/>
      <c r="KC66" s="43"/>
      <c r="KD66" s="43"/>
      <c r="KE66" s="43"/>
      <c r="KF66" s="43"/>
      <c r="KG66" s="43"/>
      <c r="KH66" s="43"/>
      <c r="KI66" s="43"/>
      <c r="KJ66" s="43"/>
      <c r="KK66" s="43"/>
      <c r="KL66" s="43"/>
      <c r="KM66" s="43"/>
      <c r="KN66" s="43"/>
      <c r="KO66" s="43"/>
      <c r="KP66" s="43"/>
      <c r="KQ66" s="43"/>
      <c r="KR66" s="43"/>
      <c r="KS66" s="43"/>
      <c r="KT66" s="43"/>
      <c r="KU66" s="43"/>
      <c r="KV66" s="43"/>
      <c r="KW66" s="43"/>
      <c r="KX66" s="43"/>
      <c r="KY66" s="43"/>
      <c r="KZ66" s="43"/>
      <c r="LA66" s="43"/>
      <c r="LB66" s="43"/>
      <c r="LC66" s="43"/>
      <c r="LD66" s="43"/>
      <c r="LE66" s="43"/>
      <c r="LF66" s="43"/>
      <c r="LG66" s="43"/>
      <c r="LH66" s="43"/>
      <c r="LI66" s="43"/>
      <c r="LJ66" s="43"/>
      <c r="LK66" s="43"/>
      <c r="LL66" s="43"/>
      <c r="LM66" s="43"/>
      <c r="LN66" s="43"/>
      <c r="LO66" s="43"/>
      <c r="LP66" s="43"/>
      <c r="LQ66" s="43"/>
      <c r="LR66" s="43"/>
      <c r="LS66" s="43"/>
      <c r="LT66" s="43"/>
      <c r="LU66" s="43"/>
      <c r="LV66" s="43"/>
      <c r="LW66" s="43"/>
      <c r="LX66" s="43"/>
      <c r="LY66" s="43"/>
      <c r="LZ66" s="43"/>
      <c r="MA66" s="43"/>
      <c r="MB66" s="43"/>
      <c r="MC66" s="43"/>
      <c r="MD66" s="43"/>
      <c r="ME66" s="43"/>
      <c r="MF66" s="43"/>
      <c r="MG66" s="43"/>
      <c r="MH66" s="43"/>
      <c r="MI66" s="43"/>
      <c r="MJ66" s="43"/>
      <c r="MK66" s="43"/>
      <c r="ML66" s="43"/>
      <c r="MM66" s="43"/>
      <c r="MN66" s="43"/>
      <c r="MO66" s="43"/>
      <c r="MP66" s="43"/>
      <c r="MQ66" s="43"/>
      <c r="MR66" s="43"/>
      <c r="MS66" s="43"/>
      <c r="MT66" s="43"/>
      <c r="MU66" s="43"/>
      <c r="MV66" s="43"/>
      <c r="MW66" s="43"/>
      <c r="MX66" s="43"/>
      <c r="MY66" s="43"/>
      <c r="MZ66" s="43"/>
      <c r="NA66" s="43"/>
      <c r="NB66" s="43"/>
      <c r="NC66" s="43"/>
      <c r="ND66" s="43"/>
      <c r="NE66" s="43"/>
      <c r="NF66" s="43"/>
      <c r="NG66" s="43"/>
      <c r="NH66" s="43"/>
      <c r="NI66" s="43"/>
      <c r="NJ66" s="44"/>
      <c r="NK66" s="44"/>
      <c r="NL66" s="44"/>
      <c r="NM66" s="44"/>
      <c r="NN66" s="44"/>
      <c r="NO66" s="43"/>
      <c r="NP66" s="43"/>
      <c r="NQ66" s="43"/>
      <c r="NR66" s="43"/>
      <c r="NS66" s="43"/>
      <c r="NT66" s="43"/>
      <c r="NU66" s="43"/>
      <c r="NV66" s="43"/>
      <c r="NW66" s="43"/>
      <c r="NX66" s="43"/>
      <c r="NY66" s="43"/>
      <c r="NZ66" s="43"/>
      <c r="OA66" s="43"/>
      <c r="OB66" s="43"/>
      <c r="OC66" s="43"/>
      <c r="OD66" s="43"/>
      <c r="OE66" s="43"/>
      <c r="OF66" s="43"/>
      <c r="OG66" s="43"/>
      <c r="OH66" s="43"/>
      <c r="OI66" s="43"/>
      <c r="OJ66" s="43"/>
      <c r="OK66" s="43"/>
      <c r="OL66" s="43"/>
      <c r="OM66" s="43"/>
      <c r="ON66" s="43"/>
      <c r="OO66" s="43"/>
      <c r="OP66" s="43"/>
      <c r="OQ66" s="43"/>
      <c r="OR66" s="43"/>
      <c r="OS66" s="43"/>
      <c r="OT66" s="43"/>
      <c r="OU66" s="43"/>
      <c r="OV66" s="43"/>
      <c r="OW66" s="43"/>
      <c r="OX66" s="43"/>
      <c r="OY66" s="43"/>
      <c r="OZ66" s="43"/>
      <c r="PA66" s="43"/>
      <c r="PB66" s="43"/>
      <c r="PC66" s="43"/>
      <c r="PD66" s="43"/>
      <c r="PE66" s="43"/>
      <c r="PF66" s="43"/>
      <c r="PG66" s="43"/>
      <c r="PH66" s="43"/>
      <c r="PI66" s="43"/>
      <c r="PJ66" s="43"/>
      <c r="PK66" s="43"/>
      <c r="PL66" s="43"/>
      <c r="PM66" s="43"/>
      <c r="PN66" s="43"/>
      <c r="PO66" s="43"/>
      <c r="PP66" s="43"/>
      <c r="PQ66" s="43"/>
      <c r="PR66" s="43"/>
      <c r="PS66" s="43"/>
      <c r="PT66" s="43"/>
      <c r="PU66" s="43"/>
      <c r="PV66" s="43"/>
      <c r="PW66" s="43"/>
      <c r="PX66" s="43"/>
      <c r="PY66" s="43"/>
      <c r="PZ66" s="43"/>
      <c r="QA66" s="43"/>
      <c r="QB66" s="43"/>
      <c r="QC66" s="43"/>
      <c r="QD66" s="43"/>
      <c r="QE66" s="43"/>
      <c r="QF66" s="43"/>
      <c r="QG66" s="43"/>
      <c r="QH66" s="43"/>
      <c r="QI66" s="43"/>
      <c r="QJ66" s="43"/>
      <c r="QK66" s="43"/>
      <c r="QL66" s="43"/>
      <c r="QM66" s="43"/>
      <c r="QN66" s="43"/>
      <c r="QO66" s="43"/>
      <c r="QP66" s="43"/>
      <c r="QQ66" s="43"/>
      <c r="QR66" s="43"/>
      <c r="QS66" s="43"/>
      <c r="QT66" s="43"/>
      <c r="QU66" s="43"/>
      <c r="QV66" s="43"/>
      <c r="QW66" s="43"/>
      <c r="QX66" s="43"/>
      <c r="QY66" s="43"/>
      <c r="QZ66" s="43"/>
      <c r="RA66" s="43"/>
      <c r="RB66" s="43"/>
      <c r="RC66" s="43"/>
      <c r="RD66" s="43"/>
      <c r="RE66" s="43"/>
      <c r="RF66" s="43"/>
      <c r="RG66" s="43"/>
      <c r="RH66" s="43"/>
      <c r="RI66" s="43"/>
      <c r="RJ66" s="43"/>
      <c r="RK66" s="43"/>
      <c r="RL66" s="43"/>
      <c r="RM66" s="43"/>
      <c r="RN66" s="43"/>
      <c r="RO66" s="43"/>
      <c r="RP66" s="43"/>
      <c r="RQ66" s="43"/>
      <c r="RR66" s="43"/>
      <c r="RS66" s="43"/>
      <c r="RT66" s="43"/>
      <c r="RU66" s="43"/>
      <c r="RV66" s="43"/>
      <c r="RW66" s="43"/>
      <c r="RX66" s="43"/>
      <c r="RY66" s="43"/>
      <c r="RZ66" s="43"/>
      <c r="SA66" s="43"/>
      <c r="SB66" s="43"/>
      <c r="SC66" s="43"/>
      <c r="SD66" s="43"/>
      <c r="SE66" s="43"/>
      <c r="SF66" s="43"/>
      <c r="SG66" s="43"/>
      <c r="SH66" s="43"/>
      <c r="SI66" s="43"/>
      <c r="SJ66" s="43"/>
      <c r="SK66" s="43"/>
      <c r="SL66" s="43"/>
      <c r="SM66" s="43"/>
      <c r="SN66" s="43"/>
      <c r="SO66" s="43"/>
      <c r="SP66" s="43"/>
      <c r="SQ66" s="43"/>
      <c r="SR66" s="43"/>
      <c r="SS66" s="43"/>
      <c r="ST66" s="43"/>
      <c r="SU66" s="43"/>
      <c r="SV66" s="43"/>
      <c r="SW66" s="43"/>
      <c r="SX66" s="43"/>
      <c r="SY66" s="43"/>
      <c r="SZ66" s="43"/>
      <c r="TA66" s="43"/>
      <c r="TB66" s="43"/>
      <c r="TC66" s="43"/>
      <c r="TD66" s="43"/>
      <c r="TE66" s="43"/>
      <c r="TF66" s="43"/>
      <c r="TG66" s="43"/>
      <c r="TH66" s="43"/>
      <c r="TI66" s="43"/>
      <c r="TJ66" s="43"/>
      <c r="TK66" s="43"/>
      <c r="TL66" s="43"/>
      <c r="TM66" s="43"/>
      <c r="TN66" s="43"/>
      <c r="TO66" s="43"/>
      <c r="TP66" s="43"/>
      <c r="TQ66" s="43"/>
      <c r="TR66" s="43"/>
      <c r="TS66" s="43"/>
      <c r="TT66" s="43"/>
      <c r="TU66" s="43"/>
      <c r="TV66" s="43"/>
      <c r="TW66" s="43"/>
      <c r="TX66" s="43" t="s">
        <v>844</v>
      </c>
      <c r="TY66" s="43"/>
      <c r="TZ66" s="43"/>
      <c r="UA66" s="43"/>
      <c r="UB66" s="43"/>
      <c r="UC66" s="43"/>
      <c r="UD66" s="43"/>
      <c r="UE66" s="43"/>
      <c r="UF66" s="43"/>
      <c r="UG66" s="43"/>
      <c r="UH66" s="43"/>
      <c r="UI66" s="43"/>
      <c r="UJ66" s="43"/>
      <c r="UK66" s="43"/>
      <c r="UL66" s="43"/>
      <c r="UM66" s="43"/>
      <c r="UN66" s="43"/>
      <c r="UO66" s="43"/>
      <c r="UP66" s="43"/>
      <c r="UQ66" s="43"/>
      <c r="UR66" s="43"/>
      <c r="US66" s="43"/>
      <c r="UT66" s="43"/>
      <c r="UU66" s="43"/>
      <c r="UV66" s="43"/>
      <c r="UW66" s="43"/>
      <c r="UX66" s="43"/>
      <c r="UY66" s="43"/>
      <c r="UZ66" s="43"/>
      <c r="VA66" s="43"/>
      <c r="VB66" s="43"/>
      <c r="VC66" s="43"/>
      <c r="VD66" s="43"/>
      <c r="VE66" s="43"/>
      <c r="VF66" s="43"/>
      <c r="VG66" s="43"/>
      <c r="VH66" s="43"/>
      <c r="VI66" s="43"/>
      <c r="VJ66" s="43"/>
      <c r="VK66" s="43"/>
      <c r="VL66" s="43"/>
      <c r="VM66" s="43"/>
      <c r="VN66" s="43"/>
      <c r="VO66" s="43"/>
      <c r="VP66" s="43"/>
      <c r="VQ66" s="43"/>
      <c r="VR66" s="43"/>
      <c r="VS66" s="43"/>
      <c r="VT66" s="43"/>
      <c r="VU66" s="43"/>
      <c r="VV66" s="43"/>
      <c r="VW66" s="43"/>
      <c r="VX66" s="43"/>
      <c r="VY66" s="43"/>
      <c r="VZ66" s="43"/>
      <c r="WA66" s="43"/>
      <c r="WB66" s="43"/>
      <c r="WC66" s="43"/>
      <c r="WD66" s="43"/>
      <c r="WE66" s="43"/>
      <c r="WF66" s="43"/>
      <c r="WG66" s="43"/>
      <c r="WH66" s="43"/>
      <c r="WI66" s="43"/>
      <c r="WJ66" s="43"/>
      <c r="WK66" s="43"/>
      <c r="WL66" s="43"/>
      <c r="WM66" s="43"/>
      <c r="WN66" s="43"/>
      <c r="WO66" s="43"/>
      <c r="WP66" s="43"/>
      <c r="WQ66" s="43"/>
      <c r="WR66" s="43"/>
      <c r="WS66" s="43"/>
      <c r="WT66" s="43"/>
      <c r="WU66" s="43"/>
      <c r="WV66" s="43"/>
      <c r="WW66" s="43"/>
      <c r="WX66" s="43"/>
      <c r="WY66" s="43"/>
      <c r="WZ66" s="43"/>
      <c r="XA66" s="43"/>
      <c r="XB66" s="43"/>
      <c r="XC66" s="43"/>
      <c r="XD66" s="43"/>
      <c r="XE66" s="43"/>
      <c r="XF66" s="43"/>
      <c r="XG66" s="43"/>
      <c r="XH66" s="43"/>
      <c r="XI66" s="43"/>
      <c r="XJ66" s="43"/>
      <c r="XK66" s="43"/>
      <c r="XL66" s="43"/>
      <c r="XM66" s="43"/>
      <c r="XN66" s="43"/>
      <c r="XO66" s="43"/>
      <c r="XP66" s="43"/>
      <c r="XQ66" s="43"/>
      <c r="XR66" s="43"/>
      <c r="XS66" s="43"/>
      <c r="XT66" s="43"/>
      <c r="XU66" s="43"/>
      <c r="XV66" s="43"/>
      <c r="XW66" s="43"/>
      <c r="XX66" s="43"/>
      <c r="XY66" s="43"/>
      <c r="XZ66" s="43"/>
      <c r="YA66" s="44"/>
      <c r="YB66" s="44"/>
      <c r="YC66" s="44"/>
      <c r="YD66" s="44"/>
      <c r="YE66" s="44"/>
      <c r="YF66" s="43"/>
      <c r="YG66" s="43"/>
      <c r="YH66" s="43"/>
      <c r="YI66" s="43"/>
      <c r="YJ66" s="43"/>
      <c r="YK66" s="43"/>
      <c r="YL66" s="43"/>
      <c r="YM66" s="43"/>
      <c r="YN66" s="43"/>
      <c r="YO66" s="43"/>
      <c r="YP66" s="43"/>
      <c r="YQ66" s="43"/>
      <c r="YR66" s="43"/>
      <c r="YS66" s="43"/>
      <c r="YT66" s="43"/>
      <c r="YU66" s="43"/>
      <c r="YV66" s="43"/>
      <c r="YW66" s="43"/>
      <c r="YX66" s="43"/>
      <c r="YY66" s="43"/>
      <c r="YZ66" s="43"/>
      <c r="ZA66" s="43"/>
      <c r="ZB66" s="43"/>
      <c r="ZC66" s="43"/>
      <c r="ZD66" s="43"/>
      <c r="ZE66" s="43"/>
      <c r="ZF66" s="43"/>
      <c r="ZG66" s="43"/>
      <c r="ZH66" s="43"/>
      <c r="ZI66" s="43"/>
      <c r="ZJ66" s="43"/>
      <c r="ZK66" s="43"/>
      <c r="ZL66" s="43"/>
      <c r="ZM66" s="43"/>
      <c r="ZN66" s="43"/>
      <c r="ZO66" s="43"/>
      <c r="ZP66" s="43"/>
      <c r="ZQ66" s="43"/>
      <c r="ZR66" s="43"/>
      <c r="ZS66" s="43"/>
      <c r="ZT66" s="43"/>
      <c r="ZU66" s="43"/>
      <c r="ZV66" s="43"/>
      <c r="ZW66" s="44"/>
      <c r="ZX66" s="44"/>
      <c r="ZY66" s="44"/>
      <c r="ZZ66" s="44"/>
      <c r="AAA66" s="44"/>
      <c r="AAB66" s="44"/>
      <c r="AAC66" s="44"/>
      <c r="AAD66" s="44"/>
      <c r="AAE66" s="44"/>
      <c r="AAF66" s="44"/>
      <c r="AAG66" s="43"/>
      <c r="AAH66" s="43"/>
      <c r="AAI66" s="43"/>
      <c r="AAJ66" s="43"/>
      <c r="AAK66" s="43"/>
      <c r="AAL66" s="43"/>
      <c r="AAM66" s="43"/>
      <c r="AAN66" s="43"/>
      <c r="AAO66" s="43"/>
      <c r="AAP66" s="43"/>
      <c r="AAQ66" s="43"/>
      <c r="AAR66" s="43"/>
      <c r="AAS66" s="43"/>
      <c r="AAT66" s="43"/>
      <c r="AAU66" s="43"/>
      <c r="AAV66" s="43"/>
      <c r="AAW66" s="43"/>
      <c r="AAX66" s="43"/>
      <c r="AAY66" s="43"/>
      <c r="AAZ66" s="43"/>
      <c r="ABA66" s="43"/>
      <c r="ABB66" s="43"/>
      <c r="ABC66" s="43"/>
      <c r="ABD66" s="43"/>
      <c r="ABE66" s="43"/>
      <c r="ABF66" s="43"/>
      <c r="ABG66" s="43"/>
      <c r="ABH66" s="43"/>
      <c r="ABI66" s="43"/>
      <c r="ABJ66" s="43"/>
      <c r="ABK66" s="43"/>
      <c r="ABL66" s="43"/>
      <c r="ABM66" s="43"/>
      <c r="ABN66" s="43"/>
      <c r="ABO66" s="43"/>
      <c r="ABP66" s="43"/>
      <c r="ABQ66" s="43"/>
      <c r="ABR66" s="43"/>
      <c r="ABS66" s="43"/>
      <c r="ABT66" s="43"/>
      <c r="ABU66" s="43"/>
      <c r="ABV66" s="43"/>
      <c r="ABW66" s="43"/>
      <c r="ABX66" s="43"/>
      <c r="ABY66" s="43"/>
      <c r="ABZ66" s="43"/>
      <c r="ACA66" s="43"/>
      <c r="ACB66" s="43"/>
      <c r="ACC66" s="43"/>
      <c r="ACD66" s="43"/>
      <c r="ACE66" s="43"/>
      <c r="ACF66" s="43"/>
      <c r="ACG66" s="43"/>
      <c r="ACH66" s="45"/>
    </row>
    <row r="67" spans="1:762" x14ac:dyDescent="0.25">
      <c r="A67" s="46" t="s">
        <v>116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  <c r="BW67" s="47"/>
      <c r="BX67" s="47"/>
      <c r="BY67" s="47"/>
      <c r="BZ67" s="47"/>
      <c r="CA67" s="47"/>
      <c r="CB67" s="47"/>
      <c r="CC67" s="47"/>
      <c r="CD67" s="47"/>
      <c r="CE67" s="47"/>
      <c r="CF67" s="47"/>
      <c r="CG67" s="47"/>
      <c r="CH67" s="47"/>
      <c r="CI67" s="47"/>
      <c r="CJ67" s="47"/>
      <c r="CK67" s="47"/>
      <c r="CL67" s="47"/>
      <c r="CM67" s="47"/>
      <c r="CN67" s="47"/>
      <c r="CO67" s="47"/>
      <c r="CP67" s="47"/>
      <c r="CQ67" s="47"/>
      <c r="CR67" s="47"/>
      <c r="CS67" s="47"/>
      <c r="CT67" s="47"/>
      <c r="CU67" s="47"/>
      <c r="CV67" s="47"/>
      <c r="CW67" s="47"/>
      <c r="CX67" s="47"/>
      <c r="CY67" s="47"/>
      <c r="CZ67" s="47"/>
      <c r="DA67" s="47"/>
      <c r="DB67" s="47"/>
      <c r="DC67" s="47"/>
      <c r="DD67" s="47"/>
      <c r="DE67" s="47"/>
      <c r="DF67" s="47"/>
      <c r="DG67" s="47"/>
      <c r="DH67" s="47"/>
      <c r="DI67" s="47"/>
      <c r="DJ67" s="47"/>
      <c r="DK67" s="47"/>
      <c r="DL67" s="47"/>
      <c r="DM67" s="47"/>
      <c r="DN67" s="47"/>
      <c r="DO67" s="47"/>
      <c r="DP67" s="47"/>
      <c r="DQ67" s="47"/>
      <c r="DR67" s="47"/>
      <c r="DS67" s="47"/>
      <c r="DT67" s="47"/>
      <c r="DU67" s="47"/>
      <c r="DV67" s="47"/>
      <c r="DW67" s="47"/>
      <c r="DX67" s="47"/>
      <c r="DY67" s="47"/>
      <c r="DZ67" s="47"/>
      <c r="EA67" s="47"/>
      <c r="EB67" s="47"/>
      <c r="EC67" s="47"/>
      <c r="ED67" s="47"/>
      <c r="EE67" s="47"/>
      <c r="EF67" s="47"/>
      <c r="EG67" s="47"/>
      <c r="EH67" s="47"/>
      <c r="EI67" s="47"/>
      <c r="EJ67" s="47"/>
      <c r="EK67" s="47"/>
      <c r="EL67" s="47"/>
      <c r="EM67" s="47"/>
      <c r="EN67" s="47"/>
      <c r="EO67" s="47"/>
      <c r="EP67" s="47"/>
      <c r="EQ67" s="47"/>
      <c r="ER67" s="47"/>
      <c r="ES67" s="47"/>
      <c r="ET67" s="47"/>
      <c r="EU67" s="47"/>
      <c r="EV67" s="47"/>
      <c r="EW67" s="47"/>
      <c r="EX67" s="47"/>
      <c r="EY67" s="47"/>
      <c r="EZ67" s="47"/>
      <c r="FA67" s="47"/>
      <c r="FB67" s="47"/>
      <c r="FC67" s="47"/>
      <c r="FD67" s="47"/>
      <c r="FE67" s="47"/>
      <c r="FF67" s="47"/>
      <c r="FG67" s="47"/>
      <c r="FH67" s="47"/>
      <c r="FI67" s="47"/>
      <c r="FJ67" s="47"/>
      <c r="FK67" s="47"/>
      <c r="FL67" s="47"/>
      <c r="FM67" s="47"/>
      <c r="FN67" s="47"/>
      <c r="FO67" s="47"/>
      <c r="FP67" s="47"/>
      <c r="FQ67" s="47"/>
      <c r="FR67" s="47"/>
      <c r="FS67" s="47"/>
      <c r="FT67" s="47"/>
      <c r="FU67" s="47"/>
      <c r="FV67" s="47"/>
      <c r="FW67" s="47"/>
      <c r="FX67" s="47"/>
      <c r="FY67" s="47"/>
      <c r="FZ67" s="47"/>
      <c r="GA67" s="47"/>
      <c r="GB67" s="47"/>
      <c r="GC67" s="47"/>
      <c r="GD67" s="47"/>
      <c r="GE67" s="47"/>
      <c r="GF67" s="47"/>
      <c r="GG67" s="47"/>
      <c r="GH67" s="47"/>
      <c r="GI67" s="47"/>
      <c r="GJ67" s="47"/>
      <c r="GK67" s="47"/>
      <c r="GL67" s="47"/>
      <c r="GM67" s="47"/>
      <c r="GN67" s="47"/>
      <c r="GO67" s="47"/>
      <c r="GP67" s="47"/>
      <c r="GQ67" s="47"/>
      <c r="GR67" s="47"/>
      <c r="GS67" s="47"/>
      <c r="GT67" s="47"/>
      <c r="GU67" s="47"/>
      <c r="GV67" s="47"/>
      <c r="GW67" s="47"/>
      <c r="GX67" s="47"/>
      <c r="GY67" s="47"/>
      <c r="GZ67" s="47"/>
      <c r="HA67" s="47"/>
      <c r="HB67" s="47"/>
      <c r="HC67" s="47"/>
      <c r="HD67" s="47"/>
      <c r="HE67" s="47"/>
      <c r="HF67" s="47"/>
      <c r="HG67" s="47"/>
      <c r="HH67" s="47"/>
      <c r="HI67" s="47"/>
      <c r="HJ67" s="47"/>
      <c r="HK67" s="47"/>
      <c r="HL67" s="47"/>
      <c r="HM67" s="47"/>
      <c r="HN67" s="47"/>
      <c r="HO67" s="47"/>
      <c r="HP67" s="47"/>
      <c r="HQ67" s="47"/>
      <c r="HR67" s="47"/>
      <c r="HS67" s="47"/>
      <c r="HT67" s="47"/>
      <c r="HU67" s="47"/>
      <c r="HV67" s="47"/>
      <c r="HW67" s="47"/>
      <c r="HX67" s="47"/>
      <c r="HY67" s="47"/>
      <c r="HZ67" s="47"/>
      <c r="IA67" s="47"/>
      <c r="IB67" s="47"/>
      <c r="IC67" s="47"/>
      <c r="ID67" s="47"/>
      <c r="IE67" s="47"/>
      <c r="IF67" s="47"/>
      <c r="IG67" s="47"/>
      <c r="IH67" s="47"/>
      <c r="II67" s="47"/>
      <c r="IJ67" s="47"/>
      <c r="IK67" s="47"/>
      <c r="IL67" s="47"/>
      <c r="IM67" s="47"/>
      <c r="IN67" s="47"/>
      <c r="IO67" s="47"/>
      <c r="IP67" s="47"/>
      <c r="IQ67" s="47"/>
      <c r="IR67" s="47"/>
      <c r="IS67" s="47"/>
      <c r="IT67" s="47"/>
      <c r="IU67" s="47"/>
      <c r="IV67" s="47"/>
      <c r="IW67" s="47"/>
      <c r="IX67" s="47"/>
      <c r="IY67" s="47"/>
      <c r="IZ67" s="47"/>
      <c r="JA67" s="47"/>
      <c r="JB67" s="47"/>
      <c r="JC67" s="47"/>
      <c r="JD67" s="47"/>
      <c r="JE67" s="47"/>
      <c r="JF67" s="47"/>
      <c r="JG67" s="47"/>
      <c r="JH67" s="47"/>
      <c r="JI67" s="47"/>
      <c r="JJ67" s="47"/>
      <c r="JK67" s="47"/>
      <c r="JL67" s="47"/>
      <c r="JM67" s="47"/>
      <c r="JN67" s="47"/>
      <c r="JO67" s="47"/>
      <c r="JP67" s="47"/>
      <c r="JQ67" s="47"/>
      <c r="JR67" s="47"/>
      <c r="JS67" s="47"/>
      <c r="JT67" s="47"/>
      <c r="JU67" s="47"/>
      <c r="JV67" s="47"/>
      <c r="JW67" s="47"/>
      <c r="JX67" s="47"/>
      <c r="JY67" s="47"/>
      <c r="JZ67" s="47"/>
      <c r="KA67" s="47"/>
      <c r="KB67" s="47"/>
      <c r="KC67" s="47"/>
      <c r="KD67" s="47"/>
      <c r="KE67" s="47"/>
      <c r="KF67" s="47"/>
      <c r="KG67" s="47"/>
      <c r="KH67" s="47"/>
      <c r="KI67" s="47"/>
      <c r="KJ67" s="47"/>
      <c r="KK67" s="47"/>
      <c r="KL67" s="47"/>
      <c r="KM67" s="47"/>
      <c r="KN67" s="47"/>
      <c r="KO67" s="47"/>
      <c r="KP67" s="47"/>
      <c r="KQ67" s="47"/>
      <c r="KR67" s="47"/>
      <c r="KS67" s="47"/>
      <c r="KT67" s="47"/>
      <c r="KU67" s="47"/>
      <c r="KV67" s="47"/>
      <c r="KW67" s="47"/>
      <c r="KX67" s="47"/>
      <c r="KY67" s="47"/>
      <c r="KZ67" s="47"/>
      <c r="LA67" s="47"/>
      <c r="LB67" s="47"/>
      <c r="LC67" s="47"/>
      <c r="LD67" s="47"/>
      <c r="LE67" s="47"/>
      <c r="LF67" s="47"/>
      <c r="LG67" s="47"/>
      <c r="LH67" s="47"/>
      <c r="LI67" s="47"/>
      <c r="LJ67" s="47"/>
      <c r="LK67" s="47"/>
      <c r="LL67" s="47"/>
      <c r="LM67" s="47"/>
      <c r="LN67" s="47"/>
      <c r="LO67" s="47"/>
      <c r="LP67" s="47"/>
      <c r="LQ67" s="47"/>
      <c r="LR67" s="47"/>
      <c r="LS67" s="47"/>
      <c r="LT67" s="47"/>
      <c r="LU67" s="47"/>
      <c r="LV67" s="47"/>
      <c r="LW67" s="47"/>
      <c r="LX67" s="47"/>
      <c r="LY67" s="47"/>
      <c r="LZ67" s="47"/>
      <c r="MA67" s="47"/>
      <c r="MB67" s="47"/>
      <c r="MC67" s="47"/>
      <c r="MD67" s="47"/>
      <c r="ME67" s="47"/>
      <c r="MF67" s="47"/>
      <c r="MG67" s="47"/>
      <c r="MH67" s="47"/>
      <c r="MI67" s="47"/>
      <c r="MJ67" s="47"/>
      <c r="MK67" s="47"/>
      <c r="ML67" s="47"/>
      <c r="MM67" s="47"/>
      <c r="MN67" s="47"/>
      <c r="MO67" s="47"/>
      <c r="MP67" s="47"/>
      <c r="MQ67" s="47"/>
      <c r="MR67" s="47"/>
      <c r="MS67" s="47"/>
      <c r="MT67" s="47"/>
      <c r="MU67" s="47"/>
      <c r="MV67" s="47"/>
      <c r="MW67" s="47"/>
      <c r="MX67" s="47"/>
      <c r="MY67" s="47"/>
      <c r="MZ67" s="47"/>
      <c r="NA67" s="47"/>
      <c r="NB67" s="47"/>
      <c r="NC67" s="47"/>
      <c r="ND67" s="47"/>
      <c r="NE67" s="47"/>
      <c r="NF67" s="47"/>
      <c r="NG67" s="47"/>
      <c r="NH67" s="47"/>
      <c r="NI67" s="47"/>
      <c r="NJ67" s="44"/>
      <c r="NK67" s="44"/>
      <c r="NL67" s="44"/>
      <c r="NM67" s="44"/>
      <c r="NN67" s="44"/>
      <c r="NO67" s="47"/>
      <c r="NP67" s="47"/>
      <c r="NQ67" s="47"/>
      <c r="NR67" s="47"/>
      <c r="NS67" s="47"/>
      <c r="NT67" s="47"/>
      <c r="NU67" s="47"/>
      <c r="NV67" s="47"/>
      <c r="NW67" s="47"/>
      <c r="NX67" s="47"/>
      <c r="NY67" s="47"/>
      <c r="NZ67" s="47"/>
      <c r="OA67" s="47"/>
      <c r="OB67" s="47"/>
      <c r="OC67" s="47"/>
      <c r="OD67" s="47"/>
      <c r="OE67" s="47"/>
      <c r="OF67" s="47"/>
      <c r="OG67" s="47"/>
      <c r="OH67" s="47"/>
      <c r="OI67" s="47"/>
      <c r="OJ67" s="47"/>
      <c r="OK67" s="47"/>
      <c r="OL67" s="47"/>
      <c r="OM67" s="47"/>
      <c r="ON67" s="47"/>
      <c r="OO67" s="47"/>
      <c r="OP67" s="47"/>
      <c r="OQ67" s="47"/>
      <c r="OR67" s="47"/>
      <c r="OS67" s="47"/>
      <c r="OT67" s="47"/>
      <c r="OU67" s="47"/>
      <c r="OV67" s="47"/>
      <c r="OW67" s="47"/>
      <c r="OX67" s="47"/>
      <c r="OY67" s="47"/>
      <c r="OZ67" s="47"/>
      <c r="PA67" s="47"/>
      <c r="PB67" s="47"/>
      <c r="PC67" s="47"/>
      <c r="PD67" s="47"/>
      <c r="PE67" s="47"/>
      <c r="PF67" s="47"/>
      <c r="PG67" s="47"/>
      <c r="PH67" s="47"/>
      <c r="PI67" s="47"/>
      <c r="PJ67" s="47"/>
      <c r="PK67" s="47"/>
      <c r="PL67" s="47"/>
      <c r="PM67" s="47"/>
      <c r="PN67" s="47"/>
      <c r="PO67" s="47"/>
      <c r="PP67" s="47"/>
      <c r="PQ67" s="47"/>
      <c r="PR67" s="47"/>
      <c r="PS67" s="47"/>
      <c r="PT67" s="47"/>
      <c r="PU67" s="47"/>
      <c r="PV67" s="47"/>
      <c r="PW67" s="47"/>
      <c r="PX67" s="47"/>
      <c r="PY67" s="47"/>
      <c r="PZ67" s="47"/>
      <c r="QA67" s="47"/>
      <c r="QB67" s="47"/>
      <c r="QC67" s="47"/>
      <c r="QD67" s="47"/>
      <c r="QE67" s="47"/>
      <c r="QF67" s="47"/>
      <c r="QG67" s="47"/>
      <c r="QH67" s="47"/>
      <c r="QI67" s="47"/>
      <c r="QJ67" s="47"/>
      <c r="QK67" s="47"/>
      <c r="QL67" s="47"/>
      <c r="QM67" s="47"/>
      <c r="QN67" s="47"/>
      <c r="QO67" s="47"/>
      <c r="QP67" s="47"/>
      <c r="QQ67" s="47"/>
      <c r="QR67" s="47"/>
      <c r="QS67" s="47"/>
      <c r="QT67" s="47"/>
      <c r="QU67" s="47"/>
      <c r="QV67" s="47"/>
      <c r="QW67" s="47"/>
      <c r="QX67" s="47"/>
      <c r="QY67" s="47"/>
      <c r="QZ67" s="47"/>
      <c r="RA67" s="47"/>
      <c r="RB67" s="47"/>
      <c r="RC67" s="47"/>
      <c r="RD67" s="47"/>
      <c r="RE67" s="47"/>
      <c r="RF67" s="47"/>
      <c r="RG67" s="47"/>
      <c r="RH67" s="47"/>
      <c r="RI67" s="47"/>
      <c r="RJ67" s="47"/>
      <c r="RK67" s="47"/>
      <c r="RL67" s="47"/>
      <c r="RM67" s="47"/>
      <c r="RN67" s="47"/>
      <c r="RO67" s="47"/>
      <c r="RP67" s="47"/>
      <c r="RQ67" s="47"/>
      <c r="RR67" s="47"/>
      <c r="RS67" s="47"/>
      <c r="RT67" s="47"/>
      <c r="RU67" s="47"/>
      <c r="RV67" s="47"/>
      <c r="RW67" s="47"/>
      <c r="RX67" s="47"/>
      <c r="RY67" s="47"/>
      <c r="RZ67" s="47"/>
      <c r="SA67" s="47"/>
      <c r="SB67" s="47"/>
      <c r="SC67" s="47"/>
      <c r="SD67" s="47"/>
      <c r="SE67" s="47"/>
      <c r="SF67" s="47"/>
      <c r="SG67" s="47"/>
      <c r="SH67" s="47"/>
      <c r="SI67" s="47"/>
      <c r="SJ67" s="47"/>
      <c r="SK67" s="47"/>
      <c r="SL67" s="47"/>
      <c r="SM67" s="47"/>
      <c r="SN67" s="47"/>
      <c r="SO67" s="47"/>
      <c r="SP67" s="47"/>
      <c r="SQ67" s="47"/>
      <c r="SR67" s="47"/>
      <c r="SS67" s="47"/>
      <c r="ST67" s="47"/>
      <c r="SU67" s="47"/>
      <c r="SV67" s="47"/>
      <c r="SW67" s="47"/>
      <c r="SX67" s="47"/>
      <c r="SY67" s="47"/>
      <c r="SZ67" s="47"/>
      <c r="TA67" s="47"/>
      <c r="TB67" s="47"/>
      <c r="TC67" s="47"/>
      <c r="TD67" s="47"/>
      <c r="TE67" s="47"/>
      <c r="TF67" s="47"/>
      <c r="TG67" s="47"/>
      <c r="TH67" s="47"/>
      <c r="TI67" s="47"/>
      <c r="TJ67" s="47"/>
      <c r="TK67" s="47"/>
      <c r="TL67" s="47"/>
      <c r="TM67" s="47"/>
      <c r="TN67" s="47"/>
      <c r="TO67" s="47"/>
      <c r="TP67" s="47"/>
      <c r="TQ67" s="47"/>
      <c r="TR67" s="47"/>
      <c r="TS67" s="47"/>
      <c r="TT67" s="47"/>
      <c r="TU67" s="47"/>
      <c r="TV67" s="47"/>
      <c r="TW67" s="47"/>
      <c r="TX67" s="47" t="s">
        <v>844</v>
      </c>
      <c r="TY67" s="47"/>
      <c r="TZ67" s="47"/>
      <c r="UA67" s="47"/>
      <c r="UB67" s="47"/>
      <c r="UC67" s="47"/>
      <c r="UD67" s="47"/>
      <c r="UE67" s="47"/>
      <c r="UF67" s="47"/>
      <c r="UG67" s="47"/>
      <c r="UH67" s="47"/>
      <c r="UI67" s="47"/>
      <c r="UJ67" s="47"/>
      <c r="UK67" s="47"/>
      <c r="UL67" s="47"/>
      <c r="UM67" s="47"/>
      <c r="UN67" s="47"/>
      <c r="UO67" s="47"/>
      <c r="UP67" s="47"/>
      <c r="UQ67" s="47"/>
      <c r="UR67" s="47"/>
      <c r="US67" s="47"/>
      <c r="UT67" s="47"/>
      <c r="UU67" s="47"/>
      <c r="UV67" s="47"/>
      <c r="UW67" s="47"/>
      <c r="UX67" s="47"/>
      <c r="UY67" s="47"/>
      <c r="UZ67" s="47"/>
      <c r="VA67" s="47"/>
      <c r="VB67" s="47"/>
      <c r="VC67" s="47"/>
      <c r="VD67" s="47"/>
      <c r="VE67" s="47"/>
      <c r="VF67" s="47"/>
      <c r="VG67" s="47"/>
      <c r="VH67" s="47"/>
      <c r="VI67" s="47"/>
      <c r="VJ67" s="47"/>
      <c r="VK67" s="47"/>
      <c r="VL67" s="47"/>
      <c r="VM67" s="47"/>
      <c r="VN67" s="47"/>
      <c r="VO67" s="47"/>
      <c r="VP67" s="47"/>
      <c r="VQ67" s="47"/>
      <c r="VR67" s="47"/>
      <c r="VS67" s="47"/>
      <c r="VT67" s="47"/>
      <c r="VU67" s="47"/>
      <c r="VV67" s="47"/>
      <c r="VW67" s="47"/>
      <c r="VX67" s="47"/>
      <c r="VY67" s="47"/>
      <c r="VZ67" s="47"/>
      <c r="WA67" s="47"/>
      <c r="WB67" s="47"/>
      <c r="WC67" s="47"/>
      <c r="WD67" s="47"/>
      <c r="WE67" s="47"/>
      <c r="WF67" s="47"/>
      <c r="WG67" s="47"/>
      <c r="WH67" s="47"/>
      <c r="WI67" s="47"/>
      <c r="WJ67" s="47"/>
      <c r="WK67" s="47"/>
      <c r="WL67" s="47"/>
      <c r="WM67" s="47"/>
      <c r="WN67" s="47"/>
      <c r="WO67" s="47"/>
      <c r="WP67" s="47"/>
      <c r="WQ67" s="47"/>
      <c r="WR67" s="47"/>
      <c r="WS67" s="47"/>
      <c r="WT67" s="47"/>
      <c r="WU67" s="47"/>
      <c r="WV67" s="47"/>
      <c r="WW67" s="47"/>
      <c r="WX67" s="47"/>
      <c r="WY67" s="47"/>
      <c r="WZ67" s="47"/>
      <c r="XA67" s="47"/>
      <c r="XB67" s="47"/>
      <c r="XC67" s="47"/>
      <c r="XD67" s="47"/>
      <c r="XE67" s="47"/>
      <c r="XF67" s="47"/>
      <c r="XG67" s="47"/>
      <c r="XH67" s="47"/>
      <c r="XI67" s="47"/>
      <c r="XJ67" s="47"/>
      <c r="XK67" s="47"/>
      <c r="XL67" s="47"/>
      <c r="XM67" s="47"/>
      <c r="XN67" s="47"/>
      <c r="XO67" s="47"/>
      <c r="XP67" s="47"/>
      <c r="XQ67" s="47"/>
      <c r="XR67" s="47"/>
      <c r="XS67" s="47"/>
      <c r="XT67" s="47"/>
      <c r="XU67" s="47"/>
      <c r="XV67" s="47"/>
      <c r="XW67" s="47"/>
      <c r="XX67" s="47"/>
      <c r="XY67" s="47"/>
      <c r="XZ67" s="47"/>
      <c r="YA67" s="44"/>
      <c r="YB67" s="44"/>
      <c r="YC67" s="44"/>
      <c r="YD67" s="44"/>
      <c r="YE67" s="44"/>
      <c r="YF67" s="47"/>
      <c r="YG67" s="47"/>
      <c r="YH67" s="47"/>
      <c r="YI67" s="47"/>
      <c r="YJ67" s="47"/>
      <c r="YK67" s="47"/>
      <c r="YL67" s="47"/>
      <c r="YM67" s="47"/>
      <c r="YN67" s="47"/>
      <c r="YO67" s="47"/>
      <c r="YP67" s="47"/>
      <c r="YQ67" s="47"/>
      <c r="YR67" s="47"/>
      <c r="YS67" s="47"/>
      <c r="YT67" s="47"/>
      <c r="YU67" s="47"/>
      <c r="YV67" s="47"/>
      <c r="YW67" s="47"/>
      <c r="YX67" s="47"/>
      <c r="YY67" s="47"/>
      <c r="YZ67" s="47"/>
      <c r="ZA67" s="47"/>
      <c r="ZB67" s="47"/>
      <c r="ZC67" s="47"/>
      <c r="ZD67" s="47"/>
      <c r="ZE67" s="47"/>
      <c r="ZF67" s="47"/>
      <c r="ZG67" s="47"/>
      <c r="ZH67" s="47"/>
      <c r="ZI67" s="47"/>
      <c r="ZJ67" s="47"/>
      <c r="ZK67" s="47"/>
      <c r="ZL67" s="47"/>
      <c r="ZM67" s="47"/>
      <c r="ZN67" s="47"/>
      <c r="ZO67" s="47"/>
      <c r="ZP67" s="47"/>
      <c r="ZQ67" s="47"/>
      <c r="ZR67" s="47"/>
      <c r="ZS67" s="47"/>
      <c r="ZT67" s="47"/>
      <c r="ZU67" s="47"/>
      <c r="ZV67" s="47"/>
      <c r="ZW67" s="44"/>
      <c r="ZX67" s="44"/>
      <c r="ZY67" s="44"/>
      <c r="ZZ67" s="44"/>
      <c r="AAA67" s="44"/>
      <c r="AAB67" s="44"/>
      <c r="AAC67" s="44"/>
      <c r="AAD67" s="44"/>
      <c r="AAE67" s="44"/>
      <c r="AAF67" s="44"/>
      <c r="AAG67" s="47"/>
      <c r="AAH67" s="47"/>
      <c r="AAI67" s="47"/>
      <c r="AAJ67" s="47"/>
      <c r="AAK67" s="47"/>
      <c r="AAL67" s="47"/>
      <c r="AAM67" s="47"/>
      <c r="AAN67" s="47"/>
      <c r="AAO67" s="47"/>
      <c r="AAP67" s="47"/>
      <c r="AAQ67" s="47"/>
      <c r="AAR67" s="47"/>
      <c r="AAS67" s="47"/>
      <c r="AAT67" s="47"/>
      <c r="AAU67" s="47"/>
      <c r="AAV67" s="47"/>
      <c r="AAW67" s="47"/>
      <c r="AAX67" s="47"/>
      <c r="AAY67" s="47"/>
      <c r="AAZ67" s="47"/>
      <c r="ABA67" s="47"/>
      <c r="ABB67" s="47"/>
      <c r="ABC67" s="47"/>
      <c r="ABD67" s="47"/>
      <c r="ABE67" s="47"/>
      <c r="ABF67" s="47"/>
      <c r="ABG67" s="47"/>
      <c r="ABH67" s="47"/>
      <c r="ABI67" s="47"/>
      <c r="ABJ67" s="47"/>
      <c r="ABK67" s="47"/>
      <c r="ABL67" s="47"/>
      <c r="ABM67" s="47"/>
      <c r="ABN67" s="47"/>
      <c r="ABO67" s="47"/>
      <c r="ABP67" s="47"/>
      <c r="ABQ67" s="47"/>
      <c r="ABR67" s="47"/>
      <c r="ABS67" s="47"/>
      <c r="ABT67" s="47"/>
      <c r="ABU67" s="47"/>
      <c r="ABV67" s="47"/>
      <c r="ABW67" s="47"/>
      <c r="ABX67" s="47"/>
      <c r="ABY67" s="47"/>
      <c r="ABZ67" s="47"/>
      <c r="ACA67" s="47"/>
      <c r="ACB67" s="47"/>
      <c r="ACC67" s="47"/>
      <c r="ACD67" s="47"/>
      <c r="ACE67" s="47"/>
      <c r="ACF67" s="47"/>
      <c r="ACG67" s="47"/>
      <c r="ACH67" s="48"/>
    </row>
    <row r="68" spans="1:762" x14ac:dyDescent="0.25">
      <c r="A68" s="42" t="s">
        <v>117</v>
      </c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3"/>
      <c r="BJ68" s="43"/>
      <c r="BK68" s="43"/>
      <c r="BL68" s="43"/>
      <c r="BM68" s="43"/>
      <c r="BN68" s="43"/>
      <c r="BO68" s="43"/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3"/>
      <c r="CA68" s="43"/>
      <c r="CB68" s="43"/>
      <c r="CC68" s="43"/>
      <c r="CD68" s="43"/>
      <c r="CE68" s="43"/>
      <c r="CF68" s="43"/>
      <c r="CG68" s="43"/>
      <c r="CH68" s="43"/>
      <c r="CI68" s="43"/>
      <c r="CJ68" s="43"/>
      <c r="CK68" s="43"/>
      <c r="CL68" s="43"/>
      <c r="CM68" s="43"/>
      <c r="CN68" s="43"/>
      <c r="CO68" s="43"/>
      <c r="CP68" s="43"/>
      <c r="CQ68" s="43"/>
      <c r="CR68" s="43"/>
      <c r="CS68" s="43"/>
      <c r="CT68" s="43"/>
      <c r="CU68" s="43"/>
      <c r="CV68" s="43"/>
      <c r="CW68" s="43"/>
      <c r="CX68" s="43"/>
      <c r="CY68" s="43"/>
      <c r="CZ68" s="43"/>
      <c r="DA68" s="43"/>
      <c r="DB68" s="43"/>
      <c r="DC68" s="43"/>
      <c r="DD68" s="43"/>
      <c r="DE68" s="43"/>
      <c r="DF68" s="43"/>
      <c r="DG68" s="43"/>
      <c r="DH68" s="43"/>
      <c r="DI68" s="43"/>
      <c r="DJ68" s="43"/>
      <c r="DK68" s="43"/>
      <c r="DL68" s="43"/>
      <c r="DM68" s="43"/>
      <c r="DN68" s="43"/>
      <c r="DO68" s="43"/>
      <c r="DP68" s="43"/>
      <c r="DQ68" s="43"/>
      <c r="DR68" s="43"/>
      <c r="DS68" s="43"/>
      <c r="DT68" s="43"/>
      <c r="DU68" s="43"/>
      <c r="DV68" s="43"/>
      <c r="DW68" s="43"/>
      <c r="DX68" s="43"/>
      <c r="DY68" s="43"/>
      <c r="DZ68" s="43"/>
      <c r="EA68" s="43"/>
      <c r="EB68" s="43"/>
      <c r="EC68" s="43"/>
      <c r="ED68" s="43"/>
      <c r="EE68" s="43"/>
      <c r="EF68" s="43"/>
      <c r="EG68" s="43"/>
      <c r="EH68" s="43"/>
      <c r="EI68" s="43"/>
      <c r="EJ68" s="43"/>
      <c r="EK68" s="43"/>
      <c r="EL68" s="43"/>
      <c r="EM68" s="43"/>
      <c r="EN68" s="43"/>
      <c r="EO68" s="43"/>
      <c r="EP68" s="43"/>
      <c r="EQ68" s="43"/>
      <c r="ER68" s="43"/>
      <c r="ES68" s="43"/>
      <c r="ET68" s="43"/>
      <c r="EU68" s="43"/>
      <c r="EV68" s="43"/>
      <c r="EW68" s="43"/>
      <c r="EX68" s="43"/>
      <c r="EY68" s="43"/>
      <c r="EZ68" s="43"/>
      <c r="FA68" s="43"/>
      <c r="FB68" s="43"/>
      <c r="FC68" s="43"/>
      <c r="FD68" s="43"/>
      <c r="FE68" s="43"/>
      <c r="FF68" s="43"/>
      <c r="FG68" s="43"/>
      <c r="FH68" s="43"/>
      <c r="FI68" s="43"/>
      <c r="FJ68" s="43"/>
      <c r="FK68" s="43"/>
      <c r="FL68" s="43"/>
      <c r="FM68" s="43"/>
      <c r="FN68" s="43"/>
      <c r="FO68" s="43"/>
      <c r="FP68" s="43"/>
      <c r="FQ68" s="43"/>
      <c r="FR68" s="43"/>
      <c r="FS68" s="43"/>
      <c r="FT68" s="43"/>
      <c r="FU68" s="43"/>
      <c r="FV68" s="43"/>
      <c r="FW68" s="43"/>
      <c r="FX68" s="43"/>
      <c r="FY68" s="43"/>
      <c r="FZ68" s="43"/>
      <c r="GA68" s="43"/>
      <c r="GB68" s="43"/>
      <c r="GC68" s="43"/>
      <c r="GD68" s="43"/>
      <c r="GE68" s="43"/>
      <c r="GF68" s="43"/>
      <c r="GG68" s="43"/>
      <c r="GH68" s="43"/>
      <c r="GI68" s="43"/>
      <c r="GJ68" s="43"/>
      <c r="GK68" s="43"/>
      <c r="GL68" s="43"/>
      <c r="GM68" s="43"/>
      <c r="GN68" s="43"/>
      <c r="GO68" s="43"/>
      <c r="GP68" s="43"/>
      <c r="GQ68" s="43"/>
      <c r="GR68" s="43"/>
      <c r="GS68" s="43"/>
      <c r="GT68" s="43"/>
      <c r="GU68" s="43"/>
      <c r="GV68" s="43"/>
      <c r="GW68" s="43"/>
      <c r="GX68" s="43"/>
      <c r="GY68" s="43"/>
      <c r="GZ68" s="43"/>
      <c r="HA68" s="43"/>
      <c r="HB68" s="43"/>
      <c r="HC68" s="43"/>
      <c r="HD68" s="43"/>
      <c r="HE68" s="43"/>
      <c r="HF68" s="43"/>
      <c r="HG68" s="43"/>
      <c r="HH68" s="43"/>
      <c r="HI68" s="43"/>
      <c r="HJ68" s="43"/>
      <c r="HK68" s="43"/>
      <c r="HL68" s="43"/>
      <c r="HM68" s="43"/>
      <c r="HN68" s="43"/>
      <c r="HO68" s="43"/>
      <c r="HP68" s="43"/>
      <c r="HQ68" s="43"/>
      <c r="HR68" s="43"/>
      <c r="HS68" s="43"/>
      <c r="HT68" s="43"/>
      <c r="HU68" s="43"/>
      <c r="HV68" s="43"/>
      <c r="HW68" s="43"/>
      <c r="HX68" s="43"/>
      <c r="HY68" s="43"/>
      <c r="HZ68" s="43"/>
      <c r="IA68" s="43"/>
      <c r="IB68" s="43"/>
      <c r="IC68" s="43"/>
      <c r="ID68" s="43"/>
      <c r="IE68" s="43"/>
      <c r="IF68" s="43"/>
      <c r="IG68" s="43"/>
      <c r="IH68" s="43"/>
      <c r="II68" s="43"/>
      <c r="IJ68" s="43"/>
      <c r="IK68" s="43"/>
      <c r="IL68" s="43"/>
      <c r="IM68" s="43"/>
      <c r="IN68" s="43"/>
      <c r="IO68" s="43"/>
      <c r="IP68" s="43"/>
      <c r="IQ68" s="43"/>
      <c r="IR68" s="43"/>
      <c r="IS68" s="43"/>
      <c r="IT68" s="43"/>
      <c r="IU68" s="43"/>
      <c r="IV68" s="43"/>
      <c r="IW68" s="43"/>
      <c r="IX68" s="43"/>
      <c r="IY68" s="43"/>
      <c r="IZ68" s="43"/>
      <c r="JA68" s="43"/>
      <c r="JB68" s="43"/>
      <c r="JC68" s="43"/>
      <c r="JD68" s="43"/>
      <c r="JE68" s="43"/>
      <c r="JF68" s="43"/>
      <c r="JG68" s="43"/>
      <c r="JH68" s="43"/>
      <c r="JI68" s="43"/>
      <c r="JJ68" s="43"/>
      <c r="JK68" s="43"/>
      <c r="JL68" s="43"/>
      <c r="JM68" s="43"/>
      <c r="JN68" s="43"/>
      <c r="JO68" s="43"/>
      <c r="JP68" s="43"/>
      <c r="JQ68" s="43"/>
      <c r="JR68" s="43"/>
      <c r="JS68" s="43"/>
      <c r="JT68" s="43"/>
      <c r="JU68" s="43"/>
      <c r="JV68" s="43"/>
      <c r="JW68" s="43"/>
      <c r="JX68" s="43"/>
      <c r="JY68" s="43"/>
      <c r="JZ68" s="43"/>
      <c r="KA68" s="43"/>
      <c r="KB68" s="43"/>
      <c r="KC68" s="43"/>
      <c r="KD68" s="43"/>
      <c r="KE68" s="43"/>
      <c r="KF68" s="43"/>
      <c r="KG68" s="43"/>
      <c r="KH68" s="43"/>
      <c r="KI68" s="43"/>
      <c r="KJ68" s="43"/>
      <c r="KK68" s="43"/>
      <c r="KL68" s="43"/>
      <c r="KM68" s="43"/>
      <c r="KN68" s="43"/>
      <c r="KO68" s="43"/>
      <c r="KP68" s="43"/>
      <c r="KQ68" s="43"/>
      <c r="KR68" s="43"/>
      <c r="KS68" s="43"/>
      <c r="KT68" s="43"/>
      <c r="KU68" s="43"/>
      <c r="KV68" s="43"/>
      <c r="KW68" s="43"/>
      <c r="KX68" s="43"/>
      <c r="KY68" s="43"/>
      <c r="KZ68" s="43"/>
      <c r="LA68" s="43"/>
      <c r="LB68" s="43"/>
      <c r="LC68" s="43"/>
      <c r="LD68" s="43"/>
      <c r="LE68" s="43"/>
      <c r="LF68" s="43"/>
      <c r="LG68" s="43"/>
      <c r="LH68" s="43"/>
      <c r="LI68" s="43"/>
      <c r="LJ68" s="43"/>
      <c r="LK68" s="43"/>
      <c r="LL68" s="43"/>
      <c r="LM68" s="43"/>
      <c r="LN68" s="43"/>
      <c r="LO68" s="43"/>
      <c r="LP68" s="43"/>
      <c r="LQ68" s="43"/>
      <c r="LR68" s="43"/>
      <c r="LS68" s="43"/>
      <c r="LT68" s="43"/>
      <c r="LU68" s="43"/>
      <c r="LV68" s="43"/>
      <c r="LW68" s="43"/>
      <c r="LX68" s="43"/>
      <c r="LY68" s="43"/>
      <c r="LZ68" s="43"/>
      <c r="MA68" s="43"/>
      <c r="MB68" s="43"/>
      <c r="MC68" s="43"/>
      <c r="MD68" s="43"/>
      <c r="ME68" s="43"/>
      <c r="MF68" s="43"/>
      <c r="MG68" s="43"/>
      <c r="MH68" s="43"/>
      <c r="MI68" s="43"/>
      <c r="MJ68" s="43"/>
      <c r="MK68" s="43"/>
      <c r="ML68" s="43"/>
      <c r="MM68" s="43"/>
      <c r="MN68" s="43"/>
      <c r="MO68" s="43"/>
      <c r="MP68" s="43"/>
      <c r="MQ68" s="43"/>
      <c r="MR68" s="43"/>
      <c r="MS68" s="43"/>
      <c r="MT68" s="43"/>
      <c r="MU68" s="43"/>
      <c r="MV68" s="43"/>
      <c r="MW68" s="43"/>
      <c r="MX68" s="43"/>
      <c r="MY68" s="43"/>
      <c r="MZ68" s="43"/>
      <c r="NA68" s="43"/>
      <c r="NB68" s="43"/>
      <c r="NC68" s="43"/>
      <c r="ND68" s="43"/>
      <c r="NE68" s="43"/>
      <c r="NF68" s="43"/>
      <c r="NG68" s="43"/>
      <c r="NH68" s="43"/>
      <c r="NI68" s="43"/>
      <c r="NJ68" s="44"/>
      <c r="NK68" s="44"/>
      <c r="NL68" s="44"/>
      <c r="NM68" s="44"/>
      <c r="NN68" s="44"/>
      <c r="NO68" s="43"/>
      <c r="NP68" s="43"/>
      <c r="NQ68" s="43"/>
      <c r="NR68" s="43"/>
      <c r="NS68" s="43"/>
      <c r="NT68" s="43"/>
      <c r="NU68" s="43"/>
      <c r="NV68" s="43"/>
      <c r="NW68" s="43"/>
      <c r="NX68" s="43"/>
      <c r="NY68" s="43"/>
      <c r="NZ68" s="43"/>
      <c r="OA68" s="43"/>
      <c r="OB68" s="43"/>
      <c r="OC68" s="43"/>
      <c r="OD68" s="43"/>
      <c r="OE68" s="43"/>
      <c r="OF68" s="43"/>
      <c r="OG68" s="43"/>
      <c r="OH68" s="43"/>
      <c r="OI68" s="43"/>
      <c r="OJ68" s="43"/>
      <c r="OK68" s="43"/>
      <c r="OL68" s="43"/>
      <c r="OM68" s="43"/>
      <c r="ON68" s="43"/>
      <c r="OO68" s="43"/>
      <c r="OP68" s="43"/>
      <c r="OQ68" s="43"/>
      <c r="OR68" s="43"/>
      <c r="OS68" s="43"/>
      <c r="OT68" s="43"/>
      <c r="OU68" s="43"/>
      <c r="OV68" s="43"/>
      <c r="OW68" s="43"/>
      <c r="OX68" s="43"/>
      <c r="OY68" s="43"/>
      <c r="OZ68" s="43"/>
      <c r="PA68" s="43"/>
      <c r="PB68" s="43"/>
      <c r="PC68" s="43"/>
      <c r="PD68" s="43"/>
      <c r="PE68" s="43"/>
      <c r="PF68" s="43"/>
      <c r="PG68" s="43"/>
      <c r="PH68" s="43"/>
      <c r="PI68" s="43"/>
      <c r="PJ68" s="43"/>
      <c r="PK68" s="43"/>
      <c r="PL68" s="43"/>
      <c r="PM68" s="43"/>
      <c r="PN68" s="43"/>
      <c r="PO68" s="43"/>
      <c r="PP68" s="43"/>
      <c r="PQ68" s="43"/>
      <c r="PR68" s="43"/>
      <c r="PS68" s="43"/>
      <c r="PT68" s="43"/>
      <c r="PU68" s="43"/>
      <c r="PV68" s="43"/>
      <c r="PW68" s="43"/>
      <c r="PX68" s="43"/>
      <c r="PY68" s="43"/>
      <c r="PZ68" s="43"/>
      <c r="QA68" s="43"/>
      <c r="QB68" s="43"/>
      <c r="QC68" s="43"/>
      <c r="QD68" s="43"/>
      <c r="QE68" s="43"/>
      <c r="QF68" s="43"/>
      <c r="QG68" s="43"/>
      <c r="QH68" s="43"/>
      <c r="QI68" s="43"/>
      <c r="QJ68" s="43"/>
      <c r="QK68" s="43"/>
      <c r="QL68" s="43"/>
      <c r="QM68" s="43"/>
      <c r="QN68" s="43"/>
      <c r="QO68" s="43"/>
      <c r="QP68" s="43"/>
      <c r="QQ68" s="43"/>
      <c r="QR68" s="43"/>
      <c r="QS68" s="43"/>
      <c r="QT68" s="43"/>
      <c r="QU68" s="43"/>
      <c r="QV68" s="43"/>
      <c r="QW68" s="43"/>
      <c r="QX68" s="43"/>
      <c r="QY68" s="43"/>
      <c r="QZ68" s="43"/>
      <c r="RA68" s="43"/>
      <c r="RB68" s="43"/>
      <c r="RC68" s="43"/>
      <c r="RD68" s="43"/>
      <c r="RE68" s="43"/>
      <c r="RF68" s="43"/>
      <c r="RG68" s="43"/>
      <c r="RH68" s="43"/>
      <c r="RI68" s="43"/>
      <c r="RJ68" s="43"/>
      <c r="RK68" s="43"/>
      <c r="RL68" s="43"/>
      <c r="RM68" s="43"/>
      <c r="RN68" s="43"/>
      <c r="RO68" s="43"/>
      <c r="RP68" s="43"/>
      <c r="RQ68" s="43"/>
      <c r="RR68" s="43"/>
      <c r="RS68" s="43"/>
      <c r="RT68" s="43"/>
      <c r="RU68" s="43"/>
      <c r="RV68" s="43"/>
      <c r="RW68" s="43"/>
      <c r="RX68" s="43"/>
      <c r="RY68" s="43"/>
      <c r="RZ68" s="43"/>
      <c r="SA68" s="43"/>
      <c r="SB68" s="43"/>
      <c r="SC68" s="43"/>
      <c r="SD68" s="43"/>
      <c r="SE68" s="43"/>
      <c r="SF68" s="43"/>
      <c r="SG68" s="43"/>
      <c r="SH68" s="43"/>
      <c r="SI68" s="43"/>
      <c r="SJ68" s="43"/>
      <c r="SK68" s="43"/>
      <c r="SL68" s="43"/>
      <c r="SM68" s="43"/>
      <c r="SN68" s="43"/>
      <c r="SO68" s="43"/>
      <c r="SP68" s="43"/>
      <c r="SQ68" s="43"/>
      <c r="SR68" s="43"/>
      <c r="SS68" s="43"/>
      <c r="ST68" s="43"/>
      <c r="SU68" s="43"/>
      <c r="SV68" s="43"/>
      <c r="SW68" s="43"/>
      <c r="SX68" s="43"/>
      <c r="SY68" s="43"/>
      <c r="SZ68" s="43"/>
      <c r="TA68" s="43"/>
      <c r="TB68" s="43"/>
      <c r="TC68" s="43"/>
      <c r="TD68" s="43"/>
      <c r="TE68" s="43"/>
      <c r="TF68" s="43"/>
      <c r="TG68" s="43"/>
      <c r="TH68" s="43"/>
      <c r="TI68" s="43"/>
      <c r="TJ68" s="43"/>
      <c r="TK68" s="43"/>
      <c r="TL68" s="43"/>
      <c r="TM68" s="43"/>
      <c r="TN68" s="43"/>
      <c r="TO68" s="43"/>
      <c r="TP68" s="43"/>
      <c r="TQ68" s="43"/>
      <c r="TR68" s="43"/>
      <c r="TS68" s="43"/>
      <c r="TT68" s="43"/>
      <c r="TU68" s="43"/>
      <c r="TV68" s="43"/>
      <c r="TW68" s="43"/>
      <c r="TX68" s="43"/>
      <c r="TY68" s="43"/>
      <c r="TZ68" s="43"/>
      <c r="UA68" s="43"/>
      <c r="UB68" s="43"/>
      <c r="UC68" s="43"/>
      <c r="UD68" s="43"/>
      <c r="UE68" s="43"/>
      <c r="UF68" s="43"/>
      <c r="UG68" s="43"/>
      <c r="UH68" s="43"/>
      <c r="UI68" s="43"/>
      <c r="UJ68" s="43"/>
      <c r="UK68" s="43"/>
      <c r="UL68" s="43"/>
      <c r="UM68" s="43"/>
      <c r="UN68" s="43"/>
      <c r="UO68" s="43"/>
      <c r="UP68" s="43"/>
      <c r="UQ68" s="43"/>
      <c r="UR68" s="43"/>
      <c r="US68" s="43"/>
      <c r="UT68" s="43"/>
      <c r="UU68" s="43"/>
      <c r="UV68" s="43"/>
      <c r="UW68" s="43"/>
      <c r="UX68" s="43"/>
      <c r="UY68" s="43"/>
      <c r="UZ68" s="43"/>
      <c r="VA68" s="43"/>
      <c r="VB68" s="43"/>
      <c r="VC68" s="43"/>
      <c r="VD68" s="43"/>
      <c r="VE68" s="43"/>
      <c r="VF68" s="43"/>
      <c r="VG68" s="43"/>
      <c r="VH68" s="43"/>
      <c r="VI68" s="43"/>
      <c r="VJ68" s="43"/>
      <c r="VK68" s="43"/>
      <c r="VL68" s="43"/>
      <c r="VM68" s="43"/>
      <c r="VN68" s="43"/>
      <c r="VO68" s="43"/>
      <c r="VP68" s="43"/>
      <c r="VQ68" s="43"/>
      <c r="VR68" s="43"/>
      <c r="VS68" s="43"/>
      <c r="VT68" s="43"/>
      <c r="VU68" s="43"/>
      <c r="VV68" s="43"/>
      <c r="VW68" s="43"/>
      <c r="VX68" s="43"/>
      <c r="VY68" s="43"/>
      <c r="VZ68" s="43"/>
      <c r="WA68" s="43"/>
      <c r="WB68" s="43"/>
      <c r="WC68" s="43"/>
      <c r="WD68" s="43"/>
      <c r="WE68" s="43"/>
      <c r="WF68" s="43"/>
      <c r="WG68" s="43"/>
      <c r="WH68" s="43"/>
      <c r="WI68" s="43"/>
      <c r="WJ68" s="43"/>
      <c r="WK68" s="43"/>
      <c r="WL68" s="43"/>
      <c r="WM68" s="43"/>
      <c r="WN68" s="43"/>
      <c r="WO68" s="43"/>
      <c r="WP68" s="43"/>
      <c r="WQ68" s="43"/>
      <c r="WR68" s="43"/>
      <c r="WS68" s="43"/>
      <c r="WT68" s="43"/>
      <c r="WU68" s="43"/>
      <c r="WV68" s="43"/>
      <c r="WW68" s="43"/>
      <c r="WX68" s="43"/>
      <c r="WY68" s="43"/>
      <c r="WZ68" s="43"/>
      <c r="XA68" s="43"/>
      <c r="XB68" s="43"/>
      <c r="XC68" s="43"/>
      <c r="XD68" s="43"/>
      <c r="XE68" s="43"/>
      <c r="XF68" s="43"/>
      <c r="XG68" s="43"/>
      <c r="XH68" s="43"/>
      <c r="XI68" s="43"/>
      <c r="XJ68" s="43"/>
      <c r="XK68" s="43"/>
      <c r="XL68" s="43"/>
      <c r="XM68" s="43"/>
      <c r="XN68" s="43"/>
      <c r="XO68" s="43"/>
      <c r="XP68" s="43"/>
      <c r="XQ68" s="43"/>
      <c r="XR68" s="43"/>
      <c r="XS68" s="43"/>
      <c r="XT68" s="43"/>
      <c r="XU68" s="43"/>
      <c r="XV68" s="43"/>
      <c r="XW68" s="43"/>
      <c r="XX68" s="43"/>
      <c r="XY68" s="43"/>
      <c r="XZ68" s="43"/>
      <c r="YA68" s="44"/>
      <c r="YB68" s="44"/>
      <c r="YC68" s="44"/>
      <c r="YD68" s="44"/>
      <c r="YE68" s="44"/>
      <c r="YF68" s="43"/>
      <c r="YG68" s="43"/>
      <c r="YH68" s="43"/>
      <c r="YI68" s="43"/>
      <c r="YJ68" s="43"/>
      <c r="YK68" s="43"/>
      <c r="YL68" s="43"/>
      <c r="YM68" s="43"/>
      <c r="YN68" s="43"/>
      <c r="YO68" s="43"/>
      <c r="YP68" s="43"/>
      <c r="YQ68" s="43"/>
      <c r="YR68" s="43"/>
      <c r="YS68" s="43"/>
      <c r="YT68" s="43"/>
      <c r="YU68" s="43"/>
      <c r="YV68" s="43"/>
      <c r="YW68" s="43"/>
      <c r="YX68" s="43"/>
      <c r="YY68" s="43"/>
      <c r="YZ68" s="43"/>
      <c r="ZA68" s="43"/>
      <c r="ZB68" s="43"/>
      <c r="ZC68" s="43"/>
      <c r="ZD68" s="43"/>
      <c r="ZE68" s="43"/>
      <c r="ZF68" s="43"/>
      <c r="ZG68" s="43"/>
      <c r="ZH68" s="43"/>
      <c r="ZI68" s="43"/>
      <c r="ZJ68" s="43"/>
      <c r="ZK68" s="43"/>
      <c r="ZL68" s="43"/>
      <c r="ZM68" s="43"/>
      <c r="ZN68" s="43"/>
      <c r="ZO68" s="43"/>
      <c r="ZP68" s="43"/>
      <c r="ZQ68" s="43"/>
      <c r="ZR68" s="43"/>
      <c r="ZS68" s="43"/>
      <c r="ZT68" s="43"/>
      <c r="ZU68" s="43"/>
      <c r="ZV68" s="43"/>
      <c r="ZW68" s="44"/>
      <c r="ZX68" s="44"/>
      <c r="ZY68" s="44"/>
      <c r="ZZ68" s="44"/>
      <c r="AAA68" s="44"/>
      <c r="AAB68" s="44"/>
      <c r="AAC68" s="44"/>
      <c r="AAD68" s="44"/>
      <c r="AAE68" s="44"/>
      <c r="AAF68" s="44"/>
      <c r="AAG68" s="43"/>
      <c r="AAH68" s="43"/>
      <c r="AAI68" s="43"/>
      <c r="AAJ68" s="43"/>
      <c r="AAK68" s="43"/>
      <c r="AAL68" s="43"/>
      <c r="AAM68" s="43"/>
      <c r="AAN68" s="43"/>
      <c r="AAO68" s="43"/>
      <c r="AAP68" s="43"/>
      <c r="AAQ68" s="43"/>
      <c r="AAR68" s="43"/>
      <c r="AAS68" s="43"/>
      <c r="AAT68" s="43"/>
      <c r="AAU68" s="43"/>
      <c r="AAV68" s="43"/>
      <c r="AAW68" s="43"/>
      <c r="AAX68" s="43"/>
      <c r="AAY68" s="43"/>
      <c r="AAZ68" s="43"/>
      <c r="ABA68" s="43"/>
      <c r="ABB68" s="43"/>
      <c r="ABC68" s="43"/>
      <c r="ABD68" s="43"/>
      <c r="ABE68" s="43"/>
      <c r="ABF68" s="43"/>
      <c r="ABG68" s="43"/>
      <c r="ABH68" s="43"/>
      <c r="ABI68" s="43"/>
      <c r="ABJ68" s="43"/>
      <c r="ABK68" s="43"/>
      <c r="ABL68" s="43"/>
      <c r="ABM68" s="43"/>
      <c r="ABN68" s="43"/>
      <c r="ABO68" s="43"/>
      <c r="ABP68" s="43"/>
      <c r="ABQ68" s="43"/>
      <c r="ABR68" s="43"/>
      <c r="ABS68" s="43"/>
      <c r="ABT68" s="43"/>
      <c r="ABU68" s="43"/>
      <c r="ABV68" s="43"/>
      <c r="ABW68" s="43"/>
      <c r="ABX68" s="43"/>
      <c r="ABY68" s="43"/>
      <c r="ABZ68" s="43"/>
      <c r="ACA68" s="43"/>
      <c r="ACB68" s="43"/>
      <c r="ACC68" s="43"/>
      <c r="ACD68" s="43"/>
      <c r="ACE68" s="43"/>
      <c r="ACF68" s="43"/>
      <c r="ACG68" s="43"/>
      <c r="ACH68" s="45"/>
    </row>
    <row r="69" spans="1:762" x14ac:dyDescent="0.25">
      <c r="A69" s="46" t="s">
        <v>119</v>
      </c>
      <c r="B69" s="47">
        <v>42</v>
      </c>
      <c r="C69" s="47"/>
      <c r="D69" s="47"/>
      <c r="E69" s="47"/>
      <c r="F69" s="47">
        <v>36</v>
      </c>
      <c r="G69" s="47"/>
      <c r="H69" s="47"/>
      <c r="I69" s="47"/>
      <c r="J69" s="47"/>
      <c r="K69" s="47"/>
      <c r="L69" s="47"/>
      <c r="M69" s="47"/>
      <c r="N69" s="47"/>
      <c r="O69" s="47"/>
      <c r="P69" s="47">
        <v>28</v>
      </c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 t="s">
        <v>845</v>
      </c>
      <c r="AD69" s="47"/>
      <c r="AE69" s="47"/>
      <c r="AF69" s="47"/>
      <c r="AG69" s="47">
        <v>118</v>
      </c>
      <c r="AH69" s="47"/>
      <c r="AI69" s="47"/>
      <c r="AJ69" s="47"/>
      <c r="AK69" s="47"/>
      <c r="AL69" s="47"/>
      <c r="AM69" s="47" t="s">
        <v>845</v>
      </c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>
        <v>29.06</v>
      </c>
      <c r="BD69" s="47"/>
      <c r="BE69" s="47"/>
      <c r="BF69" s="47"/>
      <c r="BG69" s="47">
        <v>28.35</v>
      </c>
      <c r="BH69" s="47"/>
      <c r="BI69" s="47"/>
      <c r="BJ69" s="47"/>
      <c r="BK69" s="47"/>
      <c r="BL69" s="47"/>
      <c r="BM69" s="47"/>
      <c r="BN69" s="47">
        <v>27.84</v>
      </c>
      <c r="BO69" s="47"/>
      <c r="BP69" s="47"/>
      <c r="BQ69" s="47"/>
      <c r="BR69" s="47"/>
      <c r="BS69" s="47"/>
      <c r="BT69" s="47"/>
      <c r="BU69" s="47"/>
      <c r="BV69" s="47"/>
      <c r="BW69" s="47"/>
      <c r="BX69" s="47"/>
      <c r="BY69" s="47"/>
      <c r="BZ69" s="47"/>
      <c r="CA69" s="47"/>
      <c r="CB69" s="47"/>
      <c r="CC69" s="47"/>
      <c r="CD69" s="47"/>
      <c r="CE69" s="47"/>
      <c r="CF69" s="47"/>
      <c r="CG69" s="47"/>
      <c r="CH69" s="47"/>
      <c r="CI69" s="47"/>
      <c r="CJ69" s="47"/>
      <c r="CK69" s="47"/>
      <c r="CL69" s="47"/>
      <c r="CM69" s="47"/>
      <c r="CN69" s="47"/>
      <c r="CO69" s="47"/>
      <c r="CP69" s="47"/>
      <c r="CQ69" s="47"/>
      <c r="CR69" s="47"/>
      <c r="CS69" s="47"/>
      <c r="CT69" s="47"/>
      <c r="CU69" s="47"/>
      <c r="CV69" s="47"/>
      <c r="CW69" s="47"/>
      <c r="CX69" s="47"/>
      <c r="CY69" s="47"/>
      <c r="CZ69" s="47"/>
      <c r="DA69" s="47"/>
      <c r="DB69" s="47"/>
      <c r="DC69" s="47"/>
      <c r="DD69" s="47">
        <v>6700</v>
      </c>
      <c r="DE69" s="47"/>
      <c r="DF69" s="47"/>
      <c r="DG69" s="47"/>
      <c r="DH69" s="47"/>
      <c r="DI69" s="47">
        <v>4800</v>
      </c>
      <c r="DJ69" s="47"/>
      <c r="DK69" s="47"/>
      <c r="DL69" s="47"/>
      <c r="DM69" s="47"/>
      <c r="DN69" s="47"/>
      <c r="DO69" s="47"/>
      <c r="DP69" s="47"/>
      <c r="DQ69" s="47"/>
      <c r="DR69" s="47"/>
      <c r="DS69" s="47"/>
      <c r="DT69" s="47">
        <v>7200</v>
      </c>
      <c r="DU69" s="47"/>
      <c r="DV69" s="47"/>
      <c r="DW69" s="47"/>
      <c r="DX69" s="47"/>
      <c r="DY69" s="47"/>
      <c r="DZ69" s="47"/>
      <c r="EA69" s="47"/>
      <c r="EB69" s="47"/>
      <c r="EC69" s="47"/>
      <c r="ED69" s="47"/>
      <c r="EE69" s="47"/>
      <c r="EF69" s="47">
        <v>73</v>
      </c>
      <c r="EG69" s="47"/>
      <c r="EH69" s="47"/>
      <c r="EI69" s="47"/>
      <c r="EJ69" s="47">
        <v>81</v>
      </c>
      <c r="EK69" s="47"/>
      <c r="EL69" s="47"/>
      <c r="EM69" s="47">
        <v>57</v>
      </c>
      <c r="EN69" s="47"/>
      <c r="EO69" s="47"/>
      <c r="EP69" s="47"/>
      <c r="EQ69" s="47"/>
      <c r="ER69" s="47"/>
      <c r="ES69" s="47"/>
      <c r="ET69" s="47"/>
      <c r="EU69" s="47"/>
      <c r="EV69" s="47"/>
      <c r="EW69" s="47">
        <v>15</v>
      </c>
      <c r="EX69" s="47"/>
      <c r="EY69" s="47"/>
      <c r="EZ69" s="47"/>
      <c r="FA69" s="47"/>
      <c r="FB69" s="47"/>
      <c r="FC69" s="47"/>
      <c r="FD69" s="47"/>
      <c r="FE69" s="47"/>
      <c r="FF69" s="47"/>
      <c r="FG69" s="47"/>
      <c r="FH69" s="47"/>
      <c r="FI69" s="47"/>
      <c r="FJ69" s="47"/>
      <c r="FK69" s="47"/>
      <c r="FL69" s="47"/>
      <c r="FM69" s="47"/>
      <c r="FN69" s="47"/>
      <c r="FO69" s="47"/>
      <c r="FP69" s="47"/>
      <c r="FQ69" s="47"/>
      <c r="FR69" s="47"/>
      <c r="FS69" s="47"/>
      <c r="FT69" s="47"/>
      <c r="FU69" s="47"/>
      <c r="FV69" s="47"/>
      <c r="FW69" s="47"/>
      <c r="FX69" s="47"/>
      <c r="FY69" s="47"/>
      <c r="FZ69" s="47"/>
      <c r="GA69" s="47"/>
      <c r="GB69" s="47"/>
      <c r="GC69" s="47"/>
      <c r="GD69" s="47"/>
      <c r="GE69" s="47"/>
      <c r="GF69" s="47"/>
      <c r="GG69" s="47"/>
      <c r="GH69" s="47"/>
      <c r="GI69" s="47"/>
      <c r="GJ69" s="47"/>
      <c r="GK69" s="47"/>
      <c r="GL69" s="47"/>
      <c r="GM69" s="47"/>
      <c r="GN69" s="47"/>
      <c r="GO69" s="47"/>
      <c r="GP69" s="47"/>
      <c r="GQ69" s="47"/>
      <c r="GR69" s="47"/>
      <c r="GS69" s="47"/>
      <c r="GT69" s="47"/>
      <c r="GU69" s="47">
        <v>93</v>
      </c>
      <c r="GV69" s="47"/>
      <c r="GW69" s="47"/>
      <c r="GX69" s="47">
        <v>117</v>
      </c>
      <c r="GY69" s="47"/>
      <c r="GZ69" s="47"/>
      <c r="HA69" s="47">
        <v>96</v>
      </c>
      <c r="HB69" s="47"/>
      <c r="HC69" s="47"/>
      <c r="HD69" s="47"/>
      <c r="HE69" s="47"/>
      <c r="HF69" s="47"/>
      <c r="HG69" s="47"/>
      <c r="HH69" s="47"/>
      <c r="HI69" s="47"/>
      <c r="HJ69" s="47"/>
      <c r="HK69" s="47">
        <v>61</v>
      </c>
      <c r="HL69" s="47"/>
      <c r="HM69" s="47"/>
      <c r="HN69" s="47"/>
      <c r="HO69" s="47"/>
      <c r="HP69" s="47"/>
      <c r="HQ69" s="47"/>
      <c r="HR69" s="47"/>
      <c r="HS69" s="47"/>
      <c r="HT69" s="47"/>
      <c r="HU69" s="47"/>
      <c r="HV69" s="47"/>
      <c r="HW69" s="47"/>
      <c r="HX69" s="47"/>
      <c r="HY69" s="47"/>
      <c r="HZ69" s="47"/>
      <c r="IA69" s="47"/>
      <c r="IB69" s="47"/>
      <c r="IC69" s="47"/>
      <c r="ID69" s="47"/>
      <c r="IE69" s="47"/>
      <c r="IF69" s="47"/>
      <c r="IG69" s="47"/>
      <c r="IH69" s="47"/>
      <c r="II69" s="47"/>
      <c r="IJ69" s="47"/>
      <c r="IK69" s="47"/>
      <c r="IL69" s="47"/>
      <c r="IM69" s="47"/>
      <c r="IN69" s="47"/>
      <c r="IO69" s="47"/>
      <c r="IP69" s="47"/>
      <c r="IQ69" s="47"/>
      <c r="IR69" s="47"/>
      <c r="IS69" s="47"/>
      <c r="IT69" s="47"/>
      <c r="IU69" s="47"/>
      <c r="IV69" s="47"/>
      <c r="IW69" s="47"/>
      <c r="IX69" s="47"/>
      <c r="IY69" s="47"/>
      <c r="IZ69" s="47"/>
      <c r="JA69" s="47"/>
      <c r="JB69" s="47"/>
      <c r="JC69" s="47"/>
      <c r="JD69" s="47"/>
      <c r="JE69" s="47"/>
      <c r="JF69" s="47"/>
      <c r="JG69" s="47"/>
      <c r="JH69" s="47">
        <v>73</v>
      </c>
      <c r="JI69" s="47"/>
      <c r="JJ69" s="47">
        <v>96</v>
      </c>
      <c r="JK69" s="47"/>
      <c r="JL69" s="47">
        <v>85</v>
      </c>
      <c r="JM69" s="47"/>
      <c r="JN69" s="47"/>
      <c r="JO69" s="47"/>
      <c r="JP69" s="47"/>
      <c r="JQ69" s="47"/>
      <c r="JR69" s="47"/>
      <c r="JS69" s="47"/>
      <c r="JT69" s="47"/>
      <c r="JU69" s="47"/>
      <c r="JV69" s="47">
        <v>79</v>
      </c>
      <c r="JW69" s="47"/>
      <c r="JX69" s="47"/>
      <c r="JY69" s="47"/>
      <c r="JZ69" s="47"/>
      <c r="KA69" s="47"/>
      <c r="KB69" s="47"/>
      <c r="KC69" s="47"/>
      <c r="KD69" s="47"/>
      <c r="KE69" s="47"/>
      <c r="KF69" s="47"/>
      <c r="KG69" s="47"/>
      <c r="KH69" s="47"/>
      <c r="KI69" s="47"/>
      <c r="KJ69" s="47"/>
      <c r="KK69" s="47"/>
      <c r="KL69" s="47"/>
      <c r="KM69" s="47"/>
      <c r="KN69" s="47"/>
      <c r="KO69" s="47"/>
      <c r="KP69" s="47"/>
      <c r="KQ69" s="47"/>
      <c r="KR69" s="47"/>
      <c r="KS69" s="47"/>
      <c r="KT69" s="47"/>
      <c r="KU69" s="47"/>
      <c r="KV69" s="47"/>
      <c r="KW69" s="47"/>
      <c r="KX69" s="47"/>
      <c r="KY69" s="47"/>
      <c r="KZ69" s="47"/>
      <c r="LA69" s="47"/>
      <c r="LB69" s="47"/>
      <c r="LC69" s="47"/>
      <c r="LD69" s="47"/>
      <c r="LE69" s="47"/>
      <c r="LF69" s="47"/>
      <c r="LG69" s="47"/>
      <c r="LH69" s="47"/>
      <c r="LI69" s="47"/>
      <c r="LJ69" s="47"/>
      <c r="LK69" s="47"/>
      <c r="LL69" s="47"/>
      <c r="LM69" s="47"/>
      <c r="LN69" s="47"/>
      <c r="LO69" s="47"/>
      <c r="LP69" s="47"/>
      <c r="LQ69" s="47"/>
      <c r="LR69" s="47"/>
      <c r="LS69" s="47"/>
      <c r="LT69" s="47">
        <v>274</v>
      </c>
      <c r="LU69" s="47"/>
      <c r="LV69" s="47"/>
      <c r="LW69" s="47">
        <v>263</v>
      </c>
      <c r="LX69" s="47"/>
      <c r="LY69" s="47"/>
      <c r="LZ69" s="47">
        <v>224</v>
      </c>
      <c r="MA69" s="47"/>
      <c r="MB69" s="47"/>
      <c r="MC69" s="47"/>
      <c r="MD69" s="47"/>
      <c r="ME69" s="47"/>
      <c r="MF69" s="47"/>
      <c r="MG69" s="47"/>
      <c r="MH69" s="47"/>
      <c r="MI69" s="47"/>
      <c r="MJ69" s="47">
        <v>199</v>
      </c>
      <c r="MK69" s="47"/>
      <c r="ML69" s="47"/>
      <c r="MM69" s="47"/>
      <c r="MN69" s="47"/>
      <c r="MO69" s="47"/>
      <c r="MP69" s="47"/>
      <c r="MQ69" s="47"/>
      <c r="MR69" s="47"/>
      <c r="MS69" s="47"/>
      <c r="MT69" s="47"/>
      <c r="MU69" s="47"/>
      <c r="MV69" s="47"/>
      <c r="MW69" s="47"/>
      <c r="MX69" s="47"/>
      <c r="MY69" s="47"/>
      <c r="MZ69" s="47"/>
      <c r="NA69" s="47"/>
      <c r="NB69" s="47"/>
      <c r="NC69" s="47"/>
      <c r="ND69" s="47"/>
      <c r="NE69" s="47"/>
      <c r="NF69" s="47"/>
      <c r="NG69" s="47"/>
      <c r="NH69" s="47"/>
      <c r="NI69" s="47"/>
      <c r="NJ69" s="44"/>
      <c r="NK69" s="44"/>
      <c r="NL69" s="44"/>
      <c r="NM69" s="44"/>
      <c r="NN69" s="44"/>
      <c r="NO69" s="47" t="s">
        <v>1677</v>
      </c>
      <c r="NP69" s="47"/>
      <c r="NQ69" s="47"/>
      <c r="NR69" s="47"/>
      <c r="NS69" s="47"/>
      <c r="NT69" s="47"/>
      <c r="NU69" s="47" t="s">
        <v>1678</v>
      </c>
      <c r="NV69" s="47"/>
      <c r="NW69" s="47"/>
      <c r="NX69" s="47"/>
      <c r="NY69" s="47"/>
      <c r="NZ69" s="47"/>
      <c r="OA69" s="47"/>
      <c r="OB69" s="47"/>
      <c r="OC69" s="47"/>
      <c r="OD69" s="47"/>
      <c r="OE69" s="47"/>
      <c r="OF69" s="47" t="s">
        <v>1679</v>
      </c>
      <c r="OG69" s="47"/>
      <c r="OH69" s="47"/>
      <c r="OI69" s="47"/>
      <c r="OJ69" s="47"/>
      <c r="OK69" s="47"/>
      <c r="OL69" s="47"/>
      <c r="OM69" s="47"/>
      <c r="ON69" s="47"/>
      <c r="OO69" s="47"/>
      <c r="OP69" s="47"/>
      <c r="OQ69" s="47"/>
      <c r="OR69" s="47"/>
      <c r="OS69" s="47"/>
      <c r="OT69" s="47"/>
      <c r="OU69" s="47"/>
      <c r="OV69" s="47"/>
      <c r="OW69" s="47"/>
      <c r="OX69" s="47"/>
      <c r="OY69" s="47"/>
      <c r="OZ69" s="47"/>
      <c r="PA69" s="47"/>
      <c r="PB69" s="47"/>
      <c r="PC69" s="47"/>
      <c r="PD69" s="47"/>
      <c r="PE69" s="47"/>
      <c r="PF69" s="47"/>
      <c r="PG69" s="47"/>
      <c r="PH69" s="47"/>
      <c r="PI69" s="47"/>
      <c r="PJ69" s="47"/>
      <c r="PK69" s="47"/>
      <c r="PL69" s="47"/>
      <c r="PM69" s="47"/>
      <c r="PN69" s="47"/>
      <c r="PO69" s="47"/>
      <c r="PP69" s="47"/>
      <c r="PQ69" s="47"/>
      <c r="PR69" s="47"/>
      <c r="PS69" s="47"/>
      <c r="PT69" s="47"/>
      <c r="PU69" s="47"/>
      <c r="PV69" s="47"/>
      <c r="PW69" s="47"/>
      <c r="PX69" s="47"/>
      <c r="PY69" s="47"/>
      <c r="PZ69" s="47"/>
      <c r="QA69" s="47"/>
      <c r="QB69" s="47"/>
      <c r="QC69" s="47"/>
      <c r="QD69" s="47"/>
      <c r="QE69" s="47"/>
      <c r="QF69" s="47"/>
      <c r="QG69" s="47"/>
      <c r="QH69" s="47"/>
      <c r="QI69" s="47"/>
      <c r="QJ69" s="47"/>
      <c r="QK69" s="47">
        <v>101</v>
      </c>
      <c r="QL69" s="47"/>
      <c r="QM69" s="47"/>
      <c r="QN69" s="47"/>
      <c r="QO69" s="47"/>
      <c r="QP69" s="47"/>
      <c r="QQ69" s="47">
        <v>109</v>
      </c>
      <c r="QR69" s="47"/>
      <c r="QS69" s="47"/>
      <c r="QT69" s="47"/>
      <c r="QU69" s="47"/>
      <c r="QV69" s="47"/>
      <c r="QW69" s="47"/>
      <c r="QX69" s="47"/>
      <c r="QY69" s="47"/>
      <c r="QZ69" s="47"/>
      <c r="RA69" s="47">
        <v>101</v>
      </c>
      <c r="RB69" s="47"/>
      <c r="RC69" s="47"/>
      <c r="RD69" s="47"/>
      <c r="RE69" s="47"/>
      <c r="RF69" s="47"/>
      <c r="RG69" s="47"/>
      <c r="RH69" s="47"/>
      <c r="RI69" s="47"/>
      <c r="RJ69" s="47"/>
      <c r="RK69" s="47"/>
      <c r="RL69" s="47"/>
      <c r="RM69" s="47"/>
      <c r="RN69" s="47"/>
      <c r="RO69" s="47"/>
      <c r="RP69" s="47"/>
      <c r="RQ69" s="47"/>
      <c r="RR69" s="47"/>
      <c r="RS69" s="47"/>
      <c r="RT69" s="47"/>
      <c r="RU69" s="47"/>
      <c r="RV69" s="47"/>
      <c r="RW69" s="47"/>
      <c r="RX69" s="47"/>
      <c r="RY69" s="47"/>
      <c r="RZ69" s="47"/>
      <c r="SA69" s="47"/>
      <c r="SB69" s="47"/>
      <c r="SC69" s="47"/>
      <c r="SD69" s="47"/>
      <c r="SE69" s="47"/>
      <c r="SF69" s="47"/>
      <c r="SG69" s="47"/>
      <c r="SH69" s="47"/>
      <c r="SI69" s="47"/>
      <c r="SJ69" s="47"/>
      <c r="SK69" s="47"/>
      <c r="SL69" s="47"/>
      <c r="SM69" s="47"/>
      <c r="SN69" s="47"/>
      <c r="SO69" s="47"/>
      <c r="SP69" s="47"/>
      <c r="SQ69" s="47"/>
      <c r="SR69" s="47"/>
      <c r="SS69" s="47"/>
      <c r="ST69" s="47"/>
      <c r="SU69" s="47"/>
      <c r="SV69" s="47"/>
      <c r="SW69" s="47"/>
      <c r="SX69" s="47"/>
      <c r="SY69" s="47"/>
      <c r="SZ69" s="47"/>
      <c r="TA69" s="47"/>
      <c r="TB69" s="47"/>
      <c r="TC69" s="47"/>
      <c r="TD69" s="47"/>
      <c r="TE69" s="47"/>
      <c r="TF69" s="47"/>
      <c r="TG69" s="47"/>
      <c r="TH69" s="47"/>
      <c r="TI69" s="47"/>
      <c r="TJ69" s="47"/>
      <c r="TK69" s="47"/>
      <c r="TL69" s="47"/>
      <c r="TM69" s="47"/>
      <c r="TN69" s="47"/>
      <c r="TO69" s="47"/>
      <c r="TP69" s="47"/>
      <c r="TQ69" s="47"/>
      <c r="TR69" s="47"/>
      <c r="TS69" s="47"/>
      <c r="TT69" s="47"/>
      <c r="TU69" s="47"/>
      <c r="TV69" s="47"/>
      <c r="TW69" s="47"/>
      <c r="TX69" s="47" t="s">
        <v>529</v>
      </c>
      <c r="TY69" s="47"/>
      <c r="TZ69" s="47"/>
      <c r="UA69" s="47"/>
      <c r="UB69" s="47"/>
      <c r="UC69" s="47" t="s">
        <v>1716</v>
      </c>
      <c r="UD69" s="47"/>
      <c r="UE69" s="47"/>
      <c r="UF69" s="47"/>
      <c r="UG69" s="47"/>
      <c r="UH69" s="47"/>
      <c r="UI69" s="47"/>
      <c r="UJ69" s="47"/>
      <c r="UK69" s="47"/>
      <c r="UL69" s="47"/>
      <c r="UM69" s="47" t="s">
        <v>1717</v>
      </c>
      <c r="UN69" s="47"/>
      <c r="UO69" s="47"/>
      <c r="UP69" s="47"/>
      <c r="UQ69" s="47"/>
      <c r="UR69" s="47"/>
      <c r="US69" s="47"/>
      <c r="UT69" s="47"/>
      <c r="UU69" s="47"/>
      <c r="UV69" s="47"/>
      <c r="UW69" s="47"/>
      <c r="UX69" s="47"/>
      <c r="UY69" s="47"/>
      <c r="UZ69" s="47">
        <v>0.93</v>
      </c>
      <c r="VA69" s="47"/>
      <c r="VB69" s="47"/>
      <c r="VC69" s="47"/>
      <c r="VD69" s="47">
        <v>0.92</v>
      </c>
      <c r="VE69" s="47"/>
      <c r="VF69" s="47"/>
      <c r="VG69" s="47"/>
      <c r="VH69" s="47"/>
      <c r="VI69" s="47"/>
      <c r="VJ69" s="47"/>
      <c r="VK69" s="47">
        <v>0.89</v>
      </c>
      <c r="VL69" s="47"/>
      <c r="VM69" s="47"/>
      <c r="VN69" s="47"/>
      <c r="VO69" s="47"/>
      <c r="VP69" s="47"/>
      <c r="VQ69" s="47"/>
      <c r="VR69" s="47"/>
      <c r="VS69" s="47"/>
      <c r="VT69" s="47">
        <v>37</v>
      </c>
      <c r="VU69" s="47"/>
      <c r="VV69" s="47"/>
      <c r="VW69" s="47"/>
      <c r="VX69" s="47">
        <v>33.1</v>
      </c>
      <c r="VY69" s="47"/>
      <c r="VZ69" s="47"/>
      <c r="WA69" s="47"/>
      <c r="WB69" s="47"/>
      <c r="WC69" s="47"/>
      <c r="WD69" s="47"/>
      <c r="WE69" s="47"/>
      <c r="WF69" s="47"/>
      <c r="WG69" s="47"/>
      <c r="WH69" s="47">
        <v>77</v>
      </c>
      <c r="WI69" s="47"/>
      <c r="WJ69" s="47"/>
      <c r="WK69" s="47"/>
      <c r="WL69" s="47"/>
      <c r="WM69" s="47"/>
      <c r="WN69" s="47"/>
      <c r="WO69" s="47">
        <v>34</v>
      </c>
      <c r="WP69" s="47"/>
      <c r="WQ69" s="47"/>
      <c r="WR69" s="47"/>
      <c r="WS69" s="47"/>
      <c r="WT69" s="47">
        <v>36</v>
      </c>
      <c r="WU69" s="47"/>
      <c r="WV69" s="47"/>
      <c r="WW69" s="47"/>
      <c r="WX69" s="47"/>
      <c r="WY69" s="47"/>
      <c r="WZ69" s="47"/>
      <c r="XA69" s="47"/>
      <c r="XB69" s="47"/>
      <c r="XC69" s="47"/>
      <c r="XD69" s="47">
        <v>75</v>
      </c>
      <c r="XE69" s="47"/>
      <c r="XF69" s="47"/>
      <c r="XG69" s="47"/>
      <c r="XH69" s="47">
        <v>29</v>
      </c>
      <c r="XI69" s="47"/>
      <c r="XJ69" s="47"/>
      <c r="XK69" s="47">
        <v>15.3</v>
      </c>
      <c r="XL69" s="47"/>
      <c r="XM69" s="47"/>
      <c r="XN69" s="47"/>
      <c r="XO69" s="47"/>
      <c r="XP69" s="47"/>
      <c r="XQ69" s="47"/>
      <c r="XR69" s="47">
        <v>6.2</v>
      </c>
      <c r="XS69" s="47"/>
      <c r="XT69" s="47"/>
      <c r="XU69" s="47"/>
      <c r="XV69" s="47"/>
      <c r="XW69" s="47"/>
      <c r="XX69" s="47"/>
      <c r="XY69" s="47"/>
      <c r="XZ69" s="47"/>
      <c r="YA69" s="44"/>
      <c r="YB69" s="44"/>
      <c r="YC69" s="44"/>
      <c r="YD69" s="44"/>
      <c r="YE69" s="44"/>
      <c r="YF69" s="47">
        <v>0.49</v>
      </c>
      <c r="YG69" s="47"/>
      <c r="YH69" s="47"/>
      <c r="YI69" s="47"/>
      <c r="YJ69" s="47">
        <v>0.39</v>
      </c>
      <c r="YK69" s="47"/>
      <c r="YL69" s="47"/>
      <c r="YM69" s="47"/>
      <c r="YN69" s="47"/>
      <c r="YO69" s="47"/>
      <c r="YP69" s="47"/>
      <c r="YQ69" s="47"/>
      <c r="YR69" s="47"/>
      <c r="YS69" s="47"/>
      <c r="YT69" s="47">
        <v>0.54</v>
      </c>
      <c r="YU69" s="47"/>
      <c r="YV69" s="47"/>
      <c r="YW69" s="47"/>
      <c r="YX69" s="47"/>
      <c r="YY69" s="47"/>
      <c r="YZ69" s="47"/>
      <c r="ZA69" s="47">
        <v>309</v>
      </c>
      <c r="ZB69" s="47"/>
      <c r="ZC69" s="47"/>
      <c r="ZD69" s="47"/>
      <c r="ZE69" s="47"/>
      <c r="ZF69" s="47">
        <v>278</v>
      </c>
      <c r="ZG69" s="47"/>
      <c r="ZH69" s="47"/>
      <c r="ZI69" s="47"/>
      <c r="ZJ69" s="47"/>
      <c r="ZK69" s="47"/>
      <c r="ZL69" s="47"/>
      <c r="ZM69" s="47"/>
      <c r="ZN69" s="47">
        <v>358</v>
      </c>
      <c r="ZO69" s="47"/>
      <c r="ZP69" s="47"/>
      <c r="ZQ69" s="47"/>
      <c r="ZR69" s="47"/>
      <c r="ZS69" s="47"/>
      <c r="ZT69" s="47"/>
      <c r="ZU69" s="47"/>
      <c r="ZV69" s="47"/>
      <c r="ZW69" s="44"/>
      <c r="ZX69" s="44"/>
      <c r="ZY69" s="44"/>
      <c r="ZZ69" s="44"/>
      <c r="AAA69" s="44"/>
      <c r="AAB69" s="44"/>
      <c r="AAC69" s="44"/>
      <c r="AAD69" s="44"/>
      <c r="AAE69" s="44"/>
      <c r="AAF69" s="44"/>
      <c r="AAG69" s="47"/>
      <c r="AAH69" s="47"/>
      <c r="AAI69" s="47"/>
      <c r="AAJ69" s="47"/>
      <c r="AAK69" s="47"/>
      <c r="AAL69" s="47"/>
      <c r="AAM69" s="47"/>
      <c r="AAN69" s="47"/>
      <c r="AAO69" s="47"/>
      <c r="AAP69" s="47"/>
      <c r="AAQ69" s="47"/>
      <c r="AAR69" s="47"/>
      <c r="AAS69" s="47"/>
      <c r="AAT69" s="47"/>
      <c r="AAU69" s="47"/>
      <c r="AAV69" s="47"/>
      <c r="AAW69" s="47"/>
      <c r="AAX69" s="47"/>
      <c r="AAY69" s="47"/>
      <c r="AAZ69" s="47"/>
      <c r="ABA69" s="47"/>
      <c r="ABB69" s="47"/>
      <c r="ABC69" s="47">
        <v>177</v>
      </c>
      <c r="ABD69" s="47">
        <v>205</v>
      </c>
      <c r="ABE69" s="47"/>
      <c r="ABF69" s="47">
        <v>254</v>
      </c>
      <c r="ABG69" s="47"/>
      <c r="ABH69" s="47"/>
      <c r="ABI69" s="47"/>
      <c r="ABJ69" s="47"/>
      <c r="ABK69" s="47"/>
      <c r="ABL69" s="47"/>
      <c r="ABM69" s="47"/>
      <c r="ABN69" s="47">
        <v>241</v>
      </c>
      <c r="ABO69" s="47"/>
      <c r="ABP69" s="47"/>
      <c r="ABQ69" s="47"/>
      <c r="ABR69" s="47"/>
      <c r="ABS69" s="47"/>
      <c r="ABT69" s="47"/>
      <c r="ABU69" s="47"/>
      <c r="ABV69" s="47"/>
      <c r="ABW69" s="47"/>
      <c r="ABX69" s="47"/>
      <c r="ABY69" s="47"/>
      <c r="ABZ69" s="47"/>
      <c r="ACA69" s="47"/>
      <c r="ACB69" s="47">
        <v>308</v>
      </c>
      <c r="ACC69" s="47"/>
      <c r="ACD69" s="47"/>
      <c r="ACE69" s="47"/>
      <c r="ACF69" s="47"/>
      <c r="ACG69" s="47"/>
      <c r="ACH69" s="48"/>
    </row>
    <row r="70" spans="1:762" x14ac:dyDescent="0.25">
      <c r="A70" s="42" t="s">
        <v>120</v>
      </c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43"/>
      <c r="BL70" s="43"/>
      <c r="BM70" s="43"/>
      <c r="BN70" s="43"/>
      <c r="BO70" s="43"/>
      <c r="BP70" s="43"/>
      <c r="BQ70" s="43"/>
      <c r="BR70" s="43"/>
      <c r="BS70" s="43"/>
      <c r="BT70" s="43"/>
      <c r="BU70" s="43"/>
      <c r="BV70" s="43"/>
      <c r="BW70" s="43"/>
      <c r="BX70" s="43"/>
      <c r="BY70" s="43"/>
      <c r="BZ70" s="43"/>
      <c r="CA70" s="43"/>
      <c r="CB70" s="43"/>
      <c r="CC70" s="43"/>
      <c r="CD70" s="43"/>
      <c r="CE70" s="43"/>
      <c r="CF70" s="43"/>
      <c r="CG70" s="43"/>
      <c r="CH70" s="43"/>
      <c r="CI70" s="43"/>
      <c r="CJ70" s="43"/>
      <c r="CK70" s="43"/>
      <c r="CL70" s="43"/>
      <c r="CM70" s="43"/>
      <c r="CN70" s="43"/>
      <c r="CO70" s="43"/>
      <c r="CP70" s="43"/>
      <c r="CQ70" s="43"/>
      <c r="CR70" s="43"/>
      <c r="CS70" s="43"/>
      <c r="CT70" s="43"/>
      <c r="CU70" s="43"/>
      <c r="CV70" s="43"/>
      <c r="CW70" s="43"/>
      <c r="CX70" s="43"/>
      <c r="CY70" s="43"/>
      <c r="CZ70" s="43"/>
      <c r="DA70" s="43"/>
      <c r="DB70" s="43"/>
      <c r="DC70" s="43"/>
      <c r="DD70" s="43"/>
      <c r="DE70" s="43"/>
      <c r="DF70" s="43"/>
      <c r="DG70" s="43"/>
      <c r="DH70" s="43"/>
      <c r="DI70" s="43"/>
      <c r="DJ70" s="43"/>
      <c r="DK70" s="43"/>
      <c r="DL70" s="43"/>
      <c r="DM70" s="43"/>
      <c r="DN70" s="43"/>
      <c r="DO70" s="43"/>
      <c r="DP70" s="43"/>
      <c r="DQ70" s="43"/>
      <c r="DR70" s="43"/>
      <c r="DS70" s="43"/>
      <c r="DT70" s="43"/>
      <c r="DU70" s="43"/>
      <c r="DV70" s="43"/>
      <c r="DW70" s="43"/>
      <c r="DX70" s="43"/>
      <c r="DY70" s="43"/>
      <c r="DZ70" s="43"/>
      <c r="EA70" s="43"/>
      <c r="EB70" s="43"/>
      <c r="EC70" s="43"/>
      <c r="ED70" s="43"/>
      <c r="EE70" s="43"/>
      <c r="EF70" s="43" t="s">
        <v>854</v>
      </c>
      <c r="EG70" s="43"/>
      <c r="EH70" s="43"/>
      <c r="EI70" s="43"/>
      <c r="EJ70" s="43"/>
      <c r="EK70" s="43"/>
      <c r="EL70" s="43"/>
      <c r="EM70" s="43"/>
      <c r="EN70" s="43"/>
      <c r="EO70" s="43"/>
      <c r="EP70" s="43"/>
      <c r="EQ70" s="43"/>
      <c r="ER70" s="43"/>
      <c r="ES70" s="43"/>
      <c r="ET70" s="43"/>
      <c r="EU70" s="43"/>
      <c r="EV70" s="43"/>
      <c r="EW70" s="43"/>
      <c r="EX70" s="43"/>
      <c r="EY70" s="43"/>
      <c r="EZ70" s="43"/>
      <c r="FA70" s="43"/>
      <c r="FB70" s="43"/>
      <c r="FC70" s="43"/>
      <c r="FD70" s="43"/>
      <c r="FE70" s="43"/>
      <c r="FF70" s="43"/>
      <c r="FG70" s="43"/>
      <c r="FH70" s="43"/>
      <c r="FI70" s="43"/>
      <c r="FJ70" s="43"/>
      <c r="FK70" s="43"/>
      <c r="FL70" s="43"/>
      <c r="FM70" s="43"/>
      <c r="FN70" s="43"/>
      <c r="FO70" s="43"/>
      <c r="FP70" s="43"/>
      <c r="FQ70" s="43"/>
      <c r="FR70" s="43"/>
      <c r="FS70" s="43"/>
      <c r="FT70" s="43"/>
      <c r="FU70" s="43"/>
      <c r="FV70" s="43"/>
      <c r="FW70" s="43"/>
      <c r="FX70" s="43"/>
      <c r="FY70" s="43"/>
      <c r="FZ70" s="43"/>
      <c r="GA70" s="43"/>
      <c r="GB70" s="43"/>
      <c r="GC70" s="43"/>
      <c r="GD70" s="43"/>
      <c r="GE70" s="43"/>
      <c r="GF70" s="43"/>
      <c r="GG70" s="43"/>
      <c r="GH70" s="43"/>
      <c r="GI70" s="43"/>
      <c r="GJ70" s="43"/>
      <c r="GK70" s="43"/>
      <c r="GL70" s="43"/>
      <c r="GM70" s="43"/>
      <c r="GN70" s="43"/>
      <c r="GO70" s="43"/>
      <c r="GP70" s="43"/>
      <c r="GQ70" s="43"/>
      <c r="GR70" s="43"/>
      <c r="GS70" s="43"/>
      <c r="GT70" s="43"/>
      <c r="GU70" s="43" t="s">
        <v>855</v>
      </c>
      <c r="GV70" s="43"/>
      <c r="GW70" s="43"/>
      <c r="GX70" s="43"/>
      <c r="GY70" s="43"/>
      <c r="GZ70" s="43"/>
      <c r="HA70" s="43"/>
      <c r="HB70" s="43"/>
      <c r="HC70" s="43"/>
      <c r="HD70" s="43"/>
      <c r="HE70" s="43"/>
      <c r="HF70" s="43"/>
      <c r="HG70" s="43"/>
      <c r="HH70" s="43"/>
      <c r="HI70" s="43"/>
      <c r="HJ70" s="43"/>
      <c r="HK70" s="43"/>
      <c r="HL70" s="43"/>
      <c r="HM70" s="43"/>
      <c r="HN70" s="43"/>
      <c r="HO70" s="43"/>
      <c r="HP70" s="43"/>
      <c r="HQ70" s="43"/>
      <c r="HR70" s="43"/>
      <c r="HS70" s="43"/>
      <c r="HT70" s="43"/>
      <c r="HU70" s="43"/>
      <c r="HV70" s="43"/>
      <c r="HW70" s="43"/>
      <c r="HX70" s="43"/>
      <c r="HY70" s="43"/>
      <c r="HZ70" s="43"/>
      <c r="IA70" s="43"/>
      <c r="IB70" s="43"/>
      <c r="IC70" s="43"/>
      <c r="ID70" s="43"/>
      <c r="IE70" s="43"/>
      <c r="IF70" s="43"/>
      <c r="IG70" s="43"/>
      <c r="IH70" s="43"/>
      <c r="II70" s="43"/>
      <c r="IJ70" s="43"/>
      <c r="IK70" s="43"/>
      <c r="IL70" s="43"/>
      <c r="IM70" s="43"/>
      <c r="IN70" s="43"/>
      <c r="IO70" s="43"/>
      <c r="IP70" s="43"/>
      <c r="IQ70" s="43"/>
      <c r="IR70" s="43"/>
      <c r="IS70" s="43"/>
      <c r="IT70" s="43"/>
      <c r="IU70" s="43"/>
      <c r="IV70" s="43"/>
      <c r="IW70" s="43"/>
      <c r="IX70" s="43"/>
      <c r="IY70" s="43"/>
      <c r="IZ70" s="43"/>
      <c r="JA70" s="43"/>
      <c r="JB70" s="43"/>
      <c r="JC70" s="43"/>
      <c r="JD70" s="43"/>
      <c r="JE70" s="43"/>
      <c r="JF70" s="43"/>
      <c r="JG70" s="43"/>
      <c r="JH70" s="43"/>
      <c r="JI70" s="43"/>
      <c r="JJ70" s="43"/>
      <c r="JK70" s="43"/>
      <c r="JL70" s="43"/>
      <c r="JM70" s="43"/>
      <c r="JN70" s="43"/>
      <c r="JO70" s="43"/>
      <c r="JP70" s="43"/>
      <c r="JQ70" s="43"/>
      <c r="JR70" s="43"/>
      <c r="JS70" s="43"/>
      <c r="JT70" s="43"/>
      <c r="JU70" s="43"/>
      <c r="JV70" s="43"/>
      <c r="JW70" s="43"/>
      <c r="JX70" s="43"/>
      <c r="JY70" s="43"/>
      <c r="JZ70" s="43"/>
      <c r="KA70" s="43"/>
      <c r="KB70" s="43"/>
      <c r="KC70" s="43"/>
      <c r="KD70" s="43"/>
      <c r="KE70" s="43"/>
      <c r="KF70" s="43"/>
      <c r="KG70" s="43"/>
      <c r="KH70" s="43"/>
      <c r="KI70" s="43"/>
      <c r="KJ70" s="43"/>
      <c r="KK70" s="43"/>
      <c r="KL70" s="43"/>
      <c r="KM70" s="43"/>
      <c r="KN70" s="43"/>
      <c r="KO70" s="43"/>
      <c r="KP70" s="43"/>
      <c r="KQ70" s="43"/>
      <c r="KR70" s="43"/>
      <c r="KS70" s="43"/>
      <c r="KT70" s="43"/>
      <c r="KU70" s="43"/>
      <c r="KV70" s="43"/>
      <c r="KW70" s="43"/>
      <c r="KX70" s="43"/>
      <c r="KY70" s="43"/>
      <c r="KZ70" s="43"/>
      <c r="LA70" s="43"/>
      <c r="LB70" s="43"/>
      <c r="LC70" s="43"/>
      <c r="LD70" s="43"/>
      <c r="LE70" s="43"/>
      <c r="LF70" s="43"/>
      <c r="LG70" s="43"/>
      <c r="LH70" s="43"/>
      <c r="LI70" s="43"/>
      <c r="LJ70" s="43"/>
      <c r="LK70" s="43"/>
      <c r="LL70" s="43"/>
      <c r="LM70" s="43"/>
      <c r="LN70" s="43"/>
      <c r="LO70" s="43"/>
      <c r="LP70" s="43"/>
      <c r="LQ70" s="43"/>
      <c r="LR70" s="43"/>
      <c r="LS70" s="43"/>
      <c r="LT70" s="43"/>
      <c r="LU70" s="43"/>
      <c r="LV70" s="43"/>
      <c r="LW70" s="43"/>
      <c r="LX70" s="43"/>
      <c r="LY70" s="43"/>
      <c r="LZ70" s="43"/>
      <c r="MA70" s="43"/>
      <c r="MB70" s="43"/>
      <c r="MC70" s="43"/>
      <c r="MD70" s="43"/>
      <c r="ME70" s="43"/>
      <c r="MF70" s="43"/>
      <c r="MG70" s="43"/>
      <c r="MH70" s="43"/>
      <c r="MI70" s="43"/>
      <c r="MJ70" s="43"/>
      <c r="MK70" s="43"/>
      <c r="ML70" s="43"/>
      <c r="MM70" s="43"/>
      <c r="MN70" s="43"/>
      <c r="MO70" s="43"/>
      <c r="MP70" s="43"/>
      <c r="MQ70" s="43"/>
      <c r="MR70" s="43"/>
      <c r="MS70" s="43"/>
      <c r="MT70" s="43"/>
      <c r="MU70" s="43"/>
      <c r="MV70" s="43"/>
      <c r="MW70" s="43"/>
      <c r="MX70" s="43"/>
      <c r="MY70" s="43"/>
      <c r="MZ70" s="43"/>
      <c r="NA70" s="43"/>
      <c r="NB70" s="43"/>
      <c r="NC70" s="43"/>
      <c r="ND70" s="43"/>
      <c r="NE70" s="43"/>
      <c r="NF70" s="43"/>
      <c r="NG70" s="43"/>
      <c r="NH70" s="43"/>
      <c r="NI70" s="43"/>
      <c r="NJ70" s="44"/>
      <c r="NK70" s="44"/>
      <c r="NL70" s="44"/>
      <c r="NM70" s="44"/>
      <c r="NN70" s="44"/>
      <c r="NO70" s="43">
        <v>425</v>
      </c>
      <c r="NP70" s="43"/>
      <c r="NQ70" s="43"/>
      <c r="NR70" s="43"/>
      <c r="NS70" s="43"/>
      <c r="NT70" s="43"/>
      <c r="NU70" s="43"/>
      <c r="NV70" s="43"/>
      <c r="NW70" s="43"/>
      <c r="NX70" s="43"/>
      <c r="NY70" s="43"/>
      <c r="NZ70" s="43"/>
      <c r="OA70" s="43"/>
      <c r="OB70" s="43"/>
      <c r="OC70" s="43"/>
      <c r="OD70" s="43"/>
      <c r="OE70" s="43"/>
      <c r="OF70" s="43"/>
      <c r="OG70" s="43"/>
      <c r="OH70" s="43"/>
      <c r="OI70" s="43"/>
      <c r="OJ70" s="43"/>
      <c r="OK70" s="43"/>
      <c r="OL70" s="43"/>
      <c r="OM70" s="43"/>
      <c r="ON70" s="43"/>
      <c r="OO70" s="43"/>
      <c r="OP70" s="43"/>
      <c r="OQ70" s="43"/>
      <c r="OR70" s="43"/>
      <c r="OS70" s="43"/>
      <c r="OT70" s="43"/>
      <c r="OU70" s="43"/>
      <c r="OV70" s="43"/>
      <c r="OW70" s="43"/>
      <c r="OX70" s="43"/>
      <c r="OY70" s="43"/>
      <c r="OZ70" s="43"/>
      <c r="PA70" s="43"/>
      <c r="PB70" s="43"/>
      <c r="PC70" s="43"/>
      <c r="PD70" s="43"/>
      <c r="PE70" s="43"/>
      <c r="PF70" s="43"/>
      <c r="PG70" s="43"/>
      <c r="PH70" s="43"/>
      <c r="PI70" s="43"/>
      <c r="PJ70" s="43"/>
      <c r="PK70" s="43"/>
      <c r="PL70" s="43"/>
      <c r="PM70" s="43"/>
      <c r="PN70" s="43"/>
      <c r="PO70" s="43"/>
      <c r="PP70" s="43"/>
      <c r="PQ70" s="43"/>
      <c r="PR70" s="43"/>
      <c r="PS70" s="43"/>
      <c r="PT70" s="43"/>
      <c r="PU70" s="43"/>
      <c r="PV70" s="43"/>
      <c r="PW70" s="43"/>
      <c r="PX70" s="43"/>
      <c r="PY70" s="43"/>
      <c r="PZ70" s="43"/>
      <c r="QA70" s="43"/>
      <c r="QB70" s="43"/>
      <c r="QC70" s="43"/>
      <c r="QD70" s="43"/>
      <c r="QE70" s="43"/>
      <c r="QF70" s="43"/>
      <c r="QG70" s="43"/>
      <c r="QH70" s="43"/>
      <c r="QI70" s="43"/>
      <c r="QJ70" s="43"/>
      <c r="QK70" s="43"/>
      <c r="QL70" s="43"/>
      <c r="QM70" s="43"/>
      <c r="QN70" s="43"/>
      <c r="QO70" s="43"/>
      <c r="QP70" s="43"/>
      <c r="QQ70" s="43"/>
      <c r="QR70" s="43"/>
      <c r="QS70" s="43"/>
      <c r="QT70" s="43"/>
      <c r="QU70" s="43"/>
      <c r="QV70" s="43"/>
      <c r="QW70" s="43"/>
      <c r="QX70" s="43"/>
      <c r="QY70" s="43"/>
      <c r="QZ70" s="43"/>
      <c r="RA70" s="43"/>
      <c r="RB70" s="43"/>
      <c r="RC70" s="43"/>
      <c r="RD70" s="43"/>
      <c r="RE70" s="43"/>
      <c r="RF70" s="43"/>
      <c r="RG70" s="43"/>
      <c r="RH70" s="43"/>
      <c r="RI70" s="43"/>
      <c r="RJ70" s="43"/>
      <c r="RK70" s="43"/>
      <c r="RL70" s="43"/>
      <c r="RM70" s="43"/>
      <c r="RN70" s="43"/>
      <c r="RO70" s="43"/>
      <c r="RP70" s="43"/>
      <c r="RQ70" s="43"/>
      <c r="RR70" s="43"/>
      <c r="RS70" s="43"/>
      <c r="RT70" s="43"/>
      <c r="RU70" s="43"/>
      <c r="RV70" s="43"/>
      <c r="RW70" s="43"/>
      <c r="RX70" s="43"/>
      <c r="RY70" s="43"/>
      <c r="RZ70" s="43"/>
      <c r="SA70" s="43"/>
      <c r="SB70" s="43"/>
      <c r="SC70" s="43"/>
      <c r="SD70" s="43"/>
      <c r="SE70" s="43"/>
      <c r="SF70" s="43"/>
      <c r="SG70" s="43"/>
      <c r="SH70" s="43"/>
      <c r="SI70" s="43"/>
      <c r="SJ70" s="43"/>
      <c r="SK70" s="43"/>
      <c r="SL70" s="43"/>
      <c r="SM70" s="43"/>
      <c r="SN70" s="43"/>
      <c r="SO70" s="43"/>
      <c r="SP70" s="43"/>
      <c r="SQ70" s="43"/>
      <c r="SR70" s="43"/>
      <c r="SS70" s="43"/>
      <c r="ST70" s="43"/>
      <c r="SU70" s="43"/>
      <c r="SV70" s="43"/>
      <c r="SW70" s="43"/>
      <c r="SX70" s="43"/>
      <c r="SY70" s="43"/>
      <c r="SZ70" s="43"/>
      <c r="TA70" s="43"/>
      <c r="TB70" s="43"/>
      <c r="TC70" s="43"/>
      <c r="TD70" s="43"/>
      <c r="TE70" s="43"/>
      <c r="TF70" s="43"/>
      <c r="TG70" s="43"/>
      <c r="TH70" s="43"/>
      <c r="TI70" s="43"/>
      <c r="TJ70" s="43"/>
      <c r="TK70" s="43"/>
      <c r="TL70" s="43"/>
      <c r="TM70" s="43"/>
      <c r="TN70" s="43"/>
      <c r="TO70" s="43"/>
      <c r="TP70" s="43"/>
      <c r="TQ70" s="43"/>
      <c r="TR70" s="43"/>
      <c r="TS70" s="43"/>
      <c r="TT70" s="43"/>
      <c r="TU70" s="43"/>
      <c r="TV70" s="43"/>
      <c r="TW70" s="43"/>
      <c r="TX70" s="43"/>
      <c r="TY70" s="43"/>
      <c r="TZ70" s="43"/>
      <c r="UA70" s="43"/>
      <c r="UB70" s="43"/>
      <c r="UC70" s="43"/>
      <c r="UD70" s="43"/>
      <c r="UE70" s="43"/>
      <c r="UF70" s="43"/>
      <c r="UG70" s="43"/>
      <c r="UH70" s="43"/>
      <c r="UI70" s="43"/>
      <c r="UJ70" s="43"/>
      <c r="UK70" s="43"/>
      <c r="UL70" s="43"/>
      <c r="UM70" s="43"/>
      <c r="UN70" s="43"/>
      <c r="UO70" s="43"/>
      <c r="UP70" s="43"/>
      <c r="UQ70" s="43"/>
      <c r="UR70" s="43"/>
      <c r="US70" s="43"/>
      <c r="UT70" s="43"/>
      <c r="UU70" s="43"/>
      <c r="UV70" s="43"/>
      <c r="UW70" s="43"/>
      <c r="UX70" s="43"/>
      <c r="UY70" s="43"/>
      <c r="UZ70" s="43"/>
      <c r="VA70" s="43"/>
      <c r="VB70" s="43"/>
      <c r="VC70" s="43"/>
      <c r="VD70" s="43"/>
      <c r="VE70" s="43"/>
      <c r="VF70" s="43"/>
      <c r="VG70" s="43"/>
      <c r="VH70" s="43"/>
      <c r="VI70" s="43"/>
      <c r="VJ70" s="43"/>
      <c r="VK70" s="43"/>
      <c r="VL70" s="43"/>
      <c r="VM70" s="43"/>
      <c r="VN70" s="43"/>
      <c r="VO70" s="43"/>
      <c r="VP70" s="43"/>
      <c r="VQ70" s="43"/>
      <c r="VR70" s="43"/>
      <c r="VS70" s="43"/>
      <c r="VT70" s="43"/>
      <c r="VU70" s="43"/>
      <c r="VV70" s="43"/>
      <c r="VW70" s="43"/>
      <c r="VX70" s="43"/>
      <c r="VY70" s="43"/>
      <c r="VZ70" s="43"/>
      <c r="WA70" s="43"/>
      <c r="WB70" s="43"/>
      <c r="WC70" s="43"/>
      <c r="WD70" s="43"/>
      <c r="WE70" s="43"/>
      <c r="WF70" s="43"/>
      <c r="WG70" s="43"/>
      <c r="WH70" s="43"/>
      <c r="WI70" s="43"/>
      <c r="WJ70" s="43"/>
      <c r="WK70" s="43"/>
      <c r="WL70" s="43"/>
      <c r="WM70" s="43"/>
      <c r="WN70" s="43"/>
      <c r="WO70" s="43"/>
      <c r="WP70" s="43"/>
      <c r="WQ70" s="43"/>
      <c r="WR70" s="43"/>
      <c r="WS70" s="43"/>
      <c r="WT70" s="43"/>
      <c r="WU70" s="43"/>
      <c r="WV70" s="43"/>
      <c r="WW70" s="43"/>
      <c r="WX70" s="43"/>
      <c r="WY70" s="43"/>
      <c r="WZ70" s="43"/>
      <c r="XA70" s="43"/>
      <c r="XB70" s="43"/>
      <c r="XC70" s="43"/>
      <c r="XD70" s="43"/>
      <c r="XE70" s="43"/>
      <c r="XF70" s="43"/>
      <c r="XG70" s="43"/>
      <c r="XH70" s="43"/>
      <c r="XI70" s="43"/>
      <c r="XJ70" s="43"/>
      <c r="XK70" s="43"/>
      <c r="XL70" s="43"/>
      <c r="XM70" s="43"/>
      <c r="XN70" s="43"/>
      <c r="XO70" s="43"/>
      <c r="XP70" s="43"/>
      <c r="XQ70" s="43"/>
      <c r="XR70" s="43"/>
      <c r="XS70" s="43"/>
      <c r="XT70" s="43"/>
      <c r="XU70" s="43"/>
      <c r="XV70" s="43"/>
      <c r="XW70" s="43"/>
      <c r="XX70" s="43"/>
      <c r="XY70" s="43"/>
      <c r="XZ70" s="43"/>
      <c r="YA70" s="44"/>
      <c r="YB70" s="44"/>
      <c r="YC70" s="44"/>
      <c r="YD70" s="44"/>
      <c r="YE70" s="44"/>
      <c r="YF70" s="43"/>
      <c r="YG70" s="43"/>
      <c r="YH70" s="43"/>
      <c r="YI70" s="43"/>
      <c r="YJ70" s="43"/>
      <c r="YK70" s="43"/>
      <c r="YL70" s="43"/>
      <c r="YM70" s="43"/>
      <c r="YN70" s="43"/>
      <c r="YO70" s="43"/>
      <c r="YP70" s="43"/>
      <c r="YQ70" s="43"/>
      <c r="YR70" s="43"/>
      <c r="YS70" s="43"/>
      <c r="YT70" s="43"/>
      <c r="YU70" s="43"/>
      <c r="YV70" s="43"/>
      <c r="YW70" s="43"/>
      <c r="YX70" s="43"/>
      <c r="YY70" s="43"/>
      <c r="YZ70" s="43"/>
      <c r="ZA70" s="43"/>
      <c r="ZB70" s="43"/>
      <c r="ZC70" s="43"/>
      <c r="ZD70" s="43"/>
      <c r="ZE70" s="43"/>
      <c r="ZF70" s="43"/>
      <c r="ZG70" s="43"/>
      <c r="ZH70" s="43"/>
      <c r="ZI70" s="43"/>
      <c r="ZJ70" s="43"/>
      <c r="ZK70" s="43"/>
      <c r="ZL70" s="43"/>
      <c r="ZM70" s="43"/>
      <c r="ZN70" s="43"/>
      <c r="ZO70" s="43"/>
      <c r="ZP70" s="43"/>
      <c r="ZQ70" s="43"/>
      <c r="ZR70" s="43"/>
      <c r="ZS70" s="43"/>
      <c r="ZT70" s="43"/>
      <c r="ZU70" s="43"/>
      <c r="ZV70" s="43"/>
      <c r="ZW70" s="44"/>
      <c r="ZX70" s="44"/>
      <c r="ZY70" s="44"/>
      <c r="ZZ70" s="44" t="s">
        <v>857</v>
      </c>
      <c r="AAA70" s="44"/>
      <c r="AAB70" s="44"/>
      <c r="AAC70" s="44"/>
      <c r="AAD70" s="44"/>
      <c r="AAE70" s="44"/>
      <c r="AAF70" s="44" t="s">
        <v>859</v>
      </c>
      <c r="AAG70" s="43"/>
      <c r="AAH70" s="43"/>
      <c r="AAI70" s="43"/>
      <c r="AAJ70" s="43"/>
      <c r="AAK70" s="43"/>
      <c r="AAL70" s="43"/>
      <c r="AAM70" s="43"/>
      <c r="AAN70" s="43"/>
      <c r="AAO70" s="43"/>
      <c r="AAP70" s="43"/>
      <c r="AAQ70" s="43"/>
      <c r="AAR70" s="43"/>
      <c r="AAS70" s="43"/>
      <c r="AAT70" s="43"/>
      <c r="AAU70" s="43"/>
      <c r="AAV70" s="43"/>
      <c r="AAW70" s="43"/>
      <c r="AAX70" s="43"/>
      <c r="AAY70" s="43"/>
      <c r="AAZ70" s="43"/>
      <c r="ABA70" s="43"/>
      <c r="ABB70" s="43"/>
      <c r="ABC70" s="43"/>
      <c r="ABD70" s="43"/>
      <c r="ABE70" s="43"/>
      <c r="ABF70" s="43"/>
      <c r="ABG70" s="43"/>
      <c r="ABH70" s="43"/>
      <c r="ABI70" s="43"/>
      <c r="ABJ70" s="43"/>
      <c r="ABK70" s="43"/>
      <c r="ABL70" s="43"/>
      <c r="ABM70" s="43"/>
      <c r="ABN70" s="43"/>
      <c r="ABO70" s="43"/>
      <c r="ABP70" s="43"/>
      <c r="ABQ70" s="43"/>
      <c r="ABR70" s="43"/>
      <c r="ABS70" s="43"/>
      <c r="ABT70" s="43"/>
      <c r="ABU70" s="43"/>
      <c r="ABV70" s="43"/>
      <c r="ABW70" s="43"/>
      <c r="ABX70" s="43"/>
      <c r="ABY70" s="43"/>
      <c r="ABZ70" s="43"/>
      <c r="ACA70" s="43"/>
      <c r="ACB70" s="43"/>
      <c r="ACC70" s="43"/>
      <c r="ACD70" s="43"/>
      <c r="ACE70" s="43"/>
      <c r="ACF70" s="43"/>
      <c r="ACG70" s="43"/>
      <c r="ACH70" s="45"/>
    </row>
    <row r="71" spans="1:762" x14ac:dyDescent="0.25">
      <c r="A71" s="46" t="s">
        <v>122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  <c r="BW71" s="47"/>
      <c r="BX71" s="47"/>
      <c r="BY71" s="47"/>
      <c r="BZ71" s="47"/>
      <c r="CA71" s="47"/>
      <c r="CB71" s="47"/>
      <c r="CC71" s="47"/>
      <c r="CD71" s="47"/>
      <c r="CE71" s="47"/>
      <c r="CF71" s="47"/>
      <c r="CG71" s="47"/>
      <c r="CH71" s="47"/>
      <c r="CI71" s="47"/>
      <c r="CJ71" s="47"/>
      <c r="CK71" s="47"/>
      <c r="CL71" s="47"/>
      <c r="CM71" s="47"/>
      <c r="CN71" s="47"/>
      <c r="CO71" s="47"/>
      <c r="CP71" s="47"/>
      <c r="CQ71" s="47"/>
      <c r="CR71" s="47"/>
      <c r="CS71" s="47"/>
      <c r="CT71" s="47"/>
      <c r="CU71" s="47"/>
      <c r="CV71" s="47"/>
      <c r="CW71" s="47"/>
      <c r="CX71" s="47"/>
      <c r="CY71" s="47"/>
      <c r="CZ71" s="47"/>
      <c r="DA71" s="47"/>
      <c r="DB71" s="47"/>
      <c r="DC71" s="47"/>
      <c r="DD71" s="47"/>
      <c r="DE71" s="47"/>
      <c r="DF71" s="47"/>
      <c r="DG71" s="47"/>
      <c r="DH71" s="47"/>
      <c r="DI71" s="47"/>
      <c r="DJ71" s="47"/>
      <c r="DK71" s="47"/>
      <c r="DL71" s="47"/>
      <c r="DM71" s="47"/>
      <c r="DN71" s="47"/>
      <c r="DO71" s="47"/>
      <c r="DP71" s="47"/>
      <c r="DQ71" s="47"/>
      <c r="DR71" s="47"/>
      <c r="DS71" s="47"/>
      <c r="DT71" s="47"/>
      <c r="DU71" s="47"/>
      <c r="DV71" s="47"/>
      <c r="DW71" s="47"/>
      <c r="DX71" s="47"/>
      <c r="DY71" s="47"/>
      <c r="DZ71" s="47"/>
      <c r="EA71" s="47"/>
      <c r="EB71" s="47"/>
      <c r="EC71" s="47"/>
      <c r="ED71" s="47"/>
      <c r="EE71" s="47"/>
      <c r="EF71" s="47"/>
      <c r="EG71" s="47"/>
      <c r="EH71" s="47"/>
      <c r="EI71" s="47"/>
      <c r="EJ71" s="47"/>
      <c r="EK71" s="47"/>
      <c r="EL71" s="47"/>
      <c r="EM71" s="47"/>
      <c r="EN71" s="47"/>
      <c r="EO71" s="47"/>
      <c r="EP71" s="47"/>
      <c r="EQ71" s="47"/>
      <c r="ER71" s="47"/>
      <c r="ES71" s="47"/>
      <c r="ET71" s="47"/>
      <c r="EU71" s="47"/>
      <c r="EV71" s="47"/>
      <c r="EW71" s="47"/>
      <c r="EX71" s="47"/>
      <c r="EY71" s="47"/>
      <c r="EZ71" s="47"/>
      <c r="FA71" s="47"/>
      <c r="FB71" s="47"/>
      <c r="FC71" s="47"/>
      <c r="FD71" s="47"/>
      <c r="FE71" s="47"/>
      <c r="FF71" s="47"/>
      <c r="FG71" s="47"/>
      <c r="FH71" s="47"/>
      <c r="FI71" s="47"/>
      <c r="FJ71" s="47"/>
      <c r="FK71" s="47"/>
      <c r="FL71" s="47"/>
      <c r="FM71" s="47"/>
      <c r="FN71" s="47"/>
      <c r="FO71" s="47"/>
      <c r="FP71" s="47"/>
      <c r="FQ71" s="47"/>
      <c r="FR71" s="47"/>
      <c r="FS71" s="47"/>
      <c r="FT71" s="47"/>
      <c r="FU71" s="47"/>
      <c r="FV71" s="47"/>
      <c r="FW71" s="47"/>
      <c r="FX71" s="47"/>
      <c r="FY71" s="47"/>
      <c r="FZ71" s="47"/>
      <c r="GA71" s="47"/>
      <c r="GB71" s="47"/>
      <c r="GC71" s="47"/>
      <c r="GD71" s="47"/>
      <c r="GE71" s="47"/>
      <c r="GF71" s="47"/>
      <c r="GG71" s="47"/>
      <c r="GH71" s="47"/>
      <c r="GI71" s="47"/>
      <c r="GJ71" s="47"/>
      <c r="GK71" s="47"/>
      <c r="GL71" s="47"/>
      <c r="GM71" s="47"/>
      <c r="GN71" s="47"/>
      <c r="GO71" s="47"/>
      <c r="GP71" s="47"/>
      <c r="GQ71" s="47"/>
      <c r="GR71" s="47"/>
      <c r="GS71" s="47"/>
      <c r="GT71" s="47"/>
      <c r="GU71" s="47"/>
      <c r="GV71" s="47"/>
      <c r="GW71" s="47"/>
      <c r="GX71" s="47"/>
      <c r="GY71" s="47"/>
      <c r="GZ71" s="47"/>
      <c r="HA71" s="47"/>
      <c r="HB71" s="47"/>
      <c r="HC71" s="47"/>
      <c r="HD71" s="47"/>
      <c r="HE71" s="47"/>
      <c r="HF71" s="47"/>
      <c r="HG71" s="47"/>
      <c r="HH71" s="47"/>
      <c r="HI71" s="47"/>
      <c r="HJ71" s="47"/>
      <c r="HK71" s="47"/>
      <c r="HL71" s="47"/>
      <c r="HM71" s="47"/>
      <c r="HN71" s="47"/>
      <c r="HO71" s="47"/>
      <c r="HP71" s="47"/>
      <c r="HQ71" s="47"/>
      <c r="HR71" s="47"/>
      <c r="HS71" s="47"/>
      <c r="HT71" s="47"/>
      <c r="HU71" s="47"/>
      <c r="HV71" s="47"/>
      <c r="HW71" s="47"/>
      <c r="HX71" s="47"/>
      <c r="HY71" s="47"/>
      <c r="HZ71" s="47"/>
      <c r="IA71" s="47"/>
      <c r="IB71" s="47"/>
      <c r="IC71" s="47"/>
      <c r="ID71" s="47"/>
      <c r="IE71" s="47"/>
      <c r="IF71" s="47"/>
      <c r="IG71" s="47"/>
      <c r="IH71" s="47"/>
      <c r="II71" s="47"/>
      <c r="IJ71" s="47"/>
      <c r="IK71" s="47"/>
      <c r="IL71" s="47"/>
      <c r="IM71" s="47"/>
      <c r="IN71" s="47"/>
      <c r="IO71" s="47"/>
      <c r="IP71" s="47"/>
      <c r="IQ71" s="47"/>
      <c r="IR71" s="47"/>
      <c r="IS71" s="47"/>
      <c r="IT71" s="47"/>
      <c r="IU71" s="47"/>
      <c r="IV71" s="47"/>
      <c r="IW71" s="47"/>
      <c r="IX71" s="47"/>
      <c r="IY71" s="47"/>
      <c r="IZ71" s="47"/>
      <c r="JA71" s="47"/>
      <c r="JB71" s="47"/>
      <c r="JC71" s="47"/>
      <c r="JD71" s="47"/>
      <c r="JE71" s="47"/>
      <c r="JF71" s="47"/>
      <c r="JG71" s="47"/>
      <c r="JH71" s="47"/>
      <c r="JI71" s="47"/>
      <c r="JJ71" s="47"/>
      <c r="JK71" s="47"/>
      <c r="JL71" s="47"/>
      <c r="JM71" s="47"/>
      <c r="JN71" s="47"/>
      <c r="JO71" s="47"/>
      <c r="JP71" s="47"/>
      <c r="JQ71" s="47"/>
      <c r="JR71" s="47"/>
      <c r="JS71" s="47"/>
      <c r="JT71" s="47"/>
      <c r="JU71" s="47"/>
      <c r="JV71" s="47"/>
      <c r="JW71" s="47"/>
      <c r="JX71" s="47"/>
      <c r="JY71" s="47"/>
      <c r="JZ71" s="47"/>
      <c r="KA71" s="47"/>
      <c r="KB71" s="47"/>
      <c r="KC71" s="47"/>
      <c r="KD71" s="47"/>
      <c r="KE71" s="47"/>
      <c r="KF71" s="47"/>
      <c r="KG71" s="47"/>
      <c r="KH71" s="47"/>
      <c r="KI71" s="47"/>
      <c r="KJ71" s="47"/>
      <c r="KK71" s="47"/>
      <c r="KL71" s="47"/>
      <c r="KM71" s="47"/>
      <c r="KN71" s="47"/>
      <c r="KO71" s="47"/>
      <c r="KP71" s="47"/>
      <c r="KQ71" s="47"/>
      <c r="KR71" s="47"/>
      <c r="KS71" s="47"/>
      <c r="KT71" s="47"/>
      <c r="KU71" s="47"/>
      <c r="KV71" s="47"/>
      <c r="KW71" s="47"/>
      <c r="KX71" s="47"/>
      <c r="KY71" s="47"/>
      <c r="KZ71" s="47"/>
      <c r="LA71" s="47"/>
      <c r="LB71" s="47"/>
      <c r="LC71" s="47"/>
      <c r="LD71" s="47"/>
      <c r="LE71" s="47"/>
      <c r="LF71" s="47"/>
      <c r="LG71" s="47"/>
      <c r="LH71" s="47"/>
      <c r="LI71" s="47"/>
      <c r="LJ71" s="47"/>
      <c r="LK71" s="47"/>
      <c r="LL71" s="47"/>
      <c r="LM71" s="47"/>
      <c r="LN71" s="47"/>
      <c r="LO71" s="47"/>
      <c r="LP71" s="47"/>
      <c r="LQ71" s="47"/>
      <c r="LR71" s="47"/>
      <c r="LS71" s="47"/>
      <c r="LT71" s="47"/>
      <c r="LU71" s="47"/>
      <c r="LV71" s="47"/>
      <c r="LW71" s="47"/>
      <c r="LX71" s="47"/>
      <c r="LY71" s="47"/>
      <c r="LZ71" s="47"/>
      <c r="MA71" s="47"/>
      <c r="MB71" s="47"/>
      <c r="MC71" s="47"/>
      <c r="MD71" s="47"/>
      <c r="ME71" s="47"/>
      <c r="MF71" s="47"/>
      <c r="MG71" s="47"/>
      <c r="MH71" s="47"/>
      <c r="MI71" s="47"/>
      <c r="MJ71" s="47"/>
      <c r="MK71" s="47"/>
      <c r="ML71" s="47"/>
      <c r="MM71" s="47"/>
      <c r="MN71" s="47"/>
      <c r="MO71" s="47"/>
      <c r="MP71" s="47"/>
      <c r="MQ71" s="47"/>
      <c r="MR71" s="47"/>
      <c r="MS71" s="47"/>
      <c r="MT71" s="47"/>
      <c r="MU71" s="47"/>
      <c r="MV71" s="47"/>
      <c r="MW71" s="47"/>
      <c r="MX71" s="47"/>
      <c r="MY71" s="47"/>
      <c r="MZ71" s="47"/>
      <c r="NA71" s="47"/>
      <c r="NB71" s="47"/>
      <c r="NC71" s="47"/>
      <c r="ND71" s="47"/>
      <c r="NE71" s="47"/>
      <c r="NF71" s="47"/>
      <c r="NG71" s="47"/>
      <c r="NH71" s="47"/>
      <c r="NI71" s="47"/>
      <c r="NJ71" s="44"/>
      <c r="NK71" s="44"/>
      <c r="NL71" s="44"/>
      <c r="NM71" s="44"/>
      <c r="NN71" s="44"/>
      <c r="NO71" s="47"/>
      <c r="NP71" s="47"/>
      <c r="NQ71" s="47"/>
      <c r="NR71" s="47"/>
      <c r="NS71" s="47"/>
      <c r="NT71" s="47"/>
      <c r="NU71" s="47"/>
      <c r="NV71" s="47"/>
      <c r="NW71" s="47"/>
      <c r="NX71" s="47"/>
      <c r="NY71" s="47"/>
      <c r="NZ71" s="47"/>
      <c r="OA71" s="47"/>
      <c r="OB71" s="47"/>
      <c r="OC71" s="47"/>
      <c r="OD71" s="47"/>
      <c r="OE71" s="47"/>
      <c r="OF71" s="47"/>
      <c r="OG71" s="47"/>
      <c r="OH71" s="47"/>
      <c r="OI71" s="47"/>
      <c r="OJ71" s="47"/>
      <c r="OK71" s="47"/>
      <c r="OL71" s="47"/>
      <c r="OM71" s="47"/>
      <c r="ON71" s="47"/>
      <c r="OO71" s="47"/>
      <c r="OP71" s="47"/>
      <c r="OQ71" s="47"/>
      <c r="OR71" s="47"/>
      <c r="OS71" s="47"/>
      <c r="OT71" s="47"/>
      <c r="OU71" s="47"/>
      <c r="OV71" s="47"/>
      <c r="OW71" s="47"/>
      <c r="OX71" s="47"/>
      <c r="OY71" s="47"/>
      <c r="OZ71" s="47"/>
      <c r="PA71" s="47"/>
      <c r="PB71" s="47"/>
      <c r="PC71" s="47"/>
      <c r="PD71" s="47"/>
      <c r="PE71" s="47"/>
      <c r="PF71" s="47"/>
      <c r="PG71" s="47"/>
      <c r="PH71" s="47"/>
      <c r="PI71" s="47"/>
      <c r="PJ71" s="47"/>
      <c r="PK71" s="47"/>
      <c r="PL71" s="47"/>
      <c r="PM71" s="47"/>
      <c r="PN71" s="47"/>
      <c r="PO71" s="47"/>
      <c r="PP71" s="47"/>
      <c r="PQ71" s="47"/>
      <c r="PR71" s="47"/>
      <c r="PS71" s="47"/>
      <c r="PT71" s="47"/>
      <c r="PU71" s="47"/>
      <c r="PV71" s="47"/>
      <c r="PW71" s="47"/>
      <c r="PX71" s="47"/>
      <c r="PY71" s="47"/>
      <c r="PZ71" s="47"/>
      <c r="QA71" s="47"/>
      <c r="QB71" s="47"/>
      <c r="QC71" s="47"/>
      <c r="QD71" s="47"/>
      <c r="QE71" s="47"/>
      <c r="QF71" s="47"/>
      <c r="QG71" s="47"/>
      <c r="QH71" s="47"/>
      <c r="QI71" s="47"/>
      <c r="QJ71" s="47"/>
      <c r="QK71" s="47"/>
      <c r="QL71" s="47"/>
      <c r="QM71" s="47"/>
      <c r="QN71" s="47"/>
      <c r="QO71" s="47"/>
      <c r="QP71" s="47"/>
      <c r="QQ71" s="47"/>
      <c r="QR71" s="47"/>
      <c r="QS71" s="47"/>
      <c r="QT71" s="47"/>
      <c r="QU71" s="47"/>
      <c r="QV71" s="47"/>
      <c r="QW71" s="47"/>
      <c r="QX71" s="47"/>
      <c r="QY71" s="47"/>
      <c r="QZ71" s="47"/>
      <c r="RA71" s="47"/>
      <c r="RB71" s="47"/>
      <c r="RC71" s="47"/>
      <c r="RD71" s="47"/>
      <c r="RE71" s="47"/>
      <c r="RF71" s="47"/>
      <c r="RG71" s="47"/>
      <c r="RH71" s="47"/>
      <c r="RI71" s="47"/>
      <c r="RJ71" s="47"/>
      <c r="RK71" s="47"/>
      <c r="RL71" s="47"/>
      <c r="RM71" s="47"/>
      <c r="RN71" s="47"/>
      <c r="RO71" s="47"/>
      <c r="RP71" s="47"/>
      <c r="RQ71" s="47"/>
      <c r="RR71" s="47"/>
      <c r="RS71" s="47"/>
      <c r="RT71" s="47"/>
      <c r="RU71" s="47"/>
      <c r="RV71" s="47"/>
      <c r="RW71" s="47"/>
      <c r="RX71" s="47"/>
      <c r="RY71" s="47"/>
      <c r="RZ71" s="47"/>
      <c r="SA71" s="47"/>
      <c r="SB71" s="47"/>
      <c r="SC71" s="47"/>
      <c r="SD71" s="47"/>
      <c r="SE71" s="47"/>
      <c r="SF71" s="47"/>
      <c r="SG71" s="47"/>
      <c r="SH71" s="47"/>
      <c r="SI71" s="47"/>
      <c r="SJ71" s="47"/>
      <c r="SK71" s="47"/>
      <c r="SL71" s="47"/>
      <c r="SM71" s="47"/>
      <c r="SN71" s="47"/>
      <c r="SO71" s="47"/>
      <c r="SP71" s="47"/>
      <c r="SQ71" s="47"/>
      <c r="SR71" s="47"/>
      <c r="SS71" s="47"/>
      <c r="ST71" s="47"/>
      <c r="SU71" s="47"/>
      <c r="SV71" s="47"/>
      <c r="SW71" s="47"/>
      <c r="SX71" s="47"/>
      <c r="SY71" s="47"/>
      <c r="SZ71" s="47"/>
      <c r="TA71" s="47"/>
      <c r="TB71" s="47"/>
      <c r="TC71" s="47"/>
      <c r="TD71" s="47"/>
      <c r="TE71" s="47"/>
      <c r="TF71" s="47"/>
      <c r="TG71" s="47"/>
      <c r="TH71" s="47"/>
      <c r="TI71" s="47"/>
      <c r="TJ71" s="47"/>
      <c r="TK71" s="47"/>
      <c r="TL71" s="47"/>
      <c r="TM71" s="47"/>
      <c r="TN71" s="47"/>
      <c r="TO71" s="47"/>
      <c r="TP71" s="47"/>
      <c r="TQ71" s="47"/>
      <c r="TR71" s="47"/>
      <c r="TS71" s="47"/>
      <c r="TT71" s="47"/>
      <c r="TU71" s="47"/>
      <c r="TV71" s="47"/>
      <c r="TW71" s="47"/>
      <c r="TX71" s="47"/>
      <c r="TY71" s="47"/>
      <c r="TZ71" s="47"/>
      <c r="UA71" s="47"/>
      <c r="UB71" s="47"/>
      <c r="UC71" s="47"/>
      <c r="UD71" s="47"/>
      <c r="UE71" s="47"/>
      <c r="UF71" s="47"/>
      <c r="UG71" s="47"/>
      <c r="UH71" s="47"/>
      <c r="UI71" s="47"/>
      <c r="UJ71" s="47"/>
      <c r="UK71" s="47"/>
      <c r="UL71" s="47"/>
      <c r="UM71" s="47"/>
      <c r="UN71" s="47"/>
      <c r="UO71" s="47"/>
      <c r="UP71" s="47"/>
      <c r="UQ71" s="47"/>
      <c r="UR71" s="47"/>
      <c r="US71" s="47"/>
      <c r="UT71" s="47"/>
      <c r="UU71" s="47"/>
      <c r="UV71" s="47"/>
      <c r="UW71" s="47"/>
      <c r="UX71" s="47"/>
      <c r="UY71" s="47"/>
      <c r="UZ71" s="47"/>
      <c r="VA71" s="47"/>
      <c r="VB71" s="47"/>
      <c r="VC71" s="47"/>
      <c r="VD71" s="47"/>
      <c r="VE71" s="47"/>
      <c r="VF71" s="47"/>
      <c r="VG71" s="47"/>
      <c r="VH71" s="47"/>
      <c r="VI71" s="47"/>
      <c r="VJ71" s="47"/>
      <c r="VK71" s="47"/>
      <c r="VL71" s="47"/>
      <c r="VM71" s="47"/>
      <c r="VN71" s="47"/>
      <c r="VO71" s="47"/>
      <c r="VP71" s="47"/>
      <c r="VQ71" s="47"/>
      <c r="VR71" s="47"/>
      <c r="VS71" s="47"/>
      <c r="VT71" s="47"/>
      <c r="VU71" s="47"/>
      <c r="VV71" s="47"/>
      <c r="VW71" s="47"/>
      <c r="VX71" s="47"/>
      <c r="VY71" s="47"/>
      <c r="VZ71" s="47"/>
      <c r="WA71" s="47"/>
      <c r="WB71" s="47"/>
      <c r="WC71" s="47"/>
      <c r="WD71" s="47"/>
      <c r="WE71" s="47"/>
      <c r="WF71" s="47"/>
      <c r="WG71" s="47"/>
      <c r="WH71" s="47"/>
      <c r="WI71" s="47"/>
      <c r="WJ71" s="47"/>
      <c r="WK71" s="47"/>
      <c r="WL71" s="47"/>
      <c r="WM71" s="47"/>
      <c r="WN71" s="47"/>
      <c r="WO71" s="47"/>
      <c r="WP71" s="47"/>
      <c r="WQ71" s="47"/>
      <c r="WR71" s="47"/>
      <c r="WS71" s="47"/>
      <c r="WT71" s="47"/>
      <c r="WU71" s="47"/>
      <c r="WV71" s="47"/>
      <c r="WW71" s="47"/>
      <c r="WX71" s="47"/>
      <c r="WY71" s="47"/>
      <c r="WZ71" s="47"/>
      <c r="XA71" s="47"/>
      <c r="XB71" s="47"/>
      <c r="XC71" s="47"/>
      <c r="XD71" s="47"/>
      <c r="XE71" s="47"/>
      <c r="XF71" s="47"/>
      <c r="XG71" s="47"/>
      <c r="XH71" s="47"/>
      <c r="XI71" s="47"/>
      <c r="XJ71" s="47"/>
      <c r="XK71" s="47"/>
      <c r="XL71" s="47"/>
      <c r="XM71" s="47"/>
      <c r="XN71" s="47"/>
      <c r="XO71" s="47"/>
      <c r="XP71" s="47"/>
      <c r="XQ71" s="47"/>
      <c r="XR71" s="47"/>
      <c r="XS71" s="47"/>
      <c r="XT71" s="47"/>
      <c r="XU71" s="47"/>
      <c r="XV71" s="47"/>
      <c r="XW71" s="47"/>
      <c r="XX71" s="47"/>
      <c r="XY71" s="47"/>
      <c r="XZ71" s="47"/>
      <c r="YA71" s="44"/>
      <c r="YB71" s="44"/>
      <c r="YC71" s="44"/>
      <c r="YD71" s="44"/>
      <c r="YE71" s="44"/>
      <c r="YF71" s="47"/>
      <c r="YG71" s="47"/>
      <c r="YH71" s="47"/>
      <c r="YI71" s="47"/>
      <c r="YJ71" s="47"/>
      <c r="YK71" s="47"/>
      <c r="YL71" s="47"/>
      <c r="YM71" s="47"/>
      <c r="YN71" s="47"/>
      <c r="YO71" s="47"/>
      <c r="YP71" s="47"/>
      <c r="YQ71" s="47"/>
      <c r="YR71" s="47"/>
      <c r="YS71" s="47"/>
      <c r="YT71" s="47"/>
      <c r="YU71" s="47"/>
      <c r="YV71" s="47"/>
      <c r="YW71" s="47"/>
      <c r="YX71" s="47"/>
      <c r="YY71" s="47"/>
      <c r="YZ71" s="47"/>
      <c r="ZA71" s="47"/>
      <c r="ZB71" s="47"/>
      <c r="ZC71" s="47"/>
      <c r="ZD71" s="47"/>
      <c r="ZE71" s="47"/>
      <c r="ZF71" s="47"/>
      <c r="ZG71" s="47"/>
      <c r="ZH71" s="47"/>
      <c r="ZI71" s="47"/>
      <c r="ZJ71" s="47"/>
      <c r="ZK71" s="47"/>
      <c r="ZL71" s="47"/>
      <c r="ZM71" s="47"/>
      <c r="ZN71" s="47"/>
      <c r="ZO71" s="47"/>
      <c r="ZP71" s="47"/>
      <c r="ZQ71" s="47"/>
      <c r="ZR71" s="47"/>
      <c r="ZS71" s="47"/>
      <c r="ZT71" s="47"/>
      <c r="ZU71" s="47"/>
      <c r="ZV71" s="47"/>
      <c r="ZW71" s="44"/>
      <c r="ZX71" s="44"/>
      <c r="ZY71" s="44"/>
      <c r="ZZ71" s="44"/>
      <c r="AAA71" s="44"/>
      <c r="AAB71" s="44"/>
      <c r="AAC71" s="44"/>
      <c r="AAD71" s="44"/>
      <c r="AAE71" s="44"/>
      <c r="AAF71" s="44"/>
      <c r="AAG71" s="47"/>
      <c r="AAH71" s="47"/>
      <c r="AAI71" s="47"/>
      <c r="AAJ71" s="47"/>
      <c r="AAK71" s="47"/>
      <c r="AAL71" s="47"/>
      <c r="AAM71" s="47"/>
      <c r="AAN71" s="47"/>
      <c r="AAO71" s="47"/>
      <c r="AAP71" s="47"/>
      <c r="AAQ71" s="47"/>
      <c r="AAR71" s="47"/>
      <c r="AAS71" s="47"/>
      <c r="AAT71" s="47"/>
      <c r="AAU71" s="47"/>
      <c r="AAV71" s="47"/>
      <c r="AAW71" s="47"/>
      <c r="AAX71" s="47"/>
      <c r="AAY71" s="47"/>
      <c r="AAZ71" s="47"/>
      <c r="ABA71" s="47"/>
      <c r="ABB71" s="47"/>
      <c r="ABC71" s="47"/>
      <c r="ABD71" s="47"/>
      <c r="ABE71" s="47"/>
      <c r="ABF71" s="47"/>
      <c r="ABG71" s="47"/>
      <c r="ABH71" s="47"/>
      <c r="ABI71" s="47"/>
      <c r="ABJ71" s="47"/>
      <c r="ABK71" s="47"/>
      <c r="ABL71" s="47"/>
      <c r="ABM71" s="47"/>
      <c r="ABN71" s="47"/>
      <c r="ABO71" s="47"/>
      <c r="ABP71" s="47"/>
      <c r="ABQ71" s="47"/>
      <c r="ABR71" s="47"/>
      <c r="ABS71" s="47"/>
      <c r="ABT71" s="47"/>
      <c r="ABU71" s="47"/>
      <c r="ABV71" s="47"/>
      <c r="ABW71" s="47"/>
      <c r="ABX71" s="47"/>
      <c r="ABY71" s="47"/>
      <c r="ABZ71" s="47"/>
      <c r="ACA71" s="47"/>
      <c r="ACB71" s="47"/>
      <c r="ACC71" s="47"/>
      <c r="ACD71" s="47"/>
      <c r="ACE71" s="47"/>
      <c r="ACF71" s="47"/>
      <c r="ACG71" s="47"/>
      <c r="ACH71" s="48"/>
    </row>
    <row r="72" spans="1:762" x14ac:dyDescent="0.25">
      <c r="A72" s="42" t="s">
        <v>123</v>
      </c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3"/>
      <c r="BO72" s="43"/>
      <c r="BP72" s="43"/>
      <c r="BQ72" s="43"/>
      <c r="BR72" s="43"/>
      <c r="BS72" s="43"/>
      <c r="BT72" s="43"/>
      <c r="BU72" s="43"/>
      <c r="BV72" s="43"/>
      <c r="BW72" s="43"/>
      <c r="BX72" s="43"/>
      <c r="BY72" s="43"/>
      <c r="BZ72" s="43"/>
      <c r="CA72" s="43"/>
      <c r="CB72" s="43"/>
      <c r="CC72" s="43"/>
      <c r="CD72" s="43"/>
      <c r="CE72" s="43"/>
      <c r="CF72" s="43"/>
      <c r="CG72" s="43"/>
      <c r="CH72" s="43"/>
      <c r="CI72" s="43"/>
      <c r="CJ72" s="43"/>
      <c r="CK72" s="43"/>
      <c r="CL72" s="43"/>
      <c r="CM72" s="43"/>
      <c r="CN72" s="43"/>
      <c r="CO72" s="43"/>
      <c r="CP72" s="43"/>
      <c r="CQ72" s="43"/>
      <c r="CR72" s="43"/>
      <c r="CS72" s="43"/>
      <c r="CT72" s="43"/>
      <c r="CU72" s="43"/>
      <c r="CV72" s="43"/>
      <c r="CW72" s="43"/>
      <c r="CX72" s="43"/>
      <c r="CY72" s="43"/>
      <c r="CZ72" s="43"/>
      <c r="DA72" s="43"/>
      <c r="DB72" s="43"/>
      <c r="DC72" s="43"/>
      <c r="DD72" s="43"/>
      <c r="DE72" s="43"/>
      <c r="DF72" s="43"/>
      <c r="DG72" s="43"/>
      <c r="DH72" s="43"/>
      <c r="DI72" s="43"/>
      <c r="DJ72" s="43"/>
      <c r="DK72" s="43"/>
      <c r="DL72" s="43"/>
      <c r="DM72" s="43"/>
      <c r="DN72" s="43"/>
      <c r="DO72" s="43"/>
      <c r="DP72" s="43"/>
      <c r="DQ72" s="43"/>
      <c r="DR72" s="43"/>
      <c r="DS72" s="43"/>
      <c r="DT72" s="43"/>
      <c r="DU72" s="43"/>
      <c r="DV72" s="43"/>
      <c r="DW72" s="43"/>
      <c r="DX72" s="43"/>
      <c r="DY72" s="43"/>
      <c r="DZ72" s="43"/>
      <c r="EA72" s="43"/>
      <c r="EB72" s="43"/>
      <c r="EC72" s="43"/>
      <c r="ED72" s="43"/>
      <c r="EE72" s="43"/>
      <c r="EF72" s="43"/>
      <c r="EG72" s="43"/>
      <c r="EH72" s="43"/>
      <c r="EI72" s="43"/>
      <c r="EJ72" s="43"/>
      <c r="EK72" s="43"/>
      <c r="EL72" s="43"/>
      <c r="EM72" s="43"/>
      <c r="EN72" s="43"/>
      <c r="EO72" s="43"/>
      <c r="EP72" s="43"/>
      <c r="EQ72" s="43"/>
      <c r="ER72" s="43"/>
      <c r="ES72" s="43"/>
      <c r="ET72" s="43"/>
      <c r="EU72" s="43"/>
      <c r="EV72" s="43"/>
      <c r="EW72" s="43"/>
      <c r="EX72" s="43"/>
      <c r="EY72" s="43"/>
      <c r="EZ72" s="43"/>
      <c r="FA72" s="43"/>
      <c r="FB72" s="43"/>
      <c r="FC72" s="43"/>
      <c r="FD72" s="43"/>
      <c r="FE72" s="43"/>
      <c r="FF72" s="43"/>
      <c r="FG72" s="43"/>
      <c r="FH72" s="43"/>
      <c r="FI72" s="43"/>
      <c r="FJ72" s="43"/>
      <c r="FK72" s="43"/>
      <c r="FL72" s="43"/>
      <c r="FM72" s="43"/>
      <c r="FN72" s="43"/>
      <c r="FO72" s="43"/>
      <c r="FP72" s="43"/>
      <c r="FQ72" s="43"/>
      <c r="FR72" s="43"/>
      <c r="FS72" s="43"/>
      <c r="FT72" s="43"/>
      <c r="FU72" s="43"/>
      <c r="FV72" s="43"/>
      <c r="FW72" s="43"/>
      <c r="FX72" s="43"/>
      <c r="FY72" s="43"/>
      <c r="FZ72" s="43"/>
      <c r="GA72" s="43"/>
      <c r="GB72" s="43"/>
      <c r="GC72" s="43"/>
      <c r="GD72" s="43"/>
      <c r="GE72" s="43"/>
      <c r="GF72" s="43"/>
      <c r="GG72" s="43"/>
      <c r="GH72" s="43"/>
      <c r="GI72" s="43"/>
      <c r="GJ72" s="43"/>
      <c r="GK72" s="43"/>
      <c r="GL72" s="43"/>
      <c r="GM72" s="43"/>
      <c r="GN72" s="43"/>
      <c r="GO72" s="43"/>
      <c r="GP72" s="43"/>
      <c r="GQ72" s="43"/>
      <c r="GR72" s="43"/>
      <c r="GS72" s="43"/>
      <c r="GT72" s="43"/>
      <c r="GU72" s="43"/>
      <c r="GV72" s="43"/>
      <c r="GW72" s="43"/>
      <c r="GX72" s="43"/>
      <c r="GY72" s="43"/>
      <c r="GZ72" s="43"/>
      <c r="HA72" s="43"/>
      <c r="HB72" s="43"/>
      <c r="HC72" s="43"/>
      <c r="HD72" s="43"/>
      <c r="HE72" s="43"/>
      <c r="HF72" s="43"/>
      <c r="HG72" s="43"/>
      <c r="HH72" s="43"/>
      <c r="HI72" s="43"/>
      <c r="HJ72" s="43"/>
      <c r="HK72" s="43"/>
      <c r="HL72" s="43"/>
      <c r="HM72" s="43"/>
      <c r="HN72" s="43"/>
      <c r="HO72" s="43"/>
      <c r="HP72" s="43"/>
      <c r="HQ72" s="43"/>
      <c r="HR72" s="43"/>
      <c r="HS72" s="43"/>
      <c r="HT72" s="43"/>
      <c r="HU72" s="43"/>
      <c r="HV72" s="43"/>
      <c r="HW72" s="43"/>
      <c r="HX72" s="43"/>
      <c r="HY72" s="43"/>
      <c r="HZ72" s="43"/>
      <c r="IA72" s="43"/>
      <c r="IB72" s="43"/>
      <c r="IC72" s="43"/>
      <c r="ID72" s="43"/>
      <c r="IE72" s="43"/>
      <c r="IF72" s="43"/>
      <c r="IG72" s="43"/>
      <c r="IH72" s="43"/>
      <c r="II72" s="43"/>
      <c r="IJ72" s="43"/>
      <c r="IK72" s="43"/>
      <c r="IL72" s="43"/>
      <c r="IM72" s="43"/>
      <c r="IN72" s="43"/>
      <c r="IO72" s="43"/>
      <c r="IP72" s="43"/>
      <c r="IQ72" s="43"/>
      <c r="IR72" s="43"/>
      <c r="IS72" s="43"/>
      <c r="IT72" s="43"/>
      <c r="IU72" s="43"/>
      <c r="IV72" s="43"/>
      <c r="IW72" s="43"/>
      <c r="IX72" s="43"/>
      <c r="IY72" s="43"/>
      <c r="IZ72" s="43"/>
      <c r="JA72" s="43"/>
      <c r="JB72" s="43"/>
      <c r="JC72" s="43"/>
      <c r="JD72" s="43"/>
      <c r="JE72" s="43"/>
      <c r="JF72" s="43"/>
      <c r="JG72" s="43"/>
      <c r="JH72" s="43"/>
      <c r="JI72" s="43"/>
      <c r="JJ72" s="43"/>
      <c r="JK72" s="43"/>
      <c r="JL72" s="43"/>
      <c r="JM72" s="43"/>
      <c r="JN72" s="43"/>
      <c r="JO72" s="43"/>
      <c r="JP72" s="43"/>
      <c r="JQ72" s="43"/>
      <c r="JR72" s="43"/>
      <c r="JS72" s="43"/>
      <c r="JT72" s="43"/>
      <c r="JU72" s="43"/>
      <c r="JV72" s="43"/>
      <c r="JW72" s="43"/>
      <c r="JX72" s="43"/>
      <c r="JY72" s="43"/>
      <c r="JZ72" s="43"/>
      <c r="KA72" s="43"/>
      <c r="KB72" s="43"/>
      <c r="KC72" s="43"/>
      <c r="KD72" s="43"/>
      <c r="KE72" s="43"/>
      <c r="KF72" s="43"/>
      <c r="KG72" s="43"/>
      <c r="KH72" s="43"/>
      <c r="KI72" s="43"/>
      <c r="KJ72" s="43"/>
      <c r="KK72" s="43"/>
      <c r="KL72" s="43"/>
      <c r="KM72" s="43"/>
      <c r="KN72" s="43"/>
      <c r="KO72" s="43"/>
      <c r="KP72" s="43"/>
      <c r="KQ72" s="43"/>
      <c r="KR72" s="43"/>
      <c r="KS72" s="43"/>
      <c r="KT72" s="43"/>
      <c r="KU72" s="43"/>
      <c r="KV72" s="43"/>
      <c r="KW72" s="43"/>
      <c r="KX72" s="43"/>
      <c r="KY72" s="43"/>
      <c r="KZ72" s="43"/>
      <c r="LA72" s="43"/>
      <c r="LB72" s="43"/>
      <c r="LC72" s="43"/>
      <c r="LD72" s="43"/>
      <c r="LE72" s="43"/>
      <c r="LF72" s="43"/>
      <c r="LG72" s="43"/>
      <c r="LH72" s="43"/>
      <c r="LI72" s="43"/>
      <c r="LJ72" s="43"/>
      <c r="LK72" s="43"/>
      <c r="LL72" s="43"/>
      <c r="LM72" s="43"/>
      <c r="LN72" s="43"/>
      <c r="LO72" s="43"/>
      <c r="LP72" s="43"/>
      <c r="LQ72" s="43"/>
      <c r="LR72" s="43"/>
      <c r="LS72" s="43"/>
      <c r="LT72" s="43"/>
      <c r="LU72" s="43"/>
      <c r="LV72" s="43"/>
      <c r="LW72" s="43"/>
      <c r="LX72" s="43"/>
      <c r="LY72" s="43"/>
      <c r="LZ72" s="43"/>
      <c r="MA72" s="43"/>
      <c r="MB72" s="43"/>
      <c r="MC72" s="43"/>
      <c r="MD72" s="43"/>
      <c r="ME72" s="43"/>
      <c r="MF72" s="43"/>
      <c r="MG72" s="43"/>
      <c r="MH72" s="43"/>
      <c r="MI72" s="43"/>
      <c r="MJ72" s="43"/>
      <c r="MK72" s="43"/>
      <c r="ML72" s="43"/>
      <c r="MM72" s="43"/>
      <c r="MN72" s="43"/>
      <c r="MO72" s="43"/>
      <c r="MP72" s="43"/>
      <c r="MQ72" s="43"/>
      <c r="MR72" s="43"/>
      <c r="MS72" s="43"/>
      <c r="MT72" s="43"/>
      <c r="MU72" s="43"/>
      <c r="MV72" s="43"/>
      <c r="MW72" s="43"/>
      <c r="MX72" s="43"/>
      <c r="MY72" s="43"/>
      <c r="MZ72" s="43"/>
      <c r="NA72" s="43"/>
      <c r="NB72" s="43"/>
      <c r="NC72" s="43"/>
      <c r="ND72" s="43"/>
      <c r="NE72" s="43"/>
      <c r="NF72" s="43"/>
      <c r="NG72" s="43"/>
      <c r="NH72" s="43"/>
      <c r="NI72" s="43"/>
      <c r="NJ72" s="44"/>
      <c r="NK72" s="44"/>
      <c r="NL72" s="44"/>
      <c r="NM72" s="44"/>
      <c r="NN72" s="44"/>
      <c r="NO72" s="43"/>
      <c r="NP72" s="43"/>
      <c r="NQ72" s="43"/>
      <c r="NR72" s="43"/>
      <c r="NS72" s="43"/>
      <c r="NT72" s="43"/>
      <c r="NU72" s="43"/>
      <c r="NV72" s="43"/>
      <c r="NW72" s="43"/>
      <c r="NX72" s="43"/>
      <c r="NY72" s="43"/>
      <c r="NZ72" s="43"/>
      <c r="OA72" s="43"/>
      <c r="OB72" s="43"/>
      <c r="OC72" s="43"/>
      <c r="OD72" s="43"/>
      <c r="OE72" s="43"/>
      <c r="OF72" s="43"/>
      <c r="OG72" s="43"/>
      <c r="OH72" s="43"/>
      <c r="OI72" s="43"/>
      <c r="OJ72" s="43"/>
      <c r="OK72" s="43"/>
      <c r="OL72" s="43"/>
      <c r="OM72" s="43"/>
      <c r="ON72" s="43"/>
      <c r="OO72" s="43"/>
      <c r="OP72" s="43"/>
      <c r="OQ72" s="43"/>
      <c r="OR72" s="43"/>
      <c r="OS72" s="43"/>
      <c r="OT72" s="43"/>
      <c r="OU72" s="43"/>
      <c r="OV72" s="43"/>
      <c r="OW72" s="43"/>
      <c r="OX72" s="43"/>
      <c r="OY72" s="43"/>
      <c r="OZ72" s="43"/>
      <c r="PA72" s="43"/>
      <c r="PB72" s="43"/>
      <c r="PC72" s="43"/>
      <c r="PD72" s="43"/>
      <c r="PE72" s="43"/>
      <c r="PF72" s="43"/>
      <c r="PG72" s="43"/>
      <c r="PH72" s="43"/>
      <c r="PI72" s="43"/>
      <c r="PJ72" s="43"/>
      <c r="PK72" s="43"/>
      <c r="PL72" s="43"/>
      <c r="PM72" s="43"/>
      <c r="PN72" s="43"/>
      <c r="PO72" s="43"/>
      <c r="PP72" s="43"/>
      <c r="PQ72" s="43"/>
      <c r="PR72" s="43"/>
      <c r="PS72" s="43"/>
      <c r="PT72" s="43"/>
      <c r="PU72" s="43"/>
      <c r="PV72" s="43"/>
      <c r="PW72" s="43"/>
      <c r="PX72" s="43"/>
      <c r="PY72" s="43"/>
      <c r="PZ72" s="43"/>
      <c r="QA72" s="43"/>
      <c r="QB72" s="43"/>
      <c r="QC72" s="43"/>
      <c r="QD72" s="43"/>
      <c r="QE72" s="43"/>
      <c r="QF72" s="43"/>
      <c r="QG72" s="43"/>
      <c r="QH72" s="43"/>
      <c r="QI72" s="43"/>
      <c r="QJ72" s="43"/>
      <c r="QK72" s="43"/>
      <c r="QL72" s="43"/>
      <c r="QM72" s="43"/>
      <c r="QN72" s="43"/>
      <c r="QO72" s="43"/>
      <c r="QP72" s="43"/>
      <c r="QQ72" s="43"/>
      <c r="QR72" s="43"/>
      <c r="QS72" s="43"/>
      <c r="QT72" s="43"/>
      <c r="QU72" s="43"/>
      <c r="QV72" s="43"/>
      <c r="QW72" s="43"/>
      <c r="QX72" s="43"/>
      <c r="QY72" s="43"/>
      <c r="QZ72" s="43"/>
      <c r="RA72" s="43"/>
      <c r="RB72" s="43"/>
      <c r="RC72" s="43"/>
      <c r="RD72" s="43"/>
      <c r="RE72" s="43"/>
      <c r="RF72" s="43"/>
      <c r="RG72" s="43"/>
      <c r="RH72" s="43"/>
      <c r="RI72" s="43"/>
      <c r="RJ72" s="43"/>
      <c r="RK72" s="43"/>
      <c r="RL72" s="43"/>
      <c r="RM72" s="43"/>
      <c r="RN72" s="43"/>
      <c r="RO72" s="43"/>
      <c r="RP72" s="43"/>
      <c r="RQ72" s="43"/>
      <c r="RR72" s="43"/>
      <c r="RS72" s="43"/>
      <c r="RT72" s="43"/>
      <c r="RU72" s="43"/>
      <c r="RV72" s="43"/>
      <c r="RW72" s="43"/>
      <c r="RX72" s="43"/>
      <c r="RY72" s="43"/>
      <c r="RZ72" s="43"/>
      <c r="SA72" s="43"/>
      <c r="SB72" s="43"/>
      <c r="SC72" s="43"/>
      <c r="SD72" s="43"/>
      <c r="SE72" s="43"/>
      <c r="SF72" s="43"/>
      <c r="SG72" s="43"/>
      <c r="SH72" s="43"/>
      <c r="SI72" s="43"/>
      <c r="SJ72" s="43"/>
      <c r="SK72" s="43"/>
      <c r="SL72" s="43"/>
      <c r="SM72" s="43"/>
      <c r="SN72" s="43"/>
      <c r="SO72" s="43"/>
      <c r="SP72" s="43"/>
      <c r="SQ72" s="43"/>
      <c r="SR72" s="43"/>
      <c r="SS72" s="43"/>
      <c r="ST72" s="43"/>
      <c r="SU72" s="43"/>
      <c r="SV72" s="43"/>
      <c r="SW72" s="43"/>
      <c r="SX72" s="43"/>
      <c r="SY72" s="43"/>
      <c r="SZ72" s="43"/>
      <c r="TA72" s="43"/>
      <c r="TB72" s="43"/>
      <c r="TC72" s="43"/>
      <c r="TD72" s="43"/>
      <c r="TE72" s="43"/>
      <c r="TF72" s="43"/>
      <c r="TG72" s="43"/>
      <c r="TH72" s="43"/>
      <c r="TI72" s="43"/>
      <c r="TJ72" s="43"/>
      <c r="TK72" s="43"/>
      <c r="TL72" s="43"/>
      <c r="TM72" s="43"/>
      <c r="TN72" s="43"/>
      <c r="TO72" s="43"/>
      <c r="TP72" s="43"/>
      <c r="TQ72" s="43"/>
      <c r="TR72" s="43"/>
      <c r="TS72" s="43"/>
      <c r="TT72" s="43"/>
      <c r="TU72" s="43"/>
      <c r="TV72" s="43"/>
      <c r="TW72" s="43"/>
      <c r="TX72" s="43"/>
      <c r="TY72" s="43"/>
      <c r="TZ72" s="43"/>
      <c r="UA72" s="43"/>
      <c r="UB72" s="43"/>
      <c r="UC72" s="43"/>
      <c r="UD72" s="43"/>
      <c r="UE72" s="43"/>
      <c r="UF72" s="43"/>
      <c r="UG72" s="43"/>
      <c r="UH72" s="43"/>
      <c r="UI72" s="43"/>
      <c r="UJ72" s="43"/>
      <c r="UK72" s="43"/>
      <c r="UL72" s="43"/>
      <c r="UM72" s="43"/>
      <c r="UN72" s="43"/>
      <c r="UO72" s="43"/>
      <c r="UP72" s="43"/>
      <c r="UQ72" s="43"/>
      <c r="UR72" s="43"/>
      <c r="US72" s="43"/>
      <c r="UT72" s="43"/>
      <c r="UU72" s="43"/>
      <c r="UV72" s="43"/>
      <c r="UW72" s="43"/>
      <c r="UX72" s="43"/>
      <c r="UY72" s="43"/>
      <c r="UZ72" s="43"/>
      <c r="VA72" s="43"/>
      <c r="VB72" s="43"/>
      <c r="VC72" s="43"/>
      <c r="VD72" s="43"/>
      <c r="VE72" s="43"/>
      <c r="VF72" s="43"/>
      <c r="VG72" s="43"/>
      <c r="VH72" s="43"/>
      <c r="VI72" s="43"/>
      <c r="VJ72" s="43"/>
      <c r="VK72" s="43"/>
      <c r="VL72" s="43"/>
      <c r="VM72" s="43"/>
      <c r="VN72" s="43"/>
      <c r="VO72" s="43"/>
      <c r="VP72" s="43"/>
      <c r="VQ72" s="43"/>
      <c r="VR72" s="43"/>
      <c r="VS72" s="43"/>
      <c r="VT72" s="43"/>
      <c r="VU72" s="43"/>
      <c r="VV72" s="43"/>
      <c r="VW72" s="43"/>
      <c r="VX72" s="43"/>
      <c r="VY72" s="43"/>
      <c r="VZ72" s="43"/>
      <c r="WA72" s="43"/>
      <c r="WB72" s="43"/>
      <c r="WC72" s="43"/>
      <c r="WD72" s="43"/>
      <c r="WE72" s="43"/>
      <c r="WF72" s="43"/>
      <c r="WG72" s="43"/>
      <c r="WH72" s="43"/>
      <c r="WI72" s="43"/>
      <c r="WJ72" s="43"/>
      <c r="WK72" s="43"/>
      <c r="WL72" s="43"/>
      <c r="WM72" s="43"/>
      <c r="WN72" s="43"/>
      <c r="WO72" s="43"/>
      <c r="WP72" s="43"/>
      <c r="WQ72" s="43"/>
      <c r="WR72" s="43"/>
      <c r="WS72" s="43"/>
      <c r="WT72" s="43"/>
      <c r="WU72" s="43"/>
      <c r="WV72" s="43"/>
      <c r="WW72" s="43"/>
      <c r="WX72" s="43"/>
      <c r="WY72" s="43"/>
      <c r="WZ72" s="43"/>
      <c r="XA72" s="43"/>
      <c r="XB72" s="43"/>
      <c r="XC72" s="43"/>
      <c r="XD72" s="43"/>
      <c r="XE72" s="43"/>
      <c r="XF72" s="43"/>
      <c r="XG72" s="43"/>
      <c r="XH72" s="43"/>
      <c r="XI72" s="43"/>
      <c r="XJ72" s="43"/>
      <c r="XK72" s="43"/>
      <c r="XL72" s="43"/>
      <c r="XM72" s="43"/>
      <c r="XN72" s="43"/>
      <c r="XO72" s="43"/>
      <c r="XP72" s="43"/>
      <c r="XQ72" s="43"/>
      <c r="XR72" s="43"/>
      <c r="XS72" s="43"/>
      <c r="XT72" s="43"/>
      <c r="XU72" s="43"/>
      <c r="XV72" s="43"/>
      <c r="XW72" s="43"/>
      <c r="XX72" s="43"/>
      <c r="XY72" s="43"/>
      <c r="XZ72" s="43"/>
      <c r="YA72" s="44"/>
      <c r="YB72" s="44"/>
      <c r="YC72" s="44"/>
      <c r="YD72" s="44"/>
      <c r="YE72" s="44"/>
      <c r="YF72" s="43"/>
      <c r="YG72" s="43"/>
      <c r="YH72" s="43"/>
      <c r="YI72" s="43"/>
      <c r="YJ72" s="43"/>
      <c r="YK72" s="43"/>
      <c r="YL72" s="43"/>
      <c r="YM72" s="43"/>
      <c r="YN72" s="43"/>
      <c r="YO72" s="43"/>
      <c r="YP72" s="43"/>
      <c r="YQ72" s="43"/>
      <c r="YR72" s="43"/>
      <c r="YS72" s="43"/>
      <c r="YT72" s="43"/>
      <c r="YU72" s="43"/>
      <c r="YV72" s="43"/>
      <c r="YW72" s="43"/>
      <c r="YX72" s="43"/>
      <c r="YY72" s="43"/>
      <c r="YZ72" s="43"/>
      <c r="ZA72" s="43"/>
      <c r="ZB72" s="43"/>
      <c r="ZC72" s="43"/>
      <c r="ZD72" s="43"/>
      <c r="ZE72" s="43"/>
      <c r="ZF72" s="43"/>
      <c r="ZG72" s="43"/>
      <c r="ZH72" s="43"/>
      <c r="ZI72" s="43"/>
      <c r="ZJ72" s="43"/>
      <c r="ZK72" s="43"/>
      <c r="ZL72" s="43"/>
      <c r="ZM72" s="43"/>
      <c r="ZN72" s="43"/>
      <c r="ZO72" s="43"/>
      <c r="ZP72" s="43"/>
      <c r="ZQ72" s="43"/>
      <c r="ZR72" s="43"/>
      <c r="ZS72" s="43"/>
      <c r="ZT72" s="43"/>
      <c r="ZU72" s="43"/>
      <c r="ZV72" s="43"/>
      <c r="ZW72" s="44"/>
      <c r="ZX72" s="44"/>
      <c r="ZY72" s="44"/>
      <c r="ZZ72" s="44"/>
      <c r="AAA72" s="44"/>
      <c r="AAB72" s="44"/>
      <c r="AAC72" s="44"/>
      <c r="AAD72" s="44"/>
      <c r="AAE72" s="44"/>
      <c r="AAF72" s="44"/>
      <c r="AAG72" s="43"/>
      <c r="AAH72" s="43"/>
      <c r="AAI72" s="43"/>
      <c r="AAJ72" s="43"/>
      <c r="AAK72" s="43"/>
      <c r="AAL72" s="43"/>
      <c r="AAM72" s="43"/>
      <c r="AAN72" s="43"/>
      <c r="AAO72" s="43"/>
      <c r="AAP72" s="43"/>
      <c r="AAQ72" s="43"/>
      <c r="AAR72" s="43"/>
      <c r="AAS72" s="43"/>
      <c r="AAT72" s="43"/>
      <c r="AAU72" s="43"/>
      <c r="AAV72" s="43"/>
      <c r="AAW72" s="43"/>
      <c r="AAX72" s="43"/>
      <c r="AAY72" s="43"/>
      <c r="AAZ72" s="43"/>
      <c r="ABA72" s="43"/>
      <c r="ABB72" s="43"/>
      <c r="ABC72" s="43"/>
      <c r="ABD72" s="43"/>
      <c r="ABE72" s="43"/>
      <c r="ABF72" s="43"/>
      <c r="ABG72" s="43"/>
      <c r="ABH72" s="43"/>
      <c r="ABI72" s="43"/>
      <c r="ABJ72" s="43"/>
      <c r="ABK72" s="43"/>
      <c r="ABL72" s="43"/>
      <c r="ABM72" s="43"/>
      <c r="ABN72" s="43"/>
      <c r="ABO72" s="43"/>
      <c r="ABP72" s="43"/>
      <c r="ABQ72" s="43"/>
      <c r="ABR72" s="43"/>
      <c r="ABS72" s="43"/>
      <c r="ABT72" s="43"/>
      <c r="ABU72" s="43"/>
      <c r="ABV72" s="43"/>
      <c r="ABW72" s="43"/>
      <c r="ABX72" s="43"/>
      <c r="ABY72" s="43"/>
      <c r="ABZ72" s="43"/>
      <c r="ACA72" s="43"/>
      <c r="ACB72" s="43"/>
      <c r="ACC72" s="43"/>
      <c r="ACD72" s="43"/>
      <c r="ACE72" s="43"/>
      <c r="ACF72" s="43"/>
      <c r="ACG72" s="43"/>
      <c r="ACH72" s="45"/>
    </row>
    <row r="73" spans="1:762" x14ac:dyDescent="0.25">
      <c r="A73" s="46" t="s">
        <v>125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>
        <v>102</v>
      </c>
      <c r="AD73" s="47"/>
      <c r="AE73" s="47">
        <v>54</v>
      </c>
      <c r="AF73" s="47"/>
      <c r="AG73" s="47"/>
      <c r="AH73" s="47">
        <v>39</v>
      </c>
      <c r="AI73" s="47"/>
      <c r="AJ73" s="47"/>
      <c r="AK73" s="47">
        <v>86</v>
      </c>
      <c r="AL73" s="47">
        <v>95</v>
      </c>
      <c r="AM73" s="47"/>
      <c r="AN73" s="47">
        <v>105</v>
      </c>
      <c r="AO73" s="47">
        <v>100</v>
      </c>
      <c r="AP73" s="47">
        <v>101</v>
      </c>
      <c r="AQ73" s="47"/>
      <c r="AR73" s="47">
        <v>104</v>
      </c>
      <c r="AS73" s="47">
        <v>102</v>
      </c>
      <c r="AT73" s="47">
        <v>107</v>
      </c>
      <c r="AU73" s="47"/>
      <c r="AV73" s="47"/>
      <c r="AW73" s="47"/>
      <c r="AX73" s="47"/>
      <c r="AY73" s="47"/>
      <c r="AZ73" s="47"/>
      <c r="BA73" s="47"/>
      <c r="BB73" s="47"/>
      <c r="BC73" s="47">
        <v>27.1</v>
      </c>
      <c r="BD73" s="47"/>
      <c r="BE73" s="47">
        <v>30.9</v>
      </c>
      <c r="BF73" s="47"/>
      <c r="BG73" s="47"/>
      <c r="BH73" s="47">
        <v>36.200000000000003</v>
      </c>
      <c r="BI73" s="47"/>
      <c r="BJ73" s="47"/>
      <c r="BK73" s="47"/>
      <c r="BL73" s="47">
        <v>29.7</v>
      </c>
      <c r="BM73" s="47">
        <v>30.5</v>
      </c>
      <c r="BN73" s="47"/>
      <c r="BO73" s="47">
        <v>29.1</v>
      </c>
      <c r="BP73" s="47">
        <v>28.6</v>
      </c>
      <c r="BQ73" s="47"/>
      <c r="BR73" s="47">
        <v>28.3</v>
      </c>
      <c r="BS73" s="47"/>
      <c r="BT73" s="47"/>
      <c r="BU73" s="47">
        <v>27.5</v>
      </c>
      <c r="BV73" s="47">
        <v>27.5</v>
      </c>
      <c r="BW73" s="47"/>
      <c r="BX73" s="47"/>
      <c r="BY73" s="47"/>
      <c r="BZ73" s="47"/>
      <c r="CA73" s="47"/>
      <c r="CB73" s="47"/>
      <c r="CC73" s="47"/>
      <c r="CD73" s="47"/>
      <c r="CE73" s="47"/>
      <c r="CF73" s="47"/>
      <c r="CG73" s="47"/>
      <c r="CH73" s="47"/>
      <c r="CI73" s="47"/>
      <c r="CJ73" s="47"/>
      <c r="CK73" s="47"/>
      <c r="CL73" s="47"/>
      <c r="CM73" s="47"/>
      <c r="CN73" s="47"/>
      <c r="CO73" s="47"/>
      <c r="CP73" s="47"/>
      <c r="CQ73" s="47"/>
      <c r="CR73" s="47"/>
      <c r="CS73" s="47"/>
      <c r="CT73" s="47"/>
      <c r="CU73" s="47"/>
      <c r="CV73" s="47"/>
      <c r="CW73" s="47"/>
      <c r="CX73" s="51">
        <v>0.54</v>
      </c>
      <c r="CY73" s="51">
        <v>0.57999999999999996</v>
      </c>
      <c r="CZ73" s="47"/>
      <c r="DA73" s="47"/>
      <c r="DB73" s="47"/>
      <c r="DC73" s="47"/>
      <c r="DD73" s="47">
        <v>15000</v>
      </c>
      <c r="DE73" s="47"/>
      <c r="DF73" s="47">
        <v>19700</v>
      </c>
      <c r="DG73" s="47"/>
      <c r="DH73" s="47"/>
      <c r="DI73" s="47"/>
      <c r="DJ73" s="47"/>
      <c r="DK73" s="47">
        <v>15200</v>
      </c>
      <c r="DL73" s="47"/>
      <c r="DM73" s="47"/>
      <c r="DN73" s="47"/>
      <c r="DO73" s="47">
        <v>9600</v>
      </c>
      <c r="DP73" s="47"/>
      <c r="DQ73" s="47">
        <v>9300</v>
      </c>
      <c r="DR73" s="47"/>
      <c r="DS73" s="47"/>
      <c r="DT73" s="47"/>
      <c r="DU73" s="47">
        <v>11500</v>
      </c>
      <c r="DV73" s="47">
        <v>13000</v>
      </c>
      <c r="DW73" s="47">
        <v>12000</v>
      </c>
      <c r="DX73" s="47">
        <v>11700</v>
      </c>
      <c r="DY73" s="47">
        <v>12500</v>
      </c>
      <c r="DZ73" s="47">
        <v>11000</v>
      </c>
      <c r="EA73" s="47"/>
      <c r="EB73" s="47"/>
      <c r="EC73" s="47"/>
      <c r="ED73" s="47"/>
      <c r="EE73" s="47"/>
      <c r="EF73" s="47">
        <v>30</v>
      </c>
      <c r="EG73" s="47"/>
      <c r="EH73" s="47"/>
      <c r="EI73" s="47"/>
      <c r="EJ73" s="47">
        <v>167</v>
      </c>
      <c r="EK73" s="47"/>
      <c r="EL73" s="47"/>
      <c r="EM73" s="47"/>
      <c r="EN73" s="47">
        <v>1890</v>
      </c>
      <c r="EO73" s="47"/>
      <c r="EP73" s="47"/>
      <c r="EQ73" s="47"/>
      <c r="ER73" s="47">
        <v>447</v>
      </c>
      <c r="ES73" s="47"/>
      <c r="ET73" s="47">
        <v>156</v>
      </c>
      <c r="EU73" s="47"/>
      <c r="EV73" s="47"/>
      <c r="EW73" s="47"/>
      <c r="EX73" s="47">
        <v>45</v>
      </c>
      <c r="EY73" s="47">
        <v>38</v>
      </c>
      <c r="EZ73" s="47"/>
      <c r="FA73" s="47">
        <v>33</v>
      </c>
      <c r="FB73" s="47">
        <v>39</v>
      </c>
      <c r="FC73" s="47">
        <v>37</v>
      </c>
      <c r="FD73" s="47">
        <v>37</v>
      </c>
      <c r="FE73" s="47">
        <v>40</v>
      </c>
      <c r="FF73" s="47"/>
      <c r="FG73" s="47"/>
      <c r="FH73" s="47"/>
      <c r="FI73" s="47"/>
      <c r="FJ73" s="47"/>
      <c r="FK73" s="47"/>
      <c r="FL73" s="47"/>
      <c r="FM73" s="47"/>
      <c r="FN73" s="47"/>
      <c r="FO73" s="47"/>
      <c r="FP73" s="47"/>
      <c r="FQ73" s="47"/>
      <c r="FR73" s="47"/>
      <c r="FS73" s="47"/>
      <c r="FT73" s="47"/>
      <c r="FU73" s="47"/>
      <c r="FV73" s="47"/>
      <c r="FW73" s="47"/>
      <c r="FX73" s="47"/>
      <c r="FY73" s="47"/>
      <c r="FZ73" s="47"/>
      <c r="GA73" s="47"/>
      <c r="GB73" s="47"/>
      <c r="GC73" s="47"/>
      <c r="GD73" s="47"/>
      <c r="GE73" s="47"/>
      <c r="GF73" s="47"/>
      <c r="GG73" s="47"/>
      <c r="GH73" s="47"/>
      <c r="GI73" s="47"/>
      <c r="GJ73" s="47"/>
      <c r="GK73" s="47"/>
      <c r="GL73" s="47"/>
      <c r="GM73" s="47"/>
      <c r="GN73" s="47"/>
      <c r="GO73" s="47"/>
      <c r="GP73" s="47"/>
      <c r="GQ73" s="47"/>
      <c r="GR73" s="47"/>
      <c r="GS73" s="47"/>
      <c r="GT73" s="47"/>
      <c r="GU73" s="47"/>
      <c r="GV73" s="47"/>
      <c r="GW73" s="47"/>
      <c r="GX73" s="47"/>
      <c r="GY73" s="47"/>
      <c r="GZ73" s="47"/>
      <c r="HA73" s="47"/>
      <c r="HB73" s="47">
        <v>2693</v>
      </c>
      <c r="HC73" s="47"/>
      <c r="HD73" s="47"/>
      <c r="HE73" s="47"/>
      <c r="HF73" s="47">
        <v>1402</v>
      </c>
      <c r="HG73" s="47"/>
      <c r="HH73" s="47">
        <v>922</v>
      </c>
      <c r="HI73" s="47"/>
      <c r="HJ73" s="47"/>
      <c r="HK73" s="47"/>
      <c r="HL73" s="47">
        <v>374</v>
      </c>
      <c r="HM73" s="47">
        <v>254</v>
      </c>
      <c r="HN73" s="47"/>
      <c r="HO73" s="47">
        <v>122</v>
      </c>
      <c r="HP73" s="47">
        <v>94</v>
      </c>
      <c r="HQ73" s="47">
        <v>81</v>
      </c>
      <c r="HR73" s="47">
        <v>66</v>
      </c>
      <c r="HS73" s="47">
        <v>62</v>
      </c>
      <c r="HT73" s="47"/>
      <c r="HU73" s="47"/>
      <c r="HV73" s="47"/>
      <c r="HW73" s="47"/>
      <c r="HX73" s="47"/>
      <c r="HY73" s="47"/>
      <c r="HZ73" s="47"/>
      <c r="IA73" s="47"/>
      <c r="IB73" s="47"/>
      <c r="IC73" s="47"/>
      <c r="ID73" s="47"/>
      <c r="IE73" s="47"/>
      <c r="IF73" s="47"/>
      <c r="IG73" s="47"/>
      <c r="IH73" s="47"/>
      <c r="II73" s="47"/>
      <c r="IJ73" s="47"/>
      <c r="IK73" s="47"/>
      <c r="IL73" s="47"/>
      <c r="IM73" s="47"/>
      <c r="IN73" s="47"/>
      <c r="IO73" s="47"/>
      <c r="IP73" s="47"/>
      <c r="IQ73" s="47"/>
      <c r="IR73" s="47"/>
      <c r="IS73" s="47"/>
      <c r="IT73" s="47"/>
      <c r="IU73" s="47"/>
      <c r="IV73" s="47"/>
      <c r="IW73" s="47"/>
      <c r="IX73" s="47"/>
      <c r="IY73" s="47"/>
      <c r="IZ73" s="47"/>
      <c r="JA73" s="47"/>
      <c r="JB73" s="47"/>
      <c r="JC73" s="47"/>
      <c r="JD73" s="47"/>
      <c r="JE73" s="47"/>
      <c r="JF73" s="47"/>
      <c r="JG73" s="47"/>
      <c r="JH73" s="47"/>
      <c r="JI73" s="47"/>
      <c r="JJ73" s="47"/>
      <c r="JK73" s="47"/>
      <c r="JL73" s="47"/>
      <c r="JM73" s="47">
        <v>67</v>
      </c>
      <c r="JN73" s="47"/>
      <c r="JO73" s="47"/>
      <c r="JP73" s="47"/>
      <c r="JQ73" s="47">
        <v>69</v>
      </c>
      <c r="JR73" s="47"/>
      <c r="JS73" s="47">
        <v>125</v>
      </c>
      <c r="JT73" s="47"/>
      <c r="JU73" s="47"/>
      <c r="JV73" s="47"/>
      <c r="JW73" s="47">
        <v>182</v>
      </c>
      <c r="JX73" s="47">
        <v>274</v>
      </c>
      <c r="JY73" s="47"/>
      <c r="JZ73" s="47">
        <v>211</v>
      </c>
      <c r="KA73" s="47">
        <v>247</v>
      </c>
      <c r="KB73" s="47">
        <v>325</v>
      </c>
      <c r="KC73" s="47">
        <v>516</v>
      </c>
      <c r="KD73" s="47">
        <v>601</v>
      </c>
      <c r="KE73" s="47"/>
      <c r="KF73" s="47"/>
      <c r="KG73" s="47"/>
      <c r="KH73" s="47"/>
      <c r="KI73" s="47"/>
      <c r="KJ73" s="47"/>
      <c r="KK73" s="47"/>
      <c r="KL73" s="47"/>
      <c r="KM73" s="47"/>
      <c r="KN73" s="47"/>
      <c r="KO73" s="47"/>
      <c r="KP73" s="47"/>
      <c r="KQ73" s="47"/>
      <c r="KR73" s="47"/>
      <c r="KS73" s="47"/>
      <c r="KT73" s="47"/>
      <c r="KU73" s="47"/>
      <c r="KV73" s="47"/>
      <c r="KW73" s="47"/>
      <c r="KX73" s="47"/>
      <c r="KY73" s="47"/>
      <c r="KZ73" s="47"/>
      <c r="LA73" s="47"/>
      <c r="LB73" s="47"/>
      <c r="LC73" s="47"/>
      <c r="LD73" s="47"/>
      <c r="LE73" s="47"/>
      <c r="LF73" s="47"/>
      <c r="LG73" s="47"/>
      <c r="LH73" s="47"/>
      <c r="LI73" s="47"/>
      <c r="LJ73" s="47"/>
      <c r="LK73" s="47"/>
      <c r="LL73" s="47"/>
      <c r="LM73" s="47"/>
      <c r="LN73" s="47"/>
      <c r="LO73" s="47"/>
      <c r="LP73" s="47"/>
      <c r="LQ73" s="47"/>
      <c r="LR73" s="47"/>
      <c r="LS73" s="47"/>
      <c r="LT73" s="47"/>
      <c r="LU73" s="47"/>
      <c r="LV73" s="47"/>
      <c r="LW73" s="47"/>
      <c r="LX73" s="47"/>
      <c r="LY73" s="47"/>
      <c r="LZ73" s="47"/>
      <c r="MA73" s="47">
        <v>751</v>
      </c>
      <c r="MB73" s="47"/>
      <c r="MC73" s="47"/>
      <c r="MD73" s="47"/>
      <c r="ME73" s="47"/>
      <c r="MF73" s="47"/>
      <c r="MG73" s="47"/>
      <c r="MH73" s="47"/>
      <c r="MI73" s="47"/>
      <c r="MJ73" s="47"/>
      <c r="MK73" s="47"/>
      <c r="ML73" s="47"/>
      <c r="MM73" s="47"/>
      <c r="MN73" s="47"/>
      <c r="MO73" s="47"/>
      <c r="MP73" s="47"/>
      <c r="MQ73" s="47"/>
      <c r="MR73" s="47"/>
      <c r="MS73" s="47"/>
      <c r="MT73" s="47"/>
      <c r="MU73" s="47"/>
      <c r="MV73" s="47"/>
      <c r="MW73" s="47"/>
      <c r="MX73" s="47"/>
      <c r="MY73" s="47"/>
      <c r="MZ73" s="47"/>
      <c r="NA73" s="47"/>
      <c r="NB73" s="47"/>
      <c r="NC73" s="47"/>
      <c r="ND73" s="47"/>
      <c r="NE73" s="47"/>
      <c r="NF73" s="47"/>
      <c r="NG73" s="47"/>
      <c r="NH73" s="47"/>
      <c r="NI73" s="47"/>
      <c r="NJ73" s="44"/>
      <c r="NK73" s="44"/>
      <c r="NL73" s="44"/>
      <c r="NM73" s="44"/>
      <c r="NN73" s="44"/>
      <c r="NO73" s="47"/>
      <c r="NP73" s="47"/>
      <c r="NQ73" s="47"/>
      <c r="NR73" s="47" t="s">
        <v>1680</v>
      </c>
      <c r="NS73" s="47"/>
      <c r="NT73" s="47"/>
      <c r="NU73" s="47"/>
      <c r="NV73" s="47"/>
      <c r="NW73" s="47" t="s">
        <v>1681</v>
      </c>
      <c r="NX73" s="47"/>
      <c r="NY73" s="47"/>
      <c r="NZ73" s="47"/>
      <c r="OA73" s="47" t="s">
        <v>1682</v>
      </c>
      <c r="OB73" s="47"/>
      <c r="OC73" s="47" t="s">
        <v>1683</v>
      </c>
      <c r="OD73" s="47"/>
      <c r="OE73" s="47"/>
      <c r="OF73" s="47"/>
      <c r="OG73" s="47" t="s">
        <v>1684</v>
      </c>
      <c r="OH73" s="47" t="s">
        <v>1685</v>
      </c>
      <c r="OI73" s="47"/>
      <c r="OJ73" s="47">
        <v>29.24</v>
      </c>
      <c r="OK73" s="47" t="s">
        <v>1686</v>
      </c>
      <c r="OL73" s="47" t="s">
        <v>1687</v>
      </c>
      <c r="OM73" s="47" t="s">
        <v>1688</v>
      </c>
      <c r="ON73" s="47" t="s">
        <v>1689</v>
      </c>
      <c r="OO73" s="47"/>
      <c r="OP73" s="47"/>
      <c r="OQ73" s="47"/>
      <c r="OR73" s="47"/>
      <c r="OS73" s="47"/>
      <c r="OT73" s="47"/>
      <c r="OU73" s="47"/>
      <c r="OV73" s="47"/>
      <c r="OW73" s="47"/>
      <c r="OX73" s="47"/>
      <c r="OY73" s="47"/>
      <c r="OZ73" s="47"/>
      <c r="PA73" s="47"/>
      <c r="PB73" s="47"/>
      <c r="PC73" s="47"/>
      <c r="PD73" s="47"/>
      <c r="PE73" s="47"/>
      <c r="PF73" s="47"/>
      <c r="PG73" s="47"/>
      <c r="PH73" s="47"/>
      <c r="PI73" s="47"/>
      <c r="PJ73" s="47"/>
      <c r="PK73" s="47"/>
      <c r="PL73" s="47"/>
      <c r="PM73" s="47"/>
      <c r="PN73" s="47"/>
      <c r="PO73" s="47"/>
      <c r="PP73" s="47"/>
      <c r="PQ73" s="47"/>
      <c r="PR73" s="47"/>
      <c r="PS73" s="47"/>
      <c r="PT73" s="47"/>
      <c r="PU73" s="47"/>
      <c r="PV73" s="47"/>
      <c r="PW73" s="47"/>
      <c r="PX73" s="47"/>
      <c r="PY73" s="47"/>
      <c r="PZ73" s="47"/>
      <c r="QA73" s="47"/>
      <c r="QB73" s="47"/>
      <c r="QC73" s="47"/>
      <c r="QD73" s="47"/>
      <c r="QE73" s="47"/>
      <c r="QF73" s="47"/>
      <c r="QG73" s="47"/>
      <c r="QH73" s="47"/>
      <c r="QI73" s="47"/>
      <c r="QJ73" s="47"/>
      <c r="QK73" s="47"/>
      <c r="QL73" s="47"/>
      <c r="QM73" s="47"/>
      <c r="QN73" s="47"/>
      <c r="QO73" s="47"/>
      <c r="QP73" s="47"/>
      <c r="QQ73" s="47"/>
      <c r="QR73" s="47"/>
      <c r="QS73" s="47"/>
      <c r="QT73" s="47"/>
      <c r="QU73" s="47"/>
      <c r="QV73" s="47">
        <v>96</v>
      </c>
      <c r="QW73" s="47"/>
      <c r="QX73" s="47">
        <v>125</v>
      </c>
      <c r="QY73" s="47"/>
      <c r="QZ73" s="47"/>
      <c r="RA73" s="47"/>
      <c r="RB73" s="47">
        <v>182</v>
      </c>
      <c r="RC73" s="47">
        <v>175</v>
      </c>
      <c r="RD73" s="47"/>
      <c r="RE73" s="47">
        <v>150</v>
      </c>
      <c r="RF73" s="47">
        <v>188</v>
      </c>
      <c r="RG73" s="47">
        <v>273</v>
      </c>
      <c r="RH73" s="47">
        <v>390</v>
      </c>
      <c r="RI73" s="47">
        <v>441</v>
      </c>
      <c r="RJ73" s="47"/>
      <c r="RK73" s="47"/>
      <c r="RL73" s="47"/>
      <c r="RM73" s="47"/>
      <c r="RN73" s="47"/>
      <c r="RO73" s="47"/>
      <c r="RP73" s="47"/>
      <c r="RQ73" s="47"/>
      <c r="RR73" s="47"/>
      <c r="RS73" s="47"/>
      <c r="RT73" s="47"/>
      <c r="RU73" s="47"/>
      <c r="RV73" s="47"/>
      <c r="RW73" s="47"/>
      <c r="RX73" s="47"/>
      <c r="RY73" s="47"/>
      <c r="RZ73" s="47"/>
      <c r="SA73" s="47"/>
      <c r="SB73" s="47"/>
      <c r="SC73" s="47"/>
      <c r="SD73" s="47"/>
      <c r="SE73" s="47"/>
      <c r="SF73" s="47"/>
      <c r="SG73" s="47"/>
      <c r="SH73" s="47"/>
      <c r="SI73" s="47"/>
      <c r="SJ73" s="47"/>
      <c r="SK73" s="47"/>
      <c r="SL73" s="47"/>
      <c r="SM73" s="47"/>
      <c r="SN73" s="47"/>
      <c r="SO73" s="47"/>
      <c r="SP73" s="47"/>
      <c r="SQ73" s="47"/>
      <c r="SR73" s="47"/>
      <c r="SS73" s="47"/>
      <c r="ST73" s="47"/>
      <c r="SU73" s="47"/>
      <c r="SV73" s="47"/>
      <c r="SW73" s="47"/>
      <c r="SX73" s="47"/>
      <c r="SY73" s="47"/>
      <c r="SZ73" s="47"/>
      <c r="TA73" s="47"/>
      <c r="TB73" s="47"/>
      <c r="TC73" s="47"/>
      <c r="TD73" s="47"/>
      <c r="TE73" s="47"/>
      <c r="TF73" s="47"/>
      <c r="TG73" s="47"/>
      <c r="TH73" s="47"/>
      <c r="TI73" s="47"/>
      <c r="TJ73" s="47"/>
      <c r="TK73" s="47"/>
      <c r="TL73" s="47"/>
      <c r="TM73" s="47"/>
      <c r="TN73" s="47"/>
      <c r="TO73" s="47"/>
      <c r="TP73" s="47"/>
      <c r="TQ73" s="47"/>
      <c r="TR73" s="47"/>
      <c r="TS73" s="47"/>
      <c r="TT73" s="47"/>
      <c r="TU73" s="47"/>
      <c r="TV73" s="47"/>
      <c r="TW73" s="47"/>
      <c r="TX73" s="47" t="s">
        <v>1719</v>
      </c>
      <c r="TY73" s="47"/>
      <c r="TZ73" s="47" t="s">
        <v>1720</v>
      </c>
      <c r="UA73" s="47"/>
      <c r="UB73" s="47"/>
      <c r="UC73" s="47"/>
      <c r="UD73" s="47" t="s">
        <v>1721</v>
      </c>
      <c r="UE73" s="47"/>
      <c r="UF73" s="47"/>
      <c r="UG73" s="47"/>
      <c r="UH73" s="47" t="s">
        <v>1722</v>
      </c>
      <c r="UI73" s="47"/>
      <c r="UJ73" s="47" t="s">
        <v>1723</v>
      </c>
      <c r="UK73" s="47"/>
      <c r="UL73" s="47"/>
      <c r="UM73" s="47"/>
      <c r="UN73" s="47" t="s">
        <v>1724</v>
      </c>
      <c r="UO73" s="47" t="s">
        <v>1725</v>
      </c>
      <c r="UP73" s="47" t="s">
        <v>1725</v>
      </c>
      <c r="UQ73" s="47" t="s">
        <v>1724</v>
      </c>
      <c r="UR73" s="47" t="s">
        <v>1726</v>
      </c>
      <c r="US73" s="47"/>
      <c r="UT73" s="47"/>
      <c r="UU73" s="47"/>
      <c r="UV73" s="47"/>
      <c r="UW73" s="47"/>
      <c r="UX73" s="47"/>
      <c r="UY73" s="47"/>
      <c r="UZ73" s="47"/>
      <c r="VA73" s="47"/>
      <c r="VB73" s="47"/>
      <c r="VC73" s="47"/>
      <c r="VD73" s="47"/>
      <c r="VE73" s="47"/>
      <c r="VF73" s="47"/>
      <c r="VG73" s="47"/>
      <c r="VH73" s="47"/>
      <c r="VI73" s="47"/>
      <c r="VJ73" s="47"/>
      <c r="VK73" s="47"/>
      <c r="VL73" s="47">
        <v>1</v>
      </c>
      <c r="VM73" s="47"/>
      <c r="VN73" s="47"/>
      <c r="VO73" s="47">
        <v>0.9</v>
      </c>
      <c r="VP73" s="47">
        <v>1</v>
      </c>
      <c r="VQ73" s="47"/>
      <c r="VR73" s="47"/>
      <c r="VS73" s="47"/>
      <c r="VT73" s="47"/>
      <c r="VU73" s="47">
        <v>425</v>
      </c>
      <c r="VV73" s="47"/>
      <c r="VW73" s="47"/>
      <c r="VX73" s="47"/>
      <c r="VY73" s="47">
        <v>12</v>
      </c>
      <c r="VZ73" s="47"/>
      <c r="WA73" s="47"/>
      <c r="WB73" s="47"/>
      <c r="WC73" s="47"/>
      <c r="WD73" s="47"/>
      <c r="WE73" s="47"/>
      <c r="WF73" s="47"/>
      <c r="WG73" s="47"/>
      <c r="WH73" s="47"/>
      <c r="WI73" s="47"/>
      <c r="WJ73" s="47"/>
      <c r="WK73" s="47"/>
      <c r="WL73" s="47"/>
      <c r="WM73" s="47"/>
      <c r="WN73" s="47"/>
      <c r="WO73" s="47"/>
      <c r="WP73" s="47"/>
      <c r="WQ73" s="47"/>
      <c r="WR73" s="47"/>
      <c r="WS73" s="47"/>
      <c r="WT73" s="47"/>
      <c r="WU73" s="47"/>
      <c r="WV73" s="47"/>
      <c r="WW73" s="47"/>
      <c r="WX73" s="47"/>
      <c r="WY73" s="47"/>
      <c r="WZ73" s="47"/>
      <c r="XA73" s="47"/>
      <c r="XB73" s="47"/>
      <c r="XC73" s="47"/>
      <c r="XD73" s="47"/>
      <c r="XE73" s="47"/>
      <c r="XF73" s="47"/>
      <c r="XG73" s="47"/>
      <c r="XH73" s="47">
        <v>449.5</v>
      </c>
      <c r="XI73" s="47"/>
      <c r="XJ73" s="47">
        <v>906</v>
      </c>
      <c r="XK73" s="47"/>
      <c r="XL73" s="47"/>
      <c r="XM73" s="47"/>
      <c r="XN73" s="47"/>
      <c r="XO73" s="47"/>
      <c r="XP73" s="47"/>
      <c r="XQ73" s="47"/>
      <c r="XR73" s="47"/>
      <c r="XS73" s="47"/>
      <c r="XT73" s="47"/>
      <c r="XU73" s="47"/>
      <c r="XV73" s="47"/>
      <c r="XW73" s="47"/>
      <c r="XX73" s="47"/>
      <c r="XY73" s="47"/>
      <c r="XZ73" s="47"/>
      <c r="YA73" s="44"/>
      <c r="YB73" s="44"/>
      <c r="YC73" s="44"/>
      <c r="YD73" s="44"/>
      <c r="YE73" s="44"/>
      <c r="YF73" s="47"/>
      <c r="YG73" s="47"/>
      <c r="YH73" s="47"/>
      <c r="YI73" s="47"/>
      <c r="YJ73" s="47"/>
      <c r="YK73" s="47">
        <v>20.9</v>
      </c>
      <c r="YL73" s="47"/>
      <c r="YM73" s="47"/>
      <c r="YN73" s="47"/>
      <c r="YO73" s="47"/>
      <c r="YP73" s="47"/>
      <c r="YQ73" s="47"/>
      <c r="YR73" s="47"/>
      <c r="YS73" s="47"/>
      <c r="YT73" s="47"/>
      <c r="YU73" s="47">
        <v>11.5</v>
      </c>
      <c r="YV73" s="47"/>
      <c r="YW73" s="47"/>
      <c r="YX73" s="47"/>
      <c r="YY73" s="47"/>
      <c r="YZ73" s="47"/>
      <c r="ZA73" s="47">
        <v>311</v>
      </c>
      <c r="ZB73" s="47"/>
      <c r="ZC73" s="47">
        <v>252</v>
      </c>
      <c r="ZD73" s="47"/>
      <c r="ZE73" s="47"/>
      <c r="ZF73" s="47"/>
      <c r="ZG73" s="47"/>
      <c r="ZH73" s="47">
        <v>307</v>
      </c>
      <c r="ZI73" s="47">
        <v>248</v>
      </c>
      <c r="ZJ73" s="47"/>
      <c r="ZK73" s="47">
        <v>278</v>
      </c>
      <c r="ZL73" s="47"/>
      <c r="ZM73" s="47"/>
      <c r="ZN73" s="47"/>
      <c r="ZO73" s="47">
        <v>317</v>
      </c>
      <c r="ZP73" s="47">
        <v>320</v>
      </c>
      <c r="ZQ73" s="47"/>
      <c r="ZR73" s="47">
        <v>409</v>
      </c>
      <c r="ZS73" s="47">
        <v>477</v>
      </c>
      <c r="ZT73" s="47">
        <v>615</v>
      </c>
      <c r="ZU73" s="47"/>
      <c r="ZV73" s="47"/>
      <c r="ZW73" s="44"/>
      <c r="ZX73" s="44"/>
      <c r="ZY73" s="44"/>
      <c r="ZZ73" s="44"/>
      <c r="AAA73" s="44"/>
      <c r="AAB73" s="44"/>
      <c r="AAC73" s="44"/>
      <c r="AAD73" s="44"/>
      <c r="AAE73" s="44"/>
      <c r="AAF73" s="44"/>
      <c r="AAG73" s="47"/>
      <c r="AAH73" s="47"/>
      <c r="AAI73" s="47"/>
      <c r="AAJ73" s="47"/>
      <c r="AAK73" s="47"/>
      <c r="AAL73" s="47"/>
      <c r="AAM73" s="47"/>
      <c r="AAN73" s="47"/>
      <c r="AAO73" s="47" t="s">
        <v>868</v>
      </c>
      <c r="AAP73" s="47"/>
      <c r="AAQ73" s="47"/>
      <c r="AAR73" s="47"/>
      <c r="AAS73" s="47"/>
      <c r="AAT73" s="47"/>
      <c r="AAU73" s="47"/>
      <c r="AAV73" s="47"/>
      <c r="AAW73" s="47"/>
      <c r="AAX73" s="47"/>
      <c r="AAY73" s="47"/>
      <c r="AAZ73" s="47"/>
      <c r="ABA73" s="47"/>
      <c r="ABB73" s="47"/>
      <c r="ABC73" s="47"/>
      <c r="ABD73" s="47"/>
      <c r="ABE73" s="47" t="s">
        <v>870</v>
      </c>
      <c r="ABF73" s="47"/>
      <c r="ABG73" s="47"/>
      <c r="ABH73" s="47"/>
      <c r="ABI73" s="47"/>
      <c r="ABJ73" s="47"/>
      <c r="ABK73" s="47"/>
      <c r="ABL73" s="47"/>
      <c r="ABM73" s="47"/>
      <c r="ABN73" s="47"/>
      <c r="ABO73" s="47"/>
      <c r="ABP73" s="47"/>
      <c r="ABQ73" s="47"/>
      <c r="ABR73" s="47"/>
      <c r="ABS73" s="47">
        <v>80</v>
      </c>
      <c r="ABT73" s="47"/>
      <c r="ABU73" s="47"/>
      <c r="ABV73" s="47"/>
      <c r="ABW73" s="47"/>
      <c r="ABX73" s="47"/>
      <c r="ABY73" s="47"/>
      <c r="ABZ73" s="47"/>
      <c r="ACA73" s="47"/>
      <c r="ACB73" s="47"/>
      <c r="ACC73" s="47"/>
      <c r="ACD73" s="47"/>
      <c r="ACE73" s="47"/>
      <c r="ACF73" s="47"/>
      <c r="ACG73" s="47"/>
      <c r="ACH73" s="48"/>
    </row>
    <row r="74" spans="1:762" x14ac:dyDescent="0.25">
      <c r="A74" s="42" t="s">
        <v>126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43"/>
      <c r="CZ74" s="43"/>
      <c r="DA74" s="43"/>
      <c r="DB74" s="43"/>
      <c r="DC74" s="43"/>
      <c r="DD74" s="43"/>
      <c r="DE74" s="43"/>
      <c r="DF74" s="43"/>
      <c r="DG74" s="43"/>
      <c r="DH74" s="43"/>
      <c r="DI74" s="43"/>
      <c r="DJ74" s="43"/>
      <c r="DK74" s="43"/>
      <c r="DL74" s="43"/>
      <c r="DM74" s="43"/>
      <c r="DN74" s="43"/>
      <c r="DO74" s="43"/>
      <c r="DP74" s="43"/>
      <c r="DQ74" s="43"/>
      <c r="DR74" s="43"/>
      <c r="DS74" s="43"/>
      <c r="DT74" s="43"/>
      <c r="DU74" s="43"/>
      <c r="DV74" s="43"/>
      <c r="DW74" s="43"/>
      <c r="DX74" s="43"/>
      <c r="DY74" s="43"/>
      <c r="DZ74" s="43"/>
      <c r="EA74" s="43"/>
      <c r="EB74" s="43"/>
      <c r="EC74" s="43"/>
      <c r="ED74" s="43"/>
      <c r="EE74" s="43"/>
      <c r="EF74" s="43"/>
      <c r="EG74" s="43"/>
      <c r="EH74" s="43"/>
      <c r="EI74" s="43"/>
      <c r="EJ74" s="43"/>
      <c r="EK74" s="43"/>
      <c r="EL74" s="43"/>
      <c r="EM74" s="43"/>
      <c r="EN74" s="43"/>
      <c r="EO74" s="43"/>
      <c r="EP74" s="43"/>
      <c r="EQ74" s="43"/>
      <c r="ER74" s="43"/>
      <c r="ES74" s="43"/>
      <c r="ET74" s="43"/>
      <c r="EU74" s="43"/>
      <c r="EV74" s="43"/>
      <c r="EW74" s="43"/>
      <c r="EX74" s="43"/>
      <c r="EY74" s="43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  <c r="FK74" s="43"/>
      <c r="FL74" s="43"/>
      <c r="FM74" s="43"/>
      <c r="FN74" s="43"/>
      <c r="FO74" s="43"/>
      <c r="FP74" s="43"/>
      <c r="FQ74" s="43"/>
      <c r="FR74" s="43"/>
      <c r="FS74" s="43"/>
      <c r="FT74" s="43"/>
      <c r="FU74" s="43"/>
      <c r="FV74" s="43"/>
      <c r="FW74" s="43"/>
      <c r="FX74" s="43"/>
      <c r="FY74" s="43"/>
      <c r="FZ74" s="43"/>
      <c r="GA74" s="43"/>
      <c r="GB74" s="43"/>
      <c r="GC74" s="43"/>
      <c r="GD74" s="43"/>
      <c r="GE74" s="43"/>
      <c r="GF74" s="43"/>
      <c r="GG74" s="43"/>
      <c r="GH74" s="43"/>
      <c r="GI74" s="43"/>
      <c r="GJ74" s="43"/>
      <c r="GK74" s="43"/>
      <c r="GL74" s="43"/>
      <c r="GM74" s="43"/>
      <c r="GN74" s="43"/>
      <c r="GO74" s="43"/>
      <c r="GP74" s="43"/>
      <c r="GQ74" s="43"/>
      <c r="GR74" s="43"/>
      <c r="GS74" s="43"/>
      <c r="GT74" s="43"/>
      <c r="GU74" s="43"/>
      <c r="GV74" s="43"/>
      <c r="GW74" s="43"/>
      <c r="GX74" s="43"/>
      <c r="GY74" s="43"/>
      <c r="GZ74" s="43"/>
      <c r="HA74" s="43"/>
      <c r="HB74" s="43"/>
      <c r="HC74" s="43"/>
      <c r="HD74" s="43"/>
      <c r="HE74" s="43"/>
      <c r="HF74" s="43"/>
      <c r="HG74" s="43"/>
      <c r="HH74" s="43"/>
      <c r="HI74" s="43"/>
      <c r="HJ74" s="43"/>
      <c r="HK74" s="43"/>
      <c r="HL74" s="43"/>
      <c r="HM74" s="43"/>
      <c r="HN74" s="43"/>
      <c r="HO74" s="43"/>
      <c r="HP74" s="43"/>
      <c r="HQ74" s="43"/>
      <c r="HR74" s="43"/>
      <c r="HS74" s="43"/>
      <c r="HT74" s="43"/>
      <c r="HU74" s="43"/>
      <c r="HV74" s="43"/>
      <c r="HW74" s="43"/>
      <c r="HX74" s="43"/>
      <c r="HY74" s="43"/>
      <c r="HZ74" s="43"/>
      <c r="IA74" s="43"/>
      <c r="IB74" s="43"/>
      <c r="IC74" s="43"/>
      <c r="ID74" s="43"/>
      <c r="IE74" s="43"/>
      <c r="IF74" s="43"/>
      <c r="IG74" s="43"/>
      <c r="IH74" s="43"/>
      <c r="II74" s="43"/>
      <c r="IJ74" s="43"/>
      <c r="IK74" s="43"/>
      <c r="IL74" s="43"/>
      <c r="IM74" s="43"/>
      <c r="IN74" s="43"/>
      <c r="IO74" s="43"/>
      <c r="IP74" s="43"/>
      <c r="IQ74" s="43"/>
      <c r="IR74" s="43"/>
      <c r="IS74" s="43"/>
      <c r="IT74" s="43"/>
      <c r="IU74" s="43"/>
      <c r="IV74" s="43"/>
      <c r="IW74" s="43"/>
      <c r="IX74" s="43"/>
      <c r="IY74" s="43"/>
      <c r="IZ74" s="43"/>
      <c r="JA74" s="43"/>
      <c r="JB74" s="43"/>
      <c r="JC74" s="43"/>
      <c r="JD74" s="43"/>
      <c r="JE74" s="43"/>
      <c r="JF74" s="43"/>
      <c r="JG74" s="43"/>
      <c r="JH74" s="43"/>
      <c r="JI74" s="43"/>
      <c r="JJ74" s="43"/>
      <c r="JK74" s="43"/>
      <c r="JL74" s="43"/>
      <c r="JM74" s="43"/>
      <c r="JN74" s="43"/>
      <c r="JO74" s="43"/>
      <c r="JP74" s="43"/>
      <c r="JQ74" s="43"/>
      <c r="JR74" s="43"/>
      <c r="JS74" s="43"/>
      <c r="JT74" s="43"/>
      <c r="JU74" s="43"/>
      <c r="JV74" s="43"/>
      <c r="JW74" s="43"/>
      <c r="JX74" s="43"/>
      <c r="JY74" s="43"/>
      <c r="JZ74" s="43"/>
      <c r="KA74" s="43"/>
      <c r="KB74" s="43"/>
      <c r="KC74" s="43"/>
      <c r="KD74" s="43"/>
      <c r="KE74" s="43"/>
      <c r="KF74" s="43"/>
      <c r="KG74" s="43"/>
      <c r="KH74" s="43"/>
      <c r="KI74" s="43"/>
      <c r="KJ74" s="43"/>
      <c r="KK74" s="43"/>
      <c r="KL74" s="43"/>
      <c r="KM74" s="43"/>
      <c r="KN74" s="43"/>
      <c r="KO74" s="43"/>
      <c r="KP74" s="43"/>
      <c r="KQ74" s="43"/>
      <c r="KR74" s="43"/>
      <c r="KS74" s="43"/>
      <c r="KT74" s="43"/>
      <c r="KU74" s="43"/>
      <c r="KV74" s="43"/>
      <c r="KW74" s="43"/>
      <c r="KX74" s="43"/>
      <c r="KY74" s="43"/>
      <c r="KZ74" s="43"/>
      <c r="LA74" s="43"/>
      <c r="LB74" s="43"/>
      <c r="LC74" s="43"/>
      <c r="LD74" s="43"/>
      <c r="LE74" s="43"/>
      <c r="LF74" s="43"/>
      <c r="LG74" s="43"/>
      <c r="LH74" s="43"/>
      <c r="LI74" s="43"/>
      <c r="LJ74" s="43"/>
      <c r="LK74" s="43"/>
      <c r="LL74" s="43"/>
      <c r="LM74" s="43"/>
      <c r="LN74" s="43"/>
      <c r="LO74" s="43"/>
      <c r="LP74" s="43"/>
      <c r="LQ74" s="43"/>
      <c r="LR74" s="43"/>
      <c r="LS74" s="43"/>
      <c r="LT74" s="43"/>
      <c r="LU74" s="43"/>
      <c r="LV74" s="43"/>
      <c r="LW74" s="43"/>
      <c r="LX74" s="43"/>
      <c r="LY74" s="43"/>
      <c r="LZ74" s="43"/>
      <c r="MA74" s="43"/>
      <c r="MB74" s="43"/>
      <c r="MC74" s="43"/>
      <c r="MD74" s="43"/>
      <c r="ME74" s="43"/>
      <c r="MF74" s="43"/>
      <c r="MG74" s="43"/>
      <c r="MH74" s="43"/>
      <c r="MI74" s="43"/>
      <c r="MJ74" s="43"/>
      <c r="MK74" s="43"/>
      <c r="ML74" s="43"/>
      <c r="MM74" s="43"/>
      <c r="MN74" s="43"/>
      <c r="MO74" s="43"/>
      <c r="MP74" s="43"/>
      <c r="MQ74" s="43"/>
      <c r="MR74" s="43"/>
      <c r="MS74" s="43"/>
      <c r="MT74" s="43"/>
      <c r="MU74" s="43"/>
      <c r="MV74" s="43"/>
      <c r="MW74" s="43"/>
      <c r="MX74" s="43"/>
      <c r="MY74" s="43"/>
      <c r="MZ74" s="43"/>
      <c r="NA74" s="43"/>
      <c r="NB74" s="43"/>
      <c r="NC74" s="43"/>
      <c r="ND74" s="43"/>
      <c r="NE74" s="43"/>
      <c r="NF74" s="43"/>
      <c r="NG74" s="43"/>
      <c r="NH74" s="43"/>
      <c r="NI74" s="43"/>
      <c r="NJ74" s="44"/>
      <c r="NK74" s="44"/>
      <c r="NL74" s="44"/>
      <c r="NM74" s="44"/>
      <c r="NN74" s="44"/>
      <c r="NO74" s="43"/>
      <c r="NP74" s="43"/>
      <c r="NQ74" s="43"/>
      <c r="NR74" s="43"/>
      <c r="NS74" s="43"/>
      <c r="NT74" s="43"/>
      <c r="NU74" s="43"/>
      <c r="NV74" s="43"/>
      <c r="NW74" s="43"/>
      <c r="NX74" s="43"/>
      <c r="NY74" s="43"/>
      <c r="NZ74" s="43"/>
      <c r="OA74" s="43"/>
      <c r="OB74" s="43"/>
      <c r="OC74" s="43"/>
      <c r="OD74" s="43"/>
      <c r="OE74" s="43"/>
      <c r="OF74" s="43"/>
      <c r="OG74" s="43"/>
      <c r="OH74" s="43"/>
      <c r="OI74" s="43"/>
      <c r="OJ74" s="43"/>
      <c r="OK74" s="43"/>
      <c r="OL74" s="43"/>
      <c r="OM74" s="43"/>
      <c r="ON74" s="43"/>
      <c r="OO74" s="43"/>
      <c r="OP74" s="43"/>
      <c r="OQ74" s="43"/>
      <c r="OR74" s="43"/>
      <c r="OS74" s="43"/>
      <c r="OT74" s="43"/>
      <c r="OU74" s="43"/>
      <c r="OV74" s="43"/>
      <c r="OW74" s="43"/>
      <c r="OX74" s="43"/>
      <c r="OY74" s="43"/>
      <c r="OZ74" s="43"/>
      <c r="PA74" s="43"/>
      <c r="PB74" s="43"/>
      <c r="PC74" s="43"/>
      <c r="PD74" s="43"/>
      <c r="PE74" s="43"/>
      <c r="PF74" s="43"/>
      <c r="PG74" s="43"/>
      <c r="PH74" s="43"/>
      <c r="PI74" s="43"/>
      <c r="PJ74" s="43"/>
      <c r="PK74" s="43"/>
      <c r="PL74" s="43"/>
      <c r="PM74" s="43"/>
      <c r="PN74" s="43"/>
      <c r="PO74" s="43"/>
      <c r="PP74" s="43"/>
      <c r="PQ74" s="43"/>
      <c r="PR74" s="43"/>
      <c r="PS74" s="43"/>
      <c r="PT74" s="43"/>
      <c r="PU74" s="43"/>
      <c r="PV74" s="43"/>
      <c r="PW74" s="43"/>
      <c r="PX74" s="43"/>
      <c r="PY74" s="43"/>
      <c r="PZ74" s="43"/>
      <c r="QA74" s="43"/>
      <c r="QB74" s="43"/>
      <c r="QC74" s="43"/>
      <c r="QD74" s="43"/>
      <c r="QE74" s="43"/>
      <c r="QF74" s="43"/>
      <c r="QG74" s="43"/>
      <c r="QH74" s="43"/>
      <c r="QI74" s="43"/>
      <c r="QJ74" s="43"/>
      <c r="QK74" s="43"/>
      <c r="QL74" s="43"/>
      <c r="QM74" s="43"/>
      <c r="QN74" s="43"/>
      <c r="QO74" s="43"/>
      <c r="QP74" s="43"/>
      <c r="QQ74" s="43"/>
      <c r="QR74" s="43"/>
      <c r="QS74" s="43"/>
      <c r="QT74" s="43"/>
      <c r="QU74" s="43"/>
      <c r="QV74" s="43"/>
      <c r="QW74" s="43"/>
      <c r="QX74" s="43"/>
      <c r="QY74" s="43"/>
      <c r="QZ74" s="43"/>
      <c r="RA74" s="43"/>
      <c r="RB74" s="43"/>
      <c r="RC74" s="43"/>
      <c r="RD74" s="43"/>
      <c r="RE74" s="43"/>
      <c r="RF74" s="43"/>
      <c r="RG74" s="43"/>
      <c r="RH74" s="43"/>
      <c r="RI74" s="43"/>
      <c r="RJ74" s="43"/>
      <c r="RK74" s="43"/>
      <c r="RL74" s="43"/>
      <c r="RM74" s="43"/>
      <c r="RN74" s="43"/>
      <c r="RO74" s="43"/>
      <c r="RP74" s="43"/>
      <c r="RQ74" s="43"/>
      <c r="RR74" s="43"/>
      <c r="RS74" s="43"/>
      <c r="RT74" s="43"/>
      <c r="RU74" s="43"/>
      <c r="RV74" s="43"/>
      <c r="RW74" s="43"/>
      <c r="RX74" s="43"/>
      <c r="RY74" s="43"/>
      <c r="RZ74" s="43"/>
      <c r="SA74" s="43"/>
      <c r="SB74" s="43"/>
      <c r="SC74" s="43"/>
      <c r="SD74" s="43"/>
      <c r="SE74" s="43"/>
      <c r="SF74" s="43"/>
      <c r="SG74" s="43"/>
      <c r="SH74" s="43"/>
      <c r="SI74" s="43"/>
      <c r="SJ74" s="43"/>
      <c r="SK74" s="43"/>
      <c r="SL74" s="43"/>
      <c r="SM74" s="43"/>
      <c r="SN74" s="43"/>
      <c r="SO74" s="43"/>
      <c r="SP74" s="43"/>
      <c r="SQ74" s="43"/>
      <c r="SR74" s="43"/>
      <c r="SS74" s="43"/>
      <c r="ST74" s="43"/>
      <c r="SU74" s="43"/>
      <c r="SV74" s="43"/>
      <c r="SW74" s="43"/>
      <c r="SX74" s="43"/>
      <c r="SY74" s="43"/>
      <c r="SZ74" s="43"/>
      <c r="TA74" s="43"/>
      <c r="TB74" s="43"/>
      <c r="TC74" s="43"/>
      <c r="TD74" s="43"/>
      <c r="TE74" s="43"/>
      <c r="TF74" s="43"/>
      <c r="TG74" s="43"/>
      <c r="TH74" s="43"/>
      <c r="TI74" s="43"/>
      <c r="TJ74" s="43"/>
      <c r="TK74" s="43"/>
      <c r="TL74" s="43"/>
      <c r="TM74" s="43"/>
      <c r="TN74" s="43"/>
      <c r="TO74" s="43"/>
      <c r="TP74" s="43"/>
      <c r="TQ74" s="43"/>
      <c r="TR74" s="43"/>
      <c r="TS74" s="43"/>
      <c r="TT74" s="43"/>
      <c r="TU74" s="43"/>
      <c r="TV74" s="43"/>
      <c r="TW74" s="43"/>
      <c r="TX74" s="43"/>
      <c r="TY74" s="43"/>
      <c r="TZ74" s="43"/>
      <c r="UA74" s="43"/>
      <c r="UB74" s="43"/>
      <c r="UC74" s="43"/>
      <c r="UD74" s="43"/>
      <c r="UE74" s="43"/>
      <c r="UF74" s="43"/>
      <c r="UG74" s="43"/>
      <c r="UH74" s="43"/>
      <c r="UI74" s="43"/>
      <c r="UJ74" s="43"/>
      <c r="UK74" s="43"/>
      <c r="UL74" s="43"/>
      <c r="UM74" s="43"/>
      <c r="UN74" s="43"/>
      <c r="UO74" s="43"/>
      <c r="UP74" s="43"/>
      <c r="UQ74" s="43"/>
      <c r="UR74" s="43"/>
      <c r="US74" s="43"/>
      <c r="UT74" s="43"/>
      <c r="UU74" s="43"/>
      <c r="UV74" s="43"/>
      <c r="UW74" s="43"/>
      <c r="UX74" s="43"/>
      <c r="UY74" s="43"/>
      <c r="UZ74" s="43"/>
      <c r="VA74" s="43"/>
      <c r="VB74" s="43"/>
      <c r="VC74" s="43"/>
      <c r="VD74" s="43"/>
      <c r="VE74" s="43"/>
      <c r="VF74" s="43"/>
      <c r="VG74" s="43"/>
      <c r="VH74" s="43"/>
      <c r="VI74" s="43"/>
      <c r="VJ74" s="43"/>
      <c r="VK74" s="43"/>
      <c r="VL74" s="43"/>
      <c r="VM74" s="43"/>
      <c r="VN74" s="43"/>
      <c r="VO74" s="43"/>
      <c r="VP74" s="43"/>
      <c r="VQ74" s="43"/>
      <c r="VR74" s="43"/>
      <c r="VS74" s="43"/>
      <c r="VT74" s="43"/>
      <c r="VU74" s="43"/>
      <c r="VV74" s="43"/>
      <c r="VW74" s="43"/>
      <c r="VX74" s="43"/>
      <c r="VY74" s="43"/>
      <c r="VZ74" s="43"/>
      <c r="WA74" s="43"/>
      <c r="WB74" s="43"/>
      <c r="WC74" s="43"/>
      <c r="WD74" s="43"/>
      <c r="WE74" s="43"/>
      <c r="WF74" s="43"/>
      <c r="WG74" s="43"/>
      <c r="WH74" s="43"/>
      <c r="WI74" s="43"/>
      <c r="WJ74" s="43"/>
      <c r="WK74" s="43"/>
      <c r="WL74" s="43"/>
      <c r="WM74" s="43"/>
      <c r="WN74" s="43"/>
      <c r="WO74" s="43"/>
      <c r="WP74" s="43"/>
      <c r="WQ74" s="43"/>
      <c r="WR74" s="43"/>
      <c r="WS74" s="43"/>
      <c r="WT74" s="43"/>
      <c r="WU74" s="43"/>
      <c r="WV74" s="43"/>
      <c r="WW74" s="43"/>
      <c r="WX74" s="43"/>
      <c r="WY74" s="43"/>
      <c r="WZ74" s="43"/>
      <c r="XA74" s="43"/>
      <c r="XB74" s="43"/>
      <c r="XC74" s="43"/>
      <c r="XD74" s="43"/>
      <c r="XE74" s="43"/>
      <c r="XF74" s="43"/>
      <c r="XG74" s="43"/>
      <c r="XH74" s="43"/>
      <c r="XI74" s="43"/>
      <c r="XJ74" s="43"/>
      <c r="XK74" s="43"/>
      <c r="XL74" s="43"/>
      <c r="XM74" s="43"/>
      <c r="XN74" s="43"/>
      <c r="XO74" s="43"/>
      <c r="XP74" s="43"/>
      <c r="XQ74" s="43"/>
      <c r="XR74" s="43"/>
      <c r="XS74" s="43"/>
      <c r="XT74" s="43"/>
      <c r="XU74" s="43"/>
      <c r="XV74" s="43"/>
      <c r="XW74" s="43"/>
      <c r="XX74" s="43"/>
      <c r="XY74" s="43"/>
      <c r="XZ74" s="43"/>
      <c r="YA74" s="44"/>
      <c r="YB74" s="44"/>
      <c r="YC74" s="44"/>
      <c r="YD74" s="44"/>
      <c r="YE74" s="44"/>
      <c r="YF74" s="43"/>
      <c r="YG74" s="43"/>
      <c r="YH74" s="43"/>
      <c r="YI74" s="43"/>
      <c r="YJ74" s="43"/>
      <c r="YK74" s="43"/>
      <c r="YL74" s="43"/>
      <c r="YM74" s="43"/>
      <c r="YN74" s="43"/>
      <c r="YO74" s="43"/>
      <c r="YP74" s="43"/>
      <c r="YQ74" s="43"/>
      <c r="YR74" s="43"/>
      <c r="YS74" s="43"/>
      <c r="YT74" s="43"/>
      <c r="YU74" s="43"/>
      <c r="YV74" s="43"/>
      <c r="YW74" s="43"/>
      <c r="YX74" s="43"/>
      <c r="YY74" s="43"/>
      <c r="YZ74" s="43"/>
      <c r="ZA74" s="43"/>
      <c r="ZB74" s="43"/>
      <c r="ZC74" s="43"/>
      <c r="ZD74" s="43"/>
      <c r="ZE74" s="43"/>
      <c r="ZF74" s="43"/>
      <c r="ZG74" s="43"/>
      <c r="ZH74" s="43"/>
      <c r="ZI74" s="43"/>
      <c r="ZJ74" s="43"/>
      <c r="ZK74" s="43"/>
      <c r="ZL74" s="43"/>
      <c r="ZM74" s="43"/>
      <c r="ZN74" s="43"/>
      <c r="ZO74" s="43"/>
      <c r="ZP74" s="43"/>
      <c r="ZQ74" s="43"/>
      <c r="ZR74" s="43"/>
      <c r="ZS74" s="43"/>
      <c r="ZT74" s="43"/>
      <c r="ZU74" s="43"/>
      <c r="ZV74" s="43"/>
      <c r="ZW74" s="44"/>
      <c r="ZX74" s="44"/>
      <c r="ZY74" s="44"/>
      <c r="ZZ74" s="44"/>
      <c r="AAA74" s="44"/>
      <c r="AAB74" s="44"/>
      <c r="AAC74" s="44"/>
      <c r="AAD74" s="44"/>
      <c r="AAE74" s="44"/>
      <c r="AAF74" s="44"/>
      <c r="AAG74" s="43"/>
      <c r="AAH74" s="43"/>
      <c r="AAI74" s="43"/>
      <c r="AAJ74" s="43"/>
      <c r="AAK74" s="43"/>
      <c r="AAL74" s="43"/>
      <c r="AAM74" s="43"/>
      <c r="AAN74" s="43"/>
      <c r="AAO74" s="43"/>
      <c r="AAP74" s="43"/>
      <c r="AAQ74" s="43"/>
      <c r="AAR74" s="43"/>
      <c r="AAS74" s="43"/>
      <c r="AAT74" s="43"/>
      <c r="AAU74" s="43"/>
      <c r="AAV74" s="43"/>
      <c r="AAW74" s="43"/>
      <c r="AAX74" s="43"/>
      <c r="AAY74" s="43"/>
      <c r="AAZ74" s="43"/>
      <c r="ABA74" s="43"/>
      <c r="ABB74" s="43"/>
      <c r="ABC74" s="43"/>
      <c r="ABD74" s="43"/>
      <c r="ABE74" s="43"/>
      <c r="ABF74" s="43"/>
      <c r="ABG74" s="43"/>
      <c r="ABH74" s="43"/>
      <c r="ABI74" s="43"/>
      <c r="ABJ74" s="43"/>
      <c r="ABK74" s="43"/>
      <c r="ABL74" s="43"/>
      <c r="ABM74" s="43"/>
      <c r="ABN74" s="43"/>
      <c r="ABO74" s="43"/>
      <c r="ABP74" s="43"/>
      <c r="ABQ74" s="43"/>
      <c r="ABR74" s="43"/>
      <c r="ABS74" s="43"/>
      <c r="ABT74" s="43"/>
      <c r="ABU74" s="43"/>
      <c r="ABV74" s="43"/>
      <c r="ABW74" s="43"/>
      <c r="ABX74" s="43"/>
      <c r="ABY74" s="43"/>
      <c r="ABZ74" s="43"/>
      <c r="ACA74" s="43"/>
      <c r="ACB74" s="43"/>
      <c r="ACC74" s="43"/>
      <c r="ACD74" s="43"/>
      <c r="ACE74" s="43"/>
      <c r="ACF74" s="43"/>
      <c r="ACG74" s="43"/>
      <c r="ACH74" s="45"/>
    </row>
    <row r="75" spans="1:762" x14ac:dyDescent="0.25">
      <c r="A75" s="46" t="s">
        <v>127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 t="s">
        <v>886</v>
      </c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  <c r="BW75" s="47"/>
      <c r="BX75" s="47"/>
      <c r="BY75" s="47"/>
      <c r="BZ75" s="47"/>
      <c r="CA75" s="47"/>
      <c r="CB75" s="47"/>
      <c r="CC75" s="47"/>
      <c r="CD75" s="47"/>
      <c r="CE75" s="47"/>
      <c r="CF75" s="47"/>
      <c r="CG75" s="47"/>
      <c r="CH75" s="47"/>
      <c r="CI75" s="47"/>
      <c r="CJ75" s="47"/>
      <c r="CK75" s="47"/>
      <c r="CL75" s="47"/>
      <c r="CM75" s="47"/>
      <c r="CN75" s="47"/>
      <c r="CO75" s="47"/>
      <c r="CP75" s="47"/>
      <c r="CQ75" s="47"/>
      <c r="CR75" s="47"/>
      <c r="CS75" s="47"/>
      <c r="CT75" s="47"/>
      <c r="CU75" s="47"/>
      <c r="CV75" s="47"/>
      <c r="CW75" s="47"/>
      <c r="CX75" s="47"/>
      <c r="CY75" s="47"/>
      <c r="CZ75" s="47"/>
      <c r="DA75" s="47"/>
      <c r="DB75" s="47"/>
      <c r="DC75" s="47"/>
      <c r="DD75" s="47"/>
      <c r="DE75" s="47"/>
      <c r="DF75" s="47"/>
      <c r="DG75" s="47"/>
      <c r="DH75" s="47"/>
      <c r="DI75" s="47"/>
      <c r="DJ75" s="47"/>
      <c r="DK75" s="47"/>
      <c r="DL75" s="47"/>
      <c r="DM75" s="47"/>
      <c r="DN75" s="47"/>
      <c r="DO75" s="47"/>
      <c r="DP75" s="47"/>
      <c r="DQ75" s="47"/>
      <c r="DR75" s="47"/>
      <c r="DS75" s="47"/>
      <c r="DT75" s="47"/>
      <c r="DU75" s="47"/>
      <c r="DV75" s="47"/>
      <c r="DW75" s="47"/>
      <c r="DX75" s="47"/>
      <c r="DY75" s="47"/>
      <c r="DZ75" s="47"/>
      <c r="EA75" s="47"/>
      <c r="EB75" s="47"/>
      <c r="EC75" s="47"/>
      <c r="ED75" s="47"/>
      <c r="EE75" s="47"/>
      <c r="EF75" s="47">
        <v>11.5</v>
      </c>
      <c r="EG75" s="47"/>
      <c r="EH75" s="47"/>
      <c r="EI75" s="47"/>
      <c r="EJ75" s="47"/>
      <c r="EK75" s="47"/>
      <c r="EL75" s="47"/>
      <c r="EM75" s="47"/>
      <c r="EN75" s="47"/>
      <c r="EO75" s="47"/>
      <c r="EP75" s="47"/>
      <c r="EQ75" s="47"/>
      <c r="ER75" s="47"/>
      <c r="ES75" s="47"/>
      <c r="ET75" s="47"/>
      <c r="EU75" s="47"/>
      <c r="EV75" s="47"/>
      <c r="EW75" s="47"/>
      <c r="EX75" s="47"/>
      <c r="EY75" s="47"/>
      <c r="EZ75" s="47"/>
      <c r="FA75" s="47"/>
      <c r="FB75" s="47">
        <v>61</v>
      </c>
      <c r="FC75" s="47"/>
      <c r="FD75" s="47"/>
      <c r="FE75" s="47"/>
      <c r="FF75" s="47"/>
      <c r="FG75" s="47"/>
      <c r="FH75" s="47"/>
      <c r="FI75" s="47"/>
      <c r="FJ75" s="47"/>
      <c r="FK75" s="47"/>
      <c r="FL75" s="47"/>
      <c r="FM75" s="47"/>
      <c r="FN75" s="47"/>
      <c r="FO75" s="47"/>
      <c r="FP75" s="47"/>
      <c r="FQ75" s="47"/>
      <c r="FR75" s="47"/>
      <c r="FS75" s="47"/>
      <c r="FT75" s="47"/>
      <c r="FU75" s="47"/>
      <c r="FV75" s="47"/>
      <c r="FW75" s="47"/>
      <c r="FX75" s="47"/>
      <c r="FY75" s="47"/>
      <c r="FZ75" s="47"/>
      <c r="GA75" s="47"/>
      <c r="GB75" s="47"/>
      <c r="GC75" s="47"/>
      <c r="GD75" s="47"/>
      <c r="GE75" s="47"/>
      <c r="GF75" s="47"/>
      <c r="GG75" s="47"/>
      <c r="GH75" s="47"/>
      <c r="GI75" s="47"/>
      <c r="GJ75" s="47"/>
      <c r="GK75" s="47"/>
      <c r="GL75" s="47"/>
      <c r="GM75" s="47"/>
      <c r="GN75" s="47"/>
      <c r="GO75" s="47"/>
      <c r="GP75" s="47"/>
      <c r="GQ75" s="47"/>
      <c r="GR75" s="47"/>
      <c r="GS75" s="47"/>
      <c r="GT75" s="47"/>
      <c r="GU75" s="47">
        <v>42.7</v>
      </c>
      <c r="GV75" s="47"/>
      <c r="GW75" s="47"/>
      <c r="GX75" s="47"/>
      <c r="GY75" s="47"/>
      <c r="GZ75" s="47"/>
      <c r="HA75" s="47"/>
      <c r="HB75" s="47"/>
      <c r="HC75" s="47"/>
      <c r="HD75" s="47"/>
      <c r="HE75" s="47"/>
      <c r="HF75" s="47"/>
      <c r="HG75" s="47"/>
      <c r="HH75" s="47"/>
      <c r="HI75" s="47"/>
      <c r="HJ75" s="47"/>
      <c r="HK75" s="47"/>
      <c r="HL75" s="47"/>
      <c r="HM75" s="47"/>
      <c r="HN75" s="47"/>
      <c r="HO75" s="47"/>
      <c r="HP75" s="47">
        <v>206</v>
      </c>
      <c r="HQ75" s="47"/>
      <c r="HR75" s="47"/>
      <c r="HS75" s="47"/>
      <c r="HT75" s="47"/>
      <c r="HU75" s="47"/>
      <c r="HV75" s="47"/>
      <c r="HW75" s="47"/>
      <c r="HX75" s="47"/>
      <c r="HY75" s="47"/>
      <c r="HZ75" s="47"/>
      <c r="IA75" s="47"/>
      <c r="IB75" s="47"/>
      <c r="IC75" s="47"/>
      <c r="ID75" s="47"/>
      <c r="IE75" s="47"/>
      <c r="IF75" s="47"/>
      <c r="IG75" s="47"/>
      <c r="IH75" s="47"/>
      <c r="II75" s="47"/>
      <c r="IJ75" s="47"/>
      <c r="IK75" s="47"/>
      <c r="IL75" s="47"/>
      <c r="IM75" s="47"/>
      <c r="IN75" s="47"/>
      <c r="IO75" s="47"/>
      <c r="IP75" s="47"/>
      <c r="IQ75" s="47"/>
      <c r="IR75" s="47"/>
      <c r="IS75" s="47"/>
      <c r="IT75" s="47"/>
      <c r="IU75" s="47"/>
      <c r="IV75" s="47"/>
      <c r="IW75" s="47"/>
      <c r="IX75" s="47"/>
      <c r="IY75" s="47"/>
      <c r="IZ75" s="47"/>
      <c r="JA75" s="47"/>
      <c r="JB75" s="47"/>
      <c r="JC75" s="47"/>
      <c r="JD75" s="47"/>
      <c r="JE75" s="47"/>
      <c r="JF75" s="47"/>
      <c r="JG75" s="47"/>
      <c r="JH75" s="47">
        <v>200</v>
      </c>
      <c r="JI75" s="47"/>
      <c r="JJ75" s="47"/>
      <c r="JK75" s="47"/>
      <c r="JL75" s="47"/>
      <c r="JM75" s="47"/>
      <c r="JN75" s="47"/>
      <c r="JO75" s="47"/>
      <c r="JP75" s="47"/>
      <c r="JQ75" s="47"/>
      <c r="JR75" s="47"/>
      <c r="JS75" s="47"/>
      <c r="JT75" s="47"/>
      <c r="JU75" s="47"/>
      <c r="JV75" s="47"/>
      <c r="JW75" s="47"/>
      <c r="JX75" s="47"/>
      <c r="JY75" s="47"/>
      <c r="JZ75" s="47"/>
      <c r="KA75" s="47">
        <v>705</v>
      </c>
      <c r="KB75" s="47"/>
      <c r="KC75" s="47"/>
      <c r="KD75" s="47"/>
      <c r="KE75" s="47"/>
      <c r="KF75" s="47"/>
      <c r="KG75" s="47"/>
      <c r="KH75" s="47"/>
      <c r="KI75" s="47"/>
      <c r="KJ75" s="47"/>
      <c r="KK75" s="47"/>
      <c r="KL75" s="47"/>
      <c r="KM75" s="47"/>
      <c r="KN75" s="47"/>
      <c r="KO75" s="47"/>
      <c r="KP75" s="47"/>
      <c r="KQ75" s="47"/>
      <c r="KR75" s="47"/>
      <c r="KS75" s="47"/>
      <c r="KT75" s="47"/>
      <c r="KU75" s="47"/>
      <c r="KV75" s="47"/>
      <c r="KW75" s="47"/>
      <c r="KX75" s="47"/>
      <c r="KY75" s="47"/>
      <c r="KZ75" s="47"/>
      <c r="LA75" s="47"/>
      <c r="LB75" s="47"/>
      <c r="LC75" s="47"/>
      <c r="LD75" s="47"/>
      <c r="LE75" s="47"/>
      <c r="LF75" s="47"/>
      <c r="LG75" s="47"/>
      <c r="LH75" s="47"/>
      <c r="LI75" s="47"/>
      <c r="LJ75" s="47"/>
      <c r="LK75" s="47"/>
      <c r="LL75" s="47"/>
      <c r="LM75" s="47"/>
      <c r="LN75" s="47"/>
      <c r="LO75" s="47"/>
      <c r="LP75" s="47"/>
      <c r="LQ75" s="47"/>
      <c r="LR75" s="47"/>
      <c r="LS75" s="47"/>
      <c r="LT75" s="47"/>
      <c r="LU75" s="47"/>
      <c r="LV75" s="47"/>
      <c r="LW75" s="47"/>
      <c r="LX75" s="47"/>
      <c r="LY75" s="47"/>
      <c r="LZ75" s="47"/>
      <c r="MA75" s="47"/>
      <c r="MB75" s="47"/>
      <c r="MC75" s="47"/>
      <c r="MD75" s="47"/>
      <c r="ME75" s="47"/>
      <c r="MF75" s="47"/>
      <c r="MG75" s="47"/>
      <c r="MH75" s="47"/>
      <c r="MI75" s="47"/>
      <c r="MJ75" s="47"/>
      <c r="MK75" s="47"/>
      <c r="ML75" s="47"/>
      <c r="MM75" s="47"/>
      <c r="MN75" s="47"/>
      <c r="MO75" s="47"/>
      <c r="MP75" s="47"/>
      <c r="MQ75" s="47"/>
      <c r="MR75" s="47"/>
      <c r="MS75" s="47"/>
      <c r="MT75" s="47"/>
      <c r="MU75" s="47"/>
      <c r="MV75" s="47"/>
      <c r="MW75" s="47"/>
      <c r="MX75" s="47"/>
      <c r="MY75" s="47"/>
      <c r="MZ75" s="47"/>
      <c r="NA75" s="47"/>
      <c r="NB75" s="47"/>
      <c r="NC75" s="47"/>
      <c r="ND75" s="47"/>
      <c r="NE75" s="47"/>
      <c r="NF75" s="47"/>
      <c r="NG75" s="47"/>
      <c r="NH75" s="47"/>
      <c r="NI75" s="47"/>
      <c r="NJ75" s="44"/>
      <c r="NK75" s="44"/>
      <c r="NL75" s="44"/>
      <c r="NM75" s="44"/>
      <c r="NN75" s="44"/>
      <c r="NO75" s="47"/>
      <c r="NP75" s="47"/>
      <c r="NQ75" s="47"/>
      <c r="NR75" s="47"/>
      <c r="NS75" s="47"/>
      <c r="NT75" s="47"/>
      <c r="NU75" s="47"/>
      <c r="NV75" s="47"/>
      <c r="NW75" s="47"/>
      <c r="NX75" s="47"/>
      <c r="NY75" s="47"/>
      <c r="NZ75" s="47"/>
      <c r="OA75" s="47"/>
      <c r="OB75" s="47"/>
      <c r="OC75" s="47"/>
      <c r="OD75" s="47"/>
      <c r="OE75" s="47"/>
      <c r="OF75" s="47"/>
      <c r="OG75" s="47"/>
      <c r="OH75" s="47"/>
      <c r="OI75" s="47"/>
      <c r="OJ75" s="47"/>
      <c r="OK75" s="47"/>
      <c r="OL75" s="47"/>
      <c r="OM75" s="47"/>
      <c r="ON75" s="47"/>
      <c r="OO75" s="47"/>
      <c r="OP75" s="47"/>
      <c r="OQ75" s="47"/>
      <c r="OR75" s="47"/>
      <c r="OS75" s="47"/>
      <c r="OT75" s="47"/>
      <c r="OU75" s="47"/>
      <c r="OV75" s="47"/>
      <c r="OW75" s="47"/>
      <c r="OX75" s="47"/>
      <c r="OY75" s="47"/>
      <c r="OZ75" s="47"/>
      <c r="PA75" s="47"/>
      <c r="PB75" s="47"/>
      <c r="PC75" s="47"/>
      <c r="PD75" s="47"/>
      <c r="PE75" s="47"/>
      <c r="PF75" s="47"/>
      <c r="PG75" s="47"/>
      <c r="PH75" s="47"/>
      <c r="PI75" s="47"/>
      <c r="PJ75" s="47"/>
      <c r="PK75" s="47"/>
      <c r="PL75" s="47"/>
      <c r="PM75" s="47"/>
      <c r="PN75" s="47"/>
      <c r="PO75" s="47"/>
      <c r="PP75" s="47"/>
      <c r="PQ75" s="47"/>
      <c r="PR75" s="47"/>
      <c r="PS75" s="47"/>
      <c r="PT75" s="47"/>
      <c r="PU75" s="47"/>
      <c r="PV75" s="47"/>
      <c r="PW75" s="47"/>
      <c r="PX75" s="47"/>
      <c r="PY75" s="47"/>
      <c r="PZ75" s="47"/>
      <c r="QA75" s="47"/>
      <c r="QB75" s="47"/>
      <c r="QC75" s="47"/>
      <c r="QD75" s="47"/>
      <c r="QE75" s="47"/>
      <c r="QF75" s="47"/>
      <c r="QG75" s="47"/>
      <c r="QH75" s="47"/>
      <c r="QI75" s="47"/>
      <c r="QJ75" s="47"/>
      <c r="QK75" s="47">
        <v>87</v>
      </c>
      <c r="QL75" s="47"/>
      <c r="QM75" s="47"/>
      <c r="QN75" s="47"/>
      <c r="QO75" s="47"/>
      <c r="QP75" s="47"/>
      <c r="QQ75" s="47"/>
      <c r="QR75" s="47"/>
      <c r="QS75" s="47"/>
      <c r="QT75" s="47"/>
      <c r="QU75" s="47"/>
      <c r="QV75" s="47"/>
      <c r="QW75" s="47"/>
      <c r="QX75" s="47"/>
      <c r="QY75" s="47"/>
      <c r="QZ75" s="47"/>
      <c r="RA75" s="47"/>
      <c r="RB75" s="47"/>
      <c r="RC75" s="47"/>
      <c r="RD75" s="47"/>
      <c r="RE75" s="47"/>
      <c r="RF75" s="47">
        <v>188</v>
      </c>
      <c r="RG75" s="47"/>
      <c r="RH75" s="47"/>
      <c r="RI75" s="47"/>
      <c r="RJ75" s="47"/>
      <c r="RK75" s="47"/>
      <c r="RL75" s="47"/>
      <c r="RM75" s="47"/>
      <c r="RN75" s="47"/>
      <c r="RO75" s="47"/>
      <c r="RP75" s="47"/>
      <c r="RQ75" s="47"/>
      <c r="RR75" s="47"/>
      <c r="RS75" s="47"/>
      <c r="RT75" s="47"/>
      <c r="RU75" s="47"/>
      <c r="RV75" s="47"/>
      <c r="RW75" s="47"/>
      <c r="RX75" s="47"/>
      <c r="RY75" s="47"/>
      <c r="RZ75" s="47"/>
      <c r="SA75" s="47"/>
      <c r="SB75" s="47"/>
      <c r="SC75" s="47"/>
      <c r="SD75" s="47"/>
      <c r="SE75" s="47"/>
      <c r="SF75" s="47"/>
      <c r="SG75" s="47"/>
      <c r="SH75" s="47"/>
      <c r="SI75" s="47"/>
      <c r="SJ75" s="47"/>
      <c r="SK75" s="47"/>
      <c r="SL75" s="47"/>
      <c r="SM75" s="47"/>
      <c r="SN75" s="47"/>
      <c r="SO75" s="47"/>
      <c r="SP75" s="47"/>
      <c r="SQ75" s="47"/>
      <c r="SR75" s="47"/>
      <c r="SS75" s="47"/>
      <c r="ST75" s="47"/>
      <c r="SU75" s="47"/>
      <c r="SV75" s="47"/>
      <c r="SW75" s="47"/>
      <c r="SX75" s="47"/>
      <c r="SY75" s="47"/>
      <c r="SZ75" s="47"/>
      <c r="TA75" s="47"/>
      <c r="TB75" s="47"/>
      <c r="TC75" s="47"/>
      <c r="TD75" s="47"/>
      <c r="TE75" s="47"/>
      <c r="TF75" s="47"/>
      <c r="TG75" s="47"/>
      <c r="TH75" s="47"/>
      <c r="TI75" s="47"/>
      <c r="TJ75" s="47"/>
      <c r="TK75" s="47"/>
      <c r="TL75" s="47"/>
      <c r="TM75" s="47"/>
      <c r="TN75" s="47"/>
      <c r="TO75" s="47"/>
      <c r="TP75" s="47"/>
      <c r="TQ75" s="47"/>
      <c r="TR75" s="47"/>
      <c r="TS75" s="47"/>
      <c r="TT75" s="47"/>
      <c r="TU75" s="47"/>
      <c r="TV75" s="47"/>
      <c r="TW75" s="47"/>
      <c r="TX75" s="47"/>
      <c r="TY75" s="47"/>
      <c r="TZ75" s="47"/>
      <c r="UA75" s="47"/>
      <c r="UB75" s="47"/>
      <c r="UC75" s="47"/>
      <c r="UD75" s="47"/>
      <c r="UE75" s="47"/>
      <c r="UF75" s="47"/>
      <c r="UG75" s="47"/>
      <c r="UH75" s="47"/>
      <c r="UI75" s="47"/>
      <c r="UJ75" s="47"/>
      <c r="UK75" s="47"/>
      <c r="UL75" s="47"/>
      <c r="UM75" s="47"/>
      <c r="UN75" s="47"/>
      <c r="UO75" s="47"/>
      <c r="UP75" s="47"/>
      <c r="UQ75" s="47"/>
      <c r="UR75" s="47"/>
      <c r="US75" s="47"/>
      <c r="UT75" s="47"/>
      <c r="UU75" s="47"/>
      <c r="UV75" s="47"/>
      <c r="UW75" s="47"/>
      <c r="UX75" s="47"/>
      <c r="UY75" s="47"/>
      <c r="UZ75" s="47"/>
      <c r="VA75" s="47"/>
      <c r="VB75" s="47"/>
      <c r="VC75" s="47"/>
      <c r="VD75" s="47"/>
      <c r="VE75" s="47">
        <v>0.96</v>
      </c>
      <c r="VF75" s="47"/>
      <c r="VG75" s="47"/>
      <c r="VH75" s="47"/>
      <c r="VI75" s="47"/>
      <c r="VJ75" s="47"/>
      <c r="VK75" s="47"/>
      <c r="VL75" s="47"/>
      <c r="VM75" s="47"/>
      <c r="VN75" s="47"/>
      <c r="VO75" s="47"/>
      <c r="VP75" s="47"/>
      <c r="VQ75" s="47">
        <v>0.88</v>
      </c>
      <c r="VR75" s="47"/>
      <c r="VS75" s="47"/>
      <c r="VT75" s="47"/>
      <c r="VU75" s="47"/>
      <c r="VV75" s="47"/>
      <c r="VW75" s="47"/>
      <c r="VX75" s="47"/>
      <c r="VY75" s="47"/>
      <c r="VZ75" s="47"/>
      <c r="WA75" s="47"/>
      <c r="WB75" s="47"/>
      <c r="WC75" s="47"/>
      <c r="WD75" s="47"/>
      <c r="WE75" s="47"/>
      <c r="WF75" s="47"/>
      <c r="WG75" s="47"/>
      <c r="WH75" s="47"/>
      <c r="WI75" s="47"/>
      <c r="WJ75" s="47"/>
      <c r="WK75" s="47"/>
      <c r="WL75" s="47"/>
      <c r="WM75" s="47"/>
      <c r="WN75" s="47"/>
      <c r="WO75" s="47"/>
      <c r="WP75" s="47"/>
      <c r="WQ75" s="47"/>
      <c r="WR75" s="47"/>
      <c r="WS75" s="47"/>
      <c r="WT75" s="47"/>
      <c r="WU75" s="47"/>
      <c r="WV75" s="47"/>
      <c r="WW75" s="47"/>
      <c r="WX75" s="47"/>
      <c r="WY75" s="47"/>
      <c r="WZ75" s="47"/>
      <c r="XA75" s="47"/>
      <c r="XB75" s="47"/>
      <c r="XC75" s="47"/>
      <c r="XD75" s="47"/>
      <c r="XE75" s="47"/>
      <c r="XF75" s="47"/>
      <c r="XG75" s="47"/>
      <c r="XH75" s="47"/>
      <c r="XI75" s="47"/>
      <c r="XJ75" s="47"/>
      <c r="XK75" s="47"/>
      <c r="XL75" s="47"/>
      <c r="XM75" s="47"/>
      <c r="XN75" s="47"/>
      <c r="XO75" s="47"/>
      <c r="XP75" s="47"/>
      <c r="XQ75" s="47"/>
      <c r="XR75" s="47"/>
      <c r="XS75" s="47"/>
      <c r="XT75" s="47"/>
      <c r="XU75" s="47"/>
      <c r="XV75" s="47"/>
      <c r="XW75" s="47"/>
      <c r="XX75" s="47"/>
      <c r="XY75" s="47"/>
      <c r="XZ75" s="47"/>
      <c r="YA75" s="44"/>
      <c r="YB75" s="44"/>
      <c r="YC75" s="44"/>
      <c r="YD75" s="44"/>
      <c r="YE75" s="44"/>
      <c r="YF75" s="47"/>
      <c r="YG75" s="47"/>
      <c r="YH75" s="47"/>
      <c r="YI75" s="47"/>
      <c r="YJ75" s="47"/>
      <c r="YK75" s="47"/>
      <c r="YL75" s="47"/>
      <c r="YM75" s="47"/>
      <c r="YN75" s="47"/>
      <c r="YO75" s="47"/>
      <c r="YP75" s="47"/>
      <c r="YQ75" s="47"/>
      <c r="YR75" s="47"/>
      <c r="YS75" s="47"/>
      <c r="YT75" s="47"/>
      <c r="YU75" s="47"/>
      <c r="YV75" s="47"/>
      <c r="YW75" s="47"/>
      <c r="YX75" s="47"/>
      <c r="YY75" s="47"/>
      <c r="YZ75" s="47"/>
      <c r="ZA75" s="47"/>
      <c r="ZB75" s="47"/>
      <c r="ZC75" s="47"/>
      <c r="ZD75" s="47"/>
      <c r="ZE75" s="47"/>
      <c r="ZF75" s="47"/>
      <c r="ZG75" s="47"/>
      <c r="ZH75" s="47"/>
      <c r="ZI75" s="47"/>
      <c r="ZJ75" s="47"/>
      <c r="ZK75" s="47"/>
      <c r="ZL75" s="47"/>
      <c r="ZM75" s="47"/>
      <c r="ZN75" s="47"/>
      <c r="ZO75" s="47"/>
      <c r="ZP75" s="47"/>
      <c r="ZQ75" s="47"/>
      <c r="ZR75" s="47"/>
      <c r="ZS75" s="47"/>
      <c r="ZT75" s="47"/>
      <c r="ZU75" s="47"/>
      <c r="ZV75" s="47"/>
      <c r="ZW75" s="44"/>
      <c r="ZX75" s="44"/>
      <c r="ZY75" s="44"/>
      <c r="ZZ75" s="44"/>
      <c r="AAA75" s="44"/>
      <c r="AAB75" s="44"/>
      <c r="AAC75" s="44"/>
      <c r="AAD75" s="44"/>
      <c r="AAE75" s="44"/>
      <c r="AAF75" s="44"/>
      <c r="AAG75" s="47"/>
      <c r="AAH75" s="47"/>
      <c r="AAI75" s="47"/>
      <c r="AAJ75" s="47"/>
      <c r="AAK75" s="47"/>
      <c r="AAL75" s="47"/>
      <c r="AAM75" s="47"/>
      <c r="AAN75" s="47"/>
      <c r="AAO75" s="47"/>
      <c r="AAP75" s="47"/>
      <c r="AAQ75" s="47"/>
      <c r="AAR75" s="47"/>
      <c r="AAS75" s="47"/>
      <c r="AAT75" s="47"/>
      <c r="AAU75" s="47"/>
      <c r="AAV75" s="47"/>
      <c r="AAW75" s="47"/>
      <c r="AAX75" s="47"/>
      <c r="AAY75" s="47"/>
      <c r="AAZ75" s="47"/>
      <c r="ABA75" s="47"/>
      <c r="ABB75" s="47"/>
      <c r="ABC75" s="47"/>
      <c r="ABD75" s="47"/>
      <c r="ABE75" s="47"/>
      <c r="ABF75" s="47"/>
      <c r="ABG75" s="47"/>
      <c r="ABH75" s="47"/>
      <c r="ABI75" s="47"/>
      <c r="ABJ75" s="47"/>
      <c r="ABK75" s="47"/>
      <c r="ABL75" s="47"/>
      <c r="ABM75" s="47"/>
      <c r="ABN75" s="47"/>
      <c r="ABO75" s="47"/>
      <c r="ABP75" s="47"/>
      <c r="ABQ75" s="47"/>
      <c r="ABR75" s="47"/>
      <c r="ABS75" s="47"/>
      <c r="ABT75" s="47"/>
      <c r="ABU75" s="47"/>
      <c r="ABV75" s="47"/>
      <c r="ABW75" s="47"/>
      <c r="ABX75" s="47"/>
      <c r="ABY75" s="47"/>
      <c r="ABZ75" s="47"/>
      <c r="ACA75" s="47"/>
      <c r="ACB75" s="47"/>
      <c r="ACC75" s="47"/>
      <c r="ACD75" s="47"/>
      <c r="ACE75" s="47"/>
      <c r="ACF75" s="47"/>
      <c r="ACG75" s="47"/>
      <c r="ACH75" s="48"/>
    </row>
    <row r="76" spans="1:762" x14ac:dyDescent="0.25">
      <c r="A76" s="42" t="s">
        <v>128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43"/>
      <c r="BI76" s="43"/>
      <c r="BJ76" s="43"/>
      <c r="BK76" s="43"/>
      <c r="BL76" s="43"/>
      <c r="BM76" s="43"/>
      <c r="BN76" s="43"/>
      <c r="BO76" s="43"/>
      <c r="BP76" s="43"/>
      <c r="BQ76" s="43"/>
      <c r="BR76" s="43"/>
      <c r="BS76" s="43"/>
      <c r="BT76" s="43"/>
      <c r="BU76" s="43"/>
      <c r="BV76" s="43"/>
      <c r="BW76" s="43"/>
      <c r="BX76" s="43"/>
      <c r="BY76" s="43"/>
      <c r="BZ76" s="43"/>
      <c r="CA76" s="43"/>
      <c r="CB76" s="43"/>
      <c r="CC76" s="43"/>
      <c r="CD76" s="43"/>
      <c r="CE76" s="43"/>
      <c r="CF76" s="43"/>
      <c r="CG76" s="43"/>
      <c r="CH76" s="43"/>
      <c r="CI76" s="43"/>
      <c r="CJ76" s="43"/>
      <c r="CK76" s="43"/>
      <c r="CL76" s="43"/>
      <c r="CM76" s="43"/>
      <c r="CN76" s="43"/>
      <c r="CO76" s="43"/>
      <c r="CP76" s="43"/>
      <c r="CQ76" s="43"/>
      <c r="CR76" s="43"/>
      <c r="CS76" s="43"/>
      <c r="CT76" s="43"/>
      <c r="CU76" s="43"/>
      <c r="CV76" s="43"/>
      <c r="CW76" s="43"/>
      <c r="CX76" s="43"/>
      <c r="CY76" s="43"/>
      <c r="CZ76" s="43"/>
      <c r="DA76" s="43"/>
      <c r="DB76" s="43"/>
      <c r="DC76" s="43"/>
      <c r="DD76" s="43"/>
      <c r="DE76" s="43"/>
      <c r="DF76" s="43"/>
      <c r="DG76" s="43"/>
      <c r="DH76" s="43"/>
      <c r="DI76" s="43"/>
      <c r="DJ76" s="43"/>
      <c r="DK76" s="43"/>
      <c r="DL76" s="43"/>
      <c r="DM76" s="43"/>
      <c r="DN76" s="43"/>
      <c r="DO76" s="43"/>
      <c r="DP76" s="43"/>
      <c r="DQ76" s="43" t="s">
        <v>887</v>
      </c>
      <c r="DR76" s="43"/>
      <c r="DS76" s="43"/>
      <c r="DT76" s="43"/>
      <c r="DU76" s="43"/>
      <c r="DV76" s="43"/>
      <c r="DW76" s="43"/>
      <c r="DX76" s="43"/>
      <c r="DY76" s="43"/>
      <c r="DZ76" s="43"/>
      <c r="EA76" s="43"/>
      <c r="EB76" s="43"/>
      <c r="EC76" s="43"/>
      <c r="ED76" s="43"/>
      <c r="EE76" s="43"/>
      <c r="EF76" s="43">
        <v>64</v>
      </c>
      <c r="EG76" s="43"/>
      <c r="EH76" s="43"/>
      <c r="EI76" s="43"/>
      <c r="EJ76" s="43"/>
      <c r="EK76" s="43"/>
      <c r="EL76" s="43"/>
      <c r="EM76" s="43"/>
      <c r="EN76" s="43"/>
      <c r="EO76" s="43"/>
      <c r="EP76" s="43"/>
      <c r="EQ76" s="43"/>
      <c r="ER76" s="43"/>
      <c r="ES76" s="43"/>
      <c r="ET76" s="43">
        <v>338</v>
      </c>
      <c r="EU76" s="43"/>
      <c r="EV76" s="43"/>
      <c r="EW76" s="43"/>
      <c r="EX76" s="43">
        <v>705</v>
      </c>
      <c r="EY76" s="43"/>
      <c r="EZ76" s="43"/>
      <c r="FA76" s="43"/>
      <c r="FB76" s="43"/>
      <c r="FC76" s="43"/>
      <c r="FD76" s="43"/>
      <c r="FE76" s="43"/>
      <c r="FF76" s="43"/>
      <c r="FG76" s="43"/>
      <c r="FH76" s="43"/>
      <c r="FI76" s="43"/>
      <c r="FJ76" s="43"/>
      <c r="FK76" s="43"/>
      <c r="FL76" s="43"/>
      <c r="FM76" s="43"/>
      <c r="FN76" s="43"/>
      <c r="FO76" s="43"/>
      <c r="FP76" s="43"/>
      <c r="FQ76" s="43"/>
      <c r="FR76" s="43"/>
      <c r="FS76" s="43"/>
      <c r="FT76" s="43"/>
      <c r="FU76" s="43"/>
      <c r="FV76" s="43"/>
      <c r="FW76" s="43"/>
      <c r="FX76" s="43"/>
      <c r="FY76" s="43"/>
      <c r="FZ76" s="43"/>
      <c r="GA76" s="43"/>
      <c r="GB76" s="43">
        <v>24</v>
      </c>
      <c r="GC76" s="43"/>
      <c r="GD76" s="43"/>
      <c r="GE76" s="43"/>
      <c r="GF76" s="43"/>
      <c r="GG76" s="43"/>
      <c r="GH76" s="43"/>
      <c r="GI76" s="43"/>
      <c r="GJ76" s="43"/>
      <c r="GK76" s="43"/>
      <c r="GL76" s="43"/>
      <c r="GM76" s="43"/>
      <c r="GN76" s="43"/>
      <c r="GO76" s="43"/>
      <c r="GP76" s="43"/>
      <c r="GQ76" s="43"/>
      <c r="GR76" s="43"/>
      <c r="GS76" s="43"/>
      <c r="GT76" s="43"/>
      <c r="GU76" s="43">
        <v>81</v>
      </c>
      <c r="GV76" s="43"/>
      <c r="GW76" s="43"/>
      <c r="GX76" s="43"/>
      <c r="GY76" s="43"/>
      <c r="GZ76" s="43"/>
      <c r="HA76" s="43"/>
      <c r="HB76" s="43"/>
      <c r="HC76" s="43"/>
      <c r="HD76" s="43"/>
      <c r="HE76" s="43"/>
      <c r="HF76" s="43"/>
      <c r="HG76" s="43"/>
      <c r="HH76" s="43">
        <v>114</v>
      </c>
      <c r="HI76" s="43"/>
      <c r="HJ76" s="43"/>
      <c r="HK76" s="43"/>
      <c r="HL76" s="43"/>
      <c r="HM76" s="43">
        <v>623</v>
      </c>
      <c r="HN76" s="43"/>
      <c r="HO76" s="43"/>
      <c r="HP76" s="43"/>
      <c r="HQ76" s="43"/>
      <c r="HR76" s="43"/>
      <c r="HS76" s="43"/>
      <c r="HT76" s="43"/>
      <c r="HU76" s="43"/>
      <c r="HV76" s="43"/>
      <c r="HW76" s="43"/>
      <c r="HX76" s="43"/>
      <c r="HY76" s="43"/>
      <c r="HZ76" s="43"/>
      <c r="IA76" s="43"/>
      <c r="IB76" s="43"/>
      <c r="IC76" s="43"/>
      <c r="ID76" s="43"/>
      <c r="IE76" s="43"/>
      <c r="IF76" s="43"/>
      <c r="IG76" s="43"/>
      <c r="IH76" s="43"/>
      <c r="II76" s="43"/>
      <c r="IJ76" s="43"/>
      <c r="IK76" s="43"/>
      <c r="IL76" s="43"/>
      <c r="IM76" s="43"/>
      <c r="IN76" s="43"/>
      <c r="IO76" s="43">
        <v>66</v>
      </c>
      <c r="IP76" s="43"/>
      <c r="IQ76" s="43"/>
      <c r="IR76" s="43"/>
      <c r="IS76" s="43"/>
      <c r="IT76" s="43"/>
      <c r="IU76" s="43"/>
      <c r="IV76" s="43"/>
      <c r="IW76" s="43"/>
      <c r="IX76" s="43"/>
      <c r="IY76" s="43"/>
      <c r="IZ76" s="43"/>
      <c r="JA76" s="43"/>
      <c r="JB76" s="43"/>
      <c r="JC76" s="43"/>
      <c r="JD76" s="43"/>
      <c r="JE76" s="43"/>
      <c r="JF76" s="43"/>
      <c r="JG76" s="43"/>
      <c r="JH76" s="43">
        <v>109</v>
      </c>
      <c r="JI76" s="43"/>
      <c r="JJ76" s="43"/>
      <c r="JK76" s="43"/>
      <c r="JL76" s="43"/>
      <c r="JM76" s="43"/>
      <c r="JN76" s="43"/>
      <c r="JO76" s="43"/>
      <c r="JP76" s="43"/>
      <c r="JQ76" s="43"/>
      <c r="JR76" s="43"/>
      <c r="JS76" s="43">
        <v>492</v>
      </c>
      <c r="JT76" s="43"/>
      <c r="JU76" s="43"/>
      <c r="JV76" s="43"/>
      <c r="JW76" s="43">
        <v>1445</v>
      </c>
      <c r="JX76" s="43"/>
      <c r="JY76" s="43"/>
      <c r="JZ76" s="43"/>
      <c r="KA76" s="43"/>
      <c r="KB76" s="43"/>
      <c r="KC76" s="43"/>
      <c r="KD76" s="43"/>
      <c r="KE76" s="43"/>
      <c r="KF76" s="43"/>
      <c r="KG76" s="43"/>
      <c r="KH76" s="43"/>
      <c r="KI76" s="43"/>
      <c r="KJ76" s="43"/>
      <c r="KK76" s="43"/>
      <c r="KL76" s="43"/>
      <c r="KM76" s="43"/>
      <c r="KN76" s="43"/>
      <c r="KO76" s="43"/>
      <c r="KP76" s="43"/>
      <c r="KQ76" s="43"/>
      <c r="KR76" s="43"/>
      <c r="KS76" s="43"/>
      <c r="KT76" s="43"/>
      <c r="KU76" s="43"/>
      <c r="KV76" s="43"/>
      <c r="KW76" s="43"/>
      <c r="KX76" s="43"/>
      <c r="KY76" s="43"/>
      <c r="KZ76" s="43"/>
      <c r="LA76" s="43"/>
      <c r="LB76" s="43"/>
      <c r="LC76" s="43"/>
      <c r="LD76" s="43"/>
      <c r="LE76" s="43"/>
      <c r="LF76" s="43"/>
      <c r="LG76" s="43"/>
      <c r="LH76" s="43"/>
      <c r="LI76" s="43"/>
      <c r="LJ76" s="43"/>
      <c r="LK76" s="43"/>
      <c r="LL76" s="43"/>
      <c r="LM76" s="43"/>
      <c r="LN76" s="43"/>
      <c r="LO76" s="43"/>
      <c r="LP76" s="43"/>
      <c r="LQ76" s="43"/>
      <c r="LR76" s="43"/>
      <c r="LS76" s="43"/>
      <c r="LT76" s="43"/>
      <c r="LU76" s="43"/>
      <c r="LV76" s="43"/>
      <c r="LW76" s="43"/>
      <c r="LX76" s="43"/>
      <c r="LY76" s="43"/>
      <c r="LZ76" s="43"/>
      <c r="MA76" s="43"/>
      <c r="MB76" s="43"/>
      <c r="MC76" s="43"/>
      <c r="MD76" s="43"/>
      <c r="ME76" s="43"/>
      <c r="MF76" s="43"/>
      <c r="MG76" s="43"/>
      <c r="MH76" s="43"/>
      <c r="MI76" s="43"/>
      <c r="MJ76" s="43"/>
      <c r="MK76" s="43"/>
      <c r="ML76" s="43"/>
      <c r="MM76" s="43"/>
      <c r="MN76" s="43"/>
      <c r="MO76" s="43"/>
      <c r="MP76" s="43"/>
      <c r="MQ76" s="43"/>
      <c r="MR76" s="43"/>
      <c r="MS76" s="43"/>
      <c r="MT76" s="43"/>
      <c r="MU76" s="43"/>
      <c r="MV76" s="43"/>
      <c r="MW76" s="43"/>
      <c r="MX76" s="43"/>
      <c r="MY76" s="43"/>
      <c r="MZ76" s="43"/>
      <c r="NA76" s="43"/>
      <c r="NB76" s="43"/>
      <c r="NC76" s="43"/>
      <c r="ND76" s="43"/>
      <c r="NE76" s="43"/>
      <c r="NF76" s="43"/>
      <c r="NG76" s="43"/>
      <c r="NH76" s="43"/>
      <c r="NI76" s="43"/>
      <c r="NJ76" s="44"/>
      <c r="NK76" s="44"/>
      <c r="NL76" s="44"/>
      <c r="NM76" s="44"/>
      <c r="NN76" s="44"/>
      <c r="NO76" s="43">
        <v>52.6</v>
      </c>
      <c r="NP76" s="43"/>
      <c r="NQ76" s="43"/>
      <c r="NR76" s="43"/>
      <c r="NS76" s="43"/>
      <c r="NT76" s="43"/>
      <c r="NU76" s="43"/>
      <c r="NV76" s="43"/>
      <c r="NW76" s="43"/>
      <c r="NX76" s="43"/>
      <c r="NY76" s="43"/>
      <c r="NZ76" s="43"/>
      <c r="OA76" s="43"/>
      <c r="OB76" s="43"/>
      <c r="OC76" s="43">
        <v>28.2</v>
      </c>
      <c r="OD76" s="43"/>
      <c r="OE76" s="43"/>
      <c r="OF76" s="43"/>
      <c r="OG76" s="43"/>
      <c r="OH76" s="43"/>
      <c r="OI76" s="43"/>
      <c r="OJ76" s="43"/>
      <c r="OK76" s="43"/>
      <c r="OL76" s="43"/>
      <c r="OM76" s="43"/>
      <c r="ON76" s="43"/>
      <c r="OO76" s="43"/>
      <c r="OP76" s="43"/>
      <c r="OQ76" s="43"/>
      <c r="OR76" s="43"/>
      <c r="OS76" s="43"/>
      <c r="OT76" s="43"/>
      <c r="OU76" s="43"/>
      <c r="OV76" s="43"/>
      <c r="OW76" s="43"/>
      <c r="OX76" s="43"/>
      <c r="OY76" s="43"/>
      <c r="OZ76" s="43"/>
      <c r="PA76" s="43"/>
      <c r="PB76" s="43"/>
      <c r="PC76" s="43"/>
      <c r="PD76" s="43"/>
      <c r="PE76" s="43"/>
      <c r="PF76" s="43"/>
      <c r="PG76" s="43"/>
      <c r="PH76" s="43"/>
      <c r="PI76" s="43"/>
      <c r="PJ76" s="43"/>
      <c r="PK76" s="43"/>
      <c r="PL76" s="43"/>
      <c r="PM76" s="43"/>
      <c r="PN76" s="43"/>
      <c r="PO76" s="43"/>
      <c r="PP76" s="43"/>
      <c r="PQ76" s="43"/>
      <c r="PR76" s="43"/>
      <c r="PS76" s="43"/>
      <c r="PT76" s="43"/>
      <c r="PU76" s="43"/>
      <c r="PV76" s="43"/>
      <c r="PW76" s="43"/>
      <c r="PX76" s="43"/>
      <c r="PY76" s="43"/>
      <c r="PZ76" s="43"/>
      <c r="QA76" s="43"/>
      <c r="QB76" s="43"/>
      <c r="QC76" s="43"/>
      <c r="QD76" s="43"/>
      <c r="QE76" s="43"/>
      <c r="QF76" s="43"/>
      <c r="QG76" s="43"/>
      <c r="QH76" s="43"/>
      <c r="QI76" s="43"/>
      <c r="QJ76" s="43"/>
      <c r="QK76" s="43">
        <v>79</v>
      </c>
      <c r="QL76" s="43"/>
      <c r="QM76" s="43"/>
      <c r="QN76" s="43"/>
      <c r="QO76" s="43"/>
      <c r="QP76" s="43"/>
      <c r="QQ76" s="43"/>
      <c r="QR76" s="43"/>
      <c r="QS76" s="43"/>
      <c r="QT76" s="43"/>
      <c r="QU76" s="43"/>
      <c r="QV76" s="43"/>
      <c r="QW76" s="43"/>
      <c r="QX76" s="43">
        <v>201</v>
      </c>
      <c r="QY76" s="43"/>
      <c r="QZ76" s="43"/>
      <c r="RA76" s="43"/>
      <c r="RB76" s="43"/>
      <c r="RC76" s="43"/>
      <c r="RD76" s="43"/>
      <c r="RE76" s="43"/>
      <c r="RF76" s="43"/>
      <c r="RG76" s="43"/>
      <c r="RH76" s="43"/>
      <c r="RI76" s="43"/>
      <c r="RJ76" s="43"/>
      <c r="RK76" s="43"/>
      <c r="RL76" s="43"/>
      <c r="RM76" s="43"/>
      <c r="RN76" s="43"/>
      <c r="RO76" s="43"/>
      <c r="RP76" s="43"/>
      <c r="RQ76" s="43"/>
      <c r="RR76" s="43"/>
      <c r="RS76" s="43"/>
      <c r="RT76" s="43"/>
      <c r="RU76" s="43">
        <v>532</v>
      </c>
      <c r="RV76" s="43"/>
      <c r="RW76" s="43"/>
      <c r="RX76" s="43"/>
      <c r="RY76" s="43"/>
      <c r="RZ76" s="43"/>
      <c r="SA76" s="43"/>
      <c r="SB76" s="43"/>
      <c r="SC76" s="43"/>
      <c r="SD76" s="43"/>
      <c r="SE76" s="43"/>
      <c r="SF76" s="43"/>
      <c r="SG76" s="43"/>
      <c r="SH76" s="43"/>
      <c r="SI76" s="43"/>
      <c r="SJ76" s="43"/>
      <c r="SK76" s="43"/>
      <c r="SL76" s="43"/>
      <c r="SM76" s="43"/>
      <c r="SN76" s="43"/>
      <c r="SO76" s="43"/>
      <c r="SP76" s="43"/>
      <c r="SQ76" s="43"/>
      <c r="SR76" s="43"/>
      <c r="SS76" s="43"/>
      <c r="ST76" s="43"/>
      <c r="SU76" s="43"/>
      <c r="SV76" s="43"/>
      <c r="SW76" s="43"/>
      <c r="SX76" s="43"/>
      <c r="SY76" s="43"/>
      <c r="SZ76" s="43"/>
      <c r="TA76" s="43"/>
      <c r="TB76" s="43"/>
      <c r="TC76" s="43"/>
      <c r="TD76" s="43"/>
      <c r="TE76" s="43"/>
      <c r="TF76" s="43"/>
      <c r="TG76" s="43"/>
      <c r="TH76" s="43"/>
      <c r="TI76" s="43"/>
      <c r="TJ76" s="43"/>
      <c r="TK76" s="43"/>
      <c r="TL76" s="43"/>
      <c r="TM76" s="43"/>
      <c r="TN76" s="43"/>
      <c r="TO76" s="43"/>
      <c r="TP76" s="43"/>
      <c r="TQ76" s="43"/>
      <c r="TR76" s="43"/>
      <c r="TS76" s="43"/>
      <c r="TT76" s="43"/>
      <c r="TU76" s="43"/>
      <c r="TV76" s="43"/>
      <c r="TW76" s="43"/>
      <c r="TX76" s="43"/>
      <c r="TY76" s="43"/>
      <c r="TZ76" s="43"/>
      <c r="UA76" s="43"/>
      <c r="UB76" s="43"/>
      <c r="UC76" s="43"/>
      <c r="UD76" s="43"/>
      <c r="UE76" s="43"/>
      <c r="UF76" s="43"/>
      <c r="UG76" s="43"/>
      <c r="UH76" s="43"/>
      <c r="UI76" s="43"/>
      <c r="UJ76" s="43"/>
      <c r="UK76" s="43"/>
      <c r="UL76" s="43"/>
      <c r="UM76" s="43"/>
      <c r="UN76" s="43"/>
      <c r="UO76" s="43"/>
      <c r="UP76" s="43"/>
      <c r="UQ76" s="43"/>
      <c r="UR76" s="43"/>
      <c r="US76" s="43"/>
      <c r="UT76" s="43"/>
      <c r="UU76" s="43"/>
      <c r="UV76" s="43"/>
      <c r="UW76" s="43"/>
      <c r="UX76" s="43"/>
      <c r="UY76" s="43"/>
      <c r="UZ76" s="43"/>
      <c r="VA76" s="43"/>
      <c r="VB76" s="43"/>
      <c r="VC76" s="43"/>
      <c r="VD76" s="43"/>
      <c r="VE76" s="43"/>
      <c r="VF76" s="43"/>
      <c r="VG76" s="43"/>
      <c r="VH76" s="43"/>
      <c r="VI76" s="43"/>
      <c r="VJ76" s="43"/>
      <c r="VK76" s="43"/>
      <c r="VL76" s="43"/>
      <c r="VM76" s="43"/>
      <c r="VN76" s="43"/>
      <c r="VO76" s="43"/>
      <c r="VP76" s="43"/>
      <c r="VQ76" s="43"/>
      <c r="VR76" s="43"/>
      <c r="VS76" s="43"/>
      <c r="VT76" s="43"/>
      <c r="VU76" s="43"/>
      <c r="VV76" s="43"/>
      <c r="VW76" s="43"/>
      <c r="VX76" s="43"/>
      <c r="VY76" s="43"/>
      <c r="VZ76" s="43"/>
      <c r="WA76" s="43"/>
      <c r="WB76" s="43"/>
      <c r="WC76" s="43"/>
      <c r="WD76" s="43"/>
      <c r="WE76" s="43"/>
      <c r="WF76" s="43"/>
      <c r="WG76" s="43"/>
      <c r="WH76" s="43"/>
      <c r="WI76" s="43"/>
      <c r="WJ76" s="43"/>
      <c r="WK76" s="43"/>
      <c r="WL76" s="43"/>
      <c r="WM76" s="43"/>
      <c r="WN76" s="43"/>
      <c r="WO76" s="43"/>
      <c r="WP76" s="43"/>
      <c r="WQ76" s="43"/>
      <c r="WR76" s="43"/>
      <c r="WS76" s="43"/>
      <c r="WT76" s="43"/>
      <c r="WU76" s="43"/>
      <c r="WV76" s="43"/>
      <c r="WW76" s="43"/>
      <c r="WX76" s="43"/>
      <c r="WY76" s="43"/>
      <c r="WZ76" s="43"/>
      <c r="XA76" s="43"/>
      <c r="XB76" s="43"/>
      <c r="XC76" s="43"/>
      <c r="XD76" s="43"/>
      <c r="XE76" s="43"/>
      <c r="XF76" s="43"/>
      <c r="XG76" s="43"/>
      <c r="XH76" s="43"/>
      <c r="XI76" s="43"/>
      <c r="XJ76" s="43"/>
      <c r="XK76" s="43"/>
      <c r="XL76" s="43"/>
      <c r="XM76" s="43"/>
      <c r="XN76" s="43"/>
      <c r="XO76" s="43"/>
      <c r="XP76" s="43"/>
      <c r="XQ76" s="43"/>
      <c r="XR76" s="43"/>
      <c r="XS76" s="43"/>
      <c r="XT76" s="43"/>
      <c r="XU76" s="43"/>
      <c r="XV76" s="43"/>
      <c r="XW76" s="43"/>
      <c r="XX76" s="43"/>
      <c r="XY76" s="43"/>
      <c r="XZ76" s="43"/>
      <c r="YA76" s="44"/>
      <c r="YB76" s="44"/>
      <c r="YC76" s="44"/>
      <c r="YD76" s="44"/>
      <c r="YE76" s="44"/>
      <c r="YF76" s="43"/>
      <c r="YG76" s="43"/>
      <c r="YH76" s="43"/>
      <c r="YI76" s="43"/>
      <c r="YJ76" s="43"/>
      <c r="YK76" s="43"/>
      <c r="YL76" s="43"/>
      <c r="YM76" s="43"/>
      <c r="YN76" s="43"/>
      <c r="YO76" s="43"/>
      <c r="YP76" s="43"/>
      <c r="YQ76" s="43"/>
      <c r="YR76" s="43"/>
      <c r="YS76" s="43"/>
      <c r="YT76" s="43"/>
      <c r="YU76" s="43"/>
      <c r="YV76" s="43"/>
      <c r="YW76" s="43"/>
      <c r="YX76" s="43"/>
      <c r="YY76" s="43"/>
      <c r="YZ76" s="43"/>
      <c r="ZA76" s="43"/>
      <c r="ZB76" s="43"/>
      <c r="ZC76" s="43"/>
      <c r="ZD76" s="43"/>
      <c r="ZE76" s="43"/>
      <c r="ZF76" s="43"/>
      <c r="ZG76" s="43"/>
      <c r="ZH76" s="43"/>
      <c r="ZI76" s="43"/>
      <c r="ZJ76" s="43"/>
      <c r="ZK76" s="43"/>
      <c r="ZL76" s="43"/>
      <c r="ZM76" s="43"/>
      <c r="ZN76" s="43"/>
      <c r="ZO76" s="43"/>
      <c r="ZP76" s="43"/>
      <c r="ZQ76" s="43"/>
      <c r="ZR76" s="43"/>
      <c r="ZS76" s="43"/>
      <c r="ZT76" s="43"/>
      <c r="ZU76" s="43"/>
      <c r="ZV76" s="43"/>
      <c r="ZW76" s="44"/>
      <c r="ZX76" s="44"/>
      <c r="ZY76" s="44"/>
      <c r="ZZ76" s="44"/>
      <c r="AAA76" s="44"/>
      <c r="AAB76" s="44"/>
      <c r="AAC76" s="44"/>
      <c r="AAD76" s="44"/>
      <c r="AAE76" s="44"/>
      <c r="AAF76" s="44"/>
      <c r="AAG76" s="43"/>
      <c r="AAH76" s="43"/>
      <c r="AAI76" s="43"/>
      <c r="AAJ76" s="43"/>
      <c r="AAK76" s="43"/>
      <c r="AAL76" s="43"/>
      <c r="AAM76" s="43"/>
      <c r="AAN76" s="43"/>
      <c r="AAO76" s="43"/>
      <c r="AAP76" s="43"/>
      <c r="AAQ76" s="43"/>
      <c r="AAR76" s="43"/>
      <c r="AAS76" s="43"/>
      <c r="AAT76" s="43"/>
      <c r="AAU76" s="43"/>
      <c r="AAV76" s="43"/>
      <c r="AAW76" s="43"/>
      <c r="AAX76" s="43"/>
      <c r="AAY76" s="43"/>
      <c r="AAZ76" s="43"/>
      <c r="ABA76" s="43"/>
      <c r="ABB76" s="43"/>
      <c r="ABC76" s="43"/>
      <c r="ABD76" s="43"/>
      <c r="ABE76" s="43"/>
      <c r="ABF76" s="43"/>
      <c r="ABG76" s="43"/>
      <c r="ABH76" s="43"/>
      <c r="ABI76" s="43"/>
      <c r="ABJ76" s="43"/>
      <c r="ABK76" s="43"/>
      <c r="ABL76" s="43"/>
      <c r="ABM76" s="43"/>
      <c r="ABN76" s="43"/>
      <c r="ABO76" s="43"/>
      <c r="ABP76" s="43"/>
      <c r="ABQ76" s="43"/>
      <c r="ABR76" s="43"/>
      <c r="ABS76" s="43"/>
      <c r="ABT76" s="43"/>
      <c r="ABU76" s="43"/>
      <c r="ABV76" s="43"/>
      <c r="ABW76" s="43"/>
      <c r="ABX76" s="43"/>
      <c r="ABY76" s="43"/>
      <c r="ABZ76" s="43"/>
      <c r="ACA76" s="43"/>
      <c r="ACB76" s="43"/>
      <c r="ACC76" s="43"/>
      <c r="ACD76" s="43"/>
      <c r="ACE76" s="43"/>
      <c r="ACF76" s="43"/>
      <c r="ACG76" s="43"/>
      <c r="ACH76" s="45"/>
    </row>
    <row r="77" spans="1:762" x14ac:dyDescent="0.25">
      <c r="A77" s="46" t="s">
        <v>131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  <c r="BW77" s="47"/>
      <c r="BX77" s="47"/>
      <c r="BY77" s="47"/>
      <c r="BZ77" s="47"/>
      <c r="CA77" s="47"/>
      <c r="CB77" s="47"/>
      <c r="CC77" s="47"/>
      <c r="CD77" s="47"/>
      <c r="CE77" s="47"/>
      <c r="CF77" s="47"/>
      <c r="CG77" s="47"/>
      <c r="CH77" s="47"/>
      <c r="CI77" s="47"/>
      <c r="CJ77" s="47"/>
      <c r="CK77" s="47"/>
      <c r="CL77" s="47"/>
      <c r="CM77" s="47"/>
      <c r="CN77" s="47"/>
      <c r="CO77" s="47"/>
      <c r="CP77" s="47"/>
      <c r="CQ77" s="47"/>
      <c r="CR77" s="47"/>
      <c r="CS77" s="47"/>
      <c r="CT77" s="47"/>
      <c r="CU77" s="47"/>
      <c r="CV77" s="47"/>
      <c r="CW77" s="47"/>
      <c r="CX77" s="47"/>
      <c r="CY77" s="47"/>
      <c r="CZ77" s="47"/>
      <c r="DA77" s="47"/>
      <c r="DB77" s="47"/>
      <c r="DC77" s="47"/>
      <c r="DD77" s="47"/>
      <c r="DE77" s="47"/>
      <c r="DF77" s="47"/>
      <c r="DG77" s="47"/>
      <c r="DH77" s="47"/>
      <c r="DI77" s="47"/>
      <c r="DJ77" s="47"/>
      <c r="DK77" s="47"/>
      <c r="DL77" s="47"/>
      <c r="DM77" s="47"/>
      <c r="DN77" s="47"/>
      <c r="DO77" s="47"/>
      <c r="DP77" s="47"/>
      <c r="DQ77" s="47"/>
      <c r="DR77" s="47"/>
      <c r="DS77" s="47"/>
      <c r="DT77" s="47"/>
      <c r="DU77" s="47"/>
      <c r="DV77" s="47"/>
      <c r="DW77" s="47"/>
      <c r="DX77" s="47"/>
      <c r="DY77" s="47"/>
      <c r="DZ77" s="47"/>
      <c r="EA77" s="47"/>
      <c r="EB77" s="47"/>
      <c r="EC77" s="47"/>
      <c r="ED77" s="47"/>
      <c r="EE77" s="47"/>
      <c r="EF77" s="47" t="s">
        <v>1962</v>
      </c>
      <c r="EG77" s="47"/>
      <c r="EH77" s="47"/>
      <c r="EI77" s="47"/>
      <c r="EJ77" s="47">
        <v>126</v>
      </c>
      <c r="EK77" s="47"/>
      <c r="EL77" s="47"/>
      <c r="EM77" s="47"/>
      <c r="EN77" s="47"/>
      <c r="EO77" s="47"/>
      <c r="EP77" s="47"/>
      <c r="EQ77" s="47"/>
      <c r="ER77" s="47"/>
      <c r="ES77" s="47"/>
      <c r="ET77" s="47"/>
      <c r="EU77" s="47"/>
      <c r="EV77" s="47"/>
      <c r="EW77" s="47"/>
      <c r="EX77" s="47"/>
      <c r="EY77" s="47"/>
      <c r="EZ77" s="47"/>
      <c r="FA77" s="47"/>
      <c r="FB77" s="47"/>
      <c r="FC77" s="47"/>
      <c r="FD77" s="47"/>
      <c r="FE77" s="47"/>
      <c r="FF77" s="47"/>
      <c r="FG77" s="47"/>
      <c r="FH77" s="47"/>
      <c r="FI77" s="47"/>
      <c r="FJ77" s="47"/>
      <c r="FK77" s="47"/>
      <c r="FL77" s="47"/>
      <c r="FM77" s="47"/>
      <c r="FN77" s="47"/>
      <c r="FO77" s="47"/>
      <c r="FP77" s="47"/>
      <c r="FQ77" s="47"/>
      <c r="FR77" s="47"/>
      <c r="FS77" s="47"/>
      <c r="FT77" s="47"/>
      <c r="FU77" s="47"/>
      <c r="FV77" s="47"/>
      <c r="FW77" s="47"/>
      <c r="FX77" s="47"/>
      <c r="FY77" s="47"/>
      <c r="FZ77" s="47"/>
      <c r="GA77" s="47"/>
      <c r="GB77" s="47"/>
      <c r="GC77" s="47"/>
      <c r="GD77" s="47"/>
      <c r="GE77" s="47"/>
      <c r="GF77" s="47"/>
      <c r="GG77" s="47"/>
      <c r="GH77" s="47"/>
      <c r="GI77" s="47"/>
      <c r="GJ77" s="47"/>
      <c r="GK77" s="47"/>
      <c r="GL77" s="47"/>
      <c r="GM77" s="47"/>
      <c r="GN77" s="47"/>
      <c r="GO77" s="47"/>
      <c r="GP77" s="47"/>
      <c r="GQ77" s="47"/>
      <c r="GR77" s="47"/>
      <c r="GS77" s="47"/>
      <c r="GT77" s="47"/>
      <c r="GU77" s="47">
        <v>594</v>
      </c>
      <c r="GV77" s="47"/>
      <c r="GW77" s="47"/>
      <c r="GX77" s="47">
        <v>516</v>
      </c>
      <c r="GY77" s="47"/>
      <c r="GZ77" s="47"/>
      <c r="HA77" s="47"/>
      <c r="HB77" s="47"/>
      <c r="HC77" s="47"/>
      <c r="HD77" s="47"/>
      <c r="HE77" s="47"/>
      <c r="HF77" s="47"/>
      <c r="HG77" s="47"/>
      <c r="HH77" s="47"/>
      <c r="HI77" s="47"/>
      <c r="HJ77" s="47"/>
      <c r="HK77" s="47"/>
      <c r="HL77" s="47"/>
      <c r="HM77" s="47"/>
      <c r="HN77" s="47"/>
      <c r="HO77" s="47"/>
      <c r="HP77" s="47"/>
      <c r="HQ77" s="47"/>
      <c r="HR77" s="47"/>
      <c r="HS77" s="47"/>
      <c r="HT77" s="47">
        <v>78</v>
      </c>
      <c r="HU77" s="47"/>
      <c r="HV77" s="47"/>
      <c r="HW77" s="47"/>
      <c r="HX77" s="47"/>
      <c r="HY77" s="47"/>
      <c r="HZ77" s="47"/>
      <c r="IA77" s="47"/>
      <c r="IB77" s="47"/>
      <c r="IC77" s="47"/>
      <c r="ID77" s="47"/>
      <c r="IE77" s="47"/>
      <c r="IF77" s="47"/>
      <c r="IG77" s="47"/>
      <c r="IH77" s="47"/>
      <c r="II77" s="47"/>
      <c r="IJ77" s="47"/>
      <c r="IK77" s="47"/>
      <c r="IL77" s="47"/>
      <c r="IM77" s="47"/>
      <c r="IN77" s="47"/>
      <c r="IO77" s="47"/>
      <c r="IP77" s="47"/>
      <c r="IQ77" s="47"/>
      <c r="IR77" s="47"/>
      <c r="IS77" s="47"/>
      <c r="IT77" s="47"/>
      <c r="IU77" s="47"/>
      <c r="IV77" s="47"/>
      <c r="IW77" s="47"/>
      <c r="IX77" s="47"/>
      <c r="IY77" s="47"/>
      <c r="IZ77" s="47"/>
      <c r="JA77" s="47"/>
      <c r="JB77" s="47"/>
      <c r="JC77" s="47"/>
      <c r="JD77" s="47"/>
      <c r="JE77" s="47"/>
      <c r="JF77" s="47"/>
      <c r="JG77" s="47"/>
      <c r="JH77" s="47" t="s">
        <v>1985</v>
      </c>
      <c r="JI77" s="47"/>
      <c r="JJ77" s="47" t="s">
        <v>1986</v>
      </c>
      <c r="JK77" s="47"/>
      <c r="JL77" s="47"/>
      <c r="JM77" s="47"/>
      <c r="JN77" s="47"/>
      <c r="JO77" s="47"/>
      <c r="JP77" s="47"/>
      <c r="JQ77" s="47"/>
      <c r="JR77" s="47"/>
      <c r="JS77" s="47"/>
      <c r="JT77" s="47"/>
      <c r="JU77" s="47"/>
      <c r="JV77" s="47"/>
      <c r="JW77" s="47"/>
      <c r="JX77" s="47"/>
      <c r="JY77" s="47"/>
      <c r="JZ77" s="47"/>
      <c r="KA77" s="47"/>
      <c r="KB77" s="47"/>
      <c r="KC77" s="47"/>
      <c r="KD77" s="47"/>
      <c r="KE77" s="47">
        <v>96</v>
      </c>
      <c r="KF77" s="47"/>
      <c r="KG77" s="47"/>
      <c r="KH77" s="47"/>
      <c r="KI77" s="47"/>
      <c r="KJ77" s="47"/>
      <c r="KK77" s="47"/>
      <c r="KL77" s="47"/>
      <c r="KM77" s="47"/>
      <c r="KN77" s="47"/>
      <c r="KO77" s="47"/>
      <c r="KP77" s="47"/>
      <c r="KQ77" s="47"/>
      <c r="KR77" s="47"/>
      <c r="KS77" s="47"/>
      <c r="KT77" s="47"/>
      <c r="KU77" s="47"/>
      <c r="KV77" s="47"/>
      <c r="KW77" s="47"/>
      <c r="KX77" s="47"/>
      <c r="KY77" s="47"/>
      <c r="KZ77" s="47"/>
      <c r="LA77" s="47"/>
      <c r="LB77" s="47"/>
      <c r="LC77" s="47"/>
      <c r="LD77" s="47"/>
      <c r="LE77" s="47"/>
      <c r="LF77" s="47"/>
      <c r="LG77" s="47"/>
      <c r="LH77" s="47"/>
      <c r="LI77" s="47"/>
      <c r="LJ77" s="47"/>
      <c r="LK77" s="47"/>
      <c r="LL77" s="47"/>
      <c r="LM77" s="47"/>
      <c r="LN77" s="47"/>
      <c r="LO77" s="47"/>
      <c r="LP77" s="47"/>
      <c r="LQ77" s="47"/>
      <c r="LR77" s="47"/>
      <c r="LS77" s="47"/>
      <c r="LT77" s="47"/>
      <c r="LU77" s="47"/>
      <c r="LV77" s="47"/>
      <c r="LW77" s="47"/>
      <c r="LX77" s="47"/>
      <c r="LY77" s="47"/>
      <c r="LZ77" s="47"/>
      <c r="MA77" s="47"/>
      <c r="MB77" s="47"/>
      <c r="MC77" s="47"/>
      <c r="MD77" s="47"/>
      <c r="ME77" s="47"/>
      <c r="MF77" s="47"/>
      <c r="MG77" s="47"/>
      <c r="MH77" s="47"/>
      <c r="MI77" s="47"/>
      <c r="MJ77" s="47"/>
      <c r="MK77" s="47"/>
      <c r="ML77" s="47"/>
      <c r="MM77" s="47"/>
      <c r="MN77" s="47"/>
      <c r="MO77" s="47"/>
      <c r="MP77" s="47"/>
      <c r="MQ77" s="47"/>
      <c r="MR77" s="47"/>
      <c r="MS77" s="47"/>
      <c r="MT77" s="47"/>
      <c r="MU77" s="47"/>
      <c r="MV77" s="47"/>
      <c r="MW77" s="47"/>
      <c r="MX77" s="47"/>
      <c r="MY77" s="47"/>
      <c r="MZ77" s="47"/>
      <c r="NA77" s="47"/>
      <c r="NB77" s="47"/>
      <c r="NC77" s="47"/>
      <c r="ND77" s="47"/>
      <c r="NE77" s="47"/>
      <c r="NF77" s="47"/>
      <c r="NG77" s="47"/>
      <c r="NH77" s="47"/>
      <c r="NI77" s="47"/>
      <c r="NJ77" s="44"/>
      <c r="NK77" s="44"/>
      <c r="NL77" s="44"/>
      <c r="NM77" s="44"/>
      <c r="NN77" s="44"/>
      <c r="NO77" s="47"/>
      <c r="NP77" s="47"/>
      <c r="NQ77" s="47"/>
      <c r="NR77" s="47"/>
      <c r="NS77" s="47"/>
      <c r="NT77" s="47"/>
      <c r="NU77" s="47"/>
      <c r="NV77" s="47"/>
      <c r="NW77" s="47"/>
      <c r="NX77" s="47"/>
      <c r="NY77" s="47"/>
      <c r="NZ77" s="47"/>
      <c r="OA77" s="47"/>
      <c r="OB77" s="47"/>
      <c r="OC77" s="47"/>
      <c r="OD77" s="47"/>
      <c r="OE77" s="47"/>
      <c r="OF77" s="47"/>
      <c r="OG77" s="47"/>
      <c r="OH77" s="47"/>
      <c r="OI77" s="47"/>
      <c r="OJ77" s="47"/>
      <c r="OK77" s="47"/>
      <c r="OL77" s="47"/>
      <c r="OM77" s="47"/>
      <c r="ON77" s="47"/>
      <c r="OO77" s="47"/>
      <c r="OP77" s="47"/>
      <c r="OQ77" s="47"/>
      <c r="OR77" s="47"/>
      <c r="OS77" s="47"/>
      <c r="OT77" s="47"/>
      <c r="OU77" s="47"/>
      <c r="OV77" s="47"/>
      <c r="OW77" s="47"/>
      <c r="OX77" s="47"/>
      <c r="OY77" s="47"/>
      <c r="OZ77" s="47"/>
      <c r="PA77" s="47"/>
      <c r="PB77" s="47"/>
      <c r="PC77" s="47"/>
      <c r="PD77" s="47"/>
      <c r="PE77" s="47"/>
      <c r="PF77" s="47"/>
      <c r="PG77" s="47"/>
      <c r="PH77" s="47"/>
      <c r="PI77" s="47"/>
      <c r="PJ77" s="47"/>
      <c r="PK77" s="47"/>
      <c r="PL77" s="47"/>
      <c r="PM77" s="47"/>
      <c r="PN77" s="47"/>
      <c r="PO77" s="47"/>
      <c r="PP77" s="47"/>
      <c r="PQ77" s="47"/>
      <c r="PR77" s="47"/>
      <c r="PS77" s="47"/>
      <c r="PT77" s="47"/>
      <c r="PU77" s="47"/>
      <c r="PV77" s="47"/>
      <c r="PW77" s="47"/>
      <c r="PX77" s="47"/>
      <c r="PY77" s="47"/>
      <c r="PZ77" s="47"/>
      <c r="QA77" s="47"/>
      <c r="QB77" s="47"/>
      <c r="QC77" s="47"/>
      <c r="QD77" s="47"/>
      <c r="QE77" s="47"/>
      <c r="QF77" s="47"/>
      <c r="QG77" s="47"/>
      <c r="QH77" s="47"/>
      <c r="QI77" s="47"/>
      <c r="QJ77" s="47"/>
      <c r="QK77" s="47" t="s">
        <v>893</v>
      </c>
      <c r="QL77" s="47"/>
      <c r="QM77" s="47"/>
      <c r="QN77" s="47"/>
      <c r="QO77" s="47"/>
      <c r="QP77" s="47"/>
      <c r="QQ77" s="47"/>
      <c r="QR77" s="47"/>
      <c r="QS77" s="47"/>
      <c r="QT77" s="47"/>
      <c r="QU77" s="47"/>
      <c r="QV77" s="47"/>
      <c r="QW77" s="47"/>
      <c r="QX77" s="47"/>
      <c r="QY77" s="47"/>
      <c r="QZ77" s="47"/>
      <c r="RA77" s="47"/>
      <c r="RB77" s="47"/>
      <c r="RC77" s="47"/>
      <c r="RD77" s="47"/>
      <c r="RE77" s="47"/>
      <c r="RF77" s="47"/>
      <c r="RG77" s="47"/>
      <c r="RH77" s="47"/>
      <c r="RI77" s="47"/>
      <c r="RJ77" s="47"/>
      <c r="RK77" s="47"/>
      <c r="RL77" s="47"/>
      <c r="RM77" s="47"/>
      <c r="RN77" s="47"/>
      <c r="RO77" s="47"/>
      <c r="RP77" s="47"/>
      <c r="RQ77" s="47"/>
      <c r="RR77" s="47"/>
      <c r="RS77" s="47"/>
      <c r="RT77" s="47"/>
      <c r="RU77" s="47"/>
      <c r="RV77" s="47"/>
      <c r="RW77" s="47"/>
      <c r="RX77" s="47"/>
      <c r="RY77" s="47"/>
      <c r="RZ77" s="47"/>
      <c r="SA77" s="47"/>
      <c r="SB77" s="47"/>
      <c r="SC77" s="47"/>
      <c r="SD77" s="47"/>
      <c r="SE77" s="47"/>
      <c r="SF77" s="47"/>
      <c r="SG77" s="47"/>
      <c r="SH77" s="47"/>
      <c r="SI77" s="47"/>
      <c r="SJ77" s="47"/>
      <c r="SK77" s="47"/>
      <c r="SL77" s="47"/>
      <c r="SM77" s="47"/>
      <c r="SN77" s="47"/>
      <c r="SO77" s="47"/>
      <c r="SP77" s="47"/>
      <c r="SQ77" s="47"/>
      <c r="SR77" s="47"/>
      <c r="SS77" s="47"/>
      <c r="ST77" s="47"/>
      <c r="SU77" s="47"/>
      <c r="SV77" s="47"/>
      <c r="SW77" s="47"/>
      <c r="SX77" s="47"/>
      <c r="SY77" s="47"/>
      <c r="SZ77" s="47"/>
      <c r="TA77" s="47"/>
      <c r="TB77" s="47"/>
      <c r="TC77" s="47"/>
      <c r="TD77" s="47"/>
      <c r="TE77" s="47"/>
      <c r="TF77" s="47"/>
      <c r="TG77" s="47"/>
      <c r="TH77" s="47"/>
      <c r="TI77" s="47"/>
      <c r="TJ77" s="47"/>
      <c r="TK77" s="47"/>
      <c r="TL77" s="47"/>
      <c r="TM77" s="47"/>
      <c r="TN77" s="47"/>
      <c r="TO77" s="47"/>
      <c r="TP77" s="47"/>
      <c r="TQ77" s="47"/>
      <c r="TR77" s="47"/>
      <c r="TS77" s="47"/>
      <c r="TT77" s="47"/>
      <c r="TU77" s="47"/>
      <c r="TV77" s="47"/>
      <c r="TW77" s="47"/>
      <c r="TX77" s="47"/>
      <c r="TY77" s="47"/>
      <c r="TZ77" s="47"/>
      <c r="UA77" s="47"/>
      <c r="UB77" s="47"/>
      <c r="UC77" s="47"/>
      <c r="UD77" s="47"/>
      <c r="UE77" s="47"/>
      <c r="UF77" s="47"/>
      <c r="UG77" s="47"/>
      <c r="UH77" s="47"/>
      <c r="UI77" s="47"/>
      <c r="UJ77" s="47"/>
      <c r="UK77" s="47"/>
      <c r="UL77" s="47"/>
      <c r="UM77" s="47"/>
      <c r="UN77" s="47"/>
      <c r="UO77" s="47"/>
      <c r="UP77" s="47"/>
      <c r="UQ77" s="47"/>
      <c r="UR77" s="47"/>
      <c r="US77" s="47"/>
      <c r="UT77" s="47"/>
      <c r="UU77" s="47"/>
      <c r="UV77" s="47"/>
      <c r="UW77" s="47"/>
      <c r="UX77" s="47"/>
      <c r="UY77" s="47"/>
      <c r="UZ77" s="47"/>
      <c r="VA77" s="47"/>
      <c r="VB77" s="47"/>
      <c r="VC77" s="47"/>
      <c r="VD77" s="47"/>
      <c r="VE77" s="47"/>
      <c r="VF77" s="47"/>
      <c r="VG77" s="47"/>
      <c r="VH77" s="47"/>
      <c r="VI77" s="47"/>
      <c r="VJ77" s="47"/>
      <c r="VK77" s="47"/>
      <c r="VL77" s="47"/>
      <c r="VM77" s="47"/>
      <c r="VN77" s="47"/>
      <c r="VO77" s="47"/>
      <c r="VP77" s="47"/>
      <c r="VQ77" s="47"/>
      <c r="VR77" s="47"/>
      <c r="VS77" s="47"/>
      <c r="VT77" s="47"/>
      <c r="VU77" s="47"/>
      <c r="VV77" s="47"/>
      <c r="VW77" s="47"/>
      <c r="VX77" s="47"/>
      <c r="VY77" s="47"/>
      <c r="VZ77" s="47"/>
      <c r="WA77" s="47"/>
      <c r="WB77" s="47"/>
      <c r="WC77" s="47"/>
      <c r="WD77" s="47"/>
      <c r="WE77" s="47"/>
      <c r="WF77" s="47"/>
      <c r="WG77" s="47"/>
      <c r="WH77" s="47"/>
      <c r="WI77" s="47"/>
      <c r="WJ77" s="47"/>
      <c r="WK77" s="47"/>
      <c r="WL77" s="47"/>
      <c r="WM77" s="47"/>
      <c r="WN77" s="47"/>
      <c r="WO77" s="47"/>
      <c r="WP77" s="47"/>
      <c r="WQ77" s="47"/>
      <c r="WR77" s="47"/>
      <c r="WS77" s="47"/>
      <c r="WT77" s="47"/>
      <c r="WU77" s="47"/>
      <c r="WV77" s="47"/>
      <c r="WW77" s="47"/>
      <c r="WX77" s="47"/>
      <c r="WY77" s="47"/>
      <c r="WZ77" s="47"/>
      <c r="XA77" s="47"/>
      <c r="XB77" s="47"/>
      <c r="XC77" s="47"/>
      <c r="XD77" s="47"/>
      <c r="XE77" s="47"/>
      <c r="XF77" s="47"/>
      <c r="XG77" s="47"/>
      <c r="XH77" s="47"/>
      <c r="XI77" s="47"/>
      <c r="XJ77" s="47" t="s">
        <v>890</v>
      </c>
      <c r="XK77" s="47"/>
      <c r="XL77" s="47"/>
      <c r="XM77" s="47"/>
      <c r="XN77" s="47"/>
      <c r="XO77" s="47"/>
      <c r="XP77" s="47"/>
      <c r="XQ77" s="47"/>
      <c r="XR77" s="47"/>
      <c r="XS77" s="47"/>
      <c r="XT77" s="47"/>
      <c r="XU77" s="47"/>
      <c r="XV77" s="47"/>
      <c r="XW77" s="47" t="s">
        <v>892</v>
      </c>
      <c r="XX77" s="47"/>
      <c r="XY77" s="47"/>
      <c r="XZ77" s="47"/>
      <c r="YA77" s="44"/>
      <c r="YB77" s="44"/>
      <c r="YC77" s="44"/>
      <c r="YD77" s="44"/>
      <c r="YE77" s="44"/>
      <c r="YF77" s="47"/>
      <c r="YG77" s="47"/>
      <c r="YH77" s="47"/>
      <c r="YI77" s="47"/>
      <c r="YJ77" s="47"/>
      <c r="YK77" s="47"/>
      <c r="YL77" s="47"/>
      <c r="YM77" s="47"/>
      <c r="YN77" s="47"/>
      <c r="YO77" s="47"/>
      <c r="YP77" s="47"/>
      <c r="YQ77" s="47"/>
      <c r="YR77" s="47"/>
      <c r="YS77" s="47"/>
      <c r="YT77" s="47"/>
      <c r="YU77" s="47"/>
      <c r="YV77" s="47"/>
      <c r="YW77" s="47"/>
      <c r="YX77" s="47"/>
      <c r="YY77" s="47"/>
      <c r="YZ77" s="47"/>
      <c r="ZA77" s="47"/>
      <c r="ZB77" s="47"/>
      <c r="ZC77" s="47"/>
      <c r="ZD77" s="47"/>
      <c r="ZE77" s="47"/>
      <c r="ZF77" s="47"/>
      <c r="ZG77" s="47"/>
      <c r="ZH77" s="47"/>
      <c r="ZI77" s="47"/>
      <c r="ZJ77" s="47"/>
      <c r="ZK77" s="47"/>
      <c r="ZL77" s="47"/>
      <c r="ZM77" s="47"/>
      <c r="ZN77" s="47"/>
      <c r="ZO77" s="47"/>
      <c r="ZP77" s="47"/>
      <c r="ZQ77" s="47"/>
      <c r="ZR77" s="47"/>
      <c r="ZS77" s="47"/>
      <c r="ZT77" s="47"/>
      <c r="ZU77" s="47"/>
      <c r="ZV77" s="47"/>
      <c r="ZW77" s="44"/>
      <c r="ZX77" s="44"/>
      <c r="ZY77" s="44"/>
      <c r="ZZ77" s="44"/>
      <c r="AAA77" s="44"/>
      <c r="AAB77" s="44"/>
      <c r="AAC77" s="44"/>
      <c r="AAD77" s="44"/>
      <c r="AAE77" s="44"/>
      <c r="AAF77" s="44"/>
      <c r="AAG77" s="47"/>
      <c r="AAH77" s="47"/>
      <c r="AAI77" s="47"/>
      <c r="AAJ77" s="47"/>
      <c r="AAK77" s="47"/>
      <c r="AAL77" s="47"/>
      <c r="AAM77" s="47"/>
      <c r="AAN77" s="47"/>
      <c r="AAO77" s="47"/>
      <c r="AAP77" s="47"/>
      <c r="AAQ77" s="47"/>
      <c r="AAR77" s="47"/>
      <c r="AAS77" s="47"/>
      <c r="AAT77" s="47"/>
      <c r="AAU77" s="47"/>
      <c r="AAV77" s="47"/>
      <c r="AAW77" s="47"/>
      <c r="AAX77" s="47"/>
      <c r="AAY77" s="47"/>
      <c r="AAZ77" s="47"/>
      <c r="ABA77" s="47"/>
      <c r="ABB77" s="47"/>
      <c r="ABC77" s="47"/>
      <c r="ABD77" s="47"/>
      <c r="ABE77" s="47"/>
      <c r="ABF77" s="47"/>
      <c r="ABG77" s="47"/>
      <c r="ABH77" s="47"/>
      <c r="ABI77" s="47"/>
      <c r="ABJ77" s="47"/>
      <c r="ABK77" s="47"/>
      <c r="ABL77" s="47"/>
      <c r="ABM77" s="47"/>
      <c r="ABN77" s="47"/>
      <c r="ABO77" s="47"/>
      <c r="ABP77" s="47"/>
      <c r="ABQ77" s="47"/>
      <c r="ABR77" s="47"/>
      <c r="ABS77" s="47"/>
      <c r="ABT77" s="47"/>
      <c r="ABU77" s="47"/>
      <c r="ABV77" s="47"/>
      <c r="ABW77" s="47"/>
      <c r="ABX77" s="47"/>
      <c r="ABY77" s="47"/>
      <c r="ABZ77" s="47"/>
      <c r="ACA77" s="47"/>
      <c r="ACB77" s="47"/>
      <c r="ACC77" s="47"/>
      <c r="ACD77" s="47"/>
      <c r="ACE77" s="47"/>
      <c r="ACF77" s="47"/>
      <c r="ACG77" s="47"/>
      <c r="ACH77" s="48"/>
    </row>
    <row r="78" spans="1:762" x14ac:dyDescent="0.25">
      <c r="A78" s="42" t="s">
        <v>133</v>
      </c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43"/>
      <c r="BI78" s="43"/>
      <c r="BJ78" s="43"/>
      <c r="BK78" s="43"/>
      <c r="BL78" s="43"/>
      <c r="BM78" s="43"/>
      <c r="BN78" s="43"/>
      <c r="BO78" s="43"/>
      <c r="BP78" s="43"/>
      <c r="BQ78" s="43"/>
      <c r="BR78" s="43"/>
      <c r="BS78" s="43"/>
      <c r="BT78" s="43"/>
      <c r="BU78" s="43"/>
      <c r="BV78" s="43"/>
      <c r="BW78" s="43"/>
      <c r="BX78" s="43"/>
      <c r="BY78" s="43"/>
      <c r="BZ78" s="43"/>
      <c r="CA78" s="43"/>
      <c r="CB78" s="43"/>
      <c r="CC78" s="43"/>
      <c r="CD78" s="43"/>
      <c r="CE78" s="43"/>
      <c r="CF78" s="43"/>
      <c r="CG78" s="43"/>
      <c r="CH78" s="43"/>
      <c r="CI78" s="43"/>
      <c r="CJ78" s="43"/>
      <c r="CK78" s="43"/>
      <c r="CL78" s="43"/>
      <c r="CM78" s="43"/>
      <c r="CN78" s="43"/>
      <c r="CO78" s="43"/>
      <c r="CP78" s="43"/>
      <c r="CQ78" s="43"/>
      <c r="CR78" s="43"/>
      <c r="CS78" s="43"/>
      <c r="CT78" s="43"/>
      <c r="CU78" s="43"/>
      <c r="CV78" s="43"/>
      <c r="CW78" s="43"/>
      <c r="CX78" s="43"/>
      <c r="CY78" s="43"/>
      <c r="CZ78" s="43"/>
      <c r="DA78" s="43"/>
      <c r="DB78" s="43"/>
      <c r="DC78" s="43"/>
      <c r="DD78" s="43"/>
      <c r="DE78" s="43"/>
      <c r="DF78" s="43"/>
      <c r="DG78" s="43"/>
      <c r="DH78" s="43"/>
      <c r="DI78" s="43"/>
      <c r="DJ78" s="43"/>
      <c r="DK78" s="43"/>
      <c r="DL78" s="43"/>
      <c r="DM78" s="43"/>
      <c r="DN78" s="43"/>
      <c r="DO78" s="43"/>
      <c r="DP78" s="43"/>
      <c r="DQ78" s="43"/>
      <c r="DR78" s="43"/>
      <c r="DS78" s="43"/>
      <c r="DT78" s="43"/>
      <c r="DU78" s="43"/>
      <c r="DV78" s="43"/>
      <c r="DW78" s="43"/>
      <c r="DX78" s="43"/>
      <c r="DY78" s="43"/>
      <c r="DZ78" s="43"/>
      <c r="EA78" s="43"/>
      <c r="EB78" s="43"/>
      <c r="EC78" s="43"/>
      <c r="ED78" s="43"/>
      <c r="EE78" s="43"/>
      <c r="EF78" s="43"/>
      <c r="EG78" s="43"/>
      <c r="EH78" s="43"/>
      <c r="EI78" s="43"/>
      <c r="EJ78" s="43"/>
      <c r="EK78" s="43"/>
      <c r="EL78" s="43"/>
      <c r="EM78" s="43"/>
      <c r="EN78" s="43"/>
      <c r="EO78" s="43"/>
      <c r="EP78" s="43"/>
      <c r="EQ78" s="43"/>
      <c r="ER78" s="43"/>
      <c r="ES78" s="43"/>
      <c r="ET78" s="43"/>
      <c r="EU78" s="43"/>
      <c r="EV78" s="43"/>
      <c r="EW78" s="43"/>
      <c r="EX78" s="43"/>
      <c r="EY78" s="43"/>
      <c r="EZ78" s="43"/>
      <c r="FA78" s="43"/>
      <c r="FB78" s="43"/>
      <c r="FC78" s="43"/>
      <c r="FD78" s="43"/>
      <c r="FE78" s="43"/>
      <c r="FF78" s="43"/>
      <c r="FG78" s="43"/>
      <c r="FH78" s="43"/>
      <c r="FI78" s="43"/>
      <c r="FJ78" s="43"/>
      <c r="FK78" s="43"/>
      <c r="FL78" s="43"/>
      <c r="FM78" s="43"/>
      <c r="FN78" s="43"/>
      <c r="FO78" s="43"/>
      <c r="FP78" s="43"/>
      <c r="FQ78" s="43"/>
      <c r="FR78" s="43"/>
      <c r="FS78" s="43"/>
      <c r="FT78" s="43"/>
      <c r="FU78" s="43"/>
      <c r="FV78" s="43"/>
      <c r="FW78" s="43"/>
      <c r="FX78" s="43"/>
      <c r="FY78" s="43"/>
      <c r="FZ78" s="43"/>
      <c r="GA78" s="43"/>
      <c r="GB78" s="43"/>
      <c r="GC78" s="43"/>
      <c r="GD78" s="43"/>
      <c r="GE78" s="43"/>
      <c r="GF78" s="43"/>
      <c r="GG78" s="43"/>
      <c r="GH78" s="43"/>
      <c r="GI78" s="43"/>
      <c r="GJ78" s="43"/>
      <c r="GK78" s="43"/>
      <c r="GL78" s="43"/>
      <c r="GM78" s="43"/>
      <c r="GN78" s="43"/>
      <c r="GO78" s="43"/>
      <c r="GP78" s="43"/>
      <c r="GQ78" s="43"/>
      <c r="GR78" s="43"/>
      <c r="GS78" s="43"/>
      <c r="GT78" s="43"/>
      <c r="GU78" s="43"/>
      <c r="GV78" s="43"/>
      <c r="GW78" s="43"/>
      <c r="GX78" s="43"/>
      <c r="GY78" s="43"/>
      <c r="GZ78" s="43"/>
      <c r="HA78" s="43"/>
      <c r="HB78" s="43"/>
      <c r="HC78" s="43"/>
      <c r="HD78" s="43"/>
      <c r="HE78" s="43"/>
      <c r="HF78" s="43"/>
      <c r="HG78" s="43"/>
      <c r="HH78" s="43"/>
      <c r="HI78" s="43"/>
      <c r="HJ78" s="43"/>
      <c r="HK78" s="43"/>
      <c r="HL78" s="43"/>
      <c r="HM78" s="43"/>
      <c r="HN78" s="43"/>
      <c r="HO78" s="43"/>
      <c r="HP78" s="43"/>
      <c r="HQ78" s="43"/>
      <c r="HR78" s="43"/>
      <c r="HS78" s="43"/>
      <c r="HT78" s="43"/>
      <c r="HU78" s="43"/>
      <c r="HV78" s="43"/>
      <c r="HW78" s="43"/>
      <c r="HX78" s="43"/>
      <c r="HY78" s="43"/>
      <c r="HZ78" s="43"/>
      <c r="IA78" s="43"/>
      <c r="IB78" s="43"/>
      <c r="IC78" s="43"/>
      <c r="ID78" s="43"/>
      <c r="IE78" s="43"/>
      <c r="IF78" s="43"/>
      <c r="IG78" s="43"/>
      <c r="IH78" s="43"/>
      <c r="II78" s="43"/>
      <c r="IJ78" s="43"/>
      <c r="IK78" s="43"/>
      <c r="IL78" s="43"/>
      <c r="IM78" s="43"/>
      <c r="IN78" s="43"/>
      <c r="IO78" s="43"/>
      <c r="IP78" s="43"/>
      <c r="IQ78" s="43"/>
      <c r="IR78" s="43"/>
      <c r="IS78" s="43"/>
      <c r="IT78" s="43"/>
      <c r="IU78" s="43"/>
      <c r="IV78" s="43"/>
      <c r="IW78" s="43"/>
      <c r="IX78" s="43"/>
      <c r="IY78" s="43"/>
      <c r="IZ78" s="43"/>
      <c r="JA78" s="43"/>
      <c r="JB78" s="43"/>
      <c r="JC78" s="43"/>
      <c r="JD78" s="43"/>
      <c r="JE78" s="43"/>
      <c r="JF78" s="43"/>
      <c r="JG78" s="43"/>
      <c r="JH78" s="43"/>
      <c r="JI78" s="43"/>
      <c r="JJ78" s="43"/>
      <c r="JK78" s="43"/>
      <c r="JL78" s="43"/>
      <c r="JM78" s="43"/>
      <c r="JN78" s="43"/>
      <c r="JO78" s="43"/>
      <c r="JP78" s="43"/>
      <c r="JQ78" s="43"/>
      <c r="JR78" s="43"/>
      <c r="JS78" s="43"/>
      <c r="JT78" s="43"/>
      <c r="JU78" s="43"/>
      <c r="JV78" s="43"/>
      <c r="JW78" s="43"/>
      <c r="JX78" s="43"/>
      <c r="JY78" s="43"/>
      <c r="JZ78" s="43"/>
      <c r="KA78" s="43"/>
      <c r="KB78" s="43"/>
      <c r="KC78" s="43"/>
      <c r="KD78" s="43"/>
      <c r="KE78" s="43"/>
      <c r="KF78" s="43"/>
      <c r="KG78" s="43"/>
      <c r="KH78" s="43"/>
      <c r="KI78" s="43"/>
      <c r="KJ78" s="43"/>
      <c r="KK78" s="43"/>
      <c r="KL78" s="43"/>
      <c r="KM78" s="43"/>
      <c r="KN78" s="43"/>
      <c r="KO78" s="43"/>
      <c r="KP78" s="43"/>
      <c r="KQ78" s="43"/>
      <c r="KR78" s="43"/>
      <c r="KS78" s="43"/>
      <c r="KT78" s="43"/>
      <c r="KU78" s="43"/>
      <c r="KV78" s="43"/>
      <c r="KW78" s="43"/>
      <c r="KX78" s="43"/>
      <c r="KY78" s="43"/>
      <c r="KZ78" s="43"/>
      <c r="LA78" s="43"/>
      <c r="LB78" s="43"/>
      <c r="LC78" s="43"/>
      <c r="LD78" s="43"/>
      <c r="LE78" s="43"/>
      <c r="LF78" s="43"/>
      <c r="LG78" s="43"/>
      <c r="LH78" s="43"/>
      <c r="LI78" s="43"/>
      <c r="LJ78" s="43"/>
      <c r="LK78" s="43"/>
      <c r="LL78" s="43"/>
      <c r="LM78" s="43"/>
      <c r="LN78" s="43"/>
      <c r="LO78" s="43"/>
      <c r="LP78" s="43"/>
      <c r="LQ78" s="43"/>
      <c r="LR78" s="43"/>
      <c r="LS78" s="43"/>
      <c r="LT78" s="43"/>
      <c r="LU78" s="43"/>
      <c r="LV78" s="43"/>
      <c r="LW78" s="43"/>
      <c r="LX78" s="43"/>
      <c r="LY78" s="43"/>
      <c r="LZ78" s="43"/>
      <c r="MA78" s="43"/>
      <c r="MB78" s="43"/>
      <c r="MC78" s="43"/>
      <c r="MD78" s="43"/>
      <c r="ME78" s="43"/>
      <c r="MF78" s="43"/>
      <c r="MG78" s="43"/>
      <c r="MH78" s="43"/>
      <c r="MI78" s="43"/>
      <c r="MJ78" s="43"/>
      <c r="MK78" s="43"/>
      <c r="ML78" s="43"/>
      <c r="MM78" s="43"/>
      <c r="MN78" s="43"/>
      <c r="MO78" s="43"/>
      <c r="MP78" s="43"/>
      <c r="MQ78" s="43"/>
      <c r="MR78" s="43"/>
      <c r="MS78" s="43"/>
      <c r="MT78" s="43"/>
      <c r="MU78" s="43"/>
      <c r="MV78" s="43"/>
      <c r="MW78" s="43"/>
      <c r="MX78" s="43"/>
      <c r="MY78" s="43"/>
      <c r="MZ78" s="43"/>
      <c r="NA78" s="43"/>
      <c r="NB78" s="43"/>
      <c r="NC78" s="43"/>
      <c r="ND78" s="43"/>
      <c r="NE78" s="43"/>
      <c r="NF78" s="43"/>
      <c r="NG78" s="43"/>
      <c r="NH78" s="43"/>
      <c r="NI78" s="43"/>
      <c r="NJ78" s="44"/>
      <c r="NK78" s="44"/>
      <c r="NL78" s="44"/>
      <c r="NM78" s="44"/>
      <c r="NN78" s="44"/>
      <c r="NO78" s="43"/>
      <c r="NP78" s="43"/>
      <c r="NQ78" s="43"/>
      <c r="NR78" s="43"/>
      <c r="NS78" s="43"/>
      <c r="NT78" s="43"/>
      <c r="NU78" s="43"/>
      <c r="NV78" s="43"/>
      <c r="NW78" s="43"/>
      <c r="NX78" s="43"/>
      <c r="NY78" s="43"/>
      <c r="NZ78" s="43"/>
      <c r="OA78" s="43"/>
      <c r="OB78" s="43"/>
      <c r="OC78" s="43"/>
      <c r="OD78" s="43"/>
      <c r="OE78" s="43"/>
      <c r="OF78" s="43"/>
      <c r="OG78" s="43"/>
      <c r="OH78" s="43"/>
      <c r="OI78" s="43"/>
      <c r="OJ78" s="43"/>
      <c r="OK78" s="43"/>
      <c r="OL78" s="43"/>
      <c r="OM78" s="43"/>
      <c r="ON78" s="43"/>
      <c r="OO78" s="43"/>
      <c r="OP78" s="43"/>
      <c r="OQ78" s="43"/>
      <c r="OR78" s="43"/>
      <c r="OS78" s="43"/>
      <c r="OT78" s="43"/>
      <c r="OU78" s="43"/>
      <c r="OV78" s="43"/>
      <c r="OW78" s="43"/>
      <c r="OX78" s="43"/>
      <c r="OY78" s="43"/>
      <c r="OZ78" s="43"/>
      <c r="PA78" s="43"/>
      <c r="PB78" s="43"/>
      <c r="PC78" s="43"/>
      <c r="PD78" s="43"/>
      <c r="PE78" s="43"/>
      <c r="PF78" s="43"/>
      <c r="PG78" s="43"/>
      <c r="PH78" s="43"/>
      <c r="PI78" s="43"/>
      <c r="PJ78" s="43"/>
      <c r="PK78" s="43"/>
      <c r="PL78" s="43"/>
      <c r="PM78" s="43"/>
      <c r="PN78" s="43"/>
      <c r="PO78" s="43"/>
      <c r="PP78" s="43"/>
      <c r="PQ78" s="43"/>
      <c r="PR78" s="43"/>
      <c r="PS78" s="43"/>
      <c r="PT78" s="43"/>
      <c r="PU78" s="43"/>
      <c r="PV78" s="43"/>
      <c r="PW78" s="43"/>
      <c r="PX78" s="43"/>
      <c r="PY78" s="43"/>
      <c r="PZ78" s="43"/>
      <c r="QA78" s="43"/>
      <c r="QB78" s="43"/>
      <c r="QC78" s="43"/>
      <c r="QD78" s="43"/>
      <c r="QE78" s="43"/>
      <c r="QF78" s="43"/>
      <c r="QG78" s="43"/>
      <c r="QH78" s="43"/>
      <c r="QI78" s="43"/>
      <c r="QJ78" s="43"/>
      <c r="QK78" s="43"/>
      <c r="QL78" s="43"/>
      <c r="QM78" s="43"/>
      <c r="QN78" s="43"/>
      <c r="QO78" s="43"/>
      <c r="QP78" s="43"/>
      <c r="QQ78" s="43"/>
      <c r="QR78" s="43"/>
      <c r="QS78" s="43"/>
      <c r="QT78" s="43"/>
      <c r="QU78" s="43"/>
      <c r="QV78" s="43"/>
      <c r="QW78" s="43"/>
      <c r="QX78" s="43"/>
      <c r="QY78" s="43"/>
      <c r="QZ78" s="43"/>
      <c r="RA78" s="43"/>
      <c r="RB78" s="43"/>
      <c r="RC78" s="43"/>
      <c r="RD78" s="43"/>
      <c r="RE78" s="43"/>
      <c r="RF78" s="43"/>
      <c r="RG78" s="43"/>
      <c r="RH78" s="43"/>
      <c r="RI78" s="43"/>
      <c r="RJ78" s="43"/>
      <c r="RK78" s="43"/>
      <c r="RL78" s="43"/>
      <c r="RM78" s="43"/>
      <c r="RN78" s="43"/>
      <c r="RO78" s="43"/>
      <c r="RP78" s="43"/>
      <c r="RQ78" s="43"/>
      <c r="RR78" s="43"/>
      <c r="RS78" s="43"/>
      <c r="RT78" s="43"/>
      <c r="RU78" s="43"/>
      <c r="RV78" s="43"/>
      <c r="RW78" s="43"/>
      <c r="RX78" s="43"/>
      <c r="RY78" s="43"/>
      <c r="RZ78" s="43"/>
      <c r="SA78" s="43"/>
      <c r="SB78" s="43"/>
      <c r="SC78" s="43"/>
      <c r="SD78" s="43"/>
      <c r="SE78" s="43"/>
      <c r="SF78" s="43"/>
      <c r="SG78" s="43"/>
      <c r="SH78" s="43"/>
      <c r="SI78" s="43"/>
      <c r="SJ78" s="43"/>
      <c r="SK78" s="43"/>
      <c r="SL78" s="43"/>
      <c r="SM78" s="43"/>
      <c r="SN78" s="43"/>
      <c r="SO78" s="43"/>
      <c r="SP78" s="43"/>
      <c r="SQ78" s="43"/>
      <c r="SR78" s="43"/>
      <c r="SS78" s="43"/>
      <c r="ST78" s="43"/>
      <c r="SU78" s="43"/>
      <c r="SV78" s="43"/>
      <c r="SW78" s="43"/>
      <c r="SX78" s="43"/>
      <c r="SY78" s="43"/>
      <c r="SZ78" s="43"/>
      <c r="TA78" s="43"/>
      <c r="TB78" s="43"/>
      <c r="TC78" s="43"/>
      <c r="TD78" s="43"/>
      <c r="TE78" s="43"/>
      <c r="TF78" s="43"/>
      <c r="TG78" s="43"/>
      <c r="TH78" s="43"/>
      <c r="TI78" s="43"/>
      <c r="TJ78" s="43"/>
      <c r="TK78" s="43"/>
      <c r="TL78" s="43"/>
      <c r="TM78" s="43"/>
      <c r="TN78" s="43"/>
      <c r="TO78" s="43"/>
      <c r="TP78" s="43"/>
      <c r="TQ78" s="43"/>
      <c r="TR78" s="43"/>
      <c r="TS78" s="43"/>
      <c r="TT78" s="43"/>
      <c r="TU78" s="43"/>
      <c r="TV78" s="43"/>
      <c r="TW78" s="43"/>
      <c r="TX78" s="43"/>
      <c r="TY78" s="43"/>
      <c r="TZ78" s="43"/>
      <c r="UA78" s="43"/>
      <c r="UB78" s="43"/>
      <c r="UC78" s="43"/>
      <c r="UD78" s="43"/>
      <c r="UE78" s="43"/>
      <c r="UF78" s="43"/>
      <c r="UG78" s="43"/>
      <c r="UH78" s="43"/>
      <c r="UI78" s="43"/>
      <c r="UJ78" s="43"/>
      <c r="UK78" s="43"/>
      <c r="UL78" s="43"/>
      <c r="UM78" s="43"/>
      <c r="UN78" s="43"/>
      <c r="UO78" s="43"/>
      <c r="UP78" s="43"/>
      <c r="UQ78" s="43"/>
      <c r="UR78" s="43"/>
      <c r="US78" s="43"/>
      <c r="UT78" s="43"/>
      <c r="UU78" s="43"/>
      <c r="UV78" s="43"/>
      <c r="UW78" s="43"/>
      <c r="UX78" s="43"/>
      <c r="UY78" s="43"/>
      <c r="UZ78" s="43"/>
      <c r="VA78" s="43"/>
      <c r="VB78" s="43"/>
      <c r="VC78" s="43"/>
      <c r="VD78" s="43"/>
      <c r="VE78" s="43"/>
      <c r="VF78" s="43"/>
      <c r="VG78" s="43"/>
      <c r="VH78" s="43"/>
      <c r="VI78" s="43"/>
      <c r="VJ78" s="43"/>
      <c r="VK78" s="43"/>
      <c r="VL78" s="43"/>
      <c r="VM78" s="43"/>
      <c r="VN78" s="43"/>
      <c r="VO78" s="43"/>
      <c r="VP78" s="43"/>
      <c r="VQ78" s="43"/>
      <c r="VR78" s="43"/>
      <c r="VS78" s="43"/>
      <c r="VT78" s="43"/>
      <c r="VU78" s="43"/>
      <c r="VV78" s="43"/>
      <c r="VW78" s="43"/>
      <c r="VX78" s="43"/>
      <c r="VY78" s="43"/>
      <c r="VZ78" s="43"/>
      <c r="WA78" s="43"/>
      <c r="WB78" s="43"/>
      <c r="WC78" s="43"/>
      <c r="WD78" s="43"/>
      <c r="WE78" s="43"/>
      <c r="WF78" s="43"/>
      <c r="WG78" s="43"/>
      <c r="WH78" s="43"/>
      <c r="WI78" s="43"/>
      <c r="WJ78" s="43"/>
      <c r="WK78" s="43"/>
      <c r="WL78" s="43"/>
      <c r="WM78" s="43"/>
      <c r="WN78" s="43"/>
      <c r="WO78" s="43"/>
      <c r="WP78" s="43"/>
      <c r="WQ78" s="43"/>
      <c r="WR78" s="43"/>
      <c r="WS78" s="43"/>
      <c r="WT78" s="43"/>
      <c r="WU78" s="43"/>
      <c r="WV78" s="43"/>
      <c r="WW78" s="43"/>
      <c r="WX78" s="43"/>
      <c r="WY78" s="43"/>
      <c r="WZ78" s="43"/>
      <c r="XA78" s="43"/>
      <c r="XB78" s="43"/>
      <c r="XC78" s="43"/>
      <c r="XD78" s="43"/>
      <c r="XE78" s="43"/>
      <c r="XF78" s="43"/>
      <c r="XG78" s="43"/>
      <c r="XH78" s="43"/>
      <c r="XI78" s="43"/>
      <c r="XJ78" s="43"/>
      <c r="XK78" s="43"/>
      <c r="XL78" s="43"/>
      <c r="XM78" s="43"/>
      <c r="XN78" s="43"/>
      <c r="XO78" s="43"/>
      <c r="XP78" s="43"/>
      <c r="XQ78" s="43"/>
      <c r="XR78" s="43"/>
      <c r="XS78" s="43"/>
      <c r="XT78" s="43"/>
      <c r="XU78" s="43"/>
      <c r="XV78" s="43"/>
      <c r="XW78" s="43"/>
      <c r="XX78" s="43"/>
      <c r="XY78" s="43"/>
      <c r="XZ78" s="43"/>
      <c r="YA78" s="44"/>
      <c r="YB78" s="44"/>
      <c r="YC78" s="44"/>
      <c r="YD78" s="44"/>
      <c r="YE78" s="44"/>
      <c r="YF78" s="43"/>
      <c r="YG78" s="43"/>
      <c r="YH78" s="43"/>
      <c r="YI78" s="43"/>
      <c r="YJ78" s="43"/>
      <c r="YK78" s="43"/>
      <c r="YL78" s="43"/>
      <c r="YM78" s="43"/>
      <c r="YN78" s="43"/>
      <c r="YO78" s="43"/>
      <c r="YP78" s="43"/>
      <c r="YQ78" s="43"/>
      <c r="YR78" s="43"/>
      <c r="YS78" s="43"/>
      <c r="YT78" s="43"/>
      <c r="YU78" s="43"/>
      <c r="YV78" s="43"/>
      <c r="YW78" s="43"/>
      <c r="YX78" s="43"/>
      <c r="YY78" s="43"/>
      <c r="YZ78" s="43"/>
      <c r="ZA78" s="43"/>
      <c r="ZB78" s="43"/>
      <c r="ZC78" s="43"/>
      <c r="ZD78" s="43"/>
      <c r="ZE78" s="43"/>
      <c r="ZF78" s="43"/>
      <c r="ZG78" s="43"/>
      <c r="ZH78" s="43"/>
      <c r="ZI78" s="43"/>
      <c r="ZJ78" s="43"/>
      <c r="ZK78" s="43"/>
      <c r="ZL78" s="43"/>
      <c r="ZM78" s="43"/>
      <c r="ZN78" s="43"/>
      <c r="ZO78" s="43"/>
      <c r="ZP78" s="43"/>
      <c r="ZQ78" s="43"/>
      <c r="ZR78" s="43"/>
      <c r="ZS78" s="43"/>
      <c r="ZT78" s="43"/>
      <c r="ZU78" s="43"/>
      <c r="ZV78" s="43"/>
      <c r="ZW78" s="44"/>
      <c r="ZX78" s="44"/>
      <c r="ZY78" s="44"/>
      <c r="ZZ78" s="44"/>
      <c r="AAA78" s="44"/>
      <c r="AAB78" s="44"/>
      <c r="AAC78" s="44"/>
      <c r="AAD78" s="44"/>
      <c r="AAE78" s="44"/>
      <c r="AAF78" s="44"/>
      <c r="AAG78" s="43"/>
      <c r="AAH78" s="43"/>
      <c r="AAI78" s="43"/>
      <c r="AAJ78" s="43"/>
      <c r="AAK78" s="43"/>
      <c r="AAL78" s="43"/>
      <c r="AAM78" s="43"/>
      <c r="AAN78" s="43"/>
      <c r="AAO78" s="43"/>
      <c r="AAP78" s="43"/>
      <c r="AAQ78" s="43"/>
      <c r="AAR78" s="43"/>
      <c r="AAS78" s="43"/>
      <c r="AAT78" s="43"/>
      <c r="AAU78" s="43"/>
      <c r="AAV78" s="43"/>
      <c r="AAW78" s="43"/>
      <c r="AAX78" s="43"/>
      <c r="AAY78" s="43"/>
      <c r="AAZ78" s="43"/>
      <c r="ABA78" s="43"/>
      <c r="ABB78" s="43"/>
      <c r="ABC78" s="43"/>
      <c r="ABD78" s="43"/>
      <c r="ABE78" s="43"/>
      <c r="ABF78" s="43"/>
      <c r="ABG78" s="43"/>
      <c r="ABH78" s="43"/>
      <c r="ABI78" s="43"/>
      <c r="ABJ78" s="43"/>
      <c r="ABK78" s="43"/>
      <c r="ABL78" s="43"/>
      <c r="ABM78" s="43"/>
      <c r="ABN78" s="43"/>
      <c r="ABO78" s="43"/>
      <c r="ABP78" s="43"/>
      <c r="ABQ78" s="43"/>
      <c r="ABR78" s="43"/>
      <c r="ABS78" s="43"/>
      <c r="ABT78" s="43"/>
      <c r="ABU78" s="43"/>
      <c r="ABV78" s="43"/>
      <c r="ABW78" s="43"/>
      <c r="ABX78" s="43"/>
      <c r="ABY78" s="43"/>
      <c r="ABZ78" s="43"/>
      <c r="ACA78" s="43"/>
      <c r="ACB78" s="43"/>
      <c r="ACC78" s="43"/>
      <c r="ACD78" s="43"/>
      <c r="ACE78" s="43"/>
      <c r="ACF78" s="43"/>
      <c r="ACG78" s="43"/>
      <c r="ACH78" s="45"/>
    </row>
    <row r="79" spans="1:762" x14ac:dyDescent="0.25">
      <c r="A79" s="46" t="s">
        <v>134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  <c r="BW79" s="47"/>
      <c r="BX79" s="47"/>
      <c r="BY79" s="47"/>
      <c r="BZ79" s="47"/>
      <c r="CA79" s="47"/>
      <c r="CB79" s="47"/>
      <c r="CC79" s="47"/>
      <c r="CD79" s="47"/>
      <c r="CE79" s="47"/>
      <c r="CF79" s="47"/>
      <c r="CG79" s="47"/>
      <c r="CH79" s="47"/>
      <c r="CI79" s="47"/>
      <c r="CJ79" s="47"/>
      <c r="CK79" s="47"/>
      <c r="CL79" s="47"/>
      <c r="CM79" s="47"/>
      <c r="CN79" s="47"/>
      <c r="CO79" s="47"/>
      <c r="CP79" s="47"/>
      <c r="CQ79" s="47"/>
      <c r="CR79" s="47"/>
      <c r="CS79" s="47"/>
      <c r="CT79" s="47"/>
      <c r="CU79" s="47"/>
      <c r="CV79" s="47"/>
      <c r="CW79" s="47"/>
      <c r="CX79" s="47"/>
      <c r="CY79" s="47"/>
      <c r="CZ79" s="47"/>
      <c r="DA79" s="47"/>
      <c r="DB79" s="47"/>
      <c r="DC79" s="47"/>
      <c r="DD79" s="47"/>
      <c r="DE79" s="47"/>
      <c r="DF79" s="47"/>
      <c r="DG79" s="47"/>
      <c r="DH79" s="47"/>
      <c r="DI79" s="47"/>
      <c r="DJ79" s="47"/>
      <c r="DK79" s="47"/>
      <c r="DL79" s="47"/>
      <c r="DM79" s="47"/>
      <c r="DN79" s="47"/>
      <c r="DO79" s="47"/>
      <c r="DP79" s="47"/>
      <c r="DQ79" s="47"/>
      <c r="DR79" s="47"/>
      <c r="DS79" s="47"/>
      <c r="DT79" s="47"/>
      <c r="DU79" s="47"/>
      <c r="DV79" s="47"/>
      <c r="DW79" s="47"/>
      <c r="DX79" s="47"/>
      <c r="DY79" s="47"/>
      <c r="DZ79" s="47"/>
      <c r="EA79" s="47"/>
      <c r="EB79" s="47"/>
      <c r="EC79" s="47"/>
      <c r="ED79" s="47"/>
      <c r="EE79" s="47"/>
      <c r="EF79" s="47">
        <v>3306</v>
      </c>
      <c r="EG79" s="47"/>
      <c r="EH79" s="47"/>
      <c r="EI79" s="47"/>
      <c r="EJ79" s="47"/>
      <c r="EK79" s="47"/>
      <c r="EL79" s="47"/>
      <c r="EM79" s="47"/>
      <c r="EN79" s="47"/>
      <c r="EO79" s="47"/>
      <c r="EP79" s="47"/>
      <c r="EQ79" s="47"/>
      <c r="ER79" s="47"/>
      <c r="ES79" s="47"/>
      <c r="ET79" s="47"/>
      <c r="EU79" s="47"/>
      <c r="EV79" s="47"/>
      <c r="EW79" s="47"/>
      <c r="EX79" s="47"/>
      <c r="EY79" s="47"/>
      <c r="EZ79" s="47"/>
      <c r="FA79" s="47"/>
      <c r="FB79" s="47"/>
      <c r="FC79" s="47"/>
      <c r="FD79" s="47"/>
      <c r="FE79" s="47"/>
      <c r="FF79" s="47"/>
      <c r="FG79" s="47"/>
      <c r="FH79" s="47"/>
      <c r="FI79" s="47"/>
      <c r="FJ79" s="47"/>
      <c r="FK79" s="47"/>
      <c r="FL79" s="47"/>
      <c r="FM79" s="47"/>
      <c r="FN79" s="47"/>
      <c r="FO79" s="47"/>
      <c r="FP79" s="47"/>
      <c r="FQ79" s="47"/>
      <c r="FR79" s="47"/>
      <c r="FS79" s="47"/>
      <c r="FT79" s="47"/>
      <c r="FU79" s="47"/>
      <c r="FV79" s="47"/>
      <c r="FW79" s="47"/>
      <c r="FX79" s="47"/>
      <c r="FY79" s="47"/>
      <c r="FZ79" s="47"/>
      <c r="GA79" s="47"/>
      <c r="GB79" s="47"/>
      <c r="GC79" s="47"/>
      <c r="GD79" s="47"/>
      <c r="GE79" s="47"/>
      <c r="GF79" s="47"/>
      <c r="GG79" s="47"/>
      <c r="GH79" s="47"/>
      <c r="GI79" s="47"/>
      <c r="GJ79" s="47"/>
      <c r="GK79" s="47"/>
      <c r="GL79" s="47"/>
      <c r="GM79" s="47"/>
      <c r="GN79" s="47"/>
      <c r="GO79" s="47"/>
      <c r="GP79" s="47"/>
      <c r="GQ79" s="47"/>
      <c r="GR79" s="47"/>
      <c r="GS79" s="47"/>
      <c r="GT79" s="47"/>
      <c r="GU79" s="47" t="s">
        <v>1975</v>
      </c>
      <c r="GV79" s="47"/>
      <c r="GW79" s="47"/>
      <c r="GX79" s="47"/>
      <c r="GY79" s="47"/>
      <c r="GZ79" s="47"/>
      <c r="HA79" s="47"/>
      <c r="HB79" s="47"/>
      <c r="HC79" s="47"/>
      <c r="HD79" s="47"/>
      <c r="HE79" s="47"/>
      <c r="HF79" s="47"/>
      <c r="HG79" s="47"/>
      <c r="HH79" s="47"/>
      <c r="HI79" s="47"/>
      <c r="HJ79" s="47"/>
      <c r="HK79" s="47"/>
      <c r="HL79" s="47"/>
      <c r="HM79" s="47"/>
      <c r="HN79" s="47"/>
      <c r="HO79" s="47"/>
      <c r="HP79" s="47"/>
      <c r="HQ79" s="47"/>
      <c r="HR79" s="47"/>
      <c r="HS79" s="47"/>
      <c r="HT79" s="47"/>
      <c r="HU79" s="47"/>
      <c r="HV79" s="47"/>
      <c r="HW79" s="47"/>
      <c r="HX79" s="47"/>
      <c r="HY79" s="47"/>
      <c r="HZ79" s="47"/>
      <c r="IA79" s="47"/>
      <c r="IB79" s="47"/>
      <c r="IC79" s="47"/>
      <c r="ID79" s="47"/>
      <c r="IE79" s="47"/>
      <c r="IF79" s="47"/>
      <c r="IG79" s="47"/>
      <c r="IH79" s="47"/>
      <c r="II79" s="47"/>
      <c r="IJ79" s="47"/>
      <c r="IK79" s="47"/>
      <c r="IL79" s="47"/>
      <c r="IM79" s="47"/>
      <c r="IN79" s="47"/>
      <c r="IO79" s="47"/>
      <c r="IP79" s="47"/>
      <c r="IQ79" s="47"/>
      <c r="IR79" s="47"/>
      <c r="IS79" s="47"/>
      <c r="IT79" s="47"/>
      <c r="IU79" s="47"/>
      <c r="IV79" s="47"/>
      <c r="IW79" s="47"/>
      <c r="IX79" s="47"/>
      <c r="IY79" s="47"/>
      <c r="IZ79" s="47"/>
      <c r="JA79" s="47"/>
      <c r="JB79" s="47"/>
      <c r="JC79" s="47"/>
      <c r="JD79" s="47"/>
      <c r="JE79" s="47"/>
      <c r="JF79" s="47"/>
      <c r="JG79" s="47"/>
      <c r="JH79" s="47" t="s">
        <v>1987</v>
      </c>
      <c r="JI79" s="47"/>
      <c r="JJ79" s="47"/>
      <c r="JK79" s="47"/>
      <c r="JL79" s="47"/>
      <c r="JM79" s="47"/>
      <c r="JN79" s="47"/>
      <c r="JO79" s="47"/>
      <c r="JP79" s="47"/>
      <c r="JQ79" s="47"/>
      <c r="JR79" s="47"/>
      <c r="JS79" s="47"/>
      <c r="JT79" s="47"/>
      <c r="JU79" s="47"/>
      <c r="JV79" s="47"/>
      <c r="JW79" s="47"/>
      <c r="JX79" s="47"/>
      <c r="JY79" s="47"/>
      <c r="JZ79" s="47"/>
      <c r="KA79" s="47"/>
      <c r="KB79" s="47"/>
      <c r="KC79" s="47"/>
      <c r="KD79" s="47"/>
      <c r="KE79" s="47"/>
      <c r="KF79" s="47"/>
      <c r="KG79" s="47"/>
      <c r="KH79" s="47"/>
      <c r="KI79" s="47"/>
      <c r="KJ79" s="47"/>
      <c r="KK79" s="47"/>
      <c r="KL79" s="47"/>
      <c r="KM79" s="47"/>
      <c r="KN79" s="47"/>
      <c r="KO79" s="47"/>
      <c r="KP79" s="47"/>
      <c r="KQ79" s="47"/>
      <c r="KR79" s="47"/>
      <c r="KS79" s="47"/>
      <c r="KT79" s="47"/>
      <c r="KU79" s="47"/>
      <c r="KV79" s="47"/>
      <c r="KW79" s="47"/>
      <c r="KX79" s="47"/>
      <c r="KY79" s="47"/>
      <c r="KZ79" s="47"/>
      <c r="LA79" s="47"/>
      <c r="LB79" s="47"/>
      <c r="LC79" s="47"/>
      <c r="LD79" s="47"/>
      <c r="LE79" s="47"/>
      <c r="LF79" s="47"/>
      <c r="LG79" s="47"/>
      <c r="LH79" s="47"/>
      <c r="LI79" s="47"/>
      <c r="LJ79" s="47"/>
      <c r="LK79" s="47"/>
      <c r="LL79" s="47"/>
      <c r="LM79" s="47"/>
      <c r="LN79" s="47"/>
      <c r="LO79" s="47"/>
      <c r="LP79" s="47"/>
      <c r="LQ79" s="47"/>
      <c r="LR79" s="47"/>
      <c r="LS79" s="47"/>
      <c r="LT79" s="47"/>
      <c r="LU79" s="47"/>
      <c r="LV79" s="47"/>
      <c r="LW79" s="47"/>
      <c r="LX79" s="47"/>
      <c r="LY79" s="47"/>
      <c r="LZ79" s="47"/>
      <c r="MA79" s="47"/>
      <c r="MB79" s="47"/>
      <c r="MC79" s="47"/>
      <c r="MD79" s="47"/>
      <c r="ME79" s="47"/>
      <c r="MF79" s="47"/>
      <c r="MG79" s="47"/>
      <c r="MH79" s="47"/>
      <c r="MI79" s="47"/>
      <c r="MJ79" s="47"/>
      <c r="MK79" s="47"/>
      <c r="ML79" s="47"/>
      <c r="MM79" s="47"/>
      <c r="MN79" s="47"/>
      <c r="MO79" s="47"/>
      <c r="MP79" s="47"/>
      <c r="MQ79" s="47"/>
      <c r="MR79" s="47"/>
      <c r="MS79" s="47"/>
      <c r="MT79" s="47"/>
      <c r="MU79" s="47"/>
      <c r="MV79" s="47"/>
      <c r="MW79" s="47"/>
      <c r="MX79" s="47"/>
      <c r="MY79" s="47"/>
      <c r="MZ79" s="47"/>
      <c r="NA79" s="47"/>
      <c r="NB79" s="47"/>
      <c r="NC79" s="47"/>
      <c r="ND79" s="47"/>
      <c r="NE79" s="47"/>
      <c r="NF79" s="47"/>
      <c r="NG79" s="47"/>
      <c r="NH79" s="47"/>
      <c r="NI79" s="47"/>
      <c r="NJ79" s="44"/>
      <c r="NK79" s="44"/>
      <c r="NL79" s="44"/>
      <c r="NM79" s="44"/>
      <c r="NN79" s="44"/>
      <c r="NO79" s="47"/>
      <c r="NP79" s="47"/>
      <c r="NQ79" s="47"/>
      <c r="NR79" s="47"/>
      <c r="NS79" s="47"/>
      <c r="NT79" s="47"/>
      <c r="NU79" s="47"/>
      <c r="NV79" s="47"/>
      <c r="NW79" s="47"/>
      <c r="NX79" s="47"/>
      <c r="NY79" s="47"/>
      <c r="NZ79" s="47"/>
      <c r="OA79" s="47"/>
      <c r="OB79" s="47"/>
      <c r="OC79" s="47"/>
      <c r="OD79" s="47"/>
      <c r="OE79" s="47"/>
      <c r="OF79" s="47"/>
      <c r="OG79" s="47"/>
      <c r="OH79" s="47"/>
      <c r="OI79" s="47"/>
      <c r="OJ79" s="47"/>
      <c r="OK79" s="47"/>
      <c r="OL79" s="47"/>
      <c r="OM79" s="47"/>
      <c r="ON79" s="47"/>
      <c r="OO79" s="47"/>
      <c r="OP79" s="47"/>
      <c r="OQ79" s="47"/>
      <c r="OR79" s="47"/>
      <c r="OS79" s="47"/>
      <c r="OT79" s="47"/>
      <c r="OU79" s="47"/>
      <c r="OV79" s="47"/>
      <c r="OW79" s="47"/>
      <c r="OX79" s="47"/>
      <c r="OY79" s="47"/>
      <c r="OZ79" s="47"/>
      <c r="PA79" s="47"/>
      <c r="PB79" s="47"/>
      <c r="PC79" s="47"/>
      <c r="PD79" s="47"/>
      <c r="PE79" s="47"/>
      <c r="PF79" s="47"/>
      <c r="PG79" s="47"/>
      <c r="PH79" s="47"/>
      <c r="PI79" s="47"/>
      <c r="PJ79" s="47"/>
      <c r="PK79" s="47"/>
      <c r="PL79" s="47"/>
      <c r="PM79" s="47"/>
      <c r="PN79" s="47"/>
      <c r="PO79" s="47"/>
      <c r="PP79" s="47"/>
      <c r="PQ79" s="47"/>
      <c r="PR79" s="47"/>
      <c r="PS79" s="47"/>
      <c r="PT79" s="47"/>
      <c r="PU79" s="47"/>
      <c r="PV79" s="47"/>
      <c r="PW79" s="47"/>
      <c r="PX79" s="47"/>
      <c r="PY79" s="47"/>
      <c r="PZ79" s="47"/>
      <c r="QA79" s="47"/>
      <c r="QB79" s="47"/>
      <c r="QC79" s="47"/>
      <c r="QD79" s="47"/>
      <c r="QE79" s="47"/>
      <c r="QF79" s="47"/>
      <c r="QG79" s="47"/>
      <c r="QH79" s="47"/>
      <c r="QI79" s="47"/>
      <c r="QJ79" s="47"/>
      <c r="QK79" s="47" t="s">
        <v>2006</v>
      </c>
      <c r="QL79" s="47"/>
      <c r="QM79" s="47"/>
      <c r="QN79" s="47"/>
      <c r="QO79" s="47"/>
      <c r="QP79" s="47"/>
      <c r="QQ79" s="47"/>
      <c r="QR79" s="47"/>
      <c r="QS79" s="47"/>
      <c r="QT79" s="47"/>
      <c r="QU79" s="47"/>
      <c r="QV79" s="47"/>
      <c r="QW79" s="47"/>
      <c r="QX79" s="47"/>
      <c r="QY79" s="47"/>
      <c r="QZ79" s="47"/>
      <c r="RA79" s="47"/>
      <c r="RB79" s="47"/>
      <c r="RC79" s="47"/>
      <c r="RD79" s="47"/>
      <c r="RE79" s="47"/>
      <c r="RF79" s="47"/>
      <c r="RG79" s="47"/>
      <c r="RH79" s="47"/>
      <c r="RI79" s="47"/>
      <c r="RJ79" s="47"/>
      <c r="RK79" s="47"/>
      <c r="RL79" s="47"/>
      <c r="RM79" s="47"/>
      <c r="RN79" s="47"/>
      <c r="RO79" s="47"/>
      <c r="RP79" s="47"/>
      <c r="RQ79" s="47"/>
      <c r="RR79" s="47"/>
      <c r="RS79" s="47"/>
      <c r="RT79" s="47"/>
      <c r="RU79" s="47"/>
      <c r="RV79" s="47"/>
      <c r="RW79" s="47"/>
      <c r="RX79" s="47"/>
      <c r="RY79" s="47"/>
      <c r="RZ79" s="47"/>
      <c r="SA79" s="47"/>
      <c r="SB79" s="47"/>
      <c r="SC79" s="47"/>
      <c r="SD79" s="47"/>
      <c r="SE79" s="47"/>
      <c r="SF79" s="47"/>
      <c r="SG79" s="47"/>
      <c r="SH79" s="47"/>
      <c r="SI79" s="47"/>
      <c r="SJ79" s="47"/>
      <c r="SK79" s="47"/>
      <c r="SL79" s="47"/>
      <c r="SM79" s="47"/>
      <c r="SN79" s="47"/>
      <c r="SO79" s="47"/>
      <c r="SP79" s="47"/>
      <c r="SQ79" s="47"/>
      <c r="SR79" s="47"/>
      <c r="SS79" s="47"/>
      <c r="ST79" s="47"/>
      <c r="SU79" s="47"/>
      <c r="SV79" s="47"/>
      <c r="SW79" s="47"/>
      <c r="SX79" s="47"/>
      <c r="SY79" s="47"/>
      <c r="SZ79" s="47"/>
      <c r="TA79" s="47"/>
      <c r="TB79" s="47"/>
      <c r="TC79" s="47"/>
      <c r="TD79" s="47"/>
      <c r="TE79" s="47"/>
      <c r="TF79" s="47"/>
      <c r="TG79" s="47"/>
      <c r="TH79" s="47"/>
      <c r="TI79" s="47"/>
      <c r="TJ79" s="47"/>
      <c r="TK79" s="47"/>
      <c r="TL79" s="47"/>
      <c r="TM79" s="47"/>
      <c r="TN79" s="47"/>
      <c r="TO79" s="47"/>
      <c r="TP79" s="47"/>
      <c r="TQ79" s="47"/>
      <c r="TR79" s="47"/>
      <c r="TS79" s="47"/>
      <c r="TT79" s="47"/>
      <c r="TU79" s="47"/>
      <c r="TV79" s="47"/>
      <c r="TW79" s="47"/>
      <c r="TX79" s="47"/>
      <c r="TY79" s="47"/>
      <c r="TZ79" s="47"/>
      <c r="UA79" s="47"/>
      <c r="UB79" s="47"/>
      <c r="UC79" s="47"/>
      <c r="UD79" s="47"/>
      <c r="UE79" s="47"/>
      <c r="UF79" s="47"/>
      <c r="UG79" s="47"/>
      <c r="UH79" s="47"/>
      <c r="UI79" s="47"/>
      <c r="UJ79" s="47"/>
      <c r="UK79" s="47"/>
      <c r="UL79" s="47"/>
      <c r="UM79" s="47"/>
      <c r="UN79" s="47"/>
      <c r="UO79" s="47"/>
      <c r="UP79" s="47"/>
      <c r="UQ79" s="47"/>
      <c r="UR79" s="47"/>
      <c r="US79" s="47"/>
      <c r="UT79" s="47"/>
      <c r="UU79" s="47"/>
      <c r="UV79" s="47"/>
      <c r="UW79" s="47"/>
      <c r="UX79" s="47"/>
      <c r="UY79" s="47"/>
      <c r="UZ79" s="47"/>
      <c r="VA79" s="47"/>
      <c r="VB79" s="47"/>
      <c r="VC79" s="47"/>
      <c r="VD79" s="47"/>
      <c r="VE79" s="47"/>
      <c r="VF79" s="47"/>
      <c r="VG79" s="47"/>
      <c r="VH79" s="47"/>
      <c r="VI79" s="47"/>
      <c r="VJ79" s="47"/>
      <c r="VK79" s="47"/>
      <c r="VL79" s="47"/>
      <c r="VM79" s="47"/>
      <c r="VN79" s="47"/>
      <c r="VO79" s="47"/>
      <c r="VP79" s="47"/>
      <c r="VQ79" s="47"/>
      <c r="VR79" s="47"/>
      <c r="VS79" s="47"/>
      <c r="VT79" s="47"/>
      <c r="VU79" s="47"/>
      <c r="VV79" s="47"/>
      <c r="VW79" s="47"/>
      <c r="VX79" s="47"/>
      <c r="VY79" s="47"/>
      <c r="VZ79" s="47"/>
      <c r="WA79" s="47"/>
      <c r="WB79" s="47"/>
      <c r="WC79" s="47"/>
      <c r="WD79" s="47"/>
      <c r="WE79" s="47"/>
      <c r="WF79" s="47"/>
      <c r="WG79" s="47"/>
      <c r="WH79" s="47"/>
      <c r="WI79" s="47"/>
      <c r="WJ79" s="47"/>
      <c r="WK79" s="47"/>
      <c r="WL79" s="47"/>
      <c r="WM79" s="47"/>
      <c r="WN79" s="47"/>
      <c r="WO79" s="47"/>
      <c r="WP79" s="47"/>
      <c r="WQ79" s="47"/>
      <c r="WR79" s="47"/>
      <c r="WS79" s="47"/>
      <c r="WT79" s="47"/>
      <c r="WU79" s="47"/>
      <c r="WV79" s="47"/>
      <c r="WW79" s="47"/>
      <c r="WX79" s="47"/>
      <c r="WY79" s="47"/>
      <c r="WZ79" s="47"/>
      <c r="XA79" s="47"/>
      <c r="XB79" s="47"/>
      <c r="XC79" s="47"/>
      <c r="XD79" s="47"/>
      <c r="XE79" s="47"/>
      <c r="XF79" s="47"/>
      <c r="XG79" s="47"/>
      <c r="XH79" s="47"/>
      <c r="XI79" s="47"/>
      <c r="XJ79" s="47"/>
      <c r="XK79" s="47"/>
      <c r="XL79" s="47"/>
      <c r="XM79" s="47"/>
      <c r="XN79" s="47"/>
      <c r="XO79" s="47"/>
      <c r="XP79" s="47"/>
      <c r="XQ79" s="47"/>
      <c r="XR79" s="47"/>
      <c r="XS79" s="47"/>
      <c r="XT79" s="47"/>
      <c r="XU79" s="47"/>
      <c r="XV79" s="47"/>
      <c r="XW79" s="47"/>
      <c r="XX79" s="47"/>
      <c r="XY79" s="47"/>
      <c r="XZ79" s="47"/>
      <c r="YA79" s="44"/>
      <c r="YB79" s="44"/>
      <c r="YC79" s="44"/>
      <c r="YD79" s="44"/>
      <c r="YE79" s="44"/>
      <c r="YF79" s="47"/>
      <c r="YG79" s="47"/>
      <c r="YH79" s="47"/>
      <c r="YI79" s="47"/>
      <c r="YJ79" s="47"/>
      <c r="YK79" s="47"/>
      <c r="YL79" s="47"/>
      <c r="YM79" s="47"/>
      <c r="YN79" s="47"/>
      <c r="YO79" s="47"/>
      <c r="YP79" s="47"/>
      <c r="YQ79" s="47"/>
      <c r="YR79" s="47"/>
      <c r="YS79" s="47"/>
      <c r="YT79" s="47"/>
      <c r="YU79" s="47"/>
      <c r="YV79" s="47"/>
      <c r="YW79" s="47"/>
      <c r="YX79" s="47"/>
      <c r="YY79" s="47"/>
      <c r="YZ79" s="47"/>
      <c r="ZA79" s="47"/>
      <c r="ZB79" s="47"/>
      <c r="ZC79" s="47"/>
      <c r="ZD79" s="47"/>
      <c r="ZE79" s="47"/>
      <c r="ZF79" s="47"/>
      <c r="ZG79" s="47"/>
      <c r="ZH79" s="47"/>
      <c r="ZI79" s="47"/>
      <c r="ZJ79" s="47"/>
      <c r="ZK79" s="47"/>
      <c r="ZL79" s="47"/>
      <c r="ZM79" s="47"/>
      <c r="ZN79" s="47"/>
      <c r="ZO79" s="47"/>
      <c r="ZP79" s="47"/>
      <c r="ZQ79" s="47"/>
      <c r="ZR79" s="47"/>
      <c r="ZS79" s="47"/>
      <c r="ZT79" s="47"/>
      <c r="ZU79" s="47"/>
      <c r="ZV79" s="47"/>
      <c r="ZW79" s="44"/>
      <c r="ZX79" s="44"/>
      <c r="ZY79" s="44"/>
      <c r="ZZ79" s="44"/>
      <c r="AAA79" s="44"/>
      <c r="AAB79" s="44"/>
      <c r="AAC79" s="44"/>
      <c r="AAD79" s="44"/>
      <c r="AAE79" s="44"/>
      <c r="AAF79" s="44"/>
      <c r="AAG79" s="47"/>
      <c r="AAH79" s="47"/>
      <c r="AAI79" s="47"/>
      <c r="AAJ79" s="47"/>
      <c r="AAK79" s="47"/>
      <c r="AAL79" s="47"/>
      <c r="AAM79" s="47"/>
      <c r="AAN79" s="47"/>
      <c r="AAO79" s="47"/>
      <c r="AAP79" s="47"/>
      <c r="AAQ79" s="47"/>
      <c r="AAR79" s="47"/>
      <c r="AAS79" s="47"/>
      <c r="AAT79" s="47"/>
      <c r="AAU79" s="47"/>
      <c r="AAV79" s="47"/>
      <c r="AAW79" s="47"/>
      <c r="AAX79" s="47"/>
      <c r="AAY79" s="47"/>
      <c r="AAZ79" s="47"/>
      <c r="ABA79" s="47"/>
      <c r="ABB79" s="47"/>
      <c r="ABC79" s="47"/>
      <c r="ABD79" s="47"/>
      <c r="ABE79" s="47"/>
      <c r="ABF79" s="47"/>
      <c r="ABG79" s="47"/>
      <c r="ABH79" s="47"/>
      <c r="ABI79" s="47"/>
      <c r="ABJ79" s="47"/>
      <c r="ABK79" s="47"/>
      <c r="ABL79" s="47"/>
      <c r="ABM79" s="47"/>
      <c r="ABN79" s="47"/>
      <c r="ABO79" s="47"/>
      <c r="ABP79" s="47"/>
      <c r="ABQ79" s="47"/>
      <c r="ABR79" s="47"/>
      <c r="ABS79" s="47"/>
      <c r="ABT79" s="47"/>
      <c r="ABU79" s="47"/>
      <c r="ABV79" s="47"/>
      <c r="ABW79" s="47"/>
      <c r="ABX79" s="47"/>
      <c r="ABY79" s="47"/>
      <c r="ABZ79" s="47"/>
      <c r="ACA79" s="47"/>
      <c r="ACB79" s="47"/>
      <c r="ACC79" s="47"/>
      <c r="ACD79" s="47"/>
      <c r="ACE79" s="47"/>
      <c r="ACF79" s="47"/>
      <c r="ACG79" s="47"/>
      <c r="ACH79" s="48"/>
    </row>
    <row r="80" spans="1:762" x14ac:dyDescent="0.25">
      <c r="A80" s="42" t="s">
        <v>136</v>
      </c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3"/>
      <c r="BJ80" s="43"/>
      <c r="BK80" s="43"/>
      <c r="BL80" s="43"/>
      <c r="BM80" s="43"/>
      <c r="BN80" s="43"/>
      <c r="BO80" s="43"/>
      <c r="BP80" s="43"/>
      <c r="BQ80" s="43"/>
      <c r="BR80" s="43"/>
      <c r="BS80" s="43"/>
      <c r="BT80" s="43"/>
      <c r="BU80" s="43"/>
      <c r="BV80" s="43"/>
      <c r="BW80" s="43"/>
      <c r="BX80" s="43"/>
      <c r="BY80" s="43"/>
      <c r="BZ80" s="43"/>
      <c r="CA80" s="43"/>
      <c r="CB80" s="43"/>
      <c r="CC80" s="43"/>
      <c r="CD80" s="43"/>
      <c r="CE80" s="43"/>
      <c r="CF80" s="43"/>
      <c r="CG80" s="43"/>
      <c r="CH80" s="43"/>
      <c r="CI80" s="43"/>
      <c r="CJ80" s="43"/>
      <c r="CK80" s="43"/>
      <c r="CL80" s="43"/>
      <c r="CM80" s="43"/>
      <c r="CN80" s="43"/>
      <c r="CO80" s="43"/>
      <c r="CP80" s="43"/>
      <c r="CQ80" s="43"/>
      <c r="CR80" s="43"/>
      <c r="CS80" s="43"/>
      <c r="CT80" s="43"/>
      <c r="CU80" s="43"/>
      <c r="CV80" s="43"/>
      <c r="CW80" s="43"/>
      <c r="CX80" s="43"/>
      <c r="CY80" s="43"/>
      <c r="CZ80" s="43"/>
      <c r="DA80" s="43"/>
      <c r="DB80" s="43"/>
      <c r="DC80" s="43"/>
      <c r="DD80" s="43"/>
      <c r="DE80" s="43"/>
      <c r="DF80" s="43"/>
      <c r="DG80" s="43"/>
      <c r="DH80" s="43"/>
      <c r="DI80" s="43"/>
      <c r="DJ80" s="43"/>
      <c r="DK80" s="43"/>
      <c r="DL80" s="43"/>
      <c r="DM80" s="43"/>
      <c r="DN80" s="43"/>
      <c r="DO80" s="43"/>
      <c r="DP80" s="43"/>
      <c r="DQ80" s="43"/>
      <c r="DR80" s="43"/>
      <c r="DS80" s="43"/>
      <c r="DT80" s="43"/>
      <c r="DU80" s="43"/>
      <c r="DV80" s="43"/>
      <c r="DW80" s="43"/>
      <c r="DX80" s="43"/>
      <c r="DY80" s="43"/>
      <c r="DZ80" s="43"/>
      <c r="EA80" s="43"/>
      <c r="EB80" s="43"/>
      <c r="EC80" s="43"/>
      <c r="ED80" s="43"/>
      <c r="EE80" s="43"/>
      <c r="EF80" s="43"/>
      <c r="EG80" s="43"/>
      <c r="EH80" s="43"/>
      <c r="EI80" s="43"/>
      <c r="EJ80" s="43"/>
      <c r="EK80" s="43"/>
      <c r="EL80" s="43"/>
      <c r="EM80" s="43"/>
      <c r="EN80" s="43"/>
      <c r="EO80" s="43"/>
      <c r="EP80" s="43"/>
      <c r="EQ80" s="43"/>
      <c r="ER80" s="43"/>
      <c r="ES80" s="43"/>
      <c r="ET80" s="43"/>
      <c r="EU80" s="43"/>
      <c r="EV80" s="43"/>
      <c r="EW80" s="43"/>
      <c r="EX80" s="43"/>
      <c r="EY80" s="43"/>
      <c r="EZ80" s="43"/>
      <c r="FA80" s="43"/>
      <c r="FB80" s="43"/>
      <c r="FC80" s="43"/>
      <c r="FD80" s="43"/>
      <c r="FE80" s="43"/>
      <c r="FF80" s="43"/>
      <c r="FG80" s="43"/>
      <c r="FH80" s="43"/>
      <c r="FI80" s="43"/>
      <c r="FJ80" s="43"/>
      <c r="FK80" s="43"/>
      <c r="FL80" s="43"/>
      <c r="FM80" s="43"/>
      <c r="FN80" s="43"/>
      <c r="FO80" s="43"/>
      <c r="FP80" s="43"/>
      <c r="FQ80" s="43"/>
      <c r="FR80" s="43"/>
      <c r="FS80" s="43"/>
      <c r="FT80" s="43"/>
      <c r="FU80" s="43"/>
      <c r="FV80" s="43"/>
      <c r="FW80" s="43"/>
      <c r="FX80" s="43"/>
      <c r="FY80" s="43"/>
      <c r="FZ80" s="43"/>
      <c r="GA80" s="43"/>
      <c r="GB80" s="43"/>
      <c r="GC80" s="43"/>
      <c r="GD80" s="43"/>
      <c r="GE80" s="43"/>
      <c r="GF80" s="43"/>
      <c r="GG80" s="43"/>
      <c r="GH80" s="43"/>
      <c r="GI80" s="43"/>
      <c r="GJ80" s="43"/>
      <c r="GK80" s="43"/>
      <c r="GL80" s="43"/>
      <c r="GM80" s="43"/>
      <c r="GN80" s="43"/>
      <c r="GO80" s="43"/>
      <c r="GP80" s="43"/>
      <c r="GQ80" s="43"/>
      <c r="GR80" s="43"/>
      <c r="GS80" s="43"/>
      <c r="GT80" s="43"/>
      <c r="GU80" s="43"/>
      <c r="GV80" s="43"/>
      <c r="GW80" s="43"/>
      <c r="GX80" s="43"/>
      <c r="GY80" s="43"/>
      <c r="GZ80" s="43"/>
      <c r="HA80" s="43"/>
      <c r="HB80" s="43"/>
      <c r="HC80" s="43"/>
      <c r="HD80" s="43"/>
      <c r="HE80" s="43"/>
      <c r="HF80" s="43"/>
      <c r="HG80" s="43"/>
      <c r="HH80" s="43"/>
      <c r="HI80" s="43"/>
      <c r="HJ80" s="43"/>
      <c r="HK80" s="43"/>
      <c r="HL80" s="43"/>
      <c r="HM80" s="43"/>
      <c r="HN80" s="43"/>
      <c r="HO80" s="43"/>
      <c r="HP80" s="43"/>
      <c r="HQ80" s="43"/>
      <c r="HR80" s="43"/>
      <c r="HS80" s="43"/>
      <c r="HT80" s="43"/>
      <c r="HU80" s="43"/>
      <c r="HV80" s="43"/>
      <c r="HW80" s="43"/>
      <c r="HX80" s="43"/>
      <c r="HY80" s="43"/>
      <c r="HZ80" s="43"/>
      <c r="IA80" s="43"/>
      <c r="IB80" s="43"/>
      <c r="IC80" s="43"/>
      <c r="ID80" s="43"/>
      <c r="IE80" s="43"/>
      <c r="IF80" s="43"/>
      <c r="IG80" s="43"/>
      <c r="IH80" s="43"/>
      <c r="II80" s="43"/>
      <c r="IJ80" s="43"/>
      <c r="IK80" s="43"/>
      <c r="IL80" s="43"/>
      <c r="IM80" s="43"/>
      <c r="IN80" s="43"/>
      <c r="IO80" s="43"/>
      <c r="IP80" s="43"/>
      <c r="IQ80" s="43"/>
      <c r="IR80" s="43"/>
      <c r="IS80" s="43"/>
      <c r="IT80" s="43"/>
      <c r="IU80" s="43"/>
      <c r="IV80" s="43"/>
      <c r="IW80" s="43"/>
      <c r="IX80" s="43"/>
      <c r="IY80" s="43"/>
      <c r="IZ80" s="43"/>
      <c r="JA80" s="43"/>
      <c r="JB80" s="43"/>
      <c r="JC80" s="43"/>
      <c r="JD80" s="43"/>
      <c r="JE80" s="43"/>
      <c r="JF80" s="43"/>
      <c r="JG80" s="43"/>
      <c r="JH80" s="43"/>
      <c r="JI80" s="43"/>
      <c r="JJ80" s="43"/>
      <c r="JK80" s="43"/>
      <c r="JL80" s="43"/>
      <c r="JM80" s="43"/>
      <c r="JN80" s="43"/>
      <c r="JO80" s="43"/>
      <c r="JP80" s="43"/>
      <c r="JQ80" s="43"/>
      <c r="JR80" s="43"/>
      <c r="JS80" s="43"/>
      <c r="JT80" s="43"/>
      <c r="JU80" s="43"/>
      <c r="JV80" s="43"/>
      <c r="JW80" s="43"/>
      <c r="JX80" s="43"/>
      <c r="JY80" s="43"/>
      <c r="JZ80" s="43"/>
      <c r="KA80" s="43"/>
      <c r="KB80" s="43"/>
      <c r="KC80" s="43"/>
      <c r="KD80" s="43"/>
      <c r="KE80" s="43"/>
      <c r="KF80" s="43"/>
      <c r="KG80" s="43"/>
      <c r="KH80" s="43"/>
      <c r="KI80" s="43"/>
      <c r="KJ80" s="43"/>
      <c r="KK80" s="43"/>
      <c r="KL80" s="43"/>
      <c r="KM80" s="43"/>
      <c r="KN80" s="43"/>
      <c r="KO80" s="43"/>
      <c r="KP80" s="43"/>
      <c r="KQ80" s="43"/>
      <c r="KR80" s="43"/>
      <c r="KS80" s="43"/>
      <c r="KT80" s="43"/>
      <c r="KU80" s="43"/>
      <c r="KV80" s="43"/>
      <c r="KW80" s="43"/>
      <c r="KX80" s="43"/>
      <c r="KY80" s="43"/>
      <c r="KZ80" s="43"/>
      <c r="LA80" s="43"/>
      <c r="LB80" s="43"/>
      <c r="LC80" s="43"/>
      <c r="LD80" s="43"/>
      <c r="LE80" s="43"/>
      <c r="LF80" s="43"/>
      <c r="LG80" s="43"/>
      <c r="LH80" s="43"/>
      <c r="LI80" s="43"/>
      <c r="LJ80" s="43"/>
      <c r="LK80" s="43"/>
      <c r="LL80" s="43"/>
      <c r="LM80" s="43"/>
      <c r="LN80" s="43"/>
      <c r="LO80" s="43"/>
      <c r="LP80" s="43"/>
      <c r="LQ80" s="43"/>
      <c r="LR80" s="43"/>
      <c r="LS80" s="43"/>
      <c r="LT80" s="43"/>
      <c r="LU80" s="43"/>
      <c r="LV80" s="43"/>
      <c r="LW80" s="43"/>
      <c r="LX80" s="43"/>
      <c r="LY80" s="43"/>
      <c r="LZ80" s="43"/>
      <c r="MA80" s="43"/>
      <c r="MB80" s="43"/>
      <c r="MC80" s="43"/>
      <c r="MD80" s="43"/>
      <c r="ME80" s="43"/>
      <c r="MF80" s="43"/>
      <c r="MG80" s="43"/>
      <c r="MH80" s="43"/>
      <c r="MI80" s="43"/>
      <c r="MJ80" s="43"/>
      <c r="MK80" s="43"/>
      <c r="ML80" s="43"/>
      <c r="MM80" s="43"/>
      <c r="MN80" s="43"/>
      <c r="MO80" s="43"/>
      <c r="MP80" s="43"/>
      <c r="MQ80" s="43"/>
      <c r="MR80" s="43"/>
      <c r="MS80" s="43"/>
      <c r="MT80" s="43"/>
      <c r="MU80" s="43"/>
      <c r="MV80" s="43"/>
      <c r="MW80" s="43"/>
      <c r="MX80" s="43"/>
      <c r="MY80" s="43"/>
      <c r="MZ80" s="43"/>
      <c r="NA80" s="43"/>
      <c r="NB80" s="43"/>
      <c r="NC80" s="43"/>
      <c r="ND80" s="43"/>
      <c r="NE80" s="43"/>
      <c r="NF80" s="43"/>
      <c r="NG80" s="43"/>
      <c r="NH80" s="43"/>
      <c r="NI80" s="43"/>
      <c r="NJ80" s="44"/>
      <c r="NK80" s="44"/>
      <c r="NL80" s="44"/>
      <c r="NM80" s="44"/>
      <c r="NN80" s="44"/>
      <c r="NO80" s="43"/>
      <c r="NP80" s="43"/>
      <c r="NQ80" s="43"/>
      <c r="NR80" s="43"/>
      <c r="NS80" s="43"/>
      <c r="NT80" s="43"/>
      <c r="NU80" s="43"/>
      <c r="NV80" s="43"/>
      <c r="NW80" s="43"/>
      <c r="NX80" s="43"/>
      <c r="NY80" s="43"/>
      <c r="NZ80" s="43"/>
      <c r="OA80" s="43"/>
      <c r="OB80" s="43"/>
      <c r="OC80" s="43"/>
      <c r="OD80" s="43"/>
      <c r="OE80" s="43"/>
      <c r="OF80" s="43"/>
      <c r="OG80" s="43"/>
      <c r="OH80" s="43"/>
      <c r="OI80" s="43"/>
      <c r="OJ80" s="43"/>
      <c r="OK80" s="43"/>
      <c r="OL80" s="43"/>
      <c r="OM80" s="43"/>
      <c r="ON80" s="43"/>
      <c r="OO80" s="43"/>
      <c r="OP80" s="43"/>
      <c r="OQ80" s="43"/>
      <c r="OR80" s="43"/>
      <c r="OS80" s="43"/>
      <c r="OT80" s="43"/>
      <c r="OU80" s="43"/>
      <c r="OV80" s="43"/>
      <c r="OW80" s="43"/>
      <c r="OX80" s="43"/>
      <c r="OY80" s="43"/>
      <c r="OZ80" s="43"/>
      <c r="PA80" s="43"/>
      <c r="PB80" s="43"/>
      <c r="PC80" s="43"/>
      <c r="PD80" s="43"/>
      <c r="PE80" s="43"/>
      <c r="PF80" s="43"/>
      <c r="PG80" s="43"/>
      <c r="PH80" s="43"/>
      <c r="PI80" s="43"/>
      <c r="PJ80" s="43"/>
      <c r="PK80" s="43"/>
      <c r="PL80" s="43"/>
      <c r="PM80" s="43"/>
      <c r="PN80" s="43"/>
      <c r="PO80" s="43"/>
      <c r="PP80" s="43"/>
      <c r="PQ80" s="43"/>
      <c r="PR80" s="43"/>
      <c r="PS80" s="43"/>
      <c r="PT80" s="43"/>
      <c r="PU80" s="43"/>
      <c r="PV80" s="43"/>
      <c r="PW80" s="43"/>
      <c r="PX80" s="43"/>
      <c r="PY80" s="43"/>
      <c r="PZ80" s="43"/>
      <c r="QA80" s="43"/>
      <c r="QB80" s="43"/>
      <c r="QC80" s="43"/>
      <c r="QD80" s="43"/>
      <c r="QE80" s="43"/>
      <c r="QF80" s="43"/>
      <c r="QG80" s="43"/>
      <c r="QH80" s="43"/>
      <c r="QI80" s="43"/>
      <c r="QJ80" s="43"/>
      <c r="QK80" s="43"/>
      <c r="QL80" s="43"/>
      <c r="QM80" s="43"/>
      <c r="QN80" s="43"/>
      <c r="QO80" s="43"/>
      <c r="QP80" s="43"/>
      <c r="QQ80" s="43"/>
      <c r="QR80" s="43"/>
      <c r="QS80" s="43"/>
      <c r="QT80" s="43"/>
      <c r="QU80" s="43"/>
      <c r="QV80" s="43"/>
      <c r="QW80" s="43"/>
      <c r="QX80" s="43"/>
      <c r="QY80" s="43"/>
      <c r="QZ80" s="43"/>
      <c r="RA80" s="43"/>
      <c r="RB80" s="43"/>
      <c r="RC80" s="43"/>
      <c r="RD80" s="43"/>
      <c r="RE80" s="43"/>
      <c r="RF80" s="43"/>
      <c r="RG80" s="43"/>
      <c r="RH80" s="43"/>
      <c r="RI80" s="43"/>
      <c r="RJ80" s="43"/>
      <c r="RK80" s="43"/>
      <c r="RL80" s="43"/>
      <c r="RM80" s="43"/>
      <c r="RN80" s="43"/>
      <c r="RO80" s="43"/>
      <c r="RP80" s="43"/>
      <c r="RQ80" s="43"/>
      <c r="RR80" s="43"/>
      <c r="RS80" s="43"/>
      <c r="RT80" s="43"/>
      <c r="RU80" s="43"/>
      <c r="RV80" s="43"/>
      <c r="RW80" s="43"/>
      <c r="RX80" s="43"/>
      <c r="RY80" s="43"/>
      <c r="RZ80" s="43"/>
      <c r="SA80" s="43"/>
      <c r="SB80" s="43"/>
      <c r="SC80" s="43"/>
      <c r="SD80" s="43"/>
      <c r="SE80" s="43"/>
      <c r="SF80" s="43"/>
      <c r="SG80" s="43"/>
      <c r="SH80" s="43"/>
      <c r="SI80" s="43"/>
      <c r="SJ80" s="43"/>
      <c r="SK80" s="43"/>
      <c r="SL80" s="43"/>
      <c r="SM80" s="43"/>
      <c r="SN80" s="43"/>
      <c r="SO80" s="43"/>
      <c r="SP80" s="43"/>
      <c r="SQ80" s="43"/>
      <c r="SR80" s="43"/>
      <c r="SS80" s="43"/>
      <c r="ST80" s="43"/>
      <c r="SU80" s="43"/>
      <c r="SV80" s="43"/>
      <c r="SW80" s="43"/>
      <c r="SX80" s="43"/>
      <c r="SY80" s="43"/>
      <c r="SZ80" s="43"/>
      <c r="TA80" s="43"/>
      <c r="TB80" s="43"/>
      <c r="TC80" s="43"/>
      <c r="TD80" s="43"/>
      <c r="TE80" s="43"/>
      <c r="TF80" s="43"/>
      <c r="TG80" s="43"/>
      <c r="TH80" s="43"/>
      <c r="TI80" s="43"/>
      <c r="TJ80" s="43"/>
      <c r="TK80" s="43"/>
      <c r="TL80" s="43"/>
      <c r="TM80" s="43"/>
      <c r="TN80" s="43"/>
      <c r="TO80" s="43"/>
      <c r="TP80" s="43"/>
      <c r="TQ80" s="43"/>
      <c r="TR80" s="43"/>
      <c r="TS80" s="43"/>
      <c r="TT80" s="43"/>
      <c r="TU80" s="43"/>
      <c r="TV80" s="43"/>
      <c r="TW80" s="43"/>
      <c r="TX80" s="43"/>
      <c r="TY80" s="43"/>
      <c r="TZ80" s="43"/>
      <c r="UA80" s="43"/>
      <c r="UB80" s="43"/>
      <c r="UC80" s="43"/>
      <c r="UD80" s="43"/>
      <c r="UE80" s="43"/>
      <c r="UF80" s="43"/>
      <c r="UG80" s="43"/>
      <c r="UH80" s="43"/>
      <c r="UI80" s="43"/>
      <c r="UJ80" s="43"/>
      <c r="UK80" s="43"/>
      <c r="UL80" s="43"/>
      <c r="UM80" s="43"/>
      <c r="UN80" s="43"/>
      <c r="UO80" s="43"/>
      <c r="UP80" s="43"/>
      <c r="UQ80" s="43"/>
      <c r="UR80" s="43"/>
      <c r="US80" s="43"/>
      <c r="UT80" s="43"/>
      <c r="UU80" s="43"/>
      <c r="UV80" s="43"/>
      <c r="UW80" s="43"/>
      <c r="UX80" s="43"/>
      <c r="UY80" s="43"/>
      <c r="UZ80" s="43"/>
      <c r="VA80" s="43"/>
      <c r="VB80" s="43"/>
      <c r="VC80" s="43"/>
      <c r="VD80" s="43"/>
      <c r="VE80" s="43"/>
      <c r="VF80" s="43"/>
      <c r="VG80" s="43"/>
      <c r="VH80" s="43"/>
      <c r="VI80" s="43"/>
      <c r="VJ80" s="43"/>
      <c r="VK80" s="43"/>
      <c r="VL80" s="43"/>
      <c r="VM80" s="43"/>
      <c r="VN80" s="43"/>
      <c r="VO80" s="43"/>
      <c r="VP80" s="43"/>
      <c r="VQ80" s="43"/>
      <c r="VR80" s="43"/>
      <c r="VS80" s="43"/>
      <c r="VT80" s="43"/>
      <c r="VU80" s="43"/>
      <c r="VV80" s="43"/>
      <c r="VW80" s="43"/>
      <c r="VX80" s="43"/>
      <c r="VY80" s="43"/>
      <c r="VZ80" s="43"/>
      <c r="WA80" s="43"/>
      <c r="WB80" s="43"/>
      <c r="WC80" s="43"/>
      <c r="WD80" s="43"/>
      <c r="WE80" s="43"/>
      <c r="WF80" s="43"/>
      <c r="WG80" s="43"/>
      <c r="WH80" s="43"/>
      <c r="WI80" s="43"/>
      <c r="WJ80" s="43"/>
      <c r="WK80" s="43"/>
      <c r="WL80" s="43"/>
      <c r="WM80" s="43"/>
      <c r="WN80" s="43"/>
      <c r="WO80" s="43"/>
      <c r="WP80" s="43"/>
      <c r="WQ80" s="43"/>
      <c r="WR80" s="43"/>
      <c r="WS80" s="43"/>
      <c r="WT80" s="43"/>
      <c r="WU80" s="43"/>
      <c r="WV80" s="43"/>
      <c r="WW80" s="43"/>
      <c r="WX80" s="43"/>
      <c r="WY80" s="43"/>
      <c r="WZ80" s="43"/>
      <c r="XA80" s="43"/>
      <c r="XB80" s="43"/>
      <c r="XC80" s="43"/>
      <c r="XD80" s="43"/>
      <c r="XE80" s="43"/>
      <c r="XF80" s="43"/>
      <c r="XG80" s="43"/>
      <c r="XH80" s="43"/>
      <c r="XI80" s="43"/>
      <c r="XJ80" s="43"/>
      <c r="XK80" s="43"/>
      <c r="XL80" s="43"/>
      <c r="XM80" s="43"/>
      <c r="XN80" s="43"/>
      <c r="XO80" s="43"/>
      <c r="XP80" s="43"/>
      <c r="XQ80" s="43"/>
      <c r="XR80" s="43"/>
      <c r="XS80" s="43"/>
      <c r="XT80" s="43"/>
      <c r="XU80" s="43"/>
      <c r="XV80" s="43"/>
      <c r="XW80" s="43"/>
      <c r="XX80" s="43"/>
      <c r="XY80" s="43"/>
      <c r="XZ80" s="43"/>
      <c r="YA80" s="44"/>
      <c r="YB80" s="44"/>
      <c r="YC80" s="44"/>
      <c r="YD80" s="44"/>
      <c r="YE80" s="44"/>
      <c r="YF80" s="43"/>
      <c r="YG80" s="43"/>
      <c r="YH80" s="43"/>
      <c r="YI80" s="43"/>
      <c r="YJ80" s="43"/>
      <c r="YK80" s="43"/>
      <c r="YL80" s="43"/>
      <c r="YM80" s="43"/>
      <c r="YN80" s="43"/>
      <c r="YO80" s="43"/>
      <c r="YP80" s="43"/>
      <c r="YQ80" s="43"/>
      <c r="YR80" s="43"/>
      <c r="YS80" s="43"/>
      <c r="YT80" s="43"/>
      <c r="YU80" s="43"/>
      <c r="YV80" s="43"/>
      <c r="YW80" s="43"/>
      <c r="YX80" s="43"/>
      <c r="YY80" s="43"/>
      <c r="YZ80" s="43"/>
      <c r="ZA80" s="43"/>
      <c r="ZB80" s="43"/>
      <c r="ZC80" s="43"/>
      <c r="ZD80" s="43"/>
      <c r="ZE80" s="43"/>
      <c r="ZF80" s="43"/>
      <c r="ZG80" s="43"/>
      <c r="ZH80" s="43"/>
      <c r="ZI80" s="43"/>
      <c r="ZJ80" s="43"/>
      <c r="ZK80" s="43"/>
      <c r="ZL80" s="43"/>
      <c r="ZM80" s="43"/>
      <c r="ZN80" s="43"/>
      <c r="ZO80" s="43"/>
      <c r="ZP80" s="43"/>
      <c r="ZQ80" s="43"/>
      <c r="ZR80" s="43"/>
      <c r="ZS80" s="43"/>
      <c r="ZT80" s="43"/>
      <c r="ZU80" s="43"/>
      <c r="ZV80" s="43"/>
      <c r="ZW80" s="44"/>
      <c r="ZX80" s="44"/>
      <c r="ZY80" s="44"/>
      <c r="ZZ80" s="44"/>
      <c r="AAA80" s="44"/>
      <c r="AAB80" s="44"/>
      <c r="AAC80" s="44"/>
      <c r="AAD80" s="44"/>
      <c r="AAE80" s="44"/>
      <c r="AAF80" s="44"/>
      <c r="AAG80" s="43"/>
      <c r="AAH80" s="43"/>
      <c r="AAI80" s="43"/>
      <c r="AAJ80" s="43"/>
      <c r="AAK80" s="43"/>
      <c r="AAL80" s="43"/>
      <c r="AAM80" s="43"/>
      <c r="AAN80" s="43"/>
      <c r="AAO80" s="43"/>
      <c r="AAP80" s="43"/>
      <c r="AAQ80" s="43"/>
      <c r="AAR80" s="43"/>
      <c r="AAS80" s="43"/>
      <c r="AAT80" s="43"/>
      <c r="AAU80" s="43"/>
      <c r="AAV80" s="43"/>
      <c r="AAW80" s="43"/>
      <c r="AAX80" s="43"/>
      <c r="AAY80" s="43"/>
      <c r="AAZ80" s="43"/>
      <c r="ABA80" s="43"/>
      <c r="ABB80" s="43"/>
      <c r="ABC80" s="43"/>
      <c r="ABD80" s="43"/>
      <c r="ABE80" s="43"/>
      <c r="ABF80" s="43"/>
      <c r="ABG80" s="43"/>
      <c r="ABH80" s="43"/>
      <c r="ABI80" s="43"/>
      <c r="ABJ80" s="43"/>
      <c r="ABK80" s="43"/>
      <c r="ABL80" s="43"/>
      <c r="ABM80" s="43"/>
      <c r="ABN80" s="43"/>
      <c r="ABO80" s="43"/>
      <c r="ABP80" s="43"/>
      <c r="ABQ80" s="43"/>
      <c r="ABR80" s="43"/>
      <c r="ABS80" s="43"/>
      <c r="ABT80" s="43"/>
      <c r="ABU80" s="43"/>
      <c r="ABV80" s="43"/>
      <c r="ABW80" s="43"/>
      <c r="ABX80" s="43"/>
      <c r="ABY80" s="43"/>
      <c r="ABZ80" s="43"/>
      <c r="ACA80" s="43"/>
      <c r="ACB80" s="43"/>
      <c r="ACC80" s="43"/>
      <c r="ACD80" s="43"/>
      <c r="ACE80" s="43"/>
      <c r="ACF80" s="43"/>
      <c r="ACG80" s="43"/>
      <c r="ACH80" s="45"/>
    </row>
    <row r="81" spans="1:762" x14ac:dyDescent="0.25">
      <c r="A81" s="46" t="s">
        <v>138</v>
      </c>
      <c r="B81" s="47"/>
      <c r="C81" s="47">
        <v>519</v>
      </c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>
        <v>103</v>
      </c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>
        <v>34.1</v>
      </c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  <c r="BW81" s="47"/>
      <c r="BX81" s="47"/>
      <c r="BY81" s="47"/>
      <c r="BZ81" s="47"/>
      <c r="CA81" s="47"/>
      <c r="CB81" s="47"/>
      <c r="CC81" s="47"/>
      <c r="CD81" s="47"/>
      <c r="CE81" s="47"/>
      <c r="CF81" s="47">
        <v>403</v>
      </c>
      <c r="CG81" s="47"/>
      <c r="CH81" s="47"/>
      <c r="CI81" s="47"/>
      <c r="CJ81" s="47"/>
      <c r="CK81" s="47"/>
      <c r="CL81" s="47"/>
      <c r="CM81" s="47"/>
      <c r="CN81" s="47"/>
      <c r="CO81" s="47"/>
      <c r="CP81" s="47"/>
      <c r="CQ81" s="47"/>
      <c r="CR81" s="47"/>
      <c r="CS81" s="47"/>
      <c r="CT81" s="47"/>
      <c r="CU81" s="47"/>
      <c r="CV81" s="47"/>
      <c r="CW81" s="47"/>
      <c r="CX81" s="47"/>
      <c r="CY81" s="47"/>
      <c r="CZ81" s="47"/>
      <c r="DA81" s="47"/>
      <c r="DB81" s="47"/>
      <c r="DC81" s="47"/>
      <c r="DD81" s="47">
        <v>4800</v>
      </c>
      <c r="DE81" s="47"/>
      <c r="DF81" s="47"/>
      <c r="DG81" s="47"/>
      <c r="DH81" s="47"/>
      <c r="DI81" s="47"/>
      <c r="DJ81" s="47"/>
      <c r="DK81" s="47"/>
      <c r="DL81" s="47"/>
      <c r="DM81" s="47"/>
      <c r="DN81" s="47"/>
      <c r="DO81" s="47"/>
      <c r="DP81" s="47"/>
      <c r="DQ81" s="47"/>
      <c r="DR81" s="47"/>
      <c r="DS81" s="47"/>
      <c r="DT81" s="47"/>
      <c r="DU81" s="47"/>
      <c r="DV81" s="47"/>
      <c r="DW81" s="47"/>
      <c r="DX81" s="47"/>
      <c r="DY81" s="47"/>
      <c r="DZ81" s="47"/>
      <c r="EA81" s="47"/>
      <c r="EB81" s="47"/>
      <c r="EC81" s="47"/>
      <c r="ED81" s="47"/>
      <c r="EE81" s="47"/>
      <c r="EF81" s="47" t="s">
        <v>1963</v>
      </c>
      <c r="EG81" s="47"/>
      <c r="EH81" s="47"/>
      <c r="EI81" s="47"/>
      <c r="EJ81" s="47" t="s">
        <v>1964</v>
      </c>
      <c r="EK81" s="47"/>
      <c r="EL81" s="47"/>
      <c r="EM81" s="47"/>
      <c r="EN81" s="47" t="s">
        <v>1965</v>
      </c>
      <c r="EO81" s="47"/>
      <c r="EP81" s="47"/>
      <c r="EQ81" s="47"/>
      <c r="ER81" s="47"/>
      <c r="ES81" s="47"/>
      <c r="ET81" s="47">
        <v>495</v>
      </c>
      <c r="EU81" s="47"/>
      <c r="EV81" s="47"/>
      <c r="EW81" s="47"/>
      <c r="EX81" s="47"/>
      <c r="EY81" s="47"/>
      <c r="EZ81" s="47"/>
      <c r="FA81" s="47"/>
      <c r="FB81" s="47"/>
      <c r="FC81" s="47"/>
      <c r="FD81" s="47"/>
      <c r="FE81" s="47"/>
      <c r="FF81" s="47"/>
      <c r="FG81" s="47"/>
      <c r="FH81" s="47"/>
      <c r="FI81" s="47"/>
      <c r="FJ81" s="47"/>
      <c r="FK81" s="47"/>
      <c r="FL81" s="47"/>
      <c r="FM81" s="47"/>
      <c r="FN81" s="47"/>
      <c r="FO81" s="47"/>
      <c r="FP81" s="47"/>
      <c r="FQ81" s="47"/>
      <c r="FR81" s="47"/>
      <c r="FS81" s="47"/>
      <c r="FT81" s="47"/>
      <c r="FU81" s="47"/>
      <c r="FV81" s="47"/>
      <c r="FW81" s="47"/>
      <c r="FX81" s="47"/>
      <c r="FY81" s="47"/>
      <c r="FZ81" s="47"/>
      <c r="GA81" s="47"/>
      <c r="GB81" s="47"/>
      <c r="GC81" s="47"/>
      <c r="GD81" s="47"/>
      <c r="GE81" s="47"/>
      <c r="GF81" s="47"/>
      <c r="GG81" s="47"/>
      <c r="GH81" s="47"/>
      <c r="GI81" s="47"/>
      <c r="GJ81" s="47"/>
      <c r="GK81" s="47"/>
      <c r="GL81" s="47"/>
      <c r="GM81" s="47"/>
      <c r="GN81" s="47"/>
      <c r="GO81" s="47"/>
      <c r="GP81" s="47"/>
      <c r="GQ81" s="47"/>
      <c r="GR81" s="47"/>
      <c r="GS81" s="47"/>
      <c r="GT81" s="47"/>
      <c r="GU81" s="47" t="s">
        <v>1976</v>
      </c>
      <c r="GV81" s="47"/>
      <c r="GW81" s="47"/>
      <c r="GX81" s="55" t="s">
        <v>1977</v>
      </c>
      <c r="GY81" s="55"/>
      <c r="GZ81" s="55"/>
      <c r="HA81" s="47"/>
      <c r="HB81" s="47" t="s">
        <v>1978</v>
      </c>
      <c r="HC81" s="47"/>
      <c r="HD81" s="47"/>
      <c r="HE81" s="47"/>
      <c r="HF81" s="47"/>
      <c r="HG81" s="47"/>
      <c r="HH81" s="47">
        <v>483</v>
      </c>
      <c r="HI81" s="47"/>
      <c r="HJ81" s="47"/>
      <c r="HK81" s="47"/>
      <c r="HL81" s="47"/>
      <c r="HM81" s="47"/>
      <c r="HN81" s="47"/>
      <c r="HO81" s="47"/>
      <c r="HP81" s="47"/>
      <c r="HQ81" s="47"/>
      <c r="HR81" s="47"/>
      <c r="HS81" s="47"/>
      <c r="HT81" s="47"/>
      <c r="HU81" s="47"/>
      <c r="HV81" s="47"/>
      <c r="HW81" s="47"/>
      <c r="HX81" s="47"/>
      <c r="HY81" s="47"/>
      <c r="HZ81" s="47"/>
      <c r="IA81" s="47"/>
      <c r="IB81" s="47"/>
      <c r="IC81" s="47"/>
      <c r="ID81" s="47"/>
      <c r="IE81" s="47"/>
      <c r="IF81" s="47"/>
      <c r="IG81" s="47"/>
      <c r="IH81" s="47"/>
      <c r="II81" s="47"/>
      <c r="IJ81" s="47"/>
      <c r="IK81" s="47"/>
      <c r="IL81" s="47"/>
      <c r="IM81" s="47"/>
      <c r="IN81" s="47"/>
      <c r="IO81" s="47"/>
      <c r="IP81" s="47"/>
      <c r="IQ81" s="47"/>
      <c r="IR81" s="47"/>
      <c r="IS81" s="47"/>
      <c r="IT81" s="47"/>
      <c r="IU81" s="47"/>
      <c r="IV81" s="47"/>
      <c r="IW81" s="47"/>
      <c r="IX81" s="47"/>
      <c r="IY81" s="47"/>
      <c r="IZ81" s="47"/>
      <c r="JA81" s="47"/>
      <c r="JB81" s="47"/>
      <c r="JC81" s="47"/>
      <c r="JD81" s="47"/>
      <c r="JE81" s="47"/>
      <c r="JF81" s="47"/>
      <c r="JG81" s="47"/>
      <c r="JH81" s="47">
        <v>120</v>
      </c>
      <c r="JI81" s="47"/>
      <c r="JJ81" s="47" t="s">
        <v>1988</v>
      </c>
      <c r="JK81" s="47"/>
      <c r="JL81" s="47"/>
      <c r="JM81" s="47" t="s">
        <v>1989</v>
      </c>
      <c r="JN81" s="47"/>
      <c r="JO81" s="47"/>
      <c r="JP81" s="47"/>
      <c r="JQ81" s="47"/>
      <c r="JR81" s="47"/>
      <c r="JS81" s="47">
        <v>129</v>
      </c>
      <c r="JT81" s="47"/>
      <c r="JU81" s="47"/>
      <c r="JV81" s="47"/>
      <c r="JW81" s="47"/>
      <c r="JX81" s="47"/>
      <c r="JY81" s="47"/>
      <c r="JZ81" s="47"/>
      <c r="KA81" s="47"/>
      <c r="KB81" s="47"/>
      <c r="KC81" s="47"/>
      <c r="KD81" s="47"/>
      <c r="KE81" s="47"/>
      <c r="KF81" s="47"/>
      <c r="KG81" s="47"/>
      <c r="KH81" s="47"/>
      <c r="KI81" s="47"/>
      <c r="KJ81" s="47"/>
      <c r="KK81" s="47"/>
      <c r="KL81" s="47"/>
      <c r="KM81" s="47"/>
      <c r="KN81" s="47"/>
      <c r="KO81" s="47"/>
      <c r="KP81" s="47"/>
      <c r="KQ81" s="47"/>
      <c r="KR81" s="47"/>
      <c r="KS81" s="47"/>
      <c r="KT81" s="47"/>
      <c r="KU81" s="47"/>
      <c r="KV81" s="47"/>
      <c r="KW81" s="47"/>
      <c r="KX81" s="47"/>
      <c r="KY81" s="47"/>
      <c r="KZ81" s="47"/>
      <c r="LA81" s="47"/>
      <c r="LB81" s="47"/>
      <c r="LC81" s="47"/>
      <c r="LD81" s="47"/>
      <c r="LE81" s="47"/>
      <c r="LF81" s="47"/>
      <c r="LG81" s="47"/>
      <c r="LH81" s="47"/>
      <c r="LI81" s="47"/>
      <c r="LJ81" s="47"/>
      <c r="LK81" s="47"/>
      <c r="LL81" s="47"/>
      <c r="LM81" s="47"/>
      <c r="LN81" s="47"/>
      <c r="LO81" s="47"/>
      <c r="LP81" s="47"/>
      <c r="LQ81" s="47"/>
      <c r="LR81" s="47"/>
      <c r="LS81" s="47"/>
      <c r="LT81" s="47"/>
      <c r="LU81" s="47"/>
      <c r="LV81" s="47"/>
      <c r="LW81" s="47" t="s">
        <v>1995</v>
      </c>
      <c r="LX81" s="47"/>
      <c r="LY81" s="47"/>
      <c r="LZ81" s="47"/>
      <c r="MA81" s="47"/>
      <c r="MB81" s="47"/>
      <c r="MC81" s="47"/>
      <c r="MD81" s="47"/>
      <c r="ME81" s="47"/>
      <c r="MF81" s="47"/>
      <c r="MG81" s="47"/>
      <c r="MH81" s="47"/>
      <c r="MI81" s="47"/>
      <c r="MJ81" s="47"/>
      <c r="MK81" s="47"/>
      <c r="ML81" s="47"/>
      <c r="MM81" s="47"/>
      <c r="MN81" s="47"/>
      <c r="MO81" s="47"/>
      <c r="MP81" s="47"/>
      <c r="MQ81" s="47"/>
      <c r="MR81" s="47"/>
      <c r="MS81" s="47"/>
      <c r="MT81" s="47"/>
      <c r="MU81" s="47"/>
      <c r="MV81" s="47"/>
      <c r="MW81" s="47"/>
      <c r="MX81" s="47"/>
      <c r="MY81" s="47"/>
      <c r="MZ81" s="47"/>
      <c r="NA81" s="47"/>
      <c r="NB81" s="47"/>
      <c r="NC81" s="47"/>
      <c r="ND81" s="47"/>
      <c r="NE81" s="47"/>
      <c r="NF81" s="47"/>
      <c r="NG81" s="47"/>
      <c r="NH81" s="47"/>
      <c r="NI81" s="47"/>
      <c r="NJ81" s="44"/>
      <c r="NK81" s="44"/>
      <c r="NL81" s="44"/>
      <c r="NM81" s="44"/>
      <c r="NN81" s="44"/>
      <c r="NO81" s="47"/>
      <c r="NP81" s="47"/>
      <c r="NQ81" s="47"/>
      <c r="NR81" s="47"/>
      <c r="NS81" s="47"/>
      <c r="NT81" s="47"/>
      <c r="NU81" s="47"/>
      <c r="NV81" s="47"/>
      <c r="NW81" s="47"/>
      <c r="NX81" s="47"/>
      <c r="NY81" s="47"/>
      <c r="NZ81" s="47"/>
      <c r="OA81" s="47"/>
      <c r="OB81" s="47"/>
      <c r="OC81" s="47"/>
      <c r="OD81" s="47"/>
      <c r="OE81" s="47"/>
      <c r="OF81" s="47"/>
      <c r="OG81" s="47"/>
      <c r="OH81" s="47"/>
      <c r="OI81" s="47"/>
      <c r="OJ81" s="47"/>
      <c r="OK81" s="47"/>
      <c r="OL81" s="47"/>
      <c r="OM81" s="47"/>
      <c r="ON81" s="47"/>
      <c r="OO81" s="47"/>
      <c r="OP81" s="47"/>
      <c r="OQ81" s="47"/>
      <c r="OR81" s="47"/>
      <c r="OS81" s="47"/>
      <c r="OT81" s="47"/>
      <c r="OU81" s="47"/>
      <c r="OV81" s="47"/>
      <c r="OW81" s="47"/>
      <c r="OX81" s="47"/>
      <c r="OY81" s="47"/>
      <c r="OZ81" s="47"/>
      <c r="PA81" s="47"/>
      <c r="PB81" s="47"/>
      <c r="PC81" s="47"/>
      <c r="PD81" s="47"/>
      <c r="PE81" s="47"/>
      <c r="PF81" s="47"/>
      <c r="PG81" s="47"/>
      <c r="PH81" s="47"/>
      <c r="PI81" s="47"/>
      <c r="PJ81" s="47"/>
      <c r="PK81" s="47"/>
      <c r="PL81" s="47"/>
      <c r="PM81" s="47"/>
      <c r="PN81" s="47"/>
      <c r="PO81" s="47"/>
      <c r="PP81" s="47"/>
      <c r="PQ81" s="47"/>
      <c r="PR81" s="47"/>
      <c r="PS81" s="47"/>
      <c r="PT81" s="47"/>
      <c r="PU81" s="47"/>
      <c r="PV81" s="47"/>
      <c r="PW81" s="47"/>
      <c r="PX81" s="47"/>
      <c r="PY81" s="47"/>
      <c r="PZ81" s="47"/>
      <c r="QA81" s="47"/>
      <c r="QB81" s="47"/>
      <c r="QC81" s="47"/>
      <c r="QD81" s="47"/>
      <c r="QE81" s="47"/>
      <c r="QF81" s="47"/>
      <c r="QG81" s="47"/>
      <c r="QH81" s="47"/>
      <c r="QI81" s="47"/>
      <c r="QJ81" s="47"/>
      <c r="QK81" s="47" t="s">
        <v>2007</v>
      </c>
      <c r="QL81" s="47"/>
      <c r="QM81" s="47"/>
      <c r="QN81" s="47" t="s">
        <v>2008</v>
      </c>
      <c r="QO81" s="47"/>
      <c r="QP81" s="47"/>
      <c r="QQ81" s="47"/>
      <c r="QR81" s="47" t="s">
        <v>2009</v>
      </c>
      <c r="QS81" s="47"/>
      <c r="QT81" s="47"/>
      <c r="QU81" s="47"/>
      <c r="QV81" s="47"/>
      <c r="QW81" s="47"/>
      <c r="QX81" s="47" t="s">
        <v>2007</v>
      </c>
      <c r="QY81" s="47"/>
      <c r="QZ81" s="47"/>
      <c r="RA81" s="47"/>
      <c r="RB81" s="47"/>
      <c r="RC81" s="47"/>
      <c r="RD81" s="47"/>
      <c r="RE81" s="47"/>
      <c r="RF81" s="47"/>
      <c r="RG81" s="47"/>
      <c r="RH81" s="47"/>
      <c r="RI81" s="47"/>
      <c r="RJ81" s="47"/>
      <c r="RK81" s="47"/>
      <c r="RL81" s="47"/>
      <c r="RM81" s="47"/>
      <c r="RN81" s="47"/>
      <c r="RO81" s="47"/>
      <c r="RP81" s="47"/>
      <c r="RQ81" s="47"/>
      <c r="RR81" s="47"/>
      <c r="RS81" s="47"/>
      <c r="RT81" s="47"/>
      <c r="RU81" s="47"/>
      <c r="RV81" s="47"/>
      <c r="RW81" s="47"/>
      <c r="RX81" s="47"/>
      <c r="RY81" s="47"/>
      <c r="RZ81" s="47"/>
      <c r="SA81" s="47"/>
      <c r="SB81" s="47"/>
      <c r="SC81" s="47"/>
      <c r="SD81" s="47"/>
      <c r="SE81" s="47"/>
      <c r="SF81" s="47"/>
      <c r="SG81" s="47"/>
      <c r="SH81" s="47"/>
      <c r="SI81" s="47"/>
      <c r="SJ81" s="47"/>
      <c r="SK81" s="47"/>
      <c r="SL81" s="47"/>
      <c r="SM81" s="47"/>
      <c r="SN81" s="47"/>
      <c r="SO81" s="47"/>
      <c r="SP81" s="47"/>
      <c r="SQ81" s="47"/>
      <c r="SR81" s="47"/>
      <c r="SS81" s="47"/>
      <c r="ST81" s="47"/>
      <c r="SU81" s="47"/>
      <c r="SV81" s="47"/>
      <c r="SW81" s="47"/>
      <c r="SX81" s="47"/>
      <c r="SY81" s="47"/>
      <c r="SZ81" s="47"/>
      <c r="TA81" s="47"/>
      <c r="TB81" s="47"/>
      <c r="TC81" s="47"/>
      <c r="TD81" s="47"/>
      <c r="TE81" s="47"/>
      <c r="TF81" s="47"/>
      <c r="TG81" s="47"/>
      <c r="TH81" s="47"/>
      <c r="TI81" s="47"/>
      <c r="TJ81" s="47"/>
      <c r="TK81" s="47"/>
      <c r="TL81" s="47"/>
      <c r="TM81" s="47"/>
      <c r="TN81" s="47"/>
      <c r="TO81" s="47"/>
      <c r="TP81" s="47"/>
      <c r="TQ81" s="47"/>
      <c r="TR81" s="47"/>
      <c r="TS81" s="47"/>
      <c r="TT81" s="47"/>
      <c r="TU81" s="47"/>
      <c r="TV81" s="47"/>
      <c r="TW81" s="47"/>
      <c r="TX81" s="47">
        <v>78</v>
      </c>
      <c r="TY81" s="47"/>
      <c r="TZ81" s="47"/>
      <c r="UA81" s="47"/>
      <c r="UB81" s="47"/>
      <c r="UC81" s="47"/>
      <c r="UD81" s="47"/>
      <c r="UE81" s="47"/>
      <c r="UF81" s="47"/>
      <c r="UG81" s="47"/>
      <c r="UH81" s="47"/>
      <c r="UI81" s="47"/>
      <c r="UJ81" s="47"/>
      <c r="UK81" s="47"/>
      <c r="UL81" s="47"/>
      <c r="UM81" s="47"/>
      <c r="UN81" s="47"/>
      <c r="UO81" s="47"/>
      <c r="UP81" s="47"/>
      <c r="UQ81" s="47"/>
      <c r="UR81" s="47"/>
      <c r="US81" s="47"/>
      <c r="UT81" s="47"/>
      <c r="UU81" s="47"/>
      <c r="UV81" s="47"/>
      <c r="UW81" s="47"/>
      <c r="UX81" s="47"/>
      <c r="UY81" s="47"/>
      <c r="UZ81" s="47">
        <v>1.01</v>
      </c>
      <c r="VA81" s="47"/>
      <c r="VB81" s="47"/>
      <c r="VC81" s="47"/>
      <c r="VD81" s="47"/>
      <c r="VE81" s="47"/>
      <c r="VF81" s="47"/>
      <c r="VG81" s="47"/>
      <c r="VH81" s="47"/>
      <c r="VI81" s="47"/>
      <c r="VJ81" s="47"/>
      <c r="VK81" s="47"/>
      <c r="VL81" s="47"/>
      <c r="VM81" s="47"/>
      <c r="VN81" s="47"/>
      <c r="VO81" s="47"/>
      <c r="VP81" s="47"/>
      <c r="VQ81" s="47"/>
      <c r="VR81" s="47"/>
      <c r="VS81" s="47"/>
      <c r="VT81" s="47"/>
      <c r="VU81" s="47"/>
      <c r="VV81" s="47"/>
      <c r="VW81" s="47"/>
      <c r="VX81" s="47"/>
      <c r="VY81" s="47"/>
      <c r="VZ81" s="47"/>
      <c r="WA81" s="47"/>
      <c r="WB81" s="47"/>
      <c r="WC81" s="47"/>
      <c r="WD81" s="47"/>
      <c r="WE81" s="47"/>
      <c r="WF81" s="47"/>
      <c r="WG81" s="47"/>
      <c r="WH81" s="47"/>
      <c r="WI81" s="47"/>
      <c r="WJ81" s="47"/>
      <c r="WK81" s="47"/>
      <c r="WL81" s="47"/>
      <c r="WM81" s="47"/>
      <c r="WN81" s="47"/>
      <c r="WO81" s="47"/>
      <c r="WP81" s="47"/>
      <c r="WQ81" s="47"/>
      <c r="WR81" s="47"/>
      <c r="WS81" s="47"/>
      <c r="WT81" s="47"/>
      <c r="WU81" s="47"/>
      <c r="WV81" s="47"/>
      <c r="WW81" s="47"/>
      <c r="WX81" s="47"/>
      <c r="WY81" s="47"/>
      <c r="WZ81" s="47"/>
      <c r="XA81" s="47"/>
      <c r="XB81" s="47"/>
      <c r="XC81" s="47"/>
      <c r="XD81" s="47"/>
      <c r="XE81" s="47"/>
      <c r="XF81" s="47"/>
      <c r="XG81" s="47"/>
      <c r="XH81" s="47"/>
      <c r="XI81" s="47"/>
      <c r="XJ81" s="47"/>
      <c r="XK81" s="47"/>
      <c r="XL81" s="47"/>
      <c r="XM81" s="47"/>
      <c r="XN81" s="47"/>
      <c r="XO81" s="47"/>
      <c r="XP81" s="47"/>
      <c r="XQ81" s="47"/>
      <c r="XR81" s="47"/>
      <c r="XS81" s="47"/>
      <c r="XT81" s="47"/>
      <c r="XU81" s="47"/>
      <c r="XV81" s="47"/>
      <c r="XW81" s="47"/>
      <c r="XX81" s="47"/>
      <c r="XY81" s="47"/>
      <c r="XZ81" s="47"/>
      <c r="YA81" s="44"/>
      <c r="YB81" s="44"/>
      <c r="YC81" s="44"/>
      <c r="YD81" s="44"/>
      <c r="YE81" s="44"/>
      <c r="YF81" s="47">
        <v>4.9000000000000004</v>
      </c>
      <c r="YG81" s="47"/>
      <c r="YH81" s="47"/>
      <c r="YI81" s="47"/>
      <c r="YJ81" s="47"/>
      <c r="YK81" s="47"/>
      <c r="YL81" s="47"/>
      <c r="YM81" s="47"/>
      <c r="YN81" s="47"/>
      <c r="YO81" s="47"/>
      <c r="YP81" s="47"/>
      <c r="YQ81" s="47"/>
      <c r="YR81" s="47"/>
      <c r="YS81" s="47"/>
      <c r="YT81" s="47"/>
      <c r="YU81" s="47"/>
      <c r="YV81" s="47"/>
      <c r="YW81" s="47"/>
      <c r="YX81" s="47"/>
      <c r="YY81" s="47"/>
      <c r="YZ81" s="47"/>
      <c r="ZA81" s="47"/>
      <c r="ZB81" s="47"/>
      <c r="ZC81" s="47"/>
      <c r="ZD81" s="47"/>
      <c r="ZE81" s="47"/>
      <c r="ZF81" s="47"/>
      <c r="ZG81" s="47"/>
      <c r="ZH81" s="47"/>
      <c r="ZI81" s="47"/>
      <c r="ZJ81" s="47"/>
      <c r="ZK81" s="47"/>
      <c r="ZL81" s="47"/>
      <c r="ZM81" s="47"/>
      <c r="ZN81" s="47"/>
      <c r="ZO81" s="47"/>
      <c r="ZP81" s="47"/>
      <c r="ZQ81" s="47"/>
      <c r="ZR81" s="47"/>
      <c r="ZS81" s="47"/>
      <c r="ZT81" s="47"/>
      <c r="ZU81" s="47"/>
      <c r="ZV81" s="47"/>
      <c r="ZW81" s="44"/>
      <c r="ZX81" s="44"/>
      <c r="ZY81" s="44"/>
      <c r="ZZ81" s="44"/>
      <c r="AAA81" s="44"/>
      <c r="AAB81" s="44"/>
      <c r="AAC81" s="44"/>
      <c r="AAD81" s="44"/>
      <c r="AAE81" s="44"/>
      <c r="AAF81" s="44"/>
      <c r="AAG81" s="47"/>
      <c r="AAH81" s="47"/>
      <c r="AAI81" s="47"/>
      <c r="AAJ81" s="47"/>
      <c r="AAK81" s="47"/>
      <c r="AAL81" s="47"/>
      <c r="AAM81" s="47"/>
      <c r="AAN81" s="47"/>
      <c r="AAO81" s="47"/>
      <c r="AAP81" s="47"/>
      <c r="AAQ81" s="47"/>
      <c r="AAR81" s="47"/>
      <c r="AAS81" s="47"/>
      <c r="AAT81" s="47"/>
      <c r="AAU81" s="47"/>
      <c r="AAV81" s="47"/>
      <c r="AAW81" s="47"/>
      <c r="AAX81" s="47"/>
      <c r="AAY81" s="47"/>
      <c r="AAZ81" s="47"/>
      <c r="ABA81" s="47"/>
      <c r="ABB81" s="47"/>
      <c r="ABC81" s="47"/>
      <c r="ABD81" s="47"/>
      <c r="ABE81" s="47"/>
      <c r="ABF81" s="47"/>
      <c r="ABG81" s="47"/>
      <c r="ABH81" s="47"/>
      <c r="ABI81" s="47"/>
      <c r="ABJ81" s="47"/>
      <c r="ABK81" s="47"/>
      <c r="ABL81" s="47"/>
      <c r="ABM81" s="47"/>
      <c r="ABN81" s="47"/>
      <c r="ABO81" s="47"/>
      <c r="ABP81" s="47"/>
      <c r="ABQ81" s="47"/>
      <c r="ABR81" s="47"/>
      <c r="ABS81" s="47" t="s">
        <v>2024</v>
      </c>
      <c r="ABT81" s="47"/>
      <c r="ABU81" s="47"/>
      <c r="ABV81" s="47"/>
      <c r="ABW81" s="47"/>
      <c r="ABX81" s="47"/>
      <c r="ABY81" s="47"/>
      <c r="ABZ81" s="47"/>
      <c r="ACA81" s="47"/>
      <c r="ACB81" s="47"/>
      <c r="ACC81" s="47"/>
      <c r="ACD81" s="47"/>
      <c r="ACE81" s="47"/>
      <c r="ACF81" s="47"/>
      <c r="ACG81" s="47"/>
      <c r="ACH81" s="48"/>
    </row>
    <row r="82" spans="1:762" x14ac:dyDescent="0.25">
      <c r="A82" s="42" t="s">
        <v>140</v>
      </c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>
        <v>50</v>
      </c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>
        <v>25</v>
      </c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3"/>
      <c r="BI82" s="43"/>
      <c r="BJ82" s="43"/>
      <c r="BK82" s="43"/>
      <c r="BL82" s="43"/>
      <c r="BM82" s="43"/>
      <c r="BN82" s="43"/>
      <c r="BO82" s="43"/>
      <c r="BP82" s="43"/>
      <c r="BQ82" s="43"/>
      <c r="BR82" s="43"/>
      <c r="BS82" s="43"/>
      <c r="BT82" s="43"/>
      <c r="BU82" s="43"/>
      <c r="BV82" s="43"/>
      <c r="BW82" s="43"/>
      <c r="BX82" s="43"/>
      <c r="BY82" s="43"/>
      <c r="BZ82" s="43"/>
      <c r="CA82" s="43"/>
      <c r="CB82" s="43"/>
      <c r="CC82" s="43"/>
      <c r="CD82" s="43"/>
      <c r="CE82" s="43"/>
      <c r="CF82" s="43"/>
      <c r="CG82" s="43"/>
      <c r="CH82" s="43"/>
      <c r="CI82" s="43"/>
      <c r="CJ82" s="43"/>
      <c r="CK82" s="43"/>
      <c r="CL82" s="43"/>
      <c r="CM82" s="43"/>
      <c r="CN82" s="43"/>
      <c r="CO82" s="43"/>
      <c r="CP82" s="43"/>
      <c r="CQ82" s="43"/>
      <c r="CR82" s="43"/>
      <c r="CS82" s="43"/>
      <c r="CT82" s="43"/>
      <c r="CU82" s="43"/>
      <c r="CV82" s="43"/>
      <c r="CW82" s="43"/>
      <c r="CX82" s="43"/>
      <c r="CY82" s="43"/>
      <c r="CZ82" s="43"/>
      <c r="DA82" s="43"/>
      <c r="DB82" s="43"/>
      <c r="DC82" s="43"/>
      <c r="DD82" s="43"/>
      <c r="DE82" s="43"/>
      <c r="DF82" s="43"/>
      <c r="DG82" s="43"/>
      <c r="DH82" s="43"/>
      <c r="DI82" s="43"/>
      <c r="DJ82" s="43"/>
      <c r="DK82" s="43"/>
      <c r="DL82" s="43"/>
      <c r="DM82" s="43"/>
      <c r="DN82" s="43"/>
      <c r="DO82" s="43"/>
      <c r="DP82" s="43"/>
      <c r="DQ82" s="43"/>
      <c r="DR82" s="43"/>
      <c r="DS82" s="43"/>
      <c r="DT82" s="43"/>
      <c r="DU82" s="43"/>
      <c r="DV82" s="43"/>
      <c r="DW82" s="43"/>
      <c r="DX82" s="43"/>
      <c r="DY82" s="43"/>
      <c r="DZ82" s="43"/>
      <c r="EA82" s="43"/>
      <c r="EB82" s="43"/>
      <c r="EC82" s="43"/>
      <c r="ED82" s="43"/>
      <c r="EE82" s="43"/>
      <c r="EF82" s="43"/>
      <c r="EG82" s="43"/>
      <c r="EH82" s="43"/>
      <c r="EI82" s="43"/>
      <c r="EJ82" s="43"/>
      <c r="EK82" s="43"/>
      <c r="EL82" s="43"/>
      <c r="EM82" s="43"/>
      <c r="EN82" s="43"/>
      <c r="EO82" s="43"/>
      <c r="EP82" s="43"/>
      <c r="EQ82" s="43"/>
      <c r="ER82" s="43"/>
      <c r="ES82" s="43"/>
      <c r="ET82" s="43"/>
      <c r="EU82" s="43"/>
      <c r="EV82" s="43"/>
      <c r="EW82" s="43"/>
      <c r="EX82" s="43"/>
      <c r="EY82" s="43"/>
      <c r="EZ82" s="43"/>
      <c r="FA82" s="43"/>
      <c r="FB82" s="43"/>
      <c r="FC82" s="43"/>
      <c r="FD82" s="43"/>
      <c r="FE82" s="43"/>
      <c r="FF82" s="43"/>
      <c r="FG82" s="43"/>
      <c r="FH82" s="43"/>
      <c r="FI82" s="43"/>
      <c r="FJ82" s="43"/>
      <c r="FK82" s="43"/>
      <c r="FL82" s="43"/>
      <c r="FM82" s="43"/>
      <c r="FN82" s="43"/>
      <c r="FO82" s="43"/>
      <c r="FP82" s="43"/>
      <c r="FQ82" s="43"/>
      <c r="FR82" s="43"/>
      <c r="FS82" s="43"/>
      <c r="FT82" s="43"/>
      <c r="FU82" s="43"/>
      <c r="FV82" s="43"/>
      <c r="FW82" s="43"/>
      <c r="FX82" s="43"/>
      <c r="FY82" s="43"/>
      <c r="FZ82" s="43"/>
      <c r="GA82" s="43"/>
      <c r="GB82" s="43"/>
      <c r="GC82" s="43"/>
      <c r="GD82" s="43"/>
      <c r="GE82" s="43"/>
      <c r="GF82" s="43"/>
      <c r="GG82" s="43"/>
      <c r="GH82" s="43"/>
      <c r="GI82" s="43"/>
      <c r="GJ82" s="43"/>
      <c r="GK82" s="43"/>
      <c r="GL82" s="43"/>
      <c r="GM82" s="43"/>
      <c r="GN82" s="43"/>
      <c r="GO82" s="43"/>
      <c r="GP82" s="43"/>
      <c r="GQ82" s="43"/>
      <c r="GR82" s="43"/>
      <c r="GS82" s="43"/>
      <c r="GT82" s="43"/>
      <c r="GU82" s="43"/>
      <c r="GV82" s="43"/>
      <c r="GW82" s="43"/>
      <c r="GX82" s="43"/>
      <c r="GY82" s="43"/>
      <c r="GZ82" s="43"/>
      <c r="HA82" s="43"/>
      <c r="HB82" s="43"/>
      <c r="HC82" s="43"/>
      <c r="HD82" s="43"/>
      <c r="HE82" s="43"/>
      <c r="HF82" s="43"/>
      <c r="HG82" s="43"/>
      <c r="HH82" s="43"/>
      <c r="HI82" s="43"/>
      <c r="HJ82" s="43"/>
      <c r="HK82" s="43"/>
      <c r="HL82" s="43"/>
      <c r="HM82" s="43"/>
      <c r="HN82" s="43"/>
      <c r="HO82" s="43"/>
      <c r="HP82" s="43"/>
      <c r="HQ82" s="43"/>
      <c r="HR82" s="43"/>
      <c r="HS82" s="43"/>
      <c r="HT82" s="43"/>
      <c r="HU82" s="43"/>
      <c r="HV82" s="43"/>
      <c r="HW82" s="43"/>
      <c r="HX82" s="43"/>
      <c r="HY82" s="43"/>
      <c r="HZ82" s="43"/>
      <c r="IA82" s="43"/>
      <c r="IB82" s="43"/>
      <c r="IC82" s="43"/>
      <c r="ID82" s="43"/>
      <c r="IE82" s="43"/>
      <c r="IF82" s="43"/>
      <c r="IG82" s="43"/>
      <c r="IH82" s="43"/>
      <c r="II82" s="43"/>
      <c r="IJ82" s="43"/>
      <c r="IK82" s="43"/>
      <c r="IL82" s="43"/>
      <c r="IM82" s="43"/>
      <c r="IN82" s="43"/>
      <c r="IO82" s="43"/>
      <c r="IP82" s="43"/>
      <c r="IQ82" s="43"/>
      <c r="IR82" s="43"/>
      <c r="IS82" s="43"/>
      <c r="IT82" s="43"/>
      <c r="IU82" s="43"/>
      <c r="IV82" s="43"/>
      <c r="IW82" s="43"/>
      <c r="IX82" s="43"/>
      <c r="IY82" s="43"/>
      <c r="IZ82" s="43"/>
      <c r="JA82" s="43"/>
      <c r="JB82" s="43"/>
      <c r="JC82" s="43"/>
      <c r="JD82" s="43"/>
      <c r="JE82" s="43"/>
      <c r="JF82" s="43"/>
      <c r="JG82" s="43"/>
      <c r="JH82" s="43"/>
      <c r="JI82" s="43"/>
      <c r="JJ82" s="43"/>
      <c r="JK82" s="43"/>
      <c r="JL82" s="43"/>
      <c r="JM82" s="43"/>
      <c r="JN82" s="43"/>
      <c r="JO82" s="43"/>
      <c r="JP82" s="43"/>
      <c r="JQ82" s="43"/>
      <c r="JR82" s="43"/>
      <c r="JS82" s="43"/>
      <c r="JT82" s="43"/>
      <c r="JU82" s="43"/>
      <c r="JV82" s="43"/>
      <c r="JW82" s="43"/>
      <c r="JX82" s="43"/>
      <c r="JY82" s="43"/>
      <c r="JZ82" s="43"/>
      <c r="KA82" s="43"/>
      <c r="KB82" s="43"/>
      <c r="KC82" s="43">
        <v>2.14</v>
      </c>
      <c r="KD82" s="43"/>
      <c r="KE82" s="43"/>
      <c r="KF82" s="43"/>
      <c r="KG82" s="43"/>
      <c r="KH82" s="43"/>
      <c r="KI82" s="43"/>
      <c r="KJ82" s="43"/>
      <c r="KK82" s="43"/>
      <c r="KL82" s="43"/>
      <c r="KM82" s="43"/>
      <c r="KN82" s="43"/>
      <c r="KO82" s="43"/>
      <c r="KP82" s="43"/>
      <c r="KQ82" s="43"/>
      <c r="KR82" s="43"/>
      <c r="KS82" s="43"/>
      <c r="KT82" s="43"/>
      <c r="KU82" s="43"/>
      <c r="KV82" s="43"/>
      <c r="KW82" s="43"/>
      <c r="KX82" s="43"/>
      <c r="KY82" s="43"/>
      <c r="KZ82" s="43"/>
      <c r="LA82" s="43"/>
      <c r="LB82" s="43"/>
      <c r="LC82" s="43"/>
      <c r="LD82" s="43"/>
      <c r="LE82" s="43"/>
      <c r="LF82" s="43"/>
      <c r="LG82" s="43"/>
      <c r="LH82" s="43"/>
      <c r="LI82" s="43"/>
      <c r="LJ82" s="43"/>
      <c r="LK82" s="43"/>
      <c r="LL82" s="43"/>
      <c r="LM82" s="43"/>
      <c r="LN82" s="43"/>
      <c r="LO82" s="43"/>
      <c r="LP82" s="43"/>
      <c r="LQ82" s="43"/>
      <c r="LR82" s="43"/>
      <c r="LS82" s="43"/>
      <c r="LT82" s="43"/>
      <c r="LU82" s="43"/>
      <c r="LV82" s="43"/>
      <c r="LW82" s="43"/>
      <c r="LX82" s="43"/>
      <c r="LY82" s="43"/>
      <c r="LZ82" s="43"/>
      <c r="MA82" s="43"/>
      <c r="MB82" s="43"/>
      <c r="MC82" s="43"/>
      <c r="MD82" s="43"/>
      <c r="ME82" s="43"/>
      <c r="MF82" s="43"/>
      <c r="MG82" s="43"/>
      <c r="MH82" s="43"/>
      <c r="MI82" s="43"/>
      <c r="MJ82" s="43"/>
      <c r="MK82" s="43"/>
      <c r="ML82" s="43"/>
      <c r="MM82" s="43"/>
      <c r="MN82" s="43"/>
      <c r="MO82" s="43"/>
      <c r="MP82" s="43"/>
      <c r="MQ82" s="43"/>
      <c r="MR82" s="43"/>
      <c r="MS82" s="43"/>
      <c r="MT82" s="43"/>
      <c r="MU82" s="43"/>
      <c r="MV82" s="43"/>
      <c r="MW82" s="43"/>
      <c r="MX82" s="43"/>
      <c r="MY82" s="43"/>
      <c r="MZ82" s="43"/>
      <c r="NA82" s="43"/>
      <c r="NB82" s="43"/>
      <c r="NC82" s="43"/>
      <c r="ND82" s="43"/>
      <c r="NE82" s="43"/>
      <c r="NF82" s="43"/>
      <c r="NG82" s="43"/>
      <c r="NH82" s="43"/>
      <c r="NI82" s="43"/>
      <c r="NJ82" s="44"/>
      <c r="NK82" s="44"/>
      <c r="NL82" s="44"/>
      <c r="NM82" s="44"/>
      <c r="NN82" s="44"/>
      <c r="NO82" s="43">
        <v>345</v>
      </c>
      <c r="NP82" s="43"/>
      <c r="NQ82" s="43"/>
      <c r="NR82" s="43"/>
      <c r="NS82" s="43"/>
      <c r="NT82" s="43"/>
      <c r="NU82" s="43"/>
      <c r="NV82" s="43"/>
      <c r="NW82" s="43"/>
      <c r="NX82" s="43"/>
      <c r="NY82" s="43"/>
      <c r="NZ82" s="43"/>
      <c r="OA82" s="43"/>
      <c r="OB82" s="43"/>
      <c r="OC82" s="43"/>
      <c r="OD82" s="43"/>
      <c r="OE82" s="43"/>
      <c r="OF82" s="43"/>
      <c r="OG82" s="43"/>
      <c r="OH82" s="43"/>
      <c r="OI82" s="43"/>
      <c r="OJ82" s="43"/>
      <c r="OK82" s="43"/>
      <c r="OL82" s="43"/>
      <c r="OM82" s="43"/>
      <c r="ON82" s="43"/>
      <c r="OO82" s="43"/>
      <c r="OP82" s="43"/>
      <c r="OQ82" s="43"/>
      <c r="OR82" s="43"/>
      <c r="OS82" s="43"/>
      <c r="OT82" s="43"/>
      <c r="OU82" s="43"/>
      <c r="OV82" s="43"/>
      <c r="OW82" s="43"/>
      <c r="OX82" s="43"/>
      <c r="OY82" s="43"/>
      <c r="OZ82" s="43"/>
      <c r="PA82" s="43"/>
      <c r="PB82" s="43"/>
      <c r="PC82" s="43"/>
      <c r="PD82" s="43"/>
      <c r="PE82" s="43"/>
      <c r="PF82" s="43"/>
      <c r="PG82" s="43"/>
      <c r="PH82" s="43"/>
      <c r="PI82" s="43"/>
      <c r="PJ82" s="43"/>
      <c r="PK82" s="43"/>
      <c r="PL82" s="43"/>
      <c r="PM82" s="43"/>
      <c r="PN82" s="43"/>
      <c r="PO82" s="43"/>
      <c r="PP82" s="43"/>
      <c r="PQ82" s="43"/>
      <c r="PR82" s="43"/>
      <c r="PS82" s="43"/>
      <c r="PT82" s="43"/>
      <c r="PU82" s="43" t="s">
        <v>894</v>
      </c>
      <c r="PV82" s="43"/>
      <c r="PW82" s="43"/>
      <c r="PX82" s="43"/>
      <c r="PY82" s="43"/>
      <c r="PZ82" s="43"/>
      <c r="QA82" s="43"/>
      <c r="QB82" s="43"/>
      <c r="QC82" s="43"/>
      <c r="QD82" s="43">
        <v>294</v>
      </c>
      <c r="QE82" s="43"/>
      <c r="QF82" s="43"/>
      <c r="QG82" s="43"/>
      <c r="QH82" s="43"/>
      <c r="QI82" s="43"/>
      <c r="QJ82" s="43"/>
      <c r="QK82" s="43" t="s">
        <v>895</v>
      </c>
      <c r="QL82" s="43"/>
      <c r="QM82" s="43"/>
      <c r="QN82" s="43"/>
      <c r="QO82" s="43"/>
      <c r="QP82" s="43"/>
      <c r="QQ82" s="43"/>
      <c r="QR82" s="43"/>
      <c r="QS82" s="43"/>
      <c r="QT82" s="43"/>
      <c r="QU82" s="43"/>
      <c r="QV82" s="43"/>
      <c r="QW82" s="43"/>
      <c r="QX82" s="43"/>
      <c r="QY82" s="43"/>
      <c r="QZ82" s="43"/>
      <c r="RA82" s="43"/>
      <c r="RB82" s="43"/>
      <c r="RC82" s="43"/>
      <c r="RD82" s="43"/>
      <c r="RE82" s="43"/>
      <c r="RF82" s="43"/>
      <c r="RG82" s="43"/>
      <c r="RH82" s="43">
        <v>3.28</v>
      </c>
      <c r="RI82" s="43"/>
      <c r="RJ82" s="43"/>
      <c r="RK82" s="43"/>
      <c r="RL82" s="43"/>
      <c r="RM82" s="43"/>
      <c r="RN82" s="43"/>
      <c r="RO82" s="43"/>
      <c r="RP82" s="43"/>
      <c r="RQ82" s="43"/>
      <c r="RR82" s="43"/>
      <c r="RS82" s="43"/>
      <c r="RT82" s="43"/>
      <c r="RU82" s="43"/>
      <c r="RV82" s="43"/>
      <c r="RW82" s="43"/>
      <c r="RX82" s="43"/>
      <c r="RY82" s="43"/>
      <c r="RZ82" s="43"/>
      <c r="SA82" s="43"/>
      <c r="SB82" s="43"/>
      <c r="SC82" s="43"/>
      <c r="SD82" s="43"/>
      <c r="SE82" s="43"/>
      <c r="SF82" s="43"/>
      <c r="SG82" s="43"/>
      <c r="SH82" s="43"/>
      <c r="SI82" s="43"/>
      <c r="SJ82" s="43"/>
      <c r="SK82" s="43"/>
      <c r="SL82" s="43"/>
      <c r="SM82" s="43"/>
      <c r="SN82" s="43"/>
      <c r="SO82" s="43"/>
      <c r="SP82" s="43"/>
      <c r="SQ82" s="43"/>
      <c r="SR82" s="43"/>
      <c r="SS82" s="43"/>
      <c r="ST82" s="43"/>
      <c r="SU82" s="43"/>
      <c r="SV82" s="43"/>
      <c r="SW82" s="43"/>
      <c r="SX82" s="43"/>
      <c r="SY82" s="43"/>
      <c r="SZ82" s="43"/>
      <c r="TA82" s="43"/>
      <c r="TB82" s="43"/>
      <c r="TC82" s="43"/>
      <c r="TD82" s="43"/>
      <c r="TE82" s="43"/>
      <c r="TF82" s="43"/>
      <c r="TG82" s="43"/>
      <c r="TH82" s="43"/>
      <c r="TI82" s="43"/>
      <c r="TJ82" s="43"/>
      <c r="TK82" s="43"/>
      <c r="TL82" s="43"/>
      <c r="TM82" s="43"/>
      <c r="TN82" s="43"/>
      <c r="TO82" s="43"/>
      <c r="TP82" s="43"/>
      <c r="TQ82" s="43"/>
      <c r="TR82" s="43"/>
      <c r="TS82" s="43"/>
      <c r="TT82" s="43"/>
      <c r="TU82" s="43"/>
      <c r="TV82" s="43"/>
      <c r="TW82" s="43"/>
      <c r="TX82" s="43">
        <v>52</v>
      </c>
      <c r="TY82" s="43"/>
      <c r="TZ82" s="43"/>
      <c r="UA82" s="43"/>
      <c r="UB82" s="43"/>
      <c r="UC82" s="43"/>
      <c r="UD82" s="43"/>
      <c r="UE82" s="43"/>
      <c r="UF82" s="43"/>
      <c r="UG82" s="43"/>
      <c r="UH82" s="43"/>
      <c r="UI82" s="43"/>
      <c r="UJ82" s="43"/>
      <c r="UK82" s="43"/>
      <c r="UL82" s="43"/>
      <c r="UM82" s="43"/>
      <c r="UN82" s="43"/>
      <c r="UO82" s="43"/>
      <c r="UP82" s="43"/>
      <c r="UQ82" s="43"/>
      <c r="UR82" s="43"/>
      <c r="US82" s="43"/>
      <c r="UT82" s="43"/>
      <c r="UU82" s="43"/>
      <c r="UV82" s="43"/>
      <c r="UW82" s="43"/>
      <c r="UX82" s="43"/>
      <c r="UY82" s="43"/>
      <c r="UZ82" s="43"/>
      <c r="VA82" s="43"/>
      <c r="VB82" s="43"/>
      <c r="VC82" s="43"/>
      <c r="VD82" s="43"/>
      <c r="VE82" s="43"/>
      <c r="VF82" s="43"/>
      <c r="VG82" s="43"/>
      <c r="VH82" s="43"/>
      <c r="VI82" s="43"/>
      <c r="VJ82" s="43"/>
      <c r="VK82" s="43"/>
      <c r="VL82" s="43"/>
      <c r="VM82" s="43"/>
      <c r="VN82" s="43"/>
      <c r="VO82" s="43"/>
      <c r="VP82" s="43"/>
      <c r="VQ82" s="43"/>
      <c r="VR82" s="43"/>
      <c r="VS82" s="43"/>
      <c r="VT82" s="43"/>
      <c r="VU82" s="43"/>
      <c r="VV82" s="43"/>
      <c r="VW82" s="43"/>
      <c r="VX82" s="43"/>
      <c r="VY82" s="43"/>
      <c r="VZ82" s="43"/>
      <c r="WA82" s="43"/>
      <c r="WB82" s="43"/>
      <c r="WC82" s="43"/>
      <c r="WD82" s="43"/>
      <c r="WE82" s="43"/>
      <c r="WF82" s="43"/>
      <c r="WG82" s="43"/>
      <c r="WH82" s="43"/>
      <c r="WI82" s="43"/>
      <c r="WJ82" s="43"/>
      <c r="WK82" s="43"/>
      <c r="WL82" s="43"/>
      <c r="WM82" s="43"/>
      <c r="WN82" s="43"/>
      <c r="WO82" s="43"/>
      <c r="WP82" s="43"/>
      <c r="WQ82" s="43"/>
      <c r="WR82" s="43"/>
      <c r="WS82" s="43"/>
      <c r="WT82" s="43"/>
      <c r="WU82" s="43"/>
      <c r="WV82" s="43"/>
      <c r="WW82" s="43"/>
      <c r="WX82" s="43"/>
      <c r="WY82" s="43"/>
      <c r="WZ82" s="43"/>
      <c r="XA82" s="43"/>
      <c r="XB82" s="43"/>
      <c r="XC82" s="43"/>
      <c r="XD82" s="43"/>
      <c r="XE82" s="43"/>
      <c r="XF82" s="43"/>
      <c r="XG82" s="43"/>
      <c r="XH82" s="43"/>
      <c r="XI82" s="43"/>
      <c r="XJ82" s="43"/>
      <c r="XK82" s="43"/>
      <c r="XL82" s="43"/>
      <c r="XM82" s="43"/>
      <c r="XN82" s="43"/>
      <c r="XO82" s="43"/>
      <c r="XP82" s="43"/>
      <c r="XQ82" s="43"/>
      <c r="XR82" s="43"/>
      <c r="XS82" s="43"/>
      <c r="XT82" s="43"/>
      <c r="XU82" s="43"/>
      <c r="XV82" s="43"/>
      <c r="XW82" s="43"/>
      <c r="XX82" s="43"/>
      <c r="XY82" s="43"/>
      <c r="XZ82" s="43"/>
      <c r="YA82" s="44"/>
      <c r="YB82" s="44"/>
      <c r="YC82" s="44"/>
      <c r="YD82" s="44"/>
      <c r="YE82" s="44"/>
      <c r="YF82" s="43">
        <v>2.7</v>
      </c>
      <c r="YG82" s="43"/>
      <c r="YH82" s="43"/>
      <c r="YI82" s="43"/>
      <c r="YJ82" s="43"/>
      <c r="YK82" s="43"/>
      <c r="YL82" s="43"/>
      <c r="YM82" s="43"/>
      <c r="YN82" s="43"/>
      <c r="YO82" s="43"/>
      <c r="YP82" s="43"/>
      <c r="YQ82" s="43"/>
      <c r="YR82" s="43"/>
      <c r="YS82" s="43"/>
      <c r="YT82" s="43"/>
      <c r="YU82" s="43"/>
      <c r="YV82" s="43"/>
      <c r="YW82" s="43"/>
      <c r="YX82" s="43"/>
      <c r="YY82" s="43"/>
      <c r="YZ82" s="43"/>
      <c r="ZA82" s="43"/>
      <c r="ZB82" s="43"/>
      <c r="ZC82" s="43"/>
      <c r="ZD82" s="43"/>
      <c r="ZE82" s="43"/>
      <c r="ZF82" s="43"/>
      <c r="ZG82" s="43"/>
      <c r="ZH82" s="43"/>
      <c r="ZI82" s="43"/>
      <c r="ZJ82" s="43"/>
      <c r="ZK82" s="43"/>
      <c r="ZL82" s="43"/>
      <c r="ZM82" s="43"/>
      <c r="ZN82" s="43"/>
      <c r="ZO82" s="43"/>
      <c r="ZP82" s="43"/>
      <c r="ZQ82" s="43"/>
      <c r="ZR82" s="43"/>
      <c r="ZS82" s="43"/>
      <c r="ZT82" s="43"/>
      <c r="ZU82" s="43"/>
      <c r="ZV82" s="43"/>
      <c r="ZW82" s="44"/>
      <c r="ZX82" s="44"/>
      <c r="ZY82" s="44"/>
      <c r="ZZ82" s="44"/>
      <c r="AAA82" s="44"/>
      <c r="AAB82" s="44"/>
      <c r="AAC82" s="44"/>
      <c r="AAD82" s="44"/>
      <c r="AAE82" s="44"/>
      <c r="AAF82" s="44"/>
      <c r="AAG82" s="43"/>
      <c r="AAH82" s="43"/>
      <c r="AAI82" s="43"/>
      <c r="AAJ82" s="43"/>
      <c r="AAK82" s="43">
        <v>32</v>
      </c>
      <c r="AAL82" s="43"/>
      <c r="AAM82" s="43"/>
      <c r="AAN82" s="43"/>
      <c r="AAO82" s="43"/>
      <c r="AAP82" s="43"/>
      <c r="AAQ82" s="43"/>
      <c r="AAR82" s="43"/>
      <c r="AAS82" s="43">
        <v>27</v>
      </c>
      <c r="AAT82" s="43"/>
      <c r="AAU82" s="43"/>
      <c r="AAV82" s="43"/>
      <c r="AAW82" s="43"/>
      <c r="AAX82" s="43"/>
      <c r="AAY82" s="43"/>
      <c r="AAZ82" s="43"/>
      <c r="ABA82" s="43"/>
      <c r="ABB82" s="43"/>
      <c r="ABC82" s="43"/>
      <c r="ABD82" s="43"/>
      <c r="ABE82" s="43"/>
      <c r="ABF82" s="43"/>
      <c r="ABG82" s="43"/>
      <c r="ABH82" s="43"/>
      <c r="ABI82" s="43"/>
      <c r="ABJ82" s="43"/>
      <c r="ABK82" s="43"/>
      <c r="ABL82" s="43"/>
      <c r="ABM82" s="43"/>
      <c r="ABN82" s="43"/>
      <c r="ABO82" s="43"/>
      <c r="ABP82" s="43"/>
      <c r="ABQ82" s="43"/>
      <c r="ABR82" s="43"/>
      <c r="ABS82" s="43"/>
      <c r="ABT82" s="43"/>
      <c r="ABU82" s="43"/>
      <c r="ABV82" s="43"/>
      <c r="ABW82" s="43"/>
      <c r="ABX82" s="43"/>
      <c r="ABY82" s="43"/>
      <c r="ABZ82" s="43"/>
      <c r="ACA82" s="43"/>
      <c r="ACB82" s="43"/>
      <c r="ACC82" s="43"/>
      <c r="ACD82" s="43"/>
      <c r="ACE82" s="43"/>
      <c r="ACF82" s="43"/>
      <c r="ACG82" s="43"/>
      <c r="ACH82" s="45"/>
    </row>
    <row r="83" spans="1:762" x14ac:dyDescent="0.25">
      <c r="A83" s="46" t="s">
        <v>142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  <c r="BW83" s="47"/>
      <c r="BX83" s="47"/>
      <c r="BY83" s="47"/>
      <c r="BZ83" s="47"/>
      <c r="CA83" s="47"/>
      <c r="CB83" s="47"/>
      <c r="CC83" s="47"/>
      <c r="CD83" s="47"/>
      <c r="CE83" s="47"/>
      <c r="CF83" s="47"/>
      <c r="CG83" s="47"/>
      <c r="CH83" s="47"/>
      <c r="CI83" s="47"/>
      <c r="CJ83" s="47"/>
      <c r="CK83" s="47"/>
      <c r="CL83" s="47"/>
      <c r="CM83" s="47"/>
      <c r="CN83" s="47"/>
      <c r="CO83" s="47"/>
      <c r="CP83" s="47"/>
      <c r="CQ83" s="47"/>
      <c r="CR83" s="47"/>
      <c r="CS83" s="47"/>
      <c r="CT83" s="47"/>
      <c r="CU83" s="47"/>
      <c r="CV83" s="47"/>
      <c r="CW83" s="47"/>
      <c r="CX83" s="47"/>
      <c r="CY83" s="47"/>
      <c r="CZ83" s="47"/>
      <c r="DA83" s="47"/>
      <c r="DB83" s="47"/>
      <c r="DC83" s="47"/>
      <c r="DD83" s="47"/>
      <c r="DE83" s="47"/>
      <c r="DF83" s="47"/>
      <c r="DG83" s="47"/>
      <c r="DH83" s="47"/>
      <c r="DI83" s="47"/>
      <c r="DJ83" s="47"/>
      <c r="DK83" s="47"/>
      <c r="DL83" s="47"/>
      <c r="DM83" s="47"/>
      <c r="DN83" s="47"/>
      <c r="DO83" s="47"/>
      <c r="DP83" s="47"/>
      <c r="DQ83" s="47"/>
      <c r="DR83" s="47"/>
      <c r="DS83" s="47"/>
      <c r="DT83" s="47"/>
      <c r="DU83" s="47"/>
      <c r="DV83" s="47"/>
      <c r="DW83" s="47"/>
      <c r="DX83" s="47"/>
      <c r="DY83" s="47"/>
      <c r="DZ83" s="47"/>
      <c r="EA83" s="47"/>
      <c r="EB83" s="47"/>
      <c r="EC83" s="47"/>
      <c r="ED83" s="47"/>
      <c r="EE83" s="47"/>
      <c r="EF83" s="47"/>
      <c r="EG83" s="47"/>
      <c r="EH83" s="47"/>
      <c r="EI83" s="47"/>
      <c r="EJ83" s="47"/>
      <c r="EK83" s="47"/>
      <c r="EL83" s="47"/>
      <c r="EM83" s="47"/>
      <c r="EN83" s="47"/>
      <c r="EO83" s="47"/>
      <c r="EP83" s="47"/>
      <c r="EQ83" s="47"/>
      <c r="ER83" s="47"/>
      <c r="ES83" s="47"/>
      <c r="ET83" s="47"/>
      <c r="EU83" s="47"/>
      <c r="EV83" s="47"/>
      <c r="EW83" s="47"/>
      <c r="EX83" s="47"/>
      <c r="EY83" s="47"/>
      <c r="EZ83" s="47"/>
      <c r="FA83" s="47"/>
      <c r="FB83" s="47"/>
      <c r="FC83" s="47"/>
      <c r="FD83" s="47"/>
      <c r="FE83" s="47"/>
      <c r="FF83" s="47"/>
      <c r="FG83" s="47"/>
      <c r="FH83" s="47"/>
      <c r="FI83" s="47"/>
      <c r="FJ83" s="47"/>
      <c r="FK83" s="47"/>
      <c r="FL83" s="47"/>
      <c r="FM83" s="47"/>
      <c r="FN83" s="47"/>
      <c r="FO83" s="47"/>
      <c r="FP83" s="47"/>
      <c r="FQ83" s="47"/>
      <c r="FR83" s="47"/>
      <c r="FS83" s="47"/>
      <c r="FT83" s="47"/>
      <c r="FU83" s="47"/>
      <c r="FV83" s="47"/>
      <c r="FW83" s="47"/>
      <c r="FX83" s="47"/>
      <c r="FY83" s="47"/>
      <c r="FZ83" s="47"/>
      <c r="GA83" s="47"/>
      <c r="GB83" s="47"/>
      <c r="GC83" s="47"/>
      <c r="GD83" s="47"/>
      <c r="GE83" s="47"/>
      <c r="GF83" s="47"/>
      <c r="GG83" s="47"/>
      <c r="GH83" s="47"/>
      <c r="GI83" s="47"/>
      <c r="GJ83" s="47"/>
      <c r="GK83" s="47"/>
      <c r="GL83" s="47"/>
      <c r="GM83" s="47"/>
      <c r="GN83" s="47"/>
      <c r="GO83" s="47"/>
      <c r="GP83" s="47"/>
      <c r="GQ83" s="47"/>
      <c r="GR83" s="47"/>
      <c r="GS83" s="47"/>
      <c r="GT83" s="47"/>
      <c r="GU83" s="47"/>
      <c r="GV83" s="47"/>
      <c r="GW83" s="47"/>
      <c r="GX83" s="47"/>
      <c r="GY83" s="47"/>
      <c r="GZ83" s="47"/>
      <c r="HA83" s="47"/>
      <c r="HB83" s="47"/>
      <c r="HC83" s="47"/>
      <c r="HD83" s="47"/>
      <c r="HE83" s="47"/>
      <c r="HF83" s="47"/>
      <c r="HG83" s="47"/>
      <c r="HH83" s="47"/>
      <c r="HI83" s="47"/>
      <c r="HJ83" s="47"/>
      <c r="HK83" s="47"/>
      <c r="HL83" s="47"/>
      <c r="HM83" s="47"/>
      <c r="HN83" s="47"/>
      <c r="HO83" s="47"/>
      <c r="HP83" s="47"/>
      <c r="HQ83" s="47"/>
      <c r="HR83" s="47"/>
      <c r="HS83" s="47"/>
      <c r="HT83" s="47"/>
      <c r="HU83" s="47"/>
      <c r="HV83" s="47"/>
      <c r="HW83" s="47"/>
      <c r="HX83" s="47"/>
      <c r="HY83" s="47"/>
      <c r="HZ83" s="47"/>
      <c r="IA83" s="47"/>
      <c r="IB83" s="47"/>
      <c r="IC83" s="47"/>
      <c r="ID83" s="47"/>
      <c r="IE83" s="47"/>
      <c r="IF83" s="47"/>
      <c r="IG83" s="47"/>
      <c r="IH83" s="47"/>
      <c r="II83" s="47"/>
      <c r="IJ83" s="47"/>
      <c r="IK83" s="47"/>
      <c r="IL83" s="47"/>
      <c r="IM83" s="47"/>
      <c r="IN83" s="47"/>
      <c r="IO83" s="47"/>
      <c r="IP83" s="47"/>
      <c r="IQ83" s="47"/>
      <c r="IR83" s="47"/>
      <c r="IS83" s="47"/>
      <c r="IT83" s="47"/>
      <c r="IU83" s="47"/>
      <c r="IV83" s="47"/>
      <c r="IW83" s="47"/>
      <c r="IX83" s="47"/>
      <c r="IY83" s="47"/>
      <c r="IZ83" s="47"/>
      <c r="JA83" s="47"/>
      <c r="JB83" s="47"/>
      <c r="JC83" s="47"/>
      <c r="JD83" s="47"/>
      <c r="JE83" s="47"/>
      <c r="JF83" s="47"/>
      <c r="JG83" s="47"/>
      <c r="JH83" s="47"/>
      <c r="JI83" s="47"/>
      <c r="JJ83" s="47"/>
      <c r="JK83" s="47"/>
      <c r="JL83" s="47"/>
      <c r="JM83" s="47"/>
      <c r="JN83" s="47"/>
      <c r="JO83" s="47"/>
      <c r="JP83" s="47"/>
      <c r="JQ83" s="47"/>
      <c r="JR83" s="47"/>
      <c r="JS83" s="47"/>
      <c r="JT83" s="47"/>
      <c r="JU83" s="47"/>
      <c r="JV83" s="47"/>
      <c r="JW83" s="47"/>
      <c r="JX83" s="47"/>
      <c r="JY83" s="47"/>
      <c r="JZ83" s="47"/>
      <c r="KA83" s="47"/>
      <c r="KB83" s="47"/>
      <c r="KC83" s="47"/>
      <c r="KD83" s="47"/>
      <c r="KE83" s="47"/>
      <c r="KF83" s="47"/>
      <c r="KG83" s="47"/>
      <c r="KH83" s="47"/>
      <c r="KI83" s="47"/>
      <c r="KJ83" s="47"/>
      <c r="KK83" s="47"/>
      <c r="KL83" s="47"/>
      <c r="KM83" s="47"/>
      <c r="KN83" s="47"/>
      <c r="KO83" s="47"/>
      <c r="KP83" s="47"/>
      <c r="KQ83" s="47"/>
      <c r="KR83" s="47"/>
      <c r="KS83" s="47"/>
      <c r="KT83" s="47"/>
      <c r="KU83" s="47"/>
      <c r="KV83" s="47"/>
      <c r="KW83" s="47"/>
      <c r="KX83" s="47"/>
      <c r="KY83" s="47"/>
      <c r="KZ83" s="47"/>
      <c r="LA83" s="47"/>
      <c r="LB83" s="47"/>
      <c r="LC83" s="47"/>
      <c r="LD83" s="47"/>
      <c r="LE83" s="47"/>
      <c r="LF83" s="47"/>
      <c r="LG83" s="47"/>
      <c r="LH83" s="47"/>
      <c r="LI83" s="47"/>
      <c r="LJ83" s="47"/>
      <c r="LK83" s="47"/>
      <c r="LL83" s="47"/>
      <c r="LM83" s="47"/>
      <c r="LN83" s="47"/>
      <c r="LO83" s="47"/>
      <c r="LP83" s="47"/>
      <c r="LQ83" s="47"/>
      <c r="LR83" s="47"/>
      <c r="LS83" s="47"/>
      <c r="LT83" s="47"/>
      <c r="LU83" s="47"/>
      <c r="LV83" s="47"/>
      <c r="LW83" s="47"/>
      <c r="LX83" s="47"/>
      <c r="LY83" s="47"/>
      <c r="LZ83" s="47"/>
      <c r="MA83" s="47"/>
      <c r="MB83" s="47"/>
      <c r="MC83" s="47"/>
      <c r="MD83" s="47"/>
      <c r="ME83" s="47"/>
      <c r="MF83" s="47"/>
      <c r="MG83" s="47"/>
      <c r="MH83" s="47"/>
      <c r="MI83" s="47"/>
      <c r="MJ83" s="47"/>
      <c r="MK83" s="47"/>
      <c r="ML83" s="47"/>
      <c r="MM83" s="47"/>
      <c r="MN83" s="47"/>
      <c r="MO83" s="47"/>
      <c r="MP83" s="47"/>
      <c r="MQ83" s="47"/>
      <c r="MR83" s="47"/>
      <c r="MS83" s="47"/>
      <c r="MT83" s="47"/>
      <c r="MU83" s="47"/>
      <c r="MV83" s="47"/>
      <c r="MW83" s="47"/>
      <c r="MX83" s="47"/>
      <c r="MY83" s="47"/>
      <c r="MZ83" s="47"/>
      <c r="NA83" s="47"/>
      <c r="NB83" s="47"/>
      <c r="NC83" s="47"/>
      <c r="ND83" s="47"/>
      <c r="NE83" s="47"/>
      <c r="NF83" s="47"/>
      <c r="NG83" s="47"/>
      <c r="NH83" s="47"/>
      <c r="NI83" s="47"/>
      <c r="NJ83" s="44"/>
      <c r="NK83" s="44"/>
      <c r="NL83" s="44"/>
      <c r="NM83" s="44"/>
      <c r="NN83" s="44"/>
      <c r="NO83" s="47"/>
      <c r="NP83" s="47"/>
      <c r="NQ83" s="47"/>
      <c r="NR83" s="47"/>
      <c r="NS83" s="47"/>
      <c r="NT83" s="47"/>
      <c r="NU83" s="47"/>
      <c r="NV83" s="47"/>
      <c r="NW83" s="47"/>
      <c r="NX83" s="47"/>
      <c r="NY83" s="47"/>
      <c r="NZ83" s="47"/>
      <c r="OA83" s="47"/>
      <c r="OB83" s="47"/>
      <c r="OC83" s="47"/>
      <c r="OD83" s="47"/>
      <c r="OE83" s="47"/>
      <c r="OF83" s="47"/>
      <c r="OG83" s="47"/>
      <c r="OH83" s="47"/>
      <c r="OI83" s="47"/>
      <c r="OJ83" s="47"/>
      <c r="OK83" s="47"/>
      <c r="OL83" s="47"/>
      <c r="OM83" s="47"/>
      <c r="ON83" s="47"/>
      <c r="OO83" s="47"/>
      <c r="OP83" s="47"/>
      <c r="OQ83" s="47"/>
      <c r="OR83" s="47"/>
      <c r="OS83" s="47"/>
      <c r="OT83" s="47"/>
      <c r="OU83" s="47"/>
      <c r="OV83" s="47"/>
      <c r="OW83" s="47"/>
      <c r="OX83" s="47"/>
      <c r="OY83" s="47"/>
      <c r="OZ83" s="47"/>
      <c r="PA83" s="47"/>
      <c r="PB83" s="47"/>
      <c r="PC83" s="47"/>
      <c r="PD83" s="47"/>
      <c r="PE83" s="47"/>
      <c r="PF83" s="47"/>
      <c r="PG83" s="47"/>
      <c r="PH83" s="47"/>
      <c r="PI83" s="47"/>
      <c r="PJ83" s="47"/>
      <c r="PK83" s="47"/>
      <c r="PL83" s="47"/>
      <c r="PM83" s="47"/>
      <c r="PN83" s="47"/>
      <c r="PO83" s="47"/>
      <c r="PP83" s="47"/>
      <c r="PQ83" s="47"/>
      <c r="PR83" s="47"/>
      <c r="PS83" s="47"/>
      <c r="PT83" s="47"/>
      <c r="PU83" s="47"/>
      <c r="PV83" s="47"/>
      <c r="PW83" s="47"/>
      <c r="PX83" s="47"/>
      <c r="PY83" s="47"/>
      <c r="PZ83" s="47"/>
      <c r="QA83" s="47"/>
      <c r="QB83" s="47"/>
      <c r="QC83" s="47"/>
      <c r="QD83" s="47"/>
      <c r="QE83" s="47"/>
      <c r="QF83" s="47"/>
      <c r="QG83" s="47"/>
      <c r="QH83" s="47"/>
      <c r="QI83" s="47"/>
      <c r="QJ83" s="47"/>
      <c r="QK83" s="47"/>
      <c r="QL83" s="47"/>
      <c r="QM83" s="47"/>
      <c r="QN83" s="47"/>
      <c r="QO83" s="47"/>
      <c r="QP83" s="47"/>
      <c r="QQ83" s="47"/>
      <c r="QR83" s="47"/>
      <c r="QS83" s="47"/>
      <c r="QT83" s="47"/>
      <c r="QU83" s="47"/>
      <c r="QV83" s="47"/>
      <c r="QW83" s="47"/>
      <c r="QX83" s="47"/>
      <c r="QY83" s="47"/>
      <c r="QZ83" s="47"/>
      <c r="RA83" s="47"/>
      <c r="RB83" s="47"/>
      <c r="RC83" s="47"/>
      <c r="RD83" s="47"/>
      <c r="RE83" s="47"/>
      <c r="RF83" s="47"/>
      <c r="RG83" s="47"/>
      <c r="RH83" s="47"/>
      <c r="RI83" s="47"/>
      <c r="RJ83" s="47"/>
      <c r="RK83" s="47"/>
      <c r="RL83" s="47"/>
      <c r="RM83" s="47"/>
      <c r="RN83" s="47"/>
      <c r="RO83" s="47"/>
      <c r="RP83" s="47"/>
      <c r="RQ83" s="47"/>
      <c r="RR83" s="47"/>
      <c r="RS83" s="47"/>
      <c r="RT83" s="47"/>
      <c r="RU83" s="47"/>
      <c r="RV83" s="47"/>
      <c r="RW83" s="47"/>
      <c r="RX83" s="47"/>
      <c r="RY83" s="47"/>
      <c r="RZ83" s="47"/>
      <c r="SA83" s="47"/>
      <c r="SB83" s="47"/>
      <c r="SC83" s="47"/>
      <c r="SD83" s="47"/>
      <c r="SE83" s="47"/>
      <c r="SF83" s="47"/>
      <c r="SG83" s="47"/>
      <c r="SH83" s="47"/>
      <c r="SI83" s="47"/>
      <c r="SJ83" s="47"/>
      <c r="SK83" s="47"/>
      <c r="SL83" s="47"/>
      <c r="SM83" s="47"/>
      <c r="SN83" s="47"/>
      <c r="SO83" s="47"/>
      <c r="SP83" s="47"/>
      <c r="SQ83" s="47"/>
      <c r="SR83" s="47"/>
      <c r="SS83" s="47"/>
      <c r="ST83" s="47"/>
      <c r="SU83" s="47"/>
      <c r="SV83" s="47"/>
      <c r="SW83" s="47"/>
      <c r="SX83" s="47"/>
      <c r="SY83" s="47"/>
      <c r="SZ83" s="47"/>
      <c r="TA83" s="47"/>
      <c r="TB83" s="47"/>
      <c r="TC83" s="47"/>
      <c r="TD83" s="47"/>
      <c r="TE83" s="47"/>
      <c r="TF83" s="47"/>
      <c r="TG83" s="47"/>
      <c r="TH83" s="47"/>
      <c r="TI83" s="47"/>
      <c r="TJ83" s="47"/>
      <c r="TK83" s="47"/>
      <c r="TL83" s="47"/>
      <c r="TM83" s="47"/>
      <c r="TN83" s="47"/>
      <c r="TO83" s="47"/>
      <c r="TP83" s="47"/>
      <c r="TQ83" s="47"/>
      <c r="TR83" s="47"/>
      <c r="TS83" s="47"/>
      <c r="TT83" s="47"/>
      <c r="TU83" s="47"/>
      <c r="TV83" s="47"/>
      <c r="TW83" s="47"/>
      <c r="TX83" s="47"/>
      <c r="TY83" s="47"/>
      <c r="TZ83" s="47"/>
      <c r="UA83" s="47"/>
      <c r="UB83" s="47"/>
      <c r="UC83" s="47"/>
      <c r="UD83" s="47"/>
      <c r="UE83" s="47"/>
      <c r="UF83" s="47"/>
      <c r="UG83" s="47"/>
      <c r="UH83" s="47"/>
      <c r="UI83" s="47"/>
      <c r="UJ83" s="47"/>
      <c r="UK83" s="47"/>
      <c r="UL83" s="47"/>
      <c r="UM83" s="47"/>
      <c r="UN83" s="47"/>
      <c r="UO83" s="47"/>
      <c r="UP83" s="47"/>
      <c r="UQ83" s="47"/>
      <c r="UR83" s="47"/>
      <c r="US83" s="47"/>
      <c r="UT83" s="47"/>
      <c r="UU83" s="47"/>
      <c r="UV83" s="47"/>
      <c r="UW83" s="47"/>
      <c r="UX83" s="47"/>
      <c r="UY83" s="47"/>
      <c r="UZ83" s="47"/>
      <c r="VA83" s="47"/>
      <c r="VB83" s="47"/>
      <c r="VC83" s="47"/>
      <c r="VD83" s="47"/>
      <c r="VE83" s="47"/>
      <c r="VF83" s="47"/>
      <c r="VG83" s="47"/>
      <c r="VH83" s="47"/>
      <c r="VI83" s="47"/>
      <c r="VJ83" s="47"/>
      <c r="VK83" s="47"/>
      <c r="VL83" s="47"/>
      <c r="VM83" s="47"/>
      <c r="VN83" s="47"/>
      <c r="VO83" s="47"/>
      <c r="VP83" s="47"/>
      <c r="VQ83" s="47"/>
      <c r="VR83" s="47"/>
      <c r="VS83" s="47"/>
      <c r="VT83" s="47"/>
      <c r="VU83" s="47"/>
      <c r="VV83" s="47"/>
      <c r="VW83" s="47"/>
      <c r="VX83" s="47"/>
      <c r="VY83" s="47"/>
      <c r="VZ83" s="47"/>
      <c r="WA83" s="47"/>
      <c r="WB83" s="47"/>
      <c r="WC83" s="47"/>
      <c r="WD83" s="47"/>
      <c r="WE83" s="47"/>
      <c r="WF83" s="47"/>
      <c r="WG83" s="47"/>
      <c r="WH83" s="47"/>
      <c r="WI83" s="47"/>
      <c r="WJ83" s="47"/>
      <c r="WK83" s="47"/>
      <c r="WL83" s="47"/>
      <c r="WM83" s="47"/>
      <c r="WN83" s="47"/>
      <c r="WO83" s="47"/>
      <c r="WP83" s="47"/>
      <c r="WQ83" s="47"/>
      <c r="WR83" s="47"/>
      <c r="WS83" s="47"/>
      <c r="WT83" s="47"/>
      <c r="WU83" s="47"/>
      <c r="WV83" s="47"/>
      <c r="WW83" s="47"/>
      <c r="WX83" s="47"/>
      <c r="WY83" s="47"/>
      <c r="WZ83" s="47"/>
      <c r="XA83" s="47"/>
      <c r="XB83" s="47"/>
      <c r="XC83" s="47"/>
      <c r="XD83" s="47"/>
      <c r="XE83" s="47"/>
      <c r="XF83" s="47"/>
      <c r="XG83" s="47"/>
      <c r="XH83" s="47"/>
      <c r="XI83" s="47"/>
      <c r="XJ83" s="47"/>
      <c r="XK83" s="47"/>
      <c r="XL83" s="47"/>
      <c r="XM83" s="47"/>
      <c r="XN83" s="47"/>
      <c r="XO83" s="47"/>
      <c r="XP83" s="47"/>
      <c r="XQ83" s="47"/>
      <c r="XR83" s="47"/>
      <c r="XS83" s="47"/>
      <c r="XT83" s="47"/>
      <c r="XU83" s="47"/>
      <c r="XV83" s="47"/>
      <c r="XW83" s="47"/>
      <c r="XX83" s="47"/>
      <c r="XY83" s="47"/>
      <c r="XZ83" s="47"/>
      <c r="YA83" s="44"/>
      <c r="YB83" s="44"/>
      <c r="YC83" s="44"/>
      <c r="YD83" s="44"/>
      <c r="YE83" s="44"/>
      <c r="YF83" s="47"/>
      <c r="YG83" s="47"/>
      <c r="YH83" s="47"/>
      <c r="YI83" s="47"/>
      <c r="YJ83" s="47"/>
      <c r="YK83" s="47"/>
      <c r="YL83" s="47"/>
      <c r="YM83" s="47"/>
      <c r="YN83" s="47"/>
      <c r="YO83" s="47"/>
      <c r="YP83" s="47"/>
      <c r="YQ83" s="47"/>
      <c r="YR83" s="47"/>
      <c r="YS83" s="47"/>
      <c r="YT83" s="47"/>
      <c r="YU83" s="47"/>
      <c r="YV83" s="47"/>
      <c r="YW83" s="47"/>
      <c r="YX83" s="47"/>
      <c r="YY83" s="47"/>
      <c r="YZ83" s="47"/>
      <c r="ZA83" s="47"/>
      <c r="ZB83" s="47"/>
      <c r="ZC83" s="47"/>
      <c r="ZD83" s="47"/>
      <c r="ZE83" s="47"/>
      <c r="ZF83" s="47"/>
      <c r="ZG83" s="47"/>
      <c r="ZH83" s="47"/>
      <c r="ZI83" s="47"/>
      <c r="ZJ83" s="47"/>
      <c r="ZK83" s="47"/>
      <c r="ZL83" s="47"/>
      <c r="ZM83" s="47"/>
      <c r="ZN83" s="47"/>
      <c r="ZO83" s="47"/>
      <c r="ZP83" s="47"/>
      <c r="ZQ83" s="47"/>
      <c r="ZR83" s="47"/>
      <c r="ZS83" s="47"/>
      <c r="ZT83" s="47"/>
      <c r="ZU83" s="47"/>
      <c r="ZV83" s="47"/>
      <c r="ZW83" s="44"/>
      <c r="ZX83" s="44"/>
      <c r="ZY83" s="44"/>
      <c r="ZZ83" s="44"/>
      <c r="AAA83" s="44"/>
      <c r="AAB83" s="44"/>
      <c r="AAC83" s="44"/>
      <c r="AAD83" s="44"/>
      <c r="AAE83" s="44"/>
      <c r="AAF83" s="44"/>
      <c r="AAG83" s="47"/>
      <c r="AAH83" s="47"/>
      <c r="AAI83" s="47"/>
      <c r="AAJ83" s="47"/>
      <c r="AAK83" s="47"/>
      <c r="AAL83" s="47"/>
      <c r="AAM83" s="47"/>
      <c r="AAN83" s="47"/>
      <c r="AAO83" s="47"/>
      <c r="AAP83" s="47"/>
      <c r="AAQ83" s="47"/>
      <c r="AAR83" s="47"/>
      <c r="AAS83" s="47"/>
      <c r="AAT83" s="47"/>
      <c r="AAU83" s="47"/>
      <c r="AAV83" s="47"/>
      <c r="AAW83" s="47"/>
      <c r="AAX83" s="47"/>
      <c r="AAY83" s="47"/>
      <c r="AAZ83" s="47"/>
      <c r="ABA83" s="47"/>
      <c r="ABB83" s="47"/>
      <c r="ABC83" s="47"/>
      <c r="ABD83" s="47"/>
      <c r="ABE83" s="47"/>
      <c r="ABF83" s="47"/>
      <c r="ABG83" s="47"/>
      <c r="ABH83" s="47"/>
      <c r="ABI83" s="47"/>
      <c r="ABJ83" s="47"/>
      <c r="ABK83" s="47"/>
      <c r="ABL83" s="47"/>
      <c r="ABM83" s="47"/>
      <c r="ABN83" s="47"/>
      <c r="ABO83" s="47"/>
      <c r="ABP83" s="47"/>
      <c r="ABQ83" s="47"/>
      <c r="ABR83" s="47"/>
      <c r="ABS83" s="47"/>
      <c r="ABT83" s="47"/>
      <c r="ABU83" s="47"/>
      <c r="ABV83" s="47"/>
      <c r="ABW83" s="47"/>
      <c r="ABX83" s="47"/>
      <c r="ABY83" s="47"/>
      <c r="ABZ83" s="47"/>
      <c r="ACA83" s="47"/>
      <c r="ACB83" s="47"/>
      <c r="ACC83" s="47"/>
      <c r="ACD83" s="47"/>
      <c r="ACE83" s="47"/>
      <c r="ACF83" s="47"/>
      <c r="ACG83" s="47"/>
      <c r="ACH83" s="48"/>
    </row>
    <row r="84" spans="1:762" x14ac:dyDescent="0.25">
      <c r="A84" s="42" t="s">
        <v>143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  <c r="EB84" s="43"/>
      <c r="EC84" s="43"/>
      <c r="ED84" s="43"/>
      <c r="EE84" s="43"/>
      <c r="EF84" s="43"/>
      <c r="EG84" s="43"/>
      <c r="EH84" s="43"/>
      <c r="EI84" s="43"/>
      <c r="EJ84" s="43"/>
      <c r="EK84" s="43"/>
      <c r="EL84" s="43"/>
      <c r="EM84" s="43"/>
      <c r="EN84" s="43"/>
      <c r="EO84" s="43"/>
      <c r="EP84" s="43"/>
      <c r="EQ84" s="43"/>
      <c r="ER84" s="43"/>
      <c r="ES84" s="43"/>
      <c r="ET84" s="43"/>
      <c r="EU84" s="43"/>
      <c r="EV84" s="43"/>
      <c r="EW84" s="43"/>
      <c r="EX84" s="43"/>
      <c r="EY84" s="43"/>
      <c r="EZ84" s="43"/>
      <c r="FA84" s="43"/>
      <c r="FB84" s="43"/>
      <c r="FC84" s="43"/>
      <c r="FD84" s="43"/>
      <c r="FE84" s="43"/>
      <c r="FF84" s="43"/>
      <c r="FG84" s="43"/>
      <c r="FH84" s="43"/>
      <c r="FI84" s="43"/>
      <c r="FJ84" s="43"/>
      <c r="FK84" s="43"/>
      <c r="FL84" s="43"/>
      <c r="FM84" s="43"/>
      <c r="FN84" s="43"/>
      <c r="FO84" s="43"/>
      <c r="FP84" s="43"/>
      <c r="FQ84" s="43"/>
      <c r="FR84" s="43"/>
      <c r="FS84" s="43"/>
      <c r="FT84" s="43"/>
      <c r="FU84" s="43"/>
      <c r="FV84" s="43"/>
      <c r="FW84" s="43"/>
      <c r="FX84" s="43"/>
      <c r="FY84" s="43"/>
      <c r="FZ84" s="43"/>
      <c r="GA84" s="43"/>
      <c r="GB84" s="43"/>
      <c r="GC84" s="43"/>
      <c r="GD84" s="43"/>
      <c r="GE84" s="43"/>
      <c r="GF84" s="43"/>
      <c r="GG84" s="43"/>
      <c r="GH84" s="43"/>
      <c r="GI84" s="43"/>
      <c r="GJ84" s="43"/>
      <c r="GK84" s="43"/>
      <c r="GL84" s="43"/>
      <c r="GM84" s="43"/>
      <c r="GN84" s="43"/>
      <c r="GO84" s="43"/>
      <c r="GP84" s="43"/>
      <c r="GQ84" s="43"/>
      <c r="GR84" s="43"/>
      <c r="GS84" s="43"/>
      <c r="GT84" s="43"/>
      <c r="GU84" s="43"/>
      <c r="GV84" s="43"/>
      <c r="GW84" s="43"/>
      <c r="GX84" s="43"/>
      <c r="GY84" s="43"/>
      <c r="GZ84" s="43"/>
      <c r="HA84" s="43"/>
      <c r="HB84" s="43"/>
      <c r="HC84" s="43"/>
      <c r="HD84" s="43"/>
      <c r="HE84" s="43"/>
      <c r="HF84" s="43"/>
      <c r="HG84" s="43"/>
      <c r="HH84" s="43"/>
      <c r="HI84" s="43"/>
      <c r="HJ84" s="43"/>
      <c r="HK84" s="43"/>
      <c r="HL84" s="43"/>
      <c r="HM84" s="43"/>
      <c r="HN84" s="43"/>
      <c r="HO84" s="43"/>
      <c r="HP84" s="43"/>
      <c r="HQ84" s="43"/>
      <c r="HR84" s="43"/>
      <c r="HS84" s="43"/>
      <c r="HT84" s="43"/>
      <c r="HU84" s="43"/>
      <c r="HV84" s="43"/>
      <c r="HW84" s="43"/>
      <c r="HX84" s="43"/>
      <c r="HY84" s="43"/>
      <c r="HZ84" s="43"/>
      <c r="IA84" s="43"/>
      <c r="IB84" s="43"/>
      <c r="IC84" s="43"/>
      <c r="ID84" s="43"/>
      <c r="IE84" s="43"/>
      <c r="IF84" s="43"/>
      <c r="IG84" s="43"/>
      <c r="IH84" s="43"/>
      <c r="II84" s="43"/>
      <c r="IJ84" s="43"/>
      <c r="IK84" s="43"/>
      <c r="IL84" s="43"/>
      <c r="IM84" s="43"/>
      <c r="IN84" s="43"/>
      <c r="IO84" s="43"/>
      <c r="IP84" s="43"/>
      <c r="IQ84" s="43"/>
      <c r="IR84" s="43"/>
      <c r="IS84" s="43"/>
      <c r="IT84" s="43"/>
      <c r="IU84" s="43"/>
      <c r="IV84" s="43"/>
      <c r="IW84" s="43"/>
      <c r="IX84" s="43"/>
      <c r="IY84" s="43"/>
      <c r="IZ84" s="43"/>
      <c r="JA84" s="43"/>
      <c r="JB84" s="43"/>
      <c r="JC84" s="43"/>
      <c r="JD84" s="43"/>
      <c r="JE84" s="43"/>
      <c r="JF84" s="43"/>
      <c r="JG84" s="43"/>
      <c r="JH84" s="43"/>
      <c r="JI84" s="43"/>
      <c r="JJ84" s="43"/>
      <c r="JK84" s="43"/>
      <c r="JL84" s="43"/>
      <c r="JM84" s="43"/>
      <c r="JN84" s="43"/>
      <c r="JO84" s="43"/>
      <c r="JP84" s="43"/>
      <c r="JQ84" s="43"/>
      <c r="JR84" s="43"/>
      <c r="JS84" s="43"/>
      <c r="JT84" s="43"/>
      <c r="JU84" s="43"/>
      <c r="JV84" s="43"/>
      <c r="JW84" s="43"/>
      <c r="JX84" s="43"/>
      <c r="JY84" s="43"/>
      <c r="JZ84" s="43"/>
      <c r="KA84" s="43"/>
      <c r="KB84" s="43"/>
      <c r="KC84" s="43"/>
      <c r="KD84" s="43"/>
      <c r="KE84" s="43"/>
      <c r="KF84" s="43"/>
      <c r="KG84" s="43"/>
      <c r="KH84" s="43"/>
      <c r="KI84" s="43"/>
      <c r="KJ84" s="43"/>
      <c r="KK84" s="43"/>
      <c r="KL84" s="43"/>
      <c r="KM84" s="43"/>
      <c r="KN84" s="43"/>
      <c r="KO84" s="43"/>
      <c r="KP84" s="43"/>
      <c r="KQ84" s="43"/>
      <c r="KR84" s="43"/>
      <c r="KS84" s="43"/>
      <c r="KT84" s="43"/>
      <c r="KU84" s="43"/>
      <c r="KV84" s="43"/>
      <c r="KW84" s="43"/>
      <c r="KX84" s="43"/>
      <c r="KY84" s="43"/>
      <c r="KZ84" s="43"/>
      <c r="LA84" s="43"/>
      <c r="LB84" s="43"/>
      <c r="LC84" s="43"/>
      <c r="LD84" s="43"/>
      <c r="LE84" s="43"/>
      <c r="LF84" s="43"/>
      <c r="LG84" s="43"/>
      <c r="LH84" s="43"/>
      <c r="LI84" s="43"/>
      <c r="LJ84" s="43"/>
      <c r="LK84" s="43"/>
      <c r="LL84" s="43"/>
      <c r="LM84" s="43"/>
      <c r="LN84" s="43"/>
      <c r="LO84" s="43"/>
      <c r="LP84" s="43"/>
      <c r="LQ84" s="43"/>
      <c r="LR84" s="43"/>
      <c r="LS84" s="43"/>
      <c r="LT84" s="43"/>
      <c r="LU84" s="43"/>
      <c r="LV84" s="43"/>
      <c r="LW84" s="43"/>
      <c r="LX84" s="43"/>
      <c r="LY84" s="43"/>
      <c r="LZ84" s="43"/>
      <c r="MA84" s="43"/>
      <c r="MB84" s="43"/>
      <c r="MC84" s="43"/>
      <c r="MD84" s="43"/>
      <c r="ME84" s="43"/>
      <c r="MF84" s="43"/>
      <c r="MG84" s="43"/>
      <c r="MH84" s="43"/>
      <c r="MI84" s="43"/>
      <c r="MJ84" s="43"/>
      <c r="MK84" s="43"/>
      <c r="ML84" s="43"/>
      <c r="MM84" s="43"/>
      <c r="MN84" s="43"/>
      <c r="MO84" s="43"/>
      <c r="MP84" s="43"/>
      <c r="MQ84" s="43"/>
      <c r="MR84" s="43"/>
      <c r="MS84" s="43"/>
      <c r="MT84" s="43"/>
      <c r="MU84" s="43"/>
      <c r="MV84" s="43"/>
      <c r="MW84" s="43"/>
      <c r="MX84" s="43"/>
      <c r="MY84" s="43"/>
      <c r="MZ84" s="43"/>
      <c r="NA84" s="43"/>
      <c r="NB84" s="43"/>
      <c r="NC84" s="43"/>
      <c r="ND84" s="43"/>
      <c r="NE84" s="43"/>
      <c r="NF84" s="43"/>
      <c r="NG84" s="43"/>
      <c r="NH84" s="43"/>
      <c r="NI84" s="43"/>
      <c r="NJ84" s="44"/>
      <c r="NK84" s="44"/>
      <c r="NL84" s="44"/>
      <c r="NM84" s="44"/>
      <c r="NN84" s="44"/>
      <c r="NO84" s="43"/>
      <c r="NP84" s="43"/>
      <c r="NQ84" s="43"/>
      <c r="NR84" s="43"/>
      <c r="NS84" s="43"/>
      <c r="NT84" s="43"/>
      <c r="NU84" s="43"/>
      <c r="NV84" s="43"/>
      <c r="NW84" s="43"/>
      <c r="NX84" s="43"/>
      <c r="NY84" s="43"/>
      <c r="NZ84" s="43"/>
      <c r="OA84" s="43"/>
      <c r="OB84" s="43"/>
      <c r="OC84" s="43"/>
      <c r="OD84" s="43"/>
      <c r="OE84" s="43"/>
      <c r="OF84" s="43"/>
      <c r="OG84" s="43"/>
      <c r="OH84" s="43"/>
      <c r="OI84" s="43"/>
      <c r="OJ84" s="43"/>
      <c r="OK84" s="43"/>
      <c r="OL84" s="43"/>
      <c r="OM84" s="43"/>
      <c r="ON84" s="43"/>
      <c r="OO84" s="43"/>
      <c r="OP84" s="43"/>
      <c r="OQ84" s="43"/>
      <c r="OR84" s="43"/>
      <c r="OS84" s="43"/>
      <c r="OT84" s="43"/>
      <c r="OU84" s="43"/>
      <c r="OV84" s="43"/>
      <c r="OW84" s="43"/>
      <c r="OX84" s="43"/>
      <c r="OY84" s="43"/>
      <c r="OZ84" s="43"/>
      <c r="PA84" s="43"/>
      <c r="PB84" s="43"/>
      <c r="PC84" s="43"/>
      <c r="PD84" s="43"/>
      <c r="PE84" s="43"/>
      <c r="PF84" s="43"/>
      <c r="PG84" s="43"/>
      <c r="PH84" s="43"/>
      <c r="PI84" s="43"/>
      <c r="PJ84" s="43"/>
      <c r="PK84" s="43"/>
      <c r="PL84" s="43"/>
      <c r="PM84" s="43"/>
      <c r="PN84" s="43"/>
      <c r="PO84" s="43"/>
      <c r="PP84" s="43"/>
      <c r="PQ84" s="43"/>
      <c r="PR84" s="43"/>
      <c r="PS84" s="43"/>
      <c r="PT84" s="43"/>
      <c r="PU84" s="43"/>
      <c r="PV84" s="43"/>
      <c r="PW84" s="43"/>
      <c r="PX84" s="43"/>
      <c r="PY84" s="43"/>
      <c r="PZ84" s="43"/>
      <c r="QA84" s="43"/>
      <c r="QB84" s="43"/>
      <c r="QC84" s="43"/>
      <c r="QD84" s="43"/>
      <c r="QE84" s="43"/>
      <c r="QF84" s="43"/>
      <c r="QG84" s="43"/>
      <c r="QH84" s="43"/>
      <c r="QI84" s="43"/>
      <c r="QJ84" s="43"/>
      <c r="QK84" s="43"/>
      <c r="QL84" s="43"/>
      <c r="QM84" s="43"/>
      <c r="QN84" s="43"/>
      <c r="QO84" s="43"/>
      <c r="QP84" s="43"/>
      <c r="QQ84" s="43"/>
      <c r="QR84" s="43"/>
      <c r="QS84" s="43"/>
      <c r="QT84" s="43"/>
      <c r="QU84" s="43"/>
      <c r="QV84" s="43"/>
      <c r="QW84" s="43"/>
      <c r="QX84" s="43"/>
      <c r="QY84" s="43"/>
      <c r="QZ84" s="43"/>
      <c r="RA84" s="43"/>
      <c r="RB84" s="43"/>
      <c r="RC84" s="43"/>
      <c r="RD84" s="43"/>
      <c r="RE84" s="43"/>
      <c r="RF84" s="43"/>
      <c r="RG84" s="43"/>
      <c r="RH84" s="43"/>
      <c r="RI84" s="43"/>
      <c r="RJ84" s="43"/>
      <c r="RK84" s="43"/>
      <c r="RL84" s="43"/>
      <c r="RM84" s="43"/>
      <c r="RN84" s="43"/>
      <c r="RO84" s="43"/>
      <c r="RP84" s="43"/>
      <c r="RQ84" s="43"/>
      <c r="RR84" s="43"/>
      <c r="RS84" s="43"/>
      <c r="RT84" s="43"/>
      <c r="RU84" s="43"/>
      <c r="RV84" s="43"/>
      <c r="RW84" s="43"/>
      <c r="RX84" s="43"/>
      <c r="RY84" s="43"/>
      <c r="RZ84" s="43"/>
      <c r="SA84" s="43"/>
      <c r="SB84" s="43"/>
      <c r="SC84" s="43"/>
      <c r="SD84" s="43"/>
      <c r="SE84" s="43"/>
      <c r="SF84" s="43"/>
      <c r="SG84" s="43"/>
      <c r="SH84" s="43"/>
      <c r="SI84" s="43"/>
      <c r="SJ84" s="43"/>
      <c r="SK84" s="43"/>
      <c r="SL84" s="43"/>
      <c r="SM84" s="43"/>
      <c r="SN84" s="43"/>
      <c r="SO84" s="43"/>
      <c r="SP84" s="43"/>
      <c r="SQ84" s="43"/>
      <c r="SR84" s="43"/>
      <c r="SS84" s="43"/>
      <c r="ST84" s="43"/>
      <c r="SU84" s="43"/>
      <c r="SV84" s="43"/>
      <c r="SW84" s="43"/>
      <c r="SX84" s="43"/>
      <c r="SY84" s="43"/>
      <c r="SZ84" s="43"/>
      <c r="TA84" s="43"/>
      <c r="TB84" s="43"/>
      <c r="TC84" s="43"/>
      <c r="TD84" s="43"/>
      <c r="TE84" s="43"/>
      <c r="TF84" s="43"/>
      <c r="TG84" s="43"/>
      <c r="TH84" s="43"/>
      <c r="TI84" s="43"/>
      <c r="TJ84" s="43"/>
      <c r="TK84" s="43"/>
      <c r="TL84" s="43"/>
      <c r="TM84" s="43"/>
      <c r="TN84" s="43"/>
      <c r="TO84" s="43"/>
      <c r="TP84" s="43"/>
      <c r="TQ84" s="43"/>
      <c r="TR84" s="43"/>
      <c r="TS84" s="43"/>
      <c r="TT84" s="43"/>
      <c r="TU84" s="43"/>
      <c r="TV84" s="43"/>
      <c r="TW84" s="43"/>
      <c r="TX84" s="43"/>
      <c r="TY84" s="43"/>
      <c r="TZ84" s="43"/>
      <c r="UA84" s="43"/>
      <c r="UB84" s="43"/>
      <c r="UC84" s="43"/>
      <c r="UD84" s="43"/>
      <c r="UE84" s="43"/>
      <c r="UF84" s="43"/>
      <c r="UG84" s="43"/>
      <c r="UH84" s="43"/>
      <c r="UI84" s="43"/>
      <c r="UJ84" s="43"/>
      <c r="UK84" s="43"/>
      <c r="UL84" s="43"/>
      <c r="UM84" s="43"/>
      <c r="UN84" s="43"/>
      <c r="UO84" s="43"/>
      <c r="UP84" s="43"/>
      <c r="UQ84" s="43"/>
      <c r="UR84" s="43"/>
      <c r="US84" s="43"/>
      <c r="UT84" s="43"/>
      <c r="UU84" s="43"/>
      <c r="UV84" s="43"/>
      <c r="UW84" s="43"/>
      <c r="UX84" s="43"/>
      <c r="UY84" s="43"/>
      <c r="UZ84" s="43"/>
      <c r="VA84" s="43"/>
      <c r="VB84" s="43"/>
      <c r="VC84" s="43"/>
      <c r="VD84" s="43"/>
      <c r="VE84" s="43"/>
      <c r="VF84" s="43"/>
      <c r="VG84" s="43"/>
      <c r="VH84" s="43"/>
      <c r="VI84" s="43"/>
      <c r="VJ84" s="43"/>
      <c r="VK84" s="43"/>
      <c r="VL84" s="43"/>
      <c r="VM84" s="43"/>
      <c r="VN84" s="43"/>
      <c r="VO84" s="43"/>
      <c r="VP84" s="43"/>
      <c r="VQ84" s="43"/>
      <c r="VR84" s="43"/>
      <c r="VS84" s="43"/>
      <c r="VT84" s="43"/>
      <c r="VU84" s="43"/>
      <c r="VV84" s="43"/>
      <c r="VW84" s="43"/>
      <c r="VX84" s="43"/>
      <c r="VY84" s="43"/>
      <c r="VZ84" s="43"/>
      <c r="WA84" s="43"/>
      <c r="WB84" s="43"/>
      <c r="WC84" s="43"/>
      <c r="WD84" s="43"/>
      <c r="WE84" s="43"/>
      <c r="WF84" s="43"/>
      <c r="WG84" s="43"/>
      <c r="WH84" s="43"/>
      <c r="WI84" s="43"/>
      <c r="WJ84" s="43"/>
      <c r="WK84" s="43"/>
      <c r="WL84" s="43"/>
      <c r="WM84" s="43"/>
      <c r="WN84" s="43"/>
      <c r="WO84" s="43"/>
      <c r="WP84" s="43"/>
      <c r="WQ84" s="43"/>
      <c r="WR84" s="43"/>
      <c r="WS84" s="43"/>
      <c r="WT84" s="43"/>
      <c r="WU84" s="43"/>
      <c r="WV84" s="43"/>
      <c r="WW84" s="43"/>
      <c r="WX84" s="43"/>
      <c r="WY84" s="43"/>
      <c r="WZ84" s="43"/>
      <c r="XA84" s="43"/>
      <c r="XB84" s="43"/>
      <c r="XC84" s="43"/>
      <c r="XD84" s="43"/>
      <c r="XE84" s="43"/>
      <c r="XF84" s="43"/>
      <c r="XG84" s="43"/>
      <c r="XH84" s="43"/>
      <c r="XI84" s="43"/>
      <c r="XJ84" s="43"/>
      <c r="XK84" s="43"/>
      <c r="XL84" s="43"/>
      <c r="XM84" s="43"/>
      <c r="XN84" s="43"/>
      <c r="XO84" s="43"/>
      <c r="XP84" s="43"/>
      <c r="XQ84" s="43"/>
      <c r="XR84" s="43"/>
      <c r="XS84" s="43"/>
      <c r="XT84" s="43"/>
      <c r="XU84" s="43"/>
      <c r="XV84" s="43"/>
      <c r="XW84" s="43"/>
      <c r="XX84" s="43"/>
      <c r="XY84" s="43"/>
      <c r="XZ84" s="43"/>
      <c r="YA84" s="44"/>
      <c r="YB84" s="44"/>
      <c r="YC84" s="44"/>
      <c r="YD84" s="44"/>
      <c r="YE84" s="44"/>
      <c r="YF84" s="43"/>
      <c r="YG84" s="43"/>
      <c r="YH84" s="43"/>
      <c r="YI84" s="43"/>
      <c r="YJ84" s="43"/>
      <c r="YK84" s="43"/>
      <c r="YL84" s="43"/>
      <c r="YM84" s="43"/>
      <c r="YN84" s="43"/>
      <c r="YO84" s="43"/>
      <c r="YP84" s="43"/>
      <c r="YQ84" s="43"/>
      <c r="YR84" s="43"/>
      <c r="YS84" s="43"/>
      <c r="YT84" s="43"/>
      <c r="YU84" s="43"/>
      <c r="YV84" s="43"/>
      <c r="YW84" s="43"/>
      <c r="YX84" s="43"/>
      <c r="YY84" s="43"/>
      <c r="YZ84" s="43"/>
      <c r="ZA84" s="43"/>
      <c r="ZB84" s="43"/>
      <c r="ZC84" s="43"/>
      <c r="ZD84" s="43"/>
      <c r="ZE84" s="43"/>
      <c r="ZF84" s="43"/>
      <c r="ZG84" s="43"/>
      <c r="ZH84" s="43"/>
      <c r="ZI84" s="43"/>
      <c r="ZJ84" s="43"/>
      <c r="ZK84" s="43"/>
      <c r="ZL84" s="43"/>
      <c r="ZM84" s="43"/>
      <c r="ZN84" s="43"/>
      <c r="ZO84" s="43"/>
      <c r="ZP84" s="43"/>
      <c r="ZQ84" s="43"/>
      <c r="ZR84" s="43"/>
      <c r="ZS84" s="43"/>
      <c r="ZT84" s="43"/>
      <c r="ZU84" s="43"/>
      <c r="ZV84" s="43"/>
      <c r="ZW84" s="44"/>
      <c r="ZX84" s="44"/>
      <c r="ZY84" s="44"/>
      <c r="ZZ84" s="44"/>
      <c r="AAA84" s="44"/>
      <c r="AAB84" s="44"/>
      <c r="AAC84" s="44"/>
      <c r="AAD84" s="44"/>
      <c r="AAE84" s="44"/>
      <c r="AAF84" s="44"/>
      <c r="AAG84" s="43"/>
      <c r="AAH84" s="43"/>
      <c r="AAI84" s="43"/>
      <c r="AAJ84" s="43"/>
      <c r="AAK84" s="43"/>
      <c r="AAL84" s="43"/>
      <c r="AAM84" s="43"/>
      <c r="AAN84" s="43"/>
      <c r="AAO84" s="43"/>
      <c r="AAP84" s="43"/>
      <c r="AAQ84" s="43"/>
      <c r="AAR84" s="43"/>
      <c r="AAS84" s="43"/>
      <c r="AAT84" s="43"/>
      <c r="AAU84" s="43"/>
      <c r="AAV84" s="43"/>
      <c r="AAW84" s="43"/>
      <c r="AAX84" s="43"/>
      <c r="AAY84" s="43"/>
      <c r="AAZ84" s="43"/>
      <c r="ABA84" s="43"/>
      <c r="ABB84" s="43"/>
      <c r="ABC84" s="43"/>
      <c r="ABD84" s="43"/>
      <c r="ABE84" s="43"/>
      <c r="ABF84" s="43"/>
      <c r="ABG84" s="43"/>
      <c r="ABH84" s="43"/>
      <c r="ABI84" s="43"/>
      <c r="ABJ84" s="43"/>
      <c r="ABK84" s="43"/>
      <c r="ABL84" s="43"/>
      <c r="ABM84" s="43"/>
      <c r="ABN84" s="43"/>
      <c r="ABO84" s="43"/>
      <c r="ABP84" s="43"/>
      <c r="ABQ84" s="43"/>
      <c r="ABR84" s="43"/>
      <c r="ABS84" s="43"/>
      <c r="ABT84" s="43"/>
      <c r="ABU84" s="43"/>
      <c r="ABV84" s="43"/>
      <c r="ABW84" s="43"/>
      <c r="ABX84" s="43"/>
      <c r="ABY84" s="43"/>
      <c r="ABZ84" s="43"/>
      <c r="ACA84" s="43"/>
      <c r="ACB84" s="43"/>
      <c r="ACC84" s="43"/>
      <c r="ACD84" s="43"/>
      <c r="ACE84" s="43"/>
      <c r="ACF84" s="43"/>
      <c r="ACG84" s="43"/>
      <c r="ACH84" s="45"/>
    </row>
    <row r="85" spans="1:762" x14ac:dyDescent="0.25">
      <c r="A85" s="46" t="s">
        <v>144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  <c r="BW85" s="47"/>
      <c r="BX85" s="47"/>
      <c r="BY85" s="47"/>
      <c r="BZ85" s="47"/>
      <c r="CA85" s="47"/>
      <c r="CB85" s="47"/>
      <c r="CC85" s="47"/>
      <c r="CD85" s="47"/>
      <c r="CE85" s="47"/>
      <c r="CF85" s="47"/>
      <c r="CG85" s="47"/>
      <c r="CH85" s="47"/>
      <c r="CI85" s="47"/>
      <c r="CJ85" s="47"/>
      <c r="CK85" s="47"/>
      <c r="CL85" s="47"/>
      <c r="CM85" s="47"/>
      <c r="CN85" s="47"/>
      <c r="CO85" s="47"/>
      <c r="CP85" s="47"/>
      <c r="CQ85" s="47"/>
      <c r="CR85" s="47"/>
      <c r="CS85" s="47"/>
      <c r="CT85" s="47"/>
      <c r="CU85" s="47"/>
      <c r="CV85" s="47"/>
      <c r="CW85" s="47"/>
      <c r="CX85" s="47"/>
      <c r="CY85" s="47"/>
      <c r="CZ85" s="47"/>
      <c r="DA85" s="47"/>
      <c r="DB85" s="47"/>
      <c r="DC85" s="47"/>
      <c r="DD85" s="47"/>
      <c r="DE85" s="47"/>
      <c r="DF85" s="47"/>
      <c r="DG85" s="47"/>
      <c r="DH85" s="47"/>
      <c r="DI85" s="47"/>
      <c r="DJ85" s="47"/>
      <c r="DK85" s="47"/>
      <c r="DL85" s="47"/>
      <c r="DM85" s="47"/>
      <c r="DN85" s="47"/>
      <c r="DO85" s="47"/>
      <c r="DP85" s="47"/>
      <c r="DQ85" s="47"/>
      <c r="DR85" s="47"/>
      <c r="DS85" s="47"/>
      <c r="DT85" s="47"/>
      <c r="DU85" s="47"/>
      <c r="DV85" s="47"/>
      <c r="DW85" s="47"/>
      <c r="DX85" s="47"/>
      <c r="DY85" s="47"/>
      <c r="DZ85" s="47"/>
      <c r="EA85" s="47"/>
      <c r="EB85" s="47"/>
      <c r="EC85" s="47"/>
      <c r="ED85" s="47"/>
      <c r="EE85" s="47"/>
      <c r="EF85" s="47"/>
      <c r="EG85" s="47"/>
      <c r="EH85" s="47"/>
      <c r="EI85" s="47"/>
      <c r="EJ85" s="47"/>
      <c r="EK85" s="47"/>
      <c r="EL85" s="47"/>
      <c r="EM85" s="47"/>
      <c r="EN85" s="47"/>
      <c r="EO85" s="47"/>
      <c r="EP85" s="47"/>
      <c r="EQ85" s="47"/>
      <c r="ER85" s="47"/>
      <c r="ES85" s="47"/>
      <c r="ET85" s="47"/>
      <c r="EU85" s="47"/>
      <c r="EV85" s="47"/>
      <c r="EW85" s="47"/>
      <c r="EX85" s="47"/>
      <c r="EY85" s="47"/>
      <c r="EZ85" s="47"/>
      <c r="FA85" s="47"/>
      <c r="FB85" s="47"/>
      <c r="FC85" s="47"/>
      <c r="FD85" s="47"/>
      <c r="FE85" s="47"/>
      <c r="FF85" s="47"/>
      <c r="FG85" s="47"/>
      <c r="FH85" s="47"/>
      <c r="FI85" s="47"/>
      <c r="FJ85" s="47"/>
      <c r="FK85" s="47"/>
      <c r="FL85" s="47"/>
      <c r="FM85" s="47"/>
      <c r="FN85" s="47"/>
      <c r="FO85" s="47"/>
      <c r="FP85" s="47"/>
      <c r="FQ85" s="47"/>
      <c r="FR85" s="47"/>
      <c r="FS85" s="47"/>
      <c r="FT85" s="47"/>
      <c r="FU85" s="47"/>
      <c r="FV85" s="47"/>
      <c r="FW85" s="47"/>
      <c r="FX85" s="47"/>
      <c r="FY85" s="47"/>
      <c r="FZ85" s="47"/>
      <c r="GA85" s="47"/>
      <c r="GB85" s="47"/>
      <c r="GC85" s="47"/>
      <c r="GD85" s="47"/>
      <c r="GE85" s="47"/>
      <c r="GF85" s="47"/>
      <c r="GG85" s="47"/>
      <c r="GH85" s="47"/>
      <c r="GI85" s="47"/>
      <c r="GJ85" s="47"/>
      <c r="GK85" s="47"/>
      <c r="GL85" s="47"/>
      <c r="GM85" s="47"/>
      <c r="GN85" s="47"/>
      <c r="GO85" s="47"/>
      <c r="GP85" s="47"/>
      <c r="GQ85" s="47"/>
      <c r="GR85" s="47"/>
      <c r="GS85" s="47"/>
      <c r="GT85" s="47"/>
      <c r="GU85" s="47"/>
      <c r="GV85" s="47"/>
      <c r="GW85" s="47"/>
      <c r="GX85" s="47"/>
      <c r="GY85" s="47"/>
      <c r="GZ85" s="47"/>
      <c r="HA85" s="47"/>
      <c r="HB85" s="47"/>
      <c r="HC85" s="47"/>
      <c r="HD85" s="47"/>
      <c r="HE85" s="47"/>
      <c r="HF85" s="47"/>
      <c r="HG85" s="47"/>
      <c r="HH85" s="47"/>
      <c r="HI85" s="47"/>
      <c r="HJ85" s="47"/>
      <c r="HK85" s="47"/>
      <c r="HL85" s="47"/>
      <c r="HM85" s="47"/>
      <c r="HN85" s="47"/>
      <c r="HO85" s="47"/>
      <c r="HP85" s="47"/>
      <c r="HQ85" s="47"/>
      <c r="HR85" s="47"/>
      <c r="HS85" s="47"/>
      <c r="HT85" s="47"/>
      <c r="HU85" s="47"/>
      <c r="HV85" s="47"/>
      <c r="HW85" s="47"/>
      <c r="HX85" s="47"/>
      <c r="HY85" s="47"/>
      <c r="HZ85" s="47"/>
      <c r="IA85" s="47"/>
      <c r="IB85" s="47"/>
      <c r="IC85" s="47"/>
      <c r="ID85" s="47"/>
      <c r="IE85" s="47"/>
      <c r="IF85" s="47"/>
      <c r="IG85" s="47"/>
      <c r="IH85" s="47"/>
      <c r="II85" s="47"/>
      <c r="IJ85" s="47"/>
      <c r="IK85" s="47"/>
      <c r="IL85" s="47"/>
      <c r="IM85" s="47"/>
      <c r="IN85" s="47"/>
      <c r="IO85" s="47"/>
      <c r="IP85" s="47"/>
      <c r="IQ85" s="47"/>
      <c r="IR85" s="47"/>
      <c r="IS85" s="47"/>
      <c r="IT85" s="47"/>
      <c r="IU85" s="47"/>
      <c r="IV85" s="47"/>
      <c r="IW85" s="47"/>
      <c r="IX85" s="47"/>
      <c r="IY85" s="47"/>
      <c r="IZ85" s="47"/>
      <c r="JA85" s="47"/>
      <c r="JB85" s="47"/>
      <c r="JC85" s="47"/>
      <c r="JD85" s="47"/>
      <c r="JE85" s="47"/>
      <c r="JF85" s="47"/>
      <c r="JG85" s="47"/>
      <c r="JH85" s="47"/>
      <c r="JI85" s="47"/>
      <c r="JJ85" s="47"/>
      <c r="JK85" s="47"/>
      <c r="JL85" s="47"/>
      <c r="JM85" s="47"/>
      <c r="JN85" s="47"/>
      <c r="JO85" s="47"/>
      <c r="JP85" s="47"/>
      <c r="JQ85" s="47"/>
      <c r="JR85" s="47"/>
      <c r="JS85" s="47"/>
      <c r="JT85" s="47"/>
      <c r="JU85" s="47"/>
      <c r="JV85" s="47"/>
      <c r="JW85" s="47"/>
      <c r="JX85" s="47"/>
      <c r="JY85" s="47"/>
      <c r="JZ85" s="47"/>
      <c r="KA85" s="47"/>
      <c r="KB85" s="47"/>
      <c r="KC85" s="47"/>
      <c r="KD85" s="47"/>
      <c r="KE85" s="47"/>
      <c r="KF85" s="47"/>
      <c r="KG85" s="47"/>
      <c r="KH85" s="47"/>
      <c r="KI85" s="47"/>
      <c r="KJ85" s="47"/>
      <c r="KK85" s="47"/>
      <c r="KL85" s="47"/>
      <c r="KM85" s="47"/>
      <c r="KN85" s="47"/>
      <c r="KO85" s="47"/>
      <c r="KP85" s="47"/>
      <c r="KQ85" s="47"/>
      <c r="KR85" s="47"/>
      <c r="KS85" s="47"/>
      <c r="KT85" s="47"/>
      <c r="KU85" s="47"/>
      <c r="KV85" s="47"/>
      <c r="KW85" s="47"/>
      <c r="KX85" s="47"/>
      <c r="KY85" s="47"/>
      <c r="KZ85" s="47"/>
      <c r="LA85" s="47"/>
      <c r="LB85" s="47"/>
      <c r="LC85" s="47"/>
      <c r="LD85" s="47"/>
      <c r="LE85" s="47"/>
      <c r="LF85" s="47"/>
      <c r="LG85" s="47"/>
      <c r="LH85" s="47"/>
      <c r="LI85" s="47"/>
      <c r="LJ85" s="47"/>
      <c r="LK85" s="47"/>
      <c r="LL85" s="47"/>
      <c r="LM85" s="47"/>
      <c r="LN85" s="47"/>
      <c r="LO85" s="47"/>
      <c r="LP85" s="47"/>
      <c r="LQ85" s="47"/>
      <c r="LR85" s="47"/>
      <c r="LS85" s="47"/>
      <c r="LT85" s="47"/>
      <c r="LU85" s="47"/>
      <c r="LV85" s="47"/>
      <c r="LW85" s="47"/>
      <c r="LX85" s="47"/>
      <c r="LY85" s="47"/>
      <c r="LZ85" s="47"/>
      <c r="MA85" s="47"/>
      <c r="MB85" s="47"/>
      <c r="MC85" s="47"/>
      <c r="MD85" s="47"/>
      <c r="ME85" s="47"/>
      <c r="MF85" s="47"/>
      <c r="MG85" s="47"/>
      <c r="MH85" s="47"/>
      <c r="MI85" s="47"/>
      <c r="MJ85" s="47"/>
      <c r="MK85" s="47"/>
      <c r="ML85" s="47"/>
      <c r="MM85" s="47"/>
      <c r="MN85" s="47"/>
      <c r="MO85" s="47"/>
      <c r="MP85" s="47"/>
      <c r="MQ85" s="47"/>
      <c r="MR85" s="47"/>
      <c r="MS85" s="47"/>
      <c r="MT85" s="47"/>
      <c r="MU85" s="47"/>
      <c r="MV85" s="47"/>
      <c r="MW85" s="47"/>
      <c r="MX85" s="47"/>
      <c r="MY85" s="47"/>
      <c r="MZ85" s="47"/>
      <c r="NA85" s="47"/>
      <c r="NB85" s="47"/>
      <c r="NC85" s="47"/>
      <c r="ND85" s="47"/>
      <c r="NE85" s="47"/>
      <c r="NF85" s="47"/>
      <c r="NG85" s="47"/>
      <c r="NH85" s="47"/>
      <c r="NI85" s="47"/>
      <c r="NJ85" s="44"/>
      <c r="NK85" s="44"/>
      <c r="NL85" s="44"/>
      <c r="NM85" s="44"/>
      <c r="NN85" s="44"/>
      <c r="NO85" s="47"/>
      <c r="NP85" s="47"/>
      <c r="NQ85" s="47"/>
      <c r="NR85" s="47"/>
      <c r="NS85" s="47"/>
      <c r="NT85" s="47"/>
      <c r="NU85" s="47"/>
      <c r="NV85" s="47"/>
      <c r="NW85" s="47"/>
      <c r="NX85" s="47"/>
      <c r="NY85" s="47"/>
      <c r="NZ85" s="47"/>
      <c r="OA85" s="47"/>
      <c r="OB85" s="47"/>
      <c r="OC85" s="47"/>
      <c r="OD85" s="47"/>
      <c r="OE85" s="47"/>
      <c r="OF85" s="47"/>
      <c r="OG85" s="47"/>
      <c r="OH85" s="47"/>
      <c r="OI85" s="47"/>
      <c r="OJ85" s="47"/>
      <c r="OK85" s="47"/>
      <c r="OL85" s="47"/>
      <c r="OM85" s="47"/>
      <c r="ON85" s="47"/>
      <c r="OO85" s="47"/>
      <c r="OP85" s="47"/>
      <c r="OQ85" s="47"/>
      <c r="OR85" s="47"/>
      <c r="OS85" s="47"/>
      <c r="OT85" s="47"/>
      <c r="OU85" s="47"/>
      <c r="OV85" s="47"/>
      <c r="OW85" s="47"/>
      <c r="OX85" s="47"/>
      <c r="OY85" s="47"/>
      <c r="OZ85" s="47"/>
      <c r="PA85" s="47"/>
      <c r="PB85" s="47"/>
      <c r="PC85" s="47"/>
      <c r="PD85" s="47"/>
      <c r="PE85" s="47"/>
      <c r="PF85" s="47"/>
      <c r="PG85" s="47"/>
      <c r="PH85" s="47"/>
      <c r="PI85" s="47"/>
      <c r="PJ85" s="47"/>
      <c r="PK85" s="47"/>
      <c r="PL85" s="47"/>
      <c r="PM85" s="47"/>
      <c r="PN85" s="47"/>
      <c r="PO85" s="47"/>
      <c r="PP85" s="47"/>
      <c r="PQ85" s="47"/>
      <c r="PR85" s="47"/>
      <c r="PS85" s="47"/>
      <c r="PT85" s="47"/>
      <c r="PU85" s="47"/>
      <c r="PV85" s="47"/>
      <c r="PW85" s="47"/>
      <c r="PX85" s="47"/>
      <c r="PY85" s="47"/>
      <c r="PZ85" s="47"/>
      <c r="QA85" s="47"/>
      <c r="QB85" s="47"/>
      <c r="QC85" s="47"/>
      <c r="QD85" s="47"/>
      <c r="QE85" s="47"/>
      <c r="QF85" s="47"/>
      <c r="QG85" s="47"/>
      <c r="QH85" s="47"/>
      <c r="QI85" s="47"/>
      <c r="QJ85" s="47"/>
      <c r="QK85" s="47"/>
      <c r="QL85" s="47"/>
      <c r="QM85" s="47"/>
      <c r="QN85" s="47"/>
      <c r="QO85" s="47"/>
      <c r="QP85" s="47"/>
      <c r="QQ85" s="47"/>
      <c r="QR85" s="47"/>
      <c r="QS85" s="47"/>
      <c r="QT85" s="47"/>
      <c r="QU85" s="47"/>
      <c r="QV85" s="47"/>
      <c r="QW85" s="47"/>
      <c r="QX85" s="47"/>
      <c r="QY85" s="47"/>
      <c r="QZ85" s="47"/>
      <c r="RA85" s="47"/>
      <c r="RB85" s="47"/>
      <c r="RC85" s="47"/>
      <c r="RD85" s="47"/>
      <c r="RE85" s="47"/>
      <c r="RF85" s="47"/>
      <c r="RG85" s="47"/>
      <c r="RH85" s="47"/>
      <c r="RI85" s="47"/>
      <c r="RJ85" s="47"/>
      <c r="RK85" s="47"/>
      <c r="RL85" s="47"/>
      <c r="RM85" s="47"/>
      <c r="RN85" s="47"/>
      <c r="RO85" s="47"/>
      <c r="RP85" s="47"/>
      <c r="RQ85" s="47"/>
      <c r="RR85" s="47"/>
      <c r="RS85" s="47"/>
      <c r="RT85" s="47"/>
      <c r="RU85" s="47"/>
      <c r="RV85" s="47"/>
      <c r="RW85" s="47"/>
      <c r="RX85" s="47"/>
      <c r="RY85" s="47"/>
      <c r="RZ85" s="47"/>
      <c r="SA85" s="47"/>
      <c r="SB85" s="47"/>
      <c r="SC85" s="47"/>
      <c r="SD85" s="47"/>
      <c r="SE85" s="47"/>
      <c r="SF85" s="47"/>
      <c r="SG85" s="47"/>
      <c r="SH85" s="47"/>
      <c r="SI85" s="47"/>
      <c r="SJ85" s="47"/>
      <c r="SK85" s="47"/>
      <c r="SL85" s="47"/>
      <c r="SM85" s="47"/>
      <c r="SN85" s="47"/>
      <c r="SO85" s="47"/>
      <c r="SP85" s="47"/>
      <c r="SQ85" s="47"/>
      <c r="SR85" s="47"/>
      <c r="SS85" s="47"/>
      <c r="ST85" s="47"/>
      <c r="SU85" s="47"/>
      <c r="SV85" s="47"/>
      <c r="SW85" s="47"/>
      <c r="SX85" s="47"/>
      <c r="SY85" s="47"/>
      <c r="SZ85" s="47"/>
      <c r="TA85" s="47"/>
      <c r="TB85" s="47"/>
      <c r="TC85" s="47"/>
      <c r="TD85" s="47"/>
      <c r="TE85" s="47"/>
      <c r="TF85" s="47"/>
      <c r="TG85" s="47"/>
      <c r="TH85" s="47"/>
      <c r="TI85" s="47"/>
      <c r="TJ85" s="47"/>
      <c r="TK85" s="47"/>
      <c r="TL85" s="47"/>
      <c r="TM85" s="47"/>
      <c r="TN85" s="47"/>
      <c r="TO85" s="47"/>
      <c r="TP85" s="47"/>
      <c r="TQ85" s="47"/>
      <c r="TR85" s="47"/>
      <c r="TS85" s="47"/>
      <c r="TT85" s="47"/>
      <c r="TU85" s="47"/>
      <c r="TV85" s="47"/>
      <c r="TW85" s="47"/>
      <c r="TX85" s="47"/>
      <c r="TY85" s="47"/>
      <c r="TZ85" s="47"/>
      <c r="UA85" s="47"/>
      <c r="UB85" s="47"/>
      <c r="UC85" s="47"/>
      <c r="UD85" s="47"/>
      <c r="UE85" s="47"/>
      <c r="UF85" s="47"/>
      <c r="UG85" s="47"/>
      <c r="UH85" s="47"/>
      <c r="UI85" s="47"/>
      <c r="UJ85" s="47"/>
      <c r="UK85" s="47"/>
      <c r="UL85" s="47"/>
      <c r="UM85" s="47"/>
      <c r="UN85" s="47"/>
      <c r="UO85" s="47"/>
      <c r="UP85" s="47"/>
      <c r="UQ85" s="47"/>
      <c r="UR85" s="47"/>
      <c r="US85" s="47"/>
      <c r="UT85" s="47"/>
      <c r="UU85" s="47"/>
      <c r="UV85" s="47"/>
      <c r="UW85" s="47"/>
      <c r="UX85" s="47"/>
      <c r="UY85" s="47"/>
      <c r="UZ85" s="47"/>
      <c r="VA85" s="47"/>
      <c r="VB85" s="47"/>
      <c r="VC85" s="47"/>
      <c r="VD85" s="47"/>
      <c r="VE85" s="47"/>
      <c r="VF85" s="47"/>
      <c r="VG85" s="47"/>
      <c r="VH85" s="47"/>
      <c r="VI85" s="47"/>
      <c r="VJ85" s="47"/>
      <c r="VK85" s="47"/>
      <c r="VL85" s="47"/>
      <c r="VM85" s="47"/>
      <c r="VN85" s="47"/>
      <c r="VO85" s="47"/>
      <c r="VP85" s="47"/>
      <c r="VQ85" s="47"/>
      <c r="VR85" s="47"/>
      <c r="VS85" s="47"/>
      <c r="VT85" s="47"/>
      <c r="VU85" s="47"/>
      <c r="VV85" s="47"/>
      <c r="VW85" s="47"/>
      <c r="VX85" s="47"/>
      <c r="VY85" s="47"/>
      <c r="VZ85" s="47"/>
      <c r="WA85" s="47"/>
      <c r="WB85" s="47"/>
      <c r="WC85" s="47"/>
      <c r="WD85" s="47"/>
      <c r="WE85" s="47"/>
      <c r="WF85" s="47"/>
      <c r="WG85" s="47"/>
      <c r="WH85" s="47"/>
      <c r="WI85" s="47"/>
      <c r="WJ85" s="47"/>
      <c r="WK85" s="47"/>
      <c r="WL85" s="47"/>
      <c r="WM85" s="47"/>
      <c r="WN85" s="47"/>
      <c r="WO85" s="47"/>
      <c r="WP85" s="47"/>
      <c r="WQ85" s="47"/>
      <c r="WR85" s="47"/>
      <c r="WS85" s="47"/>
      <c r="WT85" s="47"/>
      <c r="WU85" s="47"/>
      <c r="WV85" s="47"/>
      <c r="WW85" s="47"/>
      <c r="WX85" s="47"/>
      <c r="WY85" s="47"/>
      <c r="WZ85" s="47"/>
      <c r="XA85" s="47"/>
      <c r="XB85" s="47"/>
      <c r="XC85" s="47"/>
      <c r="XD85" s="47"/>
      <c r="XE85" s="47"/>
      <c r="XF85" s="47"/>
      <c r="XG85" s="47"/>
      <c r="XH85" s="47"/>
      <c r="XI85" s="47"/>
      <c r="XJ85" s="47"/>
      <c r="XK85" s="47"/>
      <c r="XL85" s="47"/>
      <c r="XM85" s="47"/>
      <c r="XN85" s="47"/>
      <c r="XO85" s="47"/>
      <c r="XP85" s="47"/>
      <c r="XQ85" s="47"/>
      <c r="XR85" s="47"/>
      <c r="XS85" s="47"/>
      <c r="XT85" s="47"/>
      <c r="XU85" s="47"/>
      <c r="XV85" s="47"/>
      <c r="XW85" s="47"/>
      <c r="XX85" s="47"/>
      <c r="XY85" s="47"/>
      <c r="XZ85" s="47"/>
      <c r="YA85" s="44"/>
      <c r="YB85" s="44"/>
      <c r="YC85" s="44"/>
      <c r="YD85" s="44"/>
      <c r="YE85" s="44"/>
      <c r="YF85" s="47"/>
      <c r="YG85" s="47"/>
      <c r="YH85" s="47"/>
      <c r="YI85" s="47"/>
      <c r="YJ85" s="47"/>
      <c r="YK85" s="47"/>
      <c r="YL85" s="47"/>
      <c r="YM85" s="47"/>
      <c r="YN85" s="47"/>
      <c r="YO85" s="47"/>
      <c r="YP85" s="47"/>
      <c r="YQ85" s="47"/>
      <c r="YR85" s="47"/>
      <c r="YS85" s="47"/>
      <c r="YT85" s="47"/>
      <c r="YU85" s="47"/>
      <c r="YV85" s="47"/>
      <c r="YW85" s="47"/>
      <c r="YX85" s="47"/>
      <c r="YY85" s="47"/>
      <c r="YZ85" s="47"/>
      <c r="ZA85" s="47"/>
      <c r="ZB85" s="47"/>
      <c r="ZC85" s="47"/>
      <c r="ZD85" s="47"/>
      <c r="ZE85" s="47"/>
      <c r="ZF85" s="47"/>
      <c r="ZG85" s="47"/>
      <c r="ZH85" s="47"/>
      <c r="ZI85" s="47"/>
      <c r="ZJ85" s="47"/>
      <c r="ZK85" s="47"/>
      <c r="ZL85" s="47"/>
      <c r="ZM85" s="47"/>
      <c r="ZN85" s="47"/>
      <c r="ZO85" s="47"/>
      <c r="ZP85" s="47"/>
      <c r="ZQ85" s="47"/>
      <c r="ZR85" s="47"/>
      <c r="ZS85" s="47"/>
      <c r="ZT85" s="47"/>
      <c r="ZU85" s="47"/>
      <c r="ZV85" s="47"/>
      <c r="ZW85" s="44"/>
      <c r="ZX85" s="44"/>
      <c r="ZY85" s="44"/>
      <c r="ZZ85" s="44"/>
      <c r="AAA85" s="44"/>
      <c r="AAB85" s="44"/>
      <c r="AAC85" s="44"/>
      <c r="AAD85" s="44"/>
      <c r="AAE85" s="44"/>
      <c r="AAF85" s="44"/>
      <c r="AAG85" s="47"/>
      <c r="AAH85" s="47"/>
      <c r="AAI85" s="47"/>
      <c r="AAJ85" s="47"/>
      <c r="AAK85" s="47"/>
      <c r="AAL85" s="47"/>
      <c r="AAM85" s="47"/>
      <c r="AAN85" s="47"/>
      <c r="AAO85" s="47"/>
      <c r="AAP85" s="47"/>
      <c r="AAQ85" s="47"/>
      <c r="AAR85" s="47"/>
      <c r="AAS85" s="47"/>
      <c r="AAT85" s="47"/>
      <c r="AAU85" s="47"/>
      <c r="AAV85" s="47"/>
      <c r="AAW85" s="47"/>
      <c r="AAX85" s="47"/>
      <c r="AAY85" s="47"/>
      <c r="AAZ85" s="47"/>
      <c r="ABA85" s="47"/>
      <c r="ABB85" s="47"/>
      <c r="ABC85" s="47"/>
      <c r="ABD85" s="47"/>
      <c r="ABE85" s="47"/>
      <c r="ABF85" s="47"/>
      <c r="ABG85" s="47"/>
      <c r="ABH85" s="47"/>
      <c r="ABI85" s="47"/>
      <c r="ABJ85" s="47"/>
      <c r="ABK85" s="47"/>
      <c r="ABL85" s="47"/>
      <c r="ABM85" s="47"/>
      <c r="ABN85" s="47"/>
      <c r="ABO85" s="47"/>
      <c r="ABP85" s="47"/>
      <c r="ABQ85" s="47"/>
      <c r="ABR85" s="47"/>
      <c r="ABS85" s="47"/>
      <c r="ABT85" s="47"/>
      <c r="ABU85" s="47"/>
      <c r="ABV85" s="47"/>
      <c r="ABW85" s="47"/>
      <c r="ABX85" s="47"/>
      <c r="ABY85" s="47"/>
      <c r="ABZ85" s="47"/>
      <c r="ACA85" s="47"/>
      <c r="ACB85" s="47"/>
      <c r="ACC85" s="47"/>
      <c r="ACD85" s="47"/>
      <c r="ACE85" s="47"/>
      <c r="ACF85" s="47"/>
      <c r="ACG85" s="47"/>
      <c r="ACH85" s="48"/>
    </row>
    <row r="86" spans="1:762" x14ac:dyDescent="0.25">
      <c r="A86" s="42" t="s">
        <v>145</v>
      </c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  <c r="EB86" s="43"/>
      <c r="EC86" s="43"/>
      <c r="ED86" s="43"/>
      <c r="EE86" s="43"/>
      <c r="EF86" s="43"/>
      <c r="EG86" s="43"/>
      <c r="EH86" s="43"/>
      <c r="EI86" s="43"/>
      <c r="EJ86" s="43"/>
      <c r="EK86" s="43"/>
      <c r="EL86" s="43"/>
      <c r="EM86" s="43"/>
      <c r="EN86" s="43"/>
      <c r="EO86" s="43"/>
      <c r="EP86" s="43"/>
      <c r="EQ86" s="43"/>
      <c r="ER86" s="43"/>
      <c r="ES86" s="43"/>
      <c r="ET86" s="43"/>
      <c r="EU86" s="43"/>
      <c r="EV86" s="43"/>
      <c r="EW86" s="43"/>
      <c r="EX86" s="43"/>
      <c r="EY86" s="43"/>
      <c r="EZ86" s="43"/>
      <c r="FA86" s="43"/>
      <c r="FB86" s="43"/>
      <c r="FC86" s="43"/>
      <c r="FD86" s="43"/>
      <c r="FE86" s="43"/>
      <c r="FF86" s="43"/>
      <c r="FG86" s="43"/>
      <c r="FH86" s="43"/>
      <c r="FI86" s="43"/>
      <c r="FJ86" s="43"/>
      <c r="FK86" s="43"/>
      <c r="FL86" s="43"/>
      <c r="FM86" s="43"/>
      <c r="FN86" s="43"/>
      <c r="FO86" s="43"/>
      <c r="FP86" s="43"/>
      <c r="FQ86" s="43"/>
      <c r="FR86" s="43"/>
      <c r="FS86" s="43"/>
      <c r="FT86" s="43"/>
      <c r="FU86" s="43"/>
      <c r="FV86" s="43"/>
      <c r="FW86" s="43"/>
      <c r="FX86" s="43"/>
      <c r="FY86" s="43"/>
      <c r="FZ86" s="43"/>
      <c r="GA86" s="43"/>
      <c r="GB86" s="43"/>
      <c r="GC86" s="43"/>
      <c r="GD86" s="43"/>
      <c r="GE86" s="43"/>
      <c r="GF86" s="43"/>
      <c r="GG86" s="43"/>
      <c r="GH86" s="43"/>
      <c r="GI86" s="43"/>
      <c r="GJ86" s="43"/>
      <c r="GK86" s="43"/>
      <c r="GL86" s="43"/>
      <c r="GM86" s="43"/>
      <c r="GN86" s="43"/>
      <c r="GO86" s="43"/>
      <c r="GP86" s="43"/>
      <c r="GQ86" s="43"/>
      <c r="GR86" s="43"/>
      <c r="GS86" s="43"/>
      <c r="GT86" s="43"/>
      <c r="GU86" s="43"/>
      <c r="GV86" s="43"/>
      <c r="GW86" s="43"/>
      <c r="GX86" s="43"/>
      <c r="GY86" s="43"/>
      <c r="GZ86" s="43"/>
      <c r="HA86" s="43"/>
      <c r="HB86" s="43"/>
      <c r="HC86" s="43"/>
      <c r="HD86" s="43"/>
      <c r="HE86" s="43"/>
      <c r="HF86" s="43"/>
      <c r="HG86" s="43"/>
      <c r="HH86" s="43"/>
      <c r="HI86" s="43"/>
      <c r="HJ86" s="43"/>
      <c r="HK86" s="43"/>
      <c r="HL86" s="43"/>
      <c r="HM86" s="43"/>
      <c r="HN86" s="43"/>
      <c r="HO86" s="43"/>
      <c r="HP86" s="43"/>
      <c r="HQ86" s="43"/>
      <c r="HR86" s="43"/>
      <c r="HS86" s="43"/>
      <c r="HT86" s="43"/>
      <c r="HU86" s="43"/>
      <c r="HV86" s="43"/>
      <c r="HW86" s="43"/>
      <c r="HX86" s="43"/>
      <c r="HY86" s="43"/>
      <c r="HZ86" s="43"/>
      <c r="IA86" s="43"/>
      <c r="IB86" s="43"/>
      <c r="IC86" s="43"/>
      <c r="ID86" s="43"/>
      <c r="IE86" s="43"/>
      <c r="IF86" s="43"/>
      <c r="IG86" s="43"/>
      <c r="IH86" s="43"/>
      <c r="II86" s="43"/>
      <c r="IJ86" s="43"/>
      <c r="IK86" s="43"/>
      <c r="IL86" s="43"/>
      <c r="IM86" s="43"/>
      <c r="IN86" s="43"/>
      <c r="IO86" s="43"/>
      <c r="IP86" s="43"/>
      <c r="IQ86" s="43"/>
      <c r="IR86" s="43"/>
      <c r="IS86" s="43"/>
      <c r="IT86" s="43"/>
      <c r="IU86" s="43"/>
      <c r="IV86" s="43"/>
      <c r="IW86" s="43"/>
      <c r="IX86" s="43"/>
      <c r="IY86" s="43"/>
      <c r="IZ86" s="43"/>
      <c r="JA86" s="43"/>
      <c r="JB86" s="43"/>
      <c r="JC86" s="43"/>
      <c r="JD86" s="43"/>
      <c r="JE86" s="43"/>
      <c r="JF86" s="43"/>
      <c r="JG86" s="43"/>
      <c r="JH86" s="43"/>
      <c r="JI86" s="43"/>
      <c r="JJ86" s="43"/>
      <c r="JK86" s="43"/>
      <c r="JL86" s="43"/>
      <c r="JM86" s="43"/>
      <c r="JN86" s="43"/>
      <c r="JO86" s="43"/>
      <c r="JP86" s="43"/>
      <c r="JQ86" s="43"/>
      <c r="JR86" s="43"/>
      <c r="JS86" s="43"/>
      <c r="JT86" s="43"/>
      <c r="JU86" s="43"/>
      <c r="JV86" s="43"/>
      <c r="JW86" s="43"/>
      <c r="JX86" s="43"/>
      <c r="JY86" s="43"/>
      <c r="JZ86" s="43"/>
      <c r="KA86" s="43"/>
      <c r="KB86" s="43"/>
      <c r="KC86" s="43"/>
      <c r="KD86" s="43"/>
      <c r="KE86" s="43"/>
      <c r="KF86" s="43"/>
      <c r="KG86" s="43"/>
      <c r="KH86" s="43"/>
      <c r="KI86" s="43"/>
      <c r="KJ86" s="43"/>
      <c r="KK86" s="43"/>
      <c r="KL86" s="43"/>
      <c r="KM86" s="43"/>
      <c r="KN86" s="43"/>
      <c r="KO86" s="43"/>
      <c r="KP86" s="43"/>
      <c r="KQ86" s="43"/>
      <c r="KR86" s="43"/>
      <c r="KS86" s="43"/>
      <c r="KT86" s="43"/>
      <c r="KU86" s="43"/>
      <c r="KV86" s="43"/>
      <c r="KW86" s="43"/>
      <c r="KX86" s="43"/>
      <c r="KY86" s="43"/>
      <c r="KZ86" s="43"/>
      <c r="LA86" s="43"/>
      <c r="LB86" s="43"/>
      <c r="LC86" s="43"/>
      <c r="LD86" s="43"/>
      <c r="LE86" s="43"/>
      <c r="LF86" s="43"/>
      <c r="LG86" s="43"/>
      <c r="LH86" s="43"/>
      <c r="LI86" s="43"/>
      <c r="LJ86" s="43"/>
      <c r="LK86" s="43"/>
      <c r="LL86" s="43"/>
      <c r="LM86" s="43"/>
      <c r="LN86" s="43"/>
      <c r="LO86" s="43"/>
      <c r="LP86" s="43"/>
      <c r="LQ86" s="43"/>
      <c r="LR86" s="43"/>
      <c r="LS86" s="43"/>
      <c r="LT86" s="43"/>
      <c r="LU86" s="43"/>
      <c r="LV86" s="43"/>
      <c r="LW86" s="43"/>
      <c r="LX86" s="43"/>
      <c r="LY86" s="43"/>
      <c r="LZ86" s="43"/>
      <c r="MA86" s="43"/>
      <c r="MB86" s="43"/>
      <c r="MC86" s="43"/>
      <c r="MD86" s="43"/>
      <c r="ME86" s="43"/>
      <c r="MF86" s="43"/>
      <c r="MG86" s="43"/>
      <c r="MH86" s="43"/>
      <c r="MI86" s="43"/>
      <c r="MJ86" s="43"/>
      <c r="MK86" s="43"/>
      <c r="ML86" s="43"/>
      <c r="MM86" s="43"/>
      <c r="MN86" s="43"/>
      <c r="MO86" s="43"/>
      <c r="MP86" s="43"/>
      <c r="MQ86" s="43"/>
      <c r="MR86" s="43"/>
      <c r="MS86" s="43"/>
      <c r="MT86" s="43"/>
      <c r="MU86" s="43"/>
      <c r="MV86" s="43"/>
      <c r="MW86" s="43"/>
      <c r="MX86" s="43"/>
      <c r="MY86" s="43"/>
      <c r="MZ86" s="43"/>
      <c r="NA86" s="43"/>
      <c r="NB86" s="43"/>
      <c r="NC86" s="43"/>
      <c r="ND86" s="43"/>
      <c r="NE86" s="43"/>
      <c r="NF86" s="43"/>
      <c r="NG86" s="43"/>
      <c r="NH86" s="43"/>
      <c r="NI86" s="43"/>
      <c r="NJ86" s="44"/>
      <c r="NK86" s="44"/>
      <c r="NL86" s="44"/>
      <c r="NM86" s="44"/>
      <c r="NN86" s="44"/>
      <c r="NO86" s="43"/>
      <c r="NP86" s="43"/>
      <c r="NQ86" s="43"/>
      <c r="NR86" s="43"/>
      <c r="NS86" s="43"/>
      <c r="NT86" s="43"/>
      <c r="NU86" s="43"/>
      <c r="NV86" s="43"/>
      <c r="NW86" s="43"/>
      <c r="NX86" s="43"/>
      <c r="NY86" s="43"/>
      <c r="NZ86" s="43"/>
      <c r="OA86" s="43"/>
      <c r="OB86" s="43"/>
      <c r="OC86" s="43"/>
      <c r="OD86" s="43"/>
      <c r="OE86" s="43"/>
      <c r="OF86" s="43"/>
      <c r="OG86" s="43"/>
      <c r="OH86" s="43"/>
      <c r="OI86" s="43"/>
      <c r="OJ86" s="43"/>
      <c r="OK86" s="43"/>
      <c r="OL86" s="43"/>
      <c r="OM86" s="43"/>
      <c r="ON86" s="43"/>
      <c r="OO86" s="43"/>
      <c r="OP86" s="43"/>
      <c r="OQ86" s="43"/>
      <c r="OR86" s="43"/>
      <c r="OS86" s="43"/>
      <c r="OT86" s="43"/>
      <c r="OU86" s="43"/>
      <c r="OV86" s="43"/>
      <c r="OW86" s="43"/>
      <c r="OX86" s="43"/>
      <c r="OY86" s="43"/>
      <c r="OZ86" s="43"/>
      <c r="PA86" s="43"/>
      <c r="PB86" s="43"/>
      <c r="PC86" s="43"/>
      <c r="PD86" s="43"/>
      <c r="PE86" s="43"/>
      <c r="PF86" s="43"/>
      <c r="PG86" s="43"/>
      <c r="PH86" s="43"/>
      <c r="PI86" s="43"/>
      <c r="PJ86" s="43"/>
      <c r="PK86" s="43"/>
      <c r="PL86" s="43"/>
      <c r="PM86" s="43"/>
      <c r="PN86" s="43"/>
      <c r="PO86" s="43"/>
      <c r="PP86" s="43"/>
      <c r="PQ86" s="43"/>
      <c r="PR86" s="43"/>
      <c r="PS86" s="43"/>
      <c r="PT86" s="43"/>
      <c r="PU86" s="43"/>
      <c r="PV86" s="43"/>
      <c r="PW86" s="43"/>
      <c r="PX86" s="43"/>
      <c r="PY86" s="43"/>
      <c r="PZ86" s="43"/>
      <c r="QA86" s="43"/>
      <c r="QB86" s="43"/>
      <c r="QC86" s="43"/>
      <c r="QD86" s="43"/>
      <c r="QE86" s="43"/>
      <c r="QF86" s="43"/>
      <c r="QG86" s="43"/>
      <c r="QH86" s="43"/>
      <c r="QI86" s="43"/>
      <c r="QJ86" s="43"/>
      <c r="QK86" s="43"/>
      <c r="QL86" s="43"/>
      <c r="QM86" s="43"/>
      <c r="QN86" s="43"/>
      <c r="QO86" s="43"/>
      <c r="QP86" s="43"/>
      <c r="QQ86" s="43"/>
      <c r="QR86" s="43"/>
      <c r="QS86" s="43"/>
      <c r="QT86" s="43"/>
      <c r="QU86" s="43"/>
      <c r="QV86" s="43"/>
      <c r="QW86" s="43"/>
      <c r="QX86" s="43"/>
      <c r="QY86" s="43"/>
      <c r="QZ86" s="43"/>
      <c r="RA86" s="43"/>
      <c r="RB86" s="43"/>
      <c r="RC86" s="43"/>
      <c r="RD86" s="43"/>
      <c r="RE86" s="43"/>
      <c r="RF86" s="43"/>
      <c r="RG86" s="43"/>
      <c r="RH86" s="43"/>
      <c r="RI86" s="43"/>
      <c r="RJ86" s="43"/>
      <c r="RK86" s="43"/>
      <c r="RL86" s="43"/>
      <c r="RM86" s="43"/>
      <c r="RN86" s="43"/>
      <c r="RO86" s="43"/>
      <c r="RP86" s="43"/>
      <c r="RQ86" s="43"/>
      <c r="RR86" s="43"/>
      <c r="RS86" s="43"/>
      <c r="RT86" s="43"/>
      <c r="RU86" s="43"/>
      <c r="RV86" s="43"/>
      <c r="RW86" s="43"/>
      <c r="RX86" s="43"/>
      <c r="RY86" s="43"/>
      <c r="RZ86" s="43"/>
      <c r="SA86" s="43"/>
      <c r="SB86" s="43"/>
      <c r="SC86" s="43"/>
      <c r="SD86" s="43"/>
      <c r="SE86" s="43"/>
      <c r="SF86" s="43"/>
      <c r="SG86" s="43"/>
      <c r="SH86" s="43"/>
      <c r="SI86" s="43"/>
      <c r="SJ86" s="43"/>
      <c r="SK86" s="43"/>
      <c r="SL86" s="43"/>
      <c r="SM86" s="43"/>
      <c r="SN86" s="43"/>
      <c r="SO86" s="43"/>
      <c r="SP86" s="43"/>
      <c r="SQ86" s="43"/>
      <c r="SR86" s="43"/>
      <c r="SS86" s="43"/>
      <c r="ST86" s="43"/>
      <c r="SU86" s="43"/>
      <c r="SV86" s="43"/>
      <c r="SW86" s="43"/>
      <c r="SX86" s="43"/>
      <c r="SY86" s="43"/>
      <c r="SZ86" s="43"/>
      <c r="TA86" s="43"/>
      <c r="TB86" s="43"/>
      <c r="TC86" s="43"/>
      <c r="TD86" s="43"/>
      <c r="TE86" s="43"/>
      <c r="TF86" s="43"/>
      <c r="TG86" s="43"/>
      <c r="TH86" s="43"/>
      <c r="TI86" s="43"/>
      <c r="TJ86" s="43"/>
      <c r="TK86" s="43"/>
      <c r="TL86" s="43"/>
      <c r="TM86" s="43"/>
      <c r="TN86" s="43"/>
      <c r="TO86" s="43"/>
      <c r="TP86" s="43"/>
      <c r="TQ86" s="43"/>
      <c r="TR86" s="43"/>
      <c r="TS86" s="43"/>
      <c r="TT86" s="43"/>
      <c r="TU86" s="43"/>
      <c r="TV86" s="43"/>
      <c r="TW86" s="43"/>
      <c r="TX86" s="43"/>
      <c r="TY86" s="43"/>
      <c r="TZ86" s="43"/>
      <c r="UA86" s="43"/>
      <c r="UB86" s="43"/>
      <c r="UC86" s="43"/>
      <c r="UD86" s="43"/>
      <c r="UE86" s="43"/>
      <c r="UF86" s="43"/>
      <c r="UG86" s="43"/>
      <c r="UH86" s="43"/>
      <c r="UI86" s="43"/>
      <c r="UJ86" s="43"/>
      <c r="UK86" s="43"/>
      <c r="UL86" s="43"/>
      <c r="UM86" s="43"/>
      <c r="UN86" s="43"/>
      <c r="UO86" s="43"/>
      <c r="UP86" s="43"/>
      <c r="UQ86" s="43"/>
      <c r="UR86" s="43"/>
      <c r="US86" s="43"/>
      <c r="UT86" s="43"/>
      <c r="UU86" s="43"/>
      <c r="UV86" s="43"/>
      <c r="UW86" s="43"/>
      <c r="UX86" s="43"/>
      <c r="UY86" s="43"/>
      <c r="UZ86" s="43"/>
      <c r="VA86" s="43"/>
      <c r="VB86" s="43"/>
      <c r="VC86" s="43"/>
      <c r="VD86" s="43"/>
      <c r="VE86" s="43"/>
      <c r="VF86" s="43"/>
      <c r="VG86" s="43"/>
      <c r="VH86" s="43"/>
      <c r="VI86" s="43"/>
      <c r="VJ86" s="43"/>
      <c r="VK86" s="43"/>
      <c r="VL86" s="43"/>
      <c r="VM86" s="43"/>
      <c r="VN86" s="43"/>
      <c r="VO86" s="43"/>
      <c r="VP86" s="43"/>
      <c r="VQ86" s="43"/>
      <c r="VR86" s="43"/>
      <c r="VS86" s="43"/>
      <c r="VT86" s="43"/>
      <c r="VU86" s="43"/>
      <c r="VV86" s="43"/>
      <c r="VW86" s="43"/>
      <c r="VX86" s="43"/>
      <c r="VY86" s="43"/>
      <c r="VZ86" s="43"/>
      <c r="WA86" s="43"/>
      <c r="WB86" s="43"/>
      <c r="WC86" s="43"/>
      <c r="WD86" s="43"/>
      <c r="WE86" s="43"/>
      <c r="WF86" s="43"/>
      <c r="WG86" s="43"/>
      <c r="WH86" s="43"/>
      <c r="WI86" s="43"/>
      <c r="WJ86" s="43"/>
      <c r="WK86" s="43"/>
      <c r="WL86" s="43"/>
      <c r="WM86" s="43"/>
      <c r="WN86" s="43"/>
      <c r="WO86" s="43"/>
      <c r="WP86" s="43"/>
      <c r="WQ86" s="43"/>
      <c r="WR86" s="43"/>
      <c r="WS86" s="43"/>
      <c r="WT86" s="43"/>
      <c r="WU86" s="43"/>
      <c r="WV86" s="43"/>
      <c r="WW86" s="43"/>
      <c r="WX86" s="43"/>
      <c r="WY86" s="43"/>
      <c r="WZ86" s="43"/>
      <c r="XA86" s="43"/>
      <c r="XB86" s="43"/>
      <c r="XC86" s="43"/>
      <c r="XD86" s="43"/>
      <c r="XE86" s="43"/>
      <c r="XF86" s="43"/>
      <c r="XG86" s="43"/>
      <c r="XH86" s="43"/>
      <c r="XI86" s="43"/>
      <c r="XJ86" s="43"/>
      <c r="XK86" s="43"/>
      <c r="XL86" s="43"/>
      <c r="XM86" s="43"/>
      <c r="XN86" s="43"/>
      <c r="XO86" s="43"/>
      <c r="XP86" s="43"/>
      <c r="XQ86" s="43"/>
      <c r="XR86" s="43"/>
      <c r="XS86" s="43"/>
      <c r="XT86" s="43"/>
      <c r="XU86" s="43"/>
      <c r="XV86" s="43"/>
      <c r="XW86" s="43"/>
      <c r="XX86" s="43"/>
      <c r="XY86" s="43"/>
      <c r="XZ86" s="43"/>
      <c r="YA86" s="44"/>
      <c r="YB86" s="44"/>
      <c r="YC86" s="44"/>
      <c r="YD86" s="44"/>
      <c r="YE86" s="44"/>
      <c r="YF86" s="43"/>
      <c r="YG86" s="43"/>
      <c r="YH86" s="43"/>
      <c r="YI86" s="43"/>
      <c r="YJ86" s="43"/>
      <c r="YK86" s="43"/>
      <c r="YL86" s="43"/>
      <c r="YM86" s="43"/>
      <c r="YN86" s="43"/>
      <c r="YO86" s="43"/>
      <c r="YP86" s="43"/>
      <c r="YQ86" s="43"/>
      <c r="YR86" s="43"/>
      <c r="YS86" s="43"/>
      <c r="YT86" s="43"/>
      <c r="YU86" s="43"/>
      <c r="YV86" s="43"/>
      <c r="YW86" s="43"/>
      <c r="YX86" s="43"/>
      <c r="YY86" s="43"/>
      <c r="YZ86" s="43"/>
      <c r="ZA86" s="43"/>
      <c r="ZB86" s="43"/>
      <c r="ZC86" s="43"/>
      <c r="ZD86" s="43"/>
      <c r="ZE86" s="43"/>
      <c r="ZF86" s="43"/>
      <c r="ZG86" s="43"/>
      <c r="ZH86" s="43"/>
      <c r="ZI86" s="43"/>
      <c r="ZJ86" s="43"/>
      <c r="ZK86" s="43"/>
      <c r="ZL86" s="43"/>
      <c r="ZM86" s="43"/>
      <c r="ZN86" s="43"/>
      <c r="ZO86" s="43"/>
      <c r="ZP86" s="43"/>
      <c r="ZQ86" s="43"/>
      <c r="ZR86" s="43"/>
      <c r="ZS86" s="43"/>
      <c r="ZT86" s="43"/>
      <c r="ZU86" s="43"/>
      <c r="ZV86" s="43"/>
      <c r="ZW86" s="44"/>
      <c r="ZX86" s="44"/>
      <c r="ZY86" s="44"/>
      <c r="ZZ86" s="44"/>
      <c r="AAA86" s="44"/>
      <c r="AAB86" s="44"/>
      <c r="AAC86" s="44"/>
      <c r="AAD86" s="44"/>
      <c r="AAE86" s="44"/>
      <c r="AAF86" s="44"/>
      <c r="AAG86" s="43"/>
      <c r="AAH86" s="43"/>
      <c r="AAI86" s="43"/>
      <c r="AAJ86" s="43"/>
      <c r="AAK86" s="43"/>
      <c r="AAL86" s="43"/>
      <c r="AAM86" s="43"/>
      <c r="AAN86" s="43"/>
      <c r="AAO86" s="43"/>
      <c r="AAP86" s="43"/>
      <c r="AAQ86" s="43"/>
      <c r="AAR86" s="43"/>
      <c r="AAS86" s="43"/>
      <c r="AAT86" s="43"/>
      <c r="AAU86" s="43"/>
      <c r="AAV86" s="43"/>
      <c r="AAW86" s="43"/>
      <c r="AAX86" s="43"/>
      <c r="AAY86" s="43"/>
      <c r="AAZ86" s="43"/>
      <c r="ABA86" s="43"/>
      <c r="ABB86" s="43"/>
      <c r="ABC86" s="43"/>
      <c r="ABD86" s="43"/>
      <c r="ABE86" s="43"/>
      <c r="ABF86" s="43"/>
      <c r="ABG86" s="43"/>
      <c r="ABH86" s="43"/>
      <c r="ABI86" s="43"/>
      <c r="ABJ86" s="43"/>
      <c r="ABK86" s="43"/>
      <c r="ABL86" s="43"/>
      <c r="ABM86" s="43"/>
      <c r="ABN86" s="43"/>
      <c r="ABO86" s="43"/>
      <c r="ABP86" s="43"/>
      <c r="ABQ86" s="43"/>
      <c r="ABR86" s="43"/>
      <c r="ABS86" s="43"/>
      <c r="ABT86" s="43"/>
      <c r="ABU86" s="43"/>
      <c r="ABV86" s="43"/>
      <c r="ABW86" s="43"/>
      <c r="ABX86" s="43"/>
      <c r="ABY86" s="43"/>
      <c r="ABZ86" s="43"/>
      <c r="ACA86" s="43"/>
      <c r="ACB86" s="43"/>
      <c r="ACC86" s="43"/>
      <c r="ACD86" s="43"/>
      <c r="ACE86" s="43"/>
      <c r="ACF86" s="43"/>
      <c r="ACG86" s="43"/>
      <c r="ACH86" s="45"/>
    </row>
    <row r="87" spans="1:762" x14ac:dyDescent="0.25">
      <c r="A87" s="46" t="s">
        <v>146</v>
      </c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7"/>
      <c r="BU87" s="47"/>
      <c r="BV87" s="47"/>
      <c r="BW87" s="47"/>
      <c r="BX87" s="47"/>
      <c r="BY87" s="47"/>
      <c r="BZ87" s="47"/>
      <c r="CA87" s="47"/>
      <c r="CB87" s="47"/>
      <c r="CC87" s="47"/>
      <c r="CD87" s="47"/>
      <c r="CE87" s="47"/>
      <c r="CF87" s="47"/>
      <c r="CG87" s="47"/>
      <c r="CH87" s="47"/>
      <c r="CI87" s="47"/>
      <c r="CJ87" s="47"/>
      <c r="CK87" s="47"/>
      <c r="CL87" s="47"/>
      <c r="CM87" s="47"/>
      <c r="CN87" s="47"/>
      <c r="CO87" s="47"/>
      <c r="CP87" s="47"/>
      <c r="CQ87" s="47"/>
      <c r="CR87" s="47"/>
      <c r="CS87" s="47"/>
      <c r="CT87" s="47"/>
      <c r="CU87" s="47"/>
      <c r="CV87" s="47"/>
      <c r="CW87" s="47"/>
      <c r="CX87" s="47"/>
      <c r="CY87" s="47"/>
      <c r="CZ87" s="47"/>
      <c r="DA87" s="47"/>
      <c r="DB87" s="47"/>
      <c r="DC87" s="47"/>
      <c r="DD87" s="47"/>
      <c r="DE87" s="47"/>
      <c r="DF87" s="47"/>
      <c r="DG87" s="47"/>
      <c r="DH87" s="47"/>
      <c r="DI87" s="47"/>
      <c r="DJ87" s="47"/>
      <c r="DK87" s="47"/>
      <c r="DL87" s="47"/>
      <c r="DM87" s="47"/>
      <c r="DN87" s="47"/>
      <c r="DO87" s="47"/>
      <c r="DP87" s="47"/>
      <c r="DQ87" s="47"/>
      <c r="DR87" s="47"/>
      <c r="DS87" s="47"/>
      <c r="DT87" s="47"/>
      <c r="DU87" s="47"/>
      <c r="DV87" s="47"/>
      <c r="DW87" s="47"/>
      <c r="DX87" s="47"/>
      <c r="DY87" s="47"/>
      <c r="DZ87" s="47"/>
      <c r="EA87" s="47"/>
      <c r="EB87" s="47"/>
      <c r="EC87" s="47"/>
      <c r="ED87" s="47"/>
      <c r="EE87" s="47"/>
      <c r="EF87" s="47"/>
      <c r="EG87" s="47"/>
      <c r="EH87" s="47"/>
      <c r="EI87" s="47"/>
      <c r="EJ87" s="47"/>
      <c r="EK87" s="47"/>
      <c r="EL87" s="47"/>
      <c r="EM87" s="47"/>
      <c r="EN87" s="47"/>
      <c r="EO87" s="47"/>
      <c r="EP87" s="47"/>
      <c r="EQ87" s="47"/>
      <c r="ER87" s="47"/>
      <c r="ES87" s="47"/>
      <c r="ET87" s="47"/>
      <c r="EU87" s="47"/>
      <c r="EV87" s="47"/>
      <c r="EW87" s="47"/>
      <c r="EX87" s="47"/>
      <c r="EY87" s="47"/>
      <c r="EZ87" s="47"/>
      <c r="FA87" s="47"/>
      <c r="FB87" s="47"/>
      <c r="FC87" s="47"/>
      <c r="FD87" s="47"/>
      <c r="FE87" s="47"/>
      <c r="FF87" s="47"/>
      <c r="FG87" s="47"/>
      <c r="FH87" s="47"/>
      <c r="FI87" s="47"/>
      <c r="FJ87" s="47"/>
      <c r="FK87" s="47"/>
      <c r="FL87" s="47"/>
      <c r="FM87" s="47"/>
      <c r="FN87" s="47"/>
      <c r="FO87" s="47"/>
      <c r="FP87" s="47"/>
      <c r="FQ87" s="47"/>
      <c r="FR87" s="47"/>
      <c r="FS87" s="47"/>
      <c r="FT87" s="47"/>
      <c r="FU87" s="47"/>
      <c r="FV87" s="47"/>
      <c r="FW87" s="47"/>
      <c r="FX87" s="47"/>
      <c r="FY87" s="47"/>
      <c r="FZ87" s="47"/>
      <c r="GA87" s="47"/>
      <c r="GB87" s="47"/>
      <c r="GC87" s="47"/>
      <c r="GD87" s="47"/>
      <c r="GE87" s="47"/>
      <c r="GF87" s="47"/>
      <c r="GG87" s="47"/>
      <c r="GH87" s="47"/>
      <c r="GI87" s="47"/>
      <c r="GJ87" s="47"/>
      <c r="GK87" s="47"/>
      <c r="GL87" s="47"/>
      <c r="GM87" s="47"/>
      <c r="GN87" s="47"/>
      <c r="GO87" s="47"/>
      <c r="GP87" s="47"/>
      <c r="GQ87" s="47"/>
      <c r="GR87" s="47"/>
      <c r="GS87" s="47"/>
      <c r="GT87" s="47"/>
      <c r="GU87" s="47"/>
      <c r="GV87" s="47"/>
      <c r="GW87" s="47"/>
      <c r="GX87" s="47"/>
      <c r="GY87" s="47"/>
      <c r="GZ87" s="47"/>
      <c r="HA87" s="47"/>
      <c r="HB87" s="47"/>
      <c r="HC87" s="47"/>
      <c r="HD87" s="47"/>
      <c r="HE87" s="47"/>
      <c r="HF87" s="47"/>
      <c r="HG87" s="47"/>
      <c r="HH87" s="47"/>
      <c r="HI87" s="47"/>
      <c r="HJ87" s="47"/>
      <c r="HK87" s="47"/>
      <c r="HL87" s="47"/>
      <c r="HM87" s="47"/>
      <c r="HN87" s="47"/>
      <c r="HO87" s="47"/>
      <c r="HP87" s="47"/>
      <c r="HQ87" s="47"/>
      <c r="HR87" s="47"/>
      <c r="HS87" s="47"/>
      <c r="HT87" s="47"/>
      <c r="HU87" s="47"/>
      <c r="HV87" s="47"/>
      <c r="HW87" s="47"/>
      <c r="HX87" s="47"/>
      <c r="HY87" s="47"/>
      <c r="HZ87" s="47"/>
      <c r="IA87" s="47"/>
      <c r="IB87" s="47"/>
      <c r="IC87" s="47"/>
      <c r="ID87" s="47"/>
      <c r="IE87" s="47"/>
      <c r="IF87" s="47"/>
      <c r="IG87" s="47"/>
      <c r="IH87" s="47"/>
      <c r="II87" s="47"/>
      <c r="IJ87" s="47"/>
      <c r="IK87" s="47"/>
      <c r="IL87" s="47"/>
      <c r="IM87" s="47"/>
      <c r="IN87" s="47"/>
      <c r="IO87" s="47"/>
      <c r="IP87" s="47"/>
      <c r="IQ87" s="47"/>
      <c r="IR87" s="47"/>
      <c r="IS87" s="47"/>
      <c r="IT87" s="47"/>
      <c r="IU87" s="47"/>
      <c r="IV87" s="47"/>
      <c r="IW87" s="47"/>
      <c r="IX87" s="47"/>
      <c r="IY87" s="47"/>
      <c r="IZ87" s="47"/>
      <c r="JA87" s="47"/>
      <c r="JB87" s="47"/>
      <c r="JC87" s="47"/>
      <c r="JD87" s="47"/>
      <c r="JE87" s="47"/>
      <c r="JF87" s="47"/>
      <c r="JG87" s="47"/>
      <c r="JH87" s="47"/>
      <c r="JI87" s="47"/>
      <c r="JJ87" s="47"/>
      <c r="JK87" s="47"/>
      <c r="JL87" s="47"/>
      <c r="JM87" s="47"/>
      <c r="JN87" s="47"/>
      <c r="JO87" s="47"/>
      <c r="JP87" s="47"/>
      <c r="JQ87" s="47"/>
      <c r="JR87" s="47"/>
      <c r="JS87" s="47"/>
      <c r="JT87" s="47"/>
      <c r="JU87" s="47"/>
      <c r="JV87" s="47"/>
      <c r="JW87" s="47"/>
      <c r="JX87" s="47"/>
      <c r="JY87" s="47"/>
      <c r="JZ87" s="47"/>
      <c r="KA87" s="47"/>
      <c r="KB87" s="47"/>
      <c r="KC87" s="47"/>
      <c r="KD87" s="47"/>
      <c r="KE87" s="47"/>
      <c r="KF87" s="47"/>
      <c r="KG87" s="47"/>
      <c r="KH87" s="47"/>
      <c r="KI87" s="47"/>
      <c r="KJ87" s="47"/>
      <c r="KK87" s="47"/>
      <c r="KL87" s="47"/>
      <c r="KM87" s="47"/>
      <c r="KN87" s="47"/>
      <c r="KO87" s="47"/>
      <c r="KP87" s="47"/>
      <c r="KQ87" s="47"/>
      <c r="KR87" s="47"/>
      <c r="KS87" s="47"/>
      <c r="KT87" s="47"/>
      <c r="KU87" s="47"/>
      <c r="KV87" s="47"/>
      <c r="KW87" s="47"/>
      <c r="KX87" s="47"/>
      <c r="KY87" s="47"/>
      <c r="KZ87" s="47"/>
      <c r="LA87" s="47"/>
      <c r="LB87" s="47"/>
      <c r="LC87" s="47"/>
      <c r="LD87" s="47"/>
      <c r="LE87" s="47"/>
      <c r="LF87" s="47"/>
      <c r="LG87" s="47"/>
      <c r="LH87" s="47"/>
      <c r="LI87" s="47"/>
      <c r="LJ87" s="47"/>
      <c r="LK87" s="47"/>
      <c r="LL87" s="47"/>
      <c r="LM87" s="47"/>
      <c r="LN87" s="47"/>
      <c r="LO87" s="47"/>
      <c r="LP87" s="47"/>
      <c r="LQ87" s="47"/>
      <c r="LR87" s="47"/>
      <c r="LS87" s="47"/>
      <c r="LT87" s="47"/>
      <c r="LU87" s="47"/>
      <c r="LV87" s="47"/>
      <c r="LW87" s="47"/>
      <c r="LX87" s="47"/>
      <c r="LY87" s="47"/>
      <c r="LZ87" s="47"/>
      <c r="MA87" s="47"/>
      <c r="MB87" s="47"/>
      <c r="MC87" s="47"/>
      <c r="MD87" s="47"/>
      <c r="ME87" s="47"/>
      <c r="MF87" s="47"/>
      <c r="MG87" s="47"/>
      <c r="MH87" s="47"/>
      <c r="MI87" s="47"/>
      <c r="MJ87" s="47"/>
      <c r="MK87" s="47"/>
      <c r="ML87" s="47"/>
      <c r="MM87" s="47"/>
      <c r="MN87" s="47"/>
      <c r="MO87" s="47"/>
      <c r="MP87" s="47"/>
      <c r="MQ87" s="47"/>
      <c r="MR87" s="47"/>
      <c r="MS87" s="47"/>
      <c r="MT87" s="47"/>
      <c r="MU87" s="47"/>
      <c r="MV87" s="47"/>
      <c r="MW87" s="47"/>
      <c r="MX87" s="47"/>
      <c r="MY87" s="47"/>
      <c r="MZ87" s="47"/>
      <c r="NA87" s="47"/>
      <c r="NB87" s="47"/>
      <c r="NC87" s="47"/>
      <c r="ND87" s="47"/>
      <c r="NE87" s="47"/>
      <c r="NF87" s="47"/>
      <c r="NG87" s="47"/>
      <c r="NH87" s="47"/>
      <c r="NI87" s="47"/>
      <c r="NJ87" s="44"/>
      <c r="NK87" s="44"/>
      <c r="NL87" s="44"/>
      <c r="NM87" s="44"/>
      <c r="NN87" s="44"/>
      <c r="NO87" s="47"/>
      <c r="NP87" s="47"/>
      <c r="NQ87" s="47"/>
      <c r="NR87" s="47"/>
      <c r="NS87" s="47"/>
      <c r="NT87" s="47"/>
      <c r="NU87" s="47"/>
      <c r="NV87" s="47"/>
      <c r="NW87" s="47"/>
      <c r="NX87" s="47"/>
      <c r="NY87" s="47"/>
      <c r="NZ87" s="47"/>
      <c r="OA87" s="47"/>
      <c r="OB87" s="47"/>
      <c r="OC87" s="47"/>
      <c r="OD87" s="47"/>
      <c r="OE87" s="47"/>
      <c r="OF87" s="47"/>
      <c r="OG87" s="47"/>
      <c r="OH87" s="47"/>
      <c r="OI87" s="47"/>
      <c r="OJ87" s="47"/>
      <c r="OK87" s="47"/>
      <c r="OL87" s="47"/>
      <c r="OM87" s="47"/>
      <c r="ON87" s="47"/>
      <c r="OO87" s="47"/>
      <c r="OP87" s="47"/>
      <c r="OQ87" s="47"/>
      <c r="OR87" s="47"/>
      <c r="OS87" s="47"/>
      <c r="OT87" s="47"/>
      <c r="OU87" s="47"/>
      <c r="OV87" s="47"/>
      <c r="OW87" s="47"/>
      <c r="OX87" s="47"/>
      <c r="OY87" s="47"/>
      <c r="OZ87" s="47"/>
      <c r="PA87" s="47"/>
      <c r="PB87" s="47"/>
      <c r="PC87" s="47"/>
      <c r="PD87" s="47"/>
      <c r="PE87" s="47"/>
      <c r="PF87" s="47"/>
      <c r="PG87" s="47"/>
      <c r="PH87" s="47"/>
      <c r="PI87" s="47"/>
      <c r="PJ87" s="47"/>
      <c r="PK87" s="47"/>
      <c r="PL87" s="47"/>
      <c r="PM87" s="47"/>
      <c r="PN87" s="47"/>
      <c r="PO87" s="47"/>
      <c r="PP87" s="47"/>
      <c r="PQ87" s="47"/>
      <c r="PR87" s="47"/>
      <c r="PS87" s="47"/>
      <c r="PT87" s="47"/>
      <c r="PU87" s="47"/>
      <c r="PV87" s="47"/>
      <c r="PW87" s="47"/>
      <c r="PX87" s="47"/>
      <c r="PY87" s="47"/>
      <c r="PZ87" s="47"/>
      <c r="QA87" s="47"/>
      <c r="QB87" s="47"/>
      <c r="QC87" s="47"/>
      <c r="QD87" s="47"/>
      <c r="QE87" s="47"/>
      <c r="QF87" s="47"/>
      <c r="QG87" s="47"/>
      <c r="QH87" s="47"/>
      <c r="QI87" s="47"/>
      <c r="QJ87" s="47"/>
      <c r="QK87" s="47"/>
      <c r="QL87" s="47"/>
      <c r="QM87" s="47"/>
      <c r="QN87" s="47"/>
      <c r="QO87" s="47"/>
      <c r="QP87" s="47"/>
      <c r="QQ87" s="47"/>
      <c r="QR87" s="47"/>
      <c r="QS87" s="47"/>
      <c r="QT87" s="47"/>
      <c r="QU87" s="47"/>
      <c r="QV87" s="47"/>
      <c r="QW87" s="47"/>
      <c r="QX87" s="47"/>
      <c r="QY87" s="47"/>
      <c r="QZ87" s="47"/>
      <c r="RA87" s="47"/>
      <c r="RB87" s="47"/>
      <c r="RC87" s="47"/>
      <c r="RD87" s="47"/>
      <c r="RE87" s="47"/>
      <c r="RF87" s="47"/>
      <c r="RG87" s="47"/>
      <c r="RH87" s="47"/>
      <c r="RI87" s="47"/>
      <c r="RJ87" s="47"/>
      <c r="RK87" s="47"/>
      <c r="RL87" s="47"/>
      <c r="RM87" s="47"/>
      <c r="RN87" s="47"/>
      <c r="RO87" s="47"/>
      <c r="RP87" s="47"/>
      <c r="RQ87" s="47"/>
      <c r="RR87" s="47"/>
      <c r="RS87" s="47"/>
      <c r="RT87" s="47"/>
      <c r="RU87" s="47"/>
      <c r="RV87" s="47"/>
      <c r="RW87" s="47"/>
      <c r="RX87" s="47"/>
      <c r="RY87" s="47"/>
      <c r="RZ87" s="47"/>
      <c r="SA87" s="47"/>
      <c r="SB87" s="47"/>
      <c r="SC87" s="47"/>
      <c r="SD87" s="47"/>
      <c r="SE87" s="47"/>
      <c r="SF87" s="47"/>
      <c r="SG87" s="47"/>
      <c r="SH87" s="47"/>
      <c r="SI87" s="47"/>
      <c r="SJ87" s="47"/>
      <c r="SK87" s="47"/>
      <c r="SL87" s="47"/>
      <c r="SM87" s="47"/>
      <c r="SN87" s="47"/>
      <c r="SO87" s="47"/>
      <c r="SP87" s="47"/>
      <c r="SQ87" s="47"/>
      <c r="SR87" s="47"/>
      <c r="SS87" s="47"/>
      <c r="ST87" s="47"/>
      <c r="SU87" s="47"/>
      <c r="SV87" s="47"/>
      <c r="SW87" s="47"/>
      <c r="SX87" s="47"/>
      <c r="SY87" s="47"/>
      <c r="SZ87" s="47"/>
      <c r="TA87" s="47"/>
      <c r="TB87" s="47"/>
      <c r="TC87" s="47"/>
      <c r="TD87" s="47"/>
      <c r="TE87" s="47"/>
      <c r="TF87" s="47"/>
      <c r="TG87" s="47"/>
      <c r="TH87" s="47"/>
      <c r="TI87" s="47"/>
      <c r="TJ87" s="47"/>
      <c r="TK87" s="47"/>
      <c r="TL87" s="47"/>
      <c r="TM87" s="47"/>
      <c r="TN87" s="47"/>
      <c r="TO87" s="47"/>
      <c r="TP87" s="47"/>
      <c r="TQ87" s="47"/>
      <c r="TR87" s="47"/>
      <c r="TS87" s="47"/>
      <c r="TT87" s="47"/>
      <c r="TU87" s="47"/>
      <c r="TV87" s="47"/>
      <c r="TW87" s="47"/>
      <c r="TX87" s="47"/>
      <c r="TY87" s="47"/>
      <c r="TZ87" s="47"/>
      <c r="UA87" s="47"/>
      <c r="UB87" s="47"/>
      <c r="UC87" s="47"/>
      <c r="UD87" s="47"/>
      <c r="UE87" s="47"/>
      <c r="UF87" s="47"/>
      <c r="UG87" s="47"/>
      <c r="UH87" s="47"/>
      <c r="UI87" s="47"/>
      <c r="UJ87" s="47"/>
      <c r="UK87" s="47"/>
      <c r="UL87" s="47"/>
      <c r="UM87" s="47"/>
      <c r="UN87" s="47"/>
      <c r="UO87" s="47"/>
      <c r="UP87" s="47"/>
      <c r="UQ87" s="47"/>
      <c r="UR87" s="47"/>
      <c r="US87" s="47"/>
      <c r="UT87" s="47"/>
      <c r="UU87" s="47"/>
      <c r="UV87" s="47"/>
      <c r="UW87" s="47"/>
      <c r="UX87" s="47"/>
      <c r="UY87" s="47"/>
      <c r="UZ87" s="47"/>
      <c r="VA87" s="47"/>
      <c r="VB87" s="47"/>
      <c r="VC87" s="47"/>
      <c r="VD87" s="47"/>
      <c r="VE87" s="47"/>
      <c r="VF87" s="47"/>
      <c r="VG87" s="47"/>
      <c r="VH87" s="47"/>
      <c r="VI87" s="47"/>
      <c r="VJ87" s="47"/>
      <c r="VK87" s="47"/>
      <c r="VL87" s="47"/>
      <c r="VM87" s="47"/>
      <c r="VN87" s="47"/>
      <c r="VO87" s="47"/>
      <c r="VP87" s="47"/>
      <c r="VQ87" s="47"/>
      <c r="VR87" s="47"/>
      <c r="VS87" s="47"/>
      <c r="VT87" s="47"/>
      <c r="VU87" s="47"/>
      <c r="VV87" s="47"/>
      <c r="VW87" s="47"/>
      <c r="VX87" s="47"/>
      <c r="VY87" s="47"/>
      <c r="VZ87" s="47"/>
      <c r="WA87" s="47"/>
      <c r="WB87" s="47"/>
      <c r="WC87" s="47"/>
      <c r="WD87" s="47"/>
      <c r="WE87" s="47"/>
      <c r="WF87" s="47"/>
      <c r="WG87" s="47"/>
      <c r="WH87" s="47"/>
      <c r="WI87" s="47"/>
      <c r="WJ87" s="47"/>
      <c r="WK87" s="47"/>
      <c r="WL87" s="47"/>
      <c r="WM87" s="47"/>
      <c r="WN87" s="47"/>
      <c r="WO87" s="47"/>
      <c r="WP87" s="47"/>
      <c r="WQ87" s="47"/>
      <c r="WR87" s="47"/>
      <c r="WS87" s="47"/>
      <c r="WT87" s="47"/>
      <c r="WU87" s="47"/>
      <c r="WV87" s="47"/>
      <c r="WW87" s="47"/>
      <c r="WX87" s="47"/>
      <c r="WY87" s="47"/>
      <c r="WZ87" s="47"/>
      <c r="XA87" s="47"/>
      <c r="XB87" s="47"/>
      <c r="XC87" s="47"/>
      <c r="XD87" s="47"/>
      <c r="XE87" s="47"/>
      <c r="XF87" s="47"/>
      <c r="XG87" s="47"/>
      <c r="XH87" s="47"/>
      <c r="XI87" s="47"/>
      <c r="XJ87" s="47"/>
      <c r="XK87" s="47"/>
      <c r="XL87" s="47"/>
      <c r="XM87" s="47"/>
      <c r="XN87" s="47"/>
      <c r="XO87" s="47"/>
      <c r="XP87" s="47"/>
      <c r="XQ87" s="47"/>
      <c r="XR87" s="47"/>
      <c r="XS87" s="47"/>
      <c r="XT87" s="47"/>
      <c r="XU87" s="47"/>
      <c r="XV87" s="47"/>
      <c r="XW87" s="47"/>
      <c r="XX87" s="47"/>
      <c r="XY87" s="47"/>
      <c r="XZ87" s="47"/>
      <c r="YA87" s="44"/>
      <c r="YB87" s="44"/>
      <c r="YC87" s="44"/>
      <c r="YD87" s="44"/>
      <c r="YE87" s="44"/>
      <c r="YF87" s="47"/>
      <c r="YG87" s="47"/>
      <c r="YH87" s="47"/>
      <c r="YI87" s="47"/>
      <c r="YJ87" s="47"/>
      <c r="YK87" s="47"/>
      <c r="YL87" s="47"/>
      <c r="YM87" s="47"/>
      <c r="YN87" s="47"/>
      <c r="YO87" s="47"/>
      <c r="YP87" s="47"/>
      <c r="YQ87" s="47"/>
      <c r="YR87" s="47"/>
      <c r="YS87" s="47"/>
      <c r="YT87" s="47"/>
      <c r="YU87" s="47"/>
      <c r="YV87" s="47"/>
      <c r="YW87" s="47"/>
      <c r="YX87" s="47"/>
      <c r="YY87" s="47"/>
      <c r="YZ87" s="47"/>
      <c r="ZA87" s="47"/>
      <c r="ZB87" s="47"/>
      <c r="ZC87" s="47"/>
      <c r="ZD87" s="47"/>
      <c r="ZE87" s="47"/>
      <c r="ZF87" s="47"/>
      <c r="ZG87" s="47"/>
      <c r="ZH87" s="47"/>
      <c r="ZI87" s="47"/>
      <c r="ZJ87" s="47"/>
      <c r="ZK87" s="47"/>
      <c r="ZL87" s="47"/>
      <c r="ZM87" s="47"/>
      <c r="ZN87" s="47"/>
      <c r="ZO87" s="47"/>
      <c r="ZP87" s="47"/>
      <c r="ZQ87" s="47"/>
      <c r="ZR87" s="47"/>
      <c r="ZS87" s="47"/>
      <c r="ZT87" s="47"/>
      <c r="ZU87" s="47"/>
      <c r="ZV87" s="47"/>
      <c r="ZW87" s="44"/>
      <c r="ZX87" s="44"/>
      <c r="ZY87" s="44"/>
      <c r="ZZ87" s="44"/>
      <c r="AAA87" s="44"/>
      <c r="AAB87" s="44"/>
      <c r="AAC87" s="44"/>
      <c r="AAD87" s="44"/>
      <c r="AAE87" s="44"/>
      <c r="AAF87" s="44"/>
      <c r="AAG87" s="47"/>
      <c r="AAH87" s="47"/>
      <c r="AAI87" s="47"/>
      <c r="AAJ87" s="47"/>
      <c r="AAK87" s="47"/>
      <c r="AAL87" s="47"/>
      <c r="AAM87" s="47"/>
      <c r="AAN87" s="47"/>
      <c r="AAO87" s="47"/>
      <c r="AAP87" s="47"/>
      <c r="AAQ87" s="47"/>
      <c r="AAR87" s="47"/>
      <c r="AAS87" s="47"/>
      <c r="AAT87" s="47"/>
      <c r="AAU87" s="47"/>
      <c r="AAV87" s="47"/>
      <c r="AAW87" s="47"/>
      <c r="AAX87" s="47"/>
      <c r="AAY87" s="47"/>
      <c r="AAZ87" s="47"/>
      <c r="ABA87" s="47"/>
      <c r="ABB87" s="47"/>
      <c r="ABC87" s="47"/>
      <c r="ABD87" s="47"/>
      <c r="ABE87" s="47"/>
      <c r="ABF87" s="47"/>
      <c r="ABG87" s="47"/>
      <c r="ABH87" s="47"/>
      <c r="ABI87" s="47"/>
      <c r="ABJ87" s="47"/>
      <c r="ABK87" s="47"/>
      <c r="ABL87" s="47"/>
      <c r="ABM87" s="47"/>
      <c r="ABN87" s="47"/>
      <c r="ABO87" s="47"/>
      <c r="ABP87" s="47"/>
      <c r="ABQ87" s="47"/>
      <c r="ABR87" s="47"/>
      <c r="ABS87" s="47"/>
      <c r="ABT87" s="47"/>
      <c r="ABU87" s="47"/>
      <c r="ABV87" s="47"/>
      <c r="ABW87" s="47"/>
      <c r="ABX87" s="47"/>
      <c r="ABY87" s="47"/>
      <c r="ABZ87" s="47"/>
      <c r="ACA87" s="47"/>
      <c r="ACB87" s="47"/>
      <c r="ACC87" s="47"/>
      <c r="ACD87" s="47"/>
      <c r="ACE87" s="47"/>
      <c r="ACF87" s="47"/>
      <c r="ACG87" s="47"/>
      <c r="ACH87" s="48"/>
    </row>
    <row r="88" spans="1:762" x14ac:dyDescent="0.25">
      <c r="A88" s="42" t="s">
        <v>147</v>
      </c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43"/>
      <c r="BJ88" s="43"/>
      <c r="BK88" s="43"/>
      <c r="BL88" s="43"/>
      <c r="BM88" s="43"/>
      <c r="BN88" s="43"/>
      <c r="BO88" s="43"/>
      <c r="BP88" s="43"/>
      <c r="BQ88" s="43"/>
      <c r="BR88" s="43"/>
      <c r="BS88" s="43"/>
      <c r="BT88" s="43"/>
      <c r="BU88" s="43"/>
      <c r="BV88" s="43"/>
      <c r="BW88" s="43"/>
      <c r="BX88" s="43"/>
      <c r="BY88" s="43"/>
      <c r="BZ88" s="43"/>
      <c r="CA88" s="43"/>
      <c r="CB88" s="43"/>
      <c r="CC88" s="43"/>
      <c r="CD88" s="43"/>
      <c r="CE88" s="43"/>
      <c r="CF88" s="43"/>
      <c r="CG88" s="43"/>
      <c r="CH88" s="43"/>
      <c r="CI88" s="43"/>
      <c r="CJ88" s="43"/>
      <c r="CK88" s="43"/>
      <c r="CL88" s="43"/>
      <c r="CM88" s="43"/>
      <c r="CN88" s="43"/>
      <c r="CO88" s="43"/>
      <c r="CP88" s="43"/>
      <c r="CQ88" s="43"/>
      <c r="CR88" s="43"/>
      <c r="CS88" s="43"/>
      <c r="CT88" s="43"/>
      <c r="CU88" s="43"/>
      <c r="CV88" s="43"/>
      <c r="CW88" s="43"/>
      <c r="CX88" s="43"/>
      <c r="CY88" s="43"/>
      <c r="CZ88" s="43"/>
      <c r="DA88" s="43"/>
      <c r="DB88" s="43"/>
      <c r="DC88" s="43"/>
      <c r="DD88" s="43"/>
      <c r="DE88" s="43"/>
      <c r="DF88" s="43"/>
      <c r="DG88" s="43"/>
      <c r="DH88" s="43"/>
      <c r="DI88" s="43"/>
      <c r="DJ88" s="43"/>
      <c r="DK88" s="43"/>
      <c r="DL88" s="43"/>
      <c r="DM88" s="43"/>
      <c r="DN88" s="43"/>
      <c r="DO88" s="43"/>
      <c r="DP88" s="43"/>
      <c r="DQ88" s="43"/>
      <c r="DR88" s="43"/>
      <c r="DS88" s="43"/>
      <c r="DT88" s="43"/>
      <c r="DU88" s="43"/>
      <c r="DV88" s="43"/>
      <c r="DW88" s="43"/>
      <c r="DX88" s="43"/>
      <c r="DY88" s="43"/>
      <c r="DZ88" s="43"/>
      <c r="EA88" s="43"/>
      <c r="EB88" s="43"/>
      <c r="EC88" s="43"/>
      <c r="ED88" s="43"/>
      <c r="EE88" s="43"/>
      <c r="EF88" s="43"/>
      <c r="EG88" s="43"/>
      <c r="EH88" s="43"/>
      <c r="EI88" s="43"/>
      <c r="EJ88" s="43"/>
      <c r="EK88" s="43"/>
      <c r="EL88" s="43"/>
      <c r="EM88" s="43"/>
      <c r="EN88" s="43"/>
      <c r="EO88" s="43"/>
      <c r="EP88" s="43"/>
      <c r="EQ88" s="43"/>
      <c r="ER88" s="43"/>
      <c r="ES88" s="43"/>
      <c r="ET88" s="43"/>
      <c r="EU88" s="43"/>
      <c r="EV88" s="43"/>
      <c r="EW88" s="43"/>
      <c r="EX88" s="43"/>
      <c r="EY88" s="43"/>
      <c r="EZ88" s="43"/>
      <c r="FA88" s="43"/>
      <c r="FB88" s="43"/>
      <c r="FC88" s="43"/>
      <c r="FD88" s="43"/>
      <c r="FE88" s="43"/>
      <c r="FF88" s="43"/>
      <c r="FG88" s="43"/>
      <c r="FH88" s="43"/>
      <c r="FI88" s="43"/>
      <c r="FJ88" s="43"/>
      <c r="FK88" s="43"/>
      <c r="FL88" s="43"/>
      <c r="FM88" s="43"/>
      <c r="FN88" s="43"/>
      <c r="FO88" s="43"/>
      <c r="FP88" s="43"/>
      <c r="FQ88" s="43"/>
      <c r="FR88" s="43"/>
      <c r="FS88" s="43"/>
      <c r="FT88" s="43"/>
      <c r="FU88" s="43"/>
      <c r="FV88" s="43"/>
      <c r="FW88" s="43"/>
      <c r="FX88" s="43"/>
      <c r="FY88" s="43"/>
      <c r="FZ88" s="43"/>
      <c r="GA88" s="43"/>
      <c r="GB88" s="43"/>
      <c r="GC88" s="43"/>
      <c r="GD88" s="43"/>
      <c r="GE88" s="43"/>
      <c r="GF88" s="43"/>
      <c r="GG88" s="43"/>
      <c r="GH88" s="43"/>
      <c r="GI88" s="43"/>
      <c r="GJ88" s="43"/>
      <c r="GK88" s="43"/>
      <c r="GL88" s="43"/>
      <c r="GM88" s="43"/>
      <c r="GN88" s="43"/>
      <c r="GO88" s="43"/>
      <c r="GP88" s="43"/>
      <c r="GQ88" s="43"/>
      <c r="GR88" s="43"/>
      <c r="GS88" s="43"/>
      <c r="GT88" s="43"/>
      <c r="GU88" s="43"/>
      <c r="GV88" s="43"/>
      <c r="GW88" s="43"/>
      <c r="GX88" s="43"/>
      <c r="GY88" s="43"/>
      <c r="GZ88" s="43"/>
      <c r="HA88" s="43"/>
      <c r="HB88" s="43"/>
      <c r="HC88" s="43"/>
      <c r="HD88" s="43"/>
      <c r="HE88" s="43"/>
      <c r="HF88" s="43"/>
      <c r="HG88" s="43"/>
      <c r="HH88" s="43"/>
      <c r="HI88" s="43"/>
      <c r="HJ88" s="43"/>
      <c r="HK88" s="43"/>
      <c r="HL88" s="43"/>
      <c r="HM88" s="43"/>
      <c r="HN88" s="43"/>
      <c r="HO88" s="43"/>
      <c r="HP88" s="43"/>
      <c r="HQ88" s="43"/>
      <c r="HR88" s="43"/>
      <c r="HS88" s="43"/>
      <c r="HT88" s="43"/>
      <c r="HU88" s="43"/>
      <c r="HV88" s="43"/>
      <c r="HW88" s="43"/>
      <c r="HX88" s="43"/>
      <c r="HY88" s="43"/>
      <c r="HZ88" s="43"/>
      <c r="IA88" s="43"/>
      <c r="IB88" s="43"/>
      <c r="IC88" s="43"/>
      <c r="ID88" s="43"/>
      <c r="IE88" s="43"/>
      <c r="IF88" s="43"/>
      <c r="IG88" s="43"/>
      <c r="IH88" s="43"/>
      <c r="II88" s="43"/>
      <c r="IJ88" s="43"/>
      <c r="IK88" s="43"/>
      <c r="IL88" s="43"/>
      <c r="IM88" s="43"/>
      <c r="IN88" s="43"/>
      <c r="IO88" s="43"/>
      <c r="IP88" s="43"/>
      <c r="IQ88" s="43"/>
      <c r="IR88" s="43"/>
      <c r="IS88" s="43"/>
      <c r="IT88" s="43"/>
      <c r="IU88" s="43"/>
      <c r="IV88" s="43"/>
      <c r="IW88" s="43"/>
      <c r="IX88" s="43"/>
      <c r="IY88" s="43"/>
      <c r="IZ88" s="43"/>
      <c r="JA88" s="43"/>
      <c r="JB88" s="43"/>
      <c r="JC88" s="43"/>
      <c r="JD88" s="43"/>
      <c r="JE88" s="43"/>
      <c r="JF88" s="43"/>
      <c r="JG88" s="43"/>
      <c r="JH88" s="43"/>
      <c r="JI88" s="43"/>
      <c r="JJ88" s="43"/>
      <c r="JK88" s="43"/>
      <c r="JL88" s="43"/>
      <c r="JM88" s="43"/>
      <c r="JN88" s="43"/>
      <c r="JO88" s="43"/>
      <c r="JP88" s="43"/>
      <c r="JQ88" s="43"/>
      <c r="JR88" s="43"/>
      <c r="JS88" s="43"/>
      <c r="JT88" s="43"/>
      <c r="JU88" s="43"/>
      <c r="JV88" s="43"/>
      <c r="JW88" s="43"/>
      <c r="JX88" s="43"/>
      <c r="JY88" s="43"/>
      <c r="JZ88" s="43"/>
      <c r="KA88" s="43"/>
      <c r="KB88" s="43"/>
      <c r="KC88" s="43"/>
      <c r="KD88" s="43"/>
      <c r="KE88" s="43"/>
      <c r="KF88" s="43"/>
      <c r="KG88" s="43"/>
      <c r="KH88" s="43"/>
      <c r="KI88" s="43"/>
      <c r="KJ88" s="43"/>
      <c r="KK88" s="43"/>
      <c r="KL88" s="43"/>
      <c r="KM88" s="43"/>
      <c r="KN88" s="43"/>
      <c r="KO88" s="43"/>
      <c r="KP88" s="43"/>
      <c r="KQ88" s="43"/>
      <c r="KR88" s="43"/>
      <c r="KS88" s="43"/>
      <c r="KT88" s="43"/>
      <c r="KU88" s="43"/>
      <c r="KV88" s="43"/>
      <c r="KW88" s="43"/>
      <c r="KX88" s="43"/>
      <c r="KY88" s="43"/>
      <c r="KZ88" s="43"/>
      <c r="LA88" s="43"/>
      <c r="LB88" s="43"/>
      <c r="LC88" s="43"/>
      <c r="LD88" s="43"/>
      <c r="LE88" s="43"/>
      <c r="LF88" s="43"/>
      <c r="LG88" s="43"/>
      <c r="LH88" s="43"/>
      <c r="LI88" s="43"/>
      <c r="LJ88" s="43"/>
      <c r="LK88" s="43"/>
      <c r="LL88" s="43"/>
      <c r="LM88" s="43"/>
      <c r="LN88" s="43"/>
      <c r="LO88" s="43"/>
      <c r="LP88" s="43"/>
      <c r="LQ88" s="43"/>
      <c r="LR88" s="43"/>
      <c r="LS88" s="43"/>
      <c r="LT88" s="43"/>
      <c r="LU88" s="43"/>
      <c r="LV88" s="43"/>
      <c r="LW88" s="43"/>
      <c r="LX88" s="43"/>
      <c r="LY88" s="43"/>
      <c r="LZ88" s="43"/>
      <c r="MA88" s="43"/>
      <c r="MB88" s="43"/>
      <c r="MC88" s="43"/>
      <c r="MD88" s="43"/>
      <c r="ME88" s="43"/>
      <c r="MF88" s="43"/>
      <c r="MG88" s="43"/>
      <c r="MH88" s="43"/>
      <c r="MI88" s="43"/>
      <c r="MJ88" s="43"/>
      <c r="MK88" s="43"/>
      <c r="ML88" s="43"/>
      <c r="MM88" s="43"/>
      <c r="MN88" s="43"/>
      <c r="MO88" s="43"/>
      <c r="MP88" s="43"/>
      <c r="MQ88" s="43"/>
      <c r="MR88" s="43"/>
      <c r="MS88" s="43"/>
      <c r="MT88" s="43"/>
      <c r="MU88" s="43"/>
      <c r="MV88" s="43"/>
      <c r="MW88" s="43"/>
      <c r="MX88" s="43"/>
      <c r="MY88" s="43"/>
      <c r="MZ88" s="43"/>
      <c r="NA88" s="43"/>
      <c r="NB88" s="43"/>
      <c r="NC88" s="43"/>
      <c r="ND88" s="43"/>
      <c r="NE88" s="43"/>
      <c r="NF88" s="43"/>
      <c r="NG88" s="43"/>
      <c r="NH88" s="43"/>
      <c r="NI88" s="43"/>
      <c r="NJ88" s="44"/>
      <c r="NK88" s="44"/>
      <c r="NL88" s="44"/>
      <c r="NM88" s="44"/>
      <c r="NN88" s="44"/>
      <c r="NO88" s="43"/>
      <c r="NP88" s="43"/>
      <c r="NQ88" s="43"/>
      <c r="NR88" s="43"/>
      <c r="NS88" s="43"/>
      <c r="NT88" s="43"/>
      <c r="NU88" s="43"/>
      <c r="NV88" s="43"/>
      <c r="NW88" s="43"/>
      <c r="NX88" s="43"/>
      <c r="NY88" s="43"/>
      <c r="NZ88" s="43"/>
      <c r="OA88" s="43"/>
      <c r="OB88" s="43"/>
      <c r="OC88" s="43"/>
      <c r="OD88" s="43"/>
      <c r="OE88" s="43"/>
      <c r="OF88" s="43"/>
      <c r="OG88" s="43"/>
      <c r="OH88" s="43"/>
      <c r="OI88" s="43"/>
      <c r="OJ88" s="43"/>
      <c r="OK88" s="43"/>
      <c r="OL88" s="43"/>
      <c r="OM88" s="43"/>
      <c r="ON88" s="43"/>
      <c r="OO88" s="43"/>
      <c r="OP88" s="43"/>
      <c r="OQ88" s="43"/>
      <c r="OR88" s="43"/>
      <c r="OS88" s="43"/>
      <c r="OT88" s="43"/>
      <c r="OU88" s="43"/>
      <c r="OV88" s="43"/>
      <c r="OW88" s="43"/>
      <c r="OX88" s="43"/>
      <c r="OY88" s="43"/>
      <c r="OZ88" s="43"/>
      <c r="PA88" s="43"/>
      <c r="PB88" s="43"/>
      <c r="PC88" s="43"/>
      <c r="PD88" s="43"/>
      <c r="PE88" s="43"/>
      <c r="PF88" s="43"/>
      <c r="PG88" s="43"/>
      <c r="PH88" s="43"/>
      <c r="PI88" s="43"/>
      <c r="PJ88" s="43"/>
      <c r="PK88" s="43"/>
      <c r="PL88" s="43"/>
      <c r="PM88" s="43"/>
      <c r="PN88" s="43"/>
      <c r="PO88" s="43"/>
      <c r="PP88" s="43"/>
      <c r="PQ88" s="43"/>
      <c r="PR88" s="43"/>
      <c r="PS88" s="43"/>
      <c r="PT88" s="43"/>
      <c r="PU88" s="43"/>
      <c r="PV88" s="43"/>
      <c r="PW88" s="43"/>
      <c r="PX88" s="43"/>
      <c r="PY88" s="43"/>
      <c r="PZ88" s="43"/>
      <c r="QA88" s="43"/>
      <c r="QB88" s="43"/>
      <c r="QC88" s="43"/>
      <c r="QD88" s="43"/>
      <c r="QE88" s="43"/>
      <c r="QF88" s="43"/>
      <c r="QG88" s="43"/>
      <c r="QH88" s="43"/>
      <c r="QI88" s="43"/>
      <c r="QJ88" s="43"/>
      <c r="QK88" s="43"/>
      <c r="QL88" s="43"/>
      <c r="QM88" s="43"/>
      <c r="QN88" s="43"/>
      <c r="QO88" s="43"/>
      <c r="QP88" s="43"/>
      <c r="QQ88" s="43"/>
      <c r="QR88" s="43"/>
      <c r="QS88" s="43"/>
      <c r="QT88" s="43"/>
      <c r="QU88" s="43"/>
      <c r="QV88" s="43"/>
      <c r="QW88" s="43"/>
      <c r="QX88" s="43"/>
      <c r="QY88" s="43"/>
      <c r="QZ88" s="43"/>
      <c r="RA88" s="43"/>
      <c r="RB88" s="43"/>
      <c r="RC88" s="43"/>
      <c r="RD88" s="43"/>
      <c r="RE88" s="43"/>
      <c r="RF88" s="43"/>
      <c r="RG88" s="43"/>
      <c r="RH88" s="43"/>
      <c r="RI88" s="43"/>
      <c r="RJ88" s="43"/>
      <c r="RK88" s="43"/>
      <c r="RL88" s="43"/>
      <c r="RM88" s="43"/>
      <c r="RN88" s="43"/>
      <c r="RO88" s="43"/>
      <c r="RP88" s="43"/>
      <c r="RQ88" s="43"/>
      <c r="RR88" s="43"/>
      <c r="RS88" s="43"/>
      <c r="RT88" s="43"/>
      <c r="RU88" s="43"/>
      <c r="RV88" s="43"/>
      <c r="RW88" s="43"/>
      <c r="RX88" s="43"/>
      <c r="RY88" s="43"/>
      <c r="RZ88" s="43"/>
      <c r="SA88" s="43"/>
      <c r="SB88" s="43"/>
      <c r="SC88" s="43"/>
      <c r="SD88" s="43"/>
      <c r="SE88" s="43"/>
      <c r="SF88" s="43"/>
      <c r="SG88" s="43"/>
      <c r="SH88" s="43"/>
      <c r="SI88" s="43"/>
      <c r="SJ88" s="43"/>
      <c r="SK88" s="43"/>
      <c r="SL88" s="43"/>
      <c r="SM88" s="43"/>
      <c r="SN88" s="43"/>
      <c r="SO88" s="43"/>
      <c r="SP88" s="43"/>
      <c r="SQ88" s="43"/>
      <c r="SR88" s="43"/>
      <c r="SS88" s="43"/>
      <c r="ST88" s="43"/>
      <c r="SU88" s="43"/>
      <c r="SV88" s="43"/>
      <c r="SW88" s="43"/>
      <c r="SX88" s="43"/>
      <c r="SY88" s="43"/>
      <c r="SZ88" s="43"/>
      <c r="TA88" s="43"/>
      <c r="TB88" s="43"/>
      <c r="TC88" s="43"/>
      <c r="TD88" s="43"/>
      <c r="TE88" s="43"/>
      <c r="TF88" s="43"/>
      <c r="TG88" s="43"/>
      <c r="TH88" s="43"/>
      <c r="TI88" s="43"/>
      <c r="TJ88" s="43"/>
      <c r="TK88" s="43"/>
      <c r="TL88" s="43"/>
      <c r="TM88" s="43"/>
      <c r="TN88" s="43"/>
      <c r="TO88" s="43"/>
      <c r="TP88" s="43"/>
      <c r="TQ88" s="43"/>
      <c r="TR88" s="43"/>
      <c r="TS88" s="43"/>
      <c r="TT88" s="43"/>
      <c r="TU88" s="43"/>
      <c r="TV88" s="43"/>
      <c r="TW88" s="43"/>
      <c r="TX88" s="43"/>
      <c r="TY88" s="43"/>
      <c r="TZ88" s="43"/>
      <c r="UA88" s="43"/>
      <c r="UB88" s="43"/>
      <c r="UC88" s="43"/>
      <c r="UD88" s="43"/>
      <c r="UE88" s="43"/>
      <c r="UF88" s="43"/>
      <c r="UG88" s="43"/>
      <c r="UH88" s="43"/>
      <c r="UI88" s="43"/>
      <c r="UJ88" s="43"/>
      <c r="UK88" s="43"/>
      <c r="UL88" s="43"/>
      <c r="UM88" s="43"/>
      <c r="UN88" s="43"/>
      <c r="UO88" s="43"/>
      <c r="UP88" s="43"/>
      <c r="UQ88" s="43"/>
      <c r="UR88" s="43"/>
      <c r="US88" s="43"/>
      <c r="UT88" s="43"/>
      <c r="UU88" s="43"/>
      <c r="UV88" s="43"/>
      <c r="UW88" s="43"/>
      <c r="UX88" s="43"/>
      <c r="UY88" s="43"/>
      <c r="UZ88" s="43"/>
      <c r="VA88" s="43"/>
      <c r="VB88" s="43"/>
      <c r="VC88" s="43"/>
      <c r="VD88" s="43"/>
      <c r="VE88" s="43"/>
      <c r="VF88" s="43"/>
      <c r="VG88" s="43"/>
      <c r="VH88" s="43"/>
      <c r="VI88" s="43"/>
      <c r="VJ88" s="43"/>
      <c r="VK88" s="43"/>
      <c r="VL88" s="43"/>
      <c r="VM88" s="43"/>
      <c r="VN88" s="43"/>
      <c r="VO88" s="43"/>
      <c r="VP88" s="43"/>
      <c r="VQ88" s="43"/>
      <c r="VR88" s="43"/>
      <c r="VS88" s="43"/>
      <c r="VT88" s="43"/>
      <c r="VU88" s="43"/>
      <c r="VV88" s="43"/>
      <c r="VW88" s="43"/>
      <c r="VX88" s="43"/>
      <c r="VY88" s="43"/>
      <c r="VZ88" s="43"/>
      <c r="WA88" s="43"/>
      <c r="WB88" s="43"/>
      <c r="WC88" s="43"/>
      <c r="WD88" s="43"/>
      <c r="WE88" s="43"/>
      <c r="WF88" s="43"/>
      <c r="WG88" s="43"/>
      <c r="WH88" s="43"/>
      <c r="WI88" s="43"/>
      <c r="WJ88" s="43"/>
      <c r="WK88" s="43"/>
      <c r="WL88" s="43"/>
      <c r="WM88" s="43"/>
      <c r="WN88" s="43"/>
      <c r="WO88" s="43"/>
      <c r="WP88" s="43"/>
      <c r="WQ88" s="43"/>
      <c r="WR88" s="43"/>
      <c r="WS88" s="43"/>
      <c r="WT88" s="43"/>
      <c r="WU88" s="43"/>
      <c r="WV88" s="43"/>
      <c r="WW88" s="43"/>
      <c r="WX88" s="43"/>
      <c r="WY88" s="43"/>
      <c r="WZ88" s="43"/>
      <c r="XA88" s="43"/>
      <c r="XB88" s="43"/>
      <c r="XC88" s="43"/>
      <c r="XD88" s="43"/>
      <c r="XE88" s="43"/>
      <c r="XF88" s="43"/>
      <c r="XG88" s="43"/>
      <c r="XH88" s="43"/>
      <c r="XI88" s="43"/>
      <c r="XJ88" s="43"/>
      <c r="XK88" s="43"/>
      <c r="XL88" s="43"/>
      <c r="XM88" s="43"/>
      <c r="XN88" s="43"/>
      <c r="XO88" s="43"/>
      <c r="XP88" s="43"/>
      <c r="XQ88" s="43"/>
      <c r="XR88" s="43"/>
      <c r="XS88" s="43"/>
      <c r="XT88" s="43"/>
      <c r="XU88" s="43"/>
      <c r="XV88" s="43"/>
      <c r="XW88" s="43"/>
      <c r="XX88" s="43"/>
      <c r="XY88" s="43"/>
      <c r="XZ88" s="43"/>
      <c r="YA88" s="44"/>
      <c r="YB88" s="44"/>
      <c r="YC88" s="44"/>
      <c r="YD88" s="44"/>
      <c r="YE88" s="44"/>
      <c r="YF88" s="43"/>
      <c r="YG88" s="43"/>
      <c r="YH88" s="43"/>
      <c r="YI88" s="43"/>
      <c r="YJ88" s="43"/>
      <c r="YK88" s="43"/>
      <c r="YL88" s="43"/>
      <c r="YM88" s="43"/>
      <c r="YN88" s="43"/>
      <c r="YO88" s="43"/>
      <c r="YP88" s="43"/>
      <c r="YQ88" s="43"/>
      <c r="YR88" s="43"/>
      <c r="YS88" s="43"/>
      <c r="YT88" s="43"/>
      <c r="YU88" s="43"/>
      <c r="YV88" s="43"/>
      <c r="YW88" s="43"/>
      <c r="YX88" s="43"/>
      <c r="YY88" s="43"/>
      <c r="YZ88" s="43"/>
      <c r="ZA88" s="43"/>
      <c r="ZB88" s="43"/>
      <c r="ZC88" s="43"/>
      <c r="ZD88" s="43"/>
      <c r="ZE88" s="43"/>
      <c r="ZF88" s="43"/>
      <c r="ZG88" s="43"/>
      <c r="ZH88" s="43"/>
      <c r="ZI88" s="43"/>
      <c r="ZJ88" s="43"/>
      <c r="ZK88" s="43"/>
      <c r="ZL88" s="43"/>
      <c r="ZM88" s="43"/>
      <c r="ZN88" s="43"/>
      <c r="ZO88" s="43"/>
      <c r="ZP88" s="43"/>
      <c r="ZQ88" s="43"/>
      <c r="ZR88" s="43"/>
      <c r="ZS88" s="43"/>
      <c r="ZT88" s="43"/>
      <c r="ZU88" s="43"/>
      <c r="ZV88" s="43"/>
      <c r="ZW88" s="44"/>
      <c r="ZX88" s="44"/>
      <c r="ZY88" s="44"/>
      <c r="ZZ88" s="44"/>
      <c r="AAA88" s="44"/>
      <c r="AAB88" s="44"/>
      <c r="AAC88" s="44"/>
      <c r="AAD88" s="44"/>
      <c r="AAE88" s="44"/>
      <c r="AAF88" s="44"/>
      <c r="AAG88" s="43"/>
      <c r="AAH88" s="43"/>
      <c r="AAI88" s="43"/>
      <c r="AAJ88" s="43"/>
      <c r="AAK88" s="43"/>
      <c r="AAL88" s="43"/>
      <c r="AAM88" s="43"/>
      <c r="AAN88" s="43"/>
      <c r="AAO88" s="43"/>
      <c r="AAP88" s="43"/>
      <c r="AAQ88" s="43"/>
      <c r="AAR88" s="43"/>
      <c r="AAS88" s="43"/>
      <c r="AAT88" s="43"/>
      <c r="AAU88" s="43"/>
      <c r="AAV88" s="43"/>
      <c r="AAW88" s="43"/>
      <c r="AAX88" s="43"/>
      <c r="AAY88" s="43"/>
      <c r="AAZ88" s="43"/>
      <c r="ABA88" s="43"/>
      <c r="ABB88" s="43"/>
      <c r="ABC88" s="43"/>
      <c r="ABD88" s="43"/>
      <c r="ABE88" s="43"/>
      <c r="ABF88" s="43"/>
      <c r="ABG88" s="43"/>
      <c r="ABH88" s="43"/>
      <c r="ABI88" s="43"/>
      <c r="ABJ88" s="43"/>
      <c r="ABK88" s="43"/>
      <c r="ABL88" s="43"/>
      <c r="ABM88" s="43"/>
      <c r="ABN88" s="43"/>
      <c r="ABO88" s="43"/>
      <c r="ABP88" s="43"/>
      <c r="ABQ88" s="43"/>
      <c r="ABR88" s="43"/>
      <c r="ABS88" s="43"/>
      <c r="ABT88" s="43"/>
      <c r="ABU88" s="43"/>
      <c r="ABV88" s="43"/>
      <c r="ABW88" s="43"/>
      <c r="ABX88" s="43"/>
      <c r="ABY88" s="43"/>
      <c r="ABZ88" s="43"/>
      <c r="ACA88" s="43"/>
      <c r="ACB88" s="43"/>
      <c r="ACC88" s="43"/>
      <c r="ACD88" s="43"/>
      <c r="ACE88" s="43"/>
      <c r="ACF88" s="43"/>
      <c r="ACG88" s="43"/>
      <c r="ACH88" s="45"/>
    </row>
    <row r="89" spans="1:762" x14ac:dyDescent="0.25">
      <c r="A89" s="46" t="s">
        <v>148</v>
      </c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7"/>
      <c r="BU89" s="47"/>
      <c r="BV89" s="47"/>
      <c r="BW89" s="47"/>
      <c r="BX89" s="47"/>
      <c r="BY89" s="47"/>
      <c r="BZ89" s="47"/>
      <c r="CA89" s="47"/>
      <c r="CB89" s="47"/>
      <c r="CC89" s="47"/>
      <c r="CD89" s="47"/>
      <c r="CE89" s="47"/>
      <c r="CF89" s="47"/>
      <c r="CG89" s="47"/>
      <c r="CH89" s="47"/>
      <c r="CI89" s="47"/>
      <c r="CJ89" s="47"/>
      <c r="CK89" s="47"/>
      <c r="CL89" s="47"/>
      <c r="CM89" s="47"/>
      <c r="CN89" s="47"/>
      <c r="CO89" s="47"/>
      <c r="CP89" s="47"/>
      <c r="CQ89" s="47"/>
      <c r="CR89" s="47"/>
      <c r="CS89" s="47"/>
      <c r="CT89" s="47"/>
      <c r="CU89" s="47"/>
      <c r="CV89" s="47"/>
      <c r="CW89" s="47"/>
      <c r="CX89" s="47"/>
      <c r="CY89" s="47"/>
      <c r="CZ89" s="47"/>
      <c r="DA89" s="47"/>
      <c r="DB89" s="47"/>
      <c r="DC89" s="47"/>
      <c r="DD89" s="47"/>
      <c r="DE89" s="47"/>
      <c r="DF89" s="47"/>
      <c r="DG89" s="47"/>
      <c r="DH89" s="47"/>
      <c r="DI89" s="47"/>
      <c r="DJ89" s="47"/>
      <c r="DK89" s="47"/>
      <c r="DL89" s="47"/>
      <c r="DM89" s="47"/>
      <c r="DN89" s="47"/>
      <c r="DO89" s="47"/>
      <c r="DP89" s="47"/>
      <c r="DQ89" s="47"/>
      <c r="DR89" s="47"/>
      <c r="DS89" s="47"/>
      <c r="DT89" s="47"/>
      <c r="DU89" s="47"/>
      <c r="DV89" s="47"/>
      <c r="DW89" s="47"/>
      <c r="DX89" s="47"/>
      <c r="DY89" s="47"/>
      <c r="DZ89" s="47"/>
      <c r="EA89" s="47"/>
      <c r="EB89" s="47"/>
      <c r="EC89" s="47"/>
      <c r="ED89" s="47"/>
      <c r="EE89" s="47"/>
      <c r="EF89" s="47"/>
      <c r="EG89" s="47"/>
      <c r="EH89" s="47"/>
      <c r="EI89" s="47"/>
      <c r="EJ89" s="47"/>
      <c r="EK89" s="47"/>
      <c r="EL89" s="47"/>
      <c r="EM89" s="47"/>
      <c r="EN89" s="47"/>
      <c r="EO89" s="47"/>
      <c r="EP89" s="47"/>
      <c r="EQ89" s="47"/>
      <c r="ER89" s="47"/>
      <c r="ES89" s="47"/>
      <c r="ET89" s="47"/>
      <c r="EU89" s="47"/>
      <c r="EV89" s="47"/>
      <c r="EW89" s="47"/>
      <c r="EX89" s="47"/>
      <c r="EY89" s="47"/>
      <c r="EZ89" s="47"/>
      <c r="FA89" s="47"/>
      <c r="FB89" s="47"/>
      <c r="FC89" s="47"/>
      <c r="FD89" s="47"/>
      <c r="FE89" s="47"/>
      <c r="FF89" s="47"/>
      <c r="FG89" s="47"/>
      <c r="FH89" s="47"/>
      <c r="FI89" s="47"/>
      <c r="FJ89" s="47"/>
      <c r="FK89" s="47"/>
      <c r="FL89" s="47"/>
      <c r="FM89" s="47"/>
      <c r="FN89" s="47"/>
      <c r="FO89" s="47"/>
      <c r="FP89" s="47"/>
      <c r="FQ89" s="47"/>
      <c r="FR89" s="47"/>
      <c r="FS89" s="47"/>
      <c r="FT89" s="47"/>
      <c r="FU89" s="47"/>
      <c r="FV89" s="47"/>
      <c r="FW89" s="47"/>
      <c r="FX89" s="47"/>
      <c r="FY89" s="47"/>
      <c r="FZ89" s="47"/>
      <c r="GA89" s="47"/>
      <c r="GB89" s="47"/>
      <c r="GC89" s="47"/>
      <c r="GD89" s="47"/>
      <c r="GE89" s="47"/>
      <c r="GF89" s="47"/>
      <c r="GG89" s="47"/>
      <c r="GH89" s="47"/>
      <c r="GI89" s="47"/>
      <c r="GJ89" s="47"/>
      <c r="GK89" s="47"/>
      <c r="GL89" s="47"/>
      <c r="GM89" s="47"/>
      <c r="GN89" s="47"/>
      <c r="GO89" s="47"/>
      <c r="GP89" s="47"/>
      <c r="GQ89" s="47"/>
      <c r="GR89" s="47"/>
      <c r="GS89" s="47"/>
      <c r="GT89" s="47"/>
      <c r="GU89" s="47"/>
      <c r="GV89" s="47"/>
      <c r="GW89" s="47"/>
      <c r="GX89" s="47"/>
      <c r="GY89" s="47"/>
      <c r="GZ89" s="47"/>
      <c r="HA89" s="47"/>
      <c r="HB89" s="47"/>
      <c r="HC89" s="47"/>
      <c r="HD89" s="47"/>
      <c r="HE89" s="47"/>
      <c r="HF89" s="47"/>
      <c r="HG89" s="47"/>
      <c r="HH89" s="47"/>
      <c r="HI89" s="47"/>
      <c r="HJ89" s="47"/>
      <c r="HK89" s="47"/>
      <c r="HL89" s="47"/>
      <c r="HM89" s="47"/>
      <c r="HN89" s="47"/>
      <c r="HO89" s="47"/>
      <c r="HP89" s="47"/>
      <c r="HQ89" s="47"/>
      <c r="HR89" s="47"/>
      <c r="HS89" s="47"/>
      <c r="HT89" s="47"/>
      <c r="HU89" s="47"/>
      <c r="HV89" s="47"/>
      <c r="HW89" s="47"/>
      <c r="HX89" s="47"/>
      <c r="HY89" s="47"/>
      <c r="HZ89" s="47"/>
      <c r="IA89" s="47"/>
      <c r="IB89" s="47"/>
      <c r="IC89" s="47"/>
      <c r="ID89" s="47"/>
      <c r="IE89" s="47"/>
      <c r="IF89" s="47"/>
      <c r="IG89" s="47"/>
      <c r="IH89" s="47"/>
      <c r="II89" s="47"/>
      <c r="IJ89" s="47"/>
      <c r="IK89" s="47"/>
      <c r="IL89" s="47"/>
      <c r="IM89" s="47"/>
      <c r="IN89" s="47"/>
      <c r="IO89" s="47"/>
      <c r="IP89" s="47"/>
      <c r="IQ89" s="47"/>
      <c r="IR89" s="47"/>
      <c r="IS89" s="47"/>
      <c r="IT89" s="47"/>
      <c r="IU89" s="47"/>
      <c r="IV89" s="47"/>
      <c r="IW89" s="47"/>
      <c r="IX89" s="47"/>
      <c r="IY89" s="47"/>
      <c r="IZ89" s="47"/>
      <c r="JA89" s="47"/>
      <c r="JB89" s="47"/>
      <c r="JC89" s="47"/>
      <c r="JD89" s="47"/>
      <c r="JE89" s="47"/>
      <c r="JF89" s="47"/>
      <c r="JG89" s="47"/>
      <c r="JH89" s="47"/>
      <c r="JI89" s="47"/>
      <c r="JJ89" s="47"/>
      <c r="JK89" s="47"/>
      <c r="JL89" s="47"/>
      <c r="JM89" s="47"/>
      <c r="JN89" s="47"/>
      <c r="JO89" s="47"/>
      <c r="JP89" s="47"/>
      <c r="JQ89" s="47"/>
      <c r="JR89" s="47"/>
      <c r="JS89" s="47"/>
      <c r="JT89" s="47"/>
      <c r="JU89" s="47"/>
      <c r="JV89" s="47"/>
      <c r="JW89" s="47"/>
      <c r="JX89" s="47"/>
      <c r="JY89" s="47"/>
      <c r="JZ89" s="47"/>
      <c r="KA89" s="47"/>
      <c r="KB89" s="47"/>
      <c r="KC89" s="47"/>
      <c r="KD89" s="47"/>
      <c r="KE89" s="47"/>
      <c r="KF89" s="47"/>
      <c r="KG89" s="47"/>
      <c r="KH89" s="47"/>
      <c r="KI89" s="47"/>
      <c r="KJ89" s="47"/>
      <c r="KK89" s="47"/>
      <c r="KL89" s="47"/>
      <c r="KM89" s="47"/>
      <c r="KN89" s="47"/>
      <c r="KO89" s="47"/>
      <c r="KP89" s="47"/>
      <c r="KQ89" s="47"/>
      <c r="KR89" s="47"/>
      <c r="KS89" s="47"/>
      <c r="KT89" s="47"/>
      <c r="KU89" s="47"/>
      <c r="KV89" s="47"/>
      <c r="KW89" s="47"/>
      <c r="KX89" s="47"/>
      <c r="KY89" s="47"/>
      <c r="KZ89" s="47"/>
      <c r="LA89" s="47"/>
      <c r="LB89" s="47"/>
      <c r="LC89" s="47"/>
      <c r="LD89" s="47"/>
      <c r="LE89" s="47"/>
      <c r="LF89" s="47"/>
      <c r="LG89" s="47"/>
      <c r="LH89" s="47"/>
      <c r="LI89" s="47"/>
      <c r="LJ89" s="47"/>
      <c r="LK89" s="47"/>
      <c r="LL89" s="47"/>
      <c r="LM89" s="47"/>
      <c r="LN89" s="47"/>
      <c r="LO89" s="47"/>
      <c r="LP89" s="47"/>
      <c r="LQ89" s="47"/>
      <c r="LR89" s="47"/>
      <c r="LS89" s="47"/>
      <c r="LT89" s="47"/>
      <c r="LU89" s="47"/>
      <c r="LV89" s="47"/>
      <c r="LW89" s="47"/>
      <c r="LX89" s="47"/>
      <c r="LY89" s="47"/>
      <c r="LZ89" s="47"/>
      <c r="MA89" s="47"/>
      <c r="MB89" s="47"/>
      <c r="MC89" s="47"/>
      <c r="MD89" s="47"/>
      <c r="ME89" s="47"/>
      <c r="MF89" s="47"/>
      <c r="MG89" s="47"/>
      <c r="MH89" s="47"/>
      <c r="MI89" s="47"/>
      <c r="MJ89" s="47"/>
      <c r="MK89" s="47"/>
      <c r="ML89" s="47"/>
      <c r="MM89" s="47"/>
      <c r="MN89" s="47"/>
      <c r="MO89" s="47"/>
      <c r="MP89" s="47"/>
      <c r="MQ89" s="47"/>
      <c r="MR89" s="47"/>
      <c r="MS89" s="47"/>
      <c r="MT89" s="47"/>
      <c r="MU89" s="47"/>
      <c r="MV89" s="47"/>
      <c r="MW89" s="47"/>
      <c r="MX89" s="47"/>
      <c r="MY89" s="47"/>
      <c r="MZ89" s="47"/>
      <c r="NA89" s="47"/>
      <c r="NB89" s="47"/>
      <c r="NC89" s="47"/>
      <c r="ND89" s="47"/>
      <c r="NE89" s="47"/>
      <c r="NF89" s="47"/>
      <c r="NG89" s="47"/>
      <c r="NH89" s="47"/>
      <c r="NI89" s="47"/>
      <c r="NJ89" s="44"/>
      <c r="NK89" s="44"/>
      <c r="NL89" s="44"/>
      <c r="NM89" s="44"/>
      <c r="NN89" s="44"/>
      <c r="NO89" s="47"/>
      <c r="NP89" s="47"/>
      <c r="NQ89" s="47"/>
      <c r="NR89" s="47"/>
      <c r="NS89" s="47"/>
      <c r="NT89" s="47"/>
      <c r="NU89" s="47"/>
      <c r="NV89" s="47"/>
      <c r="NW89" s="47"/>
      <c r="NX89" s="47"/>
      <c r="NY89" s="47"/>
      <c r="NZ89" s="47"/>
      <c r="OA89" s="47"/>
      <c r="OB89" s="47"/>
      <c r="OC89" s="47"/>
      <c r="OD89" s="47"/>
      <c r="OE89" s="47"/>
      <c r="OF89" s="47"/>
      <c r="OG89" s="47"/>
      <c r="OH89" s="47"/>
      <c r="OI89" s="47"/>
      <c r="OJ89" s="47"/>
      <c r="OK89" s="47"/>
      <c r="OL89" s="47"/>
      <c r="OM89" s="47"/>
      <c r="ON89" s="47"/>
      <c r="OO89" s="47"/>
      <c r="OP89" s="47"/>
      <c r="OQ89" s="47"/>
      <c r="OR89" s="47"/>
      <c r="OS89" s="47"/>
      <c r="OT89" s="47"/>
      <c r="OU89" s="47"/>
      <c r="OV89" s="47"/>
      <c r="OW89" s="47"/>
      <c r="OX89" s="47"/>
      <c r="OY89" s="47"/>
      <c r="OZ89" s="47"/>
      <c r="PA89" s="47"/>
      <c r="PB89" s="47"/>
      <c r="PC89" s="47"/>
      <c r="PD89" s="47"/>
      <c r="PE89" s="47"/>
      <c r="PF89" s="47"/>
      <c r="PG89" s="47"/>
      <c r="PH89" s="47"/>
      <c r="PI89" s="47"/>
      <c r="PJ89" s="47"/>
      <c r="PK89" s="47"/>
      <c r="PL89" s="47"/>
      <c r="PM89" s="47"/>
      <c r="PN89" s="47"/>
      <c r="PO89" s="47"/>
      <c r="PP89" s="47"/>
      <c r="PQ89" s="47"/>
      <c r="PR89" s="47"/>
      <c r="PS89" s="47"/>
      <c r="PT89" s="47"/>
      <c r="PU89" s="47"/>
      <c r="PV89" s="47"/>
      <c r="PW89" s="47"/>
      <c r="PX89" s="47"/>
      <c r="PY89" s="47"/>
      <c r="PZ89" s="47"/>
      <c r="QA89" s="47"/>
      <c r="QB89" s="47"/>
      <c r="QC89" s="47"/>
      <c r="QD89" s="47"/>
      <c r="QE89" s="47"/>
      <c r="QF89" s="47"/>
      <c r="QG89" s="47"/>
      <c r="QH89" s="47"/>
      <c r="QI89" s="47"/>
      <c r="QJ89" s="47"/>
      <c r="QK89" s="47"/>
      <c r="QL89" s="47"/>
      <c r="QM89" s="47"/>
      <c r="QN89" s="47"/>
      <c r="QO89" s="47"/>
      <c r="QP89" s="47"/>
      <c r="QQ89" s="47"/>
      <c r="QR89" s="47"/>
      <c r="QS89" s="47"/>
      <c r="QT89" s="47"/>
      <c r="QU89" s="47"/>
      <c r="QV89" s="47"/>
      <c r="QW89" s="47"/>
      <c r="QX89" s="47"/>
      <c r="QY89" s="47"/>
      <c r="QZ89" s="47"/>
      <c r="RA89" s="47"/>
      <c r="RB89" s="47"/>
      <c r="RC89" s="47"/>
      <c r="RD89" s="47"/>
      <c r="RE89" s="47"/>
      <c r="RF89" s="47"/>
      <c r="RG89" s="47"/>
      <c r="RH89" s="47"/>
      <c r="RI89" s="47"/>
      <c r="RJ89" s="47"/>
      <c r="RK89" s="47"/>
      <c r="RL89" s="47"/>
      <c r="RM89" s="47"/>
      <c r="RN89" s="47"/>
      <c r="RO89" s="47"/>
      <c r="RP89" s="47"/>
      <c r="RQ89" s="47"/>
      <c r="RR89" s="47"/>
      <c r="RS89" s="47"/>
      <c r="RT89" s="47"/>
      <c r="RU89" s="47"/>
      <c r="RV89" s="47"/>
      <c r="RW89" s="47"/>
      <c r="RX89" s="47"/>
      <c r="RY89" s="47"/>
      <c r="RZ89" s="47"/>
      <c r="SA89" s="47"/>
      <c r="SB89" s="47"/>
      <c r="SC89" s="47"/>
      <c r="SD89" s="47"/>
      <c r="SE89" s="47"/>
      <c r="SF89" s="47"/>
      <c r="SG89" s="47"/>
      <c r="SH89" s="47"/>
      <c r="SI89" s="47"/>
      <c r="SJ89" s="47"/>
      <c r="SK89" s="47"/>
      <c r="SL89" s="47"/>
      <c r="SM89" s="47"/>
      <c r="SN89" s="47"/>
      <c r="SO89" s="47"/>
      <c r="SP89" s="47"/>
      <c r="SQ89" s="47"/>
      <c r="SR89" s="47"/>
      <c r="SS89" s="47"/>
      <c r="ST89" s="47"/>
      <c r="SU89" s="47"/>
      <c r="SV89" s="47"/>
      <c r="SW89" s="47"/>
      <c r="SX89" s="47"/>
      <c r="SY89" s="47"/>
      <c r="SZ89" s="47"/>
      <c r="TA89" s="47"/>
      <c r="TB89" s="47"/>
      <c r="TC89" s="47"/>
      <c r="TD89" s="47"/>
      <c r="TE89" s="47"/>
      <c r="TF89" s="47"/>
      <c r="TG89" s="47"/>
      <c r="TH89" s="47"/>
      <c r="TI89" s="47"/>
      <c r="TJ89" s="47"/>
      <c r="TK89" s="47"/>
      <c r="TL89" s="47"/>
      <c r="TM89" s="47"/>
      <c r="TN89" s="47"/>
      <c r="TO89" s="47"/>
      <c r="TP89" s="47"/>
      <c r="TQ89" s="47"/>
      <c r="TR89" s="47"/>
      <c r="TS89" s="47"/>
      <c r="TT89" s="47"/>
      <c r="TU89" s="47"/>
      <c r="TV89" s="47"/>
      <c r="TW89" s="47"/>
      <c r="TX89" s="47"/>
      <c r="TY89" s="47"/>
      <c r="TZ89" s="47"/>
      <c r="UA89" s="47"/>
      <c r="UB89" s="47"/>
      <c r="UC89" s="47"/>
      <c r="UD89" s="47"/>
      <c r="UE89" s="47"/>
      <c r="UF89" s="47"/>
      <c r="UG89" s="47"/>
      <c r="UH89" s="47"/>
      <c r="UI89" s="47"/>
      <c r="UJ89" s="47"/>
      <c r="UK89" s="47"/>
      <c r="UL89" s="47"/>
      <c r="UM89" s="47"/>
      <c r="UN89" s="47"/>
      <c r="UO89" s="47"/>
      <c r="UP89" s="47"/>
      <c r="UQ89" s="47"/>
      <c r="UR89" s="47"/>
      <c r="US89" s="47"/>
      <c r="UT89" s="47"/>
      <c r="UU89" s="47"/>
      <c r="UV89" s="47"/>
      <c r="UW89" s="47"/>
      <c r="UX89" s="47"/>
      <c r="UY89" s="47"/>
      <c r="UZ89" s="47"/>
      <c r="VA89" s="47"/>
      <c r="VB89" s="47"/>
      <c r="VC89" s="47"/>
      <c r="VD89" s="47"/>
      <c r="VE89" s="47"/>
      <c r="VF89" s="47"/>
      <c r="VG89" s="47"/>
      <c r="VH89" s="47"/>
      <c r="VI89" s="47"/>
      <c r="VJ89" s="47"/>
      <c r="VK89" s="47"/>
      <c r="VL89" s="47"/>
      <c r="VM89" s="47"/>
      <c r="VN89" s="47"/>
      <c r="VO89" s="47"/>
      <c r="VP89" s="47"/>
      <c r="VQ89" s="47"/>
      <c r="VR89" s="47"/>
      <c r="VS89" s="47"/>
      <c r="VT89" s="47"/>
      <c r="VU89" s="47"/>
      <c r="VV89" s="47"/>
      <c r="VW89" s="47"/>
      <c r="VX89" s="47"/>
      <c r="VY89" s="47"/>
      <c r="VZ89" s="47"/>
      <c r="WA89" s="47"/>
      <c r="WB89" s="47"/>
      <c r="WC89" s="47"/>
      <c r="WD89" s="47"/>
      <c r="WE89" s="47"/>
      <c r="WF89" s="47"/>
      <c r="WG89" s="47"/>
      <c r="WH89" s="47"/>
      <c r="WI89" s="47"/>
      <c r="WJ89" s="47"/>
      <c r="WK89" s="47"/>
      <c r="WL89" s="47"/>
      <c r="WM89" s="47"/>
      <c r="WN89" s="47"/>
      <c r="WO89" s="47"/>
      <c r="WP89" s="47"/>
      <c r="WQ89" s="47"/>
      <c r="WR89" s="47"/>
      <c r="WS89" s="47"/>
      <c r="WT89" s="47"/>
      <c r="WU89" s="47"/>
      <c r="WV89" s="47"/>
      <c r="WW89" s="47"/>
      <c r="WX89" s="47"/>
      <c r="WY89" s="47"/>
      <c r="WZ89" s="47"/>
      <c r="XA89" s="47"/>
      <c r="XB89" s="47"/>
      <c r="XC89" s="47"/>
      <c r="XD89" s="47"/>
      <c r="XE89" s="47"/>
      <c r="XF89" s="47"/>
      <c r="XG89" s="47"/>
      <c r="XH89" s="47"/>
      <c r="XI89" s="47"/>
      <c r="XJ89" s="47"/>
      <c r="XK89" s="47"/>
      <c r="XL89" s="47"/>
      <c r="XM89" s="47"/>
      <c r="XN89" s="47"/>
      <c r="XO89" s="47"/>
      <c r="XP89" s="47"/>
      <c r="XQ89" s="47"/>
      <c r="XR89" s="47"/>
      <c r="XS89" s="47"/>
      <c r="XT89" s="47"/>
      <c r="XU89" s="47"/>
      <c r="XV89" s="47"/>
      <c r="XW89" s="47"/>
      <c r="XX89" s="47"/>
      <c r="XY89" s="47"/>
      <c r="XZ89" s="47"/>
      <c r="YA89" s="44"/>
      <c r="YB89" s="44"/>
      <c r="YC89" s="44"/>
      <c r="YD89" s="44"/>
      <c r="YE89" s="44"/>
      <c r="YF89" s="47"/>
      <c r="YG89" s="47"/>
      <c r="YH89" s="47"/>
      <c r="YI89" s="47"/>
      <c r="YJ89" s="47"/>
      <c r="YK89" s="47"/>
      <c r="YL89" s="47"/>
      <c r="YM89" s="47"/>
      <c r="YN89" s="47"/>
      <c r="YO89" s="47"/>
      <c r="YP89" s="47"/>
      <c r="YQ89" s="47"/>
      <c r="YR89" s="47"/>
      <c r="YS89" s="47"/>
      <c r="YT89" s="47"/>
      <c r="YU89" s="47"/>
      <c r="YV89" s="47"/>
      <c r="YW89" s="47"/>
      <c r="YX89" s="47"/>
      <c r="YY89" s="47"/>
      <c r="YZ89" s="47"/>
      <c r="ZA89" s="47"/>
      <c r="ZB89" s="47"/>
      <c r="ZC89" s="47"/>
      <c r="ZD89" s="47"/>
      <c r="ZE89" s="47"/>
      <c r="ZF89" s="47"/>
      <c r="ZG89" s="47"/>
      <c r="ZH89" s="47"/>
      <c r="ZI89" s="47"/>
      <c r="ZJ89" s="47"/>
      <c r="ZK89" s="47"/>
      <c r="ZL89" s="47"/>
      <c r="ZM89" s="47"/>
      <c r="ZN89" s="47"/>
      <c r="ZO89" s="47"/>
      <c r="ZP89" s="47"/>
      <c r="ZQ89" s="47"/>
      <c r="ZR89" s="47"/>
      <c r="ZS89" s="47"/>
      <c r="ZT89" s="47"/>
      <c r="ZU89" s="47"/>
      <c r="ZV89" s="47"/>
      <c r="ZW89" s="44"/>
      <c r="ZX89" s="44"/>
      <c r="ZY89" s="44"/>
      <c r="ZZ89" s="44"/>
      <c r="AAA89" s="44"/>
      <c r="AAB89" s="44"/>
      <c r="AAC89" s="44"/>
      <c r="AAD89" s="44"/>
      <c r="AAE89" s="44"/>
      <c r="AAF89" s="44"/>
      <c r="AAG89" s="47"/>
      <c r="AAH89" s="47"/>
      <c r="AAI89" s="47"/>
      <c r="AAJ89" s="47"/>
      <c r="AAK89" s="47"/>
      <c r="AAL89" s="47"/>
      <c r="AAM89" s="47"/>
      <c r="AAN89" s="47"/>
      <c r="AAO89" s="47"/>
      <c r="AAP89" s="47"/>
      <c r="AAQ89" s="47"/>
      <c r="AAR89" s="47"/>
      <c r="AAS89" s="47"/>
      <c r="AAT89" s="47"/>
      <c r="AAU89" s="47"/>
      <c r="AAV89" s="47"/>
      <c r="AAW89" s="47"/>
      <c r="AAX89" s="47"/>
      <c r="AAY89" s="47"/>
      <c r="AAZ89" s="47"/>
      <c r="ABA89" s="47"/>
      <c r="ABB89" s="47"/>
      <c r="ABC89" s="47"/>
      <c r="ABD89" s="47"/>
      <c r="ABE89" s="47"/>
      <c r="ABF89" s="47"/>
      <c r="ABG89" s="47"/>
      <c r="ABH89" s="47"/>
      <c r="ABI89" s="47"/>
      <c r="ABJ89" s="47"/>
      <c r="ABK89" s="47"/>
      <c r="ABL89" s="47"/>
      <c r="ABM89" s="47"/>
      <c r="ABN89" s="47"/>
      <c r="ABO89" s="47"/>
      <c r="ABP89" s="47"/>
      <c r="ABQ89" s="47"/>
      <c r="ABR89" s="47"/>
      <c r="ABS89" s="47"/>
      <c r="ABT89" s="47"/>
      <c r="ABU89" s="47"/>
      <c r="ABV89" s="47"/>
      <c r="ABW89" s="47"/>
      <c r="ABX89" s="47"/>
      <c r="ABY89" s="47"/>
      <c r="ABZ89" s="47"/>
      <c r="ACA89" s="47"/>
      <c r="ACB89" s="47"/>
      <c r="ACC89" s="47"/>
      <c r="ACD89" s="47"/>
      <c r="ACE89" s="47"/>
      <c r="ACF89" s="47"/>
      <c r="ACG89" s="47"/>
      <c r="ACH89" s="48"/>
    </row>
    <row r="90" spans="1:762" x14ac:dyDescent="0.25">
      <c r="A90" s="42" t="s">
        <v>149</v>
      </c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>
        <v>50</v>
      </c>
      <c r="AM90" s="43"/>
      <c r="AN90" s="43"/>
      <c r="AO90" s="43"/>
      <c r="AP90" s="43"/>
      <c r="AQ90" s="43"/>
      <c r="AR90" s="43"/>
      <c r="AS90" s="43"/>
      <c r="AT90" s="43">
        <v>33</v>
      </c>
      <c r="AU90" s="43"/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43"/>
      <c r="BI90" s="43"/>
      <c r="BJ90" s="43"/>
      <c r="BK90" s="43"/>
      <c r="BL90" s="43"/>
      <c r="BM90" s="43"/>
      <c r="BN90" s="43"/>
      <c r="BO90" s="43"/>
      <c r="BP90" s="43"/>
      <c r="BQ90" s="43"/>
      <c r="BR90" s="43"/>
      <c r="BS90" s="43"/>
      <c r="BT90" s="43"/>
      <c r="BU90" s="43"/>
      <c r="BV90" s="43"/>
      <c r="BW90" s="43"/>
      <c r="BX90" s="43"/>
      <c r="BY90" s="43"/>
      <c r="BZ90" s="43"/>
      <c r="CA90" s="43"/>
      <c r="CB90" s="43"/>
      <c r="CC90" s="43"/>
      <c r="CD90" s="43"/>
      <c r="CE90" s="43"/>
      <c r="CF90" s="43"/>
      <c r="CG90" s="43"/>
      <c r="CH90" s="43"/>
      <c r="CI90" s="43"/>
      <c r="CJ90" s="43"/>
      <c r="CK90" s="43"/>
      <c r="CL90" s="43"/>
      <c r="CM90" s="43"/>
      <c r="CN90" s="43"/>
      <c r="CO90" s="43"/>
      <c r="CP90" s="43"/>
      <c r="CQ90" s="43"/>
      <c r="CR90" s="43"/>
      <c r="CS90" s="43"/>
      <c r="CT90" s="43"/>
      <c r="CU90" s="43"/>
      <c r="CV90" s="43"/>
      <c r="CW90" s="43"/>
      <c r="CX90" s="43"/>
      <c r="CY90" s="43"/>
      <c r="CZ90" s="43"/>
      <c r="DA90" s="43"/>
      <c r="DB90" s="43"/>
      <c r="DC90" s="43"/>
      <c r="DD90" s="43"/>
      <c r="DE90" s="43"/>
      <c r="DF90" s="43"/>
      <c r="DG90" s="43"/>
      <c r="DH90" s="43"/>
      <c r="DI90" s="43"/>
      <c r="DJ90" s="43"/>
      <c r="DK90" s="43"/>
      <c r="DL90" s="43"/>
      <c r="DM90" s="43"/>
      <c r="DN90" s="43"/>
      <c r="DO90" s="43"/>
      <c r="DP90" s="43"/>
      <c r="DQ90" s="43"/>
      <c r="DR90" s="43"/>
      <c r="DS90" s="43"/>
      <c r="DT90" s="43"/>
      <c r="DU90" s="43"/>
      <c r="DV90" s="43"/>
      <c r="DW90" s="43"/>
      <c r="DX90" s="43"/>
      <c r="DY90" s="43"/>
      <c r="DZ90" s="43"/>
      <c r="EA90" s="43"/>
      <c r="EB90" s="43"/>
      <c r="EC90" s="43"/>
      <c r="ED90" s="43"/>
      <c r="EE90" s="43"/>
      <c r="EF90" s="43"/>
      <c r="EG90" s="43"/>
      <c r="EH90" s="43"/>
      <c r="EI90" s="43"/>
      <c r="EJ90" s="43"/>
      <c r="EK90" s="43"/>
      <c r="EL90" s="43"/>
      <c r="EM90" s="43"/>
      <c r="EN90" s="43"/>
      <c r="EO90" s="43"/>
      <c r="EP90" s="43"/>
      <c r="EQ90" s="43"/>
      <c r="ER90" s="43"/>
      <c r="ES90" s="43"/>
      <c r="ET90" s="43"/>
      <c r="EU90" s="43"/>
      <c r="EV90" s="43"/>
      <c r="EW90" s="43"/>
      <c r="EX90" s="43"/>
      <c r="EY90" s="43"/>
      <c r="EZ90" s="43"/>
      <c r="FA90" s="43"/>
      <c r="FB90" s="43"/>
      <c r="FC90" s="43"/>
      <c r="FD90" s="43"/>
      <c r="FE90" s="43"/>
      <c r="FF90" s="43"/>
      <c r="FG90" s="43"/>
      <c r="FH90" s="43"/>
      <c r="FI90" s="43"/>
      <c r="FJ90" s="43"/>
      <c r="FK90" s="43"/>
      <c r="FL90" s="43"/>
      <c r="FM90" s="43"/>
      <c r="FN90" s="43"/>
      <c r="FO90" s="43"/>
      <c r="FP90" s="43"/>
      <c r="FQ90" s="43"/>
      <c r="FR90" s="43"/>
      <c r="FS90" s="43"/>
      <c r="FT90" s="43"/>
      <c r="FU90" s="43"/>
      <c r="FV90" s="43"/>
      <c r="FW90" s="43"/>
      <c r="FX90" s="43"/>
      <c r="FY90" s="43"/>
      <c r="FZ90" s="43"/>
      <c r="GA90" s="43"/>
      <c r="GB90" s="43"/>
      <c r="GC90" s="43"/>
      <c r="GD90" s="43"/>
      <c r="GE90" s="43"/>
      <c r="GF90" s="43"/>
      <c r="GG90" s="43"/>
      <c r="GH90" s="43"/>
      <c r="GI90" s="43"/>
      <c r="GJ90" s="43"/>
      <c r="GK90" s="43"/>
      <c r="GL90" s="43"/>
      <c r="GM90" s="43"/>
      <c r="GN90" s="43"/>
      <c r="GO90" s="43"/>
      <c r="GP90" s="43"/>
      <c r="GQ90" s="43"/>
      <c r="GR90" s="43"/>
      <c r="GS90" s="43"/>
      <c r="GT90" s="43"/>
      <c r="GU90" s="43"/>
      <c r="GV90" s="43"/>
      <c r="GW90" s="43"/>
      <c r="GX90" s="43"/>
      <c r="GY90" s="43"/>
      <c r="GZ90" s="43"/>
      <c r="HA90" s="43"/>
      <c r="HB90" s="43"/>
      <c r="HC90" s="43"/>
      <c r="HD90" s="43"/>
      <c r="HE90" s="43"/>
      <c r="HF90" s="43"/>
      <c r="HG90" s="43"/>
      <c r="HH90" s="43"/>
      <c r="HI90" s="43"/>
      <c r="HJ90" s="43"/>
      <c r="HK90" s="43"/>
      <c r="HL90" s="43"/>
      <c r="HM90" s="43"/>
      <c r="HN90" s="43"/>
      <c r="HO90" s="43"/>
      <c r="HP90" s="43"/>
      <c r="HQ90" s="43"/>
      <c r="HR90" s="43"/>
      <c r="HS90" s="43"/>
      <c r="HT90" s="43"/>
      <c r="HU90" s="43"/>
      <c r="HV90" s="43"/>
      <c r="HW90" s="43"/>
      <c r="HX90" s="43"/>
      <c r="HY90" s="43"/>
      <c r="HZ90" s="43"/>
      <c r="IA90" s="43"/>
      <c r="IB90" s="43"/>
      <c r="IC90" s="43"/>
      <c r="ID90" s="43"/>
      <c r="IE90" s="43"/>
      <c r="IF90" s="43"/>
      <c r="IG90" s="43"/>
      <c r="IH90" s="43"/>
      <c r="II90" s="43"/>
      <c r="IJ90" s="43"/>
      <c r="IK90" s="43"/>
      <c r="IL90" s="43"/>
      <c r="IM90" s="43"/>
      <c r="IN90" s="43"/>
      <c r="IO90" s="43"/>
      <c r="IP90" s="43"/>
      <c r="IQ90" s="43"/>
      <c r="IR90" s="43"/>
      <c r="IS90" s="43"/>
      <c r="IT90" s="43"/>
      <c r="IU90" s="43"/>
      <c r="IV90" s="43"/>
      <c r="IW90" s="43"/>
      <c r="IX90" s="43"/>
      <c r="IY90" s="43"/>
      <c r="IZ90" s="43"/>
      <c r="JA90" s="43"/>
      <c r="JB90" s="43"/>
      <c r="JC90" s="43"/>
      <c r="JD90" s="43"/>
      <c r="JE90" s="43"/>
      <c r="JF90" s="43"/>
      <c r="JG90" s="43"/>
      <c r="JH90" s="43"/>
      <c r="JI90" s="43"/>
      <c r="JJ90" s="43"/>
      <c r="JK90" s="43"/>
      <c r="JL90" s="43"/>
      <c r="JM90" s="43"/>
      <c r="JN90" s="43"/>
      <c r="JO90" s="43"/>
      <c r="JP90" s="43"/>
      <c r="JQ90" s="43"/>
      <c r="JR90" s="43"/>
      <c r="JS90" s="43"/>
      <c r="JT90" s="43"/>
      <c r="JU90" s="43"/>
      <c r="JV90" s="43"/>
      <c r="JW90" s="43"/>
      <c r="JX90" s="43"/>
      <c r="JY90" s="43"/>
      <c r="JZ90" s="43"/>
      <c r="KA90" s="43"/>
      <c r="KB90" s="53"/>
      <c r="KC90" s="43"/>
      <c r="KD90" s="43"/>
      <c r="KE90" s="43"/>
      <c r="KF90" s="43"/>
      <c r="KG90" s="43"/>
      <c r="KH90" s="43"/>
      <c r="KI90" s="43"/>
      <c r="KJ90" s="43"/>
      <c r="KK90" s="43"/>
      <c r="KL90" s="43"/>
      <c r="KM90" s="43"/>
      <c r="KN90" s="43"/>
      <c r="KO90" s="43"/>
      <c r="KP90" s="43"/>
      <c r="KQ90" s="43"/>
      <c r="KR90" s="43"/>
      <c r="KS90" s="43"/>
      <c r="KT90" s="43"/>
      <c r="KU90" s="43"/>
      <c r="KV90" s="43"/>
      <c r="KW90" s="43"/>
      <c r="KX90" s="43"/>
      <c r="KY90" s="43"/>
      <c r="KZ90" s="43"/>
      <c r="LA90" s="43"/>
      <c r="LB90" s="43"/>
      <c r="LC90" s="43"/>
      <c r="LD90" s="43"/>
      <c r="LE90" s="43"/>
      <c r="LF90" s="43"/>
      <c r="LG90" s="43"/>
      <c r="LH90" s="43"/>
      <c r="LI90" s="43"/>
      <c r="LJ90" s="43"/>
      <c r="LK90" s="43"/>
      <c r="LL90" s="43"/>
      <c r="LM90" s="43"/>
      <c r="LN90" s="43"/>
      <c r="LO90" s="43"/>
      <c r="LP90" s="43"/>
      <c r="LQ90" s="43"/>
      <c r="LR90" s="43"/>
      <c r="LS90" s="43"/>
      <c r="LT90" s="43"/>
      <c r="LU90" s="43"/>
      <c r="LV90" s="43"/>
      <c r="LW90" s="43"/>
      <c r="LX90" s="43"/>
      <c r="LY90" s="43"/>
      <c r="LZ90" s="43"/>
      <c r="MA90" s="43"/>
      <c r="MB90" s="43"/>
      <c r="MC90" s="43"/>
      <c r="MD90" s="43"/>
      <c r="ME90" s="43"/>
      <c r="MF90" s="43"/>
      <c r="MG90" s="43"/>
      <c r="MH90" s="43"/>
      <c r="MI90" s="43"/>
      <c r="MJ90" s="43"/>
      <c r="MK90" s="43"/>
      <c r="ML90" s="43"/>
      <c r="MM90" s="43"/>
      <c r="MN90" s="43"/>
      <c r="MO90" s="43"/>
      <c r="MP90" s="43"/>
      <c r="MQ90" s="43"/>
      <c r="MR90" s="43"/>
      <c r="MS90" s="43"/>
      <c r="MT90" s="43"/>
      <c r="MU90" s="43"/>
      <c r="MV90" s="43"/>
      <c r="MW90" s="43"/>
      <c r="MX90" s="43"/>
      <c r="MY90" s="43"/>
      <c r="MZ90" s="43"/>
      <c r="NA90" s="43"/>
      <c r="NB90" s="43"/>
      <c r="NC90" s="43"/>
      <c r="ND90" s="43"/>
      <c r="NE90" s="43"/>
      <c r="NF90" s="43"/>
      <c r="NG90" s="43"/>
      <c r="NH90" s="43"/>
      <c r="NI90" s="43"/>
      <c r="NJ90" s="44"/>
      <c r="NK90" s="44"/>
      <c r="NL90" s="44"/>
      <c r="NM90" s="44"/>
      <c r="NN90" s="44"/>
      <c r="NO90" s="43">
        <v>81</v>
      </c>
      <c r="NP90" s="43"/>
      <c r="NQ90" s="43"/>
      <c r="NR90" s="43"/>
      <c r="NS90" s="43"/>
      <c r="NT90" s="43"/>
      <c r="NU90" s="43"/>
      <c r="NV90" s="43"/>
      <c r="NW90" s="43"/>
      <c r="NX90" s="43"/>
      <c r="NY90" s="43"/>
      <c r="NZ90" s="43"/>
      <c r="OA90" s="43"/>
      <c r="OB90" s="43"/>
      <c r="OC90" s="43">
        <v>147</v>
      </c>
      <c r="OD90" s="43"/>
      <c r="OE90" s="43"/>
      <c r="OF90" s="43"/>
      <c r="OG90" s="43"/>
      <c r="OH90" s="43"/>
      <c r="OI90" s="43"/>
      <c r="OJ90" s="43"/>
      <c r="OK90" s="43"/>
      <c r="OL90" s="43">
        <v>113</v>
      </c>
      <c r="OM90" s="43"/>
      <c r="ON90" s="43"/>
      <c r="OO90" s="43"/>
      <c r="OP90" s="43"/>
      <c r="OQ90" s="43"/>
      <c r="OR90" s="43"/>
      <c r="OS90" s="43"/>
      <c r="OT90" s="43"/>
      <c r="OU90" s="43"/>
      <c r="OV90" s="43"/>
      <c r="OW90" s="43"/>
      <c r="OX90" s="43"/>
      <c r="OY90" s="43"/>
      <c r="OZ90" s="43"/>
      <c r="PA90" s="43"/>
      <c r="PB90" s="43"/>
      <c r="PC90" s="43"/>
      <c r="PD90" s="43"/>
      <c r="PE90" s="43"/>
      <c r="PF90" s="43"/>
      <c r="PG90" s="43"/>
      <c r="PH90" s="43"/>
      <c r="PI90" s="43"/>
      <c r="PJ90" s="43"/>
      <c r="PK90" s="43"/>
      <c r="PL90" s="43"/>
      <c r="PM90" s="43"/>
      <c r="PN90" s="43"/>
      <c r="PO90" s="43"/>
      <c r="PP90" s="43"/>
      <c r="PQ90" s="43"/>
      <c r="PR90" s="43"/>
      <c r="PS90" s="43"/>
      <c r="PT90" s="43"/>
      <c r="PU90" s="43" t="s">
        <v>897</v>
      </c>
      <c r="PV90" s="43"/>
      <c r="PW90" s="43"/>
      <c r="PX90" s="43"/>
      <c r="PY90" s="43"/>
      <c r="PZ90" s="43"/>
      <c r="QA90" s="43"/>
      <c r="QB90" s="43"/>
      <c r="QC90" s="43">
        <v>148</v>
      </c>
      <c r="QD90" s="43"/>
      <c r="QE90" s="43"/>
      <c r="QF90" s="43"/>
      <c r="QG90" s="43"/>
      <c r="QH90" s="43"/>
      <c r="QI90" s="43"/>
      <c r="QJ90" s="43"/>
      <c r="QK90" s="43" t="s">
        <v>899</v>
      </c>
      <c r="QL90" s="43"/>
      <c r="QM90" s="43"/>
      <c r="QN90" s="43"/>
      <c r="QO90" s="43"/>
      <c r="QP90" s="43"/>
      <c r="QQ90" s="43"/>
      <c r="QR90" s="43"/>
      <c r="QS90" s="43"/>
      <c r="QT90" s="43"/>
      <c r="QU90" s="43"/>
      <c r="QV90" s="43"/>
      <c r="QW90" s="43"/>
      <c r="QX90" s="43"/>
      <c r="QY90" s="43"/>
      <c r="QZ90" s="43"/>
      <c r="RA90" s="43"/>
      <c r="RB90" s="43"/>
      <c r="RC90" s="43"/>
      <c r="RD90" s="43"/>
      <c r="RE90" s="43"/>
      <c r="RF90" s="43"/>
      <c r="RG90" s="43">
        <v>3.71</v>
      </c>
      <c r="RH90" s="43"/>
      <c r="RI90" s="43"/>
      <c r="RJ90" s="43"/>
      <c r="RK90" s="43"/>
      <c r="RL90" s="43"/>
      <c r="RM90" s="43"/>
      <c r="RN90" s="43"/>
      <c r="RO90" s="43"/>
      <c r="RP90" s="43"/>
      <c r="RQ90" s="43"/>
      <c r="RR90" s="43"/>
      <c r="RS90" s="43"/>
      <c r="RT90" s="43"/>
      <c r="RU90" s="43"/>
      <c r="RV90" s="43"/>
      <c r="RW90" s="43"/>
      <c r="RX90" s="43"/>
      <c r="RY90" s="43"/>
      <c r="RZ90" s="43"/>
      <c r="SA90" s="43"/>
      <c r="SB90" s="43"/>
      <c r="SC90" s="43"/>
      <c r="SD90" s="43"/>
      <c r="SE90" s="43"/>
      <c r="SF90" s="43"/>
      <c r="SG90" s="43"/>
      <c r="SH90" s="43"/>
      <c r="SI90" s="43"/>
      <c r="SJ90" s="43"/>
      <c r="SK90" s="43"/>
      <c r="SL90" s="43"/>
      <c r="SM90" s="43"/>
      <c r="SN90" s="43"/>
      <c r="SO90" s="43"/>
      <c r="SP90" s="43"/>
      <c r="SQ90" s="43"/>
      <c r="SR90" s="43"/>
      <c r="SS90" s="43"/>
      <c r="ST90" s="43"/>
      <c r="SU90" s="43"/>
      <c r="SV90" s="43"/>
      <c r="SW90" s="43"/>
      <c r="SX90" s="43"/>
      <c r="SY90" s="43"/>
      <c r="SZ90" s="43"/>
      <c r="TA90" s="43"/>
      <c r="TB90" s="43"/>
      <c r="TC90" s="43"/>
      <c r="TD90" s="43"/>
      <c r="TE90" s="43"/>
      <c r="TF90" s="43"/>
      <c r="TG90" s="43"/>
      <c r="TH90" s="43"/>
      <c r="TI90" s="43"/>
      <c r="TJ90" s="43"/>
      <c r="TK90" s="43"/>
      <c r="TL90" s="43"/>
      <c r="TM90" s="43"/>
      <c r="TN90" s="43"/>
      <c r="TO90" s="43"/>
      <c r="TP90" s="43"/>
      <c r="TQ90" s="43"/>
      <c r="TR90" s="43"/>
      <c r="TS90" s="43"/>
      <c r="TT90" s="43"/>
      <c r="TU90" s="43"/>
      <c r="TV90" s="43"/>
      <c r="TW90" s="43"/>
      <c r="TX90" s="43">
        <v>47</v>
      </c>
      <c r="TY90" s="43"/>
      <c r="TZ90" s="43"/>
      <c r="UA90" s="43"/>
      <c r="UB90" s="43"/>
      <c r="UC90" s="43"/>
      <c r="UD90" s="43"/>
      <c r="UE90" s="43"/>
      <c r="UF90" s="43"/>
      <c r="UG90" s="43"/>
      <c r="UH90" s="43"/>
      <c r="UI90" s="43"/>
      <c r="UJ90" s="43"/>
      <c r="UK90" s="43"/>
      <c r="UL90" s="43"/>
      <c r="UM90" s="43"/>
      <c r="UN90" s="43"/>
      <c r="UO90" s="43"/>
      <c r="UP90" s="43"/>
      <c r="UQ90" s="43"/>
      <c r="UR90" s="43"/>
      <c r="US90" s="43"/>
      <c r="UT90" s="43"/>
      <c r="UU90" s="43"/>
      <c r="UV90" s="43"/>
      <c r="UW90" s="43"/>
      <c r="UX90" s="43"/>
      <c r="UY90" s="43"/>
      <c r="UZ90" s="43"/>
      <c r="VA90" s="43"/>
      <c r="VB90" s="43"/>
      <c r="VC90" s="43"/>
      <c r="VD90" s="43"/>
      <c r="VE90" s="43"/>
      <c r="VF90" s="43"/>
      <c r="VG90" s="43"/>
      <c r="VH90" s="43"/>
      <c r="VI90" s="43"/>
      <c r="VJ90" s="43"/>
      <c r="VK90" s="43"/>
      <c r="VL90" s="43"/>
      <c r="VM90" s="43"/>
      <c r="VN90" s="43"/>
      <c r="VO90" s="43"/>
      <c r="VP90" s="43"/>
      <c r="VQ90" s="43"/>
      <c r="VR90" s="43"/>
      <c r="VS90" s="43"/>
      <c r="VT90" s="43"/>
      <c r="VU90" s="43"/>
      <c r="VV90" s="43"/>
      <c r="VW90" s="43"/>
      <c r="VX90" s="43"/>
      <c r="VY90" s="43"/>
      <c r="VZ90" s="43"/>
      <c r="WA90" s="43"/>
      <c r="WB90" s="43"/>
      <c r="WC90" s="43"/>
      <c r="WD90" s="43"/>
      <c r="WE90" s="43"/>
      <c r="WF90" s="43"/>
      <c r="WG90" s="43"/>
      <c r="WH90" s="43"/>
      <c r="WI90" s="43"/>
      <c r="WJ90" s="43"/>
      <c r="WK90" s="43"/>
      <c r="WL90" s="43"/>
      <c r="WM90" s="43"/>
      <c r="WN90" s="43"/>
      <c r="WO90" s="43"/>
      <c r="WP90" s="43"/>
      <c r="WQ90" s="43"/>
      <c r="WR90" s="43"/>
      <c r="WS90" s="43"/>
      <c r="WT90" s="43"/>
      <c r="WU90" s="43"/>
      <c r="WV90" s="43"/>
      <c r="WW90" s="43"/>
      <c r="WX90" s="43"/>
      <c r="WY90" s="43"/>
      <c r="WZ90" s="43"/>
      <c r="XA90" s="43"/>
      <c r="XB90" s="43"/>
      <c r="XC90" s="43"/>
      <c r="XD90" s="43"/>
      <c r="XE90" s="43"/>
      <c r="XF90" s="43"/>
      <c r="XG90" s="43"/>
      <c r="XH90" s="43">
        <v>51.9</v>
      </c>
      <c r="XI90" s="43"/>
      <c r="XJ90" s="43"/>
      <c r="XK90" s="43"/>
      <c r="XL90" s="43"/>
      <c r="XM90" s="43"/>
      <c r="XN90" s="43"/>
      <c r="XO90" s="43"/>
      <c r="XP90" s="43"/>
      <c r="XQ90" s="43"/>
      <c r="XR90" s="43"/>
      <c r="XS90" s="43"/>
      <c r="XT90" s="43"/>
      <c r="XU90" s="43"/>
      <c r="XV90" s="43"/>
      <c r="XW90" s="43"/>
      <c r="XX90" s="43"/>
      <c r="XY90" s="43"/>
      <c r="XZ90" s="43"/>
      <c r="YA90" s="44"/>
      <c r="YB90" s="44"/>
      <c r="YC90" s="44"/>
      <c r="YD90" s="44"/>
      <c r="YE90" s="44"/>
      <c r="YF90" s="43">
        <v>1.4</v>
      </c>
      <c r="YG90" s="43"/>
      <c r="YH90" s="43"/>
      <c r="YI90" s="43"/>
      <c r="YJ90" s="43"/>
      <c r="YK90" s="43"/>
      <c r="YL90" s="43"/>
      <c r="YM90" s="43"/>
      <c r="YN90" s="43"/>
      <c r="YO90" s="43"/>
      <c r="YP90" s="43"/>
      <c r="YQ90" s="43"/>
      <c r="YR90" s="43"/>
      <c r="YS90" s="43"/>
      <c r="YT90" s="43"/>
      <c r="YU90" s="43"/>
      <c r="YV90" s="43"/>
      <c r="YW90" s="43"/>
      <c r="YX90" s="43"/>
      <c r="YY90" s="43"/>
      <c r="YZ90" s="43"/>
      <c r="ZA90" s="43"/>
      <c r="ZB90" s="43"/>
      <c r="ZC90" s="43"/>
      <c r="ZD90" s="43"/>
      <c r="ZE90" s="43"/>
      <c r="ZF90" s="43"/>
      <c r="ZG90" s="43"/>
      <c r="ZH90" s="43"/>
      <c r="ZI90" s="43"/>
      <c r="ZJ90" s="43"/>
      <c r="ZK90" s="43"/>
      <c r="ZL90" s="43"/>
      <c r="ZM90" s="43"/>
      <c r="ZN90" s="43"/>
      <c r="ZO90" s="43"/>
      <c r="ZP90" s="43"/>
      <c r="ZQ90" s="43"/>
      <c r="ZR90" s="43"/>
      <c r="ZS90" s="43"/>
      <c r="ZT90" s="43"/>
      <c r="ZU90" s="43"/>
      <c r="ZV90" s="43"/>
      <c r="ZW90" s="44"/>
      <c r="ZX90" s="44"/>
      <c r="ZY90" s="44"/>
      <c r="ZZ90" s="44"/>
      <c r="AAA90" s="44"/>
      <c r="AAB90" s="44"/>
      <c r="AAC90" s="44"/>
      <c r="AAD90" s="44"/>
      <c r="AAE90" s="44"/>
      <c r="AAF90" s="44"/>
      <c r="AAG90" s="43"/>
      <c r="AAH90" s="43"/>
      <c r="AAI90" s="43"/>
      <c r="AAJ90" s="43"/>
      <c r="AAK90" s="43">
        <v>20</v>
      </c>
      <c r="AAL90" s="43"/>
      <c r="AAM90" s="43"/>
      <c r="AAN90" s="43"/>
      <c r="AAO90" s="43"/>
      <c r="AAP90" s="43"/>
      <c r="AAQ90" s="43"/>
      <c r="AAR90" s="43">
        <v>29</v>
      </c>
      <c r="AAS90" s="43"/>
      <c r="AAT90" s="43"/>
      <c r="AAU90" s="43"/>
      <c r="AAV90" s="43"/>
      <c r="AAW90" s="43"/>
      <c r="AAX90" s="43"/>
      <c r="AAY90" s="43"/>
      <c r="AAZ90" s="43"/>
      <c r="ABA90" s="43"/>
      <c r="ABB90" s="43"/>
      <c r="ABC90" s="43"/>
      <c r="ABD90" s="43"/>
      <c r="ABE90" s="43"/>
      <c r="ABF90" s="43"/>
      <c r="ABG90" s="43"/>
      <c r="ABH90" s="43"/>
      <c r="ABI90" s="43"/>
      <c r="ABJ90" s="43"/>
      <c r="ABK90" s="43"/>
      <c r="ABL90" s="43"/>
      <c r="ABM90" s="43"/>
      <c r="ABN90" s="43"/>
      <c r="ABO90" s="43"/>
      <c r="ABP90" s="43"/>
      <c r="ABQ90" s="43"/>
      <c r="ABR90" s="43"/>
      <c r="ABS90" s="43"/>
      <c r="ABT90" s="43"/>
      <c r="ABU90" s="43"/>
      <c r="ABV90" s="43"/>
      <c r="ABW90" s="43"/>
      <c r="ABX90" s="43"/>
      <c r="ABY90" s="43"/>
      <c r="ABZ90" s="43"/>
      <c r="ACA90" s="43"/>
      <c r="ACB90" s="43"/>
      <c r="ACC90" s="43"/>
      <c r="ACD90" s="43"/>
      <c r="ACE90" s="43"/>
      <c r="ACF90" s="43"/>
      <c r="ACG90" s="43"/>
      <c r="ACH90" s="45"/>
    </row>
    <row r="91" spans="1:762" x14ac:dyDescent="0.25">
      <c r="A91" s="46" t="s">
        <v>150</v>
      </c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>
        <v>29</v>
      </c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7"/>
      <c r="BU91" s="47"/>
      <c r="BV91" s="47"/>
      <c r="BW91" s="47"/>
      <c r="BX91" s="47"/>
      <c r="BY91" s="47"/>
      <c r="BZ91" s="47"/>
      <c r="CA91" s="47"/>
      <c r="CB91" s="47"/>
      <c r="CC91" s="47"/>
      <c r="CD91" s="47"/>
      <c r="CE91" s="47"/>
      <c r="CF91" s="47"/>
      <c r="CG91" s="47"/>
      <c r="CH91" s="47"/>
      <c r="CI91" s="47"/>
      <c r="CJ91" s="47"/>
      <c r="CK91" s="47"/>
      <c r="CL91" s="47"/>
      <c r="CM91" s="47"/>
      <c r="CN91" s="47"/>
      <c r="CO91" s="47"/>
      <c r="CP91" s="47"/>
      <c r="CQ91" s="47"/>
      <c r="CR91" s="47"/>
      <c r="CS91" s="47"/>
      <c r="CT91" s="47"/>
      <c r="CU91" s="47"/>
      <c r="CV91" s="47"/>
      <c r="CW91" s="47"/>
      <c r="CX91" s="47"/>
      <c r="CY91" s="47"/>
      <c r="CZ91" s="47"/>
      <c r="DA91" s="47"/>
      <c r="DB91" s="47"/>
      <c r="DC91" s="47"/>
      <c r="DD91" s="47"/>
      <c r="DE91" s="47"/>
      <c r="DF91" s="47"/>
      <c r="DG91" s="47"/>
      <c r="DH91" s="47"/>
      <c r="DI91" s="47"/>
      <c r="DJ91" s="47"/>
      <c r="DK91" s="47"/>
      <c r="DL91" s="47"/>
      <c r="DM91" s="47"/>
      <c r="DN91" s="47"/>
      <c r="DO91" s="47"/>
      <c r="DP91" s="47"/>
      <c r="DQ91" s="47"/>
      <c r="DR91" s="47"/>
      <c r="DS91" s="47"/>
      <c r="DT91" s="47"/>
      <c r="DU91" s="47"/>
      <c r="DV91" s="47"/>
      <c r="DW91" s="47"/>
      <c r="DX91" s="47"/>
      <c r="DY91" s="47"/>
      <c r="DZ91" s="47"/>
      <c r="EA91" s="47"/>
      <c r="EB91" s="47"/>
      <c r="EC91" s="47"/>
      <c r="ED91" s="47"/>
      <c r="EE91" s="47"/>
      <c r="EF91" s="47">
        <v>1326</v>
      </c>
      <c r="EG91" s="47"/>
      <c r="EH91" s="47"/>
      <c r="EI91" s="47"/>
      <c r="EJ91" s="47"/>
      <c r="EK91" s="47"/>
      <c r="EL91" s="47"/>
      <c r="EM91" s="47"/>
      <c r="EN91" s="47"/>
      <c r="EO91" s="47"/>
      <c r="EP91" s="47"/>
      <c r="EQ91" s="47"/>
      <c r="ER91" s="47"/>
      <c r="ES91" s="47"/>
      <c r="ET91" s="47"/>
      <c r="EU91" s="47"/>
      <c r="EV91" s="47"/>
      <c r="EW91" s="47"/>
      <c r="EX91" s="47"/>
      <c r="EY91" s="47"/>
      <c r="EZ91" s="47"/>
      <c r="FA91" s="47"/>
      <c r="FB91" s="47"/>
      <c r="FC91" s="47"/>
      <c r="FD91" s="47"/>
      <c r="FE91" s="47"/>
      <c r="FF91" s="47"/>
      <c r="FG91" s="47"/>
      <c r="FH91" s="47"/>
      <c r="FI91" s="47"/>
      <c r="FJ91" s="47"/>
      <c r="FK91" s="47"/>
      <c r="FL91" s="47"/>
      <c r="FM91" s="47"/>
      <c r="FN91" s="47"/>
      <c r="FO91" s="47"/>
      <c r="FP91" s="47"/>
      <c r="FQ91" s="47"/>
      <c r="FR91" s="47"/>
      <c r="FS91" s="47"/>
      <c r="FT91" s="47"/>
      <c r="FU91" s="47"/>
      <c r="FV91" s="47"/>
      <c r="FW91" s="47"/>
      <c r="FX91" s="47"/>
      <c r="FY91" s="47"/>
      <c r="FZ91" s="47"/>
      <c r="GA91" s="47"/>
      <c r="GB91" s="47"/>
      <c r="GC91" s="47"/>
      <c r="GD91" s="47"/>
      <c r="GE91" s="47"/>
      <c r="GF91" s="47"/>
      <c r="GG91" s="47"/>
      <c r="GH91" s="47"/>
      <c r="GI91" s="47"/>
      <c r="GJ91" s="47"/>
      <c r="GK91" s="47"/>
      <c r="GL91" s="47"/>
      <c r="GM91" s="47"/>
      <c r="GN91" s="47"/>
      <c r="GO91" s="47"/>
      <c r="GP91" s="47"/>
      <c r="GQ91" s="47"/>
      <c r="GR91" s="47"/>
      <c r="GS91" s="47"/>
      <c r="GT91" s="47"/>
      <c r="GU91" s="47">
        <v>1827</v>
      </c>
      <c r="GV91" s="47"/>
      <c r="GW91" s="47"/>
      <c r="GX91" s="47"/>
      <c r="GY91" s="47"/>
      <c r="GZ91" s="47"/>
      <c r="HA91" s="47"/>
      <c r="HB91" s="47"/>
      <c r="HC91" s="47"/>
      <c r="HD91" s="47"/>
      <c r="HE91" s="47"/>
      <c r="HF91" s="47"/>
      <c r="HG91" s="47"/>
      <c r="HH91" s="47"/>
      <c r="HI91" s="47"/>
      <c r="HJ91" s="47"/>
      <c r="HK91" s="47"/>
      <c r="HL91" s="47"/>
      <c r="HM91" s="47"/>
      <c r="HN91" s="47"/>
      <c r="HO91" s="47"/>
      <c r="HP91" s="47"/>
      <c r="HQ91" s="47"/>
      <c r="HR91" s="47"/>
      <c r="HS91" s="47"/>
      <c r="HT91" s="47"/>
      <c r="HU91" s="47"/>
      <c r="HV91" s="47"/>
      <c r="HW91" s="47"/>
      <c r="HX91" s="47"/>
      <c r="HY91" s="47"/>
      <c r="HZ91" s="47"/>
      <c r="IA91" s="47"/>
      <c r="IB91" s="47"/>
      <c r="IC91" s="47"/>
      <c r="ID91" s="47"/>
      <c r="IE91" s="47"/>
      <c r="IF91" s="47"/>
      <c r="IG91" s="47"/>
      <c r="IH91" s="47"/>
      <c r="II91" s="47"/>
      <c r="IJ91" s="47"/>
      <c r="IK91" s="47"/>
      <c r="IL91" s="47"/>
      <c r="IM91" s="47"/>
      <c r="IN91" s="47"/>
      <c r="IO91" s="47"/>
      <c r="IP91" s="47"/>
      <c r="IQ91" s="47"/>
      <c r="IR91" s="47"/>
      <c r="IS91" s="47"/>
      <c r="IT91" s="47"/>
      <c r="IU91" s="47"/>
      <c r="IV91" s="47"/>
      <c r="IW91" s="47"/>
      <c r="IX91" s="47"/>
      <c r="IY91" s="47"/>
      <c r="IZ91" s="47"/>
      <c r="JA91" s="47"/>
      <c r="JB91" s="47"/>
      <c r="JC91" s="47"/>
      <c r="JD91" s="47"/>
      <c r="JE91" s="47"/>
      <c r="JF91" s="47"/>
      <c r="JG91" s="47"/>
      <c r="JH91" s="47" t="s">
        <v>1990</v>
      </c>
      <c r="JI91" s="47"/>
      <c r="JJ91" s="47"/>
      <c r="JK91" s="47"/>
      <c r="JL91" s="47"/>
      <c r="JM91" s="47"/>
      <c r="JN91" s="47"/>
      <c r="JO91" s="47"/>
      <c r="JP91" s="47"/>
      <c r="JQ91" s="47"/>
      <c r="JR91" s="47"/>
      <c r="JS91" s="47"/>
      <c r="JT91" s="47"/>
      <c r="JU91" s="47"/>
      <c r="JV91" s="47"/>
      <c r="JW91" s="47"/>
      <c r="JX91" s="47"/>
      <c r="JY91" s="47"/>
      <c r="JZ91" s="47"/>
      <c r="KA91" s="47"/>
      <c r="KB91" s="47"/>
      <c r="KC91" s="47"/>
      <c r="KD91" s="47"/>
      <c r="KE91" s="47"/>
      <c r="KF91" s="47"/>
      <c r="KG91" s="47"/>
      <c r="KH91" s="47"/>
      <c r="KI91" s="47"/>
      <c r="KJ91" s="47"/>
      <c r="KK91" s="47"/>
      <c r="KL91" s="47"/>
      <c r="KM91" s="47"/>
      <c r="KN91" s="47"/>
      <c r="KO91" s="47"/>
      <c r="KP91" s="47"/>
      <c r="KQ91" s="47"/>
      <c r="KR91" s="47"/>
      <c r="KS91" s="47"/>
      <c r="KT91" s="47"/>
      <c r="KU91" s="47"/>
      <c r="KV91" s="47"/>
      <c r="KW91" s="47"/>
      <c r="KX91" s="47"/>
      <c r="KY91" s="47"/>
      <c r="KZ91" s="47"/>
      <c r="LA91" s="47"/>
      <c r="LB91" s="47"/>
      <c r="LC91" s="47"/>
      <c r="LD91" s="47"/>
      <c r="LE91" s="47"/>
      <c r="LF91" s="47"/>
      <c r="LG91" s="47"/>
      <c r="LH91" s="47"/>
      <c r="LI91" s="47"/>
      <c r="LJ91" s="47"/>
      <c r="LK91" s="47"/>
      <c r="LL91" s="47"/>
      <c r="LM91" s="47"/>
      <c r="LN91" s="47"/>
      <c r="LO91" s="47"/>
      <c r="LP91" s="47"/>
      <c r="LQ91" s="47"/>
      <c r="LR91" s="47"/>
      <c r="LS91" s="47"/>
      <c r="LT91" s="47">
        <v>1238</v>
      </c>
      <c r="LU91" s="47"/>
      <c r="LV91" s="47"/>
      <c r="LW91" s="47"/>
      <c r="LX91" s="47"/>
      <c r="LY91" s="47"/>
      <c r="LZ91" s="47"/>
      <c r="MA91" s="47"/>
      <c r="MB91" s="47"/>
      <c r="MC91" s="47"/>
      <c r="MD91" s="47"/>
      <c r="ME91" s="47"/>
      <c r="MF91" s="47"/>
      <c r="MG91" s="47"/>
      <c r="MH91" s="47"/>
      <c r="MI91" s="47"/>
      <c r="MJ91" s="47"/>
      <c r="MK91" s="47"/>
      <c r="ML91" s="47"/>
      <c r="MM91" s="47"/>
      <c r="MN91" s="47"/>
      <c r="MO91" s="47"/>
      <c r="MP91" s="47"/>
      <c r="MQ91" s="47"/>
      <c r="MR91" s="47"/>
      <c r="MS91" s="47"/>
      <c r="MT91" s="47"/>
      <c r="MU91" s="47"/>
      <c r="MV91" s="47"/>
      <c r="MW91" s="47"/>
      <c r="MX91" s="47"/>
      <c r="MY91" s="47"/>
      <c r="MZ91" s="47"/>
      <c r="NA91" s="47"/>
      <c r="NB91" s="47"/>
      <c r="NC91" s="47"/>
      <c r="ND91" s="47"/>
      <c r="NE91" s="47"/>
      <c r="NF91" s="47"/>
      <c r="NG91" s="47"/>
      <c r="NH91" s="47"/>
      <c r="NI91" s="47"/>
      <c r="NJ91" s="44"/>
      <c r="NK91" s="44"/>
      <c r="NL91" s="44"/>
      <c r="NM91" s="44"/>
      <c r="NN91" s="44"/>
      <c r="NO91" s="47">
        <v>313</v>
      </c>
      <c r="NP91" s="47"/>
      <c r="NQ91" s="47"/>
      <c r="NR91" s="47"/>
      <c r="NS91" s="47"/>
      <c r="NT91" s="47"/>
      <c r="NU91" s="47"/>
      <c r="NV91" s="47"/>
      <c r="NW91" s="47"/>
      <c r="NX91" s="47"/>
      <c r="NY91" s="47"/>
      <c r="NZ91" s="47"/>
      <c r="OA91" s="47"/>
      <c r="OB91" s="47"/>
      <c r="OC91" s="47"/>
      <c r="OD91" s="47"/>
      <c r="OE91" s="47"/>
      <c r="OF91" s="47"/>
      <c r="OG91" s="47"/>
      <c r="OH91" s="47"/>
      <c r="OI91" s="47"/>
      <c r="OJ91" s="47"/>
      <c r="OK91" s="47"/>
      <c r="OL91" s="47"/>
      <c r="OM91" s="47"/>
      <c r="ON91" s="47"/>
      <c r="OO91" s="47"/>
      <c r="OP91" s="47"/>
      <c r="OQ91" s="47"/>
      <c r="OR91" s="47"/>
      <c r="OS91" s="47"/>
      <c r="OT91" s="47"/>
      <c r="OU91" s="47"/>
      <c r="OV91" s="47"/>
      <c r="OW91" s="47"/>
      <c r="OX91" s="47"/>
      <c r="OY91" s="47"/>
      <c r="OZ91" s="47"/>
      <c r="PA91" s="47"/>
      <c r="PB91" s="47"/>
      <c r="PC91" s="47"/>
      <c r="PD91" s="47"/>
      <c r="PE91" s="47"/>
      <c r="PF91" s="47"/>
      <c r="PG91" s="47"/>
      <c r="PH91" s="47"/>
      <c r="PI91" s="47"/>
      <c r="PJ91" s="47"/>
      <c r="PK91" s="47"/>
      <c r="PL91" s="47"/>
      <c r="PM91" s="47"/>
      <c r="PN91" s="47"/>
      <c r="PO91" s="47"/>
      <c r="PP91" s="47"/>
      <c r="PQ91" s="47"/>
      <c r="PR91" s="47"/>
      <c r="PS91" s="47"/>
      <c r="PT91" s="47"/>
      <c r="PU91" s="47"/>
      <c r="PV91" s="47"/>
      <c r="PW91" s="47"/>
      <c r="PX91" s="47"/>
      <c r="PY91" s="47"/>
      <c r="PZ91" s="47"/>
      <c r="QA91" s="47"/>
      <c r="QB91" s="47"/>
      <c r="QC91" s="47"/>
      <c r="QD91" s="47"/>
      <c r="QE91" s="47"/>
      <c r="QF91" s="47"/>
      <c r="QG91" s="47"/>
      <c r="QH91" s="47"/>
      <c r="QI91" s="47"/>
      <c r="QJ91" s="47"/>
      <c r="QK91" s="47"/>
      <c r="QL91" s="47"/>
      <c r="QM91" s="47"/>
      <c r="QN91" s="47"/>
      <c r="QO91" s="47"/>
      <c r="QP91" s="47"/>
      <c r="QQ91" s="47"/>
      <c r="QR91" s="47"/>
      <c r="QS91" s="47"/>
      <c r="QT91" s="47"/>
      <c r="QU91" s="47"/>
      <c r="QV91" s="47"/>
      <c r="QW91" s="47"/>
      <c r="QX91" s="47"/>
      <c r="QY91" s="47"/>
      <c r="QZ91" s="47"/>
      <c r="RA91" s="47"/>
      <c r="RB91" s="47"/>
      <c r="RC91" s="47"/>
      <c r="RD91" s="47"/>
      <c r="RE91" s="47"/>
      <c r="RF91" s="47"/>
      <c r="RG91" s="47"/>
      <c r="RH91" s="47"/>
      <c r="RI91" s="47"/>
      <c r="RJ91" s="47"/>
      <c r="RK91" s="47"/>
      <c r="RL91" s="47"/>
      <c r="RM91" s="47"/>
      <c r="RN91" s="47"/>
      <c r="RO91" s="47"/>
      <c r="RP91" s="47"/>
      <c r="RQ91" s="47"/>
      <c r="RR91" s="47"/>
      <c r="RS91" s="47"/>
      <c r="RT91" s="47"/>
      <c r="RU91" s="47"/>
      <c r="RV91" s="47"/>
      <c r="RW91" s="47"/>
      <c r="RX91" s="47"/>
      <c r="RY91" s="47"/>
      <c r="RZ91" s="47"/>
      <c r="SA91" s="47"/>
      <c r="SB91" s="47"/>
      <c r="SC91" s="47"/>
      <c r="SD91" s="47"/>
      <c r="SE91" s="47"/>
      <c r="SF91" s="47"/>
      <c r="SG91" s="47"/>
      <c r="SH91" s="47"/>
      <c r="SI91" s="47"/>
      <c r="SJ91" s="47"/>
      <c r="SK91" s="47"/>
      <c r="SL91" s="47"/>
      <c r="SM91" s="47"/>
      <c r="SN91" s="47"/>
      <c r="SO91" s="47"/>
      <c r="SP91" s="47"/>
      <c r="SQ91" s="47"/>
      <c r="SR91" s="47"/>
      <c r="SS91" s="47"/>
      <c r="ST91" s="47"/>
      <c r="SU91" s="47"/>
      <c r="SV91" s="47"/>
      <c r="SW91" s="47"/>
      <c r="SX91" s="47"/>
      <c r="SY91" s="47"/>
      <c r="SZ91" s="47"/>
      <c r="TA91" s="47"/>
      <c r="TB91" s="47"/>
      <c r="TC91" s="47"/>
      <c r="TD91" s="47"/>
      <c r="TE91" s="47"/>
      <c r="TF91" s="47"/>
      <c r="TG91" s="47"/>
      <c r="TH91" s="47"/>
      <c r="TI91" s="47"/>
      <c r="TJ91" s="47"/>
      <c r="TK91" s="47"/>
      <c r="TL91" s="47"/>
      <c r="TM91" s="47"/>
      <c r="TN91" s="47"/>
      <c r="TO91" s="47"/>
      <c r="TP91" s="47"/>
      <c r="TQ91" s="47"/>
      <c r="TR91" s="47"/>
      <c r="TS91" s="47"/>
      <c r="TT91" s="47"/>
      <c r="TU91" s="47"/>
      <c r="TV91" s="47"/>
      <c r="TW91" s="47"/>
      <c r="TX91" s="47"/>
      <c r="TY91" s="47"/>
      <c r="TZ91" s="47"/>
      <c r="UA91" s="47"/>
      <c r="UB91" s="47"/>
      <c r="UC91" s="47"/>
      <c r="UD91" s="47"/>
      <c r="UE91" s="47"/>
      <c r="UF91" s="47"/>
      <c r="UG91" s="47"/>
      <c r="UH91" s="47"/>
      <c r="UI91" s="47"/>
      <c r="UJ91" s="47"/>
      <c r="UK91" s="47"/>
      <c r="UL91" s="47"/>
      <c r="UM91" s="47"/>
      <c r="UN91" s="47"/>
      <c r="UO91" s="47"/>
      <c r="UP91" s="47"/>
      <c r="UQ91" s="47"/>
      <c r="UR91" s="47"/>
      <c r="US91" s="47"/>
      <c r="UT91" s="47"/>
      <c r="UU91" s="47"/>
      <c r="UV91" s="47"/>
      <c r="UW91" s="47"/>
      <c r="UX91" s="47"/>
      <c r="UY91" s="47"/>
      <c r="UZ91" s="47">
        <v>2.0499999999999998</v>
      </c>
      <c r="VA91" s="47"/>
      <c r="VB91" s="47"/>
      <c r="VC91" s="47"/>
      <c r="VD91" s="47"/>
      <c r="VE91" s="47"/>
      <c r="VF91" s="47"/>
      <c r="VG91" s="47"/>
      <c r="VH91" s="47"/>
      <c r="VI91" s="47"/>
      <c r="VJ91" s="47"/>
      <c r="VK91" s="47"/>
      <c r="VL91" s="47"/>
      <c r="VM91" s="47"/>
      <c r="VN91" s="47"/>
      <c r="VO91" s="47"/>
      <c r="VP91" s="47"/>
      <c r="VQ91" s="47"/>
      <c r="VR91" s="47"/>
      <c r="VS91" s="47"/>
      <c r="VT91" s="47"/>
      <c r="VU91" s="47"/>
      <c r="VV91" s="47"/>
      <c r="VW91" s="47"/>
      <c r="VX91" s="47"/>
      <c r="VY91" s="47"/>
      <c r="VZ91" s="47"/>
      <c r="WA91" s="47"/>
      <c r="WB91" s="47"/>
      <c r="WC91" s="47"/>
      <c r="WD91" s="47"/>
      <c r="WE91" s="47"/>
      <c r="WF91" s="47"/>
      <c r="WG91" s="47"/>
      <c r="WH91" s="47"/>
      <c r="WI91" s="47"/>
      <c r="WJ91" s="47"/>
      <c r="WK91" s="47"/>
      <c r="WL91" s="47"/>
      <c r="WM91" s="47"/>
      <c r="WN91" s="47"/>
      <c r="WO91" s="47"/>
      <c r="WP91" s="47"/>
      <c r="WQ91" s="47"/>
      <c r="WR91" s="47"/>
      <c r="WS91" s="47"/>
      <c r="WT91" s="47"/>
      <c r="WU91" s="47"/>
      <c r="WV91" s="47"/>
      <c r="WW91" s="47"/>
      <c r="WX91" s="47"/>
      <c r="WY91" s="47"/>
      <c r="WZ91" s="47"/>
      <c r="XA91" s="47"/>
      <c r="XB91" s="47"/>
      <c r="XC91" s="47"/>
      <c r="XD91" s="47"/>
      <c r="XE91" s="47"/>
      <c r="XF91" s="47"/>
      <c r="XG91" s="47"/>
      <c r="XH91" s="47"/>
      <c r="XI91" s="47"/>
      <c r="XJ91" s="47"/>
      <c r="XK91" s="47"/>
      <c r="XL91" s="47"/>
      <c r="XM91" s="47"/>
      <c r="XN91" s="47"/>
      <c r="XO91" s="47"/>
      <c r="XP91" s="47"/>
      <c r="XQ91" s="47"/>
      <c r="XR91" s="47"/>
      <c r="XS91" s="47"/>
      <c r="XT91" s="47"/>
      <c r="XU91" s="47"/>
      <c r="XV91" s="47"/>
      <c r="XW91" s="47"/>
      <c r="XX91" s="47"/>
      <c r="XY91" s="47"/>
      <c r="XZ91" s="47"/>
      <c r="YA91" s="44"/>
      <c r="YB91" s="44"/>
      <c r="YC91" s="44"/>
      <c r="YD91" s="44"/>
      <c r="YE91" s="44"/>
      <c r="YF91" s="47"/>
      <c r="YG91" s="47"/>
      <c r="YH91" s="47"/>
      <c r="YI91" s="47"/>
      <c r="YJ91" s="47"/>
      <c r="YK91" s="47"/>
      <c r="YL91" s="47"/>
      <c r="YM91" s="47"/>
      <c r="YN91" s="47"/>
      <c r="YO91" s="47"/>
      <c r="YP91" s="47"/>
      <c r="YQ91" s="47"/>
      <c r="YR91" s="47"/>
      <c r="YS91" s="47"/>
      <c r="YT91" s="47"/>
      <c r="YU91" s="47"/>
      <c r="YV91" s="47"/>
      <c r="YW91" s="47"/>
      <c r="YX91" s="47"/>
      <c r="YY91" s="47"/>
      <c r="YZ91" s="47"/>
      <c r="ZA91" s="47"/>
      <c r="ZB91" s="47"/>
      <c r="ZC91" s="47"/>
      <c r="ZD91" s="47"/>
      <c r="ZE91" s="47"/>
      <c r="ZF91" s="47"/>
      <c r="ZG91" s="47"/>
      <c r="ZH91" s="47"/>
      <c r="ZI91" s="47"/>
      <c r="ZJ91" s="47"/>
      <c r="ZK91" s="47"/>
      <c r="ZL91" s="47"/>
      <c r="ZM91" s="47"/>
      <c r="ZN91" s="47"/>
      <c r="ZO91" s="47"/>
      <c r="ZP91" s="47"/>
      <c r="ZQ91" s="47"/>
      <c r="ZR91" s="47"/>
      <c r="ZS91" s="47"/>
      <c r="ZT91" s="47"/>
      <c r="ZU91" s="47"/>
      <c r="ZV91" s="47"/>
      <c r="ZW91" s="44"/>
      <c r="ZX91" s="44"/>
      <c r="ZY91" s="44"/>
      <c r="ZZ91" s="44"/>
      <c r="AAA91" s="44"/>
      <c r="AAB91" s="44"/>
      <c r="AAC91" s="44"/>
      <c r="AAD91" s="44"/>
      <c r="AAE91" s="44"/>
      <c r="AAF91" s="44"/>
      <c r="AAG91" s="47"/>
      <c r="AAH91" s="47"/>
      <c r="AAI91" s="47"/>
      <c r="AAJ91" s="47"/>
      <c r="AAK91" s="47"/>
      <c r="AAL91" s="47"/>
      <c r="AAM91" s="47"/>
      <c r="AAN91" s="47"/>
      <c r="AAO91" s="47"/>
      <c r="AAP91" s="47"/>
      <c r="AAQ91" s="47"/>
      <c r="AAR91" s="47"/>
      <c r="AAS91" s="47"/>
      <c r="AAT91" s="47"/>
      <c r="AAU91" s="47"/>
      <c r="AAV91" s="47"/>
      <c r="AAW91" s="47"/>
      <c r="AAX91" s="47"/>
      <c r="AAY91" s="47"/>
      <c r="AAZ91" s="47"/>
      <c r="ABA91" s="47"/>
      <c r="ABB91" s="47"/>
      <c r="ABC91" s="47"/>
      <c r="ABD91" s="47"/>
      <c r="ABE91" s="47"/>
      <c r="ABF91" s="47"/>
      <c r="ABG91" s="47"/>
      <c r="ABH91" s="47"/>
      <c r="ABI91" s="47"/>
      <c r="ABJ91" s="47"/>
      <c r="ABK91" s="47"/>
      <c r="ABL91" s="47"/>
      <c r="ABM91" s="47"/>
      <c r="ABN91" s="47"/>
      <c r="ABO91" s="47"/>
      <c r="ABP91" s="47"/>
      <c r="ABQ91" s="47"/>
      <c r="ABR91" s="47"/>
      <c r="ABS91" s="47"/>
      <c r="ABT91" s="47"/>
      <c r="ABU91" s="47"/>
      <c r="ABV91" s="47"/>
      <c r="ABW91" s="47"/>
      <c r="ABX91" s="47"/>
      <c r="ABY91" s="47"/>
      <c r="ABZ91" s="47"/>
      <c r="ACA91" s="47"/>
      <c r="ACB91" s="47"/>
      <c r="ACC91" s="47"/>
      <c r="ACD91" s="47"/>
      <c r="ACE91" s="47"/>
      <c r="ACF91" s="47"/>
      <c r="ACG91" s="47"/>
      <c r="ACH91" s="48"/>
    </row>
    <row r="92" spans="1:762" x14ac:dyDescent="0.25">
      <c r="A92" s="30" t="s">
        <v>151</v>
      </c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  <c r="BS92" s="31"/>
      <c r="BT92" s="31"/>
      <c r="BU92" s="31"/>
      <c r="BV92" s="31"/>
      <c r="BW92" s="31"/>
      <c r="BX92" s="31"/>
      <c r="BY92" s="31"/>
      <c r="BZ92" s="31"/>
      <c r="CA92" s="31"/>
      <c r="CB92" s="31"/>
      <c r="CC92" s="31"/>
      <c r="CD92" s="31"/>
      <c r="CE92" s="31"/>
      <c r="CF92" s="31"/>
      <c r="CG92" s="31"/>
      <c r="CH92" s="31"/>
      <c r="CI92" s="31"/>
      <c r="CJ92" s="31"/>
      <c r="CK92" s="31"/>
      <c r="CL92" s="31"/>
      <c r="CM92" s="31"/>
      <c r="CN92" s="31"/>
      <c r="CO92" s="31"/>
      <c r="CP92" s="31"/>
      <c r="CQ92" s="31"/>
      <c r="CR92" s="31"/>
      <c r="CS92" s="31"/>
      <c r="CT92" s="31"/>
      <c r="CU92" s="31"/>
      <c r="CV92" s="31"/>
      <c r="CW92" s="31"/>
      <c r="CX92" s="31"/>
      <c r="CY92" s="31"/>
      <c r="CZ92" s="31"/>
      <c r="DA92" s="31"/>
      <c r="DB92" s="31"/>
      <c r="DC92" s="31"/>
      <c r="DD92" s="31"/>
      <c r="DE92" s="31"/>
      <c r="DF92" s="31"/>
      <c r="DG92" s="31"/>
      <c r="DH92" s="31"/>
      <c r="DI92" s="31"/>
      <c r="DJ92" s="31"/>
      <c r="DK92" s="31"/>
      <c r="DL92" s="31"/>
      <c r="DM92" s="31"/>
      <c r="DN92" s="31"/>
      <c r="DO92" s="31"/>
      <c r="DP92" s="31"/>
      <c r="DQ92" s="31"/>
      <c r="DR92" s="31"/>
      <c r="DS92" s="31"/>
      <c r="DT92" s="31"/>
      <c r="DU92" s="31"/>
      <c r="DV92" s="31"/>
      <c r="DW92" s="31"/>
      <c r="DX92" s="31"/>
      <c r="DY92" s="31"/>
      <c r="DZ92" s="31"/>
      <c r="EA92" s="31"/>
      <c r="EB92" s="31"/>
      <c r="EC92" s="31"/>
      <c r="ED92" s="31"/>
      <c r="EE92" s="31"/>
      <c r="EF92" s="31"/>
      <c r="EG92" s="31"/>
      <c r="EH92" s="31"/>
      <c r="EI92" s="31"/>
      <c r="EJ92" s="31"/>
      <c r="EK92" s="31"/>
      <c r="EL92" s="31"/>
      <c r="EM92" s="31"/>
      <c r="EN92" s="31"/>
      <c r="EO92" s="31"/>
      <c r="EP92" s="31"/>
      <c r="EQ92" s="31"/>
      <c r="ER92" s="31"/>
      <c r="ES92" s="31"/>
      <c r="ET92" s="31"/>
      <c r="EU92" s="31"/>
      <c r="EV92" s="31"/>
      <c r="EW92" s="31"/>
      <c r="EX92" s="31"/>
      <c r="EY92" s="31"/>
      <c r="EZ92" s="31"/>
      <c r="FA92" s="31"/>
      <c r="FB92" s="31"/>
      <c r="FC92" s="31"/>
      <c r="FD92" s="31"/>
      <c r="FE92" s="31"/>
      <c r="FF92" s="31"/>
      <c r="FG92" s="31"/>
      <c r="FH92" s="31"/>
      <c r="FI92" s="31"/>
      <c r="FJ92" s="31"/>
      <c r="FK92" s="31"/>
      <c r="FL92" s="31"/>
      <c r="FM92" s="31"/>
      <c r="FN92" s="31"/>
      <c r="FO92" s="31"/>
      <c r="FP92" s="31"/>
      <c r="FQ92" s="31"/>
      <c r="FR92" s="31"/>
      <c r="FS92" s="31"/>
      <c r="FT92" s="31"/>
      <c r="FU92" s="31"/>
      <c r="FV92" s="31"/>
      <c r="FW92" s="31"/>
      <c r="FX92" s="31"/>
      <c r="FY92" s="31"/>
      <c r="FZ92" s="31"/>
      <c r="GA92" s="31"/>
      <c r="GB92" s="31"/>
      <c r="GC92" s="31"/>
      <c r="GD92" s="31"/>
      <c r="GE92" s="31"/>
      <c r="GF92" s="31"/>
      <c r="GG92" s="31"/>
      <c r="GH92" s="31"/>
      <c r="GI92" s="31"/>
      <c r="GJ92" s="31"/>
      <c r="GK92" s="31"/>
      <c r="GL92" s="31"/>
      <c r="GM92" s="31"/>
      <c r="GN92" s="31"/>
      <c r="GO92" s="31"/>
      <c r="GP92" s="31"/>
      <c r="GQ92" s="31"/>
      <c r="GR92" s="31"/>
      <c r="GS92" s="31"/>
      <c r="GT92" s="31"/>
      <c r="GU92" s="31"/>
      <c r="GV92" s="31"/>
      <c r="GW92" s="31"/>
      <c r="GX92" s="31"/>
      <c r="GY92" s="31"/>
      <c r="GZ92" s="31"/>
      <c r="HA92" s="31"/>
      <c r="HB92" s="31"/>
      <c r="HC92" s="31"/>
      <c r="HD92" s="31"/>
      <c r="HE92" s="31"/>
      <c r="HF92" s="31"/>
      <c r="HG92" s="31"/>
      <c r="HH92" s="31"/>
      <c r="HI92" s="31"/>
      <c r="HJ92" s="31"/>
      <c r="HK92" s="31"/>
      <c r="HL92" s="31"/>
      <c r="HM92" s="31"/>
      <c r="HN92" s="31"/>
      <c r="HO92" s="31"/>
      <c r="HP92" s="31"/>
      <c r="HQ92" s="31"/>
      <c r="HR92" s="31"/>
      <c r="HS92" s="31"/>
      <c r="HT92" s="31"/>
      <c r="HU92" s="31"/>
      <c r="HV92" s="31"/>
      <c r="HW92" s="31"/>
      <c r="HX92" s="31"/>
      <c r="HY92" s="31"/>
      <c r="HZ92" s="31"/>
      <c r="IA92" s="31"/>
      <c r="IB92" s="31"/>
      <c r="IC92" s="31"/>
      <c r="ID92" s="31"/>
      <c r="IE92" s="31"/>
      <c r="IF92" s="31"/>
      <c r="IG92" s="31"/>
      <c r="IH92" s="31"/>
      <c r="II92" s="31"/>
      <c r="IJ92" s="31"/>
      <c r="IK92" s="31"/>
      <c r="IL92" s="31"/>
      <c r="IM92" s="31"/>
      <c r="IN92" s="31"/>
      <c r="IO92" s="31"/>
      <c r="IP92" s="31"/>
      <c r="IQ92" s="31"/>
      <c r="IR92" s="31"/>
      <c r="IS92" s="31"/>
      <c r="IT92" s="31"/>
      <c r="IU92" s="31"/>
      <c r="IV92" s="31"/>
      <c r="IW92" s="31"/>
      <c r="IX92" s="31"/>
      <c r="IY92" s="31"/>
      <c r="IZ92" s="31"/>
      <c r="JA92" s="31"/>
      <c r="JB92" s="31"/>
      <c r="JC92" s="31"/>
      <c r="JD92" s="31"/>
      <c r="JE92" s="31"/>
      <c r="JF92" s="31"/>
      <c r="JG92" s="31"/>
      <c r="JH92" s="31"/>
      <c r="JI92" s="31"/>
      <c r="JJ92" s="31"/>
      <c r="JK92" s="31"/>
      <c r="JL92" s="31"/>
      <c r="JM92" s="31"/>
      <c r="JN92" s="31"/>
      <c r="JO92" s="31"/>
      <c r="JP92" s="31"/>
      <c r="JQ92" s="31"/>
      <c r="JR92" s="31"/>
      <c r="JS92" s="31"/>
      <c r="JT92" s="31"/>
      <c r="JU92" s="31"/>
      <c r="JV92" s="31"/>
      <c r="JW92" s="31"/>
      <c r="JX92" s="31"/>
      <c r="JY92" s="31"/>
      <c r="JZ92" s="31"/>
      <c r="KA92" s="31"/>
      <c r="KB92" s="31"/>
      <c r="KC92" s="31"/>
      <c r="KD92" s="31"/>
      <c r="KE92" s="31"/>
      <c r="KF92" s="31"/>
      <c r="KG92" s="31"/>
      <c r="KH92" s="31"/>
      <c r="KI92" s="31"/>
      <c r="KJ92" s="31"/>
      <c r="KK92" s="31"/>
      <c r="KL92" s="31"/>
      <c r="KM92" s="31"/>
      <c r="KN92" s="31"/>
      <c r="KO92" s="31"/>
      <c r="KP92" s="31"/>
      <c r="KQ92" s="31"/>
      <c r="KR92" s="31"/>
      <c r="KS92" s="31"/>
      <c r="KT92" s="31"/>
      <c r="KU92" s="31"/>
      <c r="KV92" s="31"/>
      <c r="KW92" s="31"/>
      <c r="KX92" s="31"/>
      <c r="KY92" s="31"/>
      <c r="KZ92" s="31"/>
      <c r="LA92" s="31"/>
      <c r="LB92" s="31"/>
      <c r="LC92" s="31"/>
      <c r="LD92" s="31"/>
      <c r="LE92" s="31"/>
      <c r="LF92" s="31"/>
      <c r="LG92" s="31"/>
      <c r="LH92" s="31"/>
      <c r="LI92" s="31"/>
      <c r="LJ92" s="31"/>
      <c r="LK92" s="31"/>
      <c r="LL92" s="31"/>
      <c r="LM92" s="31"/>
      <c r="LN92" s="31"/>
      <c r="LO92" s="31"/>
      <c r="LP92" s="31"/>
      <c r="LQ92" s="31"/>
      <c r="LR92" s="31"/>
      <c r="LS92" s="31"/>
      <c r="LT92" s="31"/>
      <c r="LU92" s="31"/>
      <c r="LV92" s="31"/>
      <c r="LW92" s="31"/>
      <c r="LX92" s="31"/>
      <c r="LY92" s="31"/>
      <c r="LZ92" s="31"/>
      <c r="MA92" s="31"/>
      <c r="MB92" s="31"/>
      <c r="MC92" s="31"/>
      <c r="MD92" s="31"/>
      <c r="ME92" s="31"/>
      <c r="MF92" s="31"/>
      <c r="MG92" s="31"/>
      <c r="MH92" s="31"/>
      <c r="MI92" s="31"/>
      <c r="MJ92" s="31"/>
      <c r="MK92" s="31"/>
      <c r="ML92" s="31"/>
      <c r="MM92" s="31"/>
      <c r="MN92" s="31"/>
      <c r="MO92" s="31"/>
      <c r="MP92" s="31"/>
      <c r="MQ92" s="31"/>
      <c r="MR92" s="31"/>
      <c r="MS92" s="31"/>
      <c r="MT92" s="31"/>
      <c r="MU92" s="31"/>
      <c r="MV92" s="31"/>
      <c r="MW92" s="31"/>
      <c r="MX92" s="31"/>
      <c r="MY92" s="31"/>
      <c r="MZ92" s="31"/>
      <c r="NA92" s="31"/>
      <c r="NB92" s="31"/>
      <c r="NC92" s="31"/>
      <c r="ND92" s="31"/>
      <c r="NE92" s="31"/>
      <c r="NF92" s="31"/>
      <c r="NG92" s="31"/>
      <c r="NH92" s="31"/>
      <c r="NI92" s="31"/>
      <c r="NJ92" s="56"/>
      <c r="NK92" s="56"/>
      <c r="NL92" s="56"/>
      <c r="NM92" s="56"/>
      <c r="NN92" s="56"/>
      <c r="NO92" s="31"/>
      <c r="NP92" s="31"/>
      <c r="NQ92" s="31"/>
      <c r="NR92" s="31"/>
      <c r="NS92" s="31"/>
      <c r="NT92" s="31"/>
      <c r="NU92" s="31"/>
      <c r="NV92" s="31"/>
      <c r="NW92" s="31"/>
      <c r="NX92" s="31"/>
      <c r="NY92" s="31"/>
      <c r="NZ92" s="31"/>
      <c r="OA92" s="31"/>
      <c r="OB92" s="31"/>
      <c r="OC92" s="31"/>
      <c r="OD92" s="31"/>
      <c r="OE92" s="31"/>
      <c r="OF92" s="31"/>
      <c r="OG92" s="31"/>
      <c r="OH92" s="31"/>
      <c r="OI92" s="31"/>
      <c r="OJ92" s="31"/>
      <c r="OK92" s="31"/>
      <c r="OL92" s="31"/>
      <c r="OM92" s="31"/>
      <c r="ON92" s="31"/>
      <c r="OO92" s="31"/>
      <c r="OP92" s="31"/>
      <c r="OQ92" s="31"/>
      <c r="OR92" s="31"/>
      <c r="OS92" s="31"/>
      <c r="OT92" s="31"/>
      <c r="OU92" s="31"/>
      <c r="OV92" s="31"/>
      <c r="OW92" s="31"/>
      <c r="OX92" s="31"/>
      <c r="OY92" s="31"/>
      <c r="OZ92" s="31"/>
      <c r="PA92" s="31"/>
      <c r="PB92" s="31"/>
      <c r="PC92" s="31"/>
      <c r="PD92" s="31"/>
      <c r="PE92" s="31"/>
      <c r="PF92" s="31"/>
      <c r="PG92" s="31"/>
      <c r="PH92" s="31"/>
      <c r="PI92" s="31"/>
      <c r="PJ92" s="31"/>
      <c r="PK92" s="31"/>
      <c r="PL92" s="31"/>
      <c r="PM92" s="31"/>
      <c r="PN92" s="31"/>
      <c r="PO92" s="31"/>
      <c r="PP92" s="31"/>
      <c r="PQ92" s="31"/>
      <c r="PR92" s="31"/>
      <c r="PS92" s="31"/>
      <c r="PT92" s="31"/>
      <c r="PU92" s="31"/>
      <c r="PV92" s="31"/>
      <c r="PW92" s="31"/>
      <c r="PX92" s="31"/>
      <c r="PY92" s="31"/>
      <c r="PZ92" s="31"/>
      <c r="QA92" s="31"/>
      <c r="QB92" s="31"/>
      <c r="QC92" s="31"/>
      <c r="QD92" s="31"/>
      <c r="QE92" s="31"/>
      <c r="QF92" s="31"/>
      <c r="QG92" s="31"/>
      <c r="QH92" s="31"/>
      <c r="QI92" s="31"/>
      <c r="QJ92" s="31"/>
      <c r="QK92" s="31"/>
      <c r="QL92" s="31"/>
      <c r="QM92" s="31"/>
      <c r="QN92" s="31"/>
      <c r="QO92" s="31"/>
      <c r="QP92" s="31"/>
      <c r="QQ92" s="31"/>
      <c r="QR92" s="31"/>
      <c r="QS92" s="31"/>
      <c r="QT92" s="31"/>
      <c r="QU92" s="31"/>
      <c r="QV92" s="31"/>
      <c r="QW92" s="31"/>
      <c r="QX92" s="31"/>
      <c r="QY92" s="31"/>
      <c r="QZ92" s="31"/>
      <c r="RA92" s="31"/>
      <c r="RB92" s="31"/>
      <c r="RC92" s="31"/>
      <c r="RD92" s="31"/>
      <c r="RE92" s="31"/>
      <c r="RF92" s="31"/>
      <c r="RG92" s="31"/>
      <c r="RH92" s="31"/>
      <c r="RI92" s="31"/>
      <c r="RJ92" s="31"/>
      <c r="RK92" s="31"/>
      <c r="RL92" s="31"/>
      <c r="RM92" s="31"/>
      <c r="RN92" s="31"/>
      <c r="RO92" s="31"/>
      <c r="RP92" s="31"/>
      <c r="RQ92" s="31"/>
      <c r="RR92" s="31"/>
      <c r="RS92" s="31"/>
      <c r="RT92" s="31"/>
      <c r="RU92" s="31"/>
      <c r="RV92" s="31"/>
      <c r="RW92" s="31"/>
      <c r="RX92" s="31"/>
      <c r="RY92" s="31"/>
      <c r="RZ92" s="31"/>
      <c r="SA92" s="31"/>
      <c r="SB92" s="31"/>
      <c r="SC92" s="31"/>
      <c r="SD92" s="31"/>
      <c r="SE92" s="31"/>
      <c r="SF92" s="31"/>
      <c r="SG92" s="31"/>
      <c r="SH92" s="31"/>
      <c r="SI92" s="31"/>
      <c r="SJ92" s="31"/>
      <c r="SK92" s="31"/>
      <c r="SL92" s="31"/>
      <c r="SM92" s="31"/>
      <c r="SN92" s="31"/>
      <c r="SO92" s="31"/>
      <c r="SP92" s="31"/>
      <c r="SQ92" s="31"/>
      <c r="SR92" s="31"/>
      <c r="SS92" s="31"/>
      <c r="ST92" s="31"/>
      <c r="SU92" s="31"/>
      <c r="SV92" s="31"/>
      <c r="SW92" s="31"/>
      <c r="SX92" s="31"/>
      <c r="SY92" s="31"/>
      <c r="SZ92" s="31"/>
      <c r="TA92" s="31"/>
      <c r="TB92" s="31"/>
      <c r="TC92" s="31"/>
      <c r="TD92" s="31"/>
      <c r="TE92" s="31"/>
      <c r="TF92" s="31"/>
      <c r="TG92" s="31"/>
      <c r="TH92" s="31"/>
      <c r="TI92" s="31"/>
      <c r="TJ92" s="31"/>
      <c r="TK92" s="31"/>
      <c r="TL92" s="31"/>
      <c r="TM92" s="31"/>
      <c r="TN92" s="31"/>
      <c r="TO92" s="31"/>
      <c r="TP92" s="31"/>
      <c r="TQ92" s="31"/>
      <c r="TR92" s="31"/>
      <c r="TS92" s="31"/>
      <c r="TT92" s="31"/>
      <c r="TU92" s="31"/>
      <c r="TV92" s="31"/>
      <c r="TW92" s="31"/>
      <c r="TX92" s="31"/>
      <c r="TY92" s="31"/>
      <c r="TZ92" s="31"/>
      <c r="UA92" s="31"/>
      <c r="UB92" s="31"/>
      <c r="UC92" s="31"/>
      <c r="UD92" s="31"/>
      <c r="UE92" s="31"/>
      <c r="UF92" s="31"/>
      <c r="UG92" s="31"/>
      <c r="UH92" s="31"/>
      <c r="UI92" s="31"/>
      <c r="UJ92" s="31"/>
      <c r="UK92" s="31"/>
      <c r="UL92" s="31"/>
      <c r="UM92" s="31"/>
      <c r="UN92" s="31"/>
      <c r="UO92" s="31"/>
      <c r="UP92" s="31"/>
      <c r="UQ92" s="31"/>
      <c r="UR92" s="31"/>
      <c r="US92" s="31"/>
      <c r="UT92" s="31"/>
      <c r="UU92" s="31"/>
      <c r="UV92" s="31"/>
      <c r="UW92" s="31"/>
      <c r="UX92" s="31"/>
      <c r="UY92" s="31"/>
      <c r="UZ92" s="31"/>
      <c r="VA92" s="31"/>
      <c r="VB92" s="31"/>
      <c r="VC92" s="31"/>
      <c r="VD92" s="31"/>
      <c r="VE92" s="31"/>
      <c r="VF92" s="31"/>
      <c r="VG92" s="31"/>
      <c r="VH92" s="31"/>
      <c r="VI92" s="31"/>
      <c r="VJ92" s="31"/>
      <c r="VK92" s="31"/>
      <c r="VL92" s="31"/>
      <c r="VM92" s="31"/>
      <c r="VN92" s="31"/>
      <c r="VO92" s="31"/>
      <c r="VP92" s="31"/>
      <c r="VQ92" s="31"/>
      <c r="VR92" s="31"/>
      <c r="VS92" s="31"/>
      <c r="VT92" s="31"/>
      <c r="VU92" s="31"/>
      <c r="VV92" s="31"/>
      <c r="VW92" s="31"/>
      <c r="VX92" s="31"/>
      <c r="VY92" s="31"/>
      <c r="VZ92" s="31"/>
      <c r="WA92" s="31"/>
      <c r="WB92" s="31"/>
      <c r="WC92" s="31"/>
      <c r="WD92" s="31"/>
      <c r="WE92" s="31"/>
      <c r="WF92" s="31"/>
      <c r="WG92" s="31"/>
      <c r="WH92" s="31"/>
      <c r="WI92" s="31"/>
      <c r="WJ92" s="31"/>
      <c r="WK92" s="31"/>
      <c r="WL92" s="31"/>
      <c r="WM92" s="31"/>
      <c r="WN92" s="31"/>
      <c r="WO92" s="31"/>
      <c r="WP92" s="31"/>
      <c r="WQ92" s="31"/>
      <c r="WR92" s="31"/>
      <c r="WS92" s="31"/>
      <c r="WT92" s="31"/>
      <c r="WU92" s="31"/>
      <c r="WV92" s="31"/>
      <c r="WW92" s="31"/>
      <c r="WX92" s="31"/>
      <c r="WY92" s="31"/>
      <c r="WZ92" s="31"/>
      <c r="XA92" s="31"/>
      <c r="XB92" s="31"/>
      <c r="XC92" s="31"/>
      <c r="XD92" s="31"/>
      <c r="XE92" s="31"/>
      <c r="XF92" s="31"/>
      <c r="XG92" s="31"/>
      <c r="XH92" s="31"/>
      <c r="XI92" s="31"/>
      <c r="XJ92" s="31"/>
      <c r="XK92" s="31"/>
      <c r="XL92" s="31"/>
      <c r="XM92" s="31"/>
      <c r="XN92" s="31"/>
      <c r="XO92" s="31"/>
      <c r="XP92" s="31"/>
      <c r="XQ92" s="31"/>
      <c r="XR92" s="31"/>
      <c r="XS92" s="31"/>
      <c r="XT92" s="31"/>
      <c r="XU92" s="31"/>
      <c r="XV92" s="31"/>
      <c r="XW92" s="31"/>
      <c r="XX92" s="31"/>
      <c r="XY92" s="31"/>
      <c r="XZ92" s="31"/>
      <c r="YA92" s="56"/>
      <c r="YB92" s="56"/>
      <c r="YC92" s="56"/>
      <c r="YD92" s="56"/>
      <c r="YE92" s="56"/>
      <c r="YF92" s="31"/>
      <c r="YG92" s="31"/>
      <c r="YH92" s="31"/>
      <c r="YI92" s="31"/>
      <c r="YJ92" s="31"/>
      <c r="YK92" s="31"/>
      <c r="YL92" s="31"/>
      <c r="YM92" s="31"/>
      <c r="YN92" s="31"/>
      <c r="YO92" s="31"/>
      <c r="YP92" s="31"/>
      <c r="YQ92" s="31"/>
      <c r="YR92" s="31"/>
      <c r="YS92" s="31"/>
      <c r="YT92" s="31"/>
      <c r="YU92" s="31"/>
      <c r="YV92" s="31"/>
      <c r="YW92" s="31"/>
      <c r="YX92" s="31"/>
      <c r="YY92" s="31"/>
      <c r="YZ92" s="31"/>
      <c r="ZA92" s="31"/>
      <c r="ZB92" s="31"/>
      <c r="ZC92" s="31"/>
      <c r="ZD92" s="31"/>
      <c r="ZE92" s="31"/>
      <c r="ZF92" s="31"/>
      <c r="ZG92" s="31"/>
      <c r="ZH92" s="31"/>
      <c r="ZI92" s="31"/>
      <c r="ZJ92" s="31"/>
      <c r="ZK92" s="31"/>
      <c r="ZL92" s="31"/>
      <c r="ZM92" s="31"/>
      <c r="ZN92" s="31"/>
      <c r="ZO92" s="31"/>
      <c r="ZP92" s="31"/>
      <c r="ZQ92" s="31"/>
      <c r="ZR92" s="31"/>
      <c r="ZS92" s="31"/>
      <c r="ZT92" s="31"/>
      <c r="ZU92" s="31"/>
      <c r="ZV92" s="31"/>
      <c r="ZW92" s="56"/>
      <c r="ZX92" s="56"/>
      <c r="ZY92" s="56"/>
      <c r="ZZ92" s="56"/>
      <c r="AAA92" s="56"/>
      <c r="AAB92" s="56"/>
      <c r="AAC92" s="56"/>
      <c r="AAD92" s="56"/>
      <c r="AAE92" s="56"/>
      <c r="AAF92" s="56"/>
      <c r="AAG92" s="31"/>
      <c r="AAH92" s="31"/>
      <c r="AAI92" s="31"/>
      <c r="AAJ92" s="31"/>
      <c r="AAK92" s="31"/>
      <c r="AAL92" s="31"/>
      <c r="AAM92" s="31"/>
      <c r="AAN92" s="31"/>
      <c r="AAO92" s="31"/>
      <c r="AAP92" s="31"/>
      <c r="AAQ92" s="31"/>
      <c r="AAR92" s="31"/>
      <c r="AAS92" s="31"/>
      <c r="AAT92" s="31"/>
      <c r="AAU92" s="31"/>
      <c r="AAV92" s="31"/>
      <c r="AAW92" s="31"/>
      <c r="AAX92" s="31"/>
      <c r="AAY92" s="31"/>
      <c r="AAZ92" s="31"/>
      <c r="ABA92" s="31"/>
      <c r="ABB92" s="31"/>
      <c r="ABC92" s="31"/>
      <c r="ABD92" s="31"/>
      <c r="ABE92" s="31"/>
      <c r="ABF92" s="31"/>
      <c r="ABG92" s="31"/>
      <c r="ABH92" s="31"/>
      <c r="ABI92" s="31"/>
      <c r="ABJ92" s="31"/>
      <c r="ABK92" s="31"/>
      <c r="ABL92" s="31"/>
      <c r="ABM92" s="31"/>
      <c r="ABN92" s="31"/>
      <c r="ABO92" s="31"/>
      <c r="ABP92" s="31"/>
      <c r="ABQ92" s="31"/>
      <c r="ABR92" s="31"/>
      <c r="ABS92" s="31"/>
      <c r="ABT92" s="31"/>
      <c r="ABU92" s="31"/>
      <c r="ABV92" s="31"/>
      <c r="ABW92" s="31"/>
      <c r="ABX92" s="31"/>
      <c r="ABY92" s="31"/>
      <c r="ABZ92" s="31"/>
      <c r="ACA92" s="31"/>
      <c r="ACB92" s="31"/>
      <c r="ACC92" s="31"/>
      <c r="ACD92" s="31"/>
      <c r="ACE92" s="31"/>
      <c r="ACF92" s="31"/>
      <c r="ACG92" s="31"/>
      <c r="ACH92" s="35"/>
    </row>
    <row r="93" spans="1:762" x14ac:dyDescent="0.25">
      <c r="A93" t="s">
        <v>321</v>
      </c>
      <c r="EF93">
        <v>1000</v>
      </c>
      <c r="EZ93">
        <v>103</v>
      </c>
      <c r="GU93">
        <v>9000</v>
      </c>
      <c r="HN93">
        <v>175</v>
      </c>
      <c r="NJ93" s="25"/>
      <c r="NK93" s="25"/>
      <c r="NL93" s="25"/>
      <c r="NM93" s="25"/>
      <c r="NN93" s="25"/>
      <c r="NO93" t="s">
        <v>1690</v>
      </c>
      <c r="OI93" t="s">
        <v>1674</v>
      </c>
      <c r="UZ93">
        <v>1.9</v>
      </c>
      <c r="VM93">
        <v>0.93</v>
      </c>
      <c r="YA93" s="25"/>
      <c r="YB93" s="25"/>
      <c r="YC93" s="25"/>
      <c r="YD93" s="25"/>
      <c r="YE93" s="25"/>
      <c r="ZW93" s="25"/>
      <c r="ZX93" s="25"/>
      <c r="ZY93" s="25"/>
      <c r="ZZ93" s="25"/>
      <c r="AAA93" s="25"/>
      <c r="AAB93" s="25"/>
      <c r="AAC93" s="25"/>
      <c r="AAD93" s="25"/>
      <c r="AAE93" s="25"/>
      <c r="AAF93" s="25"/>
    </row>
    <row r="94" spans="1:762" x14ac:dyDescent="0.25">
      <c r="A94" t="s">
        <v>152</v>
      </c>
      <c r="AC94">
        <v>40</v>
      </c>
      <c r="AD94">
        <v>24</v>
      </c>
      <c r="BC94" t="s">
        <v>1744</v>
      </c>
      <c r="BD94" t="s">
        <v>1743</v>
      </c>
      <c r="CF94">
        <v>345</v>
      </c>
      <c r="CR94">
        <v>31</v>
      </c>
      <c r="CU94">
        <v>25</v>
      </c>
      <c r="DD94">
        <v>11780</v>
      </c>
      <c r="EF94">
        <v>2600</v>
      </c>
      <c r="EG94">
        <v>1364</v>
      </c>
      <c r="EH94">
        <v>2604</v>
      </c>
      <c r="GU94">
        <v>1400</v>
      </c>
      <c r="GV94">
        <v>762</v>
      </c>
      <c r="GW94">
        <v>1430</v>
      </c>
      <c r="JH94">
        <v>64</v>
      </c>
      <c r="JI94">
        <v>61</v>
      </c>
      <c r="LT94">
        <v>3800</v>
      </c>
      <c r="LU94">
        <v>2133</v>
      </c>
      <c r="LV94">
        <v>3768</v>
      </c>
      <c r="NJ94" s="25"/>
      <c r="NK94" s="25"/>
      <c r="NL94" s="25"/>
      <c r="NM94" s="25"/>
      <c r="NN94" s="25"/>
      <c r="NO94" t="s">
        <v>1824</v>
      </c>
      <c r="NQ94" t="s">
        <v>1823</v>
      </c>
      <c r="QK94">
        <v>152</v>
      </c>
      <c r="QL94">
        <v>171</v>
      </c>
      <c r="ST94">
        <v>4059</v>
      </c>
      <c r="SU94">
        <v>4098</v>
      </c>
      <c r="TX94">
        <v>66</v>
      </c>
      <c r="UZ94" t="s">
        <v>533</v>
      </c>
      <c r="VA94" t="s">
        <v>1026</v>
      </c>
      <c r="VT94">
        <v>45</v>
      </c>
      <c r="WO94">
        <v>6</v>
      </c>
      <c r="XH94">
        <v>600</v>
      </c>
      <c r="YA94" s="25"/>
      <c r="YB94" s="25"/>
      <c r="YC94" s="25"/>
      <c r="YD94" s="25"/>
      <c r="YE94" s="25"/>
      <c r="ZA94">
        <v>152</v>
      </c>
      <c r="ZW94" s="25"/>
      <c r="ZX94" s="25"/>
      <c r="ZY94" s="25"/>
      <c r="ZZ94" s="25"/>
      <c r="AAA94" s="25" t="s">
        <v>903</v>
      </c>
      <c r="AAB94" s="25"/>
      <c r="AAC94" s="25"/>
      <c r="AAD94" s="25"/>
      <c r="AAE94" s="25"/>
      <c r="AAF94" s="25"/>
    </row>
    <row r="95" spans="1:762" x14ac:dyDescent="0.25">
      <c r="A95" t="s">
        <v>153</v>
      </c>
      <c r="C95">
        <v>6</v>
      </c>
      <c r="D95">
        <v>105</v>
      </c>
      <c r="F95">
        <v>45</v>
      </c>
      <c r="G95">
        <v>31</v>
      </c>
      <c r="H95">
        <v>115</v>
      </c>
      <c r="I95">
        <v>123</v>
      </c>
      <c r="J95">
        <v>141</v>
      </c>
      <c r="K95">
        <v>147</v>
      </c>
      <c r="AC95" t="s">
        <v>799</v>
      </c>
      <c r="AE95">
        <v>89</v>
      </c>
      <c r="AF95">
        <v>80</v>
      </c>
      <c r="AG95">
        <v>58</v>
      </c>
      <c r="AH95" t="s">
        <v>1764</v>
      </c>
      <c r="AI95">
        <v>10</v>
      </c>
      <c r="AJ95">
        <v>13</v>
      </c>
      <c r="AK95">
        <v>12</v>
      </c>
      <c r="BC95">
        <v>30</v>
      </c>
      <c r="BE95">
        <v>37</v>
      </c>
      <c r="BF95">
        <v>36</v>
      </c>
      <c r="BG95">
        <v>63</v>
      </c>
      <c r="BH95">
        <v>137</v>
      </c>
      <c r="BI95">
        <v>82</v>
      </c>
      <c r="BJ95">
        <v>72</v>
      </c>
      <c r="BK95">
        <v>68</v>
      </c>
      <c r="BL95">
        <v>85</v>
      </c>
      <c r="CG95">
        <v>480</v>
      </c>
      <c r="CI95">
        <v>150</v>
      </c>
      <c r="CJ95">
        <v>340</v>
      </c>
      <c r="CK95">
        <v>220</v>
      </c>
      <c r="CL95">
        <v>130</v>
      </c>
      <c r="DD95">
        <v>7330</v>
      </c>
      <c r="DF95">
        <v>5590</v>
      </c>
      <c r="DG95">
        <v>7650</v>
      </c>
      <c r="DI95">
        <v>12100</v>
      </c>
      <c r="DK95">
        <v>12300</v>
      </c>
      <c r="DL95">
        <v>16400</v>
      </c>
      <c r="DM95">
        <v>16000</v>
      </c>
      <c r="DN95">
        <v>22300</v>
      </c>
      <c r="DO95">
        <v>22500</v>
      </c>
      <c r="EF95">
        <v>74</v>
      </c>
      <c r="EJ95">
        <v>16</v>
      </c>
      <c r="EM95">
        <v>15</v>
      </c>
      <c r="EN95">
        <v>774</v>
      </c>
      <c r="EO95">
        <v>4458</v>
      </c>
      <c r="EP95">
        <v>5586</v>
      </c>
      <c r="EQ95">
        <v>5945</v>
      </c>
      <c r="ER95">
        <v>5322</v>
      </c>
      <c r="GU95">
        <v>63</v>
      </c>
      <c r="GX95">
        <v>18</v>
      </c>
      <c r="HA95">
        <v>15</v>
      </c>
      <c r="HB95">
        <v>425</v>
      </c>
      <c r="HC95">
        <v>2027</v>
      </c>
      <c r="HD95">
        <v>2384</v>
      </c>
      <c r="HE95">
        <v>2524</v>
      </c>
      <c r="HF95">
        <v>2530</v>
      </c>
      <c r="JH95">
        <v>11.8</v>
      </c>
      <c r="JJ95">
        <v>26</v>
      </c>
      <c r="JL95">
        <v>24</v>
      </c>
      <c r="JM95">
        <v>23</v>
      </c>
      <c r="JN95">
        <v>32</v>
      </c>
      <c r="JO95">
        <v>36</v>
      </c>
      <c r="JP95">
        <v>42</v>
      </c>
      <c r="JQ95">
        <v>43</v>
      </c>
      <c r="LT95">
        <v>203</v>
      </c>
      <c r="LW95">
        <v>150</v>
      </c>
      <c r="LZ95">
        <v>110</v>
      </c>
      <c r="MA95">
        <v>1192</v>
      </c>
      <c r="MB95">
        <v>7142</v>
      </c>
      <c r="MC95">
        <v>9091</v>
      </c>
      <c r="MD95">
        <v>9288</v>
      </c>
      <c r="ME95">
        <v>7839</v>
      </c>
      <c r="NJ95" s="25"/>
      <c r="NK95" s="25"/>
      <c r="NL95" s="25"/>
      <c r="NM95" s="25"/>
      <c r="NN95" s="25"/>
      <c r="NO95" t="s">
        <v>1691</v>
      </c>
      <c r="NR95" t="s">
        <v>1692</v>
      </c>
      <c r="NU95" t="s">
        <v>1693</v>
      </c>
      <c r="NW95" t="s">
        <v>1697</v>
      </c>
      <c r="NX95" t="s">
        <v>1833</v>
      </c>
      <c r="NY95" t="s">
        <v>1834</v>
      </c>
      <c r="NZ95" t="s">
        <v>1835</v>
      </c>
      <c r="OA95" t="s">
        <v>1694</v>
      </c>
      <c r="QK95">
        <v>278</v>
      </c>
      <c r="QN95">
        <v>76</v>
      </c>
      <c r="QQ95">
        <v>73</v>
      </c>
      <c r="QR95">
        <v>77</v>
      </c>
      <c r="QS95">
        <v>184</v>
      </c>
      <c r="QT95">
        <v>198</v>
      </c>
      <c r="QU95">
        <v>224</v>
      </c>
      <c r="QV95">
        <v>277</v>
      </c>
      <c r="TX95" t="s">
        <v>1727</v>
      </c>
      <c r="TZ95" t="s">
        <v>1873</v>
      </c>
      <c r="UA95" t="s">
        <v>1872</v>
      </c>
      <c r="UC95" t="s">
        <v>1721</v>
      </c>
      <c r="UD95" t="s">
        <v>1879</v>
      </c>
      <c r="UE95" t="s">
        <v>1877</v>
      </c>
      <c r="UF95" t="s">
        <v>1734</v>
      </c>
      <c r="UG95" t="s">
        <v>1878</v>
      </c>
      <c r="UH95" t="s">
        <v>1728</v>
      </c>
      <c r="UZ95">
        <v>0.85</v>
      </c>
      <c r="VB95" t="s">
        <v>567</v>
      </c>
      <c r="VC95" t="s">
        <v>559</v>
      </c>
      <c r="VD95">
        <v>1.4</v>
      </c>
      <c r="VE95" t="s">
        <v>1897</v>
      </c>
      <c r="VF95" t="s">
        <v>576</v>
      </c>
      <c r="VG95" t="s">
        <v>1896</v>
      </c>
      <c r="VH95" t="s">
        <v>1674</v>
      </c>
      <c r="VI95">
        <v>5.4</v>
      </c>
      <c r="VT95" t="s">
        <v>907</v>
      </c>
      <c r="VU95" t="s">
        <v>908</v>
      </c>
      <c r="VX95">
        <v>8</v>
      </c>
      <c r="VY95" t="s">
        <v>907</v>
      </c>
      <c r="VZ95">
        <v>9</v>
      </c>
      <c r="WA95">
        <v>11</v>
      </c>
      <c r="WB95">
        <v>12</v>
      </c>
      <c r="WC95">
        <v>13</v>
      </c>
      <c r="WO95">
        <v>19</v>
      </c>
      <c r="WQ95">
        <v>12</v>
      </c>
      <c r="WT95" t="s">
        <v>912</v>
      </c>
      <c r="WU95">
        <v>11</v>
      </c>
      <c r="WV95">
        <v>13</v>
      </c>
      <c r="WW95">
        <v>17</v>
      </c>
      <c r="WX95">
        <v>15</v>
      </c>
      <c r="WY95">
        <v>14</v>
      </c>
      <c r="XH95">
        <v>173</v>
      </c>
      <c r="XJ95">
        <v>35</v>
      </c>
      <c r="XK95">
        <v>120</v>
      </c>
      <c r="XL95">
        <v>50</v>
      </c>
      <c r="XM95">
        <v>43</v>
      </c>
      <c r="XN95">
        <v>39</v>
      </c>
      <c r="XO95">
        <v>41</v>
      </c>
      <c r="XP95">
        <v>41</v>
      </c>
      <c r="YA95" s="25"/>
      <c r="YB95" s="25"/>
      <c r="YC95" s="25"/>
      <c r="YD95" s="25"/>
      <c r="YE95" s="25"/>
      <c r="YF95">
        <v>0.46600000000000003</v>
      </c>
      <c r="YG95" s="8">
        <v>0.28000000000000003</v>
      </c>
      <c r="YH95" s="8"/>
      <c r="YI95" s="8"/>
      <c r="YJ95">
        <v>0.28000000000000003</v>
      </c>
      <c r="YK95">
        <v>0.28999999999999998</v>
      </c>
      <c r="YL95" t="s">
        <v>2028</v>
      </c>
      <c r="YM95">
        <v>0.51</v>
      </c>
      <c r="YN95">
        <v>30</v>
      </c>
      <c r="YO95">
        <v>24</v>
      </c>
      <c r="ZA95" t="s">
        <v>915</v>
      </c>
      <c r="ZC95">
        <v>212</v>
      </c>
      <c r="ZW95" s="25"/>
      <c r="ZX95" s="25"/>
      <c r="ZY95" s="25"/>
      <c r="ZZ95" s="25"/>
      <c r="AAA95" s="25"/>
      <c r="AAB95" s="25"/>
      <c r="AAC95" s="25"/>
      <c r="AAD95" s="25" t="s">
        <v>1939</v>
      </c>
      <c r="AAE95" s="25">
        <v>62</v>
      </c>
      <c r="AAF95" s="25"/>
      <c r="AAO95">
        <v>14</v>
      </c>
      <c r="AAP95">
        <v>16</v>
      </c>
      <c r="AAQ95">
        <v>23</v>
      </c>
      <c r="ABO95">
        <v>69</v>
      </c>
      <c r="ABR95">
        <v>36</v>
      </c>
      <c r="ABS95">
        <v>12</v>
      </c>
      <c r="ABT95">
        <v>20</v>
      </c>
      <c r="ABU95">
        <v>29</v>
      </c>
      <c r="ABV95">
        <v>91</v>
      </c>
      <c r="ABW95">
        <v>116</v>
      </c>
    </row>
    <row r="96" spans="1:762" x14ac:dyDescent="0.25">
      <c r="A96" t="s">
        <v>155</v>
      </c>
      <c r="EF96">
        <v>66</v>
      </c>
      <c r="GU96">
        <v>104</v>
      </c>
      <c r="NJ96" s="25"/>
      <c r="NK96" s="25"/>
      <c r="NL96" s="25"/>
      <c r="NM96" s="25"/>
      <c r="NN96" s="25"/>
      <c r="YA96" s="25"/>
      <c r="YB96" s="25"/>
      <c r="YC96" s="25"/>
      <c r="YD96" s="25"/>
      <c r="YE96" s="25"/>
      <c r="ZW96" s="25"/>
      <c r="ZX96" s="25"/>
      <c r="ZY96" s="25"/>
      <c r="ZZ96" s="25"/>
      <c r="AAA96" s="25"/>
      <c r="AAB96" s="25"/>
      <c r="AAC96" s="25"/>
      <c r="AAD96" s="25"/>
      <c r="AAE96" s="25"/>
      <c r="AAF96" s="25"/>
    </row>
    <row r="97" spans="1:762" x14ac:dyDescent="0.25">
      <c r="A97" t="s">
        <v>157</v>
      </c>
      <c r="DV97">
        <v>25000</v>
      </c>
      <c r="EF97">
        <v>63</v>
      </c>
      <c r="EN97">
        <v>60</v>
      </c>
      <c r="EX97">
        <v>21</v>
      </c>
      <c r="FD97">
        <v>13</v>
      </c>
      <c r="GU97">
        <v>113</v>
      </c>
      <c r="HB97">
        <v>130</v>
      </c>
      <c r="HL97">
        <v>59</v>
      </c>
      <c r="HR97">
        <v>27</v>
      </c>
      <c r="JH97">
        <v>207</v>
      </c>
      <c r="JM97">
        <v>317</v>
      </c>
      <c r="JW97">
        <v>257</v>
      </c>
      <c r="KC97">
        <v>141</v>
      </c>
      <c r="NJ97" s="25"/>
      <c r="NK97" s="25"/>
      <c r="NL97" s="25"/>
      <c r="NM97" s="25"/>
      <c r="NN97" s="25"/>
      <c r="OH97">
        <v>17</v>
      </c>
      <c r="TX97" t="s">
        <v>1729</v>
      </c>
      <c r="UD97" t="s">
        <v>1730</v>
      </c>
      <c r="UN97" t="s">
        <v>1729</v>
      </c>
      <c r="UR97">
        <v>0.7</v>
      </c>
      <c r="YA97" s="25"/>
      <c r="YB97" s="25"/>
      <c r="YC97" s="25"/>
      <c r="YD97" s="25"/>
      <c r="YE97" s="25"/>
      <c r="ZW97" s="25"/>
      <c r="ZX97" s="25"/>
      <c r="ZY97" s="25"/>
      <c r="ZZ97" s="25"/>
      <c r="AAA97" s="25"/>
      <c r="AAB97" s="25"/>
      <c r="AAC97" s="25"/>
      <c r="AAD97" s="25"/>
      <c r="AAE97" s="25"/>
      <c r="AAF97" s="25"/>
      <c r="ABE97">
        <v>200</v>
      </c>
      <c r="ABG97">
        <v>207</v>
      </c>
      <c r="ABH97">
        <v>186</v>
      </c>
    </row>
    <row r="98" spans="1:762" x14ac:dyDescent="0.25">
      <c r="A98" t="s">
        <v>158</v>
      </c>
      <c r="B98">
        <v>241</v>
      </c>
      <c r="C98">
        <v>123</v>
      </c>
      <c r="D98">
        <v>215</v>
      </c>
      <c r="E98">
        <v>343</v>
      </c>
      <c r="F98">
        <v>348</v>
      </c>
      <c r="G98">
        <v>270</v>
      </c>
      <c r="K98">
        <v>486</v>
      </c>
      <c r="L98">
        <v>534</v>
      </c>
      <c r="M98">
        <v>409</v>
      </c>
      <c r="N98">
        <v>439</v>
      </c>
      <c r="O98">
        <v>346</v>
      </c>
      <c r="P98">
        <v>216</v>
      </c>
      <c r="DD98">
        <v>3880</v>
      </c>
      <c r="DF98">
        <v>8560</v>
      </c>
      <c r="DG98">
        <v>4870</v>
      </c>
      <c r="DH98">
        <v>3960</v>
      </c>
      <c r="DI98">
        <v>4640</v>
      </c>
      <c r="DK98">
        <v>9530</v>
      </c>
      <c r="DO98">
        <v>8890</v>
      </c>
      <c r="DP98">
        <v>8450</v>
      </c>
      <c r="DQ98">
        <v>6260</v>
      </c>
      <c r="DR98">
        <v>5320</v>
      </c>
      <c r="DS98">
        <v>5540</v>
      </c>
      <c r="DT98">
        <v>5030</v>
      </c>
      <c r="EF98">
        <v>20</v>
      </c>
      <c r="EJ98">
        <v>13</v>
      </c>
      <c r="EK98">
        <v>21</v>
      </c>
      <c r="EL98">
        <v>30</v>
      </c>
      <c r="EM98">
        <v>36</v>
      </c>
      <c r="EN98">
        <v>32</v>
      </c>
      <c r="ER98">
        <v>2195</v>
      </c>
      <c r="ES98">
        <v>1171</v>
      </c>
      <c r="ET98">
        <v>981</v>
      </c>
      <c r="EU98">
        <v>746</v>
      </c>
      <c r="EV98">
        <v>490</v>
      </c>
      <c r="EW98">
        <v>288</v>
      </c>
      <c r="GU98">
        <v>12</v>
      </c>
      <c r="GX98">
        <v>10</v>
      </c>
      <c r="GY98" s="10"/>
      <c r="GZ98" s="10"/>
      <c r="HA98">
        <v>15</v>
      </c>
      <c r="HB98">
        <v>17</v>
      </c>
      <c r="HF98">
        <v>1358</v>
      </c>
      <c r="HG98">
        <v>1165</v>
      </c>
      <c r="HH98">
        <v>1092</v>
      </c>
      <c r="HI98">
        <v>883</v>
      </c>
      <c r="HJ98">
        <v>857</v>
      </c>
      <c r="HK98">
        <v>617</v>
      </c>
      <c r="JH98" t="s">
        <v>923</v>
      </c>
      <c r="JJ98" t="s">
        <v>923</v>
      </c>
      <c r="JL98" t="s">
        <v>923</v>
      </c>
      <c r="JM98" t="s">
        <v>923</v>
      </c>
      <c r="JQ98">
        <v>97</v>
      </c>
      <c r="JR98">
        <v>82</v>
      </c>
      <c r="JS98">
        <v>78</v>
      </c>
      <c r="JT98">
        <v>75</v>
      </c>
      <c r="JU98">
        <v>73</v>
      </c>
      <c r="JV98">
        <v>55</v>
      </c>
      <c r="LT98">
        <v>149</v>
      </c>
      <c r="LW98">
        <v>178</v>
      </c>
      <c r="LX98">
        <v>159</v>
      </c>
      <c r="LY98">
        <v>183</v>
      </c>
      <c r="LZ98">
        <v>199</v>
      </c>
      <c r="MA98">
        <v>258</v>
      </c>
      <c r="ME98">
        <v>1539</v>
      </c>
      <c r="MF98">
        <v>685</v>
      </c>
      <c r="MG98">
        <v>572</v>
      </c>
      <c r="MH98">
        <v>479</v>
      </c>
      <c r="MI98">
        <v>375</v>
      </c>
      <c r="MJ98">
        <v>326</v>
      </c>
      <c r="NJ98" s="25"/>
      <c r="NK98" s="25"/>
      <c r="NL98" s="25"/>
      <c r="NM98" s="25"/>
      <c r="NN98" s="25"/>
      <c r="NO98" t="s">
        <v>1695</v>
      </c>
      <c r="NR98" t="s">
        <v>378</v>
      </c>
      <c r="NS98" t="s">
        <v>1707</v>
      </c>
      <c r="NT98" t="s">
        <v>1827</v>
      </c>
      <c r="NU98" t="s">
        <v>1692</v>
      </c>
      <c r="NW98" t="s">
        <v>1696</v>
      </c>
      <c r="OA98" t="s">
        <v>1837</v>
      </c>
      <c r="OB98" t="s">
        <v>1697</v>
      </c>
      <c r="OC98" t="s">
        <v>1840</v>
      </c>
      <c r="OD98" t="s">
        <v>1837</v>
      </c>
      <c r="OE98" t="s">
        <v>1070</v>
      </c>
      <c r="OF98" t="s">
        <v>1697</v>
      </c>
      <c r="QK98">
        <v>47</v>
      </c>
      <c r="QN98">
        <v>59</v>
      </c>
      <c r="QO98">
        <v>50</v>
      </c>
      <c r="QP98">
        <v>54</v>
      </c>
      <c r="QQ98">
        <v>58</v>
      </c>
      <c r="QR98">
        <v>63</v>
      </c>
      <c r="QV98">
        <v>229</v>
      </c>
      <c r="QW98">
        <v>202</v>
      </c>
      <c r="QX98">
        <v>197</v>
      </c>
      <c r="QY98">
        <v>185</v>
      </c>
      <c r="QZ98">
        <v>182</v>
      </c>
      <c r="RA98">
        <v>155</v>
      </c>
      <c r="ST98">
        <v>4338</v>
      </c>
      <c r="SV98">
        <v>5310</v>
      </c>
      <c r="SW98">
        <v>4307</v>
      </c>
      <c r="SX98">
        <v>5466</v>
      </c>
      <c r="SY98">
        <v>5899</v>
      </c>
      <c r="TA98">
        <v>6377</v>
      </c>
      <c r="TC98">
        <v>6119</v>
      </c>
      <c r="TD98">
        <v>6016</v>
      </c>
      <c r="TE98">
        <v>5958</v>
      </c>
      <c r="TF98">
        <v>6145</v>
      </c>
      <c r="TX98" t="s">
        <v>1731</v>
      </c>
      <c r="TZ98" t="s">
        <v>1874</v>
      </c>
      <c r="UA98">
        <v>88</v>
      </c>
      <c r="UB98" t="s">
        <v>1718</v>
      </c>
      <c r="UC98" t="s">
        <v>1718</v>
      </c>
      <c r="UD98" t="s">
        <v>1732</v>
      </c>
      <c r="UH98" t="s">
        <v>1868</v>
      </c>
      <c r="UI98" t="s">
        <v>1882</v>
      </c>
      <c r="UJ98" t="s">
        <v>1882</v>
      </c>
      <c r="UK98" t="s">
        <v>1885</v>
      </c>
      <c r="UL98" t="s">
        <v>1886</v>
      </c>
      <c r="UM98">
        <v>154</v>
      </c>
      <c r="VT98">
        <v>18</v>
      </c>
      <c r="VU98">
        <v>12</v>
      </c>
      <c r="VV98">
        <v>19</v>
      </c>
      <c r="VW98">
        <v>27</v>
      </c>
      <c r="VX98">
        <v>31</v>
      </c>
      <c r="VY98">
        <v>26</v>
      </c>
      <c r="WC98">
        <v>13</v>
      </c>
      <c r="WD98">
        <v>13</v>
      </c>
      <c r="WE98">
        <v>13</v>
      </c>
      <c r="WF98">
        <v>14</v>
      </c>
      <c r="WG98">
        <v>12</v>
      </c>
      <c r="WH98">
        <v>7</v>
      </c>
      <c r="WO98">
        <v>14</v>
      </c>
      <c r="WQ98">
        <v>14</v>
      </c>
      <c r="WR98">
        <v>13</v>
      </c>
      <c r="WS98">
        <v>17</v>
      </c>
      <c r="WT98">
        <v>16</v>
      </c>
      <c r="WU98">
        <v>14</v>
      </c>
      <c r="WY98">
        <v>13</v>
      </c>
      <c r="WZ98">
        <v>19</v>
      </c>
      <c r="XA98">
        <v>18</v>
      </c>
      <c r="XB98">
        <v>16</v>
      </c>
      <c r="XC98">
        <v>14</v>
      </c>
      <c r="XD98">
        <v>13</v>
      </c>
      <c r="YA98" s="25"/>
      <c r="YB98" s="25"/>
      <c r="YC98" s="25"/>
      <c r="YD98" s="25"/>
      <c r="YE98" s="25"/>
      <c r="YF98">
        <v>0.78</v>
      </c>
      <c r="YG98" t="s">
        <v>2029</v>
      </c>
      <c r="YH98">
        <v>0.83</v>
      </c>
      <c r="YI98">
        <v>0.68</v>
      </c>
      <c r="YJ98">
        <v>0.61</v>
      </c>
      <c r="YK98">
        <v>0.68</v>
      </c>
      <c r="YO98">
        <v>1.48</v>
      </c>
      <c r="YP98">
        <v>1.81</v>
      </c>
      <c r="YQ98">
        <v>1.89</v>
      </c>
      <c r="YR98">
        <v>2.04</v>
      </c>
      <c r="YS98">
        <v>1.98</v>
      </c>
      <c r="YT98">
        <v>1.46</v>
      </c>
      <c r="ZA98" t="s">
        <v>928</v>
      </c>
      <c r="ZC98">
        <v>143</v>
      </c>
      <c r="ZD98">
        <v>116</v>
      </c>
      <c r="ZE98">
        <v>89</v>
      </c>
      <c r="ZF98">
        <v>97</v>
      </c>
      <c r="ZH98">
        <v>118</v>
      </c>
      <c r="ZI98">
        <v>123</v>
      </c>
      <c r="ZJ98">
        <v>101</v>
      </c>
      <c r="ZK98">
        <v>104</v>
      </c>
      <c r="ZL98">
        <v>101</v>
      </c>
      <c r="ZM98">
        <v>113</v>
      </c>
      <c r="ZN98">
        <v>129</v>
      </c>
      <c r="ZW98" s="25"/>
      <c r="ZX98" s="25"/>
      <c r="ZY98" s="25"/>
      <c r="ZZ98" s="25"/>
      <c r="AAA98" s="25"/>
      <c r="AAB98" s="25"/>
      <c r="AAC98" s="25"/>
      <c r="AAD98" s="25"/>
      <c r="AAE98" s="25"/>
      <c r="AAF98" s="25"/>
      <c r="ABN98">
        <v>36</v>
      </c>
      <c r="ABO98">
        <v>36</v>
      </c>
      <c r="ABP98">
        <v>27</v>
      </c>
      <c r="ABQ98">
        <v>48</v>
      </c>
      <c r="ABR98">
        <v>48</v>
      </c>
      <c r="ABS98">
        <v>38</v>
      </c>
      <c r="ABW98">
        <v>80</v>
      </c>
      <c r="ABX98">
        <v>78</v>
      </c>
      <c r="ABY98">
        <v>62</v>
      </c>
      <c r="ABZ98">
        <v>57</v>
      </c>
      <c r="ACA98">
        <v>76</v>
      </c>
      <c r="ACB98">
        <v>100</v>
      </c>
    </row>
    <row r="99" spans="1:762" x14ac:dyDescent="0.25">
      <c r="A99" t="s">
        <v>160</v>
      </c>
      <c r="NJ99" s="25"/>
      <c r="NK99" s="25"/>
      <c r="NL99" s="25"/>
      <c r="NM99" s="25"/>
      <c r="NN99" s="25"/>
      <c r="YA99" s="25"/>
      <c r="YB99" s="25"/>
      <c r="YC99" s="25"/>
      <c r="YD99" s="25"/>
      <c r="YE99" s="25"/>
      <c r="ZW99" s="25"/>
      <c r="ZX99" s="25"/>
      <c r="ZY99" s="25"/>
      <c r="ZZ99" s="25"/>
      <c r="AAA99" s="25"/>
      <c r="AAB99" s="25"/>
      <c r="AAC99" s="25"/>
      <c r="AAD99" s="25"/>
      <c r="AAE99" s="25"/>
      <c r="AAF99" s="25"/>
    </row>
    <row r="100" spans="1:762" x14ac:dyDescent="0.25">
      <c r="A100" t="s">
        <v>162</v>
      </c>
      <c r="NJ100" s="25"/>
      <c r="NK100" s="25"/>
      <c r="NL100" s="25"/>
      <c r="NM100" s="25"/>
      <c r="NN100" s="25"/>
      <c r="YA100" s="25"/>
      <c r="YB100" s="25"/>
      <c r="YC100" s="25"/>
      <c r="YD100" s="25"/>
      <c r="YE100" s="25"/>
      <c r="ZW100" s="25"/>
      <c r="ZX100" s="25"/>
      <c r="ZY100" s="25"/>
      <c r="ZZ100" s="25"/>
      <c r="AAA100" s="25"/>
      <c r="AAB100" s="25"/>
      <c r="AAC100" s="25"/>
      <c r="AAD100" s="25"/>
      <c r="AAE100" s="25"/>
      <c r="AAF100" s="25"/>
    </row>
    <row r="101" spans="1:762" x14ac:dyDescent="0.25">
      <c r="A101" t="s">
        <v>163</v>
      </c>
      <c r="C101">
        <v>13</v>
      </c>
      <c r="BC101">
        <v>43.3</v>
      </c>
      <c r="BE101">
        <v>32.200000000000003</v>
      </c>
      <c r="CR101" s="7">
        <v>0.82</v>
      </c>
      <c r="DD101">
        <v>4510</v>
      </c>
      <c r="DE101">
        <v>4600</v>
      </c>
      <c r="DF101">
        <v>3560</v>
      </c>
      <c r="DG101">
        <v>3620</v>
      </c>
      <c r="DI101">
        <v>8180</v>
      </c>
      <c r="DJ101">
        <v>3270</v>
      </c>
      <c r="DK101">
        <v>3550</v>
      </c>
      <c r="GX101">
        <v>46</v>
      </c>
      <c r="JJ101">
        <v>213</v>
      </c>
      <c r="LW101">
        <v>446</v>
      </c>
      <c r="NJ101" s="25"/>
      <c r="NK101" s="25"/>
      <c r="NL101" s="25"/>
      <c r="NM101" s="25"/>
      <c r="NN101" s="25"/>
      <c r="QN101">
        <v>209</v>
      </c>
      <c r="SV101">
        <v>3470</v>
      </c>
      <c r="TX101" t="s">
        <v>543</v>
      </c>
      <c r="TZ101" t="s">
        <v>1733</v>
      </c>
      <c r="UC101" t="s">
        <v>1734</v>
      </c>
      <c r="UD101" t="s">
        <v>1733</v>
      </c>
      <c r="XH101">
        <v>41</v>
      </c>
      <c r="XJ101">
        <v>32.1</v>
      </c>
      <c r="XK101">
        <v>46.1</v>
      </c>
      <c r="XL101">
        <v>85.1</v>
      </c>
      <c r="YA101" s="25"/>
      <c r="YB101" s="25"/>
      <c r="YC101" s="25"/>
      <c r="YD101" s="25"/>
      <c r="YE101" s="25"/>
      <c r="YF101">
        <v>0.61</v>
      </c>
      <c r="YG101">
        <v>0.53</v>
      </c>
      <c r="ZA101">
        <v>67</v>
      </c>
      <c r="ZB101">
        <v>64</v>
      </c>
      <c r="ZC101">
        <v>87</v>
      </c>
      <c r="ZD101">
        <v>81</v>
      </c>
      <c r="ZF101">
        <v>116</v>
      </c>
      <c r="ZG101">
        <v>118</v>
      </c>
      <c r="ZH101">
        <v>163</v>
      </c>
      <c r="ZW101" s="25"/>
      <c r="ZX101" s="25"/>
      <c r="ZY101" s="25"/>
      <c r="ZZ101" s="25"/>
      <c r="AAA101" s="25"/>
      <c r="AAB101" s="25"/>
      <c r="AAC101" s="25"/>
      <c r="AAD101" s="25"/>
      <c r="AAE101" s="25"/>
      <c r="AAF101" s="25"/>
      <c r="AAN101" s="7">
        <v>0.46</v>
      </c>
    </row>
    <row r="102" spans="1:762" x14ac:dyDescent="0.25">
      <c r="A102" t="s">
        <v>164</v>
      </c>
      <c r="NJ102" s="25"/>
      <c r="NK102" s="25"/>
      <c r="NL102" s="25"/>
      <c r="NM102" s="25"/>
      <c r="NN102" s="25"/>
      <c r="YA102" s="25"/>
      <c r="YB102" s="25"/>
      <c r="YC102" s="25"/>
      <c r="YD102" s="25"/>
      <c r="YE102" s="25"/>
      <c r="ZW102" s="25"/>
      <c r="ZX102" s="25"/>
      <c r="ZY102" s="25"/>
      <c r="ZZ102" s="25"/>
      <c r="AAA102" s="25"/>
      <c r="AAB102" s="25"/>
      <c r="AAC102" s="25"/>
      <c r="AAD102" s="25"/>
      <c r="AAE102" s="25"/>
      <c r="AAF102" s="25"/>
    </row>
    <row r="103" spans="1:762" x14ac:dyDescent="0.25">
      <c r="A103" t="s">
        <v>165</v>
      </c>
      <c r="NJ103" s="25"/>
      <c r="NK103" s="25"/>
      <c r="NL103" s="25"/>
      <c r="NM103" s="25"/>
      <c r="NN103" s="25"/>
      <c r="YA103" s="25"/>
      <c r="YB103" s="25"/>
      <c r="YC103" s="25"/>
      <c r="YD103" s="25"/>
      <c r="YE103" s="25"/>
      <c r="ZW103" s="25"/>
      <c r="ZX103" s="25"/>
      <c r="ZY103" s="25"/>
      <c r="ZZ103" s="25"/>
      <c r="AAA103" s="25"/>
      <c r="AAB103" s="25"/>
      <c r="AAC103" s="25"/>
      <c r="AAD103" s="25"/>
      <c r="AAE103" s="25"/>
      <c r="AAF103" s="25"/>
    </row>
    <row r="104" spans="1:762" x14ac:dyDescent="0.25">
      <c r="A104" t="s">
        <v>166</v>
      </c>
      <c r="B104">
        <v>53</v>
      </c>
      <c r="C104">
        <v>66</v>
      </c>
      <c r="F104">
        <v>60</v>
      </c>
      <c r="DD104">
        <v>10140</v>
      </c>
      <c r="DF104">
        <v>11620</v>
      </c>
      <c r="DI104">
        <v>8550</v>
      </c>
      <c r="EF104">
        <v>83</v>
      </c>
      <c r="EJ104">
        <v>96</v>
      </c>
      <c r="EM104">
        <v>84</v>
      </c>
      <c r="GU104">
        <v>189</v>
      </c>
      <c r="GX104">
        <v>178</v>
      </c>
      <c r="HA104">
        <v>138</v>
      </c>
      <c r="JH104">
        <v>89</v>
      </c>
      <c r="JJ104">
        <v>105</v>
      </c>
      <c r="JL104">
        <v>86</v>
      </c>
      <c r="LT104">
        <v>203</v>
      </c>
      <c r="LW104">
        <v>235</v>
      </c>
      <c r="LZ104">
        <v>216</v>
      </c>
      <c r="NJ104" s="25"/>
      <c r="NK104" s="25"/>
      <c r="NL104" s="25"/>
      <c r="NM104" s="25"/>
      <c r="NN104" s="25"/>
      <c r="NO104" t="s">
        <v>1698</v>
      </c>
      <c r="NR104" s="8" t="s">
        <v>1699</v>
      </c>
      <c r="NS104" s="8"/>
      <c r="NT104" s="8"/>
      <c r="NU104">
        <v>187</v>
      </c>
      <c r="QK104">
        <v>106</v>
      </c>
      <c r="QN104">
        <v>106</v>
      </c>
      <c r="QQ104">
        <v>94</v>
      </c>
      <c r="TX104" t="s">
        <v>1735</v>
      </c>
      <c r="TZ104" t="s">
        <v>1736</v>
      </c>
      <c r="UC104" t="s">
        <v>529</v>
      </c>
      <c r="XH104">
        <v>12.6</v>
      </c>
      <c r="XJ104">
        <v>13.7</v>
      </c>
      <c r="XK104">
        <v>10.6</v>
      </c>
      <c r="YA104" s="25"/>
      <c r="YB104" s="25"/>
      <c r="YC104" s="25"/>
      <c r="YD104" s="25"/>
      <c r="YE104" s="25"/>
      <c r="YF104">
        <v>0.21</v>
      </c>
      <c r="YG104">
        <v>0.26</v>
      </c>
      <c r="YJ104">
        <v>0.24</v>
      </c>
      <c r="ZA104">
        <v>182</v>
      </c>
      <c r="ZC104">
        <v>235</v>
      </c>
      <c r="ZF104">
        <v>226</v>
      </c>
      <c r="ZW104" s="25"/>
      <c r="ZX104" s="25"/>
      <c r="ZY104" s="25"/>
      <c r="ZZ104" s="25"/>
      <c r="AAA104" s="25" t="s">
        <v>930</v>
      </c>
      <c r="AAB104" s="25">
        <v>32</v>
      </c>
      <c r="AAC104" s="25">
        <v>29</v>
      </c>
      <c r="AAD104" s="25"/>
      <c r="AAE104" s="25"/>
      <c r="AAF104" s="25"/>
      <c r="AAK104" t="s">
        <v>2031</v>
      </c>
    </row>
    <row r="105" spans="1:762" x14ac:dyDescent="0.25">
      <c r="A105" t="s">
        <v>167</v>
      </c>
      <c r="AC105">
        <v>35</v>
      </c>
      <c r="EF105" s="11">
        <v>2215</v>
      </c>
      <c r="EG105" s="11"/>
      <c r="EH105" s="11"/>
      <c r="EI105" s="11"/>
      <c r="GU105">
        <v>1821</v>
      </c>
      <c r="HF105" t="s">
        <v>547</v>
      </c>
      <c r="NJ105" s="25"/>
      <c r="NK105" s="25"/>
      <c r="NL105" s="25"/>
      <c r="NM105" s="25"/>
      <c r="NN105" s="25"/>
      <c r="NO105" t="s">
        <v>1700</v>
      </c>
      <c r="TX105" t="s">
        <v>1737</v>
      </c>
      <c r="XH105">
        <v>200</v>
      </c>
      <c r="YA105" s="25"/>
      <c r="YB105" s="25"/>
      <c r="YC105" s="25"/>
      <c r="YD105" s="25"/>
      <c r="YE105" s="25"/>
      <c r="ZW105" s="25"/>
      <c r="ZX105" s="25"/>
      <c r="ZY105" s="25"/>
      <c r="ZZ105" s="25"/>
      <c r="AAA105" s="25"/>
      <c r="AAB105" s="25"/>
      <c r="AAC105" s="25"/>
      <c r="AAD105" s="25"/>
      <c r="AAE105" s="25"/>
      <c r="AAF105" s="25"/>
    </row>
    <row r="106" spans="1:762" x14ac:dyDescent="0.25">
      <c r="A106" t="s">
        <v>169</v>
      </c>
      <c r="NJ106" s="25"/>
      <c r="NK106" s="25"/>
      <c r="NL106" s="25"/>
      <c r="NM106" s="25"/>
      <c r="NN106" s="25"/>
      <c r="YA106" s="25"/>
      <c r="YB106" s="25"/>
      <c r="YC106" s="25"/>
      <c r="YD106" s="25"/>
      <c r="YE106" s="25"/>
      <c r="ZW106" s="25"/>
      <c r="ZX106" s="25"/>
      <c r="ZY106" s="25"/>
      <c r="ZZ106" s="25"/>
      <c r="AAA106" s="25"/>
      <c r="AAB106" s="25"/>
      <c r="AAC106" s="25"/>
      <c r="AAD106" s="25"/>
      <c r="AAE106" s="25"/>
      <c r="AAF106" s="25"/>
    </row>
    <row r="107" spans="1:762" x14ac:dyDescent="0.25">
      <c r="A107" t="s">
        <v>170</v>
      </c>
      <c r="CF107">
        <v>372</v>
      </c>
      <c r="DD107">
        <v>5900</v>
      </c>
      <c r="NJ107" s="25"/>
      <c r="NK107" s="25"/>
      <c r="NL107" s="25"/>
      <c r="NM107" s="25"/>
      <c r="NN107" s="25"/>
      <c r="YA107" s="25"/>
      <c r="YB107" s="25"/>
      <c r="YC107" s="25"/>
      <c r="YD107" s="25"/>
      <c r="YE107" s="25"/>
      <c r="ZA107">
        <v>270</v>
      </c>
      <c r="ZW107" s="25"/>
      <c r="ZX107" s="25"/>
      <c r="ZY107" s="25"/>
      <c r="ZZ107" s="25"/>
      <c r="AAA107" s="25"/>
      <c r="AAB107" s="25"/>
      <c r="AAC107" s="25"/>
      <c r="AAD107" s="25"/>
      <c r="AAE107" s="25"/>
      <c r="AAF107" s="25"/>
    </row>
    <row r="108" spans="1:762" x14ac:dyDescent="0.25">
      <c r="A108" t="s">
        <v>172</v>
      </c>
      <c r="NJ108" s="25"/>
      <c r="NK108" s="25"/>
      <c r="NL108" s="25"/>
      <c r="NM108" s="25"/>
      <c r="NN108" s="25"/>
      <c r="YA108" s="25"/>
      <c r="YB108" s="25"/>
      <c r="YC108" s="25"/>
      <c r="YD108" s="25"/>
      <c r="YE108" s="25"/>
      <c r="ZW108" s="25"/>
      <c r="ZX108" s="25"/>
      <c r="ZY108" s="25"/>
      <c r="ZZ108" s="25"/>
      <c r="AAA108" s="25"/>
      <c r="AAB108" s="25"/>
      <c r="AAC108" s="25"/>
      <c r="AAD108" s="25"/>
      <c r="AAE108" s="25"/>
      <c r="AAF108" s="25"/>
    </row>
    <row r="109" spans="1:762" x14ac:dyDescent="0.25">
      <c r="A109" t="s">
        <v>173</v>
      </c>
      <c r="B109">
        <v>527</v>
      </c>
      <c r="C109">
        <v>711</v>
      </c>
      <c r="F109">
        <v>499</v>
      </c>
      <c r="AC109">
        <v>85</v>
      </c>
      <c r="AD109">
        <v>30</v>
      </c>
      <c r="AE109">
        <v>29</v>
      </c>
      <c r="AF109">
        <v>37</v>
      </c>
      <c r="AG109">
        <v>49</v>
      </c>
      <c r="BE109">
        <v>28</v>
      </c>
      <c r="BF109">
        <v>32</v>
      </c>
      <c r="BG109">
        <v>35</v>
      </c>
      <c r="DD109">
        <v>2100</v>
      </c>
      <c r="DE109">
        <v>8000</v>
      </c>
      <c r="DF109">
        <v>8500</v>
      </c>
      <c r="DG109">
        <v>7500</v>
      </c>
      <c r="DI109">
        <v>8000</v>
      </c>
      <c r="DK109">
        <v>4600</v>
      </c>
      <c r="DQ109">
        <v>3400</v>
      </c>
      <c r="EF109">
        <v>1639</v>
      </c>
      <c r="EG109">
        <v>1054</v>
      </c>
      <c r="EJ109">
        <v>879</v>
      </c>
      <c r="EK109">
        <v>658</v>
      </c>
      <c r="EM109">
        <v>511</v>
      </c>
      <c r="EN109">
        <v>241</v>
      </c>
      <c r="ET109">
        <v>78</v>
      </c>
      <c r="GU109">
        <v>1835</v>
      </c>
      <c r="GX109">
        <v>1893</v>
      </c>
      <c r="HA109">
        <v>1571</v>
      </c>
      <c r="HB109">
        <v>1362</v>
      </c>
      <c r="HH109">
        <v>847</v>
      </c>
      <c r="JH109">
        <v>50</v>
      </c>
      <c r="JI109">
        <v>46</v>
      </c>
      <c r="JJ109">
        <v>44</v>
      </c>
      <c r="JK109">
        <v>50</v>
      </c>
      <c r="JL109">
        <v>55</v>
      </c>
      <c r="JM109">
        <v>78</v>
      </c>
      <c r="JS109">
        <v>86</v>
      </c>
      <c r="LT109">
        <v>785</v>
      </c>
      <c r="LU109">
        <v>485</v>
      </c>
      <c r="LW109">
        <v>421</v>
      </c>
      <c r="LX109">
        <v>403</v>
      </c>
      <c r="LZ109">
        <v>337</v>
      </c>
      <c r="MA109">
        <v>271</v>
      </c>
      <c r="MG109">
        <v>240</v>
      </c>
      <c r="NJ109" s="25"/>
      <c r="NK109" s="25"/>
      <c r="NL109" s="25"/>
      <c r="NM109" s="25"/>
      <c r="NN109" s="25"/>
      <c r="NO109" t="s">
        <v>1695</v>
      </c>
      <c r="NQ109">
        <v>17</v>
      </c>
      <c r="NR109" t="s">
        <v>1695</v>
      </c>
      <c r="NS109">
        <v>17</v>
      </c>
      <c r="NT109" t="s">
        <v>1828</v>
      </c>
      <c r="NU109">
        <v>17</v>
      </c>
      <c r="NW109" t="s">
        <v>1692</v>
      </c>
      <c r="OC109" t="s">
        <v>1696</v>
      </c>
      <c r="PU109" t="s">
        <v>1996</v>
      </c>
      <c r="PV109" t="s">
        <v>1843</v>
      </c>
      <c r="PX109" t="s">
        <v>1997</v>
      </c>
      <c r="PY109" t="s">
        <v>1845</v>
      </c>
      <c r="PZ109" t="s">
        <v>936</v>
      </c>
      <c r="QA109" t="s">
        <v>937</v>
      </c>
      <c r="QB109" t="s">
        <v>938</v>
      </c>
      <c r="QK109">
        <v>52</v>
      </c>
      <c r="QL109">
        <v>58</v>
      </c>
      <c r="QN109">
        <v>52</v>
      </c>
      <c r="QQ109">
        <v>57</v>
      </c>
      <c r="QR109">
        <v>63</v>
      </c>
      <c r="ST109">
        <v>5741</v>
      </c>
      <c r="SU109">
        <v>5153</v>
      </c>
      <c r="SV109">
        <v>4925</v>
      </c>
      <c r="SW109">
        <v>4682</v>
      </c>
      <c r="SY109">
        <v>4014</v>
      </c>
      <c r="SZ109">
        <v>5770</v>
      </c>
      <c r="TD109">
        <v>8244</v>
      </c>
      <c r="TX109" t="s">
        <v>1869</v>
      </c>
      <c r="TY109" t="s">
        <v>1736</v>
      </c>
      <c r="TZ109" t="s">
        <v>543</v>
      </c>
      <c r="UA109" t="s">
        <v>1729</v>
      </c>
      <c r="UC109" t="s">
        <v>1729</v>
      </c>
      <c r="UD109" t="s">
        <v>543</v>
      </c>
      <c r="UJ109" t="s">
        <v>543</v>
      </c>
      <c r="UZ109" t="s">
        <v>1889</v>
      </c>
      <c r="VA109" t="s">
        <v>1888</v>
      </c>
      <c r="VB109" t="s">
        <v>1892</v>
      </c>
      <c r="VC109" t="s">
        <v>1891</v>
      </c>
      <c r="VD109" t="s">
        <v>939</v>
      </c>
      <c r="VE109" t="s">
        <v>940</v>
      </c>
      <c r="VJ109" t="s">
        <v>643</v>
      </c>
      <c r="XH109">
        <v>12</v>
      </c>
      <c r="XJ109">
        <v>12</v>
      </c>
      <c r="YA109" s="25"/>
      <c r="YB109" s="25"/>
      <c r="YC109" s="25"/>
      <c r="YD109" s="25"/>
      <c r="YE109" s="25"/>
      <c r="YF109">
        <v>0.51</v>
      </c>
      <c r="YG109">
        <v>0.38</v>
      </c>
      <c r="YH109">
        <v>0.26600000000000001</v>
      </c>
      <c r="YJ109">
        <v>0.26600000000000001</v>
      </c>
      <c r="YK109">
        <v>0.28999999999999998</v>
      </c>
      <c r="YQ109">
        <v>0.28999999999999998</v>
      </c>
      <c r="ZA109" t="s">
        <v>941</v>
      </c>
      <c r="ZC109">
        <v>134</v>
      </c>
      <c r="ZD109">
        <v>178</v>
      </c>
      <c r="ZF109">
        <v>188</v>
      </c>
      <c r="ZH109">
        <v>216</v>
      </c>
      <c r="ZK109">
        <v>217</v>
      </c>
      <c r="ZW109" s="25"/>
      <c r="ZX109" s="25"/>
      <c r="ZY109" s="25"/>
      <c r="ZZ109" s="25"/>
      <c r="AAA109" s="25" t="s">
        <v>942</v>
      </c>
      <c r="AAB109" s="25"/>
      <c r="AAC109" s="25"/>
      <c r="AAD109" s="25"/>
      <c r="AAE109" s="25"/>
      <c r="AAF109" s="25"/>
      <c r="AAK109">
        <v>37.799999999999997</v>
      </c>
      <c r="AAL109" t="s">
        <v>1941</v>
      </c>
      <c r="AAM109" t="s">
        <v>944</v>
      </c>
      <c r="AAN109" t="s">
        <v>945</v>
      </c>
      <c r="AAO109" t="s">
        <v>946</v>
      </c>
    </row>
    <row r="110" spans="1:762" x14ac:dyDescent="0.25">
      <c r="A110" t="s">
        <v>175</v>
      </c>
      <c r="EF110">
        <v>6</v>
      </c>
      <c r="GE110">
        <v>12</v>
      </c>
      <c r="GF110">
        <v>150</v>
      </c>
      <c r="GG110">
        <v>57</v>
      </c>
      <c r="GH110">
        <v>42</v>
      </c>
      <c r="GI110">
        <v>97</v>
      </c>
      <c r="GJ110">
        <v>90</v>
      </c>
      <c r="GK110">
        <v>15</v>
      </c>
      <c r="GL110">
        <v>12</v>
      </c>
      <c r="GM110">
        <v>18</v>
      </c>
      <c r="GN110">
        <v>8</v>
      </c>
      <c r="GU110">
        <v>4</v>
      </c>
      <c r="IR110">
        <v>9</v>
      </c>
      <c r="IS110">
        <v>276</v>
      </c>
      <c r="IT110">
        <v>124</v>
      </c>
      <c r="IU110">
        <v>102</v>
      </c>
      <c r="IV110">
        <v>184</v>
      </c>
      <c r="IW110">
        <v>94</v>
      </c>
      <c r="IX110">
        <v>30</v>
      </c>
      <c r="IY110">
        <v>20</v>
      </c>
      <c r="IZ110">
        <v>41</v>
      </c>
      <c r="JA110">
        <v>11</v>
      </c>
      <c r="JH110">
        <v>14</v>
      </c>
      <c r="LC110">
        <v>12</v>
      </c>
      <c r="LD110">
        <v>366</v>
      </c>
      <c r="LE110">
        <v>143</v>
      </c>
      <c r="LF110">
        <v>158</v>
      </c>
      <c r="LG110">
        <v>403</v>
      </c>
      <c r="LH110">
        <v>326</v>
      </c>
      <c r="LI110">
        <v>236</v>
      </c>
      <c r="LJ110">
        <v>182</v>
      </c>
      <c r="LK110">
        <v>172</v>
      </c>
      <c r="LL110">
        <v>129</v>
      </c>
      <c r="NJ110" s="25"/>
      <c r="NK110" s="25"/>
      <c r="NL110" s="25"/>
      <c r="NM110" s="25"/>
      <c r="NN110" s="25"/>
      <c r="NO110" t="s">
        <v>1696</v>
      </c>
      <c r="PG110" t="s">
        <v>378</v>
      </c>
      <c r="PH110" t="s">
        <v>1701</v>
      </c>
      <c r="PI110" t="s">
        <v>1702</v>
      </c>
      <c r="PJ110">
        <v>255</v>
      </c>
      <c r="PK110" t="s">
        <v>1703</v>
      </c>
      <c r="PL110" t="s">
        <v>1704</v>
      </c>
      <c r="PM110" t="s">
        <v>1705</v>
      </c>
      <c r="PN110" t="s">
        <v>1696</v>
      </c>
      <c r="PO110" t="s">
        <v>1695</v>
      </c>
      <c r="PP110">
        <v>1</v>
      </c>
      <c r="QE110">
        <v>65</v>
      </c>
      <c r="QF110" t="s">
        <v>992</v>
      </c>
      <c r="QG110" t="s">
        <v>993</v>
      </c>
      <c r="QH110" t="s">
        <v>994</v>
      </c>
      <c r="QI110">
        <v>7</v>
      </c>
      <c r="SE110">
        <v>750</v>
      </c>
      <c r="SF110">
        <v>645</v>
      </c>
      <c r="SG110">
        <v>728</v>
      </c>
      <c r="SH110">
        <v>1227</v>
      </c>
      <c r="SI110">
        <v>793</v>
      </c>
      <c r="SJ110">
        <v>371</v>
      </c>
      <c r="SK110">
        <v>212</v>
      </c>
      <c r="SL110">
        <v>257</v>
      </c>
      <c r="SM110">
        <v>190</v>
      </c>
      <c r="TR110">
        <v>2346</v>
      </c>
      <c r="TS110">
        <v>5884</v>
      </c>
      <c r="TT110">
        <v>6400</v>
      </c>
      <c r="TU110">
        <v>6918</v>
      </c>
      <c r="TV110">
        <v>6963</v>
      </c>
      <c r="TW110">
        <v>6572</v>
      </c>
      <c r="YA110" s="25"/>
      <c r="YB110" s="25"/>
      <c r="YC110" s="25"/>
      <c r="YD110" s="25"/>
      <c r="YE110" s="25"/>
      <c r="ZW110" s="25"/>
      <c r="ZX110" s="25"/>
      <c r="ZY110" s="25"/>
      <c r="ZZ110" s="25"/>
      <c r="AAA110" s="25"/>
      <c r="AAB110" s="25"/>
      <c r="AAC110" s="25"/>
      <c r="AAD110" s="25"/>
      <c r="AAE110" s="25"/>
      <c r="AAF110" s="25"/>
      <c r="ABC110">
        <v>242</v>
      </c>
      <c r="ABI110">
        <v>209</v>
      </c>
      <c r="ABJ110">
        <v>282</v>
      </c>
      <c r="ABK110">
        <v>279</v>
      </c>
      <c r="ABL110">
        <v>274</v>
      </c>
      <c r="ABM110">
        <v>243</v>
      </c>
      <c r="ABN110">
        <v>182</v>
      </c>
      <c r="ACD110">
        <v>179</v>
      </c>
      <c r="ACE110">
        <v>162</v>
      </c>
      <c r="ACF110">
        <v>173</v>
      </c>
      <c r="ACG110">
        <v>204</v>
      </c>
      <c r="ACH110">
        <v>140</v>
      </c>
    </row>
    <row r="111" spans="1:762" x14ac:dyDescent="0.25">
      <c r="A111" t="s">
        <v>176</v>
      </c>
      <c r="EF111">
        <v>58</v>
      </c>
      <c r="GU111">
        <v>47</v>
      </c>
      <c r="NJ111" s="25"/>
      <c r="NK111" s="25"/>
      <c r="NL111" s="25"/>
      <c r="NM111" s="25"/>
      <c r="NN111" s="25"/>
      <c r="YA111" s="25"/>
      <c r="YB111" s="25"/>
      <c r="YC111" s="25"/>
      <c r="YD111" s="25"/>
      <c r="YE111" s="25"/>
      <c r="ZW111" s="25"/>
      <c r="ZX111" s="25"/>
      <c r="ZY111" s="25"/>
      <c r="ZZ111" s="25"/>
      <c r="AAA111" s="25"/>
      <c r="AAB111" s="25"/>
      <c r="AAC111" s="25"/>
      <c r="AAD111" s="25"/>
      <c r="AAE111" s="25"/>
      <c r="AAF111" s="25"/>
    </row>
    <row r="112" spans="1:762" x14ac:dyDescent="0.25">
      <c r="A112" t="s">
        <v>177</v>
      </c>
      <c r="AC112">
        <v>25</v>
      </c>
      <c r="DD112">
        <v>6800</v>
      </c>
      <c r="NJ112" s="25"/>
      <c r="NK112" s="25"/>
      <c r="NL112" s="25"/>
      <c r="NM112" s="25"/>
      <c r="NN112" s="25"/>
      <c r="TX112" t="s">
        <v>551</v>
      </c>
      <c r="YA112" s="25"/>
      <c r="YB112" s="25"/>
      <c r="YC112" s="25"/>
      <c r="YD112" s="25"/>
      <c r="YE112" s="25"/>
      <c r="ZW112" s="25"/>
      <c r="ZX112" s="25"/>
      <c r="ZY112" s="25"/>
      <c r="ZZ112" s="25"/>
      <c r="AAA112" s="25"/>
      <c r="AAB112" s="25"/>
      <c r="AAC112" s="25"/>
      <c r="AAD112" s="25"/>
      <c r="AAE112" s="25"/>
      <c r="AAF112" s="25"/>
    </row>
    <row r="113" spans="1:746" x14ac:dyDescent="0.25">
      <c r="A113" t="s">
        <v>178</v>
      </c>
      <c r="NJ113" s="25"/>
      <c r="NK113" s="25"/>
      <c r="NL113" s="25"/>
      <c r="NM113" s="25"/>
      <c r="NN113" s="25"/>
      <c r="YA113" s="25"/>
      <c r="YB113" s="25"/>
      <c r="YC113" s="25"/>
      <c r="YD113" s="25"/>
      <c r="YE113" s="25"/>
      <c r="ZW113" s="25"/>
      <c r="ZX113" s="25"/>
      <c r="ZY113" s="25"/>
      <c r="ZZ113" s="25"/>
      <c r="AAA113" s="25"/>
      <c r="AAB113" s="25"/>
      <c r="AAC113" s="25"/>
      <c r="AAD113" s="25"/>
      <c r="AAE113" s="25"/>
      <c r="AAF113" s="25"/>
    </row>
    <row r="114" spans="1:746" x14ac:dyDescent="0.25">
      <c r="A114" t="s">
        <v>179</v>
      </c>
      <c r="NJ114" s="25"/>
      <c r="NK114" s="25"/>
      <c r="NL114" s="25"/>
      <c r="NM114" s="25"/>
      <c r="NN114" s="25"/>
      <c r="YA114" s="25"/>
      <c r="YB114" s="25"/>
      <c r="YC114" s="25"/>
      <c r="YD114" s="25"/>
      <c r="YE114" s="25"/>
      <c r="ZW114" s="25"/>
      <c r="ZX114" s="25"/>
      <c r="ZY114" s="25"/>
      <c r="ZZ114" s="25"/>
      <c r="AAA114" s="25"/>
      <c r="AAB114" s="25"/>
      <c r="AAC114" s="25"/>
      <c r="AAD114" s="25"/>
      <c r="AAE114" s="25"/>
      <c r="AAF114" s="25"/>
    </row>
    <row r="115" spans="1:746" x14ac:dyDescent="0.25">
      <c r="A115" t="s">
        <v>182</v>
      </c>
      <c r="NJ115" s="25"/>
      <c r="NK115" s="25"/>
      <c r="NL115" s="25"/>
      <c r="NM115" s="25"/>
      <c r="NN115" s="25"/>
      <c r="YA115" s="25"/>
      <c r="YB115" s="25"/>
      <c r="YC115" s="25"/>
      <c r="YD115" s="25"/>
      <c r="YE115" s="25"/>
      <c r="ZW115" s="25"/>
      <c r="ZX115" s="25"/>
      <c r="ZY115" s="25"/>
      <c r="ZZ115" s="25"/>
      <c r="AAA115" s="25"/>
      <c r="AAB115" s="25"/>
      <c r="AAC115" s="25"/>
      <c r="AAD115" s="25"/>
      <c r="AAE115" s="25"/>
      <c r="AAF115" s="25"/>
    </row>
    <row r="116" spans="1:746" x14ac:dyDescent="0.25">
      <c r="A116" t="s">
        <v>183</v>
      </c>
      <c r="EF116">
        <v>26</v>
      </c>
      <c r="EJ116">
        <v>310</v>
      </c>
      <c r="EK116">
        <v>420</v>
      </c>
      <c r="EM116">
        <v>140</v>
      </c>
      <c r="EN116">
        <v>28</v>
      </c>
      <c r="GU116">
        <v>55</v>
      </c>
      <c r="GX116">
        <v>287</v>
      </c>
      <c r="GY116">
        <v>479</v>
      </c>
      <c r="HA116">
        <v>340</v>
      </c>
      <c r="HB116">
        <v>150</v>
      </c>
      <c r="JJ116">
        <v>111</v>
      </c>
      <c r="JM116">
        <v>55</v>
      </c>
      <c r="LW116">
        <v>805</v>
      </c>
      <c r="LZ116">
        <v>1273</v>
      </c>
      <c r="MA116">
        <v>340</v>
      </c>
      <c r="NJ116" s="25"/>
      <c r="NK116" s="25"/>
      <c r="NL116" s="25"/>
      <c r="NM116" s="25"/>
      <c r="NN116" s="25"/>
      <c r="NR116" t="s">
        <v>607</v>
      </c>
      <c r="NU116" t="s">
        <v>933</v>
      </c>
      <c r="NW116" t="s">
        <v>607</v>
      </c>
      <c r="OF116" t="s">
        <v>636</v>
      </c>
      <c r="QN116">
        <v>160</v>
      </c>
      <c r="QQ116">
        <v>200</v>
      </c>
      <c r="QR116">
        <v>155</v>
      </c>
      <c r="TG116" t="s">
        <v>1021</v>
      </c>
      <c r="YA116" s="25"/>
      <c r="YB116" s="25"/>
      <c r="YC116" s="25"/>
      <c r="YD116" s="25"/>
      <c r="YE116" s="25"/>
      <c r="ZW116" s="25"/>
      <c r="ZX116" s="25"/>
      <c r="ZY116" s="25"/>
      <c r="ZZ116" s="25"/>
      <c r="AAA116" s="25"/>
      <c r="AAB116" s="25"/>
      <c r="AAC116" s="25"/>
      <c r="AAD116" s="25"/>
      <c r="AAE116" s="25"/>
      <c r="AAF116" s="25"/>
    </row>
    <row r="117" spans="1:746" x14ac:dyDescent="0.25">
      <c r="A117" t="s">
        <v>185</v>
      </c>
      <c r="AC117" t="s">
        <v>1760</v>
      </c>
      <c r="AD117">
        <v>19</v>
      </c>
      <c r="AM117">
        <v>94</v>
      </c>
      <c r="BC117" t="s">
        <v>1020</v>
      </c>
      <c r="JH117">
        <v>65</v>
      </c>
      <c r="JV117">
        <v>99</v>
      </c>
      <c r="LT117">
        <v>6500</v>
      </c>
      <c r="NJ117" s="25"/>
      <c r="NK117" s="25"/>
      <c r="NL117" s="25"/>
      <c r="NM117" s="25"/>
      <c r="NN117" s="25"/>
      <c r="OF117">
        <v>19</v>
      </c>
      <c r="PU117">
        <v>324</v>
      </c>
      <c r="RA117">
        <v>158</v>
      </c>
      <c r="YA117" s="25"/>
      <c r="YB117" s="25"/>
      <c r="YC117" s="25"/>
      <c r="YD117" s="25"/>
      <c r="YE117" s="25"/>
      <c r="ZN117" t="s">
        <v>1022</v>
      </c>
      <c r="ZW117" s="25"/>
      <c r="ZX117" s="25"/>
      <c r="ZY117" s="25"/>
      <c r="ZZ117" s="25"/>
      <c r="AAA117" s="25"/>
      <c r="AAB117" s="25"/>
      <c r="AAC117" s="25"/>
      <c r="AAD117" s="25"/>
      <c r="AAE117" s="25"/>
      <c r="AAF117" s="25"/>
    </row>
    <row r="118" spans="1:746" x14ac:dyDescent="0.25">
      <c r="A118" t="s">
        <v>187</v>
      </c>
      <c r="AC118">
        <v>15</v>
      </c>
      <c r="EF118">
        <v>2706</v>
      </c>
      <c r="GU118">
        <v>4070</v>
      </c>
      <c r="NJ118" s="25"/>
      <c r="NK118" s="25"/>
      <c r="NL118" s="25"/>
      <c r="NM118" s="25"/>
      <c r="NN118" s="25"/>
      <c r="NO118" t="s">
        <v>1706</v>
      </c>
      <c r="PU118">
        <v>984</v>
      </c>
      <c r="YA118" s="25"/>
      <c r="YB118" s="25"/>
      <c r="YC118" s="25"/>
      <c r="YD118" s="25"/>
      <c r="YE118" s="25"/>
      <c r="ZW118" s="25"/>
      <c r="ZX118" s="25"/>
      <c r="ZY118" s="25"/>
      <c r="ZZ118" s="25"/>
      <c r="AAA118" s="25" t="s">
        <v>1023</v>
      </c>
      <c r="AAB118" s="25"/>
      <c r="AAC118" s="25"/>
      <c r="AAD118" s="25"/>
      <c r="AAE118" s="25"/>
      <c r="AAF118" s="25"/>
    </row>
    <row r="119" spans="1:746" x14ac:dyDescent="0.25">
      <c r="A119" t="s">
        <v>189</v>
      </c>
      <c r="AE119">
        <v>67</v>
      </c>
      <c r="AG119">
        <v>82</v>
      </c>
      <c r="BG119">
        <v>35</v>
      </c>
      <c r="CW119" s="7">
        <v>3.74</v>
      </c>
      <c r="EJ119">
        <v>979</v>
      </c>
      <c r="EM119">
        <v>272</v>
      </c>
      <c r="GX119">
        <v>1496</v>
      </c>
      <c r="GY119">
        <v>1493</v>
      </c>
      <c r="HA119">
        <v>792</v>
      </c>
      <c r="JJ119">
        <v>201</v>
      </c>
      <c r="JL119">
        <v>180</v>
      </c>
      <c r="JM119">
        <v>177</v>
      </c>
      <c r="JS119">
        <v>246</v>
      </c>
      <c r="KA119">
        <v>41</v>
      </c>
      <c r="KB119">
        <v>70</v>
      </c>
      <c r="NJ119" s="25"/>
      <c r="NK119" s="25"/>
      <c r="NL119" s="25"/>
      <c r="NM119" s="25"/>
      <c r="NN119" s="25"/>
      <c r="QN119" t="s">
        <v>1027</v>
      </c>
      <c r="QQ119">
        <v>311</v>
      </c>
      <c r="QR119">
        <v>288</v>
      </c>
      <c r="QX119">
        <v>381</v>
      </c>
      <c r="RF119">
        <v>187</v>
      </c>
      <c r="RH119">
        <v>326</v>
      </c>
      <c r="SY119">
        <v>2082</v>
      </c>
      <c r="VU119" t="s">
        <v>1902</v>
      </c>
      <c r="VV119">
        <v>400</v>
      </c>
      <c r="VW119">
        <v>933</v>
      </c>
      <c r="VX119">
        <v>1434</v>
      </c>
      <c r="VY119">
        <v>1758</v>
      </c>
      <c r="WE119">
        <v>332</v>
      </c>
      <c r="WI119">
        <v>24</v>
      </c>
      <c r="WJ119">
        <v>90</v>
      </c>
      <c r="WK119">
        <v>99</v>
      </c>
      <c r="WQ119" t="s">
        <v>1030</v>
      </c>
      <c r="WT119" t="s">
        <v>2013</v>
      </c>
      <c r="WU119" t="s">
        <v>1031</v>
      </c>
      <c r="XA119" t="s">
        <v>1032</v>
      </c>
      <c r="YA119" s="25"/>
      <c r="YB119" s="25"/>
      <c r="YC119" s="25"/>
      <c r="YD119" s="25"/>
      <c r="YE119" s="25"/>
      <c r="ZA119" t="s">
        <v>1035</v>
      </c>
      <c r="ZC119">
        <v>123</v>
      </c>
      <c r="ZD119">
        <v>107</v>
      </c>
      <c r="ZF119">
        <v>107</v>
      </c>
      <c r="ZH119">
        <v>99</v>
      </c>
      <c r="ZK119">
        <v>156</v>
      </c>
      <c r="ZP119">
        <v>239</v>
      </c>
      <c r="ZQ119">
        <v>86</v>
      </c>
      <c r="ZR119">
        <v>61</v>
      </c>
      <c r="ZT119">
        <v>97</v>
      </c>
      <c r="ZW119" s="25"/>
      <c r="ZX119" s="25"/>
      <c r="ZY119" s="25"/>
      <c r="ZZ119" s="25"/>
      <c r="AAA119" s="25"/>
      <c r="AAB119" s="25"/>
      <c r="AAC119" s="25"/>
      <c r="AAD119" s="25"/>
      <c r="AAE119" s="25"/>
      <c r="AAF119" s="25"/>
    </row>
    <row r="120" spans="1:746" x14ac:dyDescent="0.25">
      <c r="A120" t="s">
        <v>191</v>
      </c>
      <c r="B120">
        <v>17</v>
      </c>
      <c r="F120">
        <v>17</v>
      </c>
      <c r="AC120">
        <v>66</v>
      </c>
      <c r="AG120">
        <v>23</v>
      </c>
      <c r="BC120">
        <v>31</v>
      </c>
      <c r="BG120">
        <v>40</v>
      </c>
      <c r="EF120">
        <v>35</v>
      </c>
      <c r="EM120">
        <v>19</v>
      </c>
      <c r="GU120">
        <v>51</v>
      </c>
      <c r="HA120">
        <v>16</v>
      </c>
      <c r="JH120">
        <v>192</v>
      </c>
      <c r="JL120">
        <v>91</v>
      </c>
      <c r="LT120">
        <v>634</v>
      </c>
      <c r="LZ120">
        <v>524</v>
      </c>
      <c r="NJ120" s="25"/>
      <c r="NK120" s="25"/>
      <c r="NL120" s="25"/>
      <c r="NM120" s="25"/>
      <c r="NN120" s="25"/>
      <c r="NO120" t="s">
        <v>1707</v>
      </c>
      <c r="NU120">
        <v>68</v>
      </c>
      <c r="QK120">
        <v>244</v>
      </c>
      <c r="QQ120">
        <v>104</v>
      </c>
      <c r="ST120">
        <v>2600</v>
      </c>
      <c r="SY120">
        <v>590</v>
      </c>
      <c r="TX120" t="s">
        <v>1729</v>
      </c>
      <c r="UC120">
        <v>44</v>
      </c>
      <c r="WO120">
        <v>32</v>
      </c>
      <c r="WT120">
        <v>19</v>
      </c>
      <c r="XH120">
        <v>375</v>
      </c>
      <c r="XK120">
        <v>242</v>
      </c>
      <c r="YA120" s="25"/>
      <c r="YB120" s="25"/>
      <c r="YC120" s="25"/>
      <c r="YD120" s="25"/>
      <c r="YE120" s="25"/>
      <c r="ZA120">
        <v>299</v>
      </c>
      <c r="ZF120">
        <v>79</v>
      </c>
      <c r="ZW120" s="25"/>
      <c r="ZX120" s="25"/>
      <c r="ZY120" s="25"/>
      <c r="ZZ120" s="25"/>
      <c r="AAA120" s="25"/>
      <c r="AAB120" s="25"/>
      <c r="AAC120" s="25"/>
      <c r="AAD120" s="25"/>
      <c r="AAE120" s="25"/>
      <c r="AAF120" s="25"/>
      <c r="ABC120">
        <v>126</v>
      </c>
      <c r="ABD120">
        <v>63</v>
      </c>
      <c r="ABN120">
        <v>148</v>
      </c>
      <c r="ABR120">
        <v>62</v>
      </c>
    </row>
    <row r="121" spans="1:746" x14ac:dyDescent="0.25">
      <c r="A121" t="s">
        <v>192</v>
      </c>
      <c r="NJ121" s="25"/>
      <c r="NK121" s="25"/>
      <c r="NL121" s="25"/>
      <c r="NM121" s="25"/>
      <c r="NN121" s="25"/>
      <c r="YA121" s="25"/>
      <c r="YB121" s="25"/>
      <c r="YC121" s="25"/>
      <c r="YD121" s="25"/>
      <c r="YE121" s="25"/>
      <c r="ZW121" s="25"/>
      <c r="ZX121" s="25"/>
      <c r="ZY121" s="25"/>
      <c r="ZZ121" s="25"/>
      <c r="AAA121" s="25"/>
      <c r="AAB121" s="25"/>
      <c r="AAC121" s="25"/>
      <c r="AAD121" s="25"/>
      <c r="AAE121" s="25"/>
      <c r="AAF121" s="25"/>
    </row>
    <row r="122" spans="1:746" x14ac:dyDescent="0.25">
      <c r="A122" t="s">
        <v>194</v>
      </c>
      <c r="EF122">
        <v>24</v>
      </c>
      <c r="FE122">
        <v>36</v>
      </c>
      <c r="GX122">
        <v>36</v>
      </c>
      <c r="GY122">
        <v>102</v>
      </c>
      <c r="HS122">
        <v>78</v>
      </c>
      <c r="NJ122" s="25"/>
      <c r="NK122" s="25"/>
      <c r="NL122" s="25"/>
      <c r="NM122" s="25"/>
      <c r="NN122" s="25"/>
      <c r="YA122" s="25"/>
      <c r="YB122" s="25"/>
      <c r="YC122" s="25"/>
      <c r="YD122" s="25"/>
      <c r="YE122" s="25"/>
      <c r="ZW122" s="25"/>
      <c r="ZX122" s="25"/>
      <c r="ZY122" s="25"/>
      <c r="ZZ122" s="25"/>
      <c r="AAA122" s="25"/>
      <c r="AAB122" s="25"/>
      <c r="AAC122" s="25"/>
      <c r="AAD122" s="25"/>
      <c r="AAE122" s="25"/>
      <c r="AAF122" s="25"/>
    </row>
    <row r="123" spans="1:746" x14ac:dyDescent="0.25">
      <c r="A123" t="s">
        <v>196</v>
      </c>
      <c r="AC123">
        <v>11</v>
      </c>
      <c r="NJ123" s="25"/>
      <c r="NK123" s="25"/>
      <c r="NL123" s="25"/>
      <c r="NM123" s="25"/>
      <c r="NN123" s="25"/>
      <c r="NO123">
        <v>68</v>
      </c>
      <c r="YA123" s="25"/>
      <c r="YB123" s="25"/>
      <c r="YC123" s="25"/>
      <c r="YD123" s="25"/>
      <c r="YE123" s="25"/>
      <c r="ZW123" s="25"/>
      <c r="ZX123" s="25"/>
      <c r="ZY123" s="25"/>
      <c r="ZZ123" s="25"/>
      <c r="AAA123" s="25"/>
      <c r="AAB123" s="25"/>
      <c r="AAC123" s="25"/>
      <c r="AAD123" s="25"/>
      <c r="AAE123" s="25"/>
      <c r="AAF123" s="25"/>
    </row>
    <row r="124" spans="1:746" x14ac:dyDescent="0.25">
      <c r="A124" t="s">
        <v>197</v>
      </c>
      <c r="AY124">
        <v>63</v>
      </c>
      <c r="BA124">
        <v>24</v>
      </c>
      <c r="CA124">
        <v>30</v>
      </c>
      <c r="CC124">
        <v>62</v>
      </c>
      <c r="DB124" s="7">
        <v>0.67</v>
      </c>
      <c r="DC124">
        <v>74</v>
      </c>
      <c r="FT124">
        <v>2439</v>
      </c>
      <c r="GU124">
        <v>60</v>
      </c>
      <c r="IC124">
        <v>78</v>
      </c>
      <c r="IG124">
        <v>7320</v>
      </c>
      <c r="IH124">
        <v>5014</v>
      </c>
      <c r="JH124">
        <v>72</v>
      </c>
      <c r="KR124">
        <v>78</v>
      </c>
      <c r="KS124">
        <v>96</v>
      </c>
      <c r="MX124">
        <v>498</v>
      </c>
      <c r="NA124">
        <v>24720</v>
      </c>
      <c r="NB124">
        <v>10440</v>
      </c>
      <c r="NJ124" s="25"/>
      <c r="NK124" s="25"/>
      <c r="NL124" s="25"/>
      <c r="NM124" s="25"/>
      <c r="NN124" s="25"/>
      <c r="OZ124">
        <v>30</v>
      </c>
      <c r="RX124">
        <v>168</v>
      </c>
      <c r="UU124" t="s">
        <v>1050</v>
      </c>
      <c r="UV124">
        <v>185</v>
      </c>
      <c r="UW124">
        <v>120</v>
      </c>
      <c r="YA124" s="25"/>
      <c r="YB124" s="25"/>
      <c r="YC124" s="25"/>
      <c r="YD124" s="25"/>
      <c r="YE124" s="25"/>
      <c r="ZW124" s="25"/>
      <c r="ZX124" s="25"/>
      <c r="ZY124" s="25"/>
      <c r="ZZ124" s="25"/>
      <c r="AAA124" s="25"/>
      <c r="AAB124" s="25"/>
      <c r="AAC124" s="25"/>
      <c r="AAD124" s="25"/>
      <c r="AAE124" s="25"/>
      <c r="AAF124" s="25"/>
    </row>
    <row r="125" spans="1:746" x14ac:dyDescent="0.25">
      <c r="A125" t="s">
        <v>199</v>
      </c>
      <c r="EF125">
        <v>27</v>
      </c>
      <c r="GD125">
        <v>9</v>
      </c>
      <c r="GU125">
        <v>78</v>
      </c>
      <c r="IQ125">
        <v>14</v>
      </c>
      <c r="JH125">
        <v>280</v>
      </c>
      <c r="LB125">
        <v>25</v>
      </c>
      <c r="NJ125" s="25"/>
      <c r="NK125" s="25"/>
      <c r="NL125" s="25"/>
      <c r="NM125" s="25"/>
      <c r="NN125" s="25"/>
      <c r="QK125">
        <v>239</v>
      </c>
      <c r="SD125">
        <v>109</v>
      </c>
      <c r="YA125" s="25"/>
      <c r="YB125" s="25"/>
      <c r="YC125" s="25"/>
      <c r="YD125" s="25"/>
      <c r="YE125" s="25"/>
      <c r="ZW125" s="25"/>
      <c r="ZX125" s="25"/>
      <c r="ZY125" s="25"/>
      <c r="ZZ125" s="25"/>
      <c r="AAA125" s="25"/>
      <c r="AAB125" s="25"/>
      <c r="AAC125" s="25"/>
      <c r="AAD125" s="25"/>
      <c r="AAE125" s="25"/>
      <c r="AAF125" s="25"/>
    </row>
    <row r="126" spans="1:746" x14ac:dyDescent="0.25">
      <c r="A126" t="s">
        <v>200</v>
      </c>
      <c r="DD126">
        <v>11700</v>
      </c>
      <c r="EF126" t="s">
        <v>1966</v>
      </c>
      <c r="EG126" t="s">
        <v>1967</v>
      </c>
      <c r="EH126" t="s">
        <v>1075</v>
      </c>
      <c r="NJ126" s="25"/>
      <c r="NK126" s="25"/>
      <c r="NL126" s="25"/>
      <c r="NM126" s="25"/>
      <c r="NN126" s="25"/>
      <c r="XH126" t="s">
        <v>617</v>
      </c>
      <c r="YA126" s="25"/>
      <c r="YB126" s="25"/>
      <c r="YC126" s="25"/>
      <c r="YD126" s="25"/>
      <c r="YE126" s="25"/>
      <c r="ZA126">
        <v>301</v>
      </c>
      <c r="ZW126" s="25"/>
      <c r="ZX126" s="25"/>
      <c r="ZY126" s="25"/>
      <c r="ZZ126" s="25"/>
      <c r="AAA126" s="25"/>
      <c r="AAB126" s="25"/>
      <c r="AAC126" s="25"/>
      <c r="AAD126" s="25"/>
      <c r="AAE126" s="25"/>
      <c r="AAF126" s="25"/>
    </row>
    <row r="127" spans="1:746" x14ac:dyDescent="0.25">
      <c r="A127" t="s">
        <v>201</v>
      </c>
      <c r="NJ127" s="25"/>
      <c r="NK127" s="25"/>
      <c r="NL127" s="25"/>
      <c r="NM127" s="25"/>
      <c r="NN127" s="25"/>
      <c r="YA127" s="25"/>
      <c r="YB127" s="25"/>
      <c r="YC127" s="25"/>
      <c r="YD127" s="25"/>
      <c r="YE127" s="25"/>
      <c r="ZW127" s="25"/>
      <c r="ZX127" s="25"/>
      <c r="ZY127" s="25"/>
      <c r="ZZ127" s="25"/>
      <c r="AAA127" s="25"/>
      <c r="AAB127" s="25"/>
      <c r="AAC127" s="25"/>
      <c r="AAD127" s="25"/>
      <c r="AAE127" s="25"/>
      <c r="AAF127" s="25"/>
    </row>
    <row r="128" spans="1:746" x14ac:dyDescent="0.25">
      <c r="A128" t="s">
        <v>202</v>
      </c>
      <c r="B128">
        <v>11</v>
      </c>
      <c r="M128">
        <v>10</v>
      </c>
      <c r="T128">
        <v>10</v>
      </c>
      <c r="X128">
        <v>10</v>
      </c>
      <c r="Z128">
        <v>11</v>
      </c>
      <c r="EF128">
        <v>34</v>
      </c>
      <c r="ET128">
        <v>14</v>
      </c>
      <c r="FD128">
        <v>9</v>
      </c>
      <c r="FK128">
        <v>11</v>
      </c>
      <c r="FP128">
        <v>10</v>
      </c>
      <c r="GU128">
        <v>144</v>
      </c>
      <c r="HH128">
        <v>46</v>
      </c>
      <c r="HR128">
        <v>17</v>
      </c>
      <c r="HY128">
        <v>13</v>
      </c>
      <c r="ID128">
        <v>13</v>
      </c>
      <c r="JH128">
        <v>60</v>
      </c>
      <c r="JS128">
        <v>58</v>
      </c>
      <c r="KC128">
        <v>42</v>
      </c>
      <c r="KJ128">
        <v>31</v>
      </c>
      <c r="KO128">
        <v>23</v>
      </c>
      <c r="LT128">
        <v>171</v>
      </c>
      <c r="MG128">
        <v>133</v>
      </c>
      <c r="MN128">
        <v>137</v>
      </c>
      <c r="MU128">
        <v>131</v>
      </c>
      <c r="MY128">
        <v>121</v>
      </c>
      <c r="NJ128" s="25"/>
      <c r="NK128" s="25"/>
      <c r="NL128" s="25"/>
      <c r="NM128" s="25"/>
      <c r="NN128" s="25"/>
      <c r="NO128" t="s">
        <v>1708</v>
      </c>
      <c r="OC128" t="s">
        <v>1709</v>
      </c>
      <c r="OM128" t="s">
        <v>1710</v>
      </c>
      <c r="OT128" t="s">
        <v>1711</v>
      </c>
      <c r="OX128" t="s">
        <v>1712</v>
      </c>
      <c r="QK128">
        <v>490</v>
      </c>
      <c r="QX128">
        <v>572</v>
      </c>
      <c r="RH128">
        <v>395</v>
      </c>
      <c r="RO128">
        <v>312</v>
      </c>
      <c r="RT128">
        <v>262</v>
      </c>
      <c r="TX128" t="s">
        <v>1738</v>
      </c>
      <c r="UJ128" t="s">
        <v>1718</v>
      </c>
      <c r="UR128" t="s">
        <v>1718</v>
      </c>
      <c r="UT128" t="s">
        <v>1739</v>
      </c>
      <c r="YA128" s="25"/>
      <c r="YB128" s="25"/>
      <c r="YC128" s="25"/>
      <c r="YD128" s="25"/>
      <c r="YE128" s="25"/>
      <c r="YF128">
        <v>0.56599999999999995</v>
      </c>
      <c r="YQ128">
        <v>0.51</v>
      </c>
      <c r="YW128">
        <v>0.51</v>
      </c>
      <c r="YX128">
        <v>35</v>
      </c>
      <c r="YZ128">
        <v>0.51</v>
      </c>
      <c r="ZW128" s="25"/>
      <c r="ZX128" s="25"/>
      <c r="ZY128" s="25"/>
      <c r="ZZ128" s="25"/>
      <c r="AAA128" s="25"/>
      <c r="AAB128" s="25"/>
      <c r="AAC128" s="25"/>
      <c r="AAD128" s="25"/>
      <c r="AAE128" s="25"/>
      <c r="AAF128" s="25"/>
    </row>
    <row r="129" spans="1:742" x14ac:dyDescent="0.25">
      <c r="A129" t="s">
        <v>294</v>
      </c>
      <c r="EF129">
        <v>47</v>
      </c>
      <c r="GU129">
        <v>82</v>
      </c>
      <c r="JH129">
        <v>225</v>
      </c>
      <c r="LT129">
        <v>340</v>
      </c>
      <c r="NJ129" s="25"/>
      <c r="NK129" s="25"/>
      <c r="NL129" s="25"/>
      <c r="NM129" s="25"/>
      <c r="NN129" s="25"/>
      <c r="QK129">
        <v>486</v>
      </c>
      <c r="YA129" s="25"/>
      <c r="YB129" s="25"/>
      <c r="YC129" s="25"/>
      <c r="YD129" s="25"/>
      <c r="YE129" s="25"/>
      <c r="ZW129" s="25"/>
      <c r="ZX129" s="25"/>
      <c r="ZY129" s="25"/>
      <c r="ZZ129" s="25"/>
      <c r="AAA129" s="25"/>
      <c r="AAB129" s="25"/>
      <c r="AAC129" s="25"/>
      <c r="AAD129" s="25"/>
      <c r="AAE129" s="25"/>
      <c r="AAF129" s="25"/>
    </row>
    <row r="130" spans="1:742" x14ac:dyDescent="0.25">
      <c r="A130" t="s">
        <v>207</v>
      </c>
      <c r="DD130">
        <v>17600</v>
      </c>
      <c r="EF130">
        <v>41</v>
      </c>
      <c r="EJ130">
        <v>84</v>
      </c>
      <c r="ET130">
        <v>36</v>
      </c>
      <c r="GU130">
        <v>23</v>
      </c>
      <c r="GX130">
        <v>55</v>
      </c>
      <c r="HH130">
        <v>32</v>
      </c>
      <c r="JH130">
        <v>12</v>
      </c>
      <c r="NJ130" s="25"/>
      <c r="NK130" s="25"/>
      <c r="NL130" s="25"/>
      <c r="NM130" s="25"/>
      <c r="NN130" s="25"/>
      <c r="NO130" t="s">
        <v>1674</v>
      </c>
      <c r="QK130">
        <v>191</v>
      </c>
      <c r="QQ130">
        <v>154</v>
      </c>
      <c r="TX130" t="s">
        <v>544</v>
      </c>
      <c r="VT130">
        <v>70</v>
      </c>
      <c r="WO130">
        <v>55</v>
      </c>
      <c r="XH130" t="s">
        <v>2027</v>
      </c>
      <c r="YA130" s="25"/>
      <c r="YB130" s="25"/>
      <c r="YC130" s="25"/>
      <c r="YD130" s="25"/>
      <c r="YE130" s="25"/>
      <c r="YF130">
        <v>0.06</v>
      </c>
      <c r="ZA130">
        <v>495</v>
      </c>
      <c r="ZW130" s="25"/>
      <c r="ZX130" s="25"/>
      <c r="ZY130" s="25"/>
      <c r="ZZ130" s="25"/>
      <c r="AAA130" s="25"/>
      <c r="AAB130" s="25"/>
      <c r="AAC130" s="25"/>
      <c r="AAD130" s="25"/>
      <c r="AAE130" s="25"/>
      <c r="AAF130" s="25"/>
      <c r="ABN130">
        <v>134</v>
      </c>
    </row>
    <row r="131" spans="1:742" x14ac:dyDescent="0.25">
      <c r="A131" t="s">
        <v>208</v>
      </c>
      <c r="NJ131" s="25"/>
      <c r="NK131" s="25"/>
      <c r="NL131" s="25"/>
      <c r="NM131" s="25"/>
      <c r="NN131" s="25"/>
      <c r="YA131" s="25"/>
      <c r="YB131" s="25"/>
      <c r="YC131" s="25"/>
      <c r="YD131" s="25"/>
      <c r="YE131" s="25"/>
      <c r="ZW131" s="25"/>
      <c r="ZX131" s="25"/>
      <c r="ZY131" s="25"/>
      <c r="ZZ131" s="25"/>
      <c r="AAA131" s="25"/>
      <c r="AAB131" s="25"/>
      <c r="AAC131" s="25"/>
      <c r="AAD131" s="25"/>
      <c r="AAE131" s="25"/>
      <c r="AAF131" s="25"/>
    </row>
    <row r="132" spans="1:742" x14ac:dyDescent="0.25">
      <c r="A132" t="s">
        <v>1589</v>
      </c>
      <c r="NJ132" s="25"/>
      <c r="NK132" s="25"/>
      <c r="NL132" s="25"/>
      <c r="NM132" s="25"/>
      <c r="NN132" s="25"/>
      <c r="YA132" s="25"/>
      <c r="YB132" s="25"/>
      <c r="YC132" s="25"/>
      <c r="YD132" s="25"/>
      <c r="YE132" s="25"/>
      <c r="ZW132" s="25"/>
      <c r="ZX132" s="25"/>
      <c r="ZY132" s="25"/>
      <c r="ZZ132" s="25"/>
      <c r="AAA132" s="25"/>
      <c r="AAB132" s="25"/>
      <c r="AAC132" s="25"/>
      <c r="AAD132" s="25"/>
      <c r="AAE132" s="25"/>
      <c r="AAF132" s="25"/>
    </row>
    <row r="133" spans="1:742" x14ac:dyDescent="0.25">
      <c r="A133" t="s">
        <v>209</v>
      </c>
      <c r="DD133">
        <v>6000</v>
      </c>
      <c r="DY133">
        <v>11400</v>
      </c>
      <c r="EY133">
        <v>28</v>
      </c>
      <c r="JS133">
        <v>27</v>
      </c>
      <c r="MG133">
        <v>249</v>
      </c>
      <c r="NJ133" s="25"/>
      <c r="NK133" s="25"/>
      <c r="NL133" s="25"/>
      <c r="NM133" s="25"/>
      <c r="NN133" s="25"/>
      <c r="YA133" s="25"/>
      <c r="YB133" s="25"/>
      <c r="YC133" s="25"/>
      <c r="YD133" s="25"/>
      <c r="YE133" s="25"/>
      <c r="YQ133">
        <v>0.42</v>
      </c>
      <c r="ZW133" s="25"/>
      <c r="ZX133" s="25"/>
      <c r="ZY133" s="25"/>
      <c r="ZZ133" s="25"/>
      <c r="AAA133" s="25"/>
      <c r="AAB133" s="25"/>
      <c r="AAC133" s="25"/>
      <c r="AAD133" s="25"/>
      <c r="AAE133" s="25"/>
      <c r="AAF133" s="25"/>
    </row>
    <row r="134" spans="1:742" x14ac:dyDescent="0.25">
      <c r="A134" t="s">
        <v>211</v>
      </c>
      <c r="DD134">
        <v>7700</v>
      </c>
      <c r="EA134">
        <v>4300</v>
      </c>
      <c r="FA134">
        <v>31</v>
      </c>
      <c r="HO134">
        <v>30</v>
      </c>
      <c r="JW134">
        <v>75</v>
      </c>
      <c r="LT134">
        <v>487</v>
      </c>
      <c r="NJ134" s="25"/>
      <c r="NK134" s="25"/>
      <c r="NL134" s="25">
        <v>11</v>
      </c>
      <c r="NM134" s="25"/>
      <c r="NN134" s="25"/>
      <c r="YA134" s="25"/>
      <c r="YB134" s="25"/>
      <c r="YC134" s="25"/>
      <c r="YD134" s="25"/>
      <c r="YE134" s="25"/>
      <c r="ZW134" s="25"/>
      <c r="ZX134" s="25"/>
      <c r="ZY134" s="25"/>
      <c r="ZZ134" s="25"/>
      <c r="AAA134" s="25"/>
      <c r="AAB134" s="25"/>
      <c r="AAC134" s="25"/>
      <c r="AAD134" s="25"/>
      <c r="AAE134" s="25"/>
      <c r="AAF134" s="25"/>
    </row>
    <row r="135" spans="1:742" x14ac:dyDescent="0.25">
      <c r="A135" t="s">
        <v>212</v>
      </c>
      <c r="DD135">
        <v>6400</v>
      </c>
      <c r="DE135">
        <v>8700</v>
      </c>
      <c r="EF135">
        <v>16</v>
      </c>
      <c r="GU135">
        <v>26</v>
      </c>
      <c r="JH135">
        <v>27</v>
      </c>
      <c r="LT135">
        <v>299</v>
      </c>
      <c r="NJ135" s="25"/>
      <c r="NK135" s="25"/>
      <c r="NL135" s="25"/>
      <c r="NM135" s="25"/>
      <c r="NN135" s="25"/>
      <c r="YA135" s="25"/>
      <c r="YB135" s="25"/>
      <c r="YC135" s="25"/>
      <c r="YD135" s="25"/>
      <c r="YE135" s="25"/>
      <c r="ZW135" s="25"/>
      <c r="ZX135" s="25"/>
      <c r="ZY135" s="25"/>
      <c r="ZZ135" s="25"/>
      <c r="AAA135" s="25"/>
      <c r="AAB135" s="25"/>
      <c r="AAC135" s="25"/>
      <c r="AAD135" s="25"/>
      <c r="AAE135" s="25"/>
      <c r="AAF135" s="25"/>
    </row>
    <row r="136" spans="1:742" x14ac:dyDescent="0.25">
      <c r="A136" t="s">
        <v>214</v>
      </c>
      <c r="JH136" t="s">
        <v>1952</v>
      </c>
      <c r="NJ136" s="25"/>
      <c r="NK136" s="25"/>
      <c r="NL136" s="25"/>
      <c r="NM136" s="25"/>
      <c r="NN136" s="25"/>
      <c r="YA136" s="25"/>
      <c r="YB136" s="25"/>
      <c r="YC136" s="25"/>
      <c r="YD136" s="25"/>
      <c r="YE136" s="25"/>
      <c r="ZW136" s="25"/>
      <c r="ZX136" s="25"/>
      <c r="ZY136" s="25"/>
      <c r="ZZ136" s="25"/>
      <c r="AAA136" s="25"/>
      <c r="AAB136" s="25"/>
      <c r="AAC136" s="25"/>
      <c r="AAD136" s="25"/>
      <c r="AAE136" s="25"/>
      <c r="AAF136" s="25"/>
    </row>
    <row r="137" spans="1:742" x14ac:dyDescent="0.25">
      <c r="A137" t="s">
        <v>216</v>
      </c>
      <c r="GU137">
        <v>30</v>
      </c>
      <c r="JH137">
        <v>72</v>
      </c>
      <c r="NJ137" s="25"/>
      <c r="NK137" s="25"/>
      <c r="NL137" s="25"/>
      <c r="NM137" s="25"/>
      <c r="NN137" s="25"/>
      <c r="YA137" s="25"/>
      <c r="YB137" s="25"/>
      <c r="YC137" s="25"/>
      <c r="YD137" s="25"/>
      <c r="YE137" s="25"/>
      <c r="ZW137" s="25"/>
      <c r="ZX137" s="25"/>
      <c r="ZY137" s="25"/>
      <c r="ZZ137" s="25"/>
      <c r="AAA137" s="25"/>
      <c r="AAB137" s="25"/>
      <c r="AAC137" s="25"/>
      <c r="AAD137" s="25"/>
      <c r="AAE137" s="25"/>
      <c r="AAF137" s="25"/>
    </row>
    <row r="138" spans="1:742" x14ac:dyDescent="0.25">
      <c r="A138" t="s">
        <v>218</v>
      </c>
      <c r="EB138">
        <v>14800</v>
      </c>
      <c r="GU138">
        <v>37</v>
      </c>
      <c r="LT138">
        <v>284</v>
      </c>
      <c r="NJ138" s="25">
        <v>9</v>
      </c>
      <c r="NK138" s="25"/>
      <c r="NL138" s="25"/>
      <c r="NM138" s="25"/>
      <c r="NN138" s="25"/>
      <c r="YA138" s="25"/>
      <c r="YB138" s="25"/>
      <c r="YC138" s="25"/>
      <c r="YD138" s="25"/>
      <c r="YE138" s="25"/>
      <c r="ZW138" s="25"/>
      <c r="ZX138" s="25"/>
      <c r="ZY138" s="25"/>
      <c r="ZZ138" s="25"/>
      <c r="AAA138" s="25"/>
      <c r="AAB138" s="25"/>
      <c r="AAC138" s="25"/>
      <c r="AAD138" s="25"/>
      <c r="AAE138" s="25"/>
      <c r="AAF138" s="25"/>
    </row>
    <row r="139" spans="1:742" x14ac:dyDescent="0.25">
      <c r="A139" t="s">
        <v>220</v>
      </c>
      <c r="EF139">
        <v>31</v>
      </c>
      <c r="LT139">
        <v>681</v>
      </c>
      <c r="NJ139" s="25" t="s">
        <v>1063</v>
      </c>
      <c r="NK139" s="25"/>
      <c r="NL139" s="25"/>
      <c r="NM139" s="25"/>
      <c r="NN139" s="25"/>
      <c r="YA139" s="25"/>
      <c r="YB139" s="25"/>
      <c r="YC139" s="25"/>
      <c r="YD139" s="25"/>
      <c r="YE139" s="25"/>
      <c r="ZW139" s="25"/>
      <c r="ZX139" s="25"/>
      <c r="ZY139" s="25"/>
      <c r="ZZ139" s="25"/>
      <c r="AAA139" s="25"/>
      <c r="AAB139" s="25"/>
      <c r="AAC139" s="25"/>
      <c r="AAD139" s="25"/>
      <c r="AAE139" s="25"/>
      <c r="AAF139" s="25"/>
    </row>
    <row r="140" spans="1:742" x14ac:dyDescent="0.25">
      <c r="A140" t="s">
        <v>222</v>
      </c>
      <c r="AC140" t="s">
        <v>1064</v>
      </c>
      <c r="BC140" t="s">
        <v>1065</v>
      </c>
      <c r="JH140" t="s">
        <v>1953</v>
      </c>
      <c r="NJ140" s="25"/>
      <c r="NK140" s="25"/>
      <c r="NL140" s="25"/>
      <c r="NM140" s="25"/>
      <c r="NN140" s="25"/>
      <c r="UZ140" t="s">
        <v>1066</v>
      </c>
      <c r="VT140" t="s">
        <v>1067</v>
      </c>
      <c r="YA140" s="25"/>
      <c r="YB140" s="25"/>
      <c r="YC140" s="25"/>
      <c r="YD140" s="25"/>
      <c r="YE140" s="25"/>
      <c r="ZW140" s="25"/>
      <c r="ZX140" s="25"/>
      <c r="ZY140" s="25"/>
      <c r="ZZ140" s="25"/>
      <c r="AAA140" s="25"/>
      <c r="AAB140" s="25"/>
      <c r="AAC140" s="25"/>
      <c r="AAD140" s="25"/>
      <c r="AAE140" s="25"/>
      <c r="AAF140" s="25"/>
    </row>
    <row r="141" spans="1:742" x14ac:dyDescent="0.25">
      <c r="A141" t="s">
        <v>224</v>
      </c>
      <c r="EF141">
        <v>740</v>
      </c>
      <c r="GU141">
        <v>1020</v>
      </c>
      <c r="NJ141" s="25"/>
      <c r="NK141" s="25"/>
      <c r="NL141" s="25"/>
      <c r="NM141" s="25"/>
      <c r="NN141" s="25"/>
      <c r="TX141" t="s">
        <v>1740</v>
      </c>
      <c r="YA141" s="25"/>
      <c r="YB141" s="25"/>
      <c r="YC141" s="25"/>
      <c r="YD141" s="25"/>
      <c r="YE141" s="25"/>
      <c r="YF141">
        <v>2.36</v>
      </c>
      <c r="ZW141" s="25"/>
      <c r="ZX141" s="25"/>
      <c r="ZY141" s="25"/>
      <c r="ZZ141" s="25"/>
      <c r="AAA141" s="25"/>
      <c r="AAB141" s="25"/>
      <c r="AAC141" s="25"/>
      <c r="AAD141" s="25"/>
      <c r="AAE141" s="25"/>
      <c r="AAF141" s="25"/>
    </row>
    <row r="142" spans="1:742" x14ac:dyDescent="0.25">
      <c r="A142" t="s">
        <v>225</v>
      </c>
      <c r="DD142">
        <v>16500</v>
      </c>
      <c r="EF142">
        <v>50</v>
      </c>
      <c r="GU142">
        <v>29</v>
      </c>
      <c r="JH142">
        <v>18</v>
      </c>
      <c r="NJ142" s="25">
        <v>29</v>
      </c>
      <c r="NK142" s="25"/>
      <c r="NL142" s="25"/>
      <c r="NM142" s="25"/>
      <c r="NN142" s="25"/>
      <c r="YA142" s="25"/>
      <c r="YB142" s="25"/>
      <c r="YC142" s="25"/>
      <c r="YD142" s="25"/>
      <c r="YE142" s="25"/>
      <c r="ZW142" s="25"/>
      <c r="ZX142" s="25"/>
      <c r="ZY142" s="25"/>
      <c r="ZZ142" s="25"/>
      <c r="AAA142" s="25"/>
      <c r="AAB142" s="25"/>
      <c r="AAC142" s="25"/>
      <c r="AAD142" s="25"/>
      <c r="AAE142" s="25"/>
      <c r="AAF142" s="25"/>
    </row>
    <row r="143" spans="1:742" x14ac:dyDescent="0.25">
      <c r="A143" t="s">
        <v>227</v>
      </c>
      <c r="DD143">
        <v>10900</v>
      </c>
      <c r="EF143">
        <v>51</v>
      </c>
      <c r="GU143">
        <v>147</v>
      </c>
      <c r="JH143">
        <v>133</v>
      </c>
      <c r="LT143">
        <v>131</v>
      </c>
      <c r="NJ143" s="25">
        <v>15</v>
      </c>
      <c r="NK143" s="25"/>
      <c r="NL143" s="25"/>
      <c r="NM143" s="25"/>
      <c r="NN143" s="25"/>
      <c r="YA143" s="25"/>
      <c r="YB143" s="25"/>
      <c r="YC143" s="25"/>
      <c r="YD143" s="25"/>
      <c r="YE143" s="25"/>
      <c r="ZW143" s="25"/>
      <c r="ZX143" s="25"/>
      <c r="ZY143" s="25"/>
      <c r="ZZ143" s="25"/>
      <c r="AAA143" s="25"/>
      <c r="AAB143" s="25"/>
      <c r="AAC143" s="25"/>
      <c r="AAD143" s="25"/>
      <c r="AAE143" s="25"/>
      <c r="AAF143" s="25"/>
    </row>
    <row r="144" spans="1:742" x14ac:dyDescent="0.25">
      <c r="A144" t="s">
        <v>229</v>
      </c>
      <c r="EF144">
        <v>18</v>
      </c>
      <c r="GU144">
        <v>24</v>
      </c>
      <c r="JH144">
        <v>22</v>
      </c>
      <c r="NJ144" s="25">
        <v>9</v>
      </c>
      <c r="NK144" s="25"/>
      <c r="NL144" s="25"/>
      <c r="NM144" s="25"/>
      <c r="NN144" s="25"/>
      <c r="YA144" s="25"/>
      <c r="YB144" s="25"/>
      <c r="YC144" s="25"/>
      <c r="YD144" s="25"/>
      <c r="YE144" s="25"/>
      <c r="ZW144" s="25"/>
      <c r="ZX144" s="25"/>
      <c r="ZY144" s="25"/>
      <c r="ZZ144" s="25"/>
      <c r="AAA144" s="25"/>
      <c r="AAB144" s="25"/>
      <c r="AAC144" s="25"/>
      <c r="AAD144" s="25"/>
      <c r="AAE144" s="25"/>
      <c r="AAF144" s="25"/>
    </row>
    <row r="145" spans="1:708" x14ac:dyDescent="0.25">
      <c r="A145" t="s">
        <v>231</v>
      </c>
      <c r="DD145">
        <v>10100</v>
      </c>
      <c r="EF145">
        <v>1425</v>
      </c>
      <c r="GU145">
        <v>2888</v>
      </c>
      <c r="JH145">
        <v>167</v>
      </c>
      <c r="LT145">
        <v>2013</v>
      </c>
      <c r="NJ145" s="25"/>
      <c r="NK145" s="25"/>
      <c r="NL145" s="25"/>
      <c r="NM145" s="25"/>
      <c r="NN145" s="25"/>
      <c r="YA145" s="25"/>
      <c r="YB145" s="25"/>
      <c r="YC145" s="25"/>
      <c r="YD145" s="25"/>
      <c r="YE145" s="25"/>
      <c r="ZW145" s="25"/>
      <c r="ZX145" s="25"/>
      <c r="ZY145" s="25"/>
      <c r="ZZ145" s="25"/>
      <c r="AAA145" s="25"/>
      <c r="AAB145" s="25"/>
      <c r="AAC145" s="25"/>
      <c r="AAD145" s="25"/>
      <c r="AAE145" s="25"/>
      <c r="AAF145" s="25"/>
    </row>
    <row r="146" spans="1:708" x14ac:dyDescent="0.25">
      <c r="A146" t="s">
        <v>232</v>
      </c>
      <c r="EF146">
        <v>21</v>
      </c>
      <c r="GX146">
        <v>48</v>
      </c>
      <c r="JJ146">
        <v>53</v>
      </c>
      <c r="LW146">
        <v>226</v>
      </c>
      <c r="NJ146" s="25"/>
      <c r="NK146" s="25"/>
      <c r="NL146" s="25"/>
      <c r="NM146" s="25"/>
      <c r="NN146" s="25"/>
      <c r="YA146" s="25"/>
      <c r="YB146" s="25"/>
      <c r="YC146" s="25"/>
      <c r="YD146" s="25"/>
      <c r="YE146" s="25"/>
      <c r="ZW146" s="25"/>
      <c r="ZX146" s="25"/>
      <c r="ZY146" s="25"/>
      <c r="ZZ146" s="25"/>
      <c r="AAA146" s="25"/>
      <c r="AAB146" s="25"/>
      <c r="AAC146" s="25"/>
      <c r="AAD146" s="25"/>
      <c r="AAE146" s="25"/>
      <c r="AAF146" s="25"/>
    </row>
    <row r="147" spans="1:708" x14ac:dyDescent="0.25">
      <c r="A147" t="s">
        <v>234</v>
      </c>
      <c r="DD147">
        <v>12700</v>
      </c>
      <c r="FD147">
        <v>21</v>
      </c>
      <c r="HR147">
        <v>27</v>
      </c>
      <c r="KC147">
        <v>162</v>
      </c>
      <c r="LT147">
        <v>178</v>
      </c>
      <c r="NJ147" s="25">
        <v>9</v>
      </c>
      <c r="NK147" s="25"/>
      <c r="NL147" s="25"/>
      <c r="NM147" s="25"/>
      <c r="NN147" s="25"/>
      <c r="YA147" s="25"/>
      <c r="YB147" s="25"/>
      <c r="YC147" s="25"/>
      <c r="YD147" s="25"/>
      <c r="YE147" s="25"/>
      <c r="ZW147" s="25"/>
      <c r="ZX147" s="25"/>
      <c r="ZY147" s="25"/>
      <c r="ZZ147" s="25"/>
      <c r="AAA147" s="25"/>
      <c r="AAB147" s="25"/>
      <c r="AAC147" s="25"/>
      <c r="AAD147" s="25"/>
      <c r="AAE147" s="25"/>
      <c r="AAF147" s="25"/>
    </row>
    <row r="148" spans="1:708" x14ac:dyDescent="0.25">
      <c r="A148" t="s">
        <v>236</v>
      </c>
      <c r="NJ148" s="25"/>
      <c r="NK148" s="25"/>
      <c r="NL148" s="25"/>
      <c r="NM148" s="25"/>
      <c r="NN148" s="25"/>
      <c r="YA148" s="25"/>
      <c r="YB148" s="25"/>
      <c r="YC148" s="25"/>
      <c r="YD148" s="25"/>
      <c r="YE148" s="25"/>
      <c r="ZW148" s="25"/>
      <c r="ZX148" s="25"/>
      <c r="ZY148" s="25"/>
      <c r="ZZ148" s="25"/>
      <c r="AAA148" s="25"/>
      <c r="AAB148" s="25"/>
      <c r="AAC148" s="25"/>
      <c r="AAD148" s="25"/>
      <c r="AAE148" s="25"/>
      <c r="AAF148" s="25"/>
    </row>
    <row r="149" spans="1:708" x14ac:dyDescent="0.25">
      <c r="A149" t="s">
        <v>1322</v>
      </c>
      <c r="NJ149" s="25"/>
      <c r="NK149" s="25"/>
      <c r="NL149" s="25"/>
      <c r="NM149" s="25"/>
      <c r="NN149" s="25"/>
      <c r="YA149" s="25"/>
      <c r="YB149" s="25"/>
      <c r="YC149" s="25"/>
      <c r="YD149" s="25"/>
      <c r="YE149" s="25"/>
      <c r="ZW149" s="25"/>
      <c r="ZX149" s="25"/>
      <c r="ZY149" s="25"/>
      <c r="ZZ149" s="25"/>
      <c r="AAA149" s="25"/>
      <c r="AAB149" s="25"/>
      <c r="AAC149" s="25"/>
      <c r="AAD149" s="25"/>
      <c r="AAE149" s="25"/>
      <c r="AAF149" s="25"/>
    </row>
    <row r="150" spans="1:708" x14ac:dyDescent="0.25">
      <c r="A150" t="s">
        <v>1323</v>
      </c>
      <c r="NJ150" s="25"/>
      <c r="NK150" s="25"/>
      <c r="NL150" s="25"/>
      <c r="NM150" s="25"/>
      <c r="NN150" s="25"/>
      <c r="YA150" s="25"/>
      <c r="YB150" s="25"/>
      <c r="YC150" s="25"/>
      <c r="YD150" s="25"/>
      <c r="YE150" s="25"/>
      <c r="ZW150" s="25"/>
      <c r="ZX150" s="25"/>
      <c r="ZY150" s="25"/>
      <c r="ZZ150" s="25"/>
      <c r="AAA150" s="25"/>
      <c r="AAB150" s="25"/>
      <c r="AAC150" s="25"/>
      <c r="AAD150" s="25"/>
      <c r="AAE150" s="25"/>
      <c r="AAF150" s="25"/>
    </row>
    <row r="151" spans="1:708" x14ac:dyDescent="0.25">
      <c r="A151" t="s">
        <v>1324</v>
      </c>
      <c r="NJ151" s="25"/>
      <c r="NK151" s="25"/>
      <c r="NL151" s="25"/>
      <c r="NM151" s="25"/>
      <c r="NN151" s="25"/>
      <c r="YA151" s="25"/>
      <c r="YB151" s="25"/>
      <c r="YC151" s="25"/>
      <c r="YD151" s="25"/>
      <c r="YE151" s="25"/>
      <c r="ZW151" s="25"/>
      <c r="ZX151" s="25"/>
      <c r="ZY151" s="25"/>
      <c r="ZZ151" s="25"/>
      <c r="AAA151" s="25"/>
      <c r="AAB151" s="25"/>
      <c r="AAC151" s="25"/>
      <c r="AAD151" s="25"/>
      <c r="AAE151" s="25"/>
      <c r="AAF151" s="25"/>
    </row>
    <row r="152" spans="1:708" x14ac:dyDescent="0.25">
      <c r="A152" t="s">
        <v>1325</v>
      </c>
      <c r="NJ152" s="25"/>
      <c r="NK152" s="25"/>
      <c r="NL152" s="25"/>
      <c r="NM152" s="25"/>
      <c r="NN152" s="25"/>
      <c r="YA152" s="25"/>
      <c r="YB152" s="25"/>
      <c r="YC152" s="25"/>
      <c r="YD152" s="25"/>
      <c r="YE152" s="25"/>
      <c r="ZW152" s="25"/>
      <c r="ZX152" s="25"/>
      <c r="ZY152" s="25"/>
      <c r="ZZ152" s="25"/>
      <c r="AAA152" s="25"/>
      <c r="AAB152" s="25"/>
      <c r="AAC152" s="25"/>
      <c r="AAD152" s="25"/>
      <c r="AAE152" s="25"/>
      <c r="AAF152" s="25"/>
    </row>
    <row r="153" spans="1:708" x14ac:dyDescent="0.25">
      <c r="A153" t="s">
        <v>1326</v>
      </c>
      <c r="NJ153" s="25"/>
      <c r="NK153" s="25"/>
      <c r="NL153" s="25"/>
      <c r="NM153" s="25"/>
      <c r="NN153" s="25"/>
      <c r="YA153" s="25"/>
      <c r="YB153" s="25"/>
      <c r="YC153" s="25"/>
      <c r="YD153" s="25"/>
      <c r="YE153" s="25"/>
      <c r="ZW153" s="25"/>
      <c r="ZX153" s="25"/>
      <c r="ZY153" s="25"/>
      <c r="ZZ153" s="25"/>
      <c r="AAA153" s="25"/>
      <c r="AAB153" s="25"/>
      <c r="AAC153" s="25"/>
      <c r="AAD153" s="25"/>
      <c r="AAE153" s="25"/>
      <c r="AAF153" s="25"/>
    </row>
  </sheetData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4"/>
  <sheetViews>
    <sheetView topLeftCell="A3" workbookViewId="0">
      <selection activeCell="D744" sqref="D744"/>
    </sheetView>
  </sheetViews>
  <sheetFormatPr defaultColWidth="9.140625" defaultRowHeight="15" x14ac:dyDescent="0.25"/>
  <cols>
    <col min="1" max="1" width="18.140625" bestFit="1" customWidth="1"/>
    <col min="2" max="2" width="28.28515625" bestFit="1" customWidth="1"/>
    <col min="3" max="3" width="81.140625" bestFit="1" customWidth="1"/>
    <col min="4" max="4" width="30.42578125" bestFit="1" customWidth="1"/>
  </cols>
  <sheetData>
    <row r="1" spans="1:4" ht="15.75" x14ac:dyDescent="0.25">
      <c r="A1" s="29" t="s">
        <v>0</v>
      </c>
      <c r="B1" s="29" t="s">
        <v>2644</v>
      </c>
      <c r="C1" s="29" t="s">
        <v>2081</v>
      </c>
      <c r="D1" s="29" t="s">
        <v>2118</v>
      </c>
    </row>
    <row r="2" spans="1:4" x14ac:dyDescent="0.25">
      <c r="A2" s="32" t="s">
        <v>46</v>
      </c>
      <c r="B2" s="32" t="s">
        <v>2578</v>
      </c>
      <c r="C2" t="s">
        <v>2508</v>
      </c>
      <c r="D2">
        <v>1</v>
      </c>
    </row>
    <row r="3" spans="1:4" x14ac:dyDescent="0.25">
      <c r="A3" s="32" t="s">
        <v>66</v>
      </c>
      <c r="B3" s="32" t="s">
        <v>2578</v>
      </c>
      <c r="C3" t="s">
        <v>2513</v>
      </c>
      <c r="D3">
        <v>3</v>
      </c>
    </row>
    <row r="4" spans="1:4" x14ac:dyDescent="0.25">
      <c r="A4" s="32" t="s">
        <v>68</v>
      </c>
      <c r="B4" s="32" t="s">
        <v>2578</v>
      </c>
      <c r="C4" t="s">
        <v>2508</v>
      </c>
      <c r="D4">
        <v>1</v>
      </c>
    </row>
    <row r="5" spans="1:4" x14ac:dyDescent="0.25">
      <c r="A5" s="32" t="s">
        <v>74</v>
      </c>
      <c r="B5" s="32" t="s">
        <v>2578</v>
      </c>
      <c r="C5" t="s">
        <v>555</v>
      </c>
      <c r="D5">
        <v>1</v>
      </c>
    </row>
    <row r="6" spans="1:4" x14ac:dyDescent="0.25">
      <c r="A6" s="32" t="s">
        <v>125</v>
      </c>
      <c r="B6" s="32" t="s">
        <v>2578</v>
      </c>
      <c r="C6" t="s">
        <v>561</v>
      </c>
      <c r="D6">
        <v>1</v>
      </c>
    </row>
    <row r="7" spans="1:4" x14ac:dyDescent="0.25">
      <c r="A7" s="32" t="s">
        <v>140</v>
      </c>
      <c r="B7" s="32" t="s">
        <v>2578</v>
      </c>
      <c r="C7" t="s">
        <v>2514</v>
      </c>
      <c r="D7">
        <v>2</v>
      </c>
    </row>
    <row r="8" spans="1:4" x14ac:dyDescent="0.25">
      <c r="A8" s="32" t="s">
        <v>149</v>
      </c>
      <c r="B8" s="32" t="s">
        <v>2578</v>
      </c>
      <c r="C8" t="s">
        <v>2515</v>
      </c>
      <c r="D8">
        <v>2</v>
      </c>
    </row>
    <row r="9" spans="1:4" x14ac:dyDescent="0.25">
      <c r="A9" s="32" t="s">
        <v>153</v>
      </c>
      <c r="B9" s="32" t="s">
        <v>2578</v>
      </c>
      <c r="C9" t="s">
        <v>2516</v>
      </c>
      <c r="D9">
        <v>3</v>
      </c>
    </row>
    <row r="10" spans="1:4" x14ac:dyDescent="0.25">
      <c r="A10" s="32" t="s">
        <v>163</v>
      </c>
      <c r="B10" s="32" t="s">
        <v>2578</v>
      </c>
      <c r="C10" t="s">
        <v>555</v>
      </c>
      <c r="D10">
        <v>1</v>
      </c>
    </row>
    <row r="11" spans="1:4" x14ac:dyDescent="0.25">
      <c r="A11" s="32" t="s">
        <v>166</v>
      </c>
      <c r="B11" s="32" t="s">
        <v>2578</v>
      </c>
      <c r="C11" t="s">
        <v>2508</v>
      </c>
      <c r="D11">
        <v>1</v>
      </c>
    </row>
    <row r="12" spans="1:4" x14ac:dyDescent="0.25">
      <c r="A12" s="32" t="s">
        <v>173</v>
      </c>
      <c r="B12" s="32" t="s">
        <v>2578</v>
      </c>
      <c r="C12" t="s">
        <v>2517</v>
      </c>
      <c r="D12">
        <v>5</v>
      </c>
    </row>
    <row r="13" spans="1:4" x14ac:dyDescent="0.25">
      <c r="A13" s="32" t="s">
        <v>46</v>
      </c>
      <c r="B13" s="32" t="s">
        <v>2579</v>
      </c>
      <c r="C13" t="s">
        <v>2580</v>
      </c>
      <c r="D13">
        <v>2</v>
      </c>
    </row>
    <row r="14" spans="1:4" x14ac:dyDescent="0.25">
      <c r="A14" s="32" t="s">
        <v>68</v>
      </c>
      <c r="B14" s="32" t="s">
        <v>2579</v>
      </c>
      <c r="C14" t="s">
        <v>2580</v>
      </c>
      <c r="D14">
        <v>2</v>
      </c>
    </row>
    <row r="15" spans="1:4" x14ac:dyDescent="0.25">
      <c r="A15" s="32" t="s">
        <v>26</v>
      </c>
      <c r="B15" s="32" t="s">
        <v>2567</v>
      </c>
      <c r="C15" t="s">
        <v>2430</v>
      </c>
      <c r="D15">
        <v>2</v>
      </c>
    </row>
    <row r="16" spans="1:4" x14ac:dyDescent="0.25">
      <c r="A16" s="32" t="s">
        <v>37</v>
      </c>
      <c r="B16" s="32" t="s">
        <v>2567</v>
      </c>
      <c r="C16" t="s">
        <v>2423</v>
      </c>
      <c r="D16">
        <v>1</v>
      </c>
    </row>
    <row r="17" spans="1:4" x14ac:dyDescent="0.25">
      <c r="A17" s="32" t="s">
        <v>62</v>
      </c>
      <c r="B17" s="32" t="s">
        <v>2567</v>
      </c>
      <c r="C17" t="s">
        <v>2432</v>
      </c>
      <c r="D17">
        <v>2</v>
      </c>
    </row>
    <row r="18" spans="1:4" x14ac:dyDescent="0.25">
      <c r="A18" s="32" t="s">
        <v>66</v>
      </c>
      <c r="B18" s="32" t="s">
        <v>2567</v>
      </c>
      <c r="C18" t="s">
        <v>2434</v>
      </c>
      <c r="D18">
        <v>2</v>
      </c>
    </row>
    <row r="19" spans="1:4" x14ac:dyDescent="0.25">
      <c r="A19" s="32" t="s">
        <v>74</v>
      </c>
      <c r="B19" s="32" t="s">
        <v>2567</v>
      </c>
      <c r="C19" t="s">
        <v>650</v>
      </c>
      <c r="D19">
        <v>1</v>
      </c>
    </row>
    <row r="20" spans="1:4" x14ac:dyDescent="0.25">
      <c r="A20" s="32" t="s">
        <v>78</v>
      </c>
      <c r="B20" s="32" t="s">
        <v>2567</v>
      </c>
      <c r="C20" t="s">
        <v>2433</v>
      </c>
      <c r="D20">
        <v>2</v>
      </c>
    </row>
    <row r="21" spans="1:4" x14ac:dyDescent="0.25">
      <c r="A21" s="32" t="s">
        <v>103</v>
      </c>
      <c r="B21" s="32" t="s">
        <v>2567</v>
      </c>
      <c r="C21" t="s">
        <v>2423</v>
      </c>
      <c r="D21">
        <v>1</v>
      </c>
    </row>
    <row r="22" spans="1:4" x14ac:dyDescent="0.25">
      <c r="A22" s="32" t="s">
        <v>119</v>
      </c>
      <c r="B22" s="32" t="s">
        <v>2567</v>
      </c>
      <c r="C22" t="s">
        <v>2429</v>
      </c>
      <c r="D22">
        <v>3</v>
      </c>
    </row>
    <row r="23" spans="1:4" x14ac:dyDescent="0.25">
      <c r="A23" s="32" t="s">
        <v>125</v>
      </c>
      <c r="B23" s="32" t="s">
        <v>2567</v>
      </c>
      <c r="C23" t="s">
        <v>2431</v>
      </c>
      <c r="D23">
        <v>2</v>
      </c>
    </row>
    <row r="24" spans="1:4" x14ac:dyDescent="0.25">
      <c r="A24" s="32" t="s">
        <v>152</v>
      </c>
      <c r="B24" s="32" t="s">
        <v>2567</v>
      </c>
      <c r="C24" t="s">
        <v>2423</v>
      </c>
      <c r="D24">
        <v>1</v>
      </c>
    </row>
    <row r="25" spans="1:4" x14ac:dyDescent="0.25">
      <c r="A25" s="32" t="s">
        <v>153</v>
      </c>
      <c r="B25" s="32" t="s">
        <v>2567</v>
      </c>
      <c r="C25" t="s">
        <v>2428</v>
      </c>
      <c r="D25">
        <v>8</v>
      </c>
    </row>
    <row r="26" spans="1:4" x14ac:dyDescent="0.25">
      <c r="A26" s="32" t="s">
        <v>158</v>
      </c>
      <c r="B26" s="32" t="s">
        <v>2567</v>
      </c>
      <c r="C26" t="s">
        <v>2426</v>
      </c>
      <c r="D26">
        <v>12</v>
      </c>
    </row>
    <row r="27" spans="1:4" x14ac:dyDescent="0.25">
      <c r="A27" s="32" t="s">
        <v>189</v>
      </c>
      <c r="B27" s="32" t="s">
        <v>2567</v>
      </c>
      <c r="C27" t="s">
        <v>2427</v>
      </c>
      <c r="D27">
        <v>9</v>
      </c>
    </row>
    <row r="28" spans="1:4" x14ac:dyDescent="0.25">
      <c r="A28" s="32" t="s">
        <v>207</v>
      </c>
      <c r="B28" s="32" t="s">
        <v>2567</v>
      </c>
      <c r="C28" t="s">
        <v>2423</v>
      </c>
      <c r="D28">
        <v>1</v>
      </c>
    </row>
    <row r="29" spans="1:4" x14ac:dyDescent="0.25">
      <c r="A29" s="32" t="s">
        <v>222</v>
      </c>
      <c r="B29" s="32" t="s">
        <v>2567</v>
      </c>
      <c r="C29" t="s">
        <v>2423</v>
      </c>
      <c r="D29">
        <v>1</v>
      </c>
    </row>
    <row r="30" spans="1:4" x14ac:dyDescent="0.25">
      <c r="A30" s="32" t="s">
        <v>22</v>
      </c>
      <c r="B30" s="32" t="s">
        <v>2345</v>
      </c>
      <c r="C30" t="s">
        <v>2377</v>
      </c>
      <c r="D30">
        <v>18</v>
      </c>
    </row>
    <row r="31" spans="1:4" x14ac:dyDescent="0.25">
      <c r="A31" s="32" t="s">
        <v>24</v>
      </c>
      <c r="B31" s="32" t="s">
        <v>2345</v>
      </c>
      <c r="C31" t="s">
        <v>2319</v>
      </c>
      <c r="D31">
        <v>1</v>
      </c>
    </row>
    <row r="32" spans="1:4" x14ac:dyDescent="0.25">
      <c r="A32" s="32" t="s">
        <v>26</v>
      </c>
      <c r="B32" s="32" t="s">
        <v>2345</v>
      </c>
      <c r="C32" t="s">
        <v>2346</v>
      </c>
      <c r="D32">
        <v>8</v>
      </c>
    </row>
    <row r="33" spans="1:4" x14ac:dyDescent="0.25">
      <c r="A33" s="32" t="s">
        <v>50</v>
      </c>
      <c r="B33" s="32" t="s">
        <v>2345</v>
      </c>
      <c r="C33" t="s">
        <v>2347</v>
      </c>
      <c r="D33">
        <v>2</v>
      </c>
    </row>
    <row r="34" spans="1:4" x14ac:dyDescent="0.25">
      <c r="A34" s="32" t="s">
        <v>53</v>
      </c>
      <c r="B34" s="32" t="s">
        <v>2345</v>
      </c>
      <c r="C34" t="s">
        <v>2319</v>
      </c>
      <c r="D34">
        <v>1</v>
      </c>
    </row>
    <row r="35" spans="1:4" x14ac:dyDescent="0.25">
      <c r="A35" s="32" t="s">
        <v>62</v>
      </c>
      <c r="B35" s="32" t="s">
        <v>2345</v>
      </c>
      <c r="C35" t="s">
        <v>2348</v>
      </c>
      <c r="D35">
        <v>3</v>
      </c>
    </row>
    <row r="36" spans="1:4" x14ac:dyDescent="0.25">
      <c r="A36" s="32" t="s">
        <v>66</v>
      </c>
      <c r="B36" s="32" t="s">
        <v>2345</v>
      </c>
      <c r="C36" t="s">
        <v>2349</v>
      </c>
      <c r="D36">
        <v>3</v>
      </c>
    </row>
    <row r="37" spans="1:4" x14ac:dyDescent="0.25">
      <c r="A37" s="32" t="s">
        <v>68</v>
      </c>
      <c r="B37" s="32" t="s">
        <v>2345</v>
      </c>
      <c r="C37" t="s">
        <v>2319</v>
      </c>
      <c r="D37">
        <v>1</v>
      </c>
    </row>
    <row r="38" spans="1:4" x14ac:dyDescent="0.25">
      <c r="A38" s="32" t="s">
        <v>74</v>
      </c>
      <c r="B38" s="32" t="s">
        <v>2345</v>
      </c>
      <c r="C38" t="s">
        <v>2350</v>
      </c>
      <c r="D38">
        <v>4</v>
      </c>
    </row>
    <row r="39" spans="1:4" x14ac:dyDescent="0.25">
      <c r="A39" s="32" t="s">
        <v>78</v>
      </c>
      <c r="B39" s="32" t="s">
        <v>2345</v>
      </c>
      <c r="C39" t="s">
        <v>2351</v>
      </c>
      <c r="D39">
        <v>6</v>
      </c>
    </row>
    <row r="40" spans="1:4" x14ac:dyDescent="0.25">
      <c r="A40" s="32" t="s">
        <v>80</v>
      </c>
      <c r="B40" s="32" t="s">
        <v>2345</v>
      </c>
      <c r="C40" t="s">
        <v>2352</v>
      </c>
      <c r="D40">
        <v>4</v>
      </c>
    </row>
    <row r="41" spans="1:4" x14ac:dyDescent="0.25">
      <c r="A41" s="32" t="s">
        <v>85</v>
      </c>
      <c r="B41" s="32" t="s">
        <v>2345</v>
      </c>
      <c r="C41" t="s">
        <v>2353</v>
      </c>
      <c r="D41">
        <v>2</v>
      </c>
    </row>
    <row r="42" spans="1:4" x14ac:dyDescent="0.25">
      <c r="A42" s="32" t="s">
        <v>87</v>
      </c>
      <c r="B42" s="32" t="s">
        <v>2345</v>
      </c>
      <c r="C42" t="s">
        <v>2354</v>
      </c>
      <c r="D42">
        <v>4</v>
      </c>
    </row>
    <row r="43" spans="1:4" x14ac:dyDescent="0.25">
      <c r="A43" s="32" t="s">
        <v>93</v>
      </c>
      <c r="B43" s="32" t="s">
        <v>2345</v>
      </c>
      <c r="C43" t="s">
        <v>2355</v>
      </c>
      <c r="D43">
        <v>5</v>
      </c>
    </row>
    <row r="44" spans="1:4" x14ac:dyDescent="0.25">
      <c r="A44" s="32" t="s">
        <v>95</v>
      </c>
      <c r="B44" s="32" t="s">
        <v>2345</v>
      </c>
      <c r="C44" t="s">
        <v>2356</v>
      </c>
      <c r="D44">
        <v>6</v>
      </c>
    </row>
    <row r="45" spans="1:4" x14ac:dyDescent="0.25">
      <c r="A45" s="32" t="s">
        <v>103</v>
      </c>
      <c r="B45" s="32" t="s">
        <v>2345</v>
      </c>
      <c r="C45" t="s">
        <v>2357</v>
      </c>
      <c r="D45">
        <v>2</v>
      </c>
    </row>
    <row r="46" spans="1:4" x14ac:dyDescent="0.25">
      <c r="A46" s="32" t="s">
        <v>119</v>
      </c>
      <c r="B46" s="32" t="s">
        <v>2345</v>
      </c>
      <c r="C46" t="s">
        <v>2358</v>
      </c>
      <c r="D46">
        <v>3</v>
      </c>
    </row>
    <row r="47" spans="1:4" x14ac:dyDescent="0.25">
      <c r="A47" s="32" t="s">
        <v>125</v>
      </c>
      <c r="B47" s="32" t="s">
        <v>2345</v>
      </c>
      <c r="C47" t="s">
        <v>2359</v>
      </c>
      <c r="D47">
        <v>9</v>
      </c>
    </row>
    <row r="48" spans="1:4" x14ac:dyDescent="0.25">
      <c r="A48" s="32" t="s">
        <v>127</v>
      </c>
      <c r="B48" s="32" t="s">
        <v>2345</v>
      </c>
      <c r="C48" t="s">
        <v>2360</v>
      </c>
      <c r="D48">
        <v>2</v>
      </c>
    </row>
    <row r="49" spans="1:4" x14ac:dyDescent="0.25">
      <c r="A49" s="32" t="s">
        <v>128</v>
      </c>
      <c r="B49" s="32" t="s">
        <v>2345</v>
      </c>
      <c r="C49" t="s">
        <v>2361</v>
      </c>
      <c r="D49">
        <v>3</v>
      </c>
    </row>
    <row r="50" spans="1:4" x14ac:dyDescent="0.25">
      <c r="A50" s="32" t="s">
        <v>131</v>
      </c>
      <c r="B50" s="32" t="s">
        <v>2345</v>
      </c>
      <c r="C50" t="s">
        <v>2319</v>
      </c>
      <c r="D50">
        <v>1</v>
      </c>
    </row>
    <row r="51" spans="1:4" x14ac:dyDescent="0.25">
      <c r="A51" s="32" t="s">
        <v>134</v>
      </c>
      <c r="B51" s="32" t="s">
        <v>2345</v>
      </c>
      <c r="C51" t="s">
        <v>2319</v>
      </c>
      <c r="D51">
        <v>1</v>
      </c>
    </row>
    <row r="52" spans="1:4" x14ac:dyDescent="0.25">
      <c r="A52" s="32" t="s">
        <v>138</v>
      </c>
      <c r="B52" s="32" t="s">
        <v>2345</v>
      </c>
      <c r="C52" t="s">
        <v>2362</v>
      </c>
      <c r="D52">
        <v>4</v>
      </c>
    </row>
    <row r="53" spans="1:4" x14ac:dyDescent="0.25">
      <c r="A53" s="32" t="s">
        <v>140</v>
      </c>
      <c r="B53" s="32" t="s">
        <v>2345</v>
      </c>
      <c r="C53" t="s">
        <v>2363</v>
      </c>
      <c r="D53">
        <v>2</v>
      </c>
    </row>
    <row r="54" spans="1:4" x14ac:dyDescent="0.25">
      <c r="A54" s="32" t="s">
        <v>149</v>
      </c>
      <c r="B54" s="32" t="s">
        <v>2345</v>
      </c>
      <c r="C54" t="s">
        <v>2364</v>
      </c>
      <c r="D54">
        <v>2</v>
      </c>
    </row>
    <row r="55" spans="1:4" x14ac:dyDescent="0.25">
      <c r="A55" s="32" t="s">
        <v>152</v>
      </c>
      <c r="B55" s="32" t="s">
        <v>2345</v>
      </c>
      <c r="C55" t="s">
        <v>2365</v>
      </c>
      <c r="D55">
        <v>2</v>
      </c>
    </row>
    <row r="56" spans="1:4" x14ac:dyDescent="0.25">
      <c r="A56" s="32" t="s">
        <v>153</v>
      </c>
      <c r="B56" s="32" t="s">
        <v>2345</v>
      </c>
      <c r="C56" t="s">
        <v>2366</v>
      </c>
      <c r="D56">
        <v>8</v>
      </c>
    </row>
    <row r="57" spans="1:4" x14ac:dyDescent="0.25">
      <c r="A57" s="32" t="s">
        <v>158</v>
      </c>
      <c r="B57" s="32" t="s">
        <v>2345</v>
      </c>
      <c r="C57" t="s">
        <v>2367</v>
      </c>
      <c r="D57">
        <v>12</v>
      </c>
    </row>
    <row r="58" spans="1:4" x14ac:dyDescent="0.25">
      <c r="A58" s="32" t="s">
        <v>163</v>
      </c>
      <c r="B58" s="32" t="s">
        <v>2345</v>
      </c>
      <c r="C58" t="s">
        <v>359</v>
      </c>
      <c r="D58">
        <v>1</v>
      </c>
    </row>
    <row r="59" spans="1:4" x14ac:dyDescent="0.25">
      <c r="A59" s="32" t="s">
        <v>166</v>
      </c>
      <c r="B59" s="32" t="s">
        <v>2345</v>
      </c>
      <c r="C59" t="s">
        <v>2368</v>
      </c>
      <c r="D59">
        <v>3</v>
      </c>
    </row>
    <row r="60" spans="1:4" x14ac:dyDescent="0.25">
      <c r="A60" s="32" t="s">
        <v>173</v>
      </c>
      <c r="B60" s="32" t="s">
        <v>2345</v>
      </c>
      <c r="C60" t="s">
        <v>2369</v>
      </c>
      <c r="D60">
        <v>5</v>
      </c>
    </row>
    <row r="61" spans="1:4" x14ac:dyDescent="0.25">
      <c r="A61" s="32" t="s">
        <v>175</v>
      </c>
      <c r="B61" s="32" t="s">
        <v>2345</v>
      </c>
      <c r="C61" t="s">
        <v>2370</v>
      </c>
      <c r="D61">
        <v>9</v>
      </c>
    </row>
    <row r="62" spans="1:4" x14ac:dyDescent="0.25">
      <c r="A62" s="32" t="s">
        <v>183</v>
      </c>
      <c r="B62" s="32" t="s">
        <v>2345</v>
      </c>
      <c r="C62" t="s">
        <v>2371</v>
      </c>
      <c r="D62">
        <v>3</v>
      </c>
    </row>
    <row r="63" spans="1:4" x14ac:dyDescent="0.25">
      <c r="A63" s="32" t="s">
        <v>185</v>
      </c>
      <c r="B63" s="32" t="s">
        <v>2345</v>
      </c>
      <c r="C63" t="s">
        <v>477</v>
      </c>
      <c r="D63">
        <v>1</v>
      </c>
    </row>
    <row r="64" spans="1:4" x14ac:dyDescent="0.25">
      <c r="A64" s="32" t="s">
        <v>189</v>
      </c>
      <c r="B64" s="32" t="s">
        <v>2345</v>
      </c>
      <c r="C64" t="s">
        <v>2372</v>
      </c>
      <c r="D64">
        <v>6</v>
      </c>
    </row>
    <row r="65" spans="1:4" x14ac:dyDescent="0.25">
      <c r="A65" s="32" t="s">
        <v>191</v>
      </c>
      <c r="B65" s="32" t="s">
        <v>2345</v>
      </c>
      <c r="C65" t="s">
        <v>2373</v>
      </c>
      <c r="D65">
        <v>2</v>
      </c>
    </row>
    <row r="66" spans="1:4" x14ac:dyDescent="0.25">
      <c r="A66" s="32" t="s">
        <v>197</v>
      </c>
      <c r="B66" s="32" t="s">
        <v>2345</v>
      </c>
      <c r="C66" t="s">
        <v>2329</v>
      </c>
      <c r="D66">
        <v>1</v>
      </c>
    </row>
    <row r="67" spans="1:4" x14ac:dyDescent="0.25">
      <c r="A67" s="32" t="s">
        <v>199</v>
      </c>
      <c r="B67" s="32" t="s">
        <v>2345</v>
      </c>
      <c r="C67" t="s">
        <v>2374</v>
      </c>
      <c r="D67">
        <v>2</v>
      </c>
    </row>
    <row r="68" spans="1:4" x14ac:dyDescent="0.25">
      <c r="A68" s="32" t="s">
        <v>202</v>
      </c>
      <c r="B68" s="32" t="s">
        <v>2345</v>
      </c>
      <c r="C68" t="s">
        <v>2375</v>
      </c>
      <c r="D68">
        <v>5</v>
      </c>
    </row>
    <row r="69" spans="1:4" x14ac:dyDescent="0.25">
      <c r="A69" s="32" t="s">
        <v>294</v>
      </c>
      <c r="B69" s="32" t="s">
        <v>2345</v>
      </c>
      <c r="C69" t="s">
        <v>2319</v>
      </c>
      <c r="D69">
        <v>1</v>
      </c>
    </row>
    <row r="70" spans="1:4" x14ac:dyDescent="0.25">
      <c r="A70" s="32" t="s">
        <v>207</v>
      </c>
      <c r="B70" s="32" t="s">
        <v>2345</v>
      </c>
      <c r="C70" t="s">
        <v>2373</v>
      </c>
      <c r="D70">
        <v>2</v>
      </c>
    </row>
    <row r="71" spans="1:4" x14ac:dyDescent="0.25">
      <c r="A71" s="32" t="s">
        <v>26</v>
      </c>
      <c r="B71" s="32" t="s">
        <v>2565</v>
      </c>
      <c r="C71" t="s">
        <v>702</v>
      </c>
      <c r="D71">
        <v>1</v>
      </c>
    </row>
    <row r="72" spans="1:4" x14ac:dyDescent="0.25">
      <c r="A72" s="32" t="s">
        <v>62</v>
      </c>
      <c r="B72" s="32" t="s">
        <v>2565</v>
      </c>
      <c r="C72" t="s">
        <v>1765</v>
      </c>
      <c r="D72">
        <v>1</v>
      </c>
    </row>
    <row r="73" spans="1:4" x14ac:dyDescent="0.25">
      <c r="A73" s="32" t="s">
        <v>66</v>
      </c>
      <c r="B73" s="32" t="s">
        <v>2565</v>
      </c>
      <c r="C73" t="s">
        <v>717</v>
      </c>
      <c r="D73">
        <v>1</v>
      </c>
    </row>
    <row r="74" spans="1:4" x14ac:dyDescent="0.25">
      <c r="A74" s="32" t="s">
        <v>152</v>
      </c>
      <c r="B74" s="32" t="s">
        <v>2565</v>
      </c>
      <c r="C74" t="s">
        <v>1765</v>
      </c>
      <c r="D74">
        <v>1</v>
      </c>
    </row>
    <row r="75" spans="1:4" x14ac:dyDescent="0.25">
      <c r="A75" s="32" t="s">
        <v>197</v>
      </c>
      <c r="B75" s="32" t="s">
        <v>2565</v>
      </c>
      <c r="C75" t="s">
        <v>2130</v>
      </c>
      <c r="D75">
        <v>2</v>
      </c>
    </row>
    <row r="76" spans="1:4" x14ac:dyDescent="0.25">
      <c r="A76" s="32" t="s">
        <v>62</v>
      </c>
      <c r="B76" s="32" t="s">
        <v>2586</v>
      </c>
      <c r="C76" t="s">
        <v>348</v>
      </c>
      <c r="D76">
        <v>1</v>
      </c>
    </row>
    <row r="77" spans="1:4" x14ac:dyDescent="0.25">
      <c r="A77" s="32" t="s">
        <v>152</v>
      </c>
      <c r="B77" s="32" t="s">
        <v>2586</v>
      </c>
      <c r="C77" t="s">
        <v>348</v>
      </c>
      <c r="D77">
        <v>1</v>
      </c>
    </row>
    <row r="78" spans="1:4" x14ac:dyDescent="0.25">
      <c r="A78" s="32" t="s">
        <v>163</v>
      </c>
      <c r="B78" s="32" t="s">
        <v>2586</v>
      </c>
      <c r="C78" t="s">
        <v>348</v>
      </c>
      <c r="D78">
        <v>1</v>
      </c>
    </row>
    <row r="79" spans="1:4" x14ac:dyDescent="0.25">
      <c r="A79" s="32" t="s">
        <v>125</v>
      </c>
      <c r="B79" s="32" t="s">
        <v>2609</v>
      </c>
      <c r="C79" t="s">
        <v>862</v>
      </c>
      <c r="D79">
        <v>1</v>
      </c>
    </row>
    <row r="80" spans="1:4" x14ac:dyDescent="0.25">
      <c r="A80" s="32" t="s">
        <v>87</v>
      </c>
      <c r="B80" s="32" t="s">
        <v>2595</v>
      </c>
      <c r="C80" t="s">
        <v>769</v>
      </c>
      <c r="D80">
        <v>1</v>
      </c>
    </row>
    <row r="81" spans="1:4" x14ac:dyDescent="0.25">
      <c r="A81" s="32" t="s">
        <v>125</v>
      </c>
      <c r="B81" s="32" t="s">
        <v>2595</v>
      </c>
      <c r="C81" t="s">
        <v>863</v>
      </c>
      <c r="D81">
        <v>1</v>
      </c>
    </row>
    <row r="82" spans="1:4" x14ac:dyDescent="0.25">
      <c r="A82" s="32" t="s">
        <v>189</v>
      </c>
      <c r="B82" s="32" t="s">
        <v>2595</v>
      </c>
      <c r="C82" t="s">
        <v>1024</v>
      </c>
      <c r="D82">
        <v>1</v>
      </c>
    </row>
    <row r="83" spans="1:4" x14ac:dyDescent="0.25">
      <c r="A83" s="32" t="s">
        <v>46</v>
      </c>
      <c r="B83" s="32" t="s">
        <v>2581</v>
      </c>
      <c r="C83" t="s">
        <v>2520</v>
      </c>
      <c r="D83">
        <v>1</v>
      </c>
    </row>
    <row r="84" spans="1:4" x14ac:dyDescent="0.25">
      <c r="A84" s="32" t="s">
        <v>68</v>
      </c>
      <c r="B84" s="32" t="s">
        <v>2581</v>
      </c>
      <c r="C84" t="s">
        <v>2520</v>
      </c>
      <c r="D84">
        <v>1</v>
      </c>
    </row>
    <row r="85" spans="1:4" x14ac:dyDescent="0.25">
      <c r="A85" s="32" t="s">
        <v>20</v>
      </c>
      <c r="B85" s="32" t="s">
        <v>2556</v>
      </c>
      <c r="C85" t="s">
        <v>2294</v>
      </c>
      <c r="D85">
        <v>1</v>
      </c>
    </row>
    <row r="86" spans="1:4" x14ac:dyDescent="0.25">
      <c r="A86" s="32" t="s">
        <v>22</v>
      </c>
      <c r="B86" s="32" t="s">
        <v>2556</v>
      </c>
      <c r="C86" t="s">
        <v>2560</v>
      </c>
      <c r="D86">
        <v>12</v>
      </c>
    </row>
    <row r="87" spans="1:4" x14ac:dyDescent="0.25">
      <c r="A87" s="32" t="s">
        <v>26</v>
      </c>
      <c r="B87" s="32" t="s">
        <v>2556</v>
      </c>
      <c r="C87" t="s">
        <v>2632</v>
      </c>
      <c r="D87">
        <v>6</v>
      </c>
    </row>
    <row r="88" spans="1:4" x14ac:dyDescent="0.25">
      <c r="A88" s="32" t="s">
        <v>32</v>
      </c>
      <c r="B88" s="32" t="s">
        <v>2556</v>
      </c>
      <c r="C88" t="s">
        <v>2294</v>
      </c>
      <c r="D88">
        <v>1</v>
      </c>
    </row>
    <row r="89" spans="1:4" x14ac:dyDescent="0.25">
      <c r="A89" s="32" t="s">
        <v>50</v>
      </c>
      <c r="B89" s="32" t="s">
        <v>2556</v>
      </c>
      <c r="C89" t="s">
        <v>2633</v>
      </c>
      <c r="D89">
        <v>3</v>
      </c>
    </row>
    <row r="90" spans="1:4" x14ac:dyDescent="0.25">
      <c r="A90" s="32" t="s">
        <v>53</v>
      </c>
      <c r="B90" s="32" t="s">
        <v>2556</v>
      </c>
      <c r="C90" t="s">
        <v>2294</v>
      </c>
      <c r="D90">
        <v>1</v>
      </c>
    </row>
    <row r="91" spans="1:4" x14ac:dyDescent="0.25">
      <c r="A91" s="32" t="s">
        <v>59</v>
      </c>
      <c r="B91" s="32" t="s">
        <v>2556</v>
      </c>
      <c r="C91" t="s">
        <v>2294</v>
      </c>
      <c r="D91">
        <v>1</v>
      </c>
    </row>
    <row r="92" spans="1:4" x14ac:dyDescent="0.25">
      <c r="A92" s="32" t="s">
        <v>60</v>
      </c>
      <c r="B92" s="32" t="s">
        <v>2556</v>
      </c>
      <c r="C92" t="s">
        <v>2294</v>
      </c>
      <c r="D92">
        <v>1</v>
      </c>
    </row>
    <row r="93" spans="1:4" x14ac:dyDescent="0.25">
      <c r="A93" s="32" t="s">
        <v>62</v>
      </c>
      <c r="B93" s="32" t="s">
        <v>2556</v>
      </c>
      <c r="C93" t="s">
        <v>2294</v>
      </c>
      <c r="D93">
        <v>1</v>
      </c>
    </row>
    <row r="94" spans="1:4" x14ac:dyDescent="0.25">
      <c r="A94" s="32" t="s">
        <v>66</v>
      </c>
      <c r="B94" s="32" t="s">
        <v>2556</v>
      </c>
      <c r="C94" t="s">
        <v>2634</v>
      </c>
      <c r="D94">
        <v>6</v>
      </c>
    </row>
    <row r="95" spans="1:4" x14ac:dyDescent="0.25">
      <c r="A95" s="32" t="s">
        <v>68</v>
      </c>
      <c r="B95" s="32" t="s">
        <v>2556</v>
      </c>
      <c r="C95" t="s">
        <v>2306</v>
      </c>
      <c r="D95">
        <v>2</v>
      </c>
    </row>
    <row r="96" spans="1:4" x14ac:dyDescent="0.25">
      <c r="A96" s="32" t="s">
        <v>71</v>
      </c>
      <c r="B96" s="32" t="s">
        <v>2556</v>
      </c>
      <c r="C96" t="s">
        <v>2294</v>
      </c>
      <c r="D96">
        <v>1</v>
      </c>
    </row>
    <row r="97" spans="1:4" x14ac:dyDescent="0.25">
      <c r="A97" s="32" t="s">
        <v>74</v>
      </c>
      <c r="B97" s="32" t="s">
        <v>2556</v>
      </c>
      <c r="C97" t="s">
        <v>2635</v>
      </c>
      <c r="D97">
        <v>3</v>
      </c>
    </row>
    <row r="98" spans="1:4" x14ac:dyDescent="0.25">
      <c r="A98" s="32" t="s">
        <v>78</v>
      </c>
      <c r="B98" s="32" t="s">
        <v>2556</v>
      </c>
      <c r="C98" t="s">
        <v>2636</v>
      </c>
      <c r="D98">
        <v>8</v>
      </c>
    </row>
    <row r="99" spans="1:4" x14ac:dyDescent="0.25">
      <c r="A99" s="32" t="s">
        <v>80</v>
      </c>
      <c r="B99" s="32" t="s">
        <v>2556</v>
      </c>
      <c r="C99" t="s">
        <v>2637</v>
      </c>
      <c r="D99">
        <v>4</v>
      </c>
    </row>
    <row r="100" spans="1:4" x14ac:dyDescent="0.25">
      <c r="A100" s="32" t="s">
        <v>82</v>
      </c>
      <c r="B100" s="32" t="s">
        <v>2556</v>
      </c>
      <c r="C100" t="s">
        <v>2307</v>
      </c>
      <c r="D100">
        <v>2</v>
      </c>
    </row>
    <row r="101" spans="1:4" x14ac:dyDescent="0.25">
      <c r="A101" s="32" t="s">
        <v>85</v>
      </c>
      <c r="B101" s="32" t="s">
        <v>2556</v>
      </c>
      <c r="C101" t="s">
        <v>2294</v>
      </c>
      <c r="D101">
        <v>1</v>
      </c>
    </row>
    <row r="102" spans="1:4" x14ac:dyDescent="0.25">
      <c r="A102" s="32" t="s">
        <v>87</v>
      </c>
      <c r="B102" s="32" t="s">
        <v>2556</v>
      </c>
      <c r="C102" t="s">
        <v>2638</v>
      </c>
      <c r="D102">
        <v>3</v>
      </c>
    </row>
    <row r="103" spans="1:4" x14ac:dyDescent="0.25">
      <c r="A103" s="32" t="s">
        <v>95</v>
      </c>
      <c r="B103" s="32" t="s">
        <v>2556</v>
      </c>
      <c r="C103" t="s">
        <v>2308</v>
      </c>
      <c r="D103">
        <v>3</v>
      </c>
    </row>
    <row r="104" spans="1:4" x14ac:dyDescent="0.25">
      <c r="A104" s="32" t="s">
        <v>103</v>
      </c>
      <c r="B104" s="32" t="s">
        <v>2556</v>
      </c>
      <c r="C104" t="s">
        <v>2639</v>
      </c>
      <c r="D104">
        <v>2</v>
      </c>
    </row>
    <row r="105" spans="1:4" x14ac:dyDescent="0.25">
      <c r="A105" s="32" t="s">
        <v>119</v>
      </c>
      <c r="B105" s="32" t="s">
        <v>2556</v>
      </c>
      <c r="C105" t="s">
        <v>2640</v>
      </c>
      <c r="D105">
        <v>3</v>
      </c>
    </row>
    <row r="106" spans="1:4" x14ac:dyDescent="0.25">
      <c r="A106" s="32" t="s">
        <v>120</v>
      </c>
      <c r="B106" s="32" t="s">
        <v>2556</v>
      </c>
      <c r="C106" t="s">
        <v>2294</v>
      </c>
      <c r="D106">
        <v>1</v>
      </c>
    </row>
    <row r="107" spans="1:4" x14ac:dyDescent="0.25">
      <c r="A107" s="32" t="s">
        <v>125</v>
      </c>
      <c r="B107" s="32" t="s">
        <v>2556</v>
      </c>
      <c r="C107" t="s">
        <v>2641</v>
      </c>
      <c r="D107">
        <v>11</v>
      </c>
    </row>
    <row r="108" spans="1:4" x14ac:dyDescent="0.25">
      <c r="A108" s="32" t="s">
        <v>128</v>
      </c>
      <c r="B108" s="32" t="s">
        <v>2556</v>
      </c>
      <c r="C108" t="s">
        <v>2642</v>
      </c>
      <c r="D108">
        <v>2</v>
      </c>
    </row>
    <row r="109" spans="1:4" x14ac:dyDescent="0.25">
      <c r="A109" s="32" t="s">
        <v>140</v>
      </c>
      <c r="B109" s="32" t="s">
        <v>2556</v>
      </c>
      <c r="C109" t="s">
        <v>2294</v>
      </c>
      <c r="D109">
        <v>1</v>
      </c>
    </row>
    <row r="110" spans="1:4" x14ac:dyDescent="0.25">
      <c r="A110" s="32" t="s">
        <v>149</v>
      </c>
      <c r="B110" s="32" t="s">
        <v>2556</v>
      </c>
      <c r="C110" t="s">
        <v>2643</v>
      </c>
      <c r="D110">
        <v>3</v>
      </c>
    </row>
    <row r="111" spans="1:4" x14ac:dyDescent="0.25">
      <c r="A111" s="32" t="s">
        <v>150</v>
      </c>
      <c r="B111" s="32" t="s">
        <v>2556</v>
      </c>
      <c r="C111" t="s">
        <v>2294</v>
      </c>
      <c r="D111">
        <v>1</v>
      </c>
    </row>
    <row r="112" spans="1:4" x14ac:dyDescent="0.25">
      <c r="A112" s="32" t="s">
        <v>321</v>
      </c>
      <c r="B112" s="32" t="s">
        <v>2556</v>
      </c>
      <c r="C112" t="s">
        <v>2649</v>
      </c>
      <c r="D112">
        <v>2</v>
      </c>
    </row>
    <row r="113" spans="1:4" x14ac:dyDescent="0.25">
      <c r="A113" s="32" t="s">
        <v>152</v>
      </c>
      <c r="B113" s="32" t="s">
        <v>2556</v>
      </c>
      <c r="C113" t="s">
        <v>2309</v>
      </c>
      <c r="D113">
        <v>2</v>
      </c>
    </row>
    <row r="114" spans="1:4" x14ac:dyDescent="0.25">
      <c r="A114" s="32" t="s">
        <v>153</v>
      </c>
      <c r="B114" s="32" t="s">
        <v>2556</v>
      </c>
      <c r="C114" t="s">
        <v>2650</v>
      </c>
      <c r="D114">
        <v>8</v>
      </c>
    </row>
    <row r="115" spans="1:4" x14ac:dyDescent="0.25">
      <c r="A115" s="32" t="s">
        <v>157</v>
      </c>
      <c r="B115" s="32" t="s">
        <v>2556</v>
      </c>
      <c r="C115" t="s">
        <v>2622</v>
      </c>
      <c r="D115">
        <v>1</v>
      </c>
    </row>
    <row r="116" spans="1:4" x14ac:dyDescent="0.25">
      <c r="A116" s="32" t="s">
        <v>158</v>
      </c>
      <c r="B116" s="32" t="s">
        <v>2556</v>
      </c>
      <c r="C116" t="s">
        <v>2651</v>
      </c>
      <c r="D116">
        <v>12</v>
      </c>
    </row>
    <row r="117" spans="1:4" x14ac:dyDescent="0.25">
      <c r="A117" s="32" t="s">
        <v>166</v>
      </c>
      <c r="B117" s="32" t="s">
        <v>2556</v>
      </c>
      <c r="C117" t="s">
        <v>2652</v>
      </c>
      <c r="D117">
        <v>3</v>
      </c>
    </row>
    <row r="118" spans="1:4" x14ac:dyDescent="0.25">
      <c r="A118" s="32" t="s">
        <v>167</v>
      </c>
      <c r="B118" s="32" t="s">
        <v>2556</v>
      </c>
      <c r="C118" t="s">
        <v>2294</v>
      </c>
      <c r="D118">
        <v>1</v>
      </c>
    </row>
    <row r="119" spans="1:4" x14ac:dyDescent="0.25">
      <c r="A119" s="32" t="s">
        <v>173</v>
      </c>
      <c r="B119" s="32" t="s">
        <v>2556</v>
      </c>
      <c r="C119" t="s">
        <v>2653</v>
      </c>
      <c r="D119">
        <v>8</v>
      </c>
    </row>
    <row r="120" spans="1:4" x14ac:dyDescent="0.25">
      <c r="A120" s="32" t="s">
        <v>175</v>
      </c>
      <c r="B120" s="32" t="s">
        <v>2556</v>
      </c>
      <c r="C120" t="s">
        <v>2654</v>
      </c>
      <c r="D120">
        <v>11</v>
      </c>
    </row>
    <row r="121" spans="1:4" x14ac:dyDescent="0.25">
      <c r="A121" s="32" t="s">
        <v>183</v>
      </c>
      <c r="B121" s="32" t="s">
        <v>2556</v>
      </c>
      <c r="C121" t="s">
        <v>2655</v>
      </c>
      <c r="D121">
        <v>4</v>
      </c>
    </row>
    <row r="122" spans="1:4" x14ac:dyDescent="0.25">
      <c r="A122" s="32" t="s">
        <v>185</v>
      </c>
      <c r="B122" s="32" t="s">
        <v>2556</v>
      </c>
      <c r="C122" t="s">
        <v>703</v>
      </c>
      <c r="D122">
        <v>1</v>
      </c>
    </row>
    <row r="123" spans="1:4" x14ac:dyDescent="0.25">
      <c r="A123" s="32" t="s">
        <v>187</v>
      </c>
      <c r="B123" s="32" t="s">
        <v>2556</v>
      </c>
      <c r="C123" t="s">
        <v>2294</v>
      </c>
      <c r="D123">
        <v>1</v>
      </c>
    </row>
    <row r="124" spans="1:4" x14ac:dyDescent="0.25">
      <c r="A124" s="32" t="s">
        <v>191</v>
      </c>
      <c r="B124" s="32" t="s">
        <v>2556</v>
      </c>
      <c r="C124" t="s">
        <v>2656</v>
      </c>
      <c r="D124">
        <v>2</v>
      </c>
    </row>
    <row r="125" spans="1:4" x14ac:dyDescent="0.25">
      <c r="A125" s="32" t="s">
        <v>196</v>
      </c>
      <c r="B125" s="32" t="s">
        <v>2556</v>
      </c>
      <c r="C125" t="s">
        <v>2294</v>
      </c>
      <c r="D125">
        <v>1</v>
      </c>
    </row>
    <row r="126" spans="1:4" x14ac:dyDescent="0.25">
      <c r="A126" s="32" t="s">
        <v>197</v>
      </c>
      <c r="B126" s="32" t="s">
        <v>2556</v>
      </c>
      <c r="C126" t="s">
        <v>2627</v>
      </c>
      <c r="D126">
        <v>1</v>
      </c>
    </row>
    <row r="127" spans="1:4" x14ac:dyDescent="0.25">
      <c r="A127" s="32" t="s">
        <v>202</v>
      </c>
      <c r="B127" s="32" t="s">
        <v>2556</v>
      </c>
      <c r="C127" t="s">
        <v>2657</v>
      </c>
      <c r="D127">
        <v>5</v>
      </c>
    </row>
    <row r="128" spans="1:4" x14ac:dyDescent="0.25">
      <c r="A128" s="32" t="s">
        <v>207</v>
      </c>
      <c r="B128" s="32" t="s">
        <v>2556</v>
      </c>
      <c r="C128" t="s">
        <v>2294</v>
      </c>
      <c r="D128">
        <v>1</v>
      </c>
    </row>
    <row r="129" spans="1:4" x14ac:dyDescent="0.25">
      <c r="A129" s="32" t="s">
        <v>37</v>
      </c>
      <c r="B129" s="32" t="s">
        <v>2575</v>
      </c>
      <c r="C129" t="s">
        <v>2505</v>
      </c>
      <c r="D129">
        <v>1</v>
      </c>
    </row>
    <row r="130" spans="1:4" x14ac:dyDescent="0.25">
      <c r="A130" s="32" t="s">
        <v>119</v>
      </c>
      <c r="B130" s="32" t="s">
        <v>2604</v>
      </c>
      <c r="C130" t="s">
        <v>2605</v>
      </c>
      <c r="D130">
        <v>3</v>
      </c>
    </row>
    <row r="131" spans="1:4" x14ac:dyDescent="0.25">
      <c r="A131" s="32" t="s">
        <v>125</v>
      </c>
      <c r="B131" s="32" t="s">
        <v>2604</v>
      </c>
      <c r="C131" t="s">
        <v>869</v>
      </c>
      <c r="D131">
        <v>1</v>
      </c>
    </row>
    <row r="132" spans="1:4" x14ac:dyDescent="0.25">
      <c r="A132" s="32" t="s">
        <v>157</v>
      </c>
      <c r="B132" s="32" t="s">
        <v>2604</v>
      </c>
      <c r="C132" t="s">
        <v>2536</v>
      </c>
      <c r="D132">
        <v>3</v>
      </c>
    </row>
    <row r="133" spans="1:4" x14ac:dyDescent="0.25">
      <c r="A133" s="32" t="s">
        <v>175</v>
      </c>
      <c r="B133" s="32" t="s">
        <v>2604</v>
      </c>
      <c r="C133" t="s">
        <v>2665</v>
      </c>
      <c r="D133">
        <v>6</v>
      </c>
    </row>
    <row r="134" spans="1:4" x14ac:dyDescent="0.25">
      <c r="A134" s="32" t="s">
        <v>191</v>
      </c>
      <c r="B134" s="32" t="s">
        <v>2604</v>
      </c>
      <c r="C134" t="s">
        <v>2668</v>
      </c>
      <c r="D134">
        <v>2</v>
      </c>
    </row>
    <row r="135" spans="1:4" x14ac:dyDescent="0.25">
      <c r="A135" s="32" t="s">
        <v>22</v>
      </c>
      <c r="B135" s="32" t="s">
        <v>2561</v>
      </c>
      <c r="C135" t="s">
        <v>2383</v>
      </c>
      <c r="D135">
        <v>7</v>
      </c>
    </row>
    <row r="136" spans="1:4" x14ac:dyDescent="0.25">
      <c r="A136" s="32" t="s">
        <v>32</v>
      </c>
      <c r="B136" s="32" t="s">
        <v>2561</v>
      </c>
      <c r="C136" t="s">
        <v>2381</v>
      </c>
      <c r="D136">
        <v>1</v>
      </c>
    </row>
    <row r="137" spans="1:4" x14ac:dyDescent="0.25">
      <c r="A137" s="32" t="s">
        <v>37</v>
      </c>
      <c r="B137" s="32" t="s">
        <v>2561</v>
      </c>
      <c r="C137" t="s">
        <v>2381</v>
      </c>
      <c r="D137">
        <v>1</v>
      </c>
    </row>
    <row r="138" spans="1:4" x14ac:dyDescent="0.25">
      <c r="A138" s="32" t="s">
        <v>60</v>
      </c>
      <c r="B138" s="32" t="s">
        <v>2561</v>
      </c>
      <c r="C138" t="s">
        <v>2381</v>
      </c>
      <c r="D138">
        <v>1</v>
      </c>
    </row>
    <row r="139" spans="1:4" x14ac:dyDescent="0.25">
      <c r="A139" s="32" t="s">
        <v>62</v>
      </c>
      <c r="B139" s="32" t="s">
        <v>2561</v>
      </c>
      <c r="C139" t="s">
        <v>2384</v>
      </c>
      <c r="D139">
        <v>2</v>
      </c>
    </row>
    <row r="140" spans="1:4" x14ac:dyDescent="0.25">
      <c r="A140" s="32" t="s">
        <v>66</v>
      </c>
      <c r="B140" s="32" t="s">
        <v>2561</v>
      </c>
      <c r="C140" t="s">
        <v>618</v>
      </c>
      <c r="D140">
        <v>1</v>
      </c>
    </row>
    <row r="141" spans="1:4" x14ac:dyDescent="0.25">
      <c r="A141" s="32" t="s">
        <v>74</v>
      </c>
      <c r="B141" s="32" t="s">
        <v>2561</v>
      </c>
      <c r="C141" t="s">
        <v>2385</v>
      </c>
      <c r="D141">
        <v>3</v>
      </c>
    </row>
    <row r="142" spans="1:4" x14ac:dyDescent="0.25">
      <c r="A142" s="32" t="s">
        <v>152</v>
      </c>
      <c r="B142" s="32" t="s">
        <v>2561</v>
      </c>
      <c r="C142" t="s">
        <v>2384</v>
      </c>
      <c r="D142">
        <v>2</v>
      </c>
    </row>
    <row r="143" spans="1:4" x14ac:dyDescent="0.25">
      <c r="A143" s="32" t="s">
        <v>158</v>
      </c>
      <c r="B143" s="32" t="s">
        <v>2561</v>
      </c>
      <c r="C143" t="s">
        <v>2648</v>
      </c>
      <c r="D143">
        <v>10</v>
      </c>
    </row>
    <row r="144" spans="1:4" x14ac:dyDescent="0.25">
      <c r="A144" s="32" t="s">
        <v>163</v>
      </c>
      <c r="B144" s="32" t="s">
        <v>2561</v>
      </c>
      <c r="C144" t="s">
        <v>729</v>
      </c>
      <c r="D144">
        <v>1</v>
      </c>
    </row>
    <row r="145" spans="1:4" x14ac:dyDescent="0.25">
      <c r="A145" s="32" t="s">
        <v>173</v>
      </c>
      <c r="B145" s="32" t="s">
        <v>2561</v>
      </c>
      <c r="C145" t="s">
        <v>2386</v>
      </c>
      <c r="D145">
        <v>7</v>
      </c>
    </row>
    <row r="146" spans="1:4" x14ac:dyDescent="0.25">
      <c r="A146" s="32" t="s">
        <v>175</v>
      </c>
      <c r="B146" s="32" t="s">
        <v>2561</v>
      </c>
      <c r="C146" t="s">
        <v>2387</v>
      </c>
      <c r="D146">
        <v>6</v>
      </c>
    </row>
    <row r="147" spans="1:4" x14ac:dyDescent="0.25">
      <c r="A147" s="32" t="s">
        <v>183</v>
      </c>
      <c r="B147" s="32" t="s">
        <v>2561</v>
      </c>
      <c r="C147" t="s">
        <v>647</v>
      </c>
      <c r="D147">
        <v>1</v>
      </c>
    </row>
    <row r="148" spans="1:4" x14ac:dyDescent="0.25">
      <c r="A148" s="32" t="s">
        <v>189</v>
      </c>
      <c r="B148" s="32" t="s">
        <v>2561</v>
      </c>
      <c r="C148" t="s">
        <v>644</v>
      </c>
      <c r="D148">
        <v>1</v>
      </c>
    </row>
    <row r="149" spans="1:4" x14ac:dyDescent="0.25">
      <c r="A149" s="32" t="s">
        <v>191</v>
      </c>
      <c r="B149" s="32" t="s">
        <v>2561</v>
      </c>
      <c r="C149" t="s">
        <v>2388</v>
      </c>
      <c r="D149">
        <v>2</v>
      </c>
    </row>
    <row r="150" spans="1:4" x14ac:dyDescent="0.25">
      <c r="A150" s="32" t="s">
        <v>6</v>
      </c>
      <c r="B150" s="32" t="s">
        <v>2550</v>
      </c>
      <c r="C150" t="s">
        <v>2069</v>
      </c>
      <c r="D150">
        <v>2</v>
      </c>
    </row>
    <row r="151" spans="1:4" x14ac:dyDescent="0.25">
      <c r="A151" s="32" t="s">
        <v>22</v>
      </c>
      <c r="B151" s="32" t="s">
        <v>2550</v>
      </c>
      <c r="C151" t="s">
        <v>2070</v>
      </c>
      <c r="D151">
        <v>6</v>
      </c>
    </row>
    <row r="152" spans="1:4" x14ac:dyDescent="0.25">
      <c r="A152" s="32" t="s">
        <v>42</v>
      </c>
      <c r="B152" s="32" t="s">
        <v>2550</v>
      </c>
      <c r="C152" t="s">
        <v>336</v>
      </c>
      <c r="D152">
        <v>1</v>
      </c>
    </row>
    <row r="153" spans="1:4" x14ac:dyDescent="0.25">
      <c r="A153" s="32" t="s">
        <v>62</v>
      </c>
      <c r="B153" s="32" t="s">
        <v>2550</v>
      </c>
      <c r="C153" t="s">
        <v>2067</v>
      </c>
      <c r="D153">
        <v>1</v>
      </c>
    </row>
    <row r="154" spans="1:4" x14ac:dyDescent="0.25">
      <c r="A154" s="32" t="s">
        <v>65</v>
      </c>
      <c r="B154" s="32" t="s">
        <v>2550</v>
      </c>
      <c r="C154" t="s">
        <v>2067</v>
      </c>
      <c r="D154">
        <v>1</v>
      </c>
    </row>
    <row r="155" spans="1:4" x14ac:dyDescent="0.25">
      <c r="A155" s="32" t="s">
        <v>66</v>
      </c>
      <c r="B155" s="32" t="s">
        <v>2550</v>
      </c>
      <c r="C155" t="s">
        <v>2071</v>
      </c>
      <c r="D155">
        <v>3</v>
      </c>
    </row>
    <row r="156" spans="1:4" x14ac:dyDescent="0.25">
      <c r="A156" s="32" t="s">
        <v>74</v>
      </c>
      <c r="B156" s="32" t="s">
        <v>2550</v>
      </c>
      <c r="C156" t="s">
        <v>393</v>
      </c>
      <c r="D156">
        <v>1</v>
      </c>
    </row>
    <row r="157" spans="1:4" x14ac:dyDescent="0.25">
      <c r="A157" s="32" t="s">
        <v>89</v>
      </c>
      <c r="B157" s="32" t="s">
        <v>2550</v>
      </c>
      <c r="C157" t="s">
        <v>2067</v>
      </c>
      <c r="D157">
        <v>1</v>
      </c>
    </row>
    <row r="158" spans="1:4" x14ac:dyDescent="0.25">
      <c r="A158" s="32" t="s">
        <v>93</v>
      </c>
      <c r="B158" s="32" t="s">
        <v>2550</v>
      </c>
      <c r="C158" t="s">
        <v>2072</v>
      </c>
      <c r="D158">
        <v>2</v>
      </c>
    </row>
    <row r="159" spans="1:4" x14ac:dyDescent="0.25">
      <c r="A159" s="32" t="s">
        <v>95</v>
      </c>
      <c r="B159" s="32" t="s">
        <v>2550</v>
      </c>
      <c r="C159" t="s">
        <v>2073</v>
      </c>
      <c r="D159">
        <v>3</v>
      </c>
    </row>
    <row r="160" spans="1:4" x14ac:dyDescent="0.25">
      <c r="A160" s="32" t="s">
        <v>103</v>
      </c>
      <c r="B160" s="32" t="s">
        <v>2550</v>
      </c>
      <c r="C160" t="s">
        <v>2074</v>
      </c>
      <c r="D160">
        <v>2</v>
      </c>
    </row>
    <row r="161" spans="1:4" x14ac:dyDescent="0.25">
      <c r="A161" s="32" t="s">
        <v>119</v>
      </c>
      <c r="B161" s="32" t="s">
        <v>2550</v>
      </c>
      <c r="C161" t="s">
        <v>2075</v>
      </c>
      <c r="D161">
        <v>3</v>
      </c>
    </row>
    <row r="162" spans="1:4" x14ac:dyDescent="0.25">
      <c r="A162" s="32" t="s">
        <v>138</v>
      </c>
      <c r="B162" s="32" t="s">
        <v>2550</v>
      </c>
      <c r="C162" t="s">
        <v>389</v>
      </c>
      <c r="D162">
        <v>1</v>
      </c>
    </row>
    <row r="163" spans="1:4" x14ac:dyDescent="0.25">
      <c r="A163" s="32" t="s">
        <v>153</v>
      </c>
      <c r="B163" s="32" t="s">
        <v>2550</v>
      </c>
      <c r="C163" t="s">
        <v>2076</v>
      </c>
      <c r="D163">
        <v>8</v>
      </c>
    </row>
    <row r="164" spans="1:4" x14ac:dyDescent="0.25">
      <c r="A164" s="32" t="s">
        <v>158</v>
      </c>
      <c r="B164" s="32" t="s">
        <v>2550</v>
      </c>
      <c r="C164" t="s">
        <v>2077</v>
      </c>
      <c r="D164">
        <v>12</v>
      </c>
    </row>
    <row r="165" spans="1:4" x14ac:dyDescent="0.25">
      <c r="A165" s="32" t="s">
        <v>163</v>
      </c>
      <c r="B165" s="32" t="s">
        <v>2550</v>
      </c>
      <c r="C165" t="s">
        <v>389</v>
      </c>
      <c r="D165">
        <v>1</v>
      </c>
    </row>
    <row r="166" spans="1:4" x14ac:dyDescent="0.25">
      <c r="A166" s="32" t="s">
        <v>166</v>
      </c>
      <c r="B166" s="32" t="s">
        <v>2550</v>
      </c>
      <c r="C166" t="s">
        <v>2078</v>
      </c>
      <c r="D166">
        <v>3</v>
      </c>
    </row>
    <row r="167" spans="1:4" x14ac:dyDescent="0.25">
      <c r="A167" s="32" t="s">
        <v>173</v>
      </c>
      <c r="B167" s="32" t="s">
        <v>2550</v>
      </c>
      <c r="C167" t="s">
        <v>2078</v>
      </c>
      <c r="D167">
        <v>3</v>
      </c>
    </row>
    <row r="168" spans="1:4" x14ac:dyDescent="0.25">
      <c r="A168" s="32" t="s">
        <v>191</v>
      </c>
      <c r="B168" s="32" t="s">
        <v>2550</v>
      </c>
      <c r="C168" t="s">
        <v>2069</v>
      </c>
      <c r="D168">
        <v>2</v>
      </c>
    </row>
    <row r="169" spans="1:4" x14ac:dyDescent="0.25">
      <c r="A169" s="32" t="s">
        <v>202</v>
      </c>
      <c r="B169" s="32" t="s">
        <v>2550</v>
      </c>
      <c r="C169" t="s">
        <v>2079</v>
      </c>
      <c r="D169">
        <v>5</v>
      </c>
    </row>
    <row r="170" spans="1:4" x14ac:dyDescent="0.25">
      <c r="A170" s="32" t="s">
        <v>26</v>
      </c>
      <c r="B170" s="32" t="s">
        <v>2457</v>
      </c>
      <c r="C170" t="s">
        <v>2450</v>
      </c>
      <c r="D170">
        <v>1</v>
      </c>
    </row>
    <row r="171" spans="1:4" x14ac:dyDescent="0.25">
      <c r="A171" s="32" t="s">
        <v>28</v>
      </c>
      <c r="B171" s="32" t="s">
        <v>2457</v>
      </c>
      <c r="C171" t="s">
        <v>2448</v>
      </c>
      <c r="D171">
        <v>1</v>
      </c>
    </row>
    <row r="172" spans="1:4" x14ac:dyDescent="0.25">
      <c r="A172" s="32" t="s">
        <v>32</v>
      </c>
      <c r="B172" s="32" t="s">
        <v>2457</v>
      </c>
      <c r="C172" t="s">
        <v>2448</v>
      </c>
      <c r="D172">
        <v>1</v>
      </c>
    </row>
    <row r="173" spans="1:4" x14ac:dyDescent="0.25">
      <c r="A173" s="32" t="s">
        <v>37</v>
      </c>
      <c r="B173" s="32" t="s">
        <v>2457</v>
      </c>
      <c r="C173" t="s">
        <v>2448</v>
      </c>
      <c r="D173">
        <v>1</v>
      </c>
    </row>
    <row r="174" spans="1:4" x14ac:dyDescent="0.25">
      <c r="A174" s="32" t="s">
        <v>50</v>
      </c>
      <c r="B174" s="32" t="s">
        <v>2457</v>
      </c>
      <c r="C174" t="s">
        <v>2448</v>
      </c>
      <c r="D174">
        <v>1</v>
      </c>
    </row>
    <row r="175" spans="1:4" x14ac:dyDescent="0.25">
      <c r="A175" s="32" t="s">
        <v>66</v>
      </c>
      <c r="B175" s="32" t="s">
        <v>2457</v>
      </c>
      <c r="C175" t="s">
        <v>2589</v>
      </c>
      <c r="D175">
        <v>5</v>
      </c>
    </row>
    <row r="176" spans="1:4" x14ac:dyDescent="0.25">
      <c r="A176" s="32" t="s">
        <v>73</v>
      </c>
      <c r="B176" s="32" t="s">
        <v>2457</v>
      </c>
      <c r="C176" t="s">
        <v>2590</v>
      </c>
      <c r="D176">
        <v>2</v>
      </c>
    </row>
    <row r="177" spans="1:4" x14ac:dyDescent="0.25">
      <c r="A177" s="32" t="s">
        <v>74</v>
      </c>
      <c r="B177" s="32" t="s">
        <v>2457</v>
      </c>
      <c r="C177" t="s">
        <v>2454</v>
      </c>
      <c r="D177">
        <v>1</v>
      </c>
    </row>
    <row r="178" spans="1:4" x14ac:dyDescent="0.25">
      <c r="A178" s="32" t="s">
        <v>76</v>
      </c>
      <c r="B178" s="32" t="s">
        <v>2457</v>
      </c>
      <c r="C178" t="s">
        <v>2593</v>
      </c>
      <c r="D178">
        <v>2</v>
      </c>
    </row>
    <row r="179" spans="1:4" x14ac:dyDescent="0.25">
      <c r="A179" s="32" t="s">
        <v>80</v>
      </c>
      <c r="B179" s="32" t="s">
        <v>2457</v>
      </c>
      <c r="C179" t="s">
        <v>2448</v>
      </c>
      <c r="D179">
        <v>1</v>
      </c>
    </row>
    <row r="180" spans="1:4" x14ac:dyDescent="0.25">
      <c r="A180" s="32" t="s">
        <v>85</v>
      </c>
      <c r="B180" s="32" t="s">
        <v>2457</v>
      </c>
      <c r="C180" t="s">
        <v>2448</v>
      </c>
      <c r="D180">
        <v>1</v>
      </c>
    </row>
    <row r="181" spans="1:4" x14ac:dyDescent="0.25">
      <c r="A181" s="32" t="s">
        <v>87</v>
      </c>
      <c r="B181" s="32" t="s">
        <v>2457</v>
      </c>
      <c r="C181" t="s">
        <v>2596</v>
      </c>
      <c r="D181">
        <v>4</v>
      </c>
    </row>
    <row r="182" spans="1:4" x14ac:dyDescent="0.25">
      <c r="A182" s="32" t="s">
        <v>93</v>
      </c>
      <c r="B182" s="32" t="s">
        <v>2457</v>
      </c>
      <c r="C182" t="s">
        <v>2598</v>
      </c>
      <c r="D182">
        <v>3</v>
      </c>
    </row>
    <row r="183" spans="1:4" x14ac:dyDescent="0.25">
      <c r="A183" s="32" t="s">
        <v>95</v>
      </c>
      <c r="B183" s="32" t="s">
        <v>2457</v>
      </c>
      <c r="C183" t="s">
        <v>2601</v>
      </c>
      <c r="D183">
        <v>4</v>
      </c>
    </row>
    <row r="184" spans="1:4" x14ac:dyDescent="0.25">
      <c r="A184" s="32" t="s">
        <v>103</v>
      </c>
      <c r="B184" s="32" t="s">
        <v>2457</v>
      </c>
      <c r="C184" t="s">
        <v>2448</v>
      </c>
      <c r="D184">
        <v>1</v>
      </c>
    </row>
    <row r="185" spans="1:4" x14ac:dyDescent="0.25">
      <c r="A185" s="32" t="s">
        <v>119</v>
      </c>
      <c r="B185" s="32" t="s">
        <v>2457</v>
      </c>
      <c r="C185" t="s">
        <v>2603</v>
      </c>
      <c r="D185">
        <v>3</v>
      </c>
    </row>
    <row r="186" spans="1:4" x14ac:dyDescent="0.25">
      <c r="A186" s="32" t="s">
        <v>125</v>
      </c>
      <c r="B186" s="32" t="s">
        <v>2457</v>
      </c>
      <c r="C186" t="s">
        <v>2611</v>
      </c>
      <c r="D186">
        <v>2</v>
      </c>
    </row>
    <row r="187" spans="1:4" x14ac:dyDescent="0.25">
      <c r="A187" s="32" t="s">
        <v>131</v>
      </c>
      <c r="B187" s="32" t="s">
        <v>2457</v>
      </c>
      <c r="C187" t="s">
        <v>2612</v>
      </c>
      <c r="D187">
        <v>2</v>
      </c>
    </row>
    <row r="188" spans="1:4" x14ac:dyDescent="0.25">
      <c r="A188" s="32" t="s">
        <v>149</v>
      </c>
      <c r="B188" s="32" t="s">
        <v>2457</v>
      </c>
      <c r="C188" t="s">
        <v>2448</v>
      </c>
      <c r="D188">
        <v>1</v>
      </c>
    </row>
    <row r="189" spans="1:4" x14ac:dyDescent="0.25">
      <c r="A189" s="32" t="s">
        <v>152</v>
      </c>
      <c r="B189" s="32" t="s">
        <v>2457</v>
      </c>
      <c r="C189" t="s">
        <v>2448</v>
      </c>
      <c r="D189">
        <v>1</v>
      </c>
    </row>
    <row r="190" spans="1:4" x14ac:dyDescent="0.25">
      <c r="A190" s="32" t="s">
        <v>153</v>
      </c>
      <c r="B190" s="32" t="s">
        <v>2457</v>
      </c>
      <c r="C190" t="s">
        <v>2659</v>
      </c>
      <c r="D190">
        <v>8</v>
      </c>
    </row>
    <row r="191" spans="1:4" x14ac:dyDescent="0.25">
      <c r="A191" s="32" t="s">
        <v>163</v>
      </c>
      <c r="B191" s="32" t="s">
        <v>2457</v>
      </c>
      <c r="C191" t="s">
        <v>2662</v>
      </c>
      <c r="D191">
        <v>4</v>
      </c>
    </row>
    <row r="192" spans="1:4" x14ac:dyDescent="0.25">
      <c r="A192" s="32" t="s">
        <v>166</v>
      </c>
      <c r="B192" s="32" t="s">
        <v>2457</v>
      </c>
      <c r="C192" t="s">
        <v>2663</v>
      </c>
      <c r="D192">
        <v>3</v>
      </c>
    </row>
    <row r="193" spans="1:4" x14ac:dyDescent="0.25">
      <c r="A193" s="32" t="s">
        <v>167</v>
      </c>
      <c r="B193" s="32" t="s">
        <v>2457</v>
      </c>
      <c r="C193" t="s">
        <v>2448</v>
      </c>
      <c r="D193">
        <v>1</v>
      </c>
    </row>
    <row r="194" spans="1:4" x14ac:dyDescent="0.25">
      <c r="A194" s="32" t="s">
        <v>173</v>
      </c>
      <c r="B194" s="32" t="s">
        <v>2457</v>
      </c>
      <c r="C194" t="s">
        <v>2611</v>
      </c>
      <c r="D194">
        <v>2</v>
      </c>
    </row>
    <row r="195" spans="1:4" x14ac:dyDescent="0.25">
      <c r="A195" s="32" t="s">
        <v>191</v>
      </c>
      <c r="B195" s="32" t="s">
        <v>2457</v>
      </c>
      <c r="C195" t="s">
        <v>2667</v>
      </c>
      <c r="D195">
        <v>2</v>
      </c>
    </row>
    <row r="196" spans="1:4" x14ac:dyDescent="0.25">
      <c r="A196" s="32" t="s">
        <v>200</v>
      </c>
      <c r="B196" s="32" t="s">
        <v>2457</v>
      </c>
      <c r="C196" t="s">
        <v>2448</v>
      </c>
      <c r="D196">
        <v>1</v>
      </c>
    </row>
    <row r="197" spans="1:4" x14ac:dyDescent="0.25">
      <c r="A197" s="32" t="s">
        <v>207</v>
      </c>
      <c r="B197" s="32" t="s">
        <v>2457</v>
      </c>
      <c r="C197" t="s">
        <v>2448</v>
      </c>
      <c r="D197">
        <v>1</v>
      </c>
    </row>
    <row r="198" spans="1:4" x14ac:dyDescent="0.25">
      <c r="A198" s="32" t="s">
        <v>37</v>
      </c>
      <c r="B198" s="32" t="s">
        <v>2577</v>
      </c>
      <c r="C198" t="s">
        <v>2507</v>
      </c>
      <c r="D198">
        <v>1</v>
      </c>
    </row>
    <row r="199" spans="1:4" x14ac:dyDescent="0.25">
      <c r="A199" s="32" t="s">
        <v>26</v>
      </c>
      <c r="B199" s="32" t="s">
        <v>2563</v>
      </c>
      <c r="C199" t="s">
        <v>2564</v>
      </c>
      <c r="D199">
        <v>2</v>
      </c>
    </row>
    <row r="200" spans="1:4" x14ac:dyDescent="0.25">
      <c r="A200" s="32" t="s">
        <v>60</v>
      </c>
      <c r="B200" s="32" t="s">
        <v>2563</v>
      </c>
      <c r="C200" t="s">
        <v>2119</v>
      </c>
      <c r="D200">
        <v>1</v>
      </c>
    </row>
    <row r="201" spans="1:4" x14ac:dyDescent="0.25">
      <c r="A201" s="32" t="s">
        <v>66</v>
      </c>
      <c r="B201" s="32" t="s">
        <v>2563</v>
      </c>
      <c r="C201" t="s">
        <v>2123</v>
      </c>
      <c r="D201">
        <v>6</v>
      </c>
    </row>
    <row r="202" spans="1:4" x14ac:dyDescent="0.25">
      <c r="A202" s="32" t="s">
        <v>87</v>
      </c>
      <c r="B202" s="32" t="s">
        <v>2563</v>
      </c>
      <c r="C202" t="s">
        <v>768</v>
      </c>
      <c r="D202">
        <v>1</v>
      </c>
    </row>
    <row r="203" spans="1:4" x14ac:dyDescent="0.25">
      <c r="A203" s="32" t="s">
        <v>103</v>
      </c>
      <c r="B203" s="32" t="s">
        <v>2563</v>
      </c>
      <c r="C203" t="s">
        <v>2119</v>
      </c>
      <c r="D203">
        <v>1</v>
      </c>
    </row>
    <row r="204" spans="1:4" x14ac:dyDescent="0.25">
      <c r="A204" s="32" t="s">
        <v>138</v>
      </c>
      <c r="B204" s="32" t="s">
        <v>2563</v>
      </c>
      <c r="C204" t="s">
        <v>2119</v>
      </c>
      <c r="D204">
        <v>1</v>
      </c>
    </row>
    <row r="205" spans="1:4" x14ac:dyDescent="0.25">
      <c r="A205" s="32" t="s">
        <v>152</v>
      </c>
      <c r="B205" s="32" t="s">
        <v>2563</v>
      </c>
      <c r="C205" t="s">
        <v>2119</v>
      </c>
      <c r="D205">
        <v>1</v>
      </c>
    </row>
    <row r="206" spans="1:4" x14ac:dyDescent="0.25">
      <c r="A206" s="32" t="s">
        <v>153</v>
      </c>
      <c r="B206" s="32" t="s">
        <v>2563</v>
      </c>
      <c r="C206" t="s">
        <v>2124</v>
      </c>
      <c r="D206">
        <v>5</v>
      </c>
    </row>
    <row r="207" spans="1:4" x14ac:dyDescent="0.25">
      <c r="A207" s="32" t="s">
        <v>170</v>
      </c>
      <c r="B207" s="32" t="s">
        <v>2563</v>
      </c>
      <c r="C207" t="s">
        <v>2119</v>
      </c>
      <c r="D207">
        <v>1</v>
      </c>
    </row>
    <row r="208" spans="1:4" x14ac:dyDescent="0.25">
      <c r="A208" s="32" t="s">
        <v>46</v>
      </c>
      <c r="B208" s="32" t="s">
        <v>2582</v>
      </c>
      <c r="C208" t="s">
        <v>2521</v>
      </c>
      <c r="D208">
        <v>1</v>
      </c>
    </row>
    <row r="209" spans="1:4" x14ac:dyDescent="0.25">
      <c r="A209" s="32" t="s">
        <v>68</v>
      </c>
      <c r="B209" s="32" t="s">
        <v>2582</v>
      </c>
      <c r="C209" t="s">
        <v>2521</v>
      </c>
      <c r="D209">
        <v>1</v>
      </c>
    </row>
    <row r="210" spans="1:4" x14ac:dyDescent="0.25">
      <c r="A210" s="32" t="s">
        <v>11</v>
      </c>
      <c r="B210" s="32" t="s">
        <v>2238</v>
      </c>
      <c r="C210" t="s">
        <v>2232</v>
      </c>
      <c r="D210">
        <v>1</v>
      </c>
    </row>
    <row r="211" spans="1:4" x14ac:dyDescent="0.25">
      <c r="A211" s="32" t="s">
        <v>16</v>
      </c>
      <c r="B211" s="32" t="s">
        <v>2238</v>
      </c>
      <c r="C211" t="s">
        <v>2232</v>
      </c>
      <c r="D211">
        <v>1</v>
      </c>
    </row>
    <row r="212" spans="1:4" x14ac:dyDescent="0.25">
      <c r="A212" s="32" t="s">
        <v>22</v>
      </c>
      <c r="B212" s="32" t="s">
        <v>2238</v>
      </c>
      <c r="C212" t="s">
        <v>2559</v>
      </c>
      <c r="D212">
        <v>18</v>
      </c>
    </row>
    <row r="213" spans="1:4" x14ac:dyDescent="0.25">
      <c r="A213" s="32" t="s">
        <v>24</v>
      </c>
      <c r="B213" s="32" t="s">
        <v>2238</v>
      </c>
      <c r="C213" t="s">
        <v>2239</v>
      </c>
      <c r="D213">
        <v>2</v>
      </c>
    </row>
    <row r="214" spans="1:4" x14ac:dyDescent="0.25">
      <c r="A214" s="32" t="s">
        <v>26</v>
      </c>
      <c r="B214" s="32" t="s">
        <v>2238</v>
      </c>
      <c r="C214" t="s">
        <v>2240</v>
      </c>
      <c r="D214">
        <v>8</v>
      </c>
    </row>
    <row r="215" spans="1:4" x14ac:dyDescent="0.25">
      <c r="A215" s="32" t="s">
        <v>28</v>
      </c>
      <c r="B215" s="32" t="s">
        <v>2238</v>
      </c>
      <c r="C215" t="s">
        <v>2232</v>
      </c>
      <c r="D215">
        <v>1</v>
      </c>
    </row>
    <row r="216" spans="1:4" x14ac:dyDescent="0.25">
      <c r="A216" s="32" t="s">
        <v>30</v>
      </c>
      <c r="B216" s="32" t="s">
        <v>2238</v>
      </c>
      <c r="C216" t="s">
        <v>465</v>
      </c>
      <c r="D216">
        <v>1</v>
      </c>
    </row>
    <row r="217" spans="1:4" x14ac:dyDescent="0.25">
      <c r="A217" s="32" t="s">
        <v>32</v>
      </c>
      <c r="B217" s="32" t="s">
        <v>2238</v>
      </c>
      <c r="C217" t="s">
        <v>2232</v>
      </c>
      <c r="D217">
        <v>1</v>
      </c>
    </row>
    <row r="218" spans="1:4" x14ac:dyDescent="0.25">
      <c r="A218" s="32" t="s">
        <v>34</v>
      </c>
      <c r="B218" s="32" t="s">
        <v>2238</v>
      </c>
      <c r="C218" t="s">
        <v>2241</v>
      </c>
      <c r="D218">
        <v>6</v>
      </c>
    </row>
    <row r="219" spans="1:4" x14ac:dyDescent="0.25">
      <c r="A219" s="32" t="s">
        <v>40</v>
      </c>
      <c r="B219" s="32" t="s">
        <v>2238</v>
      </c>
      <c r="C219" t="s">
        <v>406</v>
      </c>
      <c r="D219">
        <v>1</v>
      </c>
    </row>
    <row r="220" spans="1:4" x14ac:dyDescent="0.25">
      <c r="A220" s="32" t="s">
        <v>44</v>
      </c>
      <c r="B220" s="32" t="s">
        <v>2238</v>
      </c>
      <c r="C220" t="s">
        <v>2242</v>
      </c>
      <c r="D220">
        <v>2</v>
      </c>
    </row>
    <row r="221" spans="1:4" x14ac:dyDescent="0.25">
      <c r="A221" s="32" t="s">
        <v>46</v>
      </c>
      <c r="B221" s="32" t="s">
        <v>2238</v>
      </c>
      <c r="C221" t="s">
        <v>2239</v>
      </c>
      <c r="D221">
        <v>2</v>
      </c>
    </row>
    <row r="222" spans="1:4" x14ac:dyDescent="0.25">
      <c r="A222" s="32" t="s">
        <v>50</v>
      </c>
      <c r="B222" s="32" t="s">
        <v>2238</v>
      </c>
      <c r="C222" t="s">
        <v>2243</v>
      </c>
      <c r="D222">
        <v>2</v>
      </c>
    </row>
    <row r="223" spans="1:4" x14ac:dyDescent="0.25">
      <c r="A223" s="32" t="s">
        <v>53</v>
      </c>
      <c r="B223" s="32" t="s">
        <v>2238</v>
      </c>
      <c r="C223" t="s">
        <v>2232</v>
      </c>
      <c r="D223">
        <v>1</v>
      </c>
    </row>
    <row r="224" spans="1:4" x14ac:dyDescent="0.25">
      <c r="A224" s="32" t="s">
        <v>60</v>
      </c>
      <c r="B224" s="32" t="s">
        <v>2238</v>
      </c>
      <c r="C224" t="s">
        <v>2232</v>
      </c>
      <c r="D224">
        <v>1</v>
      </c>
    </row>
    <row r="225" spans="1:4" x14ac:dyDescent="0.25">
      <c r="A225" s="32" t="s">
        <v>62</v>
      </c>
      <c r="B225" s="32" t="s">
        <v>2238</v>
      </c>
      <c r="C225" t="s">
        <v>2239</v>
      </c>
      <c r="D225">
        <v>2</v>
      </c>
    </row>
    <row r="226" spans="1:4" x14ac:dyDescent="0.25">
      <c r="A226" s="32" t="s">
        <v>66</v>
      </c>
      <c r="B226" s="32" t="s">
        <v>2238</v>
      </c>
      <c r="C226" t="s">
        <v>2244</v>
      </c>
      <c r="D226">
        <v>4</v>
      </c>
    </row>
    <row r="227" spans="1:4" x14ac:dyDescent="0.25">
      <c r="A227" s="32" t="s">
        <v>68</v>
      </c>
      <c r="B227" s="32" t="s">
        <v>2238</v>
      </c>
      <c r="C227" t="s">
        <v>2245</v>
      </c>
      <c r="D227">
        <v>2</v>
      </c>
    </row>
    <row r="228" spans="1:4" x14ac:dyDescent="0.25">
      <c r="A228" s="32" t="s">
        <v>69</v>
      </c>
      <c r="B228" s="32" t="s">
        <v>2238</v>
      </c>
      <c r="C228" t="s">
        <v>2232</v>
      </c>
      <c r="D228">
        <v>1</v>
      </c>
    </row>
    <row r="229" spans="1:4" x14ac:dyDescent="0.25">
      <c r="A229" s="32" t="s">
        <v>71</v>
      </c>
      <c r="B229" s="32" t="s">
        <v>2238</v>
      </c>
      <c r="C229" t="s">
        <v>2232</v>
      </c>
      <c r="D229">
        <v>1</v>
      </c>
    </row>
    <row r="230" spans="1:4" x14ac:dyDescent="0.25">
      <c r="A230" s="32" t="s">
        <v>74</v>
      </c>
      <c r="B230" s="32" t="s">
        <v>2238</v>
      </c>
      <c r="C230" t="s">
        <v>2246</v>
      </c>
      <c r="D230">
        <v>5</v>
      </c>
    </row>
    <row r="231" spans="1:4" x14ac:dyDescent="0.25">
      <c r="A231" s="32" t="s">
        <v>78</v>
      </c>
      <c r="B231" s="32" t="s">
        <v>2238</v>
      </c>
      <c r="C231" t="s">
        <v>2247</v>
      </c>
      <c r="D231">
        <v>7</v>
      </c>
    </row>
    <row r="232" spans="1:4" x14ac:dyDescent="0.25">
      <c r="A232" s="32" t="s">
        <v>80</v>
      </c>
      <c r="B232" s="32" t="s">
        <v>2238</v>
      </c>
      <c r="C232" t="s">
        <v>2232</v>
      </c>
      <c r="D232">
        <v>1</v>
      </c>
    </row>
    <row r="233" spans="1:4" x14ac:dyDescent="0.25">
      <c r="A233" s="32" t="s">
        <v>85</v>
      </c>
      <c r="B233" s="32" t="s">
        <v>2238</v>
      </c>
      <c r="C233" t="s">
        <v>2248</v>
      </c>
      <c r="D233">
        <v>2</v>
      </c>
    </row>
    <row r="234" spans="1:4" x14ac:dyDescent="0.25">
      <c r="A234" s="32" t="s">
        <v>87</v>
      </c>
      <c r="B234" s="32" t="s">
        <v>2238</v>
      </c>
      <c r="C234" t="s">
        <v>2249</v>
      </c>
      <c r="D234">
        <v>4</v>
      </c>
    </row>
    <row r="235" spans="1:4" x14ac:dyDescent="0.25">
      <c r="A235" s="32" t="s">
        <v>93</v>
      </c>
      <c r="B235" s="32" t="s">
        <v>2238</v>
      </c>
      <c r="C235" t="s">
        <v>2250</v>
      </c>
      <c r="D235">
        <v>6</v>
      </c>
    </row>
    <row r="236" spans="1:4" x14ac:dyDescent="0.25">
      <c r="A236" s="32" t="s">
        <v>95</v>
      </c>
      <c r="B236" s="32" t="s">
        <v>2238</v>
      </c>
      <c r="C236" t="s">
        <v>2251</v>
      </c>
      <c r="D236">
        <v>5</v>
      </c>
    </row>
    <row r="237" spans="1:4" x14ac:dyDescent="0.25">
      <c r="A237" s="32" t="s">
        <v>103</v>
      </c>
      <c r="B237" s="32" t="s">
        <v>2238</v>
      </c>
      <c r="C237" t="s">
        <v>841</v>
      </c>
      <c r="D237">
        <v>1</v>
      </c>
    </row>
    <row r="238" spans="1:4" x14ac:dyDescent="0.25">
      <c r="A238" s="32" t="s">
        <v>119</v>
      </c>
      <c r="B238" s="32" t="s">
        <v>2238</v>
      </c>
      <c r="C238" t="s">
        <v>2252</v>
      </c>
      <c r="D238">
        <v>4</v>
      </c>
    </row>
    <row r="239" spans="1:4" x14ac:dyDescent="0.25">
      <c r="A239" s="32" t="s">
        <v>125</v>
      </c>
      <c r="B239" s="32" t="s">
        <v>2238</v>
      </c>
      <c r="C239" t="s">
        <v>2253</v>
      </c>
      <c r="D239">
        <v>10</v>
      </c>
    </row>
    <row r="240" spans="1:4" x14ac:dyDescent="0.25">
      <c r="A240" s="32" t="s">
        <v>127</v>
      </c>
      <c r="B240" s="32" t="s">
        <v>2238</v>
      </c>
      <c r="C240" t="s">
        <v>2254</v>
      </c>
      <c r="D240">
        <v>2</v>
      </c>
    </row>
    <row r="241" spans="1:4" x14ac:dyDescent="0.25">
      <c r="A241" s="32" t="s">
        <v>128</v>
      </c>
      <c r="B241" s="32" t="s">
        <v>2238</v>
      </c>
      <c r="C241" t="s">
        <v>2255</v>
      </c>
      <c r="D241">
        <v>3</v>
      </c>
    </row>
    <row r="242" spans="1:4" x14ac:dyDescent="0.25">
      <c r="A242" s="32" t="s">
        <v>131</v>
      </c>
      <c r="B242" s="32" t="s">
        <v>2238</v>
      </c>
      <c r="C242" t="s">
        <v>2256</v>
      </c>
      <c r="D242">
        <v>3</v>
      </c>
    </row>
    <row r="243" spans="1:4" x14ac:dyDescent="0.25">
      <c r="A243" s="32" t="s">
        <v>134</v>
      </c>
      <c r="B243" s="32" t="s">
        <v>2238</v>
      </c>
      <c r="C243" t="s">
        <v>2232</v>
      </c>
      <c r="D243">
        <v>1</v>
      </c>
    </row>
    <row r="244" spans="1:4" x14ac:dyDescent="0.25">
      <c r="A244" s="32" t="s">
        <v>138</v>
      </c>
      <c r="B244" s="32" t="s">
        <v>2238</v>
      </c>
      <c r="C244" t="s">
        <v>2257</v>
      </c>
      <c r="D244">
        <v>4</v>
      </c>
    </row>
    <row r="245" spans="1:4" x14ac:dyDescent="0.25">
      <c r="A245" s="32" t="s">
        <v>140</v>
      </c>
      <c r="B245" s="32" t="s">
        <v>2238</v>
      </c>
      <c r="C245" t="s">
        <v>397</v>
      </c>
      <c r="D245">
        <v>1</v>
      </c>
    </row>
    <row r="246" spans="1:4" x14ac:dyDescent="0.25">
      <c r="A246" s="32" t="s">
        <v>150</v>
      </c>
      <c r="B246" s="32" t="s">
        <v>2238</v>
      </c>
      <c r="C246" t="s">
        <v>2232</v>
      </c>
      <c r="D246">
        <v>1</v>
      </c>
    </row>
    <row r="247" spans="1:4" x14ac:dyDescent="0.25">
      <c r="A247" s="32" t="s">
        <v>152</v>
      </c>
      <c r="B247" s="32" t="s">
        <v>2238</v>
      </c>
      <c r="C247" t="s">
        <v>2239</v>
      </c>
      <c r="D247">
        <v>2</v>
      </c>
    </row>
    <row r="248" spans="1:4" x14ac:dyDescent="0.25">
      <c r="A248" s="32" t="s">
        <v>153</v>
      </c>
      <c r="B248" s="32" t="s">
        <v>2238</v>
      </c>
      <c r="C248" t="s">
        <v>2258</v>
      </c>
      <c r="D248">
        <v>8</v>
      </c>
    </row>
    <row r="249" spans="1:4" x14ac:dyDescent="0.25">
      <c r="A249" s="32" t="s">
        <v>157</v>
      </c>
      <c r="B249" s="32" t="s">
        <v>2238</v>
      </c>
      <c r="C249" t="s">
        <v>2259</v>
      </c>
      <c r="D249">
        <v>4</v>
      </c>
    </row>
    <row r="250" spans="1:4" x14ac:dyDescent="0.25">
      <c r="A250" s="32" t="s">
        <v>158</v>
      </c>
      <c r="B250" s="32" t="s">
        <v>2238</v>
      </c>
      <c r="C250" t="s">
        <v>2260</v>
      </c>
      <c r="D250">
        <v>10</v>
      </c>
    </row>
    <row r="251" spans="1:4" x14ac:dyDescent="0.25">
      <c r="A251" s="32" t="s">
        <v>163</v>
      </c>
      <c r="B251" s="32" t="s">
        <v>2238</v>
      </c>
      <c r="C251" t="s">
        <v>638</v>
      </c>
      <c r="D251">
        <v>1</v>
      </c>
    </row>
    <row r="252" spans="1:4" x14ac:dyDescent="0.25">
      <c r="A252" s="32" t="s">
        <v>166</v>
      </c>
      <c r="B252" s="32" t="s">
        <v>2238</v>
      </c>
      <c r="C252" t="s">
        <v>2261</v>
      </c>
      <c r="D252">
        <v>3</v>
      </c>
    </row>
    <row r="253" spans="1:4" x14ac:dyDescent="0.25">
      <c r="A253" s="32" t="s">
        <v>173</v>
      </c>
      <c r="B253" s="32" t="s">
        <v>2238</v>
      </c>
      <c r="C253" t="s">
        <v>2262</v>
      </c>
      <c r="D253">
        <v>7</v>
      </c>
    </row>
    <row r="254" spans="1:4" x14ac:dyDescent="0.25">
      <c r="A254" s="32" t="s">
        <v>175</v>
      </c>
      <c r="B254" s="32" t="s">
        <v>2238</v>
      </c>
      <c r="C254" t="s">
        <v>2263</v>
      </c>
      <c r="D254">
        <v>11</v>
      </c>
    </row>
    <row r="255" spans="1:4" x14ac:dyDescent="0.25">
      <c r="A255" s="32" t="s">
        <v>183</v>
      </c>
      <c r="B255" s="32" t="s">
        <v>2238</v>
      </c>
      <c r="C255" t="s">
        <v>2264</v>
      </c>
      <c r="D255">
        <v>2</v>
      </c>
    </row>
    <row r="256" spans="1:4" x14ac:dyDescent="0.25">
      <c r="A256" s="32" t="s">
        <v>185</v>
      </c>
      <c r="B256" s="32" t="s">
        <v>2238</v>
      </c>
      <c r="C256" t="s">
        <v>2265</v>
      </c>
      <c r="D256">
        <v>2</v>
      </c>
    </row>
    <row r="257" spans="1:4" x14ac:dyDescent="0.25">
      <c r="A257" s="32" t="s">
        <v>189</v>
      </c>
      <c r="B257" s="32" t="s">
        <v>2238</v>
      </c>
      <c r="C257" t="s">
        <v>2266</v>
      </c>
      <c r="D257">
        <v>6</v>
      </c>
    </row>
    <row r="258" spans="1:4" x14ac:dyDescent="0.25">
      <c r="A258" s="32" t="s">
        <v>191</v>
      </c>
      <c r="B258" s="32" t="s">
        <v>2238</v>
      </c>
      <c r="C258" t="s">
        <v>2267</v>
      </c>
      <c r="D258">
        <v>2</v>
      </c>
    </row>
    <row r="259" spans="1:4" x14ac:dyDescent="0.25">
      <c r="A259" s="32" t="s">
        <v>197</v>
      </c>
      <c r="B259" s="32" t="s">
        <v>2238</v>
      </c>
      <c r="C259" t="s">
        <v>2268</v>
      </c>
      <c r="D259">
        <v>3</v>
      </c>
    </row>
    <row r="260" spans="1:4" x14ac:dyDescent="0.25">
      <c r="A260" s="32" t="s">
        <v>199</v>
      </c>
      <c r="B260" s="32" t="s">
        <v>2238</v>
      </c>
      <c r="C260" t="s">
        <v>2269</v>
      </c>
      <c r="D260">
        <v>2</v>
      </c>
    </row>
    <row r="261" spans="1:4" x14ac:dyDescent="0.25">
      <c r="A261" s="32" t="s">
        <v>202</v>
      </c>
      <c r="B261" s="32" t="s">
        <v>2238</v>
      </c>
      <c r="C261" t="s">
        <v>2270</v>
      </c>
      <c r="D261">
        <v>5</v>
      </c>
    </row>
    <row r="262" spans="1:4" x14ac:dyDescent="0.25">
      <c r="A262" s="32" t="s">
        <v>294</v>
      </c>
      <c r="B262" s="32" t="s">
        <v>2238</v>
      </c>
      <c r="C262" t="s">
        <v>2232</v>
      </c>
      <c r="D262">
        <v>1</v>
      </c>
    </row>
    <row r="263" spans="1:4" x14ac:dyDescent="0.25">
      <c r="A263" s="32" t="s">
        <v>207</v>
      </c>
      <c r="B263" s="32" t="s">
        <v>2238</v>
      </c>
      <c r="C263" t="s">
        <v>2232</v>
      </c>
      <c r="D263">
        <v>1</v>
      </c>
    </row>
    <row r="264" spans="1:4" x14ac:dyDescent="0.25">
      <c r="A264" s="32" t="s">
        <v>209</v>
      </c>
      <c r="B264" s="32" t="s">
        <v>2238</v>
      </c>
      <c r="C264" t="s">
        <v>772</v>
      </c>
      <c r="D264">
        <v>1</v>
      </c>
    </row>
    <row r="265" spans="1:4" x14ac:dyDescent="0.25">
      <c r="A265" s="32" t="s">
        <v>211</v>
      </c>
      <c r="B265" s="32" t="s">
        <v>2238</v>
      </c>
      <c r="C265" t="s">
        <v>395</v>
      </c>
      <c r="D265">
        <v>1</v>
      </c>
    </row>
    <row r="266" spans="1:4" x14ac:dyDescent="0.25">
      <c r="A266" s="32" t="s">
        <v>212</v>
      </c>
      <c r="B266" s="32" t="s">
        <v>2238</v>
      </c>
      <c r="C266" t="s">
        <v>2232</v>
      </c>
      <c r="D266">
        <v>1</v>
      </c>
    </row>
    <row r="267" spans="1:4" x14ac:dyDescent="0.25">
      <c r="A267" s="32" t="s">
        <v>214</v>
      </c>
      <c r="B267" s="32" t="s">
        <v>2238</v>
      </c>
      <c r="C267" t="s">
        <v>2232</v>
      </c>
      <c r="D267">
        <v>1</v>
      </c>
    </row>
    <row r="268" spans="1:4" x14ac:dyDescent="0.25">
      <c r="A268" s="32" t="s">
        <v>216</v>
      </c>
      <c r="B268" s="32" t="s">
        <v>2238</v>
      </c>
      <c r="C268" t="s">
        <v>2232</v>
      </c>
      <c r="D268">
        <v>1</v>
      </c>
    </row>
    <row r="269" spans="1:4" x14ac:dyDescent="0.25">
      <c r="A269" s="32" t="s">
        <v>222</v>
      </c>
      <c r="B269" s="32" t="s">
        <v>2238</v>
      </c>
      <c r="C269" t="s">
        <v>2232</v>
      </c>
      <c r="D269">
        <v>1</v>
      </c>
    </row>
    <row r="270" spans="1:4" x14ac:dyDescent="0.25">
      <c r="A270" s="32" t="s">
        <v>225</v>
      </c>
      <c r="B270" s="32" t="s">
        <v>2238</v>
      </c>
      <c r="C270" t="s">
        <v>2232</v>
      </c>
      <c r="D270">
        <v>1</v>
      </c>
    </row>
    <row r="271" spans="1:4" x14ac:dyDescent="0.25">
      <c r="A271" s="32" t="s">
        <v>227</v>
      </c>
      <c r="B271" s="32" t="s">
        <v>2238</v>
      </c>
      <c r="C271" t="s">
        <v>2232</v>
      </c>
      <c r="D271">
        <v>1</v>
      </c>
    </row>
    <row r="272" spans="1:4" x14ac:dyDescent="0.25">
      <c r="A272" s="32" t="s">
        <v>229</v>
      </c>
      <c r="B272" s="32" t="s">
        <v>2238</v>
      </c>
      <c r="C272" t="s">
        <v>2232</v>
      </c>
      <c r="D272">
        <v>1</v>
      </c>
    </row>
    <row r="273" spans="1:4" x14ac:dyDescent="0.25">
      <c r="A273" s="32" t="s">
        <v>231</v>
      </c>
      <c r="B273" s="32" t="s">
        <v>2238</v>
      </c>
      <c r="C273" t="s">
        <v>2232</v>
      </c>
      <c r="D273">
        <v>1</v>
      </c>
    </row>
    <row r="274" spans="1:4" x14ac:dyDescent="0.25">
      <c r="A274" s="32" t="s">
        <v>232</v>
      </c>
      <c r="B274" s="32" t="s">
        <v>2238</v>
      </c>
      <c r="C274" t="s">
        <v>638</v>
      </c>
      <c r="D274">
        <v>1</v>
      </c>
    </row>
    <row r="275" spans="1:4" x14ac:dyDescent="0.25">
      <c r="A275" s="32" t="s">
        <v>234</v>
      </c>
      <c r="B275" s="32" t="s">
        <v>2238</v>
      </c>
      <c r="C275" t="s">
        <v>397</v>
      </c>
      <c r="D275">
        <v>1</v>
      </c>
    </row>
    <row r="276" spans="1:4" x14ac:dyDescent="0.25">
      <c r="A276" s="32" t="s">
        <v>20</v>
      </c>
      <c r="B276" s="32" t="s">
        <v>2311</v>
      </c>
      <c r="C276" t="s">
        <v>2310</v>
      </c>
      <c r="D276">
        <v>1</v>
      </c>
    </row>
    <row r="277" spans="1:4" x14ac:dyDescent="0.25">
      <c r="A277" s="32" t="s">
        <v>44</v>
      </c>
      <c r="B277" s="32" t="s">
        <v>2311</v>
      </c>
      <c r="C277" t="s">
        <v>2312</v>
      </c>
      <c r="D277">
        <v>2</v>
      </c>
    </row>
    <row r="278" spans="1:4" x14ac:dyDescent="0.25">
      <c r="A278" s="32" t="s">
        <v>62</v>
      </c>
      <c r="B278" s="32" t="s">
        <v>2311</v>
      </c>
      <c r="C278" t="s">
        <v>2313</v>
      </c>
      <c r="D278">
        <v>3</v>
      </c>
    </row>
    <row r="279" spans="1:4" x14ac:dyDescent="0.25">
      <c r="A279" s="32" t="s">
        <v>74</v>
      </c>
      <c r="B279" s="32" t="s">
        <v>2311</v>
      </c>
      <c r="C279" t="s">
        <v>2314</v>
      </c>
      <c r="D279">
        <v>3</v>
      </c>
    </row>
    <row r="280" spans="1:4" x14ac:dyDescent="0.25">
      <c r="A280" s="32" t="s">
        <v>140</v>
      </c>
      <c r="B280" s="32" t="s">
        <v>2311</v>
      </c>
      <c r="C280" t="s">
        <v>2315</v>
      </c>
      <c r="D280">
        <v>2</v>
      </c>
    </row>
    <row r="281" spans="1:4" x14ac:dyDescent="0.25">
      <c r="A281" s="32" t="s">
        <v>149</v>
      </c>
      <c r="B281" s="32" t="s">
        <v>2311</v>
      </c>
      <c r="C281" t="s">
        <v>2316</v>
      </c>
      <c r="D281">
        <v>2</v>
      </c>
    </row>
    <row r="282" spans="1:4" x14ac:dyDescent="0.25">
      <c r="A282" s="32" t="s">
        <v>173</v>
      </c>
      <c r="B282" s="32" t="s">
        <v>2311</v>
      </c>
      <c r="C282" t="s">
        <v>2317</v>
      </c>
      <c r="D282">
        <v>7</v>
      </c>
    </row>
    <row r="283" spans="1:4" x14ac:dyDescent="0.25">
      <c r="A283" s="32" t="s">
        <v>175</v>
      </c>
      <c r="B283" s="32" t="s">
        <v>2311</v>
      </c>
      <c r="C283" t="s">
        <v>2318</v>
      </c>
      <c r="D283">
        <v>5</v>
      </c>
    </row>
    <row r="284" spans="1:4" x14ac:dyDescent="0.25">
      <c r="A284" s="32" t="s">
        <v>185</v>
      </c>
      <c r="B284" s="32" t="s">
        <v>2311</v>
      </c>
      <c r="C284" t="s">
        <v>2310</v>
      </c>
      <c r="D284">
        <v>1</v>
      </c>
    </row>
    <row r="285" spans="1:4" x14ac:dyDescent="0.25">
      <c r="A285" s="32" t="s">
        <v>187</v>
      </c>
      <c r="B285" s="32" t="s">
        <v>2311</v>
      </c>
      <c r="C285" t="s">
        <v>2310</v>
      </c>
      <c r="D285">
        <v>1</v>
      </c>
    </row>
    <row r="286" spans="1:4" x14ac:dyDescent="0.25">
      <c r="A286" s="32" t="s">
        <v>11</v>
      </c>
      <c r="B286" s="32" t="s">
        <v>2149</v>
      </c>
      <c r="C286" t="s">
        <v>2147</v>
      </c>
      <c r="D286">
        <v>1</v>
      </c>
    </row>
    <row r="287" spans="1:4" x14ac:dyDescent="0.25">
      <c r="A287" s="32" t="s">
        <v>12</v>
      </c>
      <c r="B287" s="32" t="s">
        <v>2149</v>
      </c>
      <c r="C287" t="s">
        <v>656</v>
      </c>
      <c r="D287">
        <v>1</v>
      </c>
    </row>
    <row r="288" spans="1:4" x14ac:dyDescent="0.25">
      <c r="A288" s="32" t="s">
        <v>16</v>
      </c>
      <c r="B288" s="32" t="s">
        <v>2149</v>
      </c>
      <c r="C288" t="s">
        <v>2147</v>
      </c>
      <c r="D288">
        <v>1</v>
      </c>
    </row>
    <row r="289" spans="1:4" x14ac:dyDescent="0.25">
      <c r="A289" s="32" t="s">
        <v>20</v>
      </c>
      <c r="B289" s="32" t="s">
        <v>2149</v>
      </c>
      <c r="C289" t="s">
        <v>2150</v>
      </c>
      <c r="D289">
        <v>2</v>
      </c>
    </row>
    <row r="290" spans="1:4" x14ac:dyDescent="0.25">
      <c r="A290" s="32" t="s">
        <v>22</v>
      </c>
      <c r="B290" s="32" t="s">
        <v>2149</v>
      </c>
      <c r="C290" t="s">
        <v>2379</v>
      </c>
      <c r="D290">
        <v>19</v>
      </c>
    </row>
    <row r="291" spans="1:4" x14ac:dyDescent="0.25">
      <c r="A291" s="32" t="s">
        <v>24</v>
      </c>
      <c r="B291" s="32" t="s">
        <v>2149</v>
      </c>
      <c r="C291" t="s">
        <v>2147</v>
      </c>
      <c r="D291">
        <v>1</v>
      </c>
    </row>
    <row r="292" spans="1:4" x14ac:dyDescent="0.25">
      <c r="A292" s="32" t="s">
        <v>26</v>
      </c>
      <c r="B292" s="32" t="s">
        <v>2149</v>
      </c>
      <c r="C292" t="s">
        <v>2151</v>
      </c>
      <c r="D292">
        <v>8</v>
      </c>
    </row>
    <row r="293" spans="1:4" x14ac:dyDescent="0.25">
      <c r="A293" s="32" t="s">
        <v>30</v>
      </c>
      <c r="B293" s="32" t="s">
        <v>2149</v>
      </c>
      <c r="C293" t="s">
        <v>468</v>
      </c>
      <c r="D293">
        <v>1</v>
      </c>
    </row>
    <row r="294" spans="1:4" x14ac:dyDescent="0.25">
      <c r="A294" s="32" t="s">
        <v>32</v>
      </c>
      <c r="B294" s="32" t="s">
        <v>2149</v>
      </c>
      <c r="C294" t="s">
        <v>2572</v>
      </c>
      <c r="D294">
        <v>3</v>
      </c>
    </row>
    <row r="295" spans="1:4" x14ac:dyDescent="0.25">
      <c r="A295" s="32" t="s">
        <v>34</v>
      </c>
      <c r="B295" s="32" t="s">
        <v>2149</v>
      </c>
      <c r="C295" t="s">
        <v>2152</v>
      </c>
      <c r="D295">
        <v>6</v>
      </c>
    </row>
    <row r="296" spans="1:4" x14ac:dyDescent="0.25">
      <c r="A296" s="32" t="s">
        <v>37</v>
      </c>
      <c r="B296" s="32" t="s">
        <v>2149</v>
      </c>
      <c r="C296" t="s">
        <v>2147</v>
      </c>
      <c r="D296">
        <v>1</v>
      </c>
    </row>
    <row r="297" spans="1:4" x14ac:dyDescent="0.25">
      <c r="A297" s="32" t="s">
        <v>40</v>
      </c>
      <c r="B297" s="32" t="s">
        <v>2149</v>
      </c>
      <c r="C297" t="s">
        <v>2147</v>
      </c>
      <c r="D297">
        <v>1</v>
      </c>
    </row>
    <row r="298" spans="1:4" x14ac:dyDescent="0.25">
      <c r="A298" s="32" t="s">
        <v>44</v>
      </c>
      <c r="B298" s="32" t="s">
        <v>2149</v>
      </c>
      <c r="C298" t="s">
        <v>2147</v>
      </c>
      <c r="D298">
        <v>1</v>
      </c>
    </row>
    <row r="299" spans="1:4" x14ac:dyDescent="0.25">
      <c r="A299" s="32" t="s">
        <v>46</v>
      </c>
      <c r="B299" s="32" t="s">
        <v>2149</v>
      </c>
      <c r="C299" t="s">
        <v>2150</v>
      </c>
      <c r="D299">
        <v>2</v>
      </c>
    </row>
    <row r="300" spans="1:4" x14ac:dyDescent="0.25">
      <c r="A300" s="32" t="s">
        <v>50</v>
      </c>
      <c r="B300" s="32" t="s">
        <v>2149</v>
      </c>
      <c r="C300" t="s">
        <v>2153</v>
      </c>
      <c r="D300">
        <v>3</v>
      </c>
    </row>
    <row r="301" spans="1:4" x14ac:dyDescent="0.25">
      <c r="A301" s="32" t="s">
        <v>53</v>
      </c>
      <c r="B301" s="32" t="s">
        <v>2149</v>
      </c>
      <c r="C301" t="s">
        <v>2147</v>
      </c>
      <c r="D301">
        <v>1</v>
      </c>
    </row>
    <row r="302" spans="1:4" x14ac:dyDescent="0.25">
      <c r="A302" s="32" t="s">
        <v>60</v>
      </c>
      <c r="B302" s="32" t="s">
        <v>2149</v>
      </c>
      <c r="C302" t="s">
        <v>2147</v>
      </c>
      <c r="D302">
        <v>1</v>
      </c>
    </row>
    <row r="303" spans="1:4" x14ac:dyDescent="0.25">
      <c r="A303" s="32" t="s">
        <v>62</v>
      </c>
      <c r="B303" s="32" t="s">
        <v>2149</v>
      </c>
      <c r="C303" t="s">
        <v>2150</v>
      </c>
      <c r="D303">
        <v>2</v>
      </c>
    </row>
    <row r="304" spans="1:4" x14ac:dyDescent="0.25">
      <c r="A304" s="32" t="s">
        <v>66</v>
      </c>
      <c r="B304" s="32" t="s">
        <v>2149</v>
      </c>
      <c r="C304" t="s">
        <v>2154</v>
      </c>
      <c r="D304">
        <v>3</v>
      </c>
    </row>
    <row r="305" spans="1:4" x14ac:dyDescent="0.25">
      <c r="A305" s="32" t="s">
        <v>68</v>
      </c>
      <c r="B305" s="32" t="s">
        <v>2149</v>
      </c>
      <c r="C305" t="s">
        <v>2147</v>
      </c>
      <c r="D305">
        <v>1</v>
      </c>
    </row>
    <row r="306" spans="1:4" x14ac:dyDescent="0.25">
      <c r="A306" s="32" t="s">
        <v>71</v>
      </c>
      <c r="B306" s="32" t="s">
        <v>2149</v>
      </c>
      <c r="C306" t="s">
        <v>2147</v>
      </c>
      <c r="D306">
        <v>1</v>
      </c>
    </row>
    <row r="307" spans="1:4" x14ac:dyDescent="0.25">
      <c r="A307" s="32" t="s">
        <v>74</v>
      </c>
      <c r="B307" s="32" t="s">
        <v>2149</v>
      </c>
      <c r="C307" t="s">
        <v>2155</v>
      </c>
      <c r="D307">
        <v>4</v>
      </c>
    </row>
    <row r="308" spans="1:4" x14ac:dyDescent="0.25">
      <c r="A308" s="32" t="s">
        <v>76</v>
      </c>
      <c r="B308" s="32" t="s">
        <v>2149</v>
      </c>
      <c r="C308" t="s">
        <v>2156</v>
      </c>
      <c r="D308">
        <v>2</v>
      </c>
    </row>
    <row r="309" spans="1:4" x14ac:dyDescent="0.25">
      <c r="A309" s="32" t="s">
        <v>78</v>
      </c>
      <c r="B309" s="32" t="s">
        <v>2149</v>
      </c>
      <c r="C309" t="s">
        <v>2157</v>
      </c>
      <c r="D309">
        <v>7</v>
      </c>
    </row>
    <row r="310" spans="1:4" x14ac:dyDescent="0.25">
      <c r="A310" s="32" t="s">
        <v>80</v>
      </c>
      <c r="B310" s="32" t="s">
        <v>2149</v>
      </c>
      <c r="C310" t="s">
        <v>2158</v>
      </c>
      <c r="D310">
        <v>4</v>
      </c>
    </row>
    <row r="311" spans="1:4" x14ac:dyDescent="0.25">
      <c r="A311" s="32" t="s">
        <v>82</v>
      </c>
      <c r="B311" s="32" t="s">
        <v>2149</v>
      </c>
      <c r="C311" t="s">
        <v>2159</v>
      </c>
      <c r="D311">
        <v>2</v>
      </c>
    </row>
    <row r="312" spans="1:4" x14ac:dyDescent="0.25">
      <c r="A312" s="32" t="s">
        <v>85</v>
      </c>
      <c r="B312" s="32" t="s">
        <v>2149</v>
      </c>
      <c r="C312" t="s">
        <v>2160</v>
      </c>
      <c r="D312">
        <v>2</v>
      </c>
    </row>
    <row r="313" spans="1:4" x14ac:dyDescent="0.25">
      <c r="A313" s="32" t="s">
        <v>87</v>
      </c>
      <c r="B313" s="32" t="s">
        <v>2149</v>
      </c>
      <c r="C313" t="s">
        <v>2161</v>
      </c>
      <c r="D313">
        <v>4</v>
      </c>
    </row>
    <row r="314" spans="1:4" x14ac:dyDescent="0.25">
      <c r="A314" s="32" t="s">
        <v>89</v>
      </c>
      <c r="B314" s="32" t="s">
        <v>2149</v>
      </c>
      <c r="C314" t="s">
        <v>2162</v>
      </c>
      <c r="D314">
        <v>3</v>
      </c>
    </row>
    <row r="315" spans="1:4" x14ac:dyDescent="0.25">
      <c r="A315" s="32" t="s">
        <v>93</v>
      </c>
      <c r="B315" s="32" t="s">
        <v>2149</v>
      </c>
      <c r="C315" t="s">
        <v>2163</v>
      </c>
      <c r="D315">
        <v>5</v>
      </c>
    </row>
    <row r="316" spans="1:4" x14ac:dyDescent="0.25">
      <c r="A316" s="32" t="s">
        <v>95</v>
      </c>
      <c r="B316" s="32" t="s">
        <v>2149</v>
      </c>
      <c r="C316" t="s">
        <v>2186</v>
      </c>
      <c r="D316">
        <v>6</v>
      </c>
    </row>
    <row r="317" spans="1:4" x14ac:dyDescent="0.25">
      <c r="A317" s="32" t="s">
        <v>103</v>
      </c>
      <c r="B317" s="32" t="s">
        <v>2149</v>
      </c>
      <c r="C317" t="s">
        <v>2164</v>
      </c>
      <c r="D317">
        <v>3</v>
      </c>
    </row>
    <row r="318" spans="1:4" x14ac:dyDescent="0.25">
      <c r="A318" s="32" t="s">
        <v>119</v>
      </c>
      <c r="B318" s="32" t="s">
        <v>2149</v>
      </c>
      <c r="C318" t="s">
        <v>2165</v>
      </c>
      <c r="D318">
        <v>4</v>
      </c>
    </row>
    <row r="319" spans="1:4" x14ac:dyDescent="0.25">
      <c r="A319" s="32" t="s">
        <v>120</v>
      </c>
      <c r="B319" s="32" t="s">
        <v>2149</v>
      </c>
      <c r="C319" t="s">
        <v>2147</v>
      </c>
      <c r="D319">
        <v>1</v>
      </c>
    </row>
    <row r="320" spans="1:4" x14ac:dyDescent="0.25">
      <c r="A320" s="32" t="s">
        <v>125</v>
      </c>
      <c r="B320" s="32" t="s">
        <v>2149</v>
      </c>
      <c r="C320" t="s">
        <v>2166</v>
      </c>
      <c r="D320">
        <v>12</v>
      </c>
    </row>
    <row r="321" spans="1:4" x14ac:dyDescent="0.25">
      <c r="A321" s="32" t="s">
        <v>127</v>
      </c>
      <c r="B321" s="32" t="s">
        <v>2149</v>
      </c>
      <c r="C321" t="s">
        <v>2167</v>
      </c>
      <c r="D321">
        <v>2</v>
      </c>
    </row>
    <row r="322" spans="1:4" x14ac:dyDescent="0.25">
      <c r="A322" s="32" t="s">
        <v>128</v>
      </c>
      <c r="B322" s="32" t="s">
        <v>2149</v>
      </c>
      <c r="C322" t="s">
        <v>2168</v>
      </c>
      <c r="D322">
        <v>4</v>
      </c>
    </row>
    <row r="323" spans="1:4" x14ac:dyDescent="0.25">
      <c r="A323" s="32" t="s">
        <v>131</v>
      </c>
      <c r="B323" s="32" t="s">
        <v>2149</v>
      </c>
      <c r="C323" t="s">
        <v>2169</v>
      </c>
      <c r="D323">
        <v>2</v>
      </c>
    </row>
    <row r="324" spans="1:4" x14ac:dyDescent="0.25">
      <c r="A324" s="32" t="s">
        <v>134</v>
      </c>
      <c r="B324" s="32" t="s">
        <v>2149</v>
      </c>
      <c r="C324" t="s">
        <v>2147</v>
      </c>
      <c r="D324">
        <v>1</v>
      </c>
    </row>
    <row r="325" spans="1:4" x14ac:dyDescent="0.25">
      <c r="A325" s="32" t="s">
        <v>138</v>
      </c>
      <c r="B325" s="32" t="s">
        <v>2149</v>
      </c>
      <c r="C325" t="s">
        <v>2170</v>
      </c>
      <c r="D325">
        <v>4</v>
      </c>
    </row>
    <row r="326" spans="1:4" x14ac:dyDescent="0.25">
      <c r="A326" s="32" t="s">
        <v>150</v>
      </c>
      <c r="B326" s="32" t="s">
        <v>2149</v>
      </c>
      <c r="C326" t="s">
        <v>2147</v>
      </c>
      <c r="D326">
        <v>1</v>
      </c>
    </row>
    <row r="327" spans="1:4" x14ac:dyDescent="0.25">
      <c r="A327" s="32" t="s">
        <v>321</v>
      </c>
      <c r="B327" s="32" t="s">
        <v>2149</v>
      </c>
      <c r="C327" t="s">
        <v>2171</v>
      </c>
      <c r="D327">
        <v>2</v>
      </c>
    </row>
    <row r="328" spans="1:4" x14ac:dyDescent="0.25">
      <c r="A328" s="32" t="s">
        <v>152</v>
      </c>
      <c r="B328" s="32" t="s">
        <v>2149</v>
      </c>
      <c r="C328" t="s">
        <v>2162</v>
      </c>
      <c r="D328">
        <v>3</v>
      </c>
    </row>
    <row r="329" spans="1:4" x14ac:dyDescent="0.25">
      <c r="A329" s="32" t="s">
        <v>153</v>
      </c>
      <c r="B329" s="32" t="s">
        <v>2149</v>
      </c>
      <c r="C329" t="s">
        <v>2172</v>
      </c>
      <c r="D329">
        <v>8</v>
      </c>
    </row>
    <row r="330" spans="1:4" x14ac:dyDescent="0.25">
      <c r="A330" s="32" t="s">
        <v>155</v>
      </c>
      <c r="B330" s="32" t="s">
        <v>2149</v>
      </c>
      <c r="C330" t="s">
        <v>2147</v>
      </c>
      <c r="D330">
        <v>1</v>
      </c>
    </row>
    <row r="331" spans="1:4" x14ac:dyDescent="0.25">
      <c r="A331" s="32" t="s">
        <v>157</v>
      </c>
      <c r="B331" s="32" t="s">
        <v>2149</v>
      </c>
      <c r="C331" t="s">
        <v>2173</v>
      </c>
      <c r="D331">
        <v>4</v>
      </c>
    </row>
    <row r="332" spans="1:4" x14ac:dyDescent="0.25">
      <c r="A332" s="32" t="s">
        <v>158</v>
      </c>
      <c r="B332" s="32" t="s">
        <v>2149</v>
      </c>
      <c r="C332" t="s">
        <v>2188</v>
      </c>
      <c r="D332">
        <v>12</v>
      </c>
    </row>
    <row r="333" spans="1:4" x14ac:dyDescent="0.25">
      <c r="A333" s="32" t="s">
        <v>166</v>
      </c>
      <c r="B333" s="32" t="s">
        <v>2149</v>
      </c>
      <c r="C333" t="s">
        <v>2174</v>
      </c>
      <c r="D333">
        <v>3</v>
      </c>
    </row>
    <row r="334" spans="1:4" x14ac:dyDescent="0.25">
      <c r="A334" s="32" t="s">
        <v>167</v>
      </c>
      <c r="B334" s="32" t="s">
        <v>2149</v>
      </c>
      <c r="C334" t="s">
        <v>2147</v>
      </c>
      <c r="D334">
        <v>1</v>
      </c>
    </row>
    <row r="335" spans="1:4" x14ac:dyDescent="0.25">
      <c r="A335" s="32" t="s">
        <v>173</v>
      </c>
      <c r="B335" s="32" t="s">
        <v>2149</v>
      </c>
      <c r="C335" t="s">
        <v>2175</v>
      </c>
      <c r="D335">
        <v>7</v>
      </c>
    </row>
    <row r="336" spans="1:4" x14ac:dyDescent="0.25">
      <c r="A336" s="32" t="s">
        <v>175</v>
      </c>
      <c r="B336" s="32" t="s">
        <v>2149</v>
      </c>
      <c r="C336" t="s">
        <v>2176</v>
      </c>
      <c r="D336">
        <v>11</v>
      </c>
    </row>
    <row r="337" spans="1:4" x14ac:dyDescent="0.25">
      <c r="A337" s="32" t="s">
        <v>176</v>
      </c>
      <c r="B337" s="32" t="s">
        <v>2149</v>
      </c>
      <c r="C337" t="s">
        <v>2147</v>
      </c>
      <c r="D337">
        <v>1</v>
      </c>
    </row>
    <row r="338" spans="1:4" x14ac:dyDescent="0.25">
      <c r="A338" s="32" t="s">
        <v>183</v>
      </c>
      <c r="B338" s="32" t="s">
        <v>2149</v>
      </c>
      <c r="C338" t="s">
        <v>2177</v>
      </c>
      <c r="D338">
        <v>5</v>
      </c>
    </row>
    <row r="339" spans="1:4" x14ac:dyDescent="0.25">
      <c r="A339" s="32" t="s">
        <v>187</v>
      </c>
      <c r="B339" s="32" t="s">
        <v>2149</v>
      </c>
      <c r="C339" t="s">
        <v>2147</v>
      </c>
      <c r="D339">
        <v>1</v>
      </c>
    </row>
    <row r="340" spans="1:4" x14ac:dyDescent="0.25">
      <c r="A340" s="32" t="s">
        <v>189</v>
      </c>
      <c r="B340" s="32" t="s">
        <v>2149</v>
      </c>
      <c r="C340" t="s">
        <v>2178</v>
      </c>
      <c r="D340">
        <v>2</v>
      </c>
    </row>
    <row r="341" spans="1:4" x14ac:dyDescent="0.25">
      <c r="A341" s="32" t="s">
        <v>191</v>
      </c>
      <c r="B341" s="32" t="s">
        <v>2149</v>
      </c>
      <c r="C341" t="s">
        <v>2179</v>
      </c>
      <c r="D341">
        <v>2</v>
      </c>
    </row>
    <row r="342" spans="1:4" x14ac:dyDescent="0.25">
      <c r="A342" s="32" t="s">
        <v>194</v>
      </c>
      <c r="B342" s="32" t="s">
        <v>2149</v>
      </c>
      <c r="C342" t="s">
        <v>2159</v>
      </c>
      <c r="D342">
        <v>2</v>
      </c>
    </row>
    <row r="343" spans="1:4" x14ac:dyDescent="0.25">
      <c r="A343" s="32" t="s">
        <v>197</v>
      </c>
      <c r="B343" s="32" t="s">
        <v>2149</v>
      </c>
      <c r="C343" t="s">
        <v>1042</v>
      </c>
      <c r="D343">
        <v>1</v>
      </c>
    </row>
    <row r="344" spans="1:4" x14ac:dyDescent="0.25">
      <c r="A344" s="32" t="s">
        <v>199</v>
      </c>
      <c r="B344" s="32" t="s">
        <v>2149</v>
      </c>
      <c r="C344" t="s">
        <v>2181</v>
      </c>
      <c r="D344">
        <v>2</v>
      </c>
    </row>
    <row r="345" spans="1:4" x14ac:dyDescent="0.25">
      <c r="A345" s="32" t="s">
        <v>200</v>
      </c>
      <c r="B345" s="32" t="s">
        <v>2149</v>
      </c>
      <c r="C345" t="s">
        <v>2162</v>
      </c>
      <c r="D345">
        <v>3</v>
      </c>
    </row>
    <row r="346" spans="1:4" x14ac:dyDescent="0.25">
      <c r="A346" s="32" t="s">
        <v>202</v>
      </c>
      <c r="B346" s="32" t="s">
        <v>2149</v>
      </c>
      <c r="C346" t="s">
        <v>2182</v>
      </c>
      <c r="D346">
        <v>5</v>
      </c>
    </row>
    <row r="347" spans="1:4" x14ac:dyDescent="0.25">
      <c r="A347" s="32" t="s">
        <v>294</v>
      </c>
      <c r="B347" s="32" t="s">
        <v>2149</v>
      </c>
      <c r="C347" t="s">
        <v>2147</v>
      </c>
      <c r="D347">
        <v>1</v>
      </c>
    </row>
    <row r="348" spans="1:4" x14ac:dyDescent="0.25">
      <c r="A348" s="32" t="s">
        <v>207</v>
      </c>
      <c r="B348" s="32" t="s">
        <v>2149</v>
      </c>
      <c r="C348" t="s">
        <v>2183</v>
      </c>
      <c r="D348">
        <v>3</v>
      </c>
    </row>
    <row r="349" spans="1:4" x14ac:dyDescent="0.25">
      <c r="A349" s="32" t="s">
        <v>209</v>
      </c>
      <c r="B349" s="32" t="s">
        <v>2149</v>
      </c>
      <c r="C349" t="s">
        <v>422</v>
      </c>
      <c r="D349">
        <v>1</v>
      </c>
    </row>
    <row r="350" spans="1:4" x14ac:dyDescent="0.25">
      <c r="A350" s="32" t="s">
        <v>211</v>
      </c>
      <c r="B350" s="32" t="s">
        <v>2149</v>
      </c>
      <c r="C350" t="s">
        <v>505</v>
      </c>
      <c r="D350">
        <v>1</v>
      </c>
    </row>
    <row r="351" spans="1:4" x14ac:dyDescent="0.25">
      <c r="A351" s="32" t="s">
        <v>212</v>
      </c>
      <c r="B351" s="32" t="s">
        <v>2149</v>
      </c>
      <c r="C351" t="s">
        <v>2147</v>
      </c>
      <c r="D351">
        <v>1</v>
      </c>
    </row>
    <row r="352" spans="1:4" x14ac:dyDescent="0.25">
      <c r="A352" s="32" t="s">
        <v>220</v>
      </c>
      <c r="B352" s="32" t="s">
        <v>2149</v>
      </c>
      <c r="C352" t="s">
        <v>2147</v>
      </c>
      <c r="D352">
        <v>1</v>
      </c>
    </row>
    <row r="353" spans="1:4" x14ac:dyDescent="0.25">
      <c r="A353" s="32" t="s">
        <v>224</v>
      </c>
      <c r="B353" s="32" t="s">
        <v>2149</v>
      </c>
      <c r="C353" t="s">
        <v>2147</v>
      </c>
      <c r="D353">
        <v>1</v>
      </c>
    </row>
    <row r="354" spans="1:4" x14ac:dyDescent="0.25">
      <c r="A354" s="32" t="s">
        <v>225</v>
      </c>
      <c r="B354" s="32" t="s">
        <v>2149</v>
      </c>
      <c r="C354" t="s">
        <v>2147</v>
      </c>
      <c r="D354">
        <v>1</v>
      </c>
    </row>
    <row r="355" spans="1:4" x14ac:dyDescent="0.25">
      <c r="A355" s="32" t="s">
        <v>227</v>
      </c>
      <c r="B355" s="32" t="s">
        <v>2149</v>
      </c>
      <c r="C355" t="s">
        <v>2147</v>
      </c>
      <c r="D355">
        <v>1</v>
      </c>
    </row>
    <row r="356" spans="1:4" x14ac:dyDescent="0.25">
      <c r="A356" s="32" t="s">
        <v>229</v>
      </c>
      <c r="B356" s="32" t="s">
        <v>2149</v>
      </c>
      <c r="C356" t="s">
        <v>2147</v>
      </c>
      <c r="D356">
        <v>1</v>
      </c>
    </row>
    <row r="357" spans="1:4" x14ac:dyDescent="0.25">
      <c r="A357" s="32" t="s">
        <v>231</v>
      </c>
      <c r="B357" s="32" t="s">
        <v>2149</v>
      </c>
      <c r="C357" t="s">
        <v>2147</v>
      </c>
      <c r="D357">
        <v>1</v>
      </c>
    </row>
    <row r="358" spans="1:4" x14ac:dyDescent="0.25">
      <c r="A358" s="32" t="s">
        <v>232</v>
      </c>
      <c r="B358" s="32" t="s">
        <v>2149</v>
      </c>
      <c r="C358" t="s">
        <v>2147</v>
      </c>
      <c r="D358">
        <v>1</v>
      </c>
    </row>
    <row r="359" spans="1:4" x14ac:dyDescent="0.25">
      <c r="A359" s="32" t="s">
        <v>234</v>
      </c>
      <c r="B359" s="32" t="s">
        <v>2149</v>
      </c>
      <c r="C359" t="s">
        <v>424</v>
      </c>
      <c r="D359">
        <v>1</v>
      </c>
    </row>
    <row r="360" spans="1:4" x14ac:dyDescent="0.25">
      <c r="A360" s="32" t="s">
        <v>11</v>
      </c>
      <c r="B360" s="32" t="s">
        <v>2195</v>
      </c>
      <c r="C360" t="s">
        <v>2190</v>
      </c>
      <c r="D360">
        <v>1</v>
      </c>
    </row>
    <row r="361" spans="1:4" x14ac:dyDescent="0.25">
      <c r="A361" s="32" t="s">
        <v>12</v>
      </c>
      <c r="B361" s="32" t="s">
        <v>2195</v>
      </c>
      <c r="C361" t="s">
        <v>637</v>
      </c>
      <c r="D361">
        <v>1</v>
      </c>
    </row>
    <row r="362" spans="1:4" x14ac:dyDescent="0.25">
      <c r="A362" s="32" t="s">
        <v>16</v>
      </c>
      <c r="B362" s="32" t="s">
        <v>2195</v>
      </c>
      <c r="C362" t="s">
        <v>2190</v>
      </c>
      <c r="D362">
        <v>1</v>
      </c>
    </row>
    <row r="363" spans="1:4" x14ac:dyDescent="0.25">
      <c r="A363" s="32" t="s">
        <v>20</v>
      </c>
      <c r="B363" s="32" t="s">
        <v>2195</v>
      </c>
      <c r="C363" t="s">
        <v>2190</v>
      </c>
      <c r="D363">
        <v>1</v>
      </c>
    </row>
    <row r="364" spans="1:4" x14ac:dyDescent="0.25">
      <c r="A364" s="32" t="s">
        <v>22</v>
      </c>
      <c r="B364" s="32" t="s">
        <v>2195</v>
      </c>
      <c r="C364" t="s">
        <v>2558</v>
      </c>
      <c r="D364">
        <v>19</v>
      </c>
    </row>
    <row r="365" spans="1:4" x14ac:dyDescent="0.25">
      <c r="A365" s="32" t="s">
        <v>24</v>
      </c>
      <c r="B365" s="32" t="s">
        <v>2195</v>
      </c>
      <c r="C365" t="s">
        <v>2190</v>
      </c>
      <c r="D365">
        <v>1</v>
      </c>
    </row>
    <row r="366" spans="1:4" x14ac:dyDescent="0.25">
      <c r="A366" s="32" t="s">
        <v>26</v>
      </c>
      <c r="B366" s="32" t="s">
        <v>2195</v>
      </c>
      <c r="C366" t="s">
        <v>2196</v>
      </c>
      <c r="D366">
        <v>8</v>
      </c>
    </row>
    <row r="367" spans="1:4" x14ac:dyDescent="0.25">
      <c r="A367" s="32" t="s">
        <v>30</v>
      </c>
      <c r="B367" s="32" t="s">
        <v>2195</v>
      </c>
      <c r="C367" t="s">
        <v>469</v>
      </c>
      <c r="D367">
        <v>1</v>
      </c>
    </row>
    <row r="368" spans="1:4" x14ac:dyDescent="0.25">
      <c r="A368" s="32" t="s">
        <v>32</v>
      </c>
      <c r="B368" s="32" t="s">
        <v>2195</v>
      </c>
      <c r="C368" t="s">
        <v>2197</v>
      </c>
      <c r="D368">
        <v>2</v>
      </c>
    </row>
    <row r="369" spans="1:4" x14ac:dyDescent="0.25">
      <c r="A369" s="32" t="s">
        <v>34</v>
      </c>
      <c r="B369" s="32" t="s">
        <v>2195</v>
      </c>
      <c r="C369" t="s">
        <v>2198</v>
      </c>
      <c r="D369">
        <v>6</v>
      </c>
    </row>
    <row r="370" spans="1:4" x14ac:dyDescent="0.25">
      <c r="A370" s="32" t="s">
        <v>37</v>
      </c>
      <c r="B370" s="32" t="s">
        <v>2195</v>
      </c>
      <c r="C370" t="s">
        <v>2190</v>
      </c>
      <c r="D370">
        <v>1</v>
      </c>
    </row>
    <row r="371" spans="1:4" x14ac:dyDescent="0.25">
      <c r="A371" s="32" t="s">
        <v>40</v>
      </c>
      <c r="B371" s="32" t="s">
        <v>2195</v>
      </c>
      <c r="C371" t="s">
        <v>2190</v>
      </c>
      <c r="D371">
        <v>1</v>
      </c>
    </row>
    <row r="372" spans="1:4" x14ac:dyDescent="0.25">
      <c r="A372" s="32" t="s">
        <v>44</v>
      </c>
      <c r="B372" s="32" t="s">
        <v>2195</v>
      </c>
      <c r="C372" t="s">
        <v>2190</v>
      </c>
      <c r="D372">
        <v>1</v>
      </c>
    </row>
    <row r="373" spans="1:4" x14ac:dyDescent="0.25">
      <c r="A373" s="32" t="s">
        <v>46</v>
      </c>
      <c r="B373" s="32" t="s">
        <v>2195</v>
      </c>
      <c r="C373" t="s">
        <v>2190</v>
      </c>
      <c r="D373">
        <v>1</v>
      </c>
    </row>
    <row r="374" spans="1:4" x14ac:dyDescent="0.25">
      <c r="A374" s="32" t="s">
        <v>50</v>
      </c>
      <c r="B374" s="32" t="s">
        <v>2195</v>
      </c>
      <c r="C374" t="s">
        <v>2199</v>
      </c>
      <c r="D374">
        <v>3</v>
      </c>
    </row>
    <row r="375" spans="1:4" x14ac:dyDescent="0.25">
      <c r="A375" s="32" t="s">
        <v>53</v>
      </c>
      <c r="B375" s="32" t="s">
        <v>2195</v>
      </c>
      <c r="C375" t="s">
        <v>2200</v>
      </c>
      <c r="D375">
        <v>2</v>
      </c>
    </row>
    <row r="376" spans="1:4" x14ac:dyDescent="0.25">
      <c r="A376" s="32" t="s">
        <v>59</v>
      </c>
      <c r="B376" s="32" t="s">
        <v>2195</v>
      </c>
      <c r="C376" t="s">
        <v>2190</v>
      </c>
      <c r="D376">
        <v>1</v>
      </c>
    </row>
    <row r="377" spans="1:4" x14ac:dyDescent="0.25">
      <c r="A377" s="32" t="s">
        <v>60</v>
      </c>
      <c r="B377" s="32" t="s">
        <v>2195</v>
      </c>
      <c r="C377" t="s">
        <v>2190</v>
      </c>
      <c r="D377">
        <v>1</v>
      </c>
    </row>
    <row r="378" spans="1:4" x14ac:dyDescent="0.25">
      <c r="A378" s="32" t="s">
        <v>62</v>
      </c>
      <c r="B378" s="32" t="s">
        <v>2195</v>
      </c>
      <c r="C378" t="s">
        <v>2201</v>
      </c>
      <c r="D378">
        <v>3</v>
      </c>
    </row>
    <row r="379" spans="1:4" x14ac:dyDescent="0.25">
      <c r="A379" s="32" t="s">
        <v>66</v>
      </c>
      <c r="B379" s="32" t="s">
        <v>2195</v>
      </c>
      <c r="C379" t="s">
        <v>2202</v>
      </c>
      <c r="D379">
        <v>3</v>
      </c>
    </row>
    <row r="380" spans="1:4" x14ac:dyDescent="0.25">
      <c r="A380" s="32" t="s">
        <v>68</v>
      </c>
      <c r="B380" s="32" t="s">
        <v>2195</v>
      </c>
      <c r="C380" t="s">
        <v>2190</v>
      </c>
      <c r="D380">
        <v>1</v>
      </c>
    </row>
    <row r="381" spans="1:4" x14ac:dyDescent="0.25">
      <c r="A381" s="32" t="s">
        <v>71</v>
      </c>
      <c r="B381" s="32" t="s">
        <v>2195</v>
      </c>
      <c r="C381" t="s">
        <v>2190</v>
      </c>
      <c r="D381">
        <v>1</v>
      </c>
    </row>
    <row r="382" spans="1:4" x14ac:dyDescent="0.25">
      <c r="A382" s="32" t="s">
        <v>74</v>
      </c>
      <c r="B382" s="32" t="s">
        <v>2195</v>
      </c>
      <c r="C382" t="s">
        <v>2203</v>
      </c>
      <c r="D382">
        <v>4</v>
      </c>
    </row>
    <row r="383" spans="1:4" x14ac:dyDescent="0.25">
      <c r="A383" s="32" t="s">
        <v>76</v>
      </c>
      <c r="B383" s="32" t="s">
        <v>2195</v>
      </c>
      <c r="C383" t="s">
        <v>2204</v>
      </c>
      <c r="D383">
        <v>2</v>
      </c>
    </row>
    <row r="384" spans="1:4" x14ac:dyDescent="0.25">
      <c r="A384" s="32" t="s">
        <v>78</v>
      </c>
      <c r="B384" s="32" t="s">
        <v>2195</v>
      </c>
      <c r="C384" t="s">
        <v>2205</v>
      </c>
      <c r="D384">
        <v>8</v>
      </c>
    </row>
    <row r="385" spans="1:4" x14ac:dyDescent="0.25">
      <c r="A385" s="32" t="s">
        <v>80</v>
      </c>
      <c r="B385" s="32" t="s">
        <v>2195</v>
      </c>
      <c r="C385" t="s">
        <v>2206</v>
      </c>
      <c r="D385">
        <v>4</v>
      </c>
    </row>
    <row r="386" spans="1:4" x14ac:dyDescent="0.25">
      <c r="A386" s="32" t="s">
        <v>82</v>
      </c>
      <c r="B386" s="32" t="s">
        <v>2195</v>
      </c>
      <c r="C386" t="s">
        <v>2207</v>
      </c>
      <c r="D386">
        <v>2</v>
      </c>
    </row>
    <row r="387" spans="1:4" x14ac:dyDescent="0.25">
      <c r="A387" s="32" t="s">
        <v>85</v>
      </c>
      <c r="B387" s="32" t="s">
        <v>2195</v>
      </c>
      <c r="C387" t="s">
        <v>2200</v>
      </c>
      <c r="D387">
        <v>2</v>
      </c>
    </row>
    <row r="388" spans="1:4" x14ac:dyDescent="0.25">
      <c r="A388" s="32" t="s">
        <v>87</v>
      </c>
      <c r="B388" s="32" t="s">
        <v>2195</v>
      </c>
      <c r="C388" t="s">
        <v>2208</v>
      </c>
      <c r="D388">
        <v>4</v>
      </c>
    </row>
    <row r="389" spans="1:4" x14ac:dyDescent="0.25">
      <c r="A389" s="32" t="s">
        <v>89</v>
      </c>
      <c r="B389" s="32" t="s">
        <v>2195</v>
      </c>
      <c r="C389" t="s">
        <v>2201</v>
      </c>
      <c r="D389">
        <v>3</v>
      </c>
    </row>
    <row r="390" spans="1:4" x14ac:dyDescent="0.25">
      <c r="A390" s="32" t="s">
        <v>93</v>
      </c>
      <c r="B390" s="32" t="s">
        <v>2195</v>
      </c>
      <c r="C390" t="s">
        <v>2209</v>
      </c>
      <c r="D390">
        <v>5</v>
      </c>
    </row>
    <row r="391" spans="1:4" x14ac:dyDescent="0.25">
      <c r="A391" s="32" t="s">
        <v>95</v>
      </c>
      <c r="B391" s="32" t="s">
        <v>2195</v>
      </c>
      <c r="C391" t="s">
        <v>2210</v>
      </c>
      <c r="D391">
        <v>6</v>
      </c>
    </row>
    <row r="392" spans="1:4" x14ac:dyDescent="0.25">
      <c r="A392" s="32" t="s">
        <v>103</v>
      </c>
      <c r="B392" s="32" t="s">
        <v>2195</v>
      </c>
      <c r="C392" t="s">
        <v>2211</v>
      </c>
      <c r="D392">
        <v>3</v>
      </c>
    </row>
    <row r="393" spans="1:4" x14ac:dyDescent="0.25">
      <c r="A393" s="32" t="s">
        <v>119</v>
      </c>
      <c r="B393" s="32" t="s">
        <v>2195</v>
      </c>
      <c r="C393" t="s">
        <v>2212</v>
      </c>
      <c r="D393">
        <v>4</v>
      </c>
    </row>
    <row r="394" spans="1:4" x14ac:dyDescent="0.25">
      <c r="A394" s="32" t="s">
        <v>120</v>
      </c>
      <c r="B394" s="32" t="s">
        <v>2195</v>
      </c>
      <c r="C394" t="s">
        <v>2190</v>
      </c>
      <c r="D394">
        <v>1</v>
      </c>
    </row>
    <row r="395" spans="1:4" x14ac:dyDescent="0.25">
      <c r="A395" s="32" t="s">
        <v>125</v>
      </c>
      <c r="B395" s="32" t="s">
        <v>2195</v>
      </c>
      <c r="C395" t="s">
        <v>2213</v>
      </c>
      <c r="D395">
        <v>10</v>
      </c>
    </row>
    <row r="396" spans="1:4" x14ac:dyDescent="0.25">
      <c r="A396" s="32" t="s">
        <v>127</v>
      </c>
      <c r="B396" s="32" t="s">
        <v>2195</v>
      </c>
      <c r="C396" t="s">
        <v>2214</v>
      </c>
      <c r="D396">
        <v>2</v>
      </c>
    </row>
    <row r="397" spans="1:4" x14ac:dyDescent="0.25">
      <c r="A397" s="32" t="s">
        <v>128</v>
      </c>
      <c r="B397" s="32" t="s">
        <v>2195</v>
      </c>
      <c r="C397" t="s">
        <v>2215</v>
      </c>
      <c r="D397">
        <v>4</v>
      </c>
    </row>
    <row r="398" spans="1:4" x14ac:dyDescent="0.25">
      <c r="A398" s="32" t="s">
        <v>131</v>
      </c>
      <c r="B398" s="32" t="s">
        <v>2195</v>
      </c>
      <c r="C398" t="s">
        <v>2216</v>
      </c>
      <c r="D398">
        <v>3</v>
      </c>
    </row>
    <row r="399" spans="1:4" x14ac:dyDescent="0.25">
      <c r="A399" s="32" t="s">
        <v>134</v>
      </c>
      <c r="B399" s="32" t="s">
        <v>2195</v>
      </c>
      <c r="C399" t="s">
        <v>2190</v>
      </c>
      <c r="D399">
        <v>1</v>
      </c>
    </row>
    <row r="400" spans="1:4" x14ac:dyDescent="0.25">
      <c r="A400" s="32" t="s">
        <v>138</v>
      </c>
      <c r="B400" s="32" t="s">
        <v>2195</v>
      </c>
      <c r="C400" t="s">
        <v>2217</v>
      </c>
      <c r="D400">
        <v>4</v>
      </c>
    </row>
    <row r="401" spans="1:4" x14ac:dyDescent="0.25">
      <c r="A401" s="32" t="s">
        <v>150</v>
      </c>
      <c r="B401" s="32" t="s">
        <v>2195</v>
      </c>
      <c r="C401" t="s">
        <v>2190</v>
      </c>
      <c r="D401">
        <v>1</v>
      </c>
    </row>
    <row r="402" spans="1:4" x14ac:dyDescent="0.25">
      <c r="A402" s="32" t="s">
        <v>321</v>
      </c>
      <c r="B402" s="32" t="s">
        <v>2195</v>
      </c>
      <c r="C402" t="s">
        <v>2218</v>
      </c>
      <c r="D402">
        <v>2</v>
      </c>
    </row>
    <row r="403" spans="1:4" x14ac:dyDescent="0.25">
      <c r="A403" s="32" t="s">
        <v>152</v>
      </c>
      <c r="B403" s="32" t="s">
        <v>2195</v>
      </c>
      <c r="C403" t="s">
        <v>2201</v>
      </c>
      <c r="D403">
        <v>3</v>
      </c>
    </row>
    <row r="404" spans="1:4" x14ac:dyDescent="0.25">
      <c r="A404" s="32" t="s">
        <v>153</v>
      </c>
      <c r="B404" s="32" t="s">
        <v>2195</v>
      </c>
      <c r="C404" t="s">
        <v>2219</v>
      </c>
      <c r="D404">
        <v>8</v>
      </c>
    </row>
    <row r="405" spans="1:4" x14ac:dyDescent="0.25">
      <c r="A405" s="32" t="s">
        <v>155</v>
      </c>
      <c r="B405" s="32" t="s">
        <v>2195</v>
      </c>
      <c r="C405" t="s">
        <v>2190</v>
      </c>
      <c r="D405">
        <v>1</v>
      </c>
    </row>
    <row r="406" spans="1:4" x14ac:dyDescent="0.25">
      <c r="A406" s="32" t="s">
        <v>157</v>
      </c>
      <c r="B406" s="32" t="s">
        <v>2195</v>
      </c>
      <c r="C406" t="s">
        <v>2220</v>
      </c>
      <c r="D406">
        <v>4</v>
      </c>
    </row>
    <row r="407" spans="1:4" x14ac:dyDescent="0.25">
      <c r="A407" s="32" t="s">
        <v>158</v>
      </c>
      <c r="B407" s="32" t="s">
        <v>2195</v>
      </c>
      <c r="C407" t="s">
        <v>2221</v>
      </c>
      <c r="D407">
        <v>10</v>
      </c>
    </row>
    <row r="408" spans="1:4" x14ac:dyDescent="0.25">
      <c r="A408" s="32" t="s">
        <v>163</v>
      </c>
      <c r="B408" s="32" t="s">
        <v>2195</v>
      </c>
      <c r="C408" t="s">
        <v>637</v>
      </c>
      <c r="D408">
        <v>1</v>
      </c>
    </row>
    <row r="409" spans="1:4" x14ac:dyDescent="0.25">
      <c r="A409" s="32" t="s">
        <v>166</v>
      </c>
      <c r="B409" s="32" t="s">
        <v>2195</v>
      </c>
      <c r="C409" t="s">
        <v>2222</v>
      </c>
      <c r="D409">
        <v>3</v>
      </c>
    </row>
    <row r="410" spans="1:4" x14ac:dyDescent="0.25">
      <c r="A410" s="32" t="s">
        <v>167</v>
      </c>
      <c r="B410" s="32" t="s">
        <v>2195</v>
      </c>
      <c r="C410" t="s">
        <v>2204</v>
      </c>
      <c r="D410">
        <v>2</v>
      </c>
    </row>
    <row r="411" spans="1:4" x14ac:dyDescent="0.25">
      <c r="A411" s="32" t="s">
        <v>173</v>
      </c>
      <c r="B411" s="32" t="s">
        <v>2195</v>
      </c>
      <c r="C411" t="s">
        <v>2223</v>
      </c>
      <c r="D411">
        <v>5</v>
      </c>
    </row>
    <row r="412" spans="1:4" x14ac:dyDescent="0.25">
      <c r="A412" s="32" t="s">
        <v>175</v>
      </c>
      <c r="B412" s="32" t="s">
        <v>2195</v>
      </c>
      <c r="C412" t="s">
        <v>2647</v>
      </c>
      <c r="D412">
        <v>11</v>
      </c>
    </row>
    <row r="413" spans="1:4" x14ac:dyDescent="0.25">
      <c r="A413" s="32" t="s">
        <v>176</v>
      </c>
      <c r="B413" s="32" t="s">
        <v>2195</v>
      </c>
      <c r="C413" t="s">
        <v>2190</v>
      </c>
      <c r="D413">
        <v>1</v>
      </c>
    </row>
    <row r="414" spans="1:4" x14ac:dyDescent="0.25">
      <c r="A414" s="32" t="s">
        <v>183</v>
      </c>
      <c r="B414" s="32" t="s">
        <v>2195</v>
      </c>
      <c r="C414" t="s">
        <v>2224</v>
      </c>
      <c r="D414">
        <v>5</v>
      </c>
    </row>
    <row r="415" spans="1:4" x14ac:dyDescent="0.25">
      <c r="A415" s="32" t="s">
        <v>187</v>
      </c>
      <c r="B415" s="32" t="s">
        <v>2195</v>
      </c>
      <c r="C415" t="s">
        <v>2190</v>
      </c>
      <c r="D415">
        <v>1</v>
      </c>
    </row>
    <row r="416" spans="1:4" x14ac:dyDescent="0.25">
      <c r="A416" s="32" t="s">
        <v>189</v>
      </c>
      <c r="B416" s="32" t="s">
        <v>2195</v>
      </c>
      <c r="C416" t="s">
        <v>2225</v>
      </c>
      <c r="D416">
        <v>3</v>
      </c>
    </row>
    <row r="417" spans="1:4" x14ac:dyDescent="0.25">
      <c r="A417" s="32" t="s">
        <v>191</v>
      </c>
      <c r="B417" s="32" t="s">
        <v>2195</v>
      </c>
      <c r="C417" t="s">
        <v>2226</v>
      </c>
      <c r="D417">
        <v>2</v>
      </c>
    </row>
    <row r="418" spans="1:4" x14ac:dyDescent="0.25">
      <c r="A418" s="32" t="s">
        <v>194</v>
      </c>
      <c r="B418" s="32" t="s">
        <v>2195</v>
      </c>
      <c r="C418" t="s">
        <v>2227</v>
      </c>
      <c r="D418">
        <v>3</v>
      </c>
    </row>
    <row r="419" spans="1:4" x14ac:dyDescent="0.25">
      <c r="A419" s="32" t="s">
        <v>197</v>
      </c>
      <c r="B419" s="32" t="s">
        <v>2195</v>
      </c>
      <c r="C419" t="s">
        <v>2228</v>
      </c>
      <c r="D419">
        <v>4</v>
      </c>
    </row>
    <row r="420" spans="1:4" x14ac:dyDescent="0.25">
      <c r="A420" s="32" t="s">
        <v>199</v>
      </c>
      <c r="B420" s="32" t="s">
        <v>2195</v>
      </c>
      <c r="C420" t="s">
        <v>2229</v>
      </c>
      <c r="D420">
        <v>2</v>
      </c>
    </row>
    <row r="421" spans="1:4" x14ac:dyDescent="0.25">
      <c r="A421" s="32" t="s">
        <v>202</v>
      </c>
      <c r="B421" s="32" t="s">
        <v>2195</v>
      </c>
      <c r="C421" t="s">
        <v>2230</v>
      </c>
      <c r="D421">
        <v>5</v>
      </c>
    </row>
    <row r="422" spans="1:4" x14ac:dyDescent="0.25">
      <c r="A422" s="32" t="s">
        <v>294</v>
      </c>
      <c r="B422" s="32" t="s">
        <v>2195</v>
      </c>
      <c r="C422" t="s">
        <v>2190</v>
      </c>
      <c r="D422">
        <v>1</v>
      </c>
    </row>
    <row r="423" spans="1:4" x14ac:dyDescent="0.25">
      <c r="A423" s="32" t="s">
        <v>207</v>
      </c>
      <c r="B423" s="32" t="s">
        <v>2195</v>
      </c>
      <c r="C423" t="s">
        <v>2231</v>
      </c>
      <c r="D423">
        <v>3</v>
      </c>
    </row>
    <row r="424" spans="1:4" x14ac:dyDescent="0.25">
      <c r="A424" s="32" t="s">
        <v>211</v>
      </c>
      <c r="B424" s="32" t="s">
        <v>2195</v>
      </c>
      <c r="C424" t="s">
        <v>506</v>
      </c>
      <c r="D424">
        <v>1</v>
      </c>
    </row>
    <row r="425" spans="1:4" x14ac:dyDescent="0.25">
      <c r="A425" s="32" t="s">
        <v>212</v>
      </c>
      <c r="B425" s="32" t="s">
        <v>2195</v>
      </c>
      <c r="C425" t="s">
        <v>2190</v>
      </c>
      <c r="D425">
        <v>1</v>
      </c>
    </row>
    <row r="426" spans="1:4" x14ac:dyDescent="0.25">
      <c r="A426" s="32" t="s">
        <v>216</v>
      </c>
      <c r="B426" s="32" t="s">
        <v>2195</v>
      </c>
      <c r="C426" t="s">
        <v>2190</v>
      </c>
      <c r="D426">
        <v>1</v>
      </c>
    </row>
    <row r="427" spans="1:4" x14ac:dyDescent="0.25">
      <c r="A427" s="32" t="s">
        <v>218</v>
      </c>
      <c r="B427" s="32" t="s">
        <v>2195</v>
      </c>
      <c r="C427" t="s">
        <v>2190</v>
      </c>
      <c r="D427">
        <v>1</v>
      </c>
    </row>
    <row r="428" spans="1:4" x14ac:dyDescent="0.25">
      <c r="A428" s="32" t="s">
        <v>224</v>
      </c>
      <c r="B428" s="32" t="s">
        <v>2195</v>
      </c>
      <c r="C428" t="s">
        <v>2190</v>
      </c>
      <c r="D428">
        <v>1</v>
      </c>
    </row>
    <row r="429" spans="1:4" x14ac:dyDescent="0.25">
      <c r="A429" s="32" t="s">
        <v>225</v>
      </c>
      <c r="B429" s="32" t="s">
        <v>2195</v>
      </c>
      <c r="C429" t="s">
        <v>2190</v>
      </c>
      <c r="D429">
        <v>1</v>
      </c>
    </row>
    <row r="430" spans="1:4" x14ac:dyDescent="0.25">
      <c r="A430" s="32" t="s">
        <v>227</v>
      </c>
      <c r="B430" s="32" t="s">
        <v>2195</v>
      </c>
      <c r="C430" t="s">
        <v>2190</v>
      </c>
      <c r="D430">
        <v>1</v>
      </c>
    </row>
    <row r="431" spans="1:4" x14ac:dyDescent="0.25">
      <c r="A431" s="32" t="s">
        <v>229</v>
      </c>
      <c r="B431" s="32" t="s">
        <v>2195</v>
      </c>
      <c r="C431" t="s">
        <v>2190</v>
      </c>
      <c r="D431">
        <v>1</v>
      </c>
    </row>
    <row r="432" spans="1:4" x14ac:dyDescent="0.25">
      <c r="A432" s="32" t="s">
        <v>231</v>
      </c>
      <c r="B432" s="32" t="s">
        <v>2195</v>
      </c>
      <c r="C432" t="s">
        <v>2190</v>
      </c>
      <c r="D432">
        <v>1</v>
      </c>
    </row>
    <row r="433" spans="1:4" x14ac:dyDescent="0.25">
      <c r="A433" s="32" t="s">
        <v>232</v>
      </c>
      <c r="B433" s="32" t="s">
        <v>2195</v>
      </c>
      <c r="C433" t="s">
        <v>637</v>
      </c>
      <c r="D433">
        <v>1</v>
      </c>
    </row>
    <row r="434" spans="1:4" x14ac:dyDescent="0.25">
      <c r="A434" s="32" t="s">
        <v>234</v>
      </c>
      <c r="B434" s="32" t="s">
        <v>2195</v>
      </c>
      <c r="C434" t="s">
        <v>441</v>
      </c>
      <c r="D434">
        <v>1</v>
      </c>
    </row>
    <row r="435" spans="1:4" x14ac:dyDescent="0.25">
      <c r="A435" s="32" t="s">
        <v>60</v>
      </c>
      <c r="B435" s="32" t="s">
        <v>2584</v>
      </c>
      <c r="C435" t="s">
        <v>2522</v>
      </c>
      <c r="D435">
        <v>1</v>
      </c>
    </row>
    <row r="436" spans="1:4" x14ac:dyDescent="0.25">
      <c r="A436" s="32" t="s">
        <v>66</v>
      </c>
      <c r="B436" s="32" t="s">
        <v>2584</v>
      </c>
      <c r="C436" t="s">
        <v>2532</v>
      </c>
      <c r="D436">
        <v>5</v>
      </c>
    </row>
    <row r="437" spans="1:4" x14ac:dyDescent="0.25">
      <c r="A437" s="32" t="s">
        <v>26</v>
      </c>
      <c r="B437" s="32" t="s">
        <v>2570</v>
      </c>
      <c r="C437" t="s">
        <v>711</v>
      </c>
      <c r="D437">
        <v>1</v>
      </c>
    </row>
    <row r="438" spans="1:4" x14ac:dyDescent="0.25">
      <c r="A438" s="32" t="s">
        <v>66</v>
      </c>
      <c r="B438" s="32" t="s">
        <v>2570</v>
      </c>
      <c r="C438" t="s">
        <v>2474</v>
      </c>
      <c r="D438">
        <v>7</v>
      </c>
    </row>
    <row r="439" spans="1:4" x14ac:dyDescent="0.25">
      <c r="A439" s="32" t="s">
        <v>74</v>
      </c>
      <c r="B439" s="32" t="s">
        <v>2570</v>
      </c>
      <c r="C439" t="s">
        <v>2475</v>
      </c>
      <c r="D439">
        <v>3</v>
      </c>
    </row>
    <row r="440" spans="1:4" x14ac:dyDescent="0.25">
      <c r="A440" s="32" t="s">
        <v>93</v>
      </c>
      <c r="B440" s="32" t="s">
        <v>2570</v>
      </c>
      <c r="C440" t="s">
        <v>2471</v>
      </c>
      <c r="D440">
        <v>1</v>
      </c>
    </row>
    <row r="441" spans="1:4" x14ac:dyDescent="0.25">
      <c r="A441" s="32" t="s">
        <v>103</v>
      </c>
      <c r="B441" s="32" t="s">
        <v>2570</v>
      </c>
      <c r="C441" t="s">
        <v>2476</v>
      </c>
      <c r="D441">
        <v>2</v>
      </c>
    </row>
    <row r="442" spans="1:4" x14ac:dyDescent="0.25">
      <c r="A442" s="32" t="s">
        <v>119</v>
      </c>
      <c r="B442" s="32" t="s">
        <v>2570</v>
      </c>
      <c r="C442" t="s">
        <v>2477</v>
      </c>
      <c r="D442">
        <v>3</v>
      </c>
    </row>
    <row r="443" spans="1:4" x14ac:dyDescent="0.25">
      <c r="A443" s="32" t="s">
        <v>125</v>
      </c>
      <c r="B443" s="32" t="s">
        <v>2570</v>
      </c>
      <c r="C443" t="s">
        <v>2478</v>
      </c>
      <c r="D443">
        <v>2</v>
      </c>
    </row>
    <row r="444" spans="1:4" x14ac:dyDescent="0.25">
      <c r="A444" s="32" t="s">
        <v>138</v>
      </c>
      <c r="B444" s="32" t="s">
        <v>2570</v>
      </c>
      <c r="C444" t="s">
        <v>2471</v>
      </c>
      <c r="D444">
        <v>1</v>
      </c>
    </row>
    <row r="445" spans="1:4" x14ac:dyDescent="0.25">
      <c r="A445" s="32" t="s">
        <v>140</v>
      </c>
      <c r="B445" s="32" t="s">
        <v>2570</v>
      </c>
      <c r="C445" t="s">
        <v>2471</v>
      </c>
      <c r="D445">
        <v>1</v>
      </c>
    </row>
    <row r="446" spans="1:4" x14ac:dyDescent="0.25">
      <c r="A446" s="32" t="s">
        <v>149</v>
      </c>
      <c r="B446" s="32" t="s">
        <v>2570</v>
      </c>
      <c r="C446" t="s">
        <v>2471</v>
      </c>
      <c r="D446">
        <v>1</v>
      </c>
    </row>
    <row r="447" spans="1:4" x14ac:dyDescent="0.25">
      <c r="A447" s="32" t="s">
        <v>153</v>
      </c>
      <c r="B447" s="32" t="s">
        <v>2570</v>
      </c>
      <c r="C447" t="s">
        <v>2479</v>
      </c>
      <c r="D447">
        <v>8</v>
      </c>
    </row>
    <row r="448" spans="1:4" x14ac:dyDescent="0.25">
      <c r="A448" s="32" t="s">
        <v>158</v>
      </c>
      <c r="B448" s="32" t="s">
        <v>2570</v>
      </c>
      <c r="C448" t="s">
        <v>2480</v>
      </c>
      <c r="D448">
        <v>12</v>
      </c>
    </row>
    <row r="449" spans="1:4" x14ac:dyDescent="0.25">
      <c r="A449" s="32" t="s">
        <v>163</v>
      </c>
      <c r="B449" s="32" t="s">
        <v>2570</v>
      </c>
      <c r="C449" t="s">
        <v>2481</v>
      </c>
      <c r="D449">
        <v>2</v>
      </c>
    </row>
    <row r="450" spans="1:4" x14ac:dyDescent="0.25">
      <c r="A450" s="32" t="s">
        <v>166</v>
      </c>
      <c r="B450" s="32" t="s">
        <v>2570</v>
      </c>
      <c r="C450" t="s">
        <v>2482</v>
      </c>
      <c r="D450">
        <v>3</v>
      </c>
    </row>
    <row r="451" spans="1:4" x14ac:dyDescent="0.25">
      <c r="A451" s="32" t="s">
        <v>173</v>
      </c>
      <c r="B451" s="32" t="s">
        <v>2570</v>
      </c>
      <c r="C451" t="s">
        <v>2483</v>
      </c>
      <c r="D451">
        <v>6</v>
      </c>
    </row>
    <row r="452" spans="1:4" x14ac:dyDescent="0.25">
      <c r="A452" s="32" t="s">
        <v>202</v>
      </c>
      <c r="B452" s="32" t="s">
        <v>2570</v>
      </c>
      <c r="C452" t="s">
        <v>2484</v>
      </c>
      <c r="D452">
        <v>5</v>
      </c>
    </row>
    <row r="453" spans="1:4" x14ac:dyDescent="0.25">
      <c r="A453" s="32" t="s">
        <v>207</v>
      </c>
      <c r="B453" s="32" t="s">
        <v>2570</v>
      </c>
      <c r="C453" t="s">
        <v>2471</v>
      </c>
      <c r="D453">
        <v>1</v>
      </c>
    </row>
    <row r="454" spans="1:4" x14ac:dyDescent="0.25">
      <c r="A454" s="32" t="s">
        <v>209</v>
      </c>
      <c r="B454" s="32" t="s">
        <v>2570</v>
      </c>
      <c r="C454" t="s">
        <v>927</v>
      </c>
      <c r="D454">
        <v>1</v>
      </c>
    </row>
    <row r="455" spans="1:4" x14ac:dyDescent="0.25">
      <c r="A455" s="32" t="s">
        <v>224</v>
      </c>
      <c r="B455" s="32" t="s">
        <v>2570</v>
      </c>
      <c r="C455" t="s">
        <v>2471</v>
      </c>
      <c r="D455">
        <v>1</v>
      </c>
    </row>
    <row r="456" spans="1:4" x14ac:dyDescent="0.25">
      <c r="A456" s="32" t="s">
        <v>26</v>
      </c>
      <c r="B456" s="32" t="s">
        <v>2411</v>
      </c>
      <c r="C456" t="s">
        <v>2413</v>
      </c>
      <c r="D456">
        <v>2</v>
      </c>
    </row>
    <row r="457" spans="1:4" x14ac:dyDescent="0.25">
      <c r="A457" s="32" t="s">
        <v>66</v>
      </c>
      <c r="B457" s="32" t="s">
        <v>2411</v>
      </c>
      <c r="C457" t="s">
        <v>2414</v>
      </c>
      <c r="D457">
        <v>7</v>
      </c>
    </row>
    <row r="458" spans="1:4" x14ac:dyDescent="0.25">
      <c r="A458" s="32" t="s">
        <v>74</v>
      </c>
      <c r="B458" s="32" t="s">
        <v>2411</v>
      </c>
      <c r="C458" t="s">
        <v>2413</v>
      </c>
      <c r="D458">
        <v>2</v>
      </c>
    </row>
    <row r="459" spans="1:4" x14ac:dyDescent="0.25">
      <c r="A459" s="32" t="s">
        <v>78</v>
      </c>
      <c r="B459" s="32" t="s">
        <v>2411</v>
      </c>
      <c r="C459" t="s">
        <v>460</v>
      </c>
      <c r="D459">
        <v>1</v>
      </c>
    </row>
    <row r="460" spans="1:4" x14ac:dyDescent="0.25">
      <c r="A460" s="32" t="s">
        <v>87</v>
      </c>
      <c r="B460" s="32" t="s">
        <v>2411</v>
      </c>
      <c r="C460" t="s">
        <v>2415</v>
      </c>
      <c r="D460">
        <v>2</v>
      </c>
    </row>
    <row r="461" spans="1:4" x14ac:dyDescent="0.25">
      <c r="A461" s="32" t="s">
        <v>95</v>
      </c>
      <c r="B461" s="32" t="s">
        <v>2411</v>
      </c>
      <c r="C461" t="s">
        <v>460</v>
      </c>
      <c r="D461">
        <v>1</v>
      </c>
    </row>
    <row r="462" spans="1:4" x14ac:dyDescent="0.25">
      <c r="A462" s="32" t="s">
        <v>119</v>
      </c>
      <c r="B462" s="32" t="s">
        <v>2411</v>
      </c>
      <c r="C462" t="s">
        <v>2416</v>
      </c>
      <c r="D462">
        <v>3</v>
      </c>
    </row>
    <row r="463" spans="1:4" x14ac:dyDescent="0.25">
      <c r="A463" s="32" t="s">
        <v>125</v>
      </c>
      <c r="B463" s="32" t="s">
        <v>2411</v>
      </c>
      <c r="C463" t="s">
        <v>2417</v>
      </c>
      <c r="D463">
        <v>3</v>
      </c>
    </row>
    <row r="464" spans="1:4" x14ac:dyDescent="0.25">
      <c r="A464" s="32" t="s">
        <v>127</v>
      </c>
      <c r="B464" s="32" t="s">
        <v>2411</v>
      </c>
      <c r="C464" t="s">
        <v>2418</v>
      </c>
      <c r="D464">
        <v>2</v>
      </c>
    </row>
    <row r="465" spans="1:4" x14ac:dyDescent="0.25">
      <c r="A465" s="32" t="s">
        <v>138</v>
      </c>
      <c r="B465" s="32" t="s">
        <v>2411</v>
      </c>
      <c r="C465" t="s">
        <v>460</v>
      </c>
      <c r="D465">
        <v>1</v>
      </c>
    </row>
    <row r="466" spans="1:4" x14ac:dyDescent="0.25">
      <c r="A466" s="32" t="s">
        <v>150</v>
      </c>
      <c r="B466" s="32" t="s">
        <v>2411</v>
      </c>
      <c r="C466" t="s">
        <v>460</v>
      </c>
      <c r="D466">
        <v>1</v>
      </c>
    </row>
    <row r="467" spans="1:4" x14ac:dyDescent="0.25">
      <c r="A467" s="32" t="s">
        <v>321</v>
      </c>
      <c r="B467" s="32" t="s">
        <v>2411</v>
      </c>
      <c r="C467" t="s">
        <v>2419</v>
      </c>
      <c r="D467">
        <v>2</v>
      </c>
    </row>
    <row r="468" spans="1:4" x14ac:dyDescent="0.25">
      <c r="A468" s="32" t="s">
        <v>152</v>
      </c>
      <c r="B468" s="32" t="s">
        <v>2411</v>
      </c>
      <c r="C468" t="s">
        <v>2420</v>
      </c>
      <c r="D468">
        <v>2</v>
      </c>
    </row>
    <row r="469" spans="1:4" x14ac:dyDescent="0.25">
      <c r="A469" s="32" t="s">
        <v>153</v>
      </c>
      <c r="B469" s="32" t="s">
        <v>2411</v>
      </c>
      <c r="C469" t="s">
        <v>2421</v>
      </c>
      <c r="D469">
        <v>9</v>
      </c>
    </row>
    <row r="470" spans="1:4" x14ac:dyDescent="0.25">
      <c r="A470" s="32" t="s">
        <v>173</v>
      </c>
      <c r="B470" s="32" t="s">
        <v>2411</v>
      </c>
      <c r="C470" t="s">
        <v>2422</v>
      </c>
      <c r="D470">
        <v>7</v>
      </c>
    </row>
    <row r="471" spans="1:4" x14ac:dyDescent="0.25">
      <c r="A471" s="32" t="s">
        <v>222</v>
      </c>
      <c r="B471" s="32" t="s">
        <v>2411</v>
      </c>
      <c r="C471" t="s">
        <v>460</v>
      </c>
      <c r="D471">
        <v>1</v>
      </c>
    </row>
    <row r="472" spans="1:4" x14ac:dyDescent="0.25">
      <c r="A472" s="32" t="s">
        <v>26</v>
      </c>
      <c r="B472" s="32" t="s">
        <v>2566</v>
      </c>
      <c r="C472" t="s">
        <v>2392</v>
      </c>
      <c r="D472">
        <v>5</v>
      </c>
    </row>
    <row r="473" spans="1:4" x14ac:dyDescent="0.25">
      <c r="A473" s="32" t="s">
        <v>46</v>
      </c>
      <c r="B473" s="32" t="s">
        <v>2566</v>
      </c>
      <c r="C473" t="s">
        <v>2389</v>
      </c>
      <c r="D473">
        <v>1</v>
      </c>
    </row>
    <row r="474" spans="1:4" x14ac:dyDescent="0.25">
      <c r="A474" s="32" t="s">
        <v>60</v>
      </c>
      <c r="B474" s="32" t="s">
        <v>2566</v>
      </c>
      <c r="C474" t="s">
        <v>2389</v>
      </c>
      <c r="D474">
        <v>1</v>
      </c>
    </row>
    <row r="475" spans="1:4" x14ac:dyDescent="0.25">
      <c r="A475" s="32" t="s">
        <v>62</v>
      </c>
      <c r="B475" s="32" t="s">
        <v>2566</v>
      </c>
      <c r="C475" t="s">
        <v>2393</v>
      </c>
      <c r="D475">
        <v>2</v>
      </c>
    </row>
    <row r="476" spans="1:4" x14ac:dyDescent="0.25">
      <c r="A476" s="32" t="s">
        <v>66</v>
      </c>
      <c r="B476" s="32" t="s">
        <v>2566</v>
      </c>
      <c r="C476" t="s">
        <v>2394</v>
      </c>
      <c r="D476">
        <v>8</v>
      </c>
    </row>
    <row r="477" spans="1:4" x14ac:dyDescent="0.25">
      <c r="A477" s="32" t="s">
        <v>73</v>
      </c>
      <c r="B477" s="32" t="s">
        <v>2566</v>
      </c>
      <c r="C477" t="s">
        <v>2393</v>
      </c>
      <c r="D477">
        <v>2</v>
      </c>
    </row>
    <row r="478" spans="1:4" x14ac:dyDescent="0.25">
      <c r="A478" s="32" t="s">
        <v>74</v>
      </c>
      <c r="B478" s="32" t="s">
        <v>2566</v>
      </c>
      <c r="C478" t="s">
        <v>2395</v>
      </c>
      <c r="D478">
        <v>2</v>
      </c>
    </row>
    <row r="479" spans="1:4" x14ac:dyDescent="0.25">
      <c r="A479" s="32" t="s">
        <v>76</v>
      </c>
      <c r="B479" s="32" t="s">
        <v>2566</v>
      </c>
      <c r="C479" t="s">
        <v>2396</v>
      </c>
      <c r="D479">
        <v>2</v>
      </c>
    </row>
    <row r="480" spans="1:4" x14ac:dyDescent="0.25">
      <c r="A480" s="32" t="s">
        <v>78</v>
      </c>
      <c r="B480" s="32" t="s">
        <v>2566</v>
      </c>
      <c r="C480" t="s">
        <v>759</v>
      </c>
      <c r="D480">
        <v>1</v>
      </c>
    </row>
    <row r="481" spans="1:4" x14ac:dyDescent="0.25">
      <c r="A481" s="32" t="s">
        <v>80</v>
      </c>
      <c r="B481" s="32" t="s">
        <v>2566</v>
      </c>
      <c r="C481" t="s">
        <v>2389</v>
      </c>
      <c r="D481">
        <v>1</v>
      </c>
    </row>
    <row r="482" spans="1:4" x14ac:dyDescent="0.25">
      <c r="A482" s="32" t="s">
        <v>82</v>
      </c>
      <c r="B482" s="32" t="s">
        <v>2566</v>
      </c>
      <c r="C482" t="s">
        <v>2389</v>
      </c>
      <c r="D482">
        <v>1</v>
      </c>
    </row>
    <row r="483" spans="1:4" x14ac:dyDescent="0.25">
      <c r="A483" s="32" t="s">
        <v>87</v>
      </c>
      <c r="B483" s="32" t="s">
        <v>2566</v>
      </c>
      <c r="C483" t="s">
        <v>2397</v>
      </c>
      <c r="D483">
        <v>3</v>
      </c>
    </row>
    <row r="484" spans="1:4" x14ac:dyDescent="0.25">
      <c r="A484" s="32" t="s">
        <v>93</v>
      </c>
      <c r="B484" s="32" t="s">
        <v>2566</v>
      </c>
      <c r="C484" t="s">
        <v>2398</v>
      </c>
      <c r="D484">
        <v>4</v>
      </c>
    </row>
    <row r="485" spans="1:4" x14ac:dyDescent="0.25">
      <c r="A485" s="32" t="s">
        <v>95</v>
      </c>
      <c r="B485" s="32" t="s">
        <v>2566</v>
      </c>
      <c r="C485" t="s">
        <v>2399</v>
      </c>
      <c r="D485">
        <v>2</v>
      </c>
    </row>
    <row r="486" spans="1:4" x14ac:dyDescent="0.25">
      <c r="A486" s="32" t="s">
        <v>99</v>
      </c>
      <c r="B486" s="32" t="s">
        <v>2566</v>
      </c>
      <c r="C486" t="s">
        <v>2393</v>
      </c>
      <c r="D486">
        <v>2</v>
      </c>
    </row>
    <row r="487" spans="1:4" x14ac:dyDescent="0.25">
      <c r="A487" s="32" t="s">
        <v>100</v>
      </c>
      <c r="B487" s="32" t="s">
        <v>2566</v>
      </c>
      <c r="C487" t="s">
        <v>2393</v>
      </c>
      <c r="D487">
        <v>2</v>
      </c>
    </row>
    <row r="488" spans="1:4" x14ac:dyDescent="0.25">
      <c r="A488" s="32" t="s">
        <v>101</v>
      </c>
      <c r="B488" s="32" t="s">
        <v>2566</v>
      </c>
      <c r="C488" t="s">
        <v>2393</v>
      </c>
      <c r="D488">
        <v>2</v>
      </c>
    </row>
    <row r="489" spans="1:4" x14ac:dyDescent="0.25">
      <c r="A489" s="32" t="s">
        <v>102</v>
      </c>
      <c r="B489" s="32" t="s">
        <v>2566</v>
      </c>
      <c r="C489" t="s">
        <v>2389</v>
      </c>
      <c r="D489">
        <v>1</v>
      </c>
    </row>
    <row r="490" spans="1:4" x14ac:dyDescent="0.25">
      <c r="A490" s="32" t="s">
        <v>103</v>
      </c>
      <c r="B490" s="32" t="s">
        <v>2566</v>
      </c>
      <c r="C490" t="s">
        <v>2400</v>
      </c>
      <c r="D490">
        <v>2</v>
      </c>
    </row>
    <row r="491" spans="1:4" x14ac:dyDescent="0.25">
      <c r="A491" s="32" t="s">
        <v>105</v>
      </c>
      <c r="B491" s="32" t="s">
        <v>2566</v>
      </c>
      <c r="C491" t="s">
        <v>2389</v>
      </c>
      <c r="D491">
        <v>1</v>
      </c>
    </row>
    <row r="492" spans="1:4" x14ac:dyDescent="0.25">
      <c r="A492" s="32" t="s">
        <v>106</v>
      </c>
      <c r="B492" s="32" t="s">
        <v>2566</v>
      </c>
      <c r="C492" t="s">
        <v>2389</v>
      </c>
      <c r="D492">
        <v>1</v>
      </c>
    </row>
    <row r="493" spans="1:4" x14ac:dyDescent="0.25">
      <c r="A493" s="32" t="s">
        <v>107</v>
      </c>
      <c r="B493" s="32" t="s">
        <v>2566</v>
      </c>
      <c r="C493" t="s">
        <v>2389</v>
      </c>
      <c r="D493">
        <v>1</v>
      </c>
    </row>
    <row r="494" spans="1:4" x14ac:dyDescent="0.25">
      <c r="A494" s="32" t="s">
        <v>108</v>
      </c>
      <c r="B494" s="32" t="s">
        <v>2566</v>
      </c>
      <c r="C494" t="s">
        <v>2389</v>
      </c>
      <c r="D494">
        <v>1</v>
      </c>
    </row>
    <row r="495" spans="1:4" x14ac:dyDescent="0.25">
      <c r="A495" s="32" t="s">
        <v>109</v>
      </c>
      <c r="B495" s="32" t="s">
        <v>2566</v>
      </c>
      <c r="C495" t="s">
        <v>2389</v>
      </c>
      <c r="D495">
        <v>1</v>
      </c>
    </row>
    <row r="496" spans="1:4" x14ac:dyDescent="0.25">
      <c r="A496" s="32" t="s">
        <v>110</v>
      </c>
      <c r="B496" s="32" t="s">
        <v>2566</v>
      </c>
      <c r="C496" t="s">
        <v>2389</v>
      </c>
      <c r="D496">
        <v>1</v>
      </c>
    </row>
    <row r="497" spans="1:4" x14ac:dyDescent="0.25">
      <c r="A497" s="32" t="s">
        <v>111</v>
      </c>
      <c r="B497" s="32" t="s">
        <v>2566</v>
      </c>
      <c r="C497" t="s">
        <v>2389</v>
      </c>
      <c r="D497">
        <v>1</v>
      </c>
    </row>
    <row r="498" spans="1:4" x14ac:dyDescent="0.25">
      <c r="A498" s="32" t="s">
        <v>112</v>
      </c>
      <c r="B498" s="32" t="s">
        <v>2566</v>
      </c>
      <c r="C498" t="s">
        <v>2389</v>
      </c>
      <c r="D498">
        <v>1</v>
      </c>
    </row>
    <row r="499" spans="1:4" x14ac:dyDescent="0.25">
      <c r="A499" s="32" t="s">
        <v>115</v>
      </c>
      <c r="B499" s="32" t="s">
        <v>2566</v>
      </c>
      <c r="C499" t="s">
        <v>2389</v>
      </c>
      <c r="D499">
        <v>1</v>
      </c>
    </row>
    <row r="500" spans="1:4" x14ac:dyDescent="0.25">
      <c r="A500" s="32" t="s">
        <v>116</v>
      </c>
      <c r="B500" s="32" t="s">
        <v>2566</v>
      </c>
      <c r="C500" t="s">
        <v>2389</v>
      </c>
      <c r="D500">
        <v>1</v>
      </c>
    </row>
    <row r="501" spans="1:4" x14ac:dyDescent="0.25">
      <c r="A501" s="32" t="s">
        <v>119</v>
      </c>
      <c r="B501" s="32" t="s">
        <v>2566</v>
      </c>
      <c r="C501" t="s">
        <v>2401</v>
      </c>
      <c r="D501">
        <v>3</v>
      </c>
    </row>
    <row r="502" spans="1:4" x14ac:dyDescent="0.25">
      <c r="A502" s="32" t="s">
        <v>125</v>
      </c>
      <c r="B502" s="32" t="s">
        <v>2566</v>
      </c>
      <c r="C502" t="s">
        <v>2402</v>
      </c>
      <c r="D502">
        <v>10</v>
      </c>
    </row>
    <row r="503" spans="1:4" x14ac:dyDescent="0.25">
      <c r="A503" s="32" t="s">
        <v>138</v>
      </c>
      <c r="B503" s="32" t="s">
        <v>2566</v>
      </c>
      <c r="C503" t="s">
        <v>2389</v>
      </c>
      <c r="D503">
        <v>1</v>
      </c>
    </row>
    <row r="504" spans="1:4" x14ac:dyDescent="0.25">
      <c r="A504" s="32" t="s">
        <v>140</v>
      </c>
      <c r="B504" s="32" t="s">
        <v>2566</v>
      </c>
      <c r="C504" t="s">
        <v>2389</v>
      </c>
      <c r="D504">
        <v>1</v>
      </c>
    </row>
    <row r="505" spans="1:4" x14ac:dyDescent="0.25">
      <c r="A505" s="32" t="s">
        <v>149</v>
      </c>
      <c r="B505" s="32" t="s">
        <v>2566</v>
      </c>
      <c r="C505" t="s">
        <v>2389</v>
      </c>
      <c r="D505">
        <v>1</v>
      </c>
    </row>
    <row r="506" spans="1:4" x14ac:dyDescent="0.25">
      <c r="A506" s="32" t="s">
        <v>152</v>
      </c>
      <c r="B506" s="32" t="s">
        <v>2566</v>
      </c>
      <c r="C506" t="s">
        <v>2389</v>
      </c>
      <c r="D506">
        <v>1</v>
      </c>
    </row>
    <row r="507" spans="1:4" x14ac:dyDescent="0.25">
      <c r="A507" s="32" t="s">
        <v>153</v>
      </c>
      <c r="B507" s="32" t="s">
        <v>2566</v>
      </c>
      <c r="C507" t="s">
        <v>2403</v>
      </c>
      <c r="D507">
        <v>9</v>
      </c>
    </row>
    <row r="508" spans="1:4" x14ac:dyDescent="0.25">
      <c r="A508" s="32" t="s">
        <v>157</v>
      </c>
      <c r="B508" s="32" t="s">
        <v>2566</v>
      </c>
      <c r="C508" t="s">
        <v>2404</v>
      </c>
      <c r="D508">
        <v>4</v>
      </c>
    </row>
    <row r="509" spans="1:4" x14ac:dyDescent="0.25">
      <c r="A509" s="32" t="s">
        <v>158</v>
      </c>
      <c r="B509" s="32" t="s">
        <v>2566</v>
      </c>
      <c r="C509" t="s">
        <v>2405</v>
      </c>
      <c r="D509">
        <v>12</v>
      </c>
    </row>
    <row r="510" spans="1:4" x14ac:dyDescent="0.25">
      <c r="A510" s="32" t="s">
        <v>163</v>
      </c>
      <c r="B510" s="32" t="s">
        <v>2566</v>
      </c>
      <c r="C510" t="s">
        <v>2406</v>
      </c>
      <c r="D510">
        <v>4</v>
      </c>
    </row>
    <row r="511" spans="1:4" x14ac:dyDescent="0.25">
      <c r="A511" s="32" t="s">
        <v>166</v>
      </c>
      <c r="B511" s="32" t="s">
        <v>2566</v>
      </c>
      <c r="C511" t="s">
        <v>2407</v>
      </c>
      <c r="D511">
        <v>3</v>
      </c>
    </row>
    <row r="512" spans="1:4" x14ac:dyDescent="0.25">
      <c r="A512" s="32" t="s">
        <v>167</v>
      </c>
      <c r="B512" s="32" t="s">
        <v>2566</v>
      </c>
      <c r="C512" t="s">
        <v>2389</v>
      </c>
      <c r="D512">
        <v>1</v>
      </c>
    </row>
    <row r="513" spans="1:4" x14ac:dyDescent="0.25">
      <c r="A513" s="32" t="s">
        <v>173</v>
      </c>
      <c r="B513" s="32" t="s">
        <v>2566</v>
      </c>
      <c r="C513" t="s">
        <v>2408</v>
      </c>
      <c r="D513">
        <v>7</v>
      </c>
    </row>
    <row r="514" spans="1:4" x14ac:dyDescent="0.25">
      <c r="A514" s="32" t="s">
        <v>177</v>
      </c>
      <c r="B514" s="32" t="s">
        <v>2566</v>
      </c>
      <c r="C514" t="s">
        <v>2389</v>
      </c>
      <c r="D514">
        <v>1</v>
      </c>
    </row>
    <row r="515" spans="1:4" x14ac:dyDescent="0.25">
      <c r="A515" s="32" t="s">
        <v>191</v>
      </c>
      <c r="B515" s="32" t="s">
        <v>2566</v>
      </c>
      <c r="C515" t="s">
        <v>2395</v>
      </c>
      <c r="D515">
        <v>2</v>
      </c>
    </row>
    <row r="516" spans="1:4" x14ac:dyDescent="0.25">
      <c r="A516" s="32" t="s">
        <v>197</v>
      </c>
      <c r="B516" s="32" t="s">
        <v>2566</v>
      </c>
      <c r="C516" t="s">
        <v>2409</v>
      </c>
      <c r="D516">
        <v>3</v>
      </c>
    </row>
    <row r="517" spans="1:4" x14ac:dyDescent="0.25">
      <c r="A517" s="32" t="s">
        <v>202</v>
      </c>
      <c r="B517" s="32" t="s">
        <v>2566</v>
      </c>
      <c r="C517" t="s">
        <v>2410</v>
      </c>
      <c r="D517">
        <v>4</v>
      </c>
    </row>
    <row r="518" spans="1:4" x14ac:dyDescent="0.25">
      <c r="A518" s="32" t="s">
        <v>207</v>
      </c>
      <c r="B518" s="32" t="s">
        <v>2566</v>
      </c>
      <c r="C518" t="s">
        <v>2389</v>
      </c>
      <c r="D518">
        <v>1</v>
      </c>
    </row>
    <row r="519" spans="1:4" x14ac:dyDescent="0.25">
      <c r="A519" s="32" t="s">
        <v>224</v>
      </c>
      <c r="B519" s="32" t="s">
        <v>2566</v>
      </c>
      <c r="C519" t="s">
        <v>2389</v>
      </c>
      <c r="D519">
        <v>1</v>
      </c>
    </row>
    <row r="520" spans="1:4" x14ac:dyDescent="0.25">
      <c r="A520" s="32" t="s">
        <v>32</v>
      </c>
      <c r="B520" s="32" t="s">
        <v>2573</v>
      </c>
      <c r="C520" t="s">
        <v>2541</v>
      </c>
      <c r="D520">
        <v>1</v>
      </c>
    </row>
    <row r="521" spans="1:4" x14ac:dyDescent="0.25">
      <c r="A521" s="32" t="s">
        <v>57</v>
      </c>
      <c r="B521" s="32" t="s">
        <v>2573</v>
      </c>
      <c r="C521" t="s">
        <v>2541</v>
      </c>
      <c r="D521">
        <v>1</v>
      </c>
    </row>
    <row r="522" spans="1:4" x14ac:dyDescent="0.25">
      <c r="A522" s="32" t="s">
        <v>66</v>
      </c>
      <c r="B522" s="32" t="s">
        <v>2573</v>
      </c>
      <c r="C522" t="s">
        <v>2545</v>
      </c>
      <c r="D522">
        <v>2</v>
      </c>
    </row>
    <row r="523" spans="1:4" x14ac:dyDescent="0.25">
      <c r="A523" s="32" t="s">
        <v>82</v>
      </c>
      <c r="B523" s="32" t="s">
        <v>2573</v>
      </c>
      <c r="C523" t="s">
        <v>2541</v>
      </c>
      <c r="D523">
        <v>1</v>
      </c>
    </row>
    <row r="524" spans="1:4" x14ac:dyDescent="0.25">
      <c r="A524" s="32" t="s">
        <v>89</v>
      </c>
      <c r="B524" s="32" t="s">
        <v>2573</v>
      </c>
      <c r="C524" t="s">
        <v>2541</v>
      </c>
      <c r="D524">
        <v>1</v>
      </c>
    </row>
    <row r="525" spans="1:4" x14ac:dyDescent="0.25">
      <c r="A525" s="32" t="s">
        <v>120</v>
      </c>
      <c r="B525" s="32" t="s">
        <v>2573</v>
      </c>
      <c r="C525" t="s">
        <v>856</v>
      </c>
      <c r="D525">
        <v>1</v>
      </c>
    </row>
    <row r="526" spans="1:4" x14ac:dyDescent="0.25">
      <c r="A526" s="32" t="s">
        <v>11</v>
      </c>
      <c r="B526" s="32" t="s">
        <v>2273</v>
      </c>
      <c r="C526" t="s">
        <v>2271</v>
      </c>
      <c r="D526">
        <v>1</v>
      </c>
    </row>
    <row r="527" spans="1:4" x14ac:dyDescent="0.25">
      <c r="A527" s="32" t="s">
        <v>16</v>
      </c>
      <c r="B527" s="32" t="s">
        <v>2273</v>
      </c>
      <c r="C527" t="s">
        <v>2271</v>
      </c>
      <c r="D527">
        <v>1</v>
      </c>
    </row>
    <row r="528" spans="1:4" x14ac:dyDescent="0.25">
      <c r="A528" s="32" t="s">
        <v>37</v>
      </c>
      <c r="B528" s="32" t="s">
        <v>2273</v>
      </c>
      <c r="C528" t="s">
        <v>2271</v>
      </c>
      <c r="D528">
        <v>1</v>
      </c>
    </row>
    <row r="529" spans="1:4" x14ac:dyDescent="0.25">
      <c r="A529" s="32" t="s">
        <v>53</v>
      </c>
      <c r="B529" s="32" t="s">
        <v>2273</v>
      </c>
      <c r="C529" t="s">
        <v>2271</v>
      </c>
      <c r="D529">
        <v>1</v>
      </c>
    </row>
    <row r="530" spans="1:4" x14ac:dyDescent="0.25">
      <c r="A530" s="32" t="s">
        <v>60</v>
      </c>
      <c r="B530" s="32" t="s">
        <v>2273</v>
      </c>
      <c r="C530" t="s">
        <v>2271</v>
      </c>
      <c r="D530">
        <v>1</v>
      </c>
    </row>
    <row r="531" spans="1:4" x14ac:dyDescent="0.25">
      <c r="A531" s="32" t="s">
        <v>82</v>
      </c>
      <c r="B531" s="32" t="s">
        <v>2273</v>
      </c>
      <c r="C531" t="s">
        <v>2271</v>
      </c>
      <c r="D531">
        <v>1</v>
      </c>
    </row>
    <row r="532" spans="1:4" x14ac:dyDescent="0.25">
      <c r="A532" s="32" t="s">
        <v>150</v>
      </c>
      <c r="B532" s="32" t="s">
        <v>2273</v>
      </c>
      <c r="C532" t="s">
        <v>2271</v>
      </c>
      <c r="D532">
        <v>1</v>
      </c>
    </row>
    <row r="533" spans="1:4" x14ac:dyDescent="0.25">
      <c r="A533" s="32" t="s">
        <v>185</v>
      </c>
      <c r="B533" s="32" t="s">
        <v>2273</v>
      </c>
      <c r="C533" t="s">
        <v>2271</v>
      </c>
      <c r="D533">
        <v>1</v>
      </c>
    </row>
    <row r="534" spans="1:4" x14ac:dyDescent="0.25">
      <c r="A534" s="32" t="s">
        <v>294</v>
      </c>
      <c r="B534" s="32" t="s">
        <v>2273</v>
      </c>
      <c r="C534" t="s">
        <v>2271</v>
      </c>
      <c r="D534">
        <v>1</v>
      </c>
    </row>
    <row r="535" spans="1:4" x14ac:dyDescent="0.25">
      <c r="A535" s="32" t="s">
        <v>211</v>
      </c>
      <c r="B535" s="32" t="s">
        <v>2273</v>
      </c>
      <c r="C535" t="s">
        <v>2271</v>
      </c>
      <c r="D535">
        <v>1</v>
      </c>
    </row>
    <row r="536" spans="1:4" x14ac:dyDescent="0.25">
      <c r="A536" s="32" t="s">
        <v>212</v>
      </c>
      <c r="B536" s="32" t="s">
        <v>2273</v>
      </c>
      <c r="C536" t="s">
        <v>2271</v>
      </c>
      <c r="D536">
        <v>1</v>
      </c>
    </row>
    <row r="537" spans="1:4" x14ac:dyDescent="0.25">
      <c r="A537" s="32" t="s">
        <v>218</v>
      </c>
      <c r="B537" s="32" t="s">
        <v>2273</v>
      </c>
      <c r="C537" t="s">
        <v>2271</v>
      </c>
      <c r="D537">
        <v>1</v>
      </c>
    </row>
    <row r="538" spans="1:4" x14ac:dyDescent="0.25">
      <c r="A538" s="32" t="s">
        <v>220</v>
      </c>
      <c r="B538" s="32" t="s">
        <v>2273</v>
      </c>
      <c r="C538" t="s">
        <v>2271</v>
      </c>
      <c r="D538">
        <v>1</v>
      </c>
    </row>
    <row r="539" spans="1:4" x14ac:dyDescent="0.25">
      <c r="A539" s="32" t="s">
        <v>227</v>
      </c>
      <c r="B539" s="32" t="s">
        <v>2273</v>
      </c>
      <c r="C539" t="s">
        <v>2271</v>
      </c>
      <c r="D539">
        <v>1</v>
      </c>
    </row>
    <row r="540" spans="1:4" x14ac:dyDescent="0.25">
      <c r="A540" s="32" t="s">
        <v>231</v>
      </c>
      <c r="B540" s="32" t="s">
        <v>2273</v>
      </c>
      <c r="C540" t="s">
        <v>2271</v>
      </c>
      <c r="D540">
        <v>1</v>
      </c>
    </row>
    <row r="541" spans="1:4" x14ac:dyDescent="0.25">
      <c r="A541" s="32" t="s">
        <v>234</v>
      </c>
      <c r="B541" s="32" t="s">
        <v>2273</v>
      </c>
      <c r="C541" t="s">
        <v>2271</v>
      </c>
      <c r="D541">
        <v>1</v>
      </c>
    </row>
    <row r="542" spans="1:4" x14ac:dyDescent="0.25">
      <c r="A542" s="32" t="s">
        <v>32</v>
      </c>
      <c r="B542" s="32" t="s">
        <v>2273</v>
      </c>
      <c r="C542" t="s">
        <v>2275</v>
      </c>
      <c r="D542">
        <v>2</v>
      </c>
    </row>
    <row r="543" spans="1:4" x14ac:dyDescent="0.25">
      <c r="A543" s="32" t="s">
        <v>66</v>
      </c>
      <c r="B543" s="32" t="s">
        <v>2273</v>
      </c>
      <c r="C543" t="s">
        <v>2277</v>
      </c>
      <c r="D543">
        <v>3</v>
      </c>
    </row>
    <row r="544" spans="1:4" x14ac:dyDescent="0.25">
      <c r="A544" s="32" t="s">
        <v>22</v>
      </c>
      <c r="B544" s="32" t="s">
        <v>2273</v>
      </c>
      <c r="C544" t="s">
        <v>2274</v>
      </c>
      <c r="D544">
        <v>12</v>
      </c>
    </row>
    <row r="545" spans="1:4" x14ac:dyDescent="0.25">
      <c r="A545" s="32" t="s">
        <v>62</v>
      </c>
      <c r="B545" s="32" t="s">
        <v>2273</v>
      </c>
      <c r="C545" t="s">
        <v>2276</v>
      </c>
      <c r="D545">
        <v>2</v>
      </c>
    </row>
    <row r="546" spans="1:4" x14ac:dyDescent="0.25">
      <c r="A546" s="32" t="s">
        <v>73</v>
      </c>
      <c r="B546" s="32" t="s">
        <v>2273</v>
      </c>
      <c r="C546" t="s">
        <v>2276</v>
      </c>
      <c r="D546">
        <v>2</v>
      </c>
    </row>
    <row r="547" spans="1:4" x14ac:dyDescent="0.25">
      <c r="A547" s="32" t="s">
        <v>152</v>
      </c>
      <c r="B547" s="32" t="s">
        <v>2273</v>
      </c>
      <c r="C547" t="s">
        <v>2284</v>
      </c>
      <c r="D547">
        <v>3</v>
      </c>
    </row>
    <row r="548" spans="1:4" x14ac:dyDescent="0.25">
      <c r="A548" s="32" t="s">
        <v>173</v>
      </c>
      <c r="B548" s="32" t="s">
        <v>2273</v>
      </c>
      <c r="C548" t="s">
        <v>2288</v>
      </c>
      <c r="D548">
        <v>7</v>
      </c>
    </row>
    <row r="549" spans="1:4" x14ac:dyDescent="0.25">
      <c r="A549" s="32" t="s">
        <v>93</v>
      </c>
      <c r="B549" s="32" t="s">
        <v>2273</v>
      </c>
      <c r="C549" t="s">
        <v>2281</v>
      </c>
      <c r="D549">
        <v>2</v>
      </c>
    </row>
    <row r="550" spans="1:4" x14ac:dyDescent="0.25">
      <c r="A550" s="32" t="s">
        <v>158</v>
      </c>
      <c r="B550" s="32" t="s">
        <v>2273</v>
      </c>
      <c r="C550" t="s">
        <v>2286</v>
      </c>
      <c r="D550">
        <v>12</v>
      </c>
    </row>
    <row r="551" spans="1:4" x14ac:dyDescent="0.25">
      <c r="A551" s="32" t="s">
        <v>166</v>
      </c>
      <c r="B551" s="32" t="s">
        <v>2273</v>
      </c>
      <c r="C551" t="s">
        <v>2287</v>
      </c>
      <c r="D551">
        <v>3</v>
      </c>
    </row>
    <row r="552" spans="1:4" x14ac:dyDescent="0.25">
      <c r="A552" s="32" t="s">
        <v>153</v>
      </c>
      <c r="B552" s="32" t="s">
        <v>2273</v>
      </c>
      <c r="C552" t="s">
        <v>2285</v>
      </c>
      <c r="D552">
        <v>8</v>
      </c>
    </row>
    <row r="553" spans="1:4" x14ac:dyDescent="0.25">
      <c r="A553" s="32" t="s">
        <v>74</v>
      </c>
      <c r="B553" s="32" t="s">
        <v>2273</v>
      </c>
      <c r="C553" t="s">
        <v>2278</v>
      </c>
      <c r="D553">
        <v>4</v>
      </c>
    </row>
    <row r="554" spans="1:4" x14ac:dyDescent="0.25">
      <c r="A554" s="32" t="s">
        <v>119</v>
      </c>
      <c r="B554" s="32" t="s">
        <v>2273</v>
      </c>
      <c r="C554" t="s">
        <v>2278</v>
      </c>
      <c r="D554">
        <v>4</v>
      </c>
    </row>
    <row r="555" spans="1:4" x14ac:dyDescent="0.25">
      <c r="A555" s="32" t="s">
        <v>191</v>
      </c>
      <c r="B555" s="32" t="s">
        <v>2273</v>
      </c>
      <c r="C555" t="s">
        <v>2290</v>
      </c>
      <c r="D555">
        <v>2</v>
      </c>
    </row>
    <row r="556" spans="1:4" x14ac:dyDescent="0.25">
      <c r="A556" s="32" t="s">
        <v>202</v>
      </c>
      <c r="B556" s="32" t="s">
        <v>2273</v>
      </c>
      <c r="C556" t="s">
        <v>2292</v>
      </c>
      <c r="D556">
        <v>5</v>
      </c>
    </row>
    <row r="557" spans="1:4" x14ac:dyDescent="0.25">
      <c r="A557" s="32" t="s">
        <v>95</v>
      </c>
      <c r="B557" s="32" t="s">
        <v>2273</v>
      </c>
      <c r="C557" t="s">
        <v>2282</v>
      </c>
      <c r="D557">
        <v>4</v>
      </c>
    </row>
    <row r="558" spans="1:4" x14ac:dyDescent="0.25">
      <c r="A558" s="32" t="s">
        <v>12</v>
      </c>
      <c r="B558" s="32" t="s">
        <v>2273</v>
      </c>
      <c r="C558" t="s">
        <v>639</v>
      </c>
      <c r="D558">
        <v>1</v>
      </c>
    </row>
    <row r="559" spans="1:4" x14ac:dyDescent="0.25">
      <c r="A559" s="32" t="s">
        <v>138</v>
      </c>
      <c r="B559" s="32" t="s">
        <v>2273</v>
      </c>
      <c r="C559" t="s">
        <v>639</v>
      </c>
      <c r="D559">
        <v>1</v>
      </c>
    </row>
    <row r="560" spans="1:4" x14ac:dyDescent="0.25">
      <c r="A560" s="32" t="s">
        <v>163</v>
      </c>
      <c r="B560" s="32" t="s">
        <v>2273</v>
      </c>
      <c r="C560" t="s">
        <v>639</v>
      </c>
      <c r="D560">
        <v>1</v>
      </c>
    </row>
    <row r="561" spans="1:4" x14ac:dyDescent="0.25">
      <c r="A561" s="32" t="s">
        <v>232</v>
      </c>
      <c r="B561" s="32" t="s">
        <v>2273</v>
      </c>
      <c r="C561" t="s">
        <v>639</v>
      </c>
      <c r="D561">
        <v>1</v>
      </c>
    </row>
    <row r="562" spans="1:4" x14ac:dyDescent="0.25">
      <c r="A562" s="32" t="s">
        <v>183</v>
      </c>
      <c r="B562" s="32" t="s">
        <v>2273</v>
      </c>
      <c r="C562" t="s">
        <v>2289</v>
      </c>
      <c r="D562">
        <v>3</v>
      </c>
    </row>
    <row r="563" spans="1:4" x14ac:dyDescent="0.25">
      <c r="A563" s="32" t="s">
        <v>80</v>
      </c>
      <c r="B563" s="32" t="s">
        <v>2273</v>
      </c>
      <c r="C563" t="s">
        <v>2280</v>
      </c>
      <c r="D563">
        <v>3</v>
      </c>
    </row>
    <row r="564" spans="1:4" x14ac:dyDescent="0.25">
      <c r="A564" s="32" t="s">
        <v>197</v>
      </c>
      <c r="B564" s="32" t="s">
        <v>2273</v>
      </c>
      <c r="C564" t="s">
        <v>2291</v>
      </c>
      <c r="D564">
        <v>3</v>
      </c>
    </row>
    <row r="565" spans="1:4" x14ac:dyDescent="0.25">
      <c r="A565" s="32" t="s">
        <v>103</v>
      </c>
      <c r="B565" s="32" t="s">
        <v>2273</v>
      </c>
      <c r="C565" t="s">
        <v>2283</v>
      </c>
      <c r="D565">
        <v>2</v>
      </c>
    </row>
    <row r="566" spans="1:4" x14ac:dyDescent="0.25">
      <c r="A566" s="32" t="s">
        <v>78</v>
      </c>
      <c r="B566" s="32" t="s">
        <v>2273</v>
      </c>
      <c r="C566" t="s">
        <v>2279</v>
      </c>
      <c r="D566">
        <v>4</v>
      </c>
    </row>
    <row r="567" spans="1:4" x14ac:dyDescent="0.25">
      <c r="A567" s="32" t="s">
        <v>125</v>
      </c>
      <c r="B567" s="32" t="s">
        <v>2273</v>
      </c>
      <c r="C567" t="s">
        <v>842</v>
      </c>
      <c r="D567">
        <v>1</v>
      </c>
    </row>
    <row r="568" spans="1:4" x14ac:dyDescent="0.25">
      <c r="A568" s="32" t="s">
        <v>209</v>
      </c>
      <c r="B568" s="32" t="s">
        <v>2273</v>
      </c>
      <c r="C568" t="s">
        <v>924</v>
      </c>
      <c r="D568">
        <v>1</v>
      </c>
    </row>
    <row r="569" spans="1:4" x14ac:dyDescent="0.25">
      <c r="A569" s="32" t="s">
        <v>12</v>
      </c>
      <c r="B569" s="32" t="s">
        <v>2554</v>
      </c>
      <c r="C569" t="s">
        <v>352</v>
      </c>
      <c r="D569">
        <v>1</v>
      </c>
    </row>
    <row r="570" spans="1:4" x14ac:dyDescent="0.25">
      <c r="A570" s="32" t="s">
        <v>16</v>
      </c>
      <c r="B570" s="32" t="s">
        <v>2554</v>
      </c>
      <c r="C570" t="s">
        <v>499</v>
      </c>
      <c r="D570">
        <v>1</v>
      </c>
    </row>
    <row r="571" spans="1:4" x14ac:dyDescent="0.25">
      <c r="A571" s="32" t="s">
        <v>28</v>
      </c>
      <c r="B571" s="32" t="s">
        <v>2554</v>
      </c>
      <c r="C571" t="s">
        <v>2131</v>
      </c>
      <c r="D571">
        <v>1</v>
      </c>
    </row>
    <row r="572" spans="1:4" x14ac:dyDescent="0.25">
      <c r="A572" s="32" t="s">
        <v>30</v>
      </c>
      <c r="B572" s="32" t="s">
        <v>2554</v>
      </c>
      <c r="C572" t="s">
        <v>2135</v>
      </c>
      <c r="D572">
        <v>2</v>
      </c>
    </row>
    <row r="573" spans="1:4" x14ac:dyDescent="0.25">
      <c r="A573" s="32" t="s">
        <v>32</v>
      </c>
      <c r="B573" s="32" t="s">
        <v>2554</v>
      </c>
      <c r="C573" t="s">
        <v>2131</v>
      </c>
      <c r="D573">
        <v>1</v>
      </c>
    </row>
    <row r="574" spans="1:4" x14ac:dyDescent="0.25">
      <c r="A574" s="32" t="s">
        <v>50</v>
      </c>
      <c r="B574" s="32" t="s">
        <v>2554</v>
      </c>
      <c r="C574" t="s">
        <v>2131</v>
      </c>
      <c r="D574">
        <v>1</v>
      </c>
    </row>
    <row r="575" spans="1:4" x14ac:dyDescent="0.25">
      <c r="A575" s="32" t="s">
        <v>66</v>
      </c>
      <c r="B575" s="32" t="s">
        <v>2554</v>
      </c>
      <c r="C575" t="s">
        <v>2588</v>
      </c>
      <c r="D575">
        <v>8</v>
      </c>
    </row>
    <row r="576" spans="1:4" x14ac:dyDescent="0.25">
      <c r="A576" s="32" t="s">
        <v>74</v>
      </c>
      <c r="B576" s="32" t="s">
        <v>2554</v>
      </c>
      <c r="C576" t="s">
        <v>2136</v>
      </c>
      <c r="D576">
        <v>2</v>
      </c>
    </row>
    <row r="577" spans="1:4" x14ac:dyDescent="0.25">
      <c r="A577" s="32" t="s">
        <v>80</v>
      </c>
      <c r="B577" s="32" t="s">
        <v>2554</v>
      </c>
      <c r="C577" t="s">
        <v>2136</v>
      </c>
      <c r="D577">
        <v>2</v>
      </c>
    </row>
    <row r="578" spans="1:4" x14ac:dyDescent="0.25">
      <c r="A578" s="32" t="s">
        <v>82</v>
      </c>
      <c r="B578" s="32" t="s">
        <v>2554</v>
      </c>
      <c r="C578" t="s">
        <v>2131</v>
      </c>
      <c r="D578">
        <v>1</v>
      </c>
    </row>
    <row r="579" spans="1:4" x14ac:dyDescent="0.25">
      <c r="A579" s="32" t="s">
        <v>85</v>
      </c>
      <c r="B579" s="32" t="s">
        <v>2554</v>
      </c>
      <c r="C579" t="s">
        <v>2131</v>
      </c>
      <c r="D579">
        <v>1</v>
      </c>
    </row>
    <row r="580" spans="1:4" x14ac:dyDescent="0.25">
      <c r="A580" s="32" t="s">
        <v>87</v>
      </c>
      <c r="B580" s="32" t="s">
        <v>2554</v>
      </c>
      <c r="C580" t="s">
        <v>2137</v>
      </c>
      <c r="D580">
        <v>3</v>
      </c>
    </row>
    <row r="581" spans="1:4" x14ac:dyDescent="0.25">
      <c r="A581" s="32" t="s">
        <v>93</v>
      </c>
      <c r="B581" s="32" t="s">
        <v>2554</v>
      </c>
      <c r="C581" t="s">
        <v>2138</v>
      </c>
      <c r="D581">
        <v>4</v>
      </c>
    </row>
    <row r="582" spans="1:4" x14ac:dyDescent="0.25">
      <c r="A582" s="32" t="s">
        <v>95</v>
      </c>
      <c r="B582" s="32" t="s">
        <v>2554</v>
      </c>
      <c r="C582" t="s">
        <v>2131</v>
      </c>
      <c r="D582">
        <v>1</v>
      </c>
    </row>
    <row r="583" spans="1:4" x14ac:dyDescent="0.25">
      <c r="A583" s="32" t="s">
        <v>103</v>
      </c>
      <c r="B583" s="32" t="s">
        <v>2554</v>
      </c>
      <c r="C583" t="s">
        <v>2139</v>
      </c>
      <c r="D583">
        <v>3</v>
      </c>
    </row>
    <row r="584" spans="1:4" x14ac:dyDescent="0.25">
      <c r="A584" s="32" t="s">
        <v>119</v>
      </c>
      <c r="B584" s="32" t="s">
        <v>2554</v>
      </c>
      <c r="C584" t="s">
        <v>2140</v>
      </c>
      <c r="D584">
        <v>3</v>
      </c>
    </row>
    <row r="585" spans="1:4" x14ac:dyDescent="0.25">
      <c r="A585" s="32" t="s">
        <v>125</v>
      </c>
      <c r="B585" s="32" t="s">
        <v>2554</v>
      </c>
      <c r="C585" t="s">
        <v>2610</v>
      </c>
      <c r="D585">
        <v>11</v>
      </c>
    </row>
    <row r="586" spans="1:4" x14ac:dyDescent="0.25">
      <c r="A586" s="32" t="s">
        <v>128</v>
      </c>
      <c r="B586" s="32" t="s">
        <v>2554</v>
      </c>
      <c r="C586" t="s">
        <v>770</v>
      </c>
      <c r="D586">
        <v>1</v>
      </c>
    </row>
    <row r="587" spans="1:4" x14ac:dyDescent="0.25">
      <c r="A587" s="32" t="s">
        <v>138</v>
      </c>
      <c r="B587" s="32" t="s">
        <v>2554</v>
      </c>
      <c r="C587" t="s">
        <v>2131</v>
      </c>
      <c r="D587">
        <v>1</v>
      </c>
    </row>
    <row r="588" spans="1:4" x14ac:dyDescent="0.25">
      <c r="A588" s="32" t="s">
        <v>152</v>
      </c>
      <c r="B588" s="32" t="s">
        <v>2554</v>
      </c>
      <c r="C588" t="s">
        <v>2131</v>
      </c>
      <c r="D588">
        <v>1</v>
      </c>
    </row>
    <row r="589" spans="1:4" x14ac:dyDescent="0.25">
      <c r="A589" s="32" t="s">
        <v>153</v>
      </c>
      <c r="B589" s="32" t="s">
        <v>2554</v>
      </c>
      <c r="C589" t="s">
        <v>2645</v>
      </c>
      <c r="D589">
        <v>9</v>
      </c>
    </row>
    <row r="590" spans="1:4" x14ac:dyDescent="0.25">
      <c r="A590" s="32" t="s">
        <v>157</v>
      </c>
      <c r="B590" s="32" t="s">
        <v>2554</v>
      </c>
      <c r="C590" t="s">
        <v>876</v>
      </c>
      <c r="D590">
        <v>1</v>
      </c>
    </row>
    <row r="591" spans="1:4" x14ac:dyDescent="0.25">
      <c r="A591" s="32" t="s">
        <v>158</v>
      </c>
      <c r="B591" s="32" t="s">
        <v>2554</v>
      </c>
      <c r="C591" t="s">
        <v>2646</v>
      </c>
      <c r="D591">
        <v>12</v>
      </c>
    </row>
    <row r="592" spans="1:4" x14ac:dyDescent="0.25">
      <c r="A592" s="32" t="s">
        <v>163</v>
      </c>
      <c r="B592" s="32" t="s">
        <v>2554</v>
      </c>
      <c r="C592" t="s">
        <v>2141</v>
      </c>
      <c r="D592">
        <v>7</v>
      </c>
    </row>
    <row r="593" spans="1:4" x14ac:dyDescent="0.25">
      <c r="A593" s="32" t="s">
        <v>166</v>
      </c>
      <c r="B593" s="32" t="s">
        <v>2554</v>
      </c>
      <c r="C593" t="s">
        <v>2142</v>
      </c>
      <c r="D593">
        <v>3</v>
      </c>
    </row>
    <row r="594" spans="1:4" x14ac:dyDescent="0.25">
      <c r="A594" s="32" t="s">
        <v>170</v>
      </c>
      <c r="B594" s="32" t="s">
        <v>2554</v>
      </c>
      <c r="C594" t="s">
        <v>2131</v>
      </c>
      <c r="D594">
        <v>1</v>
      </c>
    </row>
    <row r="595" spans="1:4" x14ac:dyDescent="0.25">
      <c r="A595" s="32" t="s">
        <v>173</v>
      </c>
      <c r="B595" s="32" t="s">
        <v>2554</v>
      </c>
      <c r="C595" t="s">
        <v>2143</v>
      </c>
      <c r="D595">
        <v>7</v>
      </c>
    </row>
    <row r="596" spans="1:4" x14ac:dyDescent="0.25">
      <c r="A596" s="32" t="s">
        <v>177</v>
      </c>
      <c r="B596" s="32" t="s">
        <v>2554</v>
      </c>
      <c r="C596" t="s">
        <v>2131</v>
      </c>
      <c r="D596">
        <v>1</v>
      </c>
    </row>
    <row r="597" spans="1:4" x14ac:dyDescent="0.25">
      <c r="A597" s="32" t="s">
        <v>200</v>
      </c>
      <c r="B597" s="32" t="s">
        <v>2554</v>
      </c>
      <c r="C597" t="s">
        <v>2131</v>
      </c>
      <c r="D597">
        <v>1</v>
      </c>
    </row>
    <row r="598" spans="1:4" x14ac:dyDescent="0.25">
      <c r="A598" s="32" t="s">
        <v>207</v>
      </c>
      <c r="B598" s="32" t="s">
        <v>2554</v>
      </c>
      <c r="C598" t="s">
        <v>2131</v>
      </c>
      <c r="D598">
        <v>1</v>
      </c>
    </row>
    <row r="599" spans="1:4" x14ac:dyDescent="0.25">
      <c r="A599" s="32" t="s">
        <v>209</v>
      </c>
      <c r="B599" s="32" t="s">
        <v>2554</v>
      </c>
      <c r="C599" t="s">
        <v>2144</v>
      </c>
      <c r="D599">
        <v>2</v>
      </c>
    </row>
    <row r="600" spans="1:4" x14ac:dyDescent="0.25">
      <c r="A600" s="32" t="s">
        <v>211</v>
      </c>
      <c r="B600" s="32" t="s">
        <v>2554</v>
      </c>
      <c r="C600" t="s">
        <v>2145</v>
      </c>
      <c r="D600">
        <v>2</v>
      </c>
    </row>
    <row r="601" spans="1:4" x14ac:dyDescent="0.25">
      <c r="A601" s="32" t="s">
        <v>212</v>
      </c>
      <c r="B601" s="32" t="s">
        <v>2554</v>
      </c>
      <c r="C601" t="s">
        <v>2146</v>
      </c>
      <c r="D601">
        <v>2</v>
      </c>
    </row>
    <row r="602" spans="1:4" x14ac:dyDescent="0.25">
      <c r="A602" s="32" t="s">
        <v>218</v>
      </c>
      <c r="B602" s="32" t="s">
        <v>2554</v>
      </c>
      <c r="C602" t="s">
        <v>1062</v>
      </c>
      <c r="D602">
        <v>1</v>
      </c>
    </row>
    <row r="603" spans="1:4" x14ac:dyDescent="0.25">
      <c r="A603" s="32" t="s">
        <v>225</v>
      </c>
      <c r="B603" s="32" t="s">
        <v>2554</v>
      </c>
      <c r="C603" t="s">
        <v>2131</v>
      </c>
      <c r="D603">
        <v>1</v>
      </c>
    </row>
    <row r="604" spans="1:4" x14ac:dyDescent="0.25">
      <c r="A604" s="32" t="s">
        <v>227</v>
      </c>
      <c r="B604" s="32" t="s">
        <v>2554</v>
      </c>
      <c r="C604" t="s">
        <v>2131</v>
      </c>
      <c r="D604">
        <v>1</v>
      </c>
    </row>
    <row r="605" spans="1:4" x14ac:dyDescent="0.25">
      <c r="A605" s="32" t="s">
        <v>231</v>
      </c>
      <c r="B605" s="32" t="s">
        <v>2554</v>
      </c>
      <c r="C605" t="s">
        <v>2131</v>
      </c>
      <c r="D605">
        <v>1</v>
      </c>
    </row>
    <row r="606" spans="1:4" x14ac:dyDescent="0.25">
      <c r="A606" s="32" t="s">
        <v>234</v>
      </c>
      <c r="B606" s="32" t="s">
        <v>2554</v>
      </c>
      <c r="C606" t="s">
        <v>2131</v>
      </c>
      <c r="D606">
        <v>1</v>
      </c>
    </row>
    <row r="607" spans="1:4" x14ac:dyDescent="0.25">
      <c r="A607" s="32" t="s">
        <v>26</v>
      </c>
      <c r="B607" s="32" t="s">
        <v>2568</v>
      </c>
      <c r="C607" t="s">
        <v>2438</v>
      </c>
      <c r="D607">
        <v>2</v>
      </c>
    </row>
    <row r="608" spans="1:4" x14ac:dyDescent="0.25">
      <c r="A608" s="32" t="s">
        <v>62</v>
      </c>
      <c r="B608" s="32" t="s">
        <v>2568</v>
      </c>
      <c r="C608" t="s">
        <v>2439</v>
      </c>
      <c r="D608">
        <v>2</v>
      </c>
    </row>
    <row r="609" spans="1:4" x14ac:dyDescent="0.25">
      <c r="A609" s="32" t="s">
        <v>66</v>
      </c>
      <c r="B609" s="32" t="s">
        <v>2568</v>
      </c>
      <c r="C609" t="s">
        <v>2440</v>
      </c>
      <c r="D609">
        <v>2</v>
      </c>
    </row>
    <row r="610" spans="1:4" x14ac:dyDescent="0.25">
      <c r="A610" s="32" t="s">
        <v>74</v>
      </c>
      <c r="B610" s="32" t="s">
        <v>2568</v>
      </c>
      <c r="C610" t="s">
        <v>2441</v>
      </c>
      <c r="D610">
        <v>4</v>
      </c>
    </row>
    <row r="611" spans="1:4" x14ac:dyDescent="0.25">
      <c r="A611" s="32" t="s">
        <v>80</v>
      </c>
      <c r="B611" s="32" t="s">
        <v>2568</v>
      </c>
      <c r="C611" t="s">
        <v>2435</v>
      </c>
      <c r="D611">
        <v>1</v>
      </c>
    </row>
    <row r="612" spans="1:4" x14ac:dyDescent="0.25">
      <c r="A612" s="32" t="s">
        <v>82</v>
      </c>
      <c r="B612" s="32" t="s">
        <v>2568</v>
      </c>
      <c r="C612" t="s">
        <v>2435</v>
      </c>
      <c r="D612">
        <v>1</v>
      </c>
    </row>
    <row r="613" spans="1:4" x14ac:dyDescent="0.25">
      <c r="A613" s="32" t="s">
        <v>85</v>
      </c>
      <c r="B613" s="32" t="s">
        <v>2568</v>
      </c>
      <c r="C613" t="s">
        <v>2435</v>
      </c>
      <c r="D613">
        <v>1</v>
      </c>
    </row>
    <row r="614" spans="1:4" x14ac:dyDescent="0.25">
      <c r="A614" s="32" t="s">
        <v>93</v>
      </c>
      <c r="B614" s="32" t="s">
        <v>2568</v>
      </c>
      <c r="C614" t="s">
        <v>2442</v>
      </c>
      <c r="D614">
        <v>2</v>
      </c>
    </row>
    <row r="615" spans="1:4" x14ac:dyDescent="0.25">
      <c r="A615" s="32" t="s">
        <v>103</v>
      </c>
      <c r="B615" s="32" t="s">
        <v>2568</v>
      </c>
      <c r="C615" t="s">
        <v>2435</v>
      </c>
      <c r="D615">
        <v>1</v>
      </c>
    </row>
    <row r="616" spans="1:4" x14ac:dyDescent="0.25">
      <c r="A616" s="32" t="s">
        <v>119</v>
      </c>
      <c r="B616" s="32" t="s">
        <v>2568</v>
      </c>
      <c r="C616" t="s">
        <v>2443</v>
      </c>
      <c r="D616">
        <v>3</v>
      </c>
    </row>
    <row r="617" spans="1:4" x14ac:dyDescent="0.25">
      <c r="A617" s="32" t="s">
        <v>152</v>
      </c>
      <c r="B617" s="32" t="s">
        <v>2568</v>
      </c>
      <c r="C617" t="s">
        <v>2435</v>
      </c>
      <c r="D617">
        <v>1</v>
      </c>
    </row>
    <row r="618" spans="1:4" x14ac:dyDescent="0.25">
      <c r="A618" s="32" t="s">
        <v>153</v>
      </c>
      <c r="B618" s="32" t="s">
        <v>2568</v>
      </c>
      <c r="C618" t="s">
        <v>2444</v>
      </c>
      <c r="D618">
        <v>8</v>
      </c>
    </row>
    <row r="619" spans="1:4" x14ac:dyDescent="0.25">
      <c r="A619" s="32" t="s">
        <v>158</v>
      </c>
      <c r="B619" s="32" t="s">
        <v>2568</v>
      </c>
      <c r="C619" t="s">
        <v>2445</v>
      </c>
      <c r="D619">
        <v>12</v>
      </c>
    </row>
    <row r="620" spans="1:4" x14ac:dyDescent="0.25">
      <c r="A620" s="32" t="s">
        <v>189</v>
      </c>
      <c r="B620" s="32" t="s">
        <v>2568</v>
      </c>
      <c r="C620" t="s">
        <v>2446</v>
      </c>
      <c r="D620">
        <v>4</v>
      </c>
    </row>
    <row r="621" spans="1:4" x14ac:dyDescent="0.25">
      <c r="A621" s="32" t="s">
        <v>191</v>
      </c>
      <c r="B621" s="32" t="s">
        <v>2568</v>
      </c>
      <c r="C621" t="s">
        <v>2447</v>
      </c>
      <c r="D621">
        <v>2</v>
      </c>
    </row>
    <row r="622" spans="1:4" x14ac:dyDescent="0.25">
      <c r="A622" s="32" t="s">
        <v>207</v>
      </c>
      <c r="B622" s="32" t="s">
        <v>2568</v>
      </c>
      <c r="C622" t="s">
        <v>2435</v>
      </c>
      <c r="D622">
        <v>1</v>
      </c>
    </row>
    <row r="623" spans="1:4" x14ac:dyDescent="0.25">
      <c r="A623" s="32" t="s">
        <v>12</v>
      </c>
      <c r="B623" s="32" t="s">
        <v>2555</v>
      </c>
      <c r="C623" t="s">
        <v>2549</v>
      </c>
      <c r="D623">
        <v>1</v>
      </c>
    </row>
    <row r="624" spans="1:4" x14ac:dyDescent="0.25">
      <c r="A624" s="32" t="s">
        <v>16</v>
      </c>
      <c r="B624" s="32" t="s">
        <v>2555</v>
      </c>
      <c r="C624" t="s">
        <v>657</v>
      </c>
      <c r="D624">
        <v>1</v>
      </c>
    </row>
    <row r="625" spans="1:4" x14ac:dyDescent="0.25">
      <c r="A625" s="32" t="s">
        <v>28</v>
      </c>
      <c r="B625" s="32" t="s">
        <v>2555</v>
      </c>
      <c r="C625" t="s">
        <v>2549</v>
      </c>
      <c r="D625">
        <v>1</v>
      </c>
    </row>
    <row r="626" spans="1:4" x14ac:dyDescent="0.25">
      <c r="A626" s="32" t="s">
        <v>30</v>
      </c>
      <c r="B626" s="32" t="s">
        <v>2555</v>
      </c>
      <c r="C626" t="s">
        <v>2549</v>
      </c>
      <c r="D626">
        <v>1</v>
      </c>
    </row>
    <row r="627" spans="1:4" x14ac:dyDescent="0.25">
      <c r="A627" s="32" t="s">
        <v>60</v>
      </c>
      <c r="B627" s="32" t="s">
        <v>2555</v>
      </c>
      <c r="C627" t="s">
        <v>2549</v>
      </c>
      <c r="D627">
        <v>1</v>
      </c>
    </row>
    <row r="628" spans="1:4" x14ac:dyDescent="0.25">
      <c r="A628" s="32" t="s">
        <v>95</v>
      </c>
      <c r="B628" s="32" t="s">
        <v>2555</v>
      </c>
      <c r="C628" t="s">
        <v>2600</v>
      </c>
      <c r="D628">
        <v>3</v>
      </c>
    </row>
    <row r="629" spans="1:4" x14ac:dyDescent="0.25">
      <c r="A629" s="32" t="s">
        <v>211</v>
      </c>
      <c r="B629" s="32" t="s">
        <v>2555</v>
      </c>
      <c r="C629" t="s">
        <v>1061</v>
      </c>
      <c r="D629">
        <v>1</v>
      </c>
    </row>
    <row r="630" spans="1:4" x14ac:dyDescent="0.25">
      <c r="A630" s="32" t="s">
        <v>218</v>
      </c>
      <c r="B630" s="32" t="s">
        <v>2555</v>
      </c>
      <c r="C630" t="s">
        <v>2549</v>
      </c>
      <c r="D630">
        <v>1</v>
      </c>
    </row>
    <row r="631" spans="1:4" x14ac:dyDescent="0.25">
      <c r="A631" s="32" t="s">
        <v>220</v>
      </c>
      <c r="B631" s="32" t="s">
        <v>2555</v>
      </c>
      <c r="C631" t="s">
        <v>2549</v>
      </c>
      <c r="D631">
        <v>1</v>
      </c>
    </row>
    <row r="632" spans="1:4" x14ac:dyDescent="0.25">
      <c r="A632" s="32" t="s">
        <v>225</v>
      </c>
      <c r="B632" s="32" t="s">
        <v>2555</v>
      </c>
      <c r="C632" t="s">
        <v>2549</v>
      </c>
      <c r="D632">
        <v>1</v>
      </c>
    </row>
    <row r="633" spans="1:4" x14ac:dyDescent="0.25">
      <c r="A633" s="32" t="s">
        <v>227</v>
      </c>
      <c r="B633" s="32" t="s">
        <v>2555</v>
      </c>
      <c r="C633" t="s">
        <v>2549</v>
      </c>
      <c r="D633">
        <v>1</v>
      </c>
    </row>
    <row r="634" spans="1:4" x14ac:dyDescent="0.25">
      <c r="A634" s="32" t="s">
        <v>229</v>
      </c>
      <c r="B634" s="32" t="s">
        <v>2555</v>
      </c>
      <c r="C634" t="s">
        <v>2549</v>
      </c>
      <c r="D634">
        <v>1</v>
      </c>
    </row>
    <row r="635" spans="1:4" x14ac:dyDescent="0.25">
      <c r="A635" s="32" t="s">
        <v>234</v>
      </c>
      <c r="B635" s="32" t="s">
        <v>2555</v>
      </c>
      <c r="C635" t="s">
        <v>2549</v>
      </c>
      <c r="D635">
        <v>1</v>
      </c>
    </row>
    <row r="636" spans="1:4" x14ac:dyDescent="0.25">
      <c r="A636" s="32" t="s">
        <v>37</v>
      </c>
      <c r="B636" s="32" t="s">
        <v>2576</v>
      </c>
      <c r="C636" t="s">
        <v>2506</v>
      </c>
      <c r="D636">
        <v>1</v>
      </c>
    </row>
    <row r="637" spans="1:4" x14ac:dyDescent="0.25">
      <c r="A637" s="32" t="s">
        <v>57</v>
      </c>
      <c r="B637" s="32" t="s">
        <v>2583</v>
      </c>
      <c r="C637" t="s">
        <v>502</v>
      </c>
      <c r="D637">
        <v>1</v>
      </c>
    </row>
    <row r="638" spans="1:4" x14ac:dyDescent="0.25">
      <c r="A638" s="32" t="s">
        <v>120</v>
      </c>
      <c r="B638" s="32" t="s">
        <v>2583</v>
      </c>
      <c r="C638" t="s">
        <v>858</v>
      </c>
      <c r="D638">
        <v>1</v>
      </c>
    </row>
    <row r="639" spans="1:4" x14ac:dyDescent="0.25">
      <c r="A639" s="32" t="s">
        <v>152</v>
      </c>
      <c r="B639" s="32" t="s">
        <v>2583</v>
      </c>
      <c r="C639" t="s">
        <v>502</v>
      </c>
      <c r="D639">
        <v>1</v>
      </c>
    </row>
    <row r="640" spans="1:4" x14ac:dyDescent="0.25">
      <c r="A640" s="32" t="s">
        <v>153</v>
      </c>
      <c r="B640" s="32" t="s">
        <v>2583</v>
      </c>
      <c r="C640" t="s">
        <v>2547</v>
      </c>
      <c r="D640">
        <v>2</v>
      </c>
    </row>
    <row r="641" spans="1:4" x14ac:dyDescent="0.25">
      <c r="A641" s="32" t="s">
        <v>166</v>
      </c>
      <c r="B641" s="32" t="s">
        <v>2583</v>
      </c>
      <c r="C641" t="s">
        <v>2548</v>
      </c>
      <c r="D641">
        <v>3</v>
      </c>
    </row>
    <row r="642" spans="1:4" x14ac:dyDescent="0.25">
      <c r="A642" s="32" t="s">
        <v>173</v>
      </c>
      <c r="B642" s="32" t="s">
        <v>2583</v>
      </c>
      <c r="C642" t="s">
        <v>502</v>
      </c>
      <c r="D642">
        <v>1</v>
      </c>
    </row>
    <row r="643" spans="1:4" x14ac:dyDescent="0.25">
      <c r="A643" s="32" t="s">
        <v>187</v>
      </c>
      <c r="B643" s="32" t="s">
        <v>2583</v>
      </c>
      <c r="C643" t="s">
        <v>502</v>
      </c>
      <c r="D643">
        <v>1</v>
      </c>
    </row>
    <row r="644" spans="1:4" x14ac:dyDescent="0.25">
      <c r="A644" s="32" t="s">
        <v>37</v>
      </c>
      <c r="B644" s="32" t="s">
        <v>2574</v>
      </c>
      <c r="C644" t="s">
        <v>2504</v>
      </c>
      <c r="D644">
        <v>1</v>
      </c>
    </row>
    <row r="645" spans="1:4" x14ac:dyDescent="0.25">
      <c r="A645" s="32" t="s">
        <v>6</v>
      </c>
      <c r="B645" s="32" t="s">
        <v>2100</v>
      </c>
      <c r="C645" t="s">
        <v>2552</v>
      </c>
      <c r="D645">
        <v>3</v>
      </c>
    </row>
    <row r="646" spans="1:4" x14ac:dyDescent="0.25">
      <c r="A646" s="32" t="s">
        <v>22</v>
      </c>
      <c r="B646" s="32" t="s">
        <v>2100</v>
      </c>
      <c r="C646" t="s">
        <v>2557</v>
      </c>
      <c r="D646">
        <v>10</v>
      </c>
    </row>
    <row r="647" spans="1:4" x14ac:dyDescent="0.25">
      <c r="A647" s="32" t="s">
        <v>26</v>
      </c>
      <c r="B647" s="32" t="s">
        <v>2100</v>
      </c>
      <c r="C647" t="s">
        <v>2562</v>
      </c>
      <c r="D647">
        <v>5</v>
      </c>
    </row>
    <row r="648" spans="1:4" x14ac:dyDescent="0.25">
      <c r="A648" s="32" t="s">
        <v>32</v>
      </c>
      <c r="B648" s="32" t="s">
        <v>2100</v>
      </c>
      <c r="C648" t="s">
        <v>344</v>
      </c>
      <c r="D648">
        <v>1</v>
      </c>
    </row>
    <row r="649" spans="1:4" x14ac:dyDescent="0.25">
      <c r="A649" s="32" t="s">
        <v>60</v>
      </c>
      <c r="B649" s="32" t="s">
        <v>2100</v>
      </c>
      <c r="C649" t="s">
        <v>344</v>
      </c>
      <c r="D649">
        <v>1</v>
      </c>
    </row>
    <row r="650" spans="1:4" x14ac:dyDescent="0.25">
      <c r="A650" s="32" t="s">
        <v>62</v>
      </c>
      <c r="B650" s="32" t="s">
        <v>2100</v>
      </c>
      <c r="C650" t="s">
        <v>2585</v>
      </c>
      <c r="D650">
        <v>2</v>
      </c>
    </row>
    <row r="651" spans="1:4" x14ac:dyDescent="0.25">
      <c r="A651" s="32" t="s">
        <v>66</v>
      </c>
      <c r="B651" s="32" t="s">
        <v>2100</v>
      </c>
      <c r="C651" t="s">
        <v>2587</v>
      </c>
      <c r="D651">
        <v>6</v>
      </c>
    </row>
    <row r="652" spans="1:4" x14ac:dyDescent="0.25">
      <c r="A652" s="32" t="s">
        <v>74</v>
      </c>
      <c r="B652" s="32" t="s">
        <v>2100</v>
      </c>
      <c r="C652" t="s">
        <v>2591</v>
      </c>
      <c r="D652">
        <v>2</v>
      </c>
    </row>
    <row r="653" spans="1:4" x14ac:dyDescent="0.25">
      <c r="A653" s="32" t="s">
        <v>80</v>
      </c>
      <c r="B653" s="32" t="s">
        <v>2100</v>
      </c>
      <c r="C653" t="s">
        <v>344</v>
      </c>
      <c r="D653">
        <v>1</v>
      </c>
    </row>
    <row r="654" spans="1:4" x14ac:dyDescent="0.25">
      <c r="A654" s="32" t="s">
        <v>87</v>
      </c>
      <c r="B654" s="32" t="s">
        <v>2100</v>
      </c>
      <c r="C654" t="s">
        <v>2594</v>
      </c>
      <c r="D654">
        <v>2</v>
      </c>
    </row>
    <row r="655" spans="1:4" x14ac:dyDescent="0.25">
      <c r="A655" s="32" t="s">
        <v>93</v>
      </c>
      <c r="B655" s="32" t="s">
        <v>2100</v>
      </c>
      <c r="C655" t="s">
        <v>2597</v>
      </c>
      <c r="D655">
        <v>2</v>
      </c>
    </row>
    <row r="656" spans="1:4" x14ac:dyDescent="0.25">
      <c r="A656" s="32" t="s">
        <v>95</v>
      </c>
      <c r="B656" s="32" t="s">
        <v>2100</v>
      </c>
      <c r="C656" t="s">
        <v>2599</v>
      </c>
      <c r="D656">
        <v>2</v>
      </c>
    </row>
    <row r="657" spans="1:4" x14ac:dyDescent="0.25">
      <c r="A657" s="32" t="s">
        <v>119</v>
      </c>
      <c r="B657" s="32" t="s">
        <v>2100</v>
      </c>
      <c r="C657" t="s">
        <v>2602</v>
      </c>
      <c r="D657">
        <v>3</v>
      </c>
    </row>
    <row r="658" spans="1:4" x14ac:dyDescent="0.25">
      <c r="A658" s="32" t="s">
        <v>125</v>
      </c>
      <c r="B658" s="32" t="s">
        <v>2100</v>
      </c>
      <c r="C658" t="s">
        <v>2608</v>
      </c>
      <c r="D658">
        <v>10</v>
      </c>
    </row>
    <row r="659" spans="1:4" x14ac:dyDescent="0.25">
      <c r="A659" s="32" t="s">
        <v>138</v>
      </c>
      <c r="B659" s="32" t="s">
        <v>2100</v>
      </c>
      <c r="C659" t="s">
        <v>344</v>
      </c>
      <c r="D659">
        <v>1</v>
      </c>
    </row>
    <row r="660" spans="1:4" x14ac:dyDescent="0.25">
      <c r="A660" s="32" t="s">
        <v>152</v>
      </c>
      <c r="B660" s="32" t="s">
        <v>2100</v>
      </c>
      <c r="C660" t="s">
        <v>2585</v>
      </c>
      <c r="D660">
        <v>2</v>
      </c>
    </row>
    <row r="661" spans="1:4" x14ac:dyDescent="0.25">
      <c r="A661" s="32" t="s">
        <v>153</v>
      </c>
      <c r="B661" s="32" t="s">
        <v>2100</v>
      </c>
      <c r="C661" t="s">
        <v>2658</v>
      </c>
      <c r="D661">
        <v>9</v>
      </c>
    </row>
    <row r="662" spans="1:4" x14ac:dyDescent="0.25">
      <c r="A662" s="32" t="s">
        <v>163</v>
      </c>
      <c r="B662" s="32" t="s">
        <v>2100</v>
      </c>
      <c r="C662" t="s">
        <v>2661</v>
      </c>
      <c r="D662">
        <v>2</v>
      </c>
    </row>
    <row r="663" spans="1:4" x14ac:dyDescent="0.25">
      <c r="A663" s="32" t="s">
        <v>173</v>
      </c>
      <c r="B663" s="32" t="s">
        <v>2100</v>
      </c>
      <c r="C663" t="s">
        <v>2664</v>
      </c>
      <c r="D663">
        <v>3</v>
      </c>
    </row>
    <row r="664" spans="1:4" x14ac:dyDescent="0.25">
      <c r="A664" s="32" t="s">
        <v>185</v>
      </c>
      <c r="B664" s="32" t="s">
        <v>2100</v>
      </c>
      <c r="C664" t="s">
        <v>344</v>
      </c>
      <c r="D664">
        <v>1</v>
      </c>
    </row>
    <row r="665" spans="1:4" x14ac:dyDescent="0.25">
      <c r="A665" s="32" t="s">
        <v>189</v>
      </c>
      <c r="B665" s="32" t="s">
        <v>2100</v>
      </c>
      <c r="C665" t="s">
        <v>342</v>
      </c>
      <c r="D665">
        <v>1</v>
      </c>
    </row>
    <row r="666" spans="1:4" x14ac:dyDescent="0.25">
      <c r="A666" s="32" t="s">
        <v>191</v>
      </c>
      <c r="B666" s="32" t="s">
        <v>2100</v>
      </c>
      <c r="C666" t="s">
        <v>2591</v>
      </c>
      <c r="D666">
        <v>2</v>
      </c>
    </row>
    <row r="667" spans="1:4" x14ac:dyDescent="0.25">
      <c r="A667" s="32" t="s">
        <v>197</v>
      </c>
      <c r="B667" s="32" t="s">
        <v>2100</v>
      </c>
      <c r="C667" t="s">
        <v>2669</v>
      </c>
      <c r="D667">
        <v>2</v>
      </c>
    </row>
    <row r="668" spans="1:4" x14ac:dyDescent="0.25">
      <c r="A668" s="32" t="s">
        <v>222</v>
      </c>
      <c r="B668" s="32" t="s">
        <v>2100</v>
      </c>
      <c r="C668" t="s">
        <v>344</v>
      </c>
      <c r="D668">
        <v>1</v>
      </c>
    </row>
    <row r="669" spans="1:4" x14ac:dyDescent="0.25">
      <c r="A669" s="32" t="s">
        <v>26</v>
      </c>
      <c r="B669" s="32" t="s">
        <v>2569</v>
      </c>
      <c r="C669" t="s">
        <v>2543</v>
      </c>
      <c r="D669">
        <v>4</v>
      </c>
    </row>
    <row r="670" spans="1:4" x14ac:dyDescent="0.25">
      <c r="A670" s="32" t="s">
        <v>60</v>
      </c>
      <c r="B670" s="32" t="s">
        <v>2569</v>
      </c>
      <c r="C670" t="s">
        <v>493</v>
      </c>
      <c r="D670">
        <v>1</v>
      </c>
    </row>
    <row r="671" spans="1:4" x14ac:dyDescent="0.25">
      <c r="A671" s="32" t="s">
        <v>74</v>
      </c>
      <c r="B671" s="32" t="s">
        <v>2569</v>
      </c>
      <c r="C671" t="s">
        <v>2540</v>
      </c>
      <c r="D671">
        <v>1</v>
      </c>
    </row>
    <row r="672" spans="1:4" x14ac:dyDescent="0.25">
      <c r="A672" s="32" t="s">
        <v>6</v>
      </c>
      <c r="B672" s="32" t="s">
        <v>2551</v>
      </c>
      <c r="C672" t="s">
        <v>2084</v>
      </c>
      <c r="D672">
        <v>4</v>
      </c>
    </row>
    <row r="673" spans="1:4" x14ac:dyDescent="0.25">
      <c r="A673" s="32" t="s">
        <v>18</v>
      </c>
      <c r="B673" s="32" t="s">
        <v>2551</v>
      </c>
      <c r="C673" t="s">
        <v>2082</v>
      </c>
      <c r="D673">
        <v>1</v>
      </c>
    </row>
    <row r="674" spans="1:4" x14ac:dyDescent="0.25">
      <c r="A674" s="32" t="s">
        <v>20</v>
      </c>
      <c r="B674" s="32" t="s">
        <v>2551</v>
      </c>
      <c r="C674" t="s">
        <v>2082</v>
      </c>
      <c r="D674">
        <v>1</v>
      </c>
    </row>
    <row r="675" spans="1:4" x14ac:dyDescent="0.25">
      <c r="A675" s="32" t="s">
        <v>22</v>
      </c>
      <c r="B675" s="32" t="s">
        <v>2551</v>
      </c>
      <c r="C675" t="s">
        <v>2085</v>
      </c>
      <c r="D675">
        <v>6</v>
      </c>
    </row>
    <row r="676" spans="1:4" x14ac:dyDescent="0.25">
      <c r="A676" s="32" t="s">
        <v>32</v>
      </c>
      <c r="B676" s="32" t="s">
        <v>2551</v>
      </c>
      <c r="C676" t="s">
        <v>2082</v>
      </c>
      <c r="D676">
        <v>1</v>
      </c>
    </row>
    <row r="677" spans="1:4" x14ac:dyDescent="0.25">
      <c r="A677" s="32" t="s">
        <v>60</v>
      </c>
      <c r="B677" s="32" t="s">
        <v>2551</v>
      </c>
      <c r="C677" t="s">
        <v>2082</v>
      </c>
      <c r="D677">
        <v>1</v>
      </c>
    </row>
    <row r="678" spans="1:4" x14ac:dyDescent="0.25">
      <c r="A678" s="32" t="s">
        <v>62</v>
      </c>
      <c r="B678" s="32" t="s">
        <v>2551</v>
      </c>
      <c r="C678" t="s">
        <v>2086</v>
      </c>
      <c r="D678">
        <v>2</v>
      </c>
    </row>
    <row r="679" spans="1:4" x14ac:dyDescent="0.25">
      <c r="A679" s="32" t="s">
        <v>66</v>
      </c>
      <c r="B679" s="32" t="s">
        <v>2551</v>
      </c>
      <c r="C679" t="s">
        <v>2087</v>
      </c>
      <c r="D679">
        <v>7</v>
      </c>
    </row>
    <row r="680" spans="1:4" x14ac:dyDescent="0.25">
      <c r="A680" s="32" t="s">
        <v>80</v>
      </c>
      <c r="B680" s="32" t="s">
        <v>2551</v>
      </c>
      <c r="C680" t="s">
        <v>2082</v>
      </c>
      <c r="D680">
        <v>1</v>
      </c>
    </row>
    <row r="681" spans="1:4" x14ac:dyDescent="0.25">
      <c r="A681" s="32" t="s">
        <v>87</v>
      </c>
      <c r="B681" s="32" t="s">
        <v>2551</v>
      </c>
      <c r="C681" t="s">
        <v>2088</v>
      </c>
      <c r="D681">
        <v>2</v>
      </c>
    </row>
    <row r="682" spans="1:4" x14ac:dyDescent="0.25">
      <c r="A682" s="32" t="s">
        <v>89</v>
      </c>
      <c r="B682" s="32" t="s">
        <v>2551</v>
      </c>
      <c r="C682" t="s">
        <v>2086</v>
      </c>
      <c r="D682">
        <v>2</v>
      </c>
    </row>
    <row r="683" spans="1:4" x14ac:dyDescent="0.25">
      <c r="A683" s="32" t="s">
        <v>93</v>
      </c>
      <c r="B683" s="32" t="s">
        <v>2551</v>
      </c>
      <c r="C683" t="s">
        <v>2082</v>
      </c>
      <c r="D683">
        <v>1</v>
      </c>
    </row>
    <row r="684" spans="1:4" x14ac:dyDescent="0.25">
      <c r="A684" s="32" t="s">
        <v>95</v>
      </c>
      <c r="B684" s="32" t="s">
        <v>2551</v>
      </c>
      <c r="C684" t="s">
        <v>2089</v>
      </c>
      <c r="D684">
        <v>2</v>
      </c>
    </row>
    <row r="685" spans="1:4" x14ac:dyDescent="0.25">
      <c r="A685" s="32" t="s">
        <v>103</v>
      </c>
      <c r="B685" s="32" t="s">
        <v>2551</v>
      </c>
      <c r="C685" t="s">
        <v>2082</v>
      </c>
      <c r="D685">
        <v>1</v>
      </c>
    </row>
    <row r="686" spans="1:4" x14ac:dyDescent="0.25">
      <c r="A686" s="32" t="s">
        <v>119</v>
      </c>
      <c r="B686" s="32" t="s">
        <v>2551</v>
      </c>
      <c r="C686" t="s">
        <v>2090</v>
      </c>
      <c r="D686">
        <v>3</v>
      </c>
    </row>
    <row r="687" spans="1:4" x14ac:dyDescent="0.25">
      <c r="A687" s="32" t="s">
        <v>125</v>
      </c>
      <c r="B687" s="32" t="s">
        <v>2551</v>
      </c>
      <c r="C687" t="s">
        <v>2091</v>
      </c>
      <c r="D687">
        <v>11</v>
      </c>
    </row>
    <row r="688" spans="1:4" x14ac:dyDescent="0.25">
      <c r="A688" s="32" t="s">
        <v>127</v>
      </c>
      <c r="B688" s="32" t="s">
        <v>2551</v>
      </c>
      <c r="C688" t="s">
        <v>655</v>
      </c>
      <c r="D688">
        <v>1</v>
      </c>
    </row>
    <row r="689" spans="1:4" x14ac:dyDescent="0.25">
      <c r="A689" s="32" t="s">
        <v>138</v>
      </c>
      <c r="B689" s="32" t="s">
        <v>2551</v>
      </c>
      <c r="C689" t="s">
        <v>2082</v>
      </c>
      <c r="D689">
        <v>1</v>
      </c>
    </row>
    <row r="690" spans="1:4" x14ac:dyDescent="0.25">
      <c r="A690" s="32" t="s">
        <v>140</v>
      </c>
      <c r="B690" s="32" t="s">
        <v>2551</v>
      </c>
      <c r="C690" t="s">
        <v>2092</v>
      </c>
      <c r="D690">
        <v>2</v>
      </c>
    </row>
    <row r="691" spans="1:4" x14ac:dyDescent="0.25">
      <c r="A691" s="32" t="s">
        <v>149</v>
      </c>
      <c r="B691" s="32" t="s">
        <v>2551</v>
      </c>
      <c r="C691" t="s">
        <v>2093</v>
      </c>
      <c r="D691">
        <v>2</v>
      </c>
    </row>
    <row r="692" spans="1:4" x14ac:dyDescent="0.25">
      <c r="A692" s="32" t="s">
        <v>150</v>
      </c>
      <c r="B692" s="32" t="s">
        <v>2551</v>
      </c>
      <c r="C692" t="s">
        <v>2082</v>
      </c>
      <c r="D692">
        <v>1</v>
      </c>
    </row>
    <row r="693" spans="1:4" x14ac:dyDescent="0.25">
      <c r="A693" s="32" t="s">
        <v>152</v>
      </c>
      <c r="B693" s="32" t="s">
        <v>2551</v>
      </c>
      <c r="C693" t="s">
        <v>2086</v>
      </c>
      <c r="D693">
        <v>2</v>
      </c>
    </row>
    <row r="694" spans="1:4" x14ac:dyDescent="0.25">
      <c r="A694" s="32" t="s">
        <v>153</v>
      </c>
      <c r="B694" s="32" t="s">
        <v>2551</v>
      </c>
      <c r="C694" t="s">
        <v>2094</v>
      </c>
      <c r="D694">
        <v>8</v>
      </c>
    </row>
    <row r="695" spans="1:4" x14ac:dyDescent="0.25">
      <c r="A695" s="32" t="s">
        <v>167</v>
      </c>
      <c r="B695" s="32" t="s">
        <v>2551</v>
      </c>
      <c r="C695" t="s">
        <v>2082</v>
      </c>
      <c r="D695">
        <v>1</v>
      </c>
    </row>
    <row r="696" spans="1:4" x14ac:dyDescent="0.25">
      <c r="A696" s="32" t="s">
        <v>173</v>
      </c>
      <c r="B696" s="32" t="s">
        <v>2551</v>
      </c>
      <c r="C696" t="s">
        <v>2095</v>
      </c>
      <c r="D696">
        <v>5</v>
      </c>
    </row>
    <row r="697" spans="1:4" x14ac:dyDescent="0.25">
      <c r="A697" s="32" t="s">
        <v>177</v>
      </c>
      <c r="B697" s="32" t="s">
        <v>2551</v>
      </c>
      <c r="C697" t="s">
        <v>2082</v>
      </c>
      <c r="D697">
        <v>1</v>
      </c>
    </row>
    <row r="698" spans="1:4" x14ac:dyDescent="0.25">
      <c r="A698" s="32" t="s">
        <v>185</v>
      </c>
      <c r="B698" s="32" t="s">
        <v>2551</v>
      </c>
      <c r="C698" t="s">
        <v>2096</v>
      </c>
      <c r="D698">
        <v>3</v>
      </c>
    </row>
    <row r="699" spans="1:4" x14ac:dyDescent="0.25">
      <c r="A699" s="32" t="s">
        <v>187</v>
      </c>
      <c r="B699" s="32" t="s">
        <v>2551</v>
      </c>
      <c r="C699" t="s">
        <v>2082</v>
      </c>
      <c r="D699">
        <v>1</v>
      </c>
    </row>
    <row r="700" spans="1:4" x14ac:dyDescent="0.25">
      <c r="A700" s="32" t="s">
        <v>189</v>
      </c>
      <c r="B700" s="32" t="s">
        <v>2551</v>
      </c>
      <c r="C700" t="s">
        <v>2097</v>
      </c>
      <c r="D700">
        <v>2</v>
      </c>
    </row>
    <row r="701" spans="1:4" x14ac:dyDescent="0.25">
      <c r="A701" s="32" t="s">
        <v>191</v>
      </c>
      <c r="B701" s="32" t="s">
        <v>2551</v>
      </c>
      <c r="C701" t="s">
        <v>2098</v>
      </c>
      <c r="D701">
        <v>2</v>
      </c>
    </row>
    <row r="702" spans="1:4" x14ac:dyDescent="0.25">
      <c r="A702" s="32" t="s">
        <v>196</v>
      </c>
      <c r="B702" s="32" t="s">
        <v>2551</v>
      </c>
      <c r="C702" t="s">
        <v>2082</v>
      </c>
      <c r="D702">
        <v>1</v>
      </c>
    </row>
    <row r="703" spans="1:4" x14ac:dyDescent="0.25">
      <c r="A703" s="32" t="s">
        <v>197</v>
      </c>
      <c r="B703" s="32" t="s">
        <v>2551</v>
      </c>
      <c r="C703" t="s">
        <v>2099</v>
      </c>
      <c r="D703">
        <v>2</v>
      </c>
    </row>
    <row r="704" spans="1:4" x14ac:dyDescent="0.25">
      <c r="A704" s="32" t="s">
        <v>222</v>
      </c>
      <c r="B704" s="32" t="s">
        <v>2551</v>
      </c>
      <c r="C704" t="s">
        <v>2082</v>
      </c>
      <c r="D704">
        <v>1</v>
      </c>
    </row>
    <row r="705" spans="1:4" x14ac:dyDescent="0.25">
      <c r="A705" s="32" t="s">
        <v>26</v>
      </c>
      <c r="B705" s="32" t="s">
        <v>2571</v>
      </c>
      <c r="C705" t="s">
        <v>2486</v>
      </c>
      <c r="D705">
        <v>1</v>
      </c>
    </row>
    <row r="706" spans="1:4" x14ac:dyDescent="0.25">
      <c r="A706" s="32" t="s">
        <v>32</v>
      </c>
      <c r="B706" s="32" t="s">
        <v>2571</v>
      </c>
      <c r="C706" t="s">
        <v>2486</v>
      </c>
      <c r="D706">
        <v>1</v>
      </c>
    </row>
    <row r="707" spans="1:4" x14ac:dyDescent="0.25">
      <c r="A707" s="32" t="s">
        <v>60</v>
      </c>
      <c r="B707" s="32" t="s">
        <v>2571</v>
      </c>
      <c r="C707" t="s">
        <v>2486</v>
      </c>
      <c r="D707">
        <v>1</v>
      </c>
    </row>
    <row r="708" spans="1:4" x14ac:dyDescent="0.25">
      <c r="A708" s="32" t="s">
        <v>66</v>
      </c>
      <c r="B708" s="32" t="s">
        <v>2571</v>
      </c>
      <c r="C708" t="s">
        <v>2488</v>
      </c>
      <c r="D708">
        <v>8</v>
      </c>
    </row>
    <row r="709" spans="1:4" x14ac:dyDescent="0.25">
      <c r="A709" s="32" t="s">
        <v>74</v>
      </c>
      <c r="B709" s="32" t="s">
        <v>2571</v>
      </c>
      <c r="C709" t="s">
        <v>2486</v>
      </c>
      <c r="D709">
        <v>1</v>
      </c>
    </row>
    <row r="710" spans="1:4" x14ac:dyDescent="0.25">
      <c r="A710" s="32" t="s">
        <v>87</v>
      </c>
      <c r="B710" s="32" t="s">
        <v>2571</v>
      </c>
      <c r="C710" t="s">
        <v>2489</v>
      </c>
      <c r="D710">
        <v>3</v>
      </c>
    </row>
    <row r="711" spans="1:4" x14ac:dyDescent="0.25">
      <c r="A711" s="32" t="s">
        <v>93</v>
      </c>
      <c r="B711" s="32" t="s">
        <v>2571</v>
      </c>
      <c r="C711" t="s">
        <v>2490</v>
      </c>
      <c r="D711">
        <v>3</v>
      </c>
    </row>
    <row r="712" spans="1:4" x14ac:dyDescent="0.25">
      <c r="A712" s="32" t="s">
        <v>95</v>
      </c>
      <c r="B712" s="32" t="s">
        <v>2571</v>
      </c>
      <c r="C712" t="s">
        <v>2486</v>
      </c>
      <c r="D712">
        <v>1</v>
      </c>
    </row>
    <row r="713" spans="1:4" x14ac:dyDescent="0.25">
      <c r="A713" s="32" t="s">
        <v>103</v>
      </c>
      <c r="B713" s="32" t="s">
        <v>2571</v>
      </c>
      <c r="C713" t="s">
        <v>2491</v>
      </c>
      <c r="D713">
        <v>3</v>
      </c>
    </row>
    <row r="714" spans="1:4" x14ac:dyDescent="0.25">
      <c r="A714" s="32" t="s">
        <v>119</v>
      </c>
      <c r="B714" s="32" t="s">
        <v>2571</v>
      </c>
      <c r="C714" t="s">
        <v>2492</v>
      </c>
      <c r="D714">
        <v>3</v>
      </c>
    </row>
    <row r="715" spans="1:4" x14ac:dyDescent="0.25">
      <c r="A715" s="32" t="s">
        <v>125</v>
      </c>
      <c r="B715" s="32" t="s">
        <v>2571</v>
      </c>
      <c r="C715" t="s">
        <v>2493</v>
      </c>
      <c r="D715">
        <v>10</v>
      </c>
    </row>
    <row r="716" spans="1:4" x14ac:dyDescent="0.25">
      <c r="A716" s="32" t="s">
        <v>152</v>
      </c>
      <c r="B716" s="32" t="s">
        <v>2571</v>
      </c>
      <c r="C716" t="s">
        <v>2486</v>
      </c>
      <c r="D716">
        <v>1</v>
      </c>
    </row>
    <row r="717" spans="1:4" x14ac:dyDescent="0.25">
      <c r="A717" s="32" t="s">
        <v>153</v>
      </c>
      <c r="B717" s="32" t="s">
        <v>2571</v>
      </c>
      <c r="C717" t="s">
        <v>2494</v>
      </c>
      <c r="D717">
        <v>2</v>
      </c>
    </row>
    <row r="718" spans="1:4" x14ac:dyDescent="0.25">
      <c r="A718" s="32" t="s">
        <v>158</v>
      </c>
      <c r="B718" s="32" t="s">
        <v>2571</v>
      </c>
      <c r="C718" t="s">
        <v>2499</v>
      </c>
      <c r="D718">
        <v>12</v>
      </c>
    </row>
    <row r="719" spans="1:4" x14ac:dyDescent="0.25">
      <c r="A719" s="32" t="s">
        <v>163</v>
      </c>
      <c r="B719" s="32" t="s">
        <v>2571</v>
      </c>
      <c r="C719" t="s">
        <v>2503</v>
      </c>
      <c r="D719">
        <v>7</v>
      </c>
    </row>
    <row r="720" spans="1:4" x14ac:dyDescent="0.25">
      <c r="A720" s="32" t="s">
        <v>166</v>
      </c>
      <c r="B720" s="32" t="s">
        <v>2571</v>
      </c>
      <c r="C720" t="s">
        <v>2495</v>
      </c>
      <c r="D720">
        <v>3</v>
      </c>
    </row>
    <row r="721" spans="1:4" x14ac:dyDescent="0.25">
      <c r="A721" s="32" t="s">
        <v>170</v>
      </c>
      <c r="B721" s="32" t="s">
        <v>2571</v>
      </c>
      <c r="C721" t="s">
        <v>2486</v>
      </c>
      <c r="D721">
        <v>1</v>
      </c>
    </row>
    <row r="722" spans="1:4" x14ac:dyDescent="0.25">
      <c r="A722" s="32" t="s">
        <v>173</v>
      </c>
      <c r="B722" s="32" t="s">
        <v>2571</v>
      </c>
      <c r="C722" t="s">
        <v>2500</v>
      </c>
      <c r="D722">
        <v>6</v>
      </c>
    </row>
    <row r="723" spans="1:4" x14ac:dyDescent="0.25">
      <c r="A723" s="32" t="s">
        <v>185</v>
      </c>
      <c r="B723" s="32" t="s">
        <v>2571</v>
      </c>
      <c r="C723" t="s">
        <v>583</v>
      </c>
      <c r="D723">
        <v>1</v>
      </c>
    </row>
    <row r="724" spans="1:4" x14ac:dyDescent="0.25">
      <c r="A724" s="32" t="s">
        <v>189</v>
      </c>
      <c r="B724" s="32" t="s">
        <v>2571</v>
      </c>
      <c r="C724" t="s">
        <v>2501</v>
      </c>
      <c r="D724">
        <v>10</v>
      </c>
    </row>
    <row r="725" spans="1:4" x14ac:dyDescent="0.25">
      <c r="A725" s="32" t="s">
        <v>191</v>
      </c>
      <c r="B725" s="32" t="s">
        <v>2571</v>
      </c>
      <c r="C725" t="s">
        <v>2496</v>
      </c>
      <c r="D725">
        <v>2</v>
      </c>
    </row>
    <row r="726" spans="1:4" x14ac:dyDescent="0.25">
      <c r="A726" s="32" t="s">
        <v>200</v>
      </c>
      <c r="B726" s="32" t="s">
        <v>2571</v>
      </c>
      <c r="C726" t="s">
        <v>2486</v>
      </c>
      <c r="D726">
        <v>1</v>
      </c>
    </row>
    <row r="727" spans="1:4" x14ac:dyDescent="0.25">
      <c r="A727" s="32" t="s">
        <v>207</v>
      </c>
      <c r="B727" s="32" t="s">
        <v>2571</v>
      </c>
      <c r="C727" t="s">
        <v>2486</v>
      </c>
      <c r="D727">
        <v>1</v>
      </c>
    </row>
    <row r="728" spans="1:4" x14ac:dyDescent="0.25">
      <c r="A728" s="32" t="s">
        <v>119</v>
      </c>
      <c r="B728" s="32" t="s">
        <v>2606</v>
      </c>
      <c r="C728" t="s">
        <v>2524</v>
      </c>
      <c r="D728">
        <v>1</v>
      </c>
    </row>
    <row r="729" spans="1:4" x14ac:dyDescent="0.25">
      <c r="A729" s="32" t="s">
        <v>158</v>
      </c>
      <c r="B729" s="32" t="s">
        <v>2606</v>
      </c>
      <c r="C729" t="s">
        <v>2524</v>
      </c>
      <c r="D729">
        <v>1</v>
      </c>
    </row>
    <row r="730" spans="1:4" x14ac:dyDescent="0.25">
      <c r="A730" s="32" t="s">
        <v>175</v>
      </c>
      <c r="B730" s="32" t="s">
        <v>2606</v>
      </c>
      <c r="C730" t="s">
        <v>2524</v>
      </c>
      <c r="D730">
        <v>1</v>
      </c>
    </row>
    <row r="731" spans="1:4" x14ac:dyDescent="0.25">
      <c r="A731" s="32" t="s">
        <v>191</v>
      </c>
      <c r="B731" s="32" t="s">
        <v>2606</v>
      </c>
      <c r="C731" t="s">
        <v>2524</v>
      </c>
      <c r="D731">
        <v>1</v>
      </c>
    </row>
    <row r="732" spans="1:4" x14ac:dyDescent="0.25">
      <c r="A732" s="32" t="s">
        <v>207</v>
      </c>
      <c r="B732" s="32" t="s">
        <v>2606</v>
      </c>
      <c r="C732" t="s">
        <v>2524</v>
      </c>
      <c r="D732">
        <v>1</v>
      </c>
    </row>
    <row r="733" spans="1:4" x14ac:dyDescent="0.25">
      <c r="A733" s="32" t="s">
        <v>74</v>
      </c>
      <c r="B733" s="32" t="s">
        <v>2592</v>
      </c>
      <c r="C733" t="s">
        <v>852</v>
      </c>
      <c r="D733">
        <v>1</v>
      </c>
    </row>
    <row r="734" spans="1:4" x14ac:dyDescent="0.25">
      <c r="A734" s="32" t="s">
        <v>125</v>
      </c>
      <c r="B734" s="32" t="s">
        <v>2592</v>
      </c>
      <c r="C734" t="s">
        <v>871</v>
      </c>
      <c r="D734">
        <v>1</v>
      </c>
    </row>
    <row r="735" spans="1:4" x14ac:dyDescent="0.25">
      <c r="A735" s="32" t="s">
        <v>138</v>
      </c>
      <c r="B735" s="32" t="s">
        <v>2592</v>
      </c>
      <c r="C735" t="s">
        <v>871</v>
      </c>
      <c r="D735">
        <v>1</v>
      </c>
    </row>
    <row r="736" spans="1:4" x14ac:dyDescent="0.25">
      <c r="A736" s="32" t="s">
        <v>153</v>
      </c>
      <c r="B736" s="32" t="s">
        <v>2592</v>
      </c>
      <c r="C736" t="s">
        <v>2535</v>
      </c>
      <c r="D736">
        <v>7</v>
      </c>
    </row>
    <row r="737" spans="1:4" x14ac:dyDescent="0.25">
      <c r="A737" s="32" t="s">
        <v>158</v>
      </c>
      <c r="B737" s="32" t="s">
        <v>2592</v>
      </c>
      <c r="C737" t="s">
        <v>2660</v>
      </c>
      <c r="D737">
        <v>10</v>
      </c>
    </row>
    <row r="738" spans="1:4" x14ac:dyDescent="0.25">
      <c r="A738" s="32" t="s">
        <v>175</v>
      </c>
      <c r="B738" s="32" t="s">
        <v>2592</v>
      </c>
      <c r="C738" t="s">
        <v>2666</v>
      </c>
      <c r="D738">
        <v>5</v>
      </c>
    </row>
    <row r="739" spans="1:4" x14ac:dyDescent="0.25">
      <c r="A739" s="32" t="s">
        <v>191</v>
      </c>
      <c r="B739" s="32" t="s">
        <v>2592</v>
      </c>
      <c r="C739" t="s">
        <v>917</v>
      </c>
      <c r="D739">
        <v>1</v>
      </c>
    </row>
    <row r="740" spans="1:4" x14ac:dyDescent="0.25">
      <c r="A740" s="32" t="s">
        <v>119</v>
      </c>
      <c r="B740" s="32" t="s">
        <v>2607</v>
      </c>
      <c r="C740" t="s">
        <v>853</v>
      </c>
      <c r="D740">
        <v>1</v>
      </c>
    </row>
    <row r="741" spans="1:4" x14ac:dyDescent="0.25">
      <c r="A741" s="32" t="s">
        <v>158</v>
      </c>
      <c r="B741" s="32" t="s">
        <v>2607</v>
      </c>
      <c r="C741" t="s">
        <v>853</v>
      </c>
      <c r="D741">
        <v>1</v>
      </c>
    </row>
    <row r="742" spans="1:4" x14ac:dyDescent="0.25">
      <c r="A742" s="32" t="s">
        <v>6</v>
      </c>
      <c r="B742" s="32" t="s">
        <v>2553</v>
      </c>
      <c r="C742" t="s">
        <v>347</v>
      </c>
      <c r="D742">
        <v>1</v>
      </c>
    </row>
    <row r="744" spans="1:4" x14ac:dyDescent="0.25">
      <c r="A744" s="64">
        <f>SUBTOTAL(3,Table_All_in_one_1[Patienten-ID])</f>
        <v>741</v>
      </c>
      <c r="B744" s="64">
        <f>SUBTOTAL(3,Table_All_in_one_1[Parameter])</f>
        <v>741</v>
      </c>
      <c r="C744" s="64">
        <f>SUBTOTAL(3,Table_All_in_one_1[Day of Observation])</f>
        <v>741</v>
      </c>
      <c r="D744" s="64">
        <f>SUBTOTAL(9,Table_All_in_one_1[Total Number of Observations])</f>
        <v>2086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06E498-7739-4EB9-842C-E0386595E9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Raw Data</vt:lpstr>
      <vt:lpstr>Creatin Kinase</vt:lpstr>
      <vt:lpstr>Creatin Kinase Table</vt:lpstr>
      <vt:lpstr>Quick</vt:lpstr>
      <vt:lpstr>Quick Table</vt:lpstr>
      <vt:lpstr>PTT</vt:lpstr>
      <vt:lpstr>PTT Table</vt:lpstr>
      <vt:lpstr>Fibrinogen</vt:lpstr>
      <vt:lpstr>Fibrinogen Table</vt:lpstr>
      <vt:lpstr>AT</vt:lpstr>
      <vt:lpstr>AT Table</vt:lpstr>
      <vt:lpstr>Leukozyten</vt:lpstr>
      <vt:lpstr>Leukozyten Table</vt:lpstr>
      <vt:lpstr>GOT</vt:lpstr>
      <vt:lpstr>GOT Table</vt:lpstr>
      <vt:lpstr>GPT</vt:lpstr>
      <vt:lpstr>GPT Table</vt:lpstr>
      <vt:lpstr>GGT</vt:lpstr>
      <vt:lpstr>GGT Table</vt:lpstr>
      <vt:lpstr>LDH</vt:lpstr>
      <vt:lpstr>LDH Table</vt:lpstr>
      <vt:lpstr>Bilirubin</vt:lpstr>
      <vt:lpstr>Bilirubin Table</vt:lpstr>
      <vt:lpstr>GLDH</vt:lpstr>
      <vt:lpstr>GLDH Table</vt:lpstr>
      <vt:lpstr>AP</vt:lpstr>
      <vt:lpstr>AP Table</vt:lpstr>
      <vt:lpstr>Cholin Estrase</vt:lpstr>
      <vt:lpstr>Choline Estrase Table</vt:lpstr>
      <vt:lpstr>Keratinin</vt:lpstr>
      <vt:lpstr>Keratinin Table </vt:lpstr>
      <vt:lpstr>INR</vt:lpstr>
      <vt:lpstr>INR Table</vt:lpstr>
      <vt:lpstr>Amylase</vt:lpstr>
      <vt:lpstr>Amylase Table</vt:lpstr>
      <vt:lpstr>Lipase</vt:lpstr>
      <vt:lpstr>LipaseTable</vt:lpstr>
      <vt:lpstr>CRP</vt:lpstr>
      <vt:lpstr>CRP Table</vt:lpstr>
      <vt:lpstr>Harnstoff</vt:lpstr>
      <vt:lpstr>Harnstoff Table</vt:lpstr>
      <vt:lpstr>Thrombozyten</vt:lpstr>
      <vt:lpstr>Thrombozyten Table</vt:lpstr>
      <vt:lpstr>Albumin</vt:lpstr>
      <vt:lpstr>Albumin Table</vt:lpstr>
      <vt:lpstr>ABHCTAG</vt:lpstr>
      <vt:lpstr>ABHCTAG Table</vt:lpstr>
      <vt:lpstr>PTZLAKTATNH3</vt:lpstr>
      <vt:lpstr>PTZLAKTATNH3 Table</vt:lpstr>
      <vt:lpstr>All in one</vt:lpstr>
      <vt:lpstr>All in one Table (2)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Schoppmeier, Frauke     sk</dc:creator>
  <cp:lastModifiedBy>Kumar, Arun</cp:lastModifiedBy>
  <cp:lastPrinted>2015-08-29T15:02:36Z</cp:lastPrinted>
  <dcterms:created xsi:type="dcterms:W3CDTF">2015-07-20T10:30:13Z</dcterms:created>
  <dcterms:modified xsi:type="dcterms:W3CDTF">2023-04-20T17:48:33Z</dcterms:modified>
</cp:coreProperties>
</file>