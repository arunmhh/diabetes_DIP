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P:\Arun Kumar_2021\Sjs Study\sjsstudy\"/>
    </mc:Choice>
  </mc:AlternateContent>
  <bookViews>
    <workbookView xWindow="1380" yWindow="3870" windowWidth="21600" windowHeight="11385" tabRatio="943"/>
  </bookViews>
  <sheets>
    <sheet name="Raw Data" sheetId="1" r:id="rId1"/>
    <sheet name="Creatin Kinase" sheetId="2" r:id="rId2"/>
    <sheet name="Creatin Kinase Table" sheetId="4" r:id="rId3"/>
    <sheet name="Quick" sheetId="3" r:id="rId4"/>
    <sheet name="Quick Table" sheetId="5" r:id="rId5"/>
    <sheet name="PTT" sheetId="6" r:id="rId6"/>
    <sheet name="PTT Table" sheetId="7" r:id="rId7"/>
    <sheet name="Fibrinogen" sheetId="8" r:id="rId8"/>
    <sheet name="Fibrinogen Table" sheetId="9" r:id="rId9"/>
    <sheet name="AT" sheetId="10" r:id="rId10"/>
    <sheet name="AT Table" sheetId="11" r:id="rId11"/>
    <sheet name="Leukozyten" sheetId="12" r:id="rId12"/>
    <sheet name="Leukozyten Table" sheetId="13" r:id="rId13"/>
    <sheet name="GOT" sheetId="14" r:id="rId14"/>
    <sheet name="GOT Table" sheetId="15" r:id="rId15"/>
    <sheet name="GPT" sheetId="16" r:id="rId16"/>
    <sheet name="GPT Table" sheetId="17" r:id="rId17"/>
    <sheet name="GGT" sheetId="18" r:id="rId18"/>
    <sheet name="GGT Table" sheetId="19" r:id="rId19"/>
    <sheet name="LDH" sheetId="20" r:id="rId20"/>
    <sheet name="LDH Table" sheetId="21" r:id="rId21"/>
    <sheet name="Bilirubin" sheetId="22" r:id="rId22"/>
    <sheet name="Bilirubin Table" sheetId="23" r:id="rId23"/>
    <sheet name="GLDH" sheetId="24" r:id="rId24"/>
    <sheet name="GLDH Table" sheetId="25" r:id="rId25"/>
    <sheet name="AP" sheetId="26" r:id="rId26"/>
    <sheet name="AP Table" sheetId="27" r:id="rId27"/>
    <sheet name="Cholin Estrase" sheetId="28" r:id="rId28"/>
    <sheet name="Choline Estrase Table" sheetId="29" r:id="rId29"/>
    <sheet name="Sheet17" sheetId="30" r:id="rId30"/>
  </sheets>
  <definedNames>
    <definedName name="ExternalData_1" localSheetId="26" hidden="1">'AP Table'!$A$1:$D$42</definedName>
    <definedName name="ExternalData_1" localSheetId="10" hidden="1">'AT Table'!$A$1:$D$10</definedName>
    <definedName name="ExternalData_1" localSheetId="22" hidden="1">'Bilirubin Table'!$A$1:$D$65</definedName>
    <definedName name="ExternalData_1" localSheetId="28" hidden="1">'Choline Estrase Table'!$A$1:$D$16</definedName>
    <definedName name="ExternalData_1" localSheetId="2" hidden="1">'Creatin Kinase Table'!$A$1:$D$20</definedName>
    <definedName name="ExternalData_1" localSheetId="8" hidden="1">'Fibrinogen Table'!$A$1:$D$12</definedName>
    <definedName name="ExternalData_1" localSheetId="18" hidden="1">'GGT Table'!$A$1:$D$67</definedName>
    <definedName name="ExternalData_1" localSheetId="24" hidden="1">'GLDH Table'!$A$1:$D$11</definedName>
    <definedName name="ExternalData_1" localSheetId="14" hidden="1">'GOT Table'!$A$1:$D$75</definedName>
    <definedName name="ExternalData_1" localSheetId="16" hidden="1">'GPT Table'!$A$1:$D$76</definedName>
    <definedName name="ExternalData_1" localSheetId="20" hidden="1">'LDH Table'!$A$1:$D$44</definedName>
    <definedName name="ExternalData_1" localSheetId="12" hidden="1">'Leukozyten Table'!$A$1:$D$39</definedName>
    <definedName name="ExternalData_1" localSheetId="6" hidden="1">'PTT Table'!$A$1:$D$25</definedName>
    <definedName name="ExternalData_1" localSheetId="4" hidden="1">'Quick Table'!$A$1:$D$34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A93" i="1" l="1"/>
  <c r="CB93" i="1"/>
  <c r="DE93" i="1"/>
  <c r="DS93" i="1"/>
  <c r="EF93" i="1"/>
  <c r="FI93" i="1"/>
  <c r="HY93" i="1"/>
  <c r="KM93" i="1"/>
  <c r="MZ93" i="1"/>
  <c r="OQ93" i="1"/>
  <c r="OW93" i="1"/>
  <c r="RD93" i="1"/>
  <c r="RU93" i="1"/>
  <c r="UE93" i="1"/>
  <c r="VJ93" i="1"/>
  <c r="WM93" i="1"/>
  <c r="XH93" i="1"/>
  <c r="YD93" i="1"/>
  <c r="YX93" i="1"/>
  <c r="ZR93" i="1"/>
  <c r="ZX93" i="1"/>
  <c r="AAT93" i="1"/>
  <c r="ABQ93" i="1"/>
  <c r="ABV93" i="1"/>
  <c r="ACC93" i="1"/>
  <c r="ACQ93" i="1"/>
  <c r="ADA93" i="1"/>
  <c r="ADM93" i="1"/>
  <c r="AEI93" i="1"/>
  <c r="AEI2" i="1" l="1"/>
  <c r="AEI3" i="1"/>
  <c r="AEI4" i="1"/>
  <c r="AEI5" i="1"/>
  <c r="AEI6" i="1"/>
  <c r="AEI7" i="1"/>
  <c r="AEI8" i="1"/>
  <c r="AEI9" i="1"/>
  <c r="AEI10" i="1"/>
  <c r="AEI11" i="1"/>
  <c r="AEI12" i="1"/>
  <c r="AEI13" i="1"/>
  <c r="AEI14" i="1"/>
  <c r="AEI15" i="1"/>
  <c r="AEI16" i="1"/>
  <c r="AEI17" i="1"/>
  <c r="AEI18" i="1"/>
  <c r="AEI19" i="1"/>
  <c r="AEI20" i="1"/>
  <c r="AEI21" i="1"/>
  <c r="AEI22" i="1"/>
  <c r="AEI23" i="1"/>
  <c r="AEI24" i="1"/>
  <c r="AEI25" i="1"/>
  <c r="AEI26" i="1"/>
  <c r="AEI27" i="1"/>
  <c r="AEI28" i="1"/>
  <c r="AEI29" i="1"/>
  <c r="AEI30" i="1"/>
  <c r="AEI31" i="1"/>
  <c r="AEI32" i="1"/>
  <c r="AEI33" i="1"/>
  <c r="AEI34" i="1"/>
  <c r="AEI35" i="1"/>
  <c r="AEI36" i="1"/>
  <c r="AEI37" i="1"/>
  <c r="AEI38" i="1"/>
  <c r="AEI39" i="1"/>
  <c r="AEI40" i="1"/>
  <c r="AEI41" i="1"/>
  <c r="AEI42" i="1"/>
  <c r="AEI43" i="1"/>
  <c r="AEI44" i="1"/>
  <c r="AEI45" i="1"/>
  <c r="AEI46" i="1"/>
  <c r="AEI47" i="1"/>
  <c r="AEI48" i="1"/>
  <c r="AEI49" i="1"/>
  <c r="AEI50" i="1"/>
  <c r="AEI51" i="1"/>
  <c r="AEI52" i="1"/>
  <c r="AEI53" i="1"/>
  <c r="AEI54" i="1"/>
  <c r="AEI55" i="1"/>
  <c r="AEI56" i="1"/>
  <c r="AEI57" i="1"/>
  <c r="AEI58" i="1"/>
  <c r="AEI59" i="1"/>
  <c r="AEI60" i="1"/>
  <c r="AEI61" i="1"/>
  <c r="AEI62" i="1"/>
  <c r="AEI63" i="1"/>
  <c r="AEI64" i="1"/>
  <c r="AEI65" i="1"/>
  <c r="AEI66" i="1"/>
  <c r="AEI67" i="1"/>
  <c r="AEI68" i="1"/>
  <c r="AEI69" i="1"/>
  <c r="AEI70" i="1"/>
  <c r="AEI71" i="1"/>
  <c r="AEI72" i="1"/>
  <c r="AEI73" i="1"/>
  <c r="AEI74" i="1"/>
  <c r="AEI75" i="1"/>
  <c r="AEI76" i="1"/>
  <c r="AEI77" i="1"/>
  <c r="AEI78" i="1"/>
  <c r="AEI79" i="1"/>
  <c r="AEI80" i="1"/>
  <c r="AEI81" i="1"/>
  <c r="AEI82" i="1"/>
  <c r="AEI83" i="1"/>
  <c r="AEI84" i="1"/>
  <c r="AEI85" i="1"/>
  <c r="AEI86" i="1"/>
  <c r="AEI87" i="1"/>
  <c r="AEI88" i="1"/>
  <c r="AEI89" i="1"/>
  <c r="AEI90" i="1"/>
  <c r="AEI91" i="1"/>
  <c r="AEI92" i="1"/>
  <c r="AEI94" i="1"/>
  <c r="AEI95" i="1"/>
  <c r="AEI96" i="1"/>
  <c r="AEI97" i="1"/>
  <c r="AEI98" i="1"/>
  <c r="AEI99" i="1"/>
  <c r="AEI100" i="1"/>
  <c r="AEI101" i="1"/>
  <c r="AEI102" i="1"/>
  <c r="AEI103" i="1"/>
  <c r="AEI104" i="1"/>
  <c r="AEI105" i="1"/>
  <c r="AEI106" i="1"/>
  <c r="AEI107" i="1"/>
  <c r="AEI108" i="1"/>
  <c r="AEI109" i="1"/>
  <c r="AEI110" i="1"/>
  <c r="AEI111" i="1"/>
  <c r="AEI112" i="1"/>
  <c r="AEI113" i="1"/>
  <c r="AEI114" i="1"/>
  <c r="AEI115" i="1"/>
  <c r="AEI116" i="1"/>
  <c r="AEI117" i="1"/>
  <c r="AEI118" i="1"/>
  <c r="AEI119" i="1"/>
  <c r="AEI120" i="1"/>
  <c r="AEI121" i="1"/>
  <c r="AEI122" i="1"/>
  <c r="AEI123" i="1"/>
  <c r="AEI124" i="1"/>
  <c r="AEI125" i="1"/>
  <c r="AEI126" i="1"/>
  <c r="AEI127" i="1"/>
  <c r="AEI128" i="1"/>
  <c r="AEI129" i="1"/>
  <c r="AEI130" i="1"/>
  <c r="AEI131" i="1"/>
  <c r="AEI132" i="1"/>
  <c r="AEI133" i="1"/>
  <c r="AEI134" i="1"/>
  <c r="AEI135" i="1"/>
  <c r="AEI136" i="1"/>
  <c r="AEI137" i="1"/>
  <c r="AEI138" i="1"/>
  <c r="AEI139" i="1"/>
  <c r="AEI140" i="1"/>
  <c r="AEI141" i="1"/>
  <c r="AEI142" i="1"/>
  <c r="AEI143" i="1"/>
  <c r="AEI144" i="1"/>
  <c r="AEI145" i="1"/>
  <c r="AEI146" i="1"/>
  <c r="AEI147" i="1"/>
  <c r="AEI148" i="1"/>
  <c r="AEI149" i="1"/>
  <c r="AEI150" i="1"/>
  <c r="AEI151" i="1"/>
  <c r="AEI152" i="1"/>
  <c r="AEI153" i="1"/>
  <c r="AEI154" i="1"/>
  <c r="ADM2" i="1"/>
  <c r="ADM3" i="1"/>
  <c r="ADM4" i="1"/>
  <c r="ADM5" i="1"/>
  <c r="ADM6" i="1"/>
  <c r="ADM7" i="1"/>
  <c r="ADM8" i="1"/>
  <c r="ADM9" i="1"/>
  <c r="ADM10" i="1"/>
  <c r="ADM11" i="1"/>
  <c r="ADM12" i="1"/>
  <c r="ADM13" i="1"/>
  <c r="ADM14" i="1"/>
  <c r="ADM15" i="1"/>
  <c r="ADM16" i="1"/>
  <c r="ADM17" i="1"/>
  <c r="ADM18" i="1"/>
  <c r="ADM19" i="1"/>
  <c r="ADM20" i="1"/>
  <c r="ADM21" i="1"/>
  <c r="ADM22" i="1"/>
  <c r="ADM23" i="1"/>
  <c r="ADM24" i="1"/>
  <c r="ADM25" i="1"/>
  <c r="ADM26" i="1"/>
  <c r="ADM27" i="1"/>
  <c r="ADM28" i="1"/>
  <c r="ADM29" i="1"/>
  <c r="ADM30" i="1"/>
  <c r="ADM31" i="1"/>
  <c r="ADM32" i="1"/>
  <c r="ADM33" i="1"/>
  <c r="ADM34" i="1"/>
  <c r="ADM35" i="1"/>
  <c r="ADM36" i="1"/>
  <c r="ADM37" i="1"/>
  <c r="ADM38" i="1"/>
  <c r="ADM39" i="1"/>
  <c r="ADM40" i="1"/>
  <c r="ADM41" i="1"/>
  <c r="ADM42" i="1"/>
  <c r="ADM43" i="1"/>
  <c r="ADM44" i="1"/>
  <c r="ADM45" i="1"/>
  <c r="ADM46" i="1"/>
  <c r="ADM47" i="1"/>
  <c r="ADM48" i="1"/>
  <c r="ADM49" i="1"/>
  <c r="ADM50" i="1"/>
  <c r="ADM51" i="1"/>
  <c r="ADM52" i="1"/>
  <c r="ADM53" i="1"/>
  <c r="ADM54" i="1"/>
  <c r="ADM55" i="1"/>
  <c r="ADM56" i="1"/>
  <c r="ADM57" i="1"/>
  <c r="ADM58" i="1"/>
  <c r="ADM59" i="1"/>
  <c r="ADM60" i="1"/>
  <c r="ADM61" i="1"/>
  <c r="ADM62" i="1"/>
  <c r="ADM63" i="1"/>
  <c r="ADM64" i="1"/>
  <c r="ADM65" i="1"/>
  <c r="ADM66" i="1"/>
  <c r="ADM67" i="1"/>
  <c r="ADM68" i="1"/>
  <c r="ADM69" i="1"/>
  <c r="ADM70" i="1"/>
  <c r="ADM71" i="1"/>
  <c r="ADM72" i="1"/>
  <c r="ADM73" i="1"/>
  <c r="ADM74" i="1"/>
  <c r="ADM75" i="1"/>
  <c r="ADM76" i="1"/>
  <c r="ADM77" i="1"/>
  <c r="ADM78" i="1"/>
  <c r="ADM79" i="1"/>
  <c r="ADM80" i="1"/>
  <c r="ADM81" i="1"/>
  <c r="ADM82" i="1"/>
  <c r="ADM83" i="1"/>
  <c r="ADM84" i="1"/>
  <c r="ADM85" i="1"/>
  <c r="ADM86" i="1"/>
  <c r="ADM87" i="1"/>
  <c r="ADM88" i="1"/>
  <c r="ADM89" i="1"/>
  <c r="ADM90" i="1"/>
  <c r="ADM91" i="1"/>
  <c r="ADM92" i="1"/>
  <c r="ADM94" i="1"/>
  <c r="ADM95" i="1"/>
  <c r="ADM96" i="1"/>
  <c r="ADM97" i="1"/>
  <c r="ADM98" i="1"/>
  <c r="ADM99" i="1"/>
  <c r="ADM100" i="1"/>
  <c r="ADM101" i="1"/>
  <c r="ADM102" i="1"/>
  <c r="ADM103" i="1"/>
  <c r="ADM104" i="1"/>
  <c r="ADM105" i="1"/>
  <c r="ADM106" i="1"/>
  <c r="ADM107" i="1"/>
  <c r="ADM108" i="1"/>
  <c r="ADM109" i="1"/>
  <c r="ADM110" i="1"/>
  <c r="ADM111" i="1"/>
  <c r="ADM112" i="1"/>
  <c r="ADM113" i="1"/>
  <c r="ADM114" i="1"/>
  <c r="ADM115" i="1"/>
  <c r="ADM116" i="1"/>
  <c r="ADM117" i="1"/>
  <c r="ADM118" i="1"/>
  <c r="ADM119" i="1"/>
  <c r="ADM120" i="1"/>
  <c r="ADM121" i="1"/>
  <c r="ADM122" i="1"/>
  <c r="ADM123" i="1"/>
  <c r="ADM124" i="1"/>
  <c r="ADM125" i="1"/>
  <c r="ADM126" i="1"/>
  <c r="ADM127" i="1"/>
  <c r="ADM128" i="1"/>
  <c r="ADM129" i="1"/>
  <c r="ADM130" i="1"/>
  <c r="ADM131" i="1"/>
  <c r="ADM132" i="1"/>
  <c r="ADM133" i="1"/>
  <c r="ADM134" i="1"/>
  <c r="ADM135" i="1"/>
  <c r="ADM136" i="1"/>
  <c r="ADM137" i="1"/>
  <c r="ADM138" i="1"/>
  <c r="ADM139" i="1"/>
  <c r="ADM140" i="1"/>
  <c r="ADM141" i="1"/>
  <c r="ADM142" i="1"/>
  <c r="ADM143" i="1"/>
  <c r="ADM144" i="1"/>
  <c r="ADM145" i="1"/>
  <c r="ADM146" i="1"/>
  <c r="ADM147" i="1"/>
  <c r="ADM148" i="1"/>
  <c r="ADM149" i="1"/>
  <c r="ADM150" i="1"/>
  <c r="ADM151" i="1"/>
  <c r="ADM152" i="1"/>
  <c r="ADM153" i="1"/>
  <c r="ADM154" i="1"/>
  <c r="ADA2" i="1"/>
  <c r="ADA3" i="1"/>
  <c r="ADA4" i="1"/>
  <c r="ADA5" i="1"/>
  <c r="ADA6" i="1"/>
  <c r="ADA7" i="1"/>
  <c r="ADA8" i="1"/>
  <c r="ADA9" i="1"/>
  <c r="ADA10" i="1"/>
  <c r="ADA11" i="1"/>
  <c r="ADA12" i="1"/>
  <c r="ADA13" i="1"/>
  <c r="ADA14" i="1"/>
  <c r="ADA15" i="1"/>
  <c r="ADA16" i="1"/>
  <c r="ADA17" i="1"/>
  <c r="ADA18" i="1"/>
  <c r="ADA19" i="1"/>
  <c r="ADA20" i="1"/>
  <c r="ADA21" i="1"/>
  <c r="ADA22" i="1"/>
  <c r="ADA23" i="1"/>
  <c r="ADA24" i="1"/>
  <c r="ADA25" i="1"/>
  <c r="ADA26" i="1"/>
  <c r="ADA27" i="1"/>
  <c r="ADA28" i="1"/>
  <c r="ADA29" i="1"/>
  <c r="ADA30" i="1"/>
  <c r="ADA31" i="1"/>
  <c r="ADA32" i="1"/>
  <c r="ADA33" i="1"/>
  <c r="ADA34" i="1"/>
  <c r="ADA35" i="1"/>
  <c r="ADA36" i="1"/>
  <c r="ADA37" i="1"/>
  <c r="ADA38" i="1"/>
  <c r="ADA39" i="1"/>
  <c r="ADA40" i="1"/>
  <c r="ADA41" i="1"/>
  <c r="ADA42" i="1"/>
  <c r="ADA43" i="1"/>
  <c r="ADA44" i="1"/>
  <c r="ADA45" i="1"/>
  <c r="ADA46" i="1"/>
  <c r="ADA47" i="1"/>
  <c r="ADA48" i="1"/>
  <c r="ADA49" i="1"/>
  <c r="ADA50" i="1"/>
  <c r="ADA51" i="1"/>
  <c r="ADA52" i="1"/>
  <c r="ADA53" i="1"/>
  <c r="ADA54" i="1"/>
  <c r="ADA55" i="1"/>
  <c r="ADA56" i="1"/>
  <c r="ADA57" i="1"/>
  <c r="ADA58" i="1"/>
  <c r="ADA59" i="1"/>
  <c r="ADA60" i="1"/>
  <c r="ADA61" i="1"/>
  <c r="ADA62" i="1"/>
  <c r="ADA63" i="1"/>
  <c r="ADA64" i="1"/>
  <c r="ADA65" i="1"/>
  <c r="ADA66" i="1"/>
  <c r="ADA67" i="1"/>
  <c r="ADA68" i="1"/>
  <c r="ADA69" i="1"/>
  <c r="ADA70" i="1"/>
  <c r="ADA71" i="1"/>
  <c r="ADA72" i="1"/>
  <c r="ADA73" i="1"/>
  <c r="ADA74" i="1"/>
  <c r="ADA75" i="1"/>
  <c r="ADA76" i="1"/>
  <c r="ADA77" i="1"/>
  <c r="ADA78" i="1"/>
  <c r="ADA79" i="1"/>
  <c r="ADA80" i="1"/>
  <c r="ADA81" i="1"/>
  <c r="ADA82" i="1"/>
  <c r="ADA83" i="1"/>
  <c r="ADA84" i="1"/>
  <c r="ADA85" i="1"/>
  <c r="ADA86" i="1"/>
  <c r="ADA87" i="1"/>
  <c r="ADA88" i="1"/>
  <c r="ADA89" i="1"/>
  <c r="ADA90" i="1"/>
  <c r="ADA91" i="1"/>
  <c r="ADA92" i="1"/>
  <c r="ADA94" i="1"/>
  <c r="ADA95" i="1"/>
  <c r="ADA96" i="1"/>
  <c r="ADA97" i="1"/>
  <c r="ADA98" i="1"/>
  <c r="ADA99" i="1"/>
  <c r="ADA100" i="1"/>
  <c r="ADA101" i="1"/>
  <c r="ADA102" i="1"/>
  <c r="ADA103" i="1"/>
  <c r="ADA104" i="1"/>
  <c r="ADA105" i="1"/>
  <c r="ADA106" i="1"/>
  <c r="ADA107" i="1"/>
  <c r="ADA108" i="1"/>
  <c r="ADA109" i="1"/>
  <c r="ADA110" i="1"/>
  <c r="ADA111" i="1"/>
  <c r="ADA112" i="1"/>
  <c r="ADA113" i="1"/>
  <c r="ADA114" i="1"/>
  <c r="ADA115" i="1"/>
  <c r="ADA116" i="1"/>
  <c r="ADA117" i="1"/>
  <c r="ADA118" i="1"/>
  <c r="ADA119" i="1"/>
  <c r="ADA120" i="1"/>
  <c r="ADA121" i="1"/>
  <c r="ADA122" i="1"/>
  <c r="ADA123" i="1"/>
  <c r="ADA124" i="1"/>
  <c r="ADA125" i="1"/>
  <c r="ADA126" i="1"/>
  <c r="ADA127" i="1"/>
  <c r="ADA128" i="1"/>
  <c r="ADA129" i="1"/>
  <c r="ADA130" i="1"/>
  <c r="ADA131" i="1"/>
  <c r="ADA132" i="1"/>
  <c r="ADA133" i="1"/>
  <c r="ADA134" i="1"/>
  <c r="ADA135" i="1"/>
  <c r="ADA136" i="1"/>
  <c r="ADA137" i="1"/>
  <c r="ADA138" i="1"/>
  <c r="ADA139" i="1"/>
  <c r="ADA140" i="1"/>
  <c r="ADA141" i="1"/>
  <c r="ADA142" i="1"/>
  <c r="ADA143" i="1"/>
  <c r="ADA144" i="1"/>
  <c r="ADA145" i="1"/>
  <c r="ADA146" i="1"/>
  <c r="ADA147" i="1"/>
  <c r="ADA148" i="1"/>
  <c r="ADA149" i="1"/>
  <c r="ADA150" i="1"/>
  <c r="ADA151" i="1"/>
  <c r="ADA152" i="1"/>
  <c r="ADA153" i="1"/>
  <c r="ADA154" i="1"/>
  <c r="ACQ2" i="1"/>
  <c r="ACQ3" i="1"/>
  <c r="ACQ4" i="1"/>
  <c r="ACQ5" i="1"/>
  <c r="ACQ6" i="1"/>
  <c r="ACQ7" i="1"/>
  <c r="ACQ8" i="1"/>
  <c r="ACQ9" i="1"/>
  <c r="ACQ10" i="1"/>
  <c r="ACQ11" i="1"/>
  <c r="ACQ12" i="1"/>
  <c r="ACQ13" i="1"/>
  <c r="ACQ14" i="1"/>
  <c r="ACQ15" i="1"/>
  <c r="ACQ16" i="1"/>
  <c r="ACQ17" i="1"/>
  <c r="ACQ18" i="1"/>
  <c r="ACQ19" i="1"/>
  <c r="ACQ20" i="1"/>
  <c r="ACQ21" i="1"/>
  <c r="ACQ22" i="1"/>
  <c r="ACQ23" i="1"/>
  <c r="ACQ24" i="1"/>
  <c r="ACQ25" i="1"/>
  <c r="ACQ26" i="1"/>
  <c r="ACQ27" i="1"/>
  <c r="ACQ28" i="1"/>
  <c r="ACQ29" i="1"/>
  <c r="ACQ30" i="1"/>
  <c r="ACQ31" i="1"/>
  <c r="ACQ32" i="1"/>
  <c r="ACQ33" i="1"/>
  <c r="ACQ34" i="1"/>
  <c r="ACQ35" i="1"/>
  <c r="ACQ36" i="1"/>
  <c r="ACQ37" i="1"/>
  <c r="ACQ38" i="1"/>
  <c r="ACQ39" i="1"/>
  <c r="ACQ40" i="1"/>
  <c r="ACQ41" i="1"/>
  <c r="ACQ42" i="1"/>
  <c r="ACQ43" i="1"/>
  <c r="ACQ44" i="1"/>
  <c r="ACQ45" i="1"/>
  <c r="ACQ46" i="1"/>
  <c r="ACQ47" i="1"/>
  <c r="ACQ48" i="1"/>
  <c r="ACQ49" i="1"/>
  <c r="ACQ50" i="1"/>
  <c r="ACQ51" i="1"/>
  <c r="ACQ52" i="1"/>
  <c r="ACQ53" i="1"/>
  <c r="ACQ54" i="1"/>
  <c r="ACQ55" i="1"/>
  <c r="ACQ56" i="1"/>
  <c r="ACQ57" i="1"/>
  <c r="ACQ58" i="1"/>
  <c r="ACQ59" i="1"/>
  <c r="ACQ60" i="1"/>
  <c r="ACQ61" i="1"/>
  <c r="ACQ62" i="1"/>
  <c r="ACQ63" i="1"/>
  <c r="ACQ64" i="1"/>
  <c r="ACQ65" i="1"/>
  <c r="ACQ66" i="1"/>
  <c r="ACQ67" i="1"/>
  <c r="ACQ68" i="1"/>
  <c r="ACQ69" i="1"/>
  <c r="ACQ70" i="1"/>
  <c r="ACQ71" i="1"/>
  <c r="ACQ72" i="1"/>
  <c r="ACQ73" i="1"/>
  <c r="ACQ74" i="1"/>
  <c r="ACQ75" i="1"/>
  <c r="ACQ76" i="1"/>
  <c r="ACQ77" i="1"/>
  <c r="ACQ78" i="1"/>
  <c r="ACQ79" i="1"/>
  <c r="ACQ80" i="1"/>
  <c r="ACQ81" i="1"/>
  <c r="ACQ82" i="1"/>
  <c r="ACQ83" i="1"/>
  <c r="ACQ84" i="1"/>
  <c r="ACQ85" i="1"/>
  <c r="ACQ86" i="1"/>
  <c r="ACQ87" i="1"/>
  <c r="ACQ88" i="1"/>
  <c r="ACQ89" i="1"/>
  <c r="ACQ90" i="1"/>
  <c r="ACQ91" i="1"/>
  <c r="ACQ92" i="1"/>
  <c r="ACQ94" i="1"/>
  <c r="ACQ95" i="1"/>
  <c r="ACQ96" i="1"/>
  <c r="ACQ97" i="1"/>
  <c r="ACQ98" i="1"/>
  <c r="ACQ99" i="1"/>
  <c r="ACQ100" i="1"/>
  <c r="ACQ101" i="1"/>
  <c r="ACQ102" i="1"/>
  <c r="ACQ103" i="1"/>
  <c r="ACQ104" i="1"/>
  <c r="ACQ105" i="1"/>
  <c r="ACQ106" i="1"/>
  <c r="ACQ107" i="1"/>
  <c r="ACQ108" i="1"/>
  <c r="ACQ109" i="1"/>
  <c r="ACQ110" i="1"/>
  <c r="ACQ111" i="1"/>
  <c r="ACQ112" i="1"/>
  <c r="ACQ113" i="1"/>
  <c r="ACQ114" i="1"/>
  <c r="ACQ115" i="1"/>
  <c r="ACQ116" i="1"/>
  <c r="ACQ117" i="1"/>
  <c r="ACQ118" i="1"/>
  <c r="ACQ119" i="1"/>
  <c r="ACQ120" i="1"/>
  <c r="ACQ121" i="1"/>
  <c r="ACQ122" i="1"/>
  <c r="ACQ123" i="1"/>
  <c r="ACQ124" i="1"/>
  <c r="ACQ125" i="1"/>
  <c r="ACQ126" i="1"/>
  <c r="ACQ127" i="1"/>
  <c r="ACQ128" i="1"/>
  <c r="ACQ129" i="1"/>
  <c r="ACQ130" i="1"/>
  <c r="ACQ131" i="1"/>
  <c r="ACQ132" i="1"/>
  <c r="ACQ133" i="1"/>
  <c r="ACQ134" i="1"/>
  <c r="ACQ135" i="1"/>
  <c r="ACQ136" i="1"/>
  <c r="ACQ137" i="1"/>
  <c r="ACQ138" i="1"/>
  <c r="ACQ139" i="1"/>
  <c r="ACQ140" i="1"/>
  <c r="ACQ141" i="1"/>
  <c r="ACQ142" i="1"/>
  <c r="ACQ143" i="1"/>
  <c r="ACQ144" i="1"/>
  <c r="ACQ145" i="1"/>
  <c r="ACQ146" i="1"/>
  <c r="ACQ147" i="1"/>
  <c r="ACQ148" i="1"/>
  <c r="ACQ149" i="1"/>
  <c r="ACQ150" i="1"/>
  <c r="ACQ151" i="1"/>
  <c r="ACQ152" i="1"/>
  <c r="ACQ153" i="1"/>
  <c r="ACQ154" i="1"/>
  <c r="ACC2" i="1"/>
  <c r="ACC3" i="1"/>
  <c r="ACC4" i="1"/>
  <c r="ACC5" i="1"/>
  <c r="ACC6" i="1"/>
  <c r="ACC7" i="1"/>
  <c r="ACC8" i="1"/>
  <c r="ACC9" i="1"/>
  <c r="ACC10" i="1"/>
  <c r="ACC11" i="1"/>
  <c r="ACC12" i="1"/>
  <c r="ACC13" i="1"/>
  <c r="ACC14" i="1"/>
  <c r="ACC15" i="1"/>
  <c r="ACC16" i="1"/>
  <c r="ACC17" i="1"/>
  <c r="ACC18" i="1"/>
  <c r="ACC19" i="1"/>
  <c r="ACC20" i="1"/>
  <c r="ACC21" i="1"/>
  <c r="ACC22" i="1"/>
  <c r="ACC23" i="1"/>
  <c r="ACC24" i="1"/>
  <c r="ACC25" i="1"/>
  <c r="ACC26" i="1"/>
  <c r="ACC27" i="1"/>
  <c r="ACC28" i="1"/>
  <c r="ACC29" i="1"/>
  <c r="ACC30" i="1"/>
  <c r="ACC31" i="1"/>
  <c r="ACC32" i="1"/>
  <c r="ACC33" i="1"/>
  <c r="ACC34" i="1"/>
  <c r="ACC35" i="1"/>
  <c r="ACC36" i="1"/>
  <c r="ACC37" i="1"/>
  <c r="ACC38" i="1"/>
  <c r="ACC39" i="1"/>
  <c r="ACC40" i="1"/>
  <c r="ACC41" i="1"/>
  <c r="ACC42" i="1"/>
  <c r="ACC43" i="1"/>
  <c r="ACC44" i="1"/>
  <c r="ACC45" i="1"/>
  <c r="ACC46" i="1"/>
  <c r="ACC47" i="1"/>
  <c r="ACC48" i="1"/>
  <c r="ACC49" i="1"/>
  <c r="ACC50" i="1"/>
  <c r="ACC51" i="1"/>
  <c r="ACC52" i="1"/>
  <c r="ACC53" i="1"/>
  <c r="ACC54" i="1"/>
  <c r="ACC55" i="1"/>
  <c r="ACC56" i="1"/>
  <c r="ACC57" i="1"/>
  <c r="ACC58" i="1"/>
  <c r="ACC59" i="1"/>
  <c r="ACC60" i="1"/>
  <c r="ACC61" i="1"/>
  <c r="ACC62" i="1"/>
  <c r="ACC63" i="1"/>
  <c r="ACC64" i="1"/>
  <c r="ACC65" i="1"/>
  <c r="ACC66" i="1"/>
  <c r="ACC67" i="1"/>
  <c r="ACC68" i="1"/>
  <c r="ACC69" i="1"/>
  <c r="ACC70" i="1"/>
  <c r="ACC71" i="1"/>
  <c r="ACC72" i="1"/>
  <c r="ACC73" i="1"/>
  <c r="ACC74" i="1"/>
  <c r="ACC75" i="1"/>
  <c r="ACC76" i="1"/>
  <c r="ACC77" i="1"/>
  <c r="ACC78" i="1"/>
  <c r="ACC79" i="1"/>
  <c r="ACC80" i="1"/>
  <c r="ACC81" i="1"/>
  <c r="ACC82" i="1"/>
  <c r="ACC83" i="1"/>
  <c r="ACC84" i="1"/>
  <c r="ACC85" i="1"/>
  <c r="ACC86" i="1"/>
  <c r="ACC87" i="1"/>
  <c r="ACC88" i="1"/>
  <c r="ACC89" i="1"/>
  <c r="ACC90" i="1"/>
  <c r="ACC91" i="1"/>
  <c r="ACC92" i="1"/>
  <c r="ACC94" i="1"/>
  <c r="ACC95" i="1"/>
  <c r="ACC96" i="1"/>
  <c r="ACC97" i="1"/>
  <c r="ACC98" i="1"/>
  <c r="ACC99" i="1"/>
  <c r="ACC100" i="1"/>
  <c r="ACC101" i="1"/>
  <c r="ACC102" i="1"/>
  <c r="ACC103" i="1"/>
  <c r="ACC104" i="1"/>
  <c r="ACC105" i="1"/>
  <c r="ACC106" i="1"/>
  <c r="ACC107" i="1"/>
  <c r="ACC108" i="1"/>
  <c r="ACC109" i="1"/>
  <c r="ACC110" i="1"/>
  <c r="ACC111" i="1"/>
  <c r="ACC112" i="1"/>
  <c r="ACC113" i="1"/>
  <c r="ACC114" i="1"/>
  <c r="ACC115" i="1"/>
  <c r="ACC116" i="1"/>
  <c r="ACC117" i="1"/>
  <c r="ACC118" i="1"/>
  <c r="ACC119" i="1"/>
  <c r="ACC120" i="1"/>
  <c r="ACC121" i="1"/>
  <c r="ACC122" i="1"/>
  <c r="ACC123" i="1"/>
  <c r="ACC124" i="1"/>
  <c r="ACC125" i="1"/>
  <c r="ACC126" i="1"/>
  <c r="ACC127" i="1"/>
  <c r="ACC128" i="1"/>
  <c r="ACC129" i="1"/>
  <c r="ACC130" i="1"/>
  <c r="ACC131" i="1"/>
  <c r="ACC132" i="1"/>
  <c r="ACC133" i="1"/>
  <c r="ACC134" i="1"/>
  <c r="ACC135" i="1"/>
  <c r="ACC136" i="1"/>
  <c r="ACC137" i="1"/>
  <c r="ACC138" i="1"/>
  <c r="ACC139" i="1"/>
  <c r="ACC140" i="1"/>
  <c r="ACC141" i="1"/>
  <c r="ACC142" i="1"/>
  <c r="ACC143" i="1"/>
  <c r="ACC144" i="1"/>
  <c r="ACC145" i="1"/>
  <c r="ACC146" i="1"/>
  <c r="ACC147" i="1"/>
  <c r="ACC148" i="1"/>
  <c r="ACC149" i="1"/>
  <c r="ACC150" i="1"/>
  <c r="ACC151" i="1"/>
  <c r="ACC152" i="1"/>
  <c r="ACC153" i="1"/>
  <c r="ACC154" i="1"/>
  <c r="ABV2" i="1"/>
  <c r="ABV3" i="1"/>
  <c r="ABV4" i="1"/>
  <c r="ABV5" i="1"/>
  <c r="ABV6" i="1"/>
  <c r="ABV7" i="1"/>
  <c r="ABV8" i="1"/>
  <c r="ABV9" i="1"/>
  <c r="ABV10" i="1"/>
  <c r="ABV11" i="1"/>
  <c r="ABV12" i="1"/>
  <c r="ABV13" i="1"/>
  <c r="ABV14" i="1"/>
  <c r="ABV15" i="1"/>
  <c r="ABV16" i="1"/>
  <c r="ABV17" i="1"/>
  <c r="ABV18" i="1"/>
  <c r="ABV19" i="1"/>
  <c r="ABV20" i="1"/>
  <c r="ABV21" i="1"/>
  <c r="ABV22" i="1"/>
  <c r="ABV23" i="1"/>
  <c r="ABV24" i="1"/>
  <c r="ABV25" i="1"/>
  <c r="ABV26" i="1"/>
  <c r="ABV27" i="1"/>
  <c r="ABV28" i="1"/>
  <c r="ABV29" i="1"/>
  <c r="ABV30" i="1"/>
  <c r="ABV31" i="1"/>
  <c r="ABV32" i="1"/>
  <c r="ABV33" i="1"/>
  <c r="ABV34" i="1"/>
  <c r="ABV35" i="1"/>
  <c r="ABV36" i="1"/>
  <c r="ABV37" i="1"/>
  <c r="ABV38" i="1"/>
  <c r="ABV39" i="1"/>
  <c r="ABV40" i="1"/>
  <c r="ABV41" i="1"/>
  <c r="ABV42" i="1"/>
  <c r="ABV43" i="1"/>
  <c r="ABV44" i="1"/>
  <c r="ABV45" i="1"/>
  <c r="ABV46" i="1"/>
  <c r="ABV47" i="1"/>
  <c r="ABV48" i="1"/>
  <c r="ABV49" i="1"/>
  <c r="ABV50" i="1"/>
  <c r="ABV51" i="1"/>
  <c r="ABV52" i="1"/>
  <c r="ABV53" i="1"/>
  <c r="ABV54" i="1"/>
  <c r="ABV55" i="1"/>
  <c r="ABV56" i="1"/>
  <c r="ABV57" i="1"/>
  <c r="ABV58" i="1"/>
  <c r="ABV59" i="1"/>
  <c r="ABV60" i="1"/>
  <c r="ABV61" i="1"/>
  <c r="ABV62" i="1"/>
  <c r="ABV63" i="1"/>
  <c r="ABV64" i="1"/>
  <c r="ABV65" i="1"/>
  <c r="ABV66" i="1"/>
  <c r="ABV67" i="1"/>
  <c r="ABV68" i="1"/>
  <c r="ABV69" i="1"/>
  <c r="ABV70" i="1"/>
  <c r="ABV71" i="1"/>
  <c r="ABV72" i="1"/>
  <c r="ABV73" i="1"/>
  <c r="ABV74" i="1"/>
  <c r="ABV75" i="1"/>
  <c r="ABV76" i="1"/>
  <c r="ABV77" i="1"/>
  <c r="ABV78" i="1"/>
  <c r="ABV79" i="1"/>
  <c r="ABV80" i="1"/>
  <c r="ABV81" i="1"/>
  <c r="ABV82" i="1"/>
  <c r="ABV83" i="1"/>
  <c r="ABV84" i="1"/>
  <c r="ABV85" i="1"/>
  <c r="ABV86" i="1"/>
  <c r="ABV87" i="1"/>
  <c r="ABV88" i="1"/>
  <c r="ABV89" i="1"/>
  <c r="ABV90" i="1"/>
  <c r="ABV91" i="1"/>
  <c r="ABV92" i="1"/>
  <c r="ABV94" i="1"/>
  <c r="ABV95" i="1"/>
  <c r="ABV96" i="1"/>
  <c r="ABV97" i="1"/>
  <c r="ABV98" i="1"/>
  <c r="ABV99" i="1"/>
  <c r="ABV100" i="1"/>
  <c r="ABV101" i="1"/>
  <c r="ABV102" i="1"/>
  <c r="ABV103" i="1"/>
  <c r="ABV104" i="1"/>
  <c r="ABV105" i="1"/>
  <c r="ABV106" i="1"/>
  <c r="ABV107" i="1"/>
  <c r="ABV108" i="1"/>
  <c r="ABV109" i="1"/>
  <c r="ABV110" i="1"/>
  <c r="ABV111" i="1"/>
  <c r="ABV112" i="1"/>
  <c r="ABV113" i="1"/>
  <c r="ABV114" i="1"/>
  <c r="ABV115" i="1"/>
  <c r="ABV116" i="1"/>
  <c r="ABV117" i="1"/>
  <c r="ABV118" i="1"/>
  <c r="ABV119" i="1"/>
  <c r="ABV120" i="1"/>
  <c r="ABV121" i="1"/>
  <c r="ABV122" i="1"/>
  <c r="ABV123" i="1"/>
  <c r="ABV124" i="1"/>
  <c r="ABV125" i="1"/>
  <c r="ABV126" i="1"/>
  <c r="ABV127" i="1"/>
  <c r="ABV128" i="1"/>
  <c r="ABV129" i="1"/>
  <c r="ABV130" i="1"/>
  <c r="ABV131" i="1"/>
  <c r="ABV132" i="1"/>
  <c r="ABV133" i="1"/>
  <c r="ABV134" i="1"/>
  <c r="ABV135" i="1"/>
  <c r="ABV136" i="1"/>
  <c r="ABV137" i="1"/>
  <c r="ABV138" i="1"/>
  <c r="ABV139" i="1"/>
  <c r="ABV140" i="1"/>
  <c r="ABV141" i="1"/>
  <c r="ABV142" i="1"/>
  <c r="ABV143" i="1"/>
  <c r="ABV144" i="1"/>
  <c r="ABV145" i="1"/>
  <c r="ABV146" i="1"/>
  <c r="ABV147" i="1"/>
  <c r="ABV148" i="1"/>
  <c r="ABV149" i="1"/>
  <c r="ABV150" i="1"/>
  <c r="ABV151" i="1"/>
  <c r="ABV152" i="1"/>
  <c r="ABV153" i="1"/>
  <c r="ABV154" i="1"/>
  <c r="ABQ2" i="1"/>
  <c r="ABQ3" i="1"/>
  <c r="ABQ4" i="1"/>
  <c r="ABQ5" i="1"/>
  <c r="ABQ6" i="1"/>
  <c r="ABQ7" i="1"/>
  <c r="ABQ8" i="1"/>
  <c r="ABQ9" i="1"/>
  <c r="ABQ10" i="1"/>
  <c r="ABQ11" i="1"/>
  <c r="ABQ12" i="1"/>
  <c r="ABQ13" i="1"/>
  <c r="ABQ14" i="1"/>
  <c r="ABQ15" i="1"/>
  <c r="ABQ16" i="1"/>
  <c r="ABQ17" i="1"/>
  <c r="ABQ18" i="1"/>
  <c r="ABQ19" i="1"/>
  <c r="ABQ20" i="1"/>
  <c r="ABQ21" i="1"/>
  <c r="ABQ22" i="1"/>
  <c r="ABQ23" i="1"/>
  <c r="ABQ24" i="1"/>
  <c r="ABQ25" i="1"/>
  <c r="ABQ26" i="1"/>
  <c r="ABQ27" i="1"/>
  <c r="ABQ28" i="1"/>
  <c r="ABQ29" i="1"/>
  <c r="ABQ30" i="1"/>
  <c r="ABQ31" i="1"/>
  <c r="ABQ32" i="1"/>
  <c r="ABQ33" i="1"/>
  <c r="ABQ34" i="1"/>
  <c r="ABQ35" i="1"/>
  <c r="ABQ36" i="1"/>
  <c r="ABQ37" i="1"/>
  <c r="ABQ38" i="1"/>
  <c r="ABQ39" i="1"/>
  <c r="ABQ40" i="1"/>
  <c r="ABQ41" i="1"/>
  <c r="ABQ42" i="1"/>
  <c r="ABQ43" i="1"/>
  <c r="ABQ44" i="1"/>
  <c r="ABQ45" i="1"/>
  <c r="ABQ46" i="1"/>
  <c r="ABQ47" i="1"/>
  <c r="ABQ48" i="1"/>
  <c r="ABQ49" i="1"/>
  <c r="ABQ50" i="1"/>
  <c r="ABQ51" i="1"/>
  <c r="ABQ52" i="1"/>
  <c r="ABQ53" i="1"/>
  <c r="ABQ54" i="1"/>
  <c r="ABQ55" i="1"/>
  <c r="ABQ56" i="1"/>
  <c r="ABQ57" i="1"/>
  <c r="ABQ58" i="1"/>
  <c r="ABQ59" i="1"/>
  <c r="ABQ60" i="1"/>
  <c r="ABQ61" i="1"/>
  <c r="ABQ62" i="1"/>
  <c r="ABQ63" i="1"/>
  <c r="ABQ64" i="1"/>
  <c r="ABQ65" i="1"/>
  <c r="ABQ66" i="1"/>
  <c r="ABQ67" i="1"/>
  <c r="ABQ68" i="1"/>
  <c r="ABQ69" i="1"/>
  <c r="ABQ70" i="1"/>
  <c r="ABQ71" i="1"/>
  <c r="ABQ72" i="1"/>
  <c r="ABQ73" i="1"/>
  <c r="ABQ74" i="1"/>
  <c r="ABQ75" i="1"/>
  <c r="ABQ76" i="1"/>
  <c r="ABQ77" i="1"/>
  <c r="ABQ78" i="1"/>
  <c r="ABQ79" i="1"/>
  <c r="ABQ80" i="1"/>
  <c r="ABQ81" i="1"/>
  <c r="ABQ82" i="1"/>
  <c r="ABQ83" i="1"/>
  <c r="ABQ84" i="1"/>
  <c r="ABQ85" i="1"/>
  <c r="ABQ86" i="1"/>
  <c r="ABQ87" i="1"/>
  <c r="ABQ88" i="1"/>
  <c r="ABQ89" i="1"/>
  <c r="ABQ90" i="1"/>
  <c r="ABQ91" i="1"/>
  <c r="ABQ92" i="1"/>
  <c r="ABQ94" i="1"/>
  <c r="ABQ95" i="1"/>
  <c r="ABQ96" i="1"/>
  <c r="ABQ97" i="1"/>
  <c r="ABQ98" i="1"/>
  <c r="ABQ99" i="1"/>
  <c r="ABQ100" i="1"/>
  <c r="ABQ101" i="1"/>
  <c r="ABQ102" i="1"/>
  <c r="ABQ103" i="1"/>
  <c r="ABQ104" i="1"/>
  <c r="ABQ105" i="1"/>
  <c r="ABQ106" i="1"/>
  <c r="ABQ107" i="1"/>
  <c r="ABQ108" i="1"/>
  <c r="ABQ109" i="1"/>
  <c r="ABQ110" i="1"/>
  <c r="ABQ111" i="1"/>
  <c r="ABQ112" i="1"/>
  <c r="ABQ113" i="1"/>
  <c r="ABQ114" i="1"/>
  <c r="ABQ115" i="1"/>
  <c r="ABQ116" i="1"/>
  <c r="ABQ117" i="1"/>
  <c r="ABQ118" i="1"/>
  <c r="ABQ119" i="1"/>
  <c r="ABQ120" i="1"/>
  <c r="ABQ121" i="1"/>
  <c r="ABQ122" i="1"/>
  <c r="ABQ123" i="1"/>
  <c r="ABQ124" i="1"/>
  <c r="ABQ125" i="1"/>
  <c r="ABQ126" i="1"/>
  <c r="ABQ127" i="1"/>
  <c r="ABQ128" i="1"/>
  <c r="ABQ129" i="1"/>
  <c r="ABQ130" i="1"/>
  <c r="ABQ131" i="1"/>
  <c r="ABQ132" i="1"/>
  <c r="ABQ133" i="1"/>
  <c r="ABQ134" i="1"/>
  <c r="ABQ135" i="1"/>
  <c r="ABQ136" i="1"/>
  <c r="ABQ137" i="1"/>
  <c r="ABQ138" i="1"/>
  <c r="ABQ139" i="1"/>
  <c r="ABQ140" i="1"/>
  <c r="ABQ141" i="1"/>
  <c r="ABQ142" i="1"/>
  <c r="ABQ143" i="1"/>
  <c r="ABQ144" i="1"/>
  <c r="ABQ145" i="1"/>
  <c r="ABQ146" i="1"/>
  <c r="ABQ147" i="1"/>
  <c r="ABQ148" i="1"/>
  <c r="ABQ149" i="1"/>
  <c r="ABQ150" i="1"/>
  <c r="ABQ151" i="1"/>
  <c r="ABQ152" i="1"/>
  <c r="ABQ153" i="1"/>
  <c r="ABQ154" i="1"/>
  <c r="AAT2" i="1"/>
  <c r="AAT3" i="1"/>
  <c r="AAT4" i="1"/>
  <c r="AAT5" i="1"/>
  <c r="AAT6" i="1"/>
  <c r="AAT7" i="1"/>
  <c r="AAT8" i="1"/>
  <c r="AAT9" i="1"/>
  <c r="AAT10" i="1"/>
  <c r="AAT11" i="1"/>
  <c r="AAT12" i="1"/>
  <c r="AAT13" i="1"/>
  <c r="AAT14" i="1"/>
  <c r="AAT15" i="1"/>
  <c r="AAT16" i="1"/>
  <c r="AAT17" i="1"/>
  <c r="AAT18" i="1"/>
  <c r="AAT19" i="1"/>
  <c r="AAT20" i="1"/>
  <c r="AAT21" i="1"/>
  <c r="AAT22" i="1"/>
  <c r="AAT23" i="1"/>
  <c r="AAT24" i="1"/>
  <c r="AAT25" i="1"/>
  <c r="AAT26" i="1"/>
  <c r="AAT27" i="1"/>
  <c r="AAT28" i="1"/>
  <c r="AAT29" i="1"/>
  <c r="AAT30" i="1"/>
  <c r="AAT31" i="1"/>
  <c r="AAT32" i="1"/>
  <c r="AAT33" i="1"/>
  <c r="AAT34" i="1"/>
  <c r="AAT35" i="1"/>
  <c r="AAT36" i="1"/>
  <c r="AAT37" i="1"/>
  <c r="AAT38" i="1"/>
  <c r="AAT39" i="1"/>
  <c r="AAT40" i="1"/>
  <c r="AAT41" i="1"/>
  <c r="AAT42" i="1"/>
  <c r="AAT43" i="1"/>
  <c r="AAT44" i="1"/>
  <c r="AAT45" i="1"/>
  <c r="AAT46" i="1"/>
  <c r="AAT47" i="1"/>
  <c r="AAT48" i="1"/>
  <c r="AAT49" i="1"/>
  <c r="AAT50" i="1"/>
  <c r="AAT51" i="1"/>
  <c r="AAT52" i="1"/>
  <c r="AAT53" i="1"/>
  <c r="AAT54" i="1"/>
  <c r="AAT55" i="1"/>
  <c r="AAT56" i="1"/>
  <c r="AAT57" i="1"/>
  <c r="AAT58" i="1"/>
  <c r="AAT59" i="1"/>
  <c r="AAT60" i="1"/>
  <c r="AAT61" i="1"/>
  <c r="AAT62" i="1"/>
  <c r="AAT63" i="1"/>
  <c r="AAT64" i="1"/>
  <c r="AAT65" i="1"/>
  <c r="AAT66" i="1"/>
  <c r="AAT67" i="1"/>
  <c r="AAT68" i="1"/>
  <c r="AAT69" i="1"/>
  <c r="AAT70" i="1"/>
  <c r="AAT71" i="1"/>
  <c r="AAT72" i="1"/>
  <c r="AAT73" i="1"/>
  <c r="AAT74" i="1"/>
  <c r="AAT75" i="1"/>
  <c r="AAT76" i="1"/>
  <c r="AAT77" i="1"/>
  <c r="AAT78" i="1"/>
  <c r="AAT79" i="1"/>
  <c r="AAT80" i="1"/>
  <c r="AAT81" i="1"/>
  <c r="AAT82" i="1"/>
  <c r="AAT83" i="1"/>
  <c r="AAT84" i="1"/>
  <c r="AAT85" i="1"/>
  <c r="AAT86" i="1"/>
  <c r="AAT87" i="1"/>
  <c r="AAT88" i="1"/>
  <c r="AAT89" i="1"/>
  <c r="AAT90" i="1"/>
  <c r="AAT91" i="1"/>
  <c r="AAT92" i="1"/>
  <c r="AAT94" i="1"/>
  <c r="AAT95" i="1"/>
  <c r="AAT96" i="1"/>
  <c r="AAT97" i="1"/>
  <c r="AAT98" i="1"/>
  <c r="AAT99" i="1"/>
  <c r="AAT100" i="1"/>
  <c r="AAT101" i="1"/>
  <c r="AAT102" i="1"/>
  <c r="AAT103" i="1"/>
  <c r="AAT104" i="1"/>
  <c r="AAT105" i="1"/>
  <c r="AAT106" i="1"/>
  <c r="AAT107" i="1"/>
  <c r="AAT108" i="1"/>
  <c r="AAT109" i="1"/>
  <c r="AAT110" i="1"/>
  <c r="AAT111" i="1"/>
  <c r="AAT112" i="1"/>
  <c r="AAT113" i="1"/>
  <c r="AAT114" i="1"/>
  <c r="AAT115" i="1"/>
  <c r="AAT116" i="1"/>
  <c r="AAT117" i="1"/>
  <c r="AAT118" i="1"/>
  <c r="AAT119" i="1"/>
  <c r="AAT120" i="1"/>
  <c r="AAT121" i="1"/>
  <c r="AAT122" i="1"/>
  <c r="AAT123" i="1"/>
  <c r="AAT124" i="1"/>
  <c r="AAT125" i="1"/>
  <c r="AAT126" i="1"/>
  <c r="AAT127" i="1"/>
  <c r="AAT128" i="1"/>
  <c r="AAT129" i="1"/>
  <c r="AAT130" i="1"/>
  <c r="AAT131" i="1"/>
  <c r="AAT132" i="1"/>
  <c r="AAT133" i="1"/>
  <c r="AAT134" i="1"/>
  <c r="AAT135" i="1"/>
  <c r="AAT136" i="1"/>
  <c r="AAT137" i="1"/>
  <c r="AAT138" i="1"/>
  <c r="AAT139" i="1"/>
  <c r="AAT140" i="1"/>
  <c r="AAT141" i="1"/>
  <c r="AAT142" i="1"/>
  <c r="AAT143" i="1"/>
  <c r="AAT144" i="1"/>
  <c r="AAT145" i="1"/>
  <c r="AAT146" i="1"/>
  <c r="AAT147" i="1"/>
  <c r="AAT148" i="1"/>
  <c r="AAT149" i="1"/>
  <c r="AAT150" i="1"/>
  <c r="AAT151" i="1"/>
  <c r="AAT152" i="1"/>
  <c r="AAT153" i="1"/>
  <c r="AAT154" i="1"/>
  <c r="ZX2" i="1"/>
  <c r="ZX3" i="1"/>
  <c r="ZX4" i="1"/>
  <c r="ZX5" i="1"/>
  <c r="ZX6" i="1"/>
  <c r="ZX7" i="1"/>
  <c r="ZX8" i="1"/>
  <c r="ZX9" i="1"/>
  <c r="ZX10" i="1"/>
  <c r="ZX11" i="1"/>
  <c r="ZX12" i="1"/>
  <c r="ZX13" i="1"/>
  <c r="ZX14" i="1"/>
  <c r="ZX15" i="1"/>
  <c r="ZX16" i="1"/>
  <c r="ZX17" i="1"/>
  <c r="ZX18" i="1"/>
  <c r="ZX19" i="1"/>
  <c r="ZX20" i="1"/>
  <c r="ZX21" i="1"/>
  <c r="ZX22" i="1"/>
  <c r="ZX23" i="1"/>
  <c r="ZX24" i="1"/>
  <c r="ZX25" i="1"/>
  <c r="ZX26" i="1"/>
  <c r="ZX27" i="1"/>
  <c r="ZX28" i="1"/>
  <c r="ZX29" i="1"/>
  <c r="ZX30" i="1"/>
  <c r="ZX31" i="1"/>
  <c r="ZX32" i="1"/>
  <c r="ZX33" i="1"/>
  <c r="ZX34" i="1"/>
  <c r="ZX35" i="1"/>
  <c r="ZX36" i="1"/>
  <c r="ZX37" i="1"/>
  <c r="ZX38" i="1"/>
  <c r="ZX39" i="1"/>
  <c r="ZX40" i="1"/>
  <c r="ZX41" i="1"/>
  <c r="ZX42" i="1"/>
  <c r="ZX43" i="1"/>
  <c r="ZX44" i="1"/>
  <c r="ZX45" i="1"/>
  <c r="ZX46" i="1"/>
  <c r="ZX47" i="1"/>
  <c r="ZX48" i="1"/>
  <c r="ZX49" i="1"/>
  <c r="ZX50" i="1"/>
  <c r="ZX51" i="1"/>
  <c r="ZX52" i="1"/>
  <c r="ZX53" i="1"/>
  <c r="ZX54" i="1"/>
  <c r="ZX55" i="1"/>
  <c r="ZX56" i="1"/>
  <c r="ZX57" i="1"/>
  <c r="ZX58" i="1"/>
  <c r="ZX59" i="1"/>
  <c r="ZX60" i="1"/>
  <c r="ZX61" i="1"/>
  <c r="ZX62" i="1"/>
  <c r="ZX63" i="1"/>
  <c r="ZX64" i="1"/>
  <c r="ZX65" i="1"/>
  <c r="ZX66" i="1"/>
  <c r="ZX67" i="1"/>
  <c r="ZX68" i="1"/>
  <c r="ZX69" i="1"/>
  <c r="ZX70" i="1"/>
  <c r="ZX71" i="1"/>
  <c r="ZX72" i="1"/>
  <c r="ZX73" i="1"/>
  <c r="ZX74" i="1"/>
  <c r="ZX75" i="1"/>
  <c r="ZX76" i="1"/>
  <c r="ZX77" i="1"/>
  <c r="ZX78" i="1"/>
  <c r="ZX79" i="1"/>
  <c r="ZX80" i="1"/>
  <c r="ZX81" i="1"/>
  <c r="ZX82" i="1"/>
  <c r="ZX83" i="1"/>
  <c r="ZX84" i="1"/>
  <c r="ZX85" i="1"/>
  <c r="ZX86" i="1"/>
  <c r="ZX87" i="1"/>
  <c r="ZX88" i="1"/>
  <c r="ZX89" i="1"/>
  <c r="ZX90" i="1"/>
  <c r="ZX91" i="1"/>
  <c r="ZX92" i="1"/>
  <c r="ZX94" i="1"/>
  <c r="ZX95" i="1"/>
  <c r="ZX96" i="1"/>
  <c r="ZX97" i="1"/>
  <c r="ZX98" i="1"/>
  <c r="ZX99" i="1"/>
  <c r="ZX100" i="1"/>
  <c r="ZX101" i="1"/>
  <c r="ZX102" i="1"/>
  <c r="ZX103" i="1"/>
  <c r="ZX104" i="1"/>
  <c r="ZX105" i="1"/>
  <c r="ZX106" i="1"/>
  <c r="ZX107" i="1"/>
  <c r="ZX108" i="1"/>
  <c r="ZX109" i="1"/>
  <c r="ZX110" i="1"/>
  <c r="ZX111" i="1"/>
  <c r="ZX112" i="1"/>
  <c r="ZX113" i="1"/>
  <c r="ZX114" i="1"/>
  <c r="ZX115" i="1"/>
  <c r="ZX116" i="1"/>
  <c r="ZX117" i="1"/>
  <c r="ZX118" i="1"/>
  <c r="ZX119" i="1"/>
  <c r="ZX120" i="1"/>
  <c r="ZX121" i="1"/>
  <c r="ZX122" i="1"/>
  <c r="ZX123" i="1"/>
  <c r="ZX124" i="1"/>
  <c r="ZX125" i="1"/>
  <c r="ZX126" i="1"/>
  <c r="ZX127" i="1"/>
  <c r="ZX128" i="1"/>
  <c r="ZX129" i="1"/>
  <c r="ZX130" i="1"/>
  <c r="ZX131" i="1"/>
  <c r="ZX132" i="1"/>
  <c r="ZX133" i="1"/>
  <c r="ZX134" i="1"/>
  <c r="ZX135" i="1"/>
  <c r="ZX136" i="1"/>
  <c r="ZX137" i="1"/>
  <c r="ZX138" i="1"/>
  <c r="ZX139" i="1"/>
  <c r="ZX140" i="1"/>
  <c r="ZX141" i="1"/>
  <c r="ZX142" i="1"/>
  <c r="ZX143" i="1"/>
  <c r="ZX144" i="1"/>
  <c r="ZX145" i="1"/>
  <c r="ZX146" i="1"/>
  <c r="ZX147" i="1"/>
  <c r="ZX148" i="1"/>
  <c r="ZX149" i="1"/>
  <c r="ZX150" i="1"/>
  <c r="ZX151" i="1"/>
  <c r="ZX152" i="1"/>
  <c r="ZX153" i="1"/>
  <c r="ZX154" i="1"/>
  <c r="ZR2" i="1"/>
  <c r="ZR3" i="1"/>
  <c r="ZR4" i="1"/>
  <c r="ZR5" i="1"/>
  <c r="ZR6" i="1"/>
  <c r="ZR7" i="1"/>
  <c r="ZR8" i="1"/>
  <c r="ZR9" i="1"/>
  <c r="ZR10" i="1"/>
  <c r="ZR11" i="1"/>
  <c r="ZR12" i="1"/>
  <c r="ZR13" i="1"/>
  <c r="ZR14" i="1"/>
  <c r="ZR15" i="1"/>
  <c r="ZR16" i="1"/>
  <c r="ZR17" i="1"/>
  <c r="ZR18" i="1"/>
  <c r="ZR19" i="1"/>
  <c r="ZR20" i="1"/>
  <c r="ZR21" i="1"/>
  <c r="ZR22" i="1"/>
  <c r="ZR23" i="1"/>
  <c r="ZR24" i="1"/>
  <c r="ZR25" i="1"/>
  <c r="ZR26" i="1"/>
  <c r="ZR27" i="1"/>
  <c r="ZR28" i="1"/>
  <c r="ZR29" i="1"/>
  <c r="ZR30" i="1"/>
  <c r="ZR31" i="1"/>
  <c r="ZR32" i="1"/>
  <c r="ZR33" i="1"/>
  <c r="ZR34" i="1"/>
  <c r="ZR35" i="1"/>
  <c r="ZR36" i="1"/>
  <c r="ZR37" i="1"/>
  <c r="ZR38" i="1"/>
  <c r="ZR39" i="1"/>
  <c r="ZR40" i="1"/>
  <c r="ZR41" i="1"/>
  <c r="ZR42" i="1"/>
  <c r="ZR43" i="1"/>
  <c r="ZR44" i="1"/>
  <c r="ZR45" i="1"/>
  <c r="ZR46" i="1"/>
  <c r="ZR47" i="1"/>
  <c r="ZR48" i="1"/>
  <c r="ZR49" i="1"/>
  <c r="ZR50" i="1"/>
  <c r="ZR51" i="1"/>
  <c r="ZR52" i="1"/>
  <c r="ZR53" i="1"/>
  <c r="ZR54" i="1"/>
  <c r="ZR55" i="1"/>
  <c r="ZR56" i="1"/>
  <c r="ZR57" i="1"/>
  <c r="ZR58" i="1"/>
  <c r="ZR59" i="1"/>
  <c r="ZR60" i="1"/>
  <c r="ZR61" i="1"/>
  <c r="ZR62" i="1"/>
  <c r="ZR63" i="1"/>
  <c r="ZR64" i="1"/>
  <c r="ZR65" i="1"/>
  <c r="ZR66" i="1"/>
  <c r="ZR67" i="1"/>
  <c r="ZR68" i="1"/>
  <c r="ZR69" i="1"/>
  <c r="ZR70" i="1"/>
  <c r="ZR71" i="1"/>
  <c r="ZR72" i="1"/>
  <c r="ZR73" i="1"/>
  <c r="ZR74" i="1"/>
  <c r="ZR75" i="1"/>
  <c r="ZR76" i="1"/>
  <c r="ZR77" i="1"/>
  <c r="ZR78" i="1"/>
  <c r="ZR79" i="1"/>
  <c r="ZR80" i="1"/>
  <c r="ZR81" i="1"/>
  <c r="ZR82" i="1"/>
  <c r="ZR83" i="1"/>
  <c r="ZR84" i="1"/>
  <c r="ZR85" i="1"/>
  <c r="ZR86" i="1"/>
  <c r="ZR87" i="1"/>
  <c r="ZR88" i="1"/>
  <c r="ZR89" i="1"/>
  <c r="ZR90" i="1"/>
  <c r="ZR91" i="1"/>
  <c r="ZR92" i="1"/>
  <c r="ZR94" i="1"/>
  <c r="ZR95" i="1"/>
  <c r="ZR96" i="1"/>
  <c r="ZR97" i="1"/>
  <c r="ZR98" i="1"/>
  <c r="ZR99" i="1"/>
  <c r="ZR100" i="1"/>
  <c r="ZR101" i="1"/>
  <c r="ZR102" i="1"/>
  <c r="ZR103" i="1"/>
  <c r="ZR104" i="1"/>
  <c r="ZR105" i="1"/>
  <c r="ZR106" i="1"/>
  <c r="ZR107" i="1"/>
  <c r="ZR108" i="1"/>
  <c r="ZR109" i="1"/>
  <c r="ZR110" i="1"/>
  <c r="ZR111" i="1"/>
  <c r="ZR112" i="1"/>
  <c r="ZR113" i="1"/>
  <c r="ZR114" i="1"/>
  <c r="ZR115" i="1"/>
  <c r="ZR116" i="1"/>
  <c r="ZR117" i="1"/>
  <c r="ZR118" i="1"/>
  <c r="ZR119" i="1"/>
  <c r="ZR120" i="1"/>
  <c r="ZR121" i="1"/>
  <c r="ZR122" i="1"/>
  <c r="ZR123" i="1"/>
  <c r="ZR124" i="1"/>
  <c r="ZR125" i="1"/>
  <c r="ZR126" i="1"/>
  <c r="ZR127" i="1"/>
  <c r="ZR128" i="1"/>
  <c r="ZR129" i="1"/>
  <c r="ZR130" i="1"/>
  <c r="ZR131" i="1"/>
  <c r="ZR132" i="1"/>
  <c r="ZR133" i="1"/>
  <c r="ZR134" i="1"/>
  <c r="ZR135" i="1"/>
  <c r="ZR136" i="1"/>
  <c r="ZR137" i="1"/>
  <c r="ZR138" i="1"/>
  <c r="ZR139" i="1"/>
  <c r="ZR140" i="1"/>
  <c r="ZR141" i="1"/>
  <c r="ZR142" i="1"/>
  <c r="ZR143" i="1"/>
  <c r="ZR144" i="1"/>
  <c r="ZR145" i="1"/>
  <c r="ZR146" i="1"/>
  <c r="ZR147" i="1"/>
  <c r="ZR148" i="1"/>
  <c r="ZR149" i="1"/>
  <c r="ZR150" i="1"/>
  <c r="ZR151" i="1"/>
  <c r="ZR152" i="1"/>
  <c r="ZR153" i="1"/>
  <c r="ZR154" i="1"/>
  <c r="YX2" i="1"/>
  <c r="YX3" i="1"/>
  <c r="YX4" i="1"/>
  <c r="YX5" i="1"/>
  <c r="YX6" i="1"/>
  <c r="YX7" i="1"/>
  <c r="YX8" i="1"/>
  <c r="YX9" i="1"/>
  <c r="YX10" i="1"/>
  <c r="YX11" i="1"/>
  <c r="YX12" i="1"/>
  <c r="YX13" i="1"/>
  <c r="YX14" i="1"/>
  <c r="YX15" i="1"/>
  <c r="YX16" i="1"/>
  <c r="YX17" i="1"/>
  <c r="YX18" i="1"/>
  <c r="YX19" i="1"/>
  <c r="YX20" i="1"/>
  <c r="YX21" i="1"/>
  <c r="YX22" i="1"/>
  <c r="YX23" i="1"/>
  <c r="YX24" i="1"/>
  <c r="YX25" i="1"/>
  <c r="YX26" i="1"/>
  <c r="YX27" i="1"/>
  <c r="YX28" i="1"/>
  <c r="YX29" i="1"/>
  <c r="YX30" i="1"/>
  <c r="YX31" i="1"/>
  <c r="YX32" i="1"/>
  <c r="YX33" i="1"/>
  <c r="YX34" i="1"/>
  <c r="YX35" i="1"/>
  <c r="YX36" i="1"/>
  <c r="YX37" i="1"/>
  <c r="YX38" i="1"/>
  <c r="YX39" i="1"/>
  <c r="YX40" i="1"/>
  <c r="YX41" i="1"/>
  <c r="YX42" i="1"/>
  <c r="YX43" i="1"/>
  <c r="YX44" i="1"/>
  <c r="YX45" i="1"/>
  <c r="YX46" i="1"/>
  <c r="YX47" i="1"/>
  <c r="YX48" i="1"/>
  <c r="YX49" i="1"/>
  <c r="YX50" i="1"/>
  <c r="YX51" i="1"/>
  <c r="YX52" i="1"/>
  <c r="YX53" i="1"/>
  <c r="YX54" i="1"/>
  <c r="YX55" i="1"/>
  <c r="YX56" i="1"/>
  <c r="YX57" i="1"/>
  <c r="YX58" i="1"/>
  <c r="YX59" i="1"/>
  <c r="YX60" i="1"/>
  <c r="YX61" i="1"/>
  <c r="YX62" i="1"/>
  <c r="YX63" i="1"/>
  <c r="YX64" i="1"/>
  <c r="YX65" i="1"/>
  <c r="YX66" i="1"/>
  <c r="YX67" i="1"/>
  <c r="YX68" i="1"/>
  <c r="YX69" i="1"/>
  <c r="YX70" i="1"/>
  <c r="YX71" i="1"/>
  <c r="YX72" i="1"/>
  <c r="YX73" i="1"/>
  <c r="YX74" i="1"/>
  <c r="YX75" i="1"/>
  <c r="YX76" i="1"/>
  <c r="YX77" i="1"/>
  <c r="YX78" i="1"/>
  <c r="YX79" i="1"/>
  <c r="YX80" i="1"/>
  <c r="YX81" i="1"/>
  <c r="YX82" i="1"/>
  <c r="YX83" i="1"/>
  <c r="YX84" i="1"/>
  <c r="YX85" i="1"/>
  <c r="YX86" i="1"/>
  <c r="YX87" i="1"/>
  <c r="YX88" i="1"/>
  <c r="YX89" i="1"/>
  <c r="YX90" i="1"/>
  <c r="YX91" i="1"/>
  <c r="YX92" i="1"/>
  <c r="YX94" i="1"/>
  <c r="YX95" i="1"/>
  <c r="YX96" i="1"/>
  <c r="YX97" i="1"/>
  <c r="YX98" i="1"/>
  <c r="YX99" i="1"/>
  <c r="YX100" i="1"/>
  <c r="YX101" i="1"/>
  <c r="YX102" i="1"/>
  <c r="YX103" i="1"/>
  <c r="YX104" i="1"/>
  <c r="YX105" i="1"/>
  <c r="YX106" i="1"/>
  <c r="YX107" i="1"/>
  <c r="YX108" i="1"/>
  <c r="YX109" i="1"/>
  <c r="YX110" i="1"/>
  <c r="YX111" i="1"/>
  <c r="YX112" i="1"/>
  <c r="YX113" i="1"/>
  <c r="YX114" i="1"/>
  <c r="YX115" i="1"/>
  <c r="YX116" i="1"/>
  <c r="YX117" i="1"/>
  <c r="YX118" i="1"/>
  <c r="YX119" i="1"/>
  <c r="YX120" i="1"/>
  <c r="YX121" i="1"/>
  <c r="YX122" i="1"/>
  <c r="YX123" i="1"/>
  <c r="YX124" i="1"/>
  <c r="YX125" i="1"/>
  <c r="YX126" i="1"/>
  <c r="YX127" i="1"/>
  <c r="YX128" i="1"/>
  <c r="YX129" i="1"/>
  <c r="YX130" i="1"/>
  <c r="YX131" i="1"/>
  <c r="YX132" i="1"/>
  <c r="YX133" i="1"/>
  <c r="YX134" i="1"/>
  <c r="YX135" i="1"/>
  <c r="YX136" i="1"/>
  <c r="YX137" i="1"/>
  <c r="YX138" i="1"/>
  <c r="YX139" i="1"/>
  <c r="YX140" i="1"/>
  <c r="YX141" i="1"/>
  <c r="YX142" i="1"/>
  <c r="YX143" i="1"/>
  <c r="YX144" i="1"/>
  <c r="YX145" i="1"/>
  <c r="YX146" i="1"/>
  <c r="YX147" i="1"/>
  <c r="YX148" i="1"/>
  <c r="YX149" i="1"/>
  <c r="YX150" i="1"/>
  <c r="YX151" i="1"/>
  <c r="YX152" i="1"/>
  <c r="YX153" i="1"/>
  <c r="YX154" i="1"/>
  <c r="YD2" i="1"/>
  <c r="YD3" i="1"/>
  <c r="YD4" i="1"/>
  <c r="YD5" i="1"/>
  <c r="YD6" i="1"/>
  <c r="YD7" i="1"/>
  <c r="YD8" i="1"/>
  <c r="YD9" i="1"/>
  <c r="YD10" i="1"/>
  <c r="YD11" i="1"/>
  <c r="YD12" i="1"/>
  <c r="YD13" i="1"/>
  <c r="YD14" i="1"/>
  <c r="YD15" i="1"/>
  <c r="YD16" i="1"/>
  <c r="YD17" i="1"/>
  <c r="YD18" i="1"/>
  <c r="YD19" i="1"/>
  <c r="YD20" i="1"/>
  <c r="YD21" i="1"/>
  <c r="YD22" i="1"/>
  <c r="YD23" i="1"/>
  <c r="YD24" i="1"/>
  <c r="YD25" i="1"/>
  <c r="YD26" i="1"/>
  <c r="YD27" i="1"/>
  <c r="YD28" i="1"/>
  <c r="YD29" i="1"/>
  <c r="YD30" i="1"/>
  <c r="YD31" i="1"/>
  <c r="YD32" i="1"/>
  <c r="YD33" i="1"/>
  <c r="YD34" i="1"/>
  <c r="YD35" i="1"/>
  <c r="YD36" i="1"/>
  <c r="YD37" i="1"/>
  <c r="YD38" i="1"/>
  <c r="YD39" i="1"/>
  <c r="YD40" i="1"/>
  <c r="YD41" i="1"/>
  <c r="YD42" i="1"/>
  <c r="YD43" i="1"/>
  <c r="YD44" i="1"/>
  <c r="YD45" i="1"/>
  <c r="YD46" i="1"/>
  <c r="YD47" i="1"/>
  <c r="YD48" i="1"/>
  <c r="YD49" i="1"/>
  <c r="YD50" i="1"/>
  <c r="YD51" i="1"/>
  <c r="YD52" i="1"/>
  <c r="YD53" i="1"/>
  <c r="YD54" i="1"/>
  <c r="YD55" i="1"/>
  <c r="YD56" i="1"/>
  <c r="YD57" i="1"/>
  <c r="YD58" i="1"/>
  <c r="YD59" i="1"/>
  <c r="YD60" i="1"/>
  <c r="YD61" i="1"/>
  <c r="YD62" i="1"/>
  <c r="YD63" i="1"/>
  <c r="YD64" i="1"/>
  <c r="YD65" i="1"/>
  <c r="YD66" i="1"/>
  <c r="YD67" i="1"/>
  <c r="YD68" i="1"/>
  <c r="YD69" i="1"/>
  <c r="YD70" i="1"/>
  <c r="YD71" i="1"/>
  <c r="YD72" i="1"/>
  <c r="YD73" i="1"/>
  <c r="YD74" i="1"/>
  <c r="YD75" i="1"/>
  <c r="YD76" i="1"/>
  <c r="YD77" i="1"/>
  <c r="YD78" i="1"/>
  <c r="YD79" i="1"/>
  <c r="YD80" i="1"/>
  <c r="YD81" i="1"/>
  <c r="YD82" i="1"/>
  <c r="YD83" i="1"/>
  <c r="YD84" i="1"/>
  <c r="YD85" i="1"/>
  <c r="YD86" i="1"/>
  <c r="YD87" i="1"/>
  <c r="YD88" i="1"/>
  <c r="YD89" i="1"/>
  <c r="YD90" i="1"/>
  <c r="YD91" i="1"/>
  <c r="YD92" i="1"/>
  <c r="YD94" i="1"/>
  <c r="YD95" i="1"/>
  <c r="YD96" i="1"/>
  <c r="YD97" i="1"/>
  <c r="YD98" i="1"/>
  <c r="YD99" i="1"/>
  <c r="YD100" i="1"/>
  <c r="YD101" i="1"/>
  <c r="YD102" i="1"/>
  <c r="YD103" i="1"/>
  <c r="YD104" i="1"/>
  <c r="YD105" i="1"/>
  <c r="YD106" i="1"/>
  <c r="YD107" i="1"/>
  <c r="YD108" i="1"/>
  <c r="YD109" i="1"/>
  <c r="YD110" i="1"/>
  <c r="YD111" i="1"/>
  <c r="YD112" i="1"/>
  <c r="YD113" i="1"/>
  <c r="YD114" i="1"/>
  <c r="YD115" i="1"/>
  <c r="YD116" i="1"/>
  <c r="YD117" i="1"/>
  <c r="YD118" i="1"/>
  <c r="YD119" i="1"/>
  <c r="YD120" i="1"/>
  <c r="YD121" i="1"/>
  <c r="YD122" i="1"/>
  <c r="YD123" i="1"/>
  <c r="YD124" i="1"/>
  <c r="YD125" i="1"/>
  <c r="YD126" i="1"/>
  <c r="YD127" i="1"/>
  <c r="YD128" i="1"/>
  <c r="YD129" i="1"/>
  <c r="YD130" i="1"/>
  <c r="YD131" i="1"/>
  <c r="YD132" i="1"/>
  <c r="YD133" i="1"/>
  <c r="YD134" i="1"/>
  <c r="YD135" i="1"/>
  <c r="YD136" i="1"/>
  <c r="YD137" i="1"/>
  <c r="YD138" i="1"/>
  <c r="YD139" i="1"/>
  <c r="YD140" i="1"/>
  <c r="YD141" i="1"/>
  <c r="YD142" i="1"/>
  <c r="YD143" i="1"/>
  <c r="YD144" i="1"/>
  <c r="YD145" i="1"/>
  <c r="YD146" i="1"/>
  <c r="YD147" i="1"/>
  <c r="YD148" i="1"/>
  <c r="YD149" i="1"/>
  <c r="YD150" i="1"/>
  <c r="YD151" i="1"/>
  <c r="YD152" i="1"/>
  <c r="YD153" i="1"/>
  <c r="YD154" i="1"/>
  <c r="XH2" i="1"/>
  <c r="XH3" i="1"/>
  <c r="XH4" i="1"/>
  <c r="XH5" i="1"/>
  <c r="XH6" i="1"/>
  <c r="XH7" i="1"/>
  <c r="XH8" i="1"/>
  <c r="XH9" i="1"/>
  <c r="XH10" i="1"/>
  <c r="XH11" i="1"/>
  <c r="XH12" i="1"/>
  <c r="XH13" i="1"/>
  <c r="XH14" i="1"/>
  <c r="XH15" i="1"/>
  <c r="XH16" i="1"/>
  <c r="XH17" i="1"/>
  <c r="XH18" i="1"/>
  <c r="XH19" i="1"/>
  <c r="XH20" i="1"/>
  <c r="XH21" i="1"/>
  <c r="XH22" i="1"/>
  <c r="XH23" i="1"/>
  <c r="XH24" i="1"/>
  <c r="XH25" i="1"/>
  <c r="XH26" i="1"/>
  <c r="XH27" i="1"/>
  <c r="XH28" i="1"/>
  <c r="XH29" i="1"/>
  <c r="XH30" i="1"/>
  <c r="XH31" i="1"/>
  <c r="XH32" i="1"/>
  <c r="XH33" i="1"/>
  <c r="XH34" i="1"/>
  <c r="XH35" i="1"/>
  <c r="XH36" i="1"/>
  <c r="XH37" i="1"/>
  <c r="XH38" i="1"/>
  <c r="XH39" i="1"/>
  <c r="XH40" i="1"/>
  <c r="XH41" i="1"/>
  <c r="XH42" i="1"/>
  <c r="XH43" i="1"/>
  <c r="XH44" i="1"/>
  <c r="XH45" i="1"/>
  <c r="XH46" i="1"/>
  <c r="XH47" i="1"/>
  <c r="XH48" i="1"/>
  <c r="XH49" i="1"/>
  <c r="XH50" i="1"/>
  <c r="XH51" i="1"/>
  <c r="XH52" i="1"/>
  <c r="XH53" i="1"/>
  <c r="XH54" i="1"/>
  <c r="XH55" i="1"/>
  <c r="XH56" i="1"/>
  <c r="XH57" i="1"/>
  <c r="XH58" i="1"/>
  <c r="XH59" i="1"/>
  <c r="XH60" i="1"/>
  <c r="XH61" i="1"/>
  <c r="XH62" i="1"/>
  <c r="XH63" i="1"/>
  <c r="XH64" i="1"/>
  <c r="XH65" i="1"/>
  <c r="XH66" i="1"/>
  <c r="XH67" i="1"/>
  <c r="XH68" i="1"/>
  <c r="XH69" i="1"/>
  <c r="XH70" i="1"/>
  <c r="XH71" i="1"/>
  <c r="XH72" i="1"/>
  <c r="XH73" i="1"/>
  <c r="XH74" i="1"/>
  <c r="XH75" i="1"/>
  <c r="XH76" i="1"/>
  <c r="XH77" i="1"/>
  <c r="XH78" i="1"/>
  <c r="XH79" i="1"/>
  <c r="XH80" i="1"/>
  <c r="XH81" i="1"/>
  <c r="XH82" i="1"/>
  <c r="XH83" i="1"/>
  <c r="XH84" i="1"/>
  <c r="XH85" i="1"/>
  <c r="XH86" i="1"/>
  <c r="XH87" i="1"/>
  <c r="XH88" i="1"/>
  <c r="XH89" i="1"/>
  <c r="XH90" i="1"/>
  <c r="XH91" i="1"/>
  <c r="XH92" i="1"/>
  <c r="XH94" i="1"/>
  <c r="XH95" i="1"/>
  <c r="XH96" i="1"/>
  <c r="XH97" i="1"/>
  <c r="XH98" i="1"/>
  <c r="XH99" i="1"/>
  <c r="XH100" i="1"/>
  <c r="XH101" i="1"/>
  <c r="XH102" i="1"/>
  <c r="XH103" i="1"/>
  <c r="XH104" i="1"/>
  <c r="XH105" i="1"/>
  <c r="XH106" i="1"/>
  <c r="XH107" i="1"/>
  <c r="XH108" i="1"/>
  <c r="XH109" i="1"/>
  <c r="XH110" i="1"/>
  <c r="XH111" i="1"/>
  <c r="XH112" i="1"/>
  <c r="XH113" i="1"/>
  <c r="XH114" i="1"/>
  <c r="XH115" i="1"/>
  <c r="XH116" i="1"/>
  <c r="XH117" i="1"/>
  <c r="XH118" i="1"/>
  <c r="XH119" i="1"/>
  <c r="XH120" i="1"/>
  <c r="XH121" i="1"/>
  <c r="XH122" i="1"/>
  <c r="XH123" i="1"/>
  <c r="XH124" i="1"/>
  <c r="XH125" i="1"/>
  <c r="XH126" i="1"/>
  <c r="XH127" i="1"/>
  <c r="XH128" i="1"/>
  <c r="XH129" i="1"/>
  <c r="XH130" i="1"/>
  <c r="XH131" i="1"/>
  <c r="XH132" i="1"/>
  <c r="XH133" i="1"/>
  <c r="XH134" i="1"/>
  <c r="XH135" i="1"/>
  <c r="XH136" i="1"/>
  <c r="XH137" i="1"/>
  <c r="XH138" i="1"/>
  <c r="XH139" i="1"/>
  <c r="XH140" i="1"/>
  <c r="XH141" i="1"/>
  <c r="XH142" i="1"/>
  <c r="XH143" i="1"/>
  <c r="XH144" i="1"/>
  <c r="XH145" i="1"/>
  <c r="XH146" i="1"/>
  <c r="XH147" i="1"/>
  <c r="XH148" i="1"/>
  <c r="XH149" i="1"/>
  <c r="XH150" i="1"/>
  <c r="XH151" i="1"/>
  <c r="XH152" i="1"/>
  <c r="XH153" i="1"/>
  <c r="XH154" i="1"/>
  <c r="WM2" i="1"/>
  <c r="WM3" i="1"/>
  <c r="WM4" i="1"/>
  <c r="WM5" i="1"/>
  <c r="WM6" i="1"/>
  <c r="WM7" i="1"/>
  <c r="WM8" i="1"/>
  <c r="WM9" i="1"/>
  <c r="WM10" i="1"/>
  <c r="WM11" i="1"/>
  <c r="WM12" i="1"/>
  <c r="WM13" i="1"/>
  <c r="WM14" i="1"/>
  <c r="WM15" i="1"/>
  <c r="WM16" i="1"/>
  <c r="WM17" i="1"/>
  <c r="WM18" i="1"/>
  <c r="WM19" i="1"/>
  <c r="WM20" i="1"/>
  <c r="WM21" i="1"/>
  <c r="WM22" i="1"/>
  <c r="WM23" i="1"/>
  <c r="WM24" i="1"/>
  <c r="WM25" i="1"/>
  <c r="WM26" i="1"/>
  <c r="WM27" i="1"/>
  <c r="WM28" i="1"/>
  <c r="WM29" i="1"/>
  <c r="WM30" i="1"/>
  <c r="WM31" i="1"/>
  <c r="WM32" i="1"/>
  <c r="WM33" i="1"/>
  <c r="WM34" i="1"/>
  <c r="WM35" i="1"/>
  <c r="WM36" i="1"/>
  <c r="WM37" i="1"/>
  <c r="WM38" i="1"/>
  <c r="WM39" i="1"/>
  <c r="WM40" i="1"/>
  <c r="WM41" i="1"/>
  <c r="WM42" i="1"/>
  <c r="WM43" i="1"/>
  <c r="WM44" i="1"/>
  <c r="WM45" i="1"/>
  <c r="WM46" i="1"/>
  <c r="WM47" i="1"/>
  <c r="WM48" i="1"/>
  <c r="WM49" i="1"/>
  <c r="WM50" i="1"/>
  <c r="WM51" i="1"/>
  <c r="WM52" i="1"/>
  <c r="WM53" i="1"/>
  <c r="WM54" i="1"/>
  <c r="WM55" i="1"/>
  <c r="WM56" i="1"/>
  <c r="WM57" i="1"/>
  <c r="WM58" i="1"/>
  <c r="WM59" i="1"/>
  <c r="WM60" i="1"/>
  <c r="WM61" i="1"/>
  <c r="WM62" i="1"/>
  <c r="WM63" i="1"/>
  <c r="WM64" i="1"/>
  <c r="WM65" i="1"/>
  <c r="WM66" i="1"/>
  <c r="WM67" i="1"/>
  <c r="WM68" i="1"/>
  <c r="WM69" i="1"/>
  <c r="WM70" i="1"/>
  <c r="WM71" i="1"/>
  <c r="WM72" i="1"/>
  <c r="WM73" i="1"/>
  <c r="WM74" i="1"/>
  <c r="WM75" i="1"/>
  <c r="WM76" i="1"/>
  <c r="WM77" i="1"/>
  <c r="WM78" i="1"/>
  <c r="WM79" i="1"/>
  <c r="WM80" i="1"/>
  <c r="WM81" i="1"/>
  <c r="WM82" i="1"/>
  <c r="WM83" i="1"/>
  <c r="WM84" i="1"/>
  <c r="WM85" i="1"/>
  <c r="WM86" i="1"/>
  <c r="WM87" i="1"/>
  <c r="WM88" i="1"/>
  <c r="WM89" i="1"/>
  <c r="WM90" i="1"/>
  <c r="WM91" i="1"/>
  <c r="WM92" i="1"/>
  <c r="WM94" i="1"/>
  <c r="WM95" i="1"/>
  <c r="WM96" i="1"/>
  <c r="WM97" i="1"/>
  <c r="WM98" i="1"/>
  <c r="WM99" i="1"/>
  <c r="WM100" i="1"/>
  <c r="WM101" i="1"/>
  <c r="WM102" i="1"/>
  <c r="WM103" i="1"/>
  <c r="WM104" i="1"/>
  <c r="WM105" i="1"/>
  <c r="WM106" i="1"/>
  <c r="WM107" i="1"/>
  <c r="WM108" i="1"/>
  <c r="WM109" i="1"/>
  <c r="WM110" i="1"/>
  <c r="WM111" i="1"/>
  <c r="WM112" i="1"/>
  <c r="WM113" i="1"/>
  <c r="WM114" i="1"/>
  <c r="WM115" i="1"/>
  <c r="WM116" i="1"/>
  <c r="WM117" i="1"/>
  <c r="WM118" i="1"/>
  <c r="WM119" i="1"/>
  <c r="WM120" i="1"/>
  <c r="WM121" i="1"/>
  <c r="WM122" i="1"/>
  <c r="WM123" i="1"/>
  <c r="WM124" i="1"/>
  <c r="WM125" i="1"/>
  <c r="WM126" i="1"/>
  <c r="WM127" i="1"/>
  <c r="WM128" i="1"/>
  <c r="WM129" i="1"/>
  <c r="WM130" i="1"/>
  <c r="WM131" i="1"/>
  <c r="WM132" i="1"/>
  <c r="WM133" i="1"/>
  <c r="WM134" i="1"/>
  <c r="WM135" i="1"/>
  <c r="WM136" i="1"/>
  <c r="WM137" i="1"/>
  <c r="WM138" i="1"/>
  <c r="WM139" i="1"/>
  <c r="WM140" i="1"/>
  <c r="WM141" i="1"/>
  <c r="WM142" i="1"/>
  <c r="WM143" i="1"/>
  <c r="WM144" i="1"/>
  <c r="WM145" i="1"/>
  <c r="WM146" i="1"/>
  <c r="WM147" i="1"/>
  <c r="WM148" i="1"/>
  <c r="WM149" i="1"/>
  <c r="WM150" i="1"/>
  <c r="WM151" i="1"/>
  <c r="WM152" i="1"/>
  <c r="WM153" i="1"/>
  <c r="WM154" i="1"/>
  <c r="VJ2" i="1"/>
  <c r="VJ3" i="1"/>
  <c r="VJ4" i="1"/>
  <c r="VJ5" i="1"/>
  <c r="VJ6" i="1"/>
  <c r="VJ7" i="1"/>
  <c r="VJ8" i="1"/>
  <c r="VJ9" i="1"/>
  <c r="VJ10" i="1"/>
  <c r="VJ11" i="1"/>
  <c r="VJ12" i="1"/>
  <c r="VJ13" i="1"/>
  <c r="VJ14" i="1"/>
  <c r="VJ15" i="1"/>
  <c r="VJ16" i="1"/>
  <c r="VJ17" i="1"/>
  <c r="VJ18" i="1"/>
  <c r="VJ19" i="1"/>
  <c r="VJ20" i="1"/>
  <c r="VJ21" i="1"/>
  <c r="VJ22" i="1"/>
  <c r="VJ23" i="1"/>
  <c r="VJ24" i="1"/>
  <c r="VJ25" i="1"/>
  <c r="VJ26" i="1"/>
  <c r="VJ27" i="1"/>
  <c r="VJ28" i="1"/>
  <c r="VJ29" i="1"/>
  <c r="VJ30" i="1"/>
  <c r="VJ31" i="1"/>
  <c r="VJ32" i="1"/>
  <c r="VJ33" i="1"/>
  <c r="VJ34" i="1"/>
  <c r="VJ35" i="1"/>
  <c r="VJ36" i="1"/>
  <c r="VJ37" i="1"/>
  <c r="VJ38" i="1"/>
  <c r="VJ39" i="1"/>
  <c r="VJ40" i="1"/>
  <c r="VJ41" i="1"/>
  <c r="VJ42" i="1"/>
  <c r="VJ43" i="1"/>
  <c r="VJ44" i="1"/>
  <c r="VJ45" i="1"/>
  <c r="VJ46" i="1"/>
  <c r="VJ47" i="1"/>
  <c r="VJ48" i="1"/>
  <c r="VJ49" i="1"/>
  <c r="VJ50" i="1"/>
  <c r="VJ51" i="1"/>
  <c r="VJ52" i="1"/>
  <c r="VJ53" i="1"/>
  <c r="VJ54" i="1"/>
  <c r="VJ55" i="1"/>
  <c r="VJ56" i="1"/>
  <c r="VJ57" i="1"/>
  <c r="VJ58" i="1"/>
  <c r="VJ59" i="1"/>
  <c r="VJ60" i="1"/>
  <c r="VJ61" i="1"/>
  <c r="VJ62" i="1"/>
  <c r="VJ63" i="1"/>
  <c r="VJ64" i="1"/>
  <c r="VJ65" i="1"/>
  <c r="VJ66" i="1"/>
  <c r="VJ67" i="1"/>
  <c r="VJ68" i="1"/>
  <c r="VJ69" i="1"/>
  <c r="VJ70" i="1"/>
  <c r="VJ71" i="1"/>
  <c r="VJ72" i="1"/>
  <c r="VJ73" i="1"/>
  <c r="VJ74" i="1"/>
  <c r="VJ75" i="1"/>
  <c r="VJ76" i="1"/>
  <c r="VJ77" i="1"/>
  <c r="VJ78" i="1"/>
  <c r="VJ79" i="1"/>
  <c r="VJ80" i="1"/>
  <c r="VJ81" i="1"/>
  <c r="VJ82" i="1"/>
  <c r="VJ83" i="1"/>
  <c r="VJ84" i="1"/>
  <c r="VJ85" i="1"/>
  <c r="VJ86" i="1"/>
  <c r="VJ87" i="1"/>
  <c r="VJ88" i="1"/>
  <c r="VJ89" i="1"/>
  <c r="VJ90" i="1"/>
  <c r="VJ91" i="1"/>
  <c r="VJ92" i="1"/>
  <c r="VJ94" i="1"/>
  <c r="VJ95" i="1"/>
  <c r="VJ96" i="1"/>
  <c r="VJ97" i="1"/>
  <c r="VJ98" i="1"/>
  <c r="VJ99" i="1"/>
  <c r="VJ100" i="1"/>
  <c r="VJ101" i="1"/>
  <c r="VJ102" i="1"/>
  <c r="VJ103" i="1"/>
  <c r="VJ104" i="1"/>
  <c r="VJ105" i="1"/>
  <c r="VJ106" i="1"/>
  <c r="VJ107" i="1"/>
  <c r="VJ108" i="1"/>
  <c r="VJ109" i="1"/>
  <c r="VJ110" i="1"/>
  <c r="VJ111" i="1"/>
  <c r="VJ112" i="1"/>
  <c r="VJ113" i="1"/>
  <c r="VJ114" i="1"/>
  <c r="VJ115" i="1"/>
  <c r="VJ116" i="1"/>
  <c r="VJ117" i="1"/>
  <c r="VJ118" i="1"/>
  <c r="VJ119" i="1"/>
  <c r="VJ120" i="1"/>
  <c r="VJ121" i="1"/>
  <c r="VJ122" i="1"/>
  <c r="VJ123" i="1"/>
  <c r="VJ124" i="1"/>
  <c r="VJ125" i="1"/>
  <c r="VJ126" i="1"/>
  <c r="VJ127" i="1"/>
  <c r="VJ128" i="1"/>
  <c r="VJ129" i="1"/>
  <c r="VJ130" i="1"/>
  <c r="VJ131" i="1"/>
  <c r="VJ132" i="1"/>
  <c r="VJ133" i="1"/>
  <c r="VJ134" i="1"/>
  <c r="VJ135" i="1"/>
  <c r="VJ136" i="1"/>
  <c r="VJ137" i="1"/>
  <c r="VJ138" i="1"/>
  <c r="VJ139" i="1"/>
  <c r="VJ140" i="1"/>
  <c r="VJ141" i="1"/>
  <c r="VJ142" i="1"/>
  <c r="VJ143" i="1"/>
  <c r="VJ144" i="1"/>
  <c r="VJ145" i="1"/>
  <c r="VJ146" i="1"/>
  <c r="VJ147" i="1"/>
  <c r="VJ148" i="1"/>
  <c r="VJ149" i="1"/>
  <c r="VJ150" i="1"/>
  <c r="VJ151" i="1"/>
  <c r="VJ152" i="1"/>
  <c r="VJ153" i="1"/>
  <c r="VJ154" i="1"/>
  <c r="UE2" i="1"/>
  <c r="UE3" i="1"/>
  <c r="UE4" i="1"/>
  <c r="UE5" i="1"/>
  <c r="UE6" i="1"/>
  <c r="UE7" i="1"/>
  <c r="UE8" i="1"/>
  <c r="UE9" i="1"/>
  <c r="UE10" i="1"/>
  <c r="UE11" i="1"/>
  <c r="UE12" i="1"/>
  <c r="UE13" i="1"/>
  <c r="UE14" i="1"/>
  <c r="UE15" i="1"/>
  <c r="UE16" i="1"/>
  <c r="UE17" i="1"/>
  <c r="UE18" i="1"/>
  <c r="UE19" i="1"/>
  <c r="UE20" i="1"/>
  <c r="UE21" i="1"/>
  <c r="UE22" i="1"/>
  <c r="UE23" i="1"/>
  <c r="UE24" i="1"/>
  <c r="UE25" i="1"/>
  <c r="UE26" i="1"/>
  <c r="UE27" i="1"/>
  <c r="UE28" i="1"/>
  <c r="UE29" i="1"/>
  <c r="UE30" i="1"/>
  <c r="UE31" i="1"/>
  <c r="UE32" i="1"/>
  <c r="UE33" i="1"/>
  <c r="UE34" i="1"/>
  <c r="UE35" i="1"/>
  <c r="UE36" i="1"/>
  <c r="UE37" i="1"/>
  <c r="UE38" i="1"/>
  <c r="UE39" i="1"/>
  <c r="UE40" i="1"/>
  <c r="UE41" i="1"/>
  <c r="UE42" i="1"/>
  <c r="UE43" i="1"/>
  <c r="UE44" i="1"/>
  <c r="UE45" i="1"/>
  <c r="UE46" i="1"/>
  <c r="UE47" i="1"/>
  <c r="UE48" i="1"/>
  <c r="UE49" i="1"/>
  <c r="UE50" i="1"/>
  <c r="UE51" i="1"/>
  <c r="UE52" i="1"/>
  <c r="UE53" i="1"/>
  <c r="UE54" i="1"/>
  <c r="UE55" i="1"/>
  <c r="UE56" i="1"/>
  <c r="UE57" i="1"/>
  <c r="UE58" i="1"/>
  <c r="UE59" i="1"/>
  <c r="UE60" i="1"/>
  <c r="UE61" i="1"/>
  <c r="UE62" i="1"/>
  <c r="UE63" i="1"/>
  <c r="UE64" i="1"/>
  <c r="UE65" i="1"/>
  <c r="UE66" i="1"/>
  <c r="UE67" i="1"/>
  <c r="UE68" i="1"/>
  <c r="UE69" i="1"/>
  <c r="UE70" i="1"/>
  <c r="UE71" i="1"/>
  <c r="UE72" i="1"/>
  <c r="UE73" i="1"/>
  <c r="UE74" i="1"/>
  <c r="UE75" i="1"/>
  <c r="UE76" i="1"/>
  <c r="UE77" i="1"/>
  <c r="UE78" i="1"/>
  <c r="UE79" i="1"/>
  <c r="UE80" i="1"/>
  <c r="UE81" i="1"/>
  <c r="UE82" i="1"/>
  <c r="UE83" i="1"/>
  <c r="UE84" i="1"/>
  <c r="UE85" i="1"/>
  <c r="UE86" i="1"/>
  <c r="UE87" i="1"/>
  <c r="UE88" i="1"/>
  <c r="UE89" i="1"/>
  <c r="UE90" i="1"/>
  <c r="UE91" i="1"/>
  <c r="UE92" i="1"/>
  <c r="UE94" i="1"/>
  <c r="UE95" i="1"/>
  <c r="UE96" i="1"/>
  <c r="UE97" i="1"/>
  <c r="UE98" i="1"/>
  <c r="UE99" i="1"/>
  <c r="UE100" i="1"/>
  <c r="UE101" i="1"/>
  <c r="UE102" i="1"/>
  <c r="UE103" i="1"/>
  <c r="UE104" i="1"/>
  <c r="UE105" i="1"/>
  <c r="UE106" i="1"/>
  <c r="UE107" i="1"/>
  <c r="UE108" i="1"/>
  <c r="UE109" i="1"/>
  <c r="UE110" i="1"/>
  <c r="UE111" i="1"/>
  <c r="UE112" i="1"/>
  <c r="UE113" i="1"/>
  <c r="UE114" i="1"/>
  <c r="UE115" i="1"/>
  <c r="UE116" i="1"/>
  <c r="UE117" i="1"/>
  <c r="UE118" i="1"/>
  <c r="UE119" i="1"/>
  <c r="UE120" i="1"/>
  <c r="UE121" i="1"/>
  <c r="UE122" i="1"/>
  <c r="UE123" i="1"/>
  <c r="UE124" i="1"/>
  <c r="UE125" i="1"/>
  <c r="UE126" i="1"/>
  <c r="UE127" i="1"/>
  <c r="UE128" i="1"/>
  <c r="UE129" i="1"/>
  <c r="UE130" i="1"/>
  <c r="UE131" i="1"/>
  <c r="UE132" i="1"/>
  <c r="UE133" i="1"/>
  <c r="UE134" i="1"/>
  <c r="UE135" i="1"/>
  <c r="UE136" i="1"/>
  <c r="UE137" i="1"/>
  <c r="UE138" i="1"/>
  <c r="UE139" i="1"/>
  <c r="UE140" i="1"/>
  <c r="UE141" i="1"/>
  <c r="UE142" i="1"/>
  <c r="UE143" i="1"/>
  <c r="UE144" i="1"/>
  <c r="UE145" i="1"/>
  <c r="UE146" i="1"/>
  <c r="UE147" i="1"/>
  <c r="UE148" i="1"/>
  <c r="UE149" i="1"/>
  <c r="UE150" i="1"/>
  <c r="UE151" i="1"/>
  <c r="UE152" i="1"/>
  <c r="UE153" i="1"/>
  <c r="UE154" i="1"/>
  <c r="RU2" i="1"/>
  <c r="RU3" i="1"/>
  <c r="RU4" i="1"/>
  <c r="RU5" i="1"/>
  <c r="RU6" i="1"/>
  <c r="RU7" i="1"/>
  <c r="RU8" i="1"/>
  <c r="RU9" i="1"/>
  <c r="RU10" i="1"/>
  <c r="RU11" i="1"/>
  <c r="RU12" i="1"/>
  <c r="RU13" i="1"/>
  <c r="RU14" i="1"/>
  <c r="RU15" i="1"/>
  <c r="RU16" i="1"/>
  <c r="RU17" i="1"/>
  <c r="RU18" i="1"/>
  <c r="RU19" i="1"/>
  <c r="RU20" i="1"/>
  <c r="RU21" i="1"/>
  <c r="RU22" i="1"/>
  <c r="RU23" i="1"/>
  <c r="RU24" i="1"/>
  <c r="RU25" i="1"/>
  <c r="RU26" i="1"/>
  <c r="RU27" i="1"/>
  <c r="RU28" i="1"/>
  <c r="RU29" i="1"/>
  <c r="RU30" i="1"/>
  <c r="RU31" i="1"/>
  <c r="RU32" i="1"/>
  <c r="RU33" i="1"/>
  <c r="RU34" i="1"/>
  <c r="RU35" i="1"/>
  <c r="RU36" i="1"/>
  <c r="RU37" i="1"/>
  <c r="RU38" i="1"/>
  <c r="RU39" i="1"/>
  <c r="RU40" i="1"/>
  <c r="RU41" i="1"/>
  <c r="RU42" i="1"/>
  <c r="RU43" i="1"/>
  <c r="RU44" i="1"/>
  <c r="RU45" i="1"/>
  <c r="RU46" i="1"/>
  <c r="RU47" i="1"/>
  <c r="RU48" i="1"/>
  <c r="RU49" i="1"/>
  <c r="RU50" i="1"/>
  <c r="RU51" i="1"/>
  <c r="RU52" i="1"/>
  <c r="RU53" i="1"/>
  <c r="RU54" i="1"/>
  <c r="RU55" i="1"/>
  <c r="RU56" i="1"/>
  <c r="RU57" i="1"/>
  <c r="RU58" i="1"/>
  <c r="RU59" i="1"/>
  <c r="RU60" i="1"/>
  <c r="RU61" i="1"/>
  <c r="RU62" i="1"/>
  <c r="RU63" i="1"/>
  <c r="RU64" i="1"/>
  <c r="RU65" i="1"/>
  <c r="RU66" i="1"/>
  <c r="RU67" i="1"/>
  <c r="RU68" i="1"/>
  <c r="RU69" i="1"/>
  <c r="RU70" i="1"/>
  <c r="RU71" i="1"/>
  <c r="RU72" i="1"/>
  <c r="RU73" i="1"/>
  <c r="RU74" i="1"/>
  <c r="RU75" i="1"/>
  <c r="RU76" i="1"/>
  <c r="RU77" i="1"/>
  <c r="RU78" i="1"/>
  <c r="RU79" i="1"/>
  <c r="RU80" i="1"/>
  <c r="RU81" i="1"/>
  <c r="RU82" i="1"/>
  <c r="RU83" i="1"/>
  <c r="RU84" i="1"/>
  <c r="RU85" i="1"/>
  <c r="RU86" i="1"/>
  <c r="RU87" i="1"/>
  <c r="RU88" i="1"/>
  <c r="RU89" i="1"/>
  <c r="RU90" i="1"/>
  <c r="RU91" i="1"/>
  <c r="RU92" i="1"/>
  <c r="RU94" i="1"/>
  <c r="RU95" i="1"/>
  <c r="RU96" i="1"/>
  <c r="RU97" i="1"/>
  <c r="RU98" i="1"/>
  <c r="RU99" i="1"/>
  <c r="RU100" i="1"/>
  <c r="RU101" i="1"/>
  <c r="RU102" i="1"/>
  <c r="RU103" i="1"/>
  <c r="RU104" i="1"/>
  <c r="RU105" i="1"/>
  <c r="RU106" i="1"/>
  <c r="RU107" i="1"/>
  <c r="RU108" i="1"/>
  <c r="RU109" i="1"/>
  <c r="RU110" i="1"/>
  <c r="RU111" i="1"/>
  <c r="RU112" i="1"/>
  <c r="RU113" i="1"/>
  <c r="RU114" i="1"/>
  <c r="RU115" i="1"/>
  <c r="RU116" i="1"/>
  <c r="RU117" i="1"/>
  <c r="RU118" i="1"/>
  <c r="RU119" i="1"/>
  <c r="RU120" i="1"/>
  <c r="RU121" i="1"/>
  <c r="RU122" i="1"/>
  <c r="RU123" i="1"/>
  <c r="RU124" i="1"/>
  <c r="RU125" i="1"/>
  <c r="RU126" i="1"/>
  <c r="RU127" i="1"/>
  <c r="RU128" i="1"/>
  <c r="RU129" i="1"/>
  <c r="RU130" i="1"/>
  <c r="RU131" i="1"/>
  <c r="RU132" i="1"/>
  <c r="RU133" i="1"/>
  <c r="RU134" i="1"/>
  <c r="RU135" i="1"/>
  <c r="RU136" i="1"/>
  <c r="RU137" i="1"/>
  <c r="RU138" i="1"/>
  <c r="RU139" i="1"/>
  <c r="RU140" i="1"/>
  <c r="RU141" i="1"/>
  <c r="RU142" i="1"/>
  <c r="RU143" i="1"/>
  <c r="RU144" i="1"/>
  <c r="RU145" i="1"/>
  <c r="RU146" i="1"/>
  <c r="RU147" i="1"/>
  <c r="RU148" i="1"/>
  <c r="RU149" i="1"/>
  <c r="RU150" i="1"/>
  <c r="RU151" i="1"/>
  <c r="RU152" i="1"/>
  <c r="RU153" i="1"/>
  <c r="RU154" i="1"/>
  <c r="RD2" i="1"/>
  <c r="RD3" i="1"/>
  <c r="RD4" i="1"/>
  <c r="RD5" i="1"/>
  <c r="RD6" i="1"/>
  <c r="RD7" i="1"/>
  <c r="RD8" i="1"/>
  <c r="RD9" i="1"/>
  <c r="RD10" i="1"/>
  <c r="RD11" i="1"/>
  <c r="RD12" i="1"/>
  <c r="RD13" i="1"/>
  <c r="RD14" i="1"/>
  <c r="RD15" i="1"/>
  <c r="RD16" i="1"/>
  <c r="RD17" i="1"/>
  <c r="RD18" i="1"/>
  <c r="RD19" i="1"/>
  <c r="RD20" i="1"/>
  <c r="RD21" i="1"/>
  <c r="RD22" i="1"/>
  <c r="RD23" i="1"/>
  <c r="RD24" i="1"/>
  <c r="RD25" i="1"/>
  <c r="RD26" i="1"/>
  <c r="RD27" i="1"/>
  <c r="RD28" i="1"/>
  <c r="RD29" i="1"/>
  <c r="RD30" i="1"/>
  <c r="RD31" i="1"/>
  <c r="RD32" i="1"/>
  <c r="RD33" i="1"/>
  <c r="RD34" i="1"/>
  <c r="RD35" i="1"/>
  <c r="RD36" i="1"/>
  <c r="RD37" i="1"/>
  <c r="RD38" i="1"/>
  <c r="RD39" i="1"/>
  <c r="RD40" i="1"/>
  <c r="RD41" i="1"/>
  <c r="RD42" i="1"/>
  <c r="RD43" i="1"/>
  <c r="RD44" i="1"/>
  <c r="RD45" i="1"/>
  <c r="RD46" i="1"/>
  <c r="RD47" i="1"/>
  <c r="RD48" i="1"/>
  <c r="RD49" i="1"/>
  <c r="RD50" i="1"/>
  <c r="RD51" i="1"/>
  <c r="RD52" i="1"/>
  <c r="RD53" i="1"/>
  <c r="RD54" i="1"/>
  <c r="RD55" i="1"/>
  <c r="RD56" i="1"/>
  <c r="RD57" i="1"/>
  <c r="RD58" i="1"/>
  <c r="RD59" i="1"/>
  <c r="RD60" i="1"/>
  <c r="RD61" i="1"/>
  <c r="RD62" i="1"/>
  <c r="RD63" i="1"/>
  <c r="RD64" i="1"/>
  <c r="RD65" i="1"/>
  <c r="RD66" i="1"/>
  <c r="RD67" i="1"/>
  <c r="RD68" i="1"/>
  <c r="RD69" i="1"/>
  <c r="RD70" i="1"/>
  <c r="RD71" i="1"/>
  <c r="RD72" i="1"/>
  <c r="RD73" i="1"/>
  <c r="RD74" i="1"/>
  <c r="RD75" i="1"/>
  <c r="RD76" i="1"/>
  <c r="RD77" i="1"/>
  <c r="RD78" i="1"/>
  <c r="RD79" i="1"/>
  <c r="RD80" i="1"/>
  <c r="RD81" i="1"/>
  <c r="RD82" i="1"/>
  <c r="RD83" i="1"/>
  <c r="RD84" i="1"/>
  <c r="RD85" i="1"/>
  <c r="RD86" i="1"/>
  <c r="RD87" i="1"/>
  <c r="RD88" i="1"/>
  <c r="RD89" i="1"/>
  <c r="RD90" i="1"/>
  <c r="RD91" i="1"/>
  <c r="RD92" i="1"/>
  <c r="RD94" i="1"/>
  <c r="RD95" i="1"/>
  <c r="RD96" i="1"/>
  <c r="RD97" i="1"/>
  <c r="RD98" i="1"/>
  <c r="RD99" i="1"/>
  <c r="RD100" i="1"/>
  <c r="RD101" i="1"/>
  <c r="RD102" i="1"/>
  <c r="RD103" i="1"/>
  <c r="RD104" i="1"/>
  <c r="RD105" i="1"/>
  <c r="RD106" i="1"/>
  <c r="RD107" i="1"/>
  <c r="RD108" i="1"/>
  <c r="RD109" i="1"/>
  <c r="RD110" i="1"/>
  <c r="RD111" i="1"/>
  <c r="RD112" i="1"/>
  <c r="RD113" i="1"/>
  <c r="RD114" i="1"/>
  <c r="RD115" i="1"/>
  <c r="RD116" i="1"/>
  <c r="RD117" i="1"/>
  <c r="RD118" i="1"/>
  <c r="RD119" i="1"/>
  <c r="RD120" i="1"/>
  <c r="RD121" i="1"/>
  <c r="RD122" i="1"/>
  <c r="RD123" i="1"/>
  <c r="RD124" i="1"/>
  <c r="RD125" i="1"/>
  <c r="RD126" i="1"/>
  <c r="RD127" i="1"/>
  <c r="RD128" i="1"/>
  <c r="RD129" i="1"/>
  <c r="RD130" i="1"/>
  <c r="RD131" i="1"/>
  <c r="RD132" i="1"/>
  <c r="RD133" i="1"/>
  <c r="RD134" i="1"/>
  <c r="RD135" i="1"/>
  <c r="RD136" i="1"/>
  <c r="RD137" i="1"/>
  <c r="RD138" i="1"/>
  <c r="RD139" i="1"/>
  <c r="RD140" i="1"/>
  <c r="RD141" i="1"/>
  <c r="RD142" i="1"/>
  <c r="RD143" i="1"/>
  <c r="RD144" i="1"/>
  <c r="RD145" i="1"/>
  <c r="RD146" i="1"/>
  <c r="RD147" i="1"/>
  <c r="RD148" i="1"/>
  <c r="RD149" i="1"/>
  <c r="RD150" i="1"/>
  <c r="RD151" i="1"/>
  <c r="RD152" i="1"/>
  <c r="RD153" i="1"/>
  <c r="RD154" i="1"/>
  <c r="OW2" i="1"/>
  <c r="OW3" i="1"/>
  <c r="OW4" i="1"/>
  <c r="OW5" i="1"/>
  <c r="OW6" i="1"/>
  <c r="OW7" i="1"/>
  <c r="OW8" i="1"/>
  <c r="OW9" i="1"/>
  <c r="OW10" i="1"/>
  <c r="OW11" i="1"/>
  <c r="OW12" i="1"/>
  <c r="OW13" i="1"/>
  <c r="OW14" i="1"/>
  <c r="OW15" i="1"/>
  <c r="OW16" i="1"/>
  <c r="OW17" i="1"/>
  <c r="OW18" i="1"/>
  <c r="OW19" i="1"/>
  <c r="OW20" i="1"/>
  <c r="OW21" i="1"/>
  <c r="OW22" i="1"/>
  <c r="OW23" i="1"/>
  <c r="OW24" i="1"/>
  <c r="OW25" i="1"/>
  <c r="OW26" i="1"/>
  <c r="OW27" i="1"/>
  <c r="OW28" i="1"/>
  <c r="OW29" i="1"/>
  <c r="OW30" i="1"/>
  <c r="OW31" i="1"/>
  <c r="OW32" i="1"/>
  <c r="OW33" i="1"/>
  <c r="OW34" i="1"/>
  <c r="OW35" i="1"/>
  <c r="OW36" i="1"/>
  <c r="OW37" i="1"/>
  <c r="OW38" i="1"/>
  <c r="OW39" i="1"/>
  <c r="OW40" i="1"/>
  <c r="OW41" i="1"/>
  <c r="OW42" i="1"/>
  <c r="OW43" i="1"/>
  <c r="OW44" i="1"/>
  <c r="OW45" i="1"/>
  <c r="OW46" i="1"/>
  <c r="OW47" i="1"/>
  <c r="OW48" i="1"/>
  <c r="OW49" i="1"/>
  <c r="OW50" i="1"/>
  <c r="OW51" i="1"/>
  <c r="OW52" i="1"/>
  <c r="OW53" i="1"/>
  <c r="OW54" i="1"/>
  <c r="OW55" i="1"/>
  <c r="OW56" i="1"/>
  <c r="OW57" i="1"/>
  <c r="OW58" i="1"/>
  <c r="OW59" i="1"/>
  <c r="OW60" i="1"/>
  <c r="OW61" i="1"/>
  <c r="OW62" i="1"/>
  <c r="OW63" i="1"/>
  <c r="OW64" i="1"/>
  <c r="OW65" i="1"/>
  <c r="OW66" i="1"/>
  <c r="OW67" i="1"/>
  <c r="OW68" i="1"/>
  <c r="OW69" i="1"/>
  <c r="OW70" i="1"/>
  <c r="OW71" i="1"/>
  <c r="OW72" i="1"/>
  <c r="OW73" i="1"/>
  <c r="OW74" i="1"/>
  <c r="OW75" i="1"/>
  <c r="OW76" i="1"/>
  <c r="OW77" i="1"/>
  <c r="OW78" i="1"/>
  <c r="OW79" i="1"/>
  <c r="OW80" i="1"/>
  <c r="OW81" i="1"/>
  <c r="OW82" i="1"/>
  <c r="OW83" i="1"/>
  <c r="OW84" i="1"/>
  <c r="OW85" i="1"/>
  <c r="OW86" i="1"/>
  <c r="OW87" i="1"/>
  <c r="OW88" i="1"/>
  <c r="OW89" i="1"/>
  <c r="OW90" i="1"/>
  <c r="OW91" i="1"/>
  <c r="OW92" i="1"/>
  <c r="OW94" i="1"/>
  <c r="OW95" i="1"/>
  <c r="OW96" i="1"/>
  <c r="OW97" i="1"/>
  <c r="OW98" i="1"/>
  <c r="OW99" i="1"/>
  <c r="OW100" i="1"/>
  <c r="OW101" i="1"/>
  <c r="OW102" i="1"/>
  <c r="OW103" i="1"/>
  <c r="OW104" i="1"/>
  <c r="OW105" i="1"/>
  <c r="OW106" i="1"/>
  <c r="OW107" i="1"/>
  <c r="OW108" i="1"/>
  <c r="OW109" i="1"/>
  <c r="OW110" i="1"/>
  <c r="OW111" i="1"/>
  <c r="OW112" i="1"/>
  <c r="OW113" i="1"/>
  <c r="OW114" i="1"/>
  <c r="OW115" i="1"/>
  <c r="OW116" i="1"/>
  <c r="OW117" i="1"/>
  <c r="OW118" i="1"/>
  <c r="OW119" i="1"/>
  <c r="OW120" i="1"/>
  <c r="OW121" i="1"/>
  <c r="OW122" i="1"/>
  <c r="OW123" i="1"/>
  <c r="OW124" i="1"/>
  <c r="OW125" i="1"/>
  <c r="OW126" i="1"/>
  <c r="OW127" i="1"/>
  <c r="OW128" i="1"/>
  <c r="OW129" i="1"/>
  <c r="OW130" i="1"/>
  <c r="OW131" i="1"/>
  <c r="OW132" i="1"/>
  <c r="OW133" i="1"/>
  <c r="OW134" i="1"/>
  <c r="OW135" i="1"/>
  <c r="OW136" i="1"/>
  <c r="OW137" i="1"/>
  <c r="OW138" i="1"/>
  <c r="OW139" i="1"/>
  <c r="OW140" i="1"/>
  <c r="OW141" i="1"/>
  <c r="OW142" i="1"/>
  <c r="OW143" i="1"/>
  <c r="OW144" i="1"/>
  <c r="OW145" i="1"/>
  <c r="OW146" i="1"/>
  <c r="OW147" i="1"/>
  <c r="OW148" i="1"/>
  <c r="OW149" i="1"/>
  <c r="OW150" i="1"/>
  <c r="OW151" i="1"/>
  <c r="OW152" i="1"/>
  <c r="OW153" i="1"/>
  <c r="OW154" i="1"/>
  <c r="OQ2" i="1"/>
  <c r="OQ3" i="1"/>
  <c r="OQ4" i="1"/>
  <c r="OQ5" i="1"/>
  <c r="OQ6" i="1"/>
  <c r="OQ7" i="1"/>
  <c r="OQ8" i="1"/>
  <c r="OQ9" i="1"/>
  <c r="OQ10" i="1"/>
  <c r="OQ11" i="1"/>
  <c r="OQ12" i="1"/>
  <c r="OQ13" i="1"/>
  <c r="OQ14" i="1"/>
  <c r="OQ15" i="1"/>
  <c r="OQ16" i="1"/>
  <c r="OQ17" i="1"/>
  <c r="OQ18" i="1"/>
  <c r="OQ19" i="1"/>
  <c r="OQ20" i="1"/>
  <c r="OQ21" i="1"/>
  <c r="OQ22" i="1"/>
  <c r="OQ23" i="1"/>
  <c r="OQ24" i="1"/>
  <c r="OQ25" i="1"/>
  <c r="OQ26" i="1"/>
  <c r="OQ27" i="1"/>
  <c r="OQ28" i="1"/>
  <c r="OQ29" i="1"/>
  <c r="OQ30" i="1"/>
  <c r="OQ31" i="1"/>
  <c r="OQ32" i="1"/>
  <c r="OQ33" i="1"/>
  <c r="OQ34" i="1"/>
  <c r="OQ35" i="1"/>
  <c r="OQ36" i="1"/>
  <c r="OQ37" i="1"/>
  <c r="OQ38" i="1"/>
  <c r="OQ39" i="1"/>
  <c r="OQ40" i="1"/>
  <c r="OQ41" i="1"/>
  <c r="OQ42" i="1"/>
  <c r="OQ43" i="1"/>
  <c r="OQ44" i="1"/>
  <c r="OQ45" i="1"/>
  <c r="OQ46" i="1"/>
  <c r="OQ47" i="1"/>
  <c r="OQ48" i="1"/>
  <c r="OQ49" i="1"/>
  <c r="OQ50" i="1"/>
  <c r="OQ51" i="1"/>
  <c r="OQ52" i="1"/>
  <c r="OQ53" i="1"/>
  <c r="OQ54" i="1"/>
  <c r="OQ55" i="1"/>
  <c r="OQ56" i="1"/>
  <c r="OQ57" i="1"/>
  <c r="OQ58" i="1"/>
  <c r="OQ59" i="1"/>
  <c r="OQ60" i="1"/>
  <c r="OQ61" i="1"/>
  <c r="OQ62" i="1"/>
  <c r="OQ63" i="1"/>
  <c r="OQ64" i="1"/>
  <c r="OQ65" i="1"/>
  <c r="OQ66" i="1"/>
  <c r="OQ67" i="1"/>
  <c r="OQ68" i="1"/>
  <c r="OQ69" i="1"/>
  <c r="OQ70" i="1"/>
  <c r="OQ71" i="1"/>
  <c r="OQ72" i="1"/>
  <c r="OQ73" i="1"/>
  <c r="OQ74" i="1"/>
  <c r="OQ75" i="1"/>
  <c r="OQ76" i="1"/>
  <c r="OQ77" i="1"/>
  <c r="OQ78" i="1"/>
  <c r="OQ79" i="1"/>
  <c r="OQ80" i="1"/>
  <c r="OQ81" i="1"/>
  <c r="OQ82" i="1"/>
  <c r="OQ83" i="1"/>
  <c r="OQ84" i="1"/>
  <c r="OQ85" i="1"/>
  <c r="OQ86" i="1"/>
  <c r="OQ87" i="1"/>
  <c r="OQ88" i="1"/>
  <c r="OQ89" i="1"/>
  <c r="OQ90" i="1"/>
  <c r="OQ91" i="1"/>
  <c r="OQ92" i="1"/>
  <c r="OQ94" i="1"/>
  <c r="OQ95" i="1"/>
  <c r="OQ96" i="1"/>
  <c r="OQ97" i="1"/>
  <c r="OQ98" i="1"/>
  <c r="OQ99" i="1"/>
  <c r="OQ100" i="1"/>
  <c r="OQ101" i="1"/>
  <c r="OQ102" i="1"/>
  <c r="OQ103" i="1"/>
  <c r="OQ104" i="1"/>
  <c r="OQ105" i="1"/>
  <c r="OQ106" i="1"/>
  <c r="OQ107" i="1"/>
  <c r="OQ108" i="1"/>
  <c r="OQ109" i="1"/>
  <c r="OQ110" i="1"/>
  <c r="OQ111" i="1"/>
  <c r="OQ112" i="1"/>
  <c r="OQ113" i="1"/>
  <c r="OQ114" i="1"/>
  <c r="OQ115" i="1"/>
  <c r="OQ116" i="1"/>
  <c r="OQ117" i="1"/>
  <c r="OQ118" i="1"/>
  <c r="OQ119" i="1"/>
  <c r="OQ120" i="1"/>
  <c r="OQ121" i="1"/>
  <c r="OQ122" i="1"/>
  <c r="OQ123" i="1"/>
  <c r="OQ124" i="1"/>
  <c r="OQ125" i="1"/>
  <c r="OQ126" i="1"/>
  <c r="OQ127" i="1"/>
  <c r="OQ128" i="1"/>
  <c r="OQ129" i="1"/>
  <c r="OQ130" i="1"/>
  <c r="OQ131" i="1"/>
  <c r="OQ132" i="1"/>
  <c r="OQ133" i="1"/>
  <c r="OQ134" i="1"/>
  <c r="OQ135" i="1"/>
  <c r="OQ136" i="1"/>
  <c r="OQ137" i="1"/>
  <c r="OQ138" i="1"/>
  <c r="OQ139" i="1"/>
  <c r="OQ140" i="1"/>
  <c r="OQ141" i="1"/>
  <c r="OQ142" i="1"/>
  <c r="OQ143" i="1"/>
  <c r="OQ144" i="1"/>
  <c r="OQ145" i="1"/>
  <c r="OQ146" i="1"/>
  <c r="OQ147" i="1"/>
  <c r="OQ148" i="1"/>
  <c r="OQ149" i="1"/>
  <c r="OQ150" i="1"/>
  <c r="OQ151" i="1"/>
  <c r="OQ152" i="1"/>
  <c r="OQ153" i="1"/>
  <c r="OQ154" i="1"/>
  <c r="MZ2" i="1"/>
  <c r="MZ3" i="1"/>
  <c r="MZ4" i="1"/>
  <c r="MZ5" i="1"/>
  <c r="MZ6" i="1"/>
  <c r="MZ7" i="1"/>
  <c r="MZ8" i="1"/>
  <c r="MZ9" i="1"/>
  <c r="MZ10" i="1"/>
  <c r="MZ11" i="1"/>
  <c r="MZ12" i="1"/>
  <c r="MZ13" i="1"/>
  <c r="MZ14" i="1"/>
  <c r="MZ15" i="1"/>
  <c r="MZ16" i="1"/>
  <c r="MZ17" i="1"/>
  <c r="MZ18" i="1"/>
  <c r="MZ19" i="1"/>
  <c r="MZ20" i="1"/>
  <c r="MZ21" i="1"/>
  <c r="MZ22" i="1"/>
  <c r="MZ23" i="1"/>
  <c r="MZ24" i="1"/>
  <c r="MZ25" i="1"/>
  <c r="MZ26" i="1"/>
  <c r="MZ27" i="1"/>
  <c r="MZ28" i="1"/>
  <c r="MZ29" i="1"/>
  <c r="MZ30" i="1"/>
  <c r="MZ31" i="1"/>
  <c r="MZ32" i="1"/>
  <c r="MZ33" i="1"/>
  <c r="MZ34" i="1"/>
  <c r="MZ35" i="1"/>
  <c r="MZ36" i="1"/>
  <c r="MZ37" i="1"/>
  <c r="MZ38" i="1"/>
  <c r="MZ39" i="1"/>
  <c r="MZ40" i="1"/>
  <c r="MZ41" i="1"/>
  <c r="MZ42" i="1"/>
  <c r="MZ43" i="1"/>
  <c r="MZ44" i="1"/>
  <c r="MZ45" i="1"/>
  <c r="MZ46" i="1"/>
  <c r="MZ47" i="1"/>
  <c r="MZ48" i="1"/>
  <c r="MZ49" i="1"/>
  <c r="MZ50" i="1"/>
  <c r="MZ51" i="1"/>
  <c r="MZ52" i="1"/>
  <c r="MZ53" i="1"/>
  <c r="MZ54" i="1"/>
  <c r="MZ55" i="1"/>
  <c r="MZ56" i="1"/>
  <c r="MZ57" i="1"/>
  <c r="MZ58" i="1"/>
  <c r="MZ59" i="1"/>
  <c r="MZ60" i="1"/>
  <c r="MZ61" i="1"/>
  <c r="MZ62" i="1"/>
  <c r="MZ63" i="1"/>
  <c r="MZ64" i="1"/>
  <c r="MZ65" i="1"/>
  <c r="MZ66" i="1"/>
  <c r="MZ67" i="1"/>
  <c r="MZ68" i="1"/>
  <c r="MZ69" i="1"/>
  <c r="MZ70" i="1"/>
  <c r="MZ71" i="1"/>
  <c r="MZ72" i="1"/>
  <c r="MZ73" i="1"/>
  <c r="MZ74" i="1"/>
  <c r="MZ75" i="1"/>
  <c r="MZ76" i="1"/>
  <c r="MZ77" i="1"/>
  <c r="MZ78" i="1"/>
  <c r="MZ79" i="1"/>
  <c r="MZ80" i="1"/>
  <c r="MZ81" i="1"/>
  <c r="MZ82" i="1"/>
  <c r="MZ83" i="1"/>
  <c r="MZ84" i="1"/>
  <c r="MZ85" i="1"/>
  <c r="MZ86" i="1"/>
  <c r="MZ87" i="1"/>
  <c r="MZ88" i="1"/>
  <c r="MZ89" i="1"/>
  <c r="MZ90" i="1"/>
  <c r="MZ91" i="1"/>
  <c r="MZ92" i="1"/>
  <c r="MZ94" i="1"/>
  <c r="MZ95" i="1"/>
  <c r="MZ96" i="1"/>
  <c r="MZ97" i="1"/>
  <c r="MZ98" i="1"/>
  <c r="MZ99" i="1"/>
  <c r="MZ100" i="1"/>
  <c r="MZ101" i="1"/>
  <c r="MZ102" i="1"/>
  <c r="MZ103" i="1"/>
  <c r="MZ104" i="1"/>
  <c r="MZ105" i="1"/>
  <c r="MZ106" i="1"/>
  <c r="MZ107" i="1"/>
  <c r="MZ108" i="1"/>
  <c r="MZ109" i="1"/>
  <c r="MZ110" i="1"/>
  <c r="MZ111" i="1"/>
  <c r="MZ112" i="1"/>
  <c r="MZ113" i="1"/>
  <c r="MZ114" i="1"/>
  <c r="MZ115" i="1"/>
  <c r="MZ116" i="1"/>
  <c r="MZ117" i="1"/>
  <c r="MZ118" i="1"/>
  <c r="MZ119" i="1"/>
  <c r="MZ120" i="1"/>
  <c r="MZ121" i="1"/>
  <c r="MZ122" i="1"/>
  <c r="MZ123" i="1"/>
  <c r="MZ124" i="1"/>
  <c r="MZ125" i="1"/>
  <c r="MZ126" i="1"/>
  <c r="MZ127" i="1"/>
  <c r="MZ128" i="1"/>
  <c r="MZ129" i="1"/>
  <c r="MZ130" i="1"/>
  <c r="MZ131" i="1"/>
  <c r="MZ132" i="1"/>
  <c r="MZ133" i="1"/>
  <c r="MZ134" i="1"/>
  <c r="MZ135" i="1"/>
  <c r="MZ136" i="1"/>
  <c r="MZ137" i="1"/>
  <c r="MZ138" i="1"/>
  <c r="MZ139" i="1"/>
  <c r="MZ140" i="1"/>
  <c r="MZ141" i="1"/>
  <c r="MZ142" i="1"/>
  <c r="MZ143" i="1"/>
  <c r="MZ144" i="1"/>
  <c r="MZ145" i="1"/>
  <c r="MZ146" i="1"/>
  <c r="MZ147" i="1"/>
  <c r="MZ148" i="1"/>
  <c r="MZ149" i="1"/>
  <c r="MZ150" i="1"/>
  <c r="MZ151" i="1"/>
  <c r="MZ152" i="1"/>
  <c r="MZ153" i="1"/>
  <c r="MZ154" i="1"/>
  <c r="KM2" i="1"/>
  <c r="KM3" i="1"/>
  <c r="KM4" i="1"/>
  <c r="KM5" i="1"/>
  <c r="KM6" i="1"/>
  <c r="KM7" i="1"/>
  <c r="KM8" i="1"/>
  <c r="KM9" i="1"/>
  <c r="KM10" i="1"/>
  <c r="KM11" i="1"/>
  <c r="KM12" i="1"/>
  <c r="KM13" i="1"/>
  <c r="KM14" i="1"/>
  <c r="KM15" i="1"/>
  <c r="KM16" i="1"/>
  <c r="KM17" i="1"/>
  <c r="KM18" i="1"/>
  <c r="KM19" i="1"/>
  <c r="KM20" i="1"/>
  <c r="KM21" i="1"/>
  <c r="KM22" i="1"/>
  <c r="KM23" i="1"/>
  <c r="KM24" i="1"/>
  <c r="KM25" i="1"/>
  <c r="KM26" i="1"/>
  <c r="KM27" i="1"/>
  <c r="KM28" i="1"/>
  <c r="KM29" i="1"/>
  <c r="KM30" i="1"/>
  <c r="KM31" i="1"/>
  <c r="KM32" i="1"/>
  <c r="KM33" i="1"/>
  <c r="KM34" i="1"/>
  <c r="KM35" i="1"/>
  <c r="KM36" i="1"/>
  <c r="KM37" i="1"/>
  <c r="KM38" i="1"/>
  <c r="KM39" i="1"/>
  <c r="KM40" i="1"/>
  <c r="KM41" i="1"/>
  <c r="KM42" i="1"/>
  <c r="KM43" i="1"/>
  <c r="KM44" i="1"/>
  <c r="KM45" i="1"/>
  <c r="KM46" i="1"/>
  <c r="KM47" i="1"/>
  <c r="KM48" i="1"/>
  <c r="KM49" i="1"/>
  <c r="KM50" i="1"/>
  <c r="KM51" i="1"/>
  <c r="KM52" i="1"/>
  <c r="KM53" i="1"/>
  <c r="KM54" i="1"/>
  <c r="KM55" i="1"/>
  <c r="KM56" i="1"/>
  <c r="KM57" i="1"/>
  <c r="KM58" i="1"/>
  <c r="KM59" i="1"/>
  <c r="KM60" i="1"/>
  <c r="KM61" i="1"/>
  <c r="KM62" i="1"/>
  <c r="KM63" i="1"/>
  <c r="KM64" i="1"/>
  <c r="KM65" i="1"/>
  <c r="KM66" i="1"/>
  <c r="KM67" i="1"/>
  <c r="KM68" i="1"/>
  <c r="KM69" i="1"/>
  <c r="KM70" i="1"/>
  <c r="KM71" i="1"/>
  <c r="KM72" i="1"/>
  <c r="KM73" i="1"/>
  <c r="KM74" i="1"/>
  <c r="KM75" i="1"/>
  <c r="KM76" i="1"/>
  <c r="KM77" i="1"/>
  <c r="KM78" i="1"/>
  <c r="KM79" i="1"/>
  <c r="KM80" i="1"/>
  <c r="KM81" i="1"/>
  <c r="KM82" i="1"/>
  <c r="KM83" i="1"/>
  <c r="KM84" i="1"/>
  <c r="KM85" i="1"/>
  <c r="KM86" i="1"/>
  <c r="KM87" i="1"/>
  <c r="KM88" i="1"/>
  <c r="KM89" i="1"/>
  <c r="KM90" i="1"/>
  <c r="KM91" i="1"/>
  <c r="KM92" i="1"/>
  <c r="KM94" i="1"/>
  <c r="KM95" i="1"/>
  <c r="KM96" i="1"/>
  <c r="KM97" i="1"/>
  <c r="KM98" i="1"/>
  <c r="KM99" i="1"/>
  <c r="KM100" i="1"/>
  <c r="KM101" i="1"/>
  <c r="KM102" i="1"/>
  <c r="KM103" i="1"/>
  <c r="KM104" i="1"/>
  <c r="KM105" i="1"/>
  <c r="KM106" i="1"/>
  <c r="KM107" i="1"/>
  <c r="KM108" i="1"/>
  <c r="KM109" i="1"/>
  <c r="KM110" i="1"/>
  <c r="KM111" i="1"/>
  <c r="KM112" i="1"/>
  <c r="KM113" i="1"/>
  <c r="KM114" i="1"/>
  <c r="KM115" i="1"/>
  <c r="KM116" i="1"/>
  <c r="KM117" i="1"/>
  <c r="KM118" i="1"/>
  <c r="KM119" i="1"/>
  <c r="KM120" i="1"/>
  <c r="KM121" i="1"/>
  <c r="KM122" i="1"/>
  <c r="KM123" i="1"/>
  <c r="KM124" i="1"/>
  <c r="KM125" i="1"/>
  <c r="KM126" i="1"/>
  <c r="KM127" i="1"/>
  <c r="KM128" i="1"/>
  <c r="KM129" i="1"/>
  <c r="KM130" i="1"/>
  <c r="KM131" i="1"/>
  <c r="KM132" i="1"/>
  <c r="KM133" i="1"/>
  <c r="KM134" i="1"/>
  <c r="KM135" i="1"/>
  <c r="KM136" i="1"/>
  <c r="KM137" i="1"/>
  <c r="KM138" i="1"/>
  <c r="KM139" i="1"/>
  <c r="KM140" i="1"/>
  <c r="KM141" i="1"/>
  <c r="KM142" i="1"/>
  <c r="KM143" i="1"/>
  <c r="KM144" i="1"/>
  <c r="KM145" i="1"/>
  <c r="KM146" i="1"/>
  <c r="KM147" i="1"/>
  <c r="KM148" i="1"/>
  <c r="KM149" i="1"/>
  <c r="KM150" i="1"/>
  <c r="KM151" i="1"/>
  <c r="KM152" i="1"/>
  <c r="KM153" i="1"/>
  <c r="KM154" i="1"/>
  <c r="HY2" i="1"/>
  <c r="HY3" i="1"/>
  <c r="HY4" i="1"/>
  <c r="HY5" i="1"/>
  <c r="HY6" i="1"/>
  <c r="HY7" i="1"/>
  <c r="HY8" i="1"/>
  <c r="HY9" i="1"/>
  <c r="HY10" i="1"/>
  <c r="HY11" i="1"/>
  <c r="HY12" i="1"/>
  <c r="HY13" i="1"/>
  <c r="HY14" i="1"/>
  <c r="HY15" i="1"/>
  <c r="HY16" i="1"/>
  <c r="HY17" i="1"/>
  <c r="HY18" i="1"/>
  <c r="HY19" i="1"/>
  <c r="HY20" i="1"/>
  <c r="HY21" i="1"/>
  <c r="HY22" i="1"/>
  <c r="HY23" i="1"/>
  <c r="HY24" i="1"/>
  <c r="HY25" i="1"/>
  <c r="HY26" i="1"/>
  <c r="HY27" i="1"/>
  <c r="HY28" i="1"/>
  <c r="HY29" i="1"/>
  <c r="HY30" i="1"/>
  <c r="HY31" i="1"/>
  <c r="HY32" i="1"/>
  <c r="HY33" i="1"/>
  <c r="HY34" i="1"/>
  <c r="HY35" i="1"/>
  <c r="HY36" i="1"/>
  <c r="HY37" i="1"/>
  <c r="HY38" i="1"/>
  <c r="HY39" i="1"/>
  <c r="HY40" i="1"/>
  <c r="HY41" i="1"/>
  <c r="HY42" i="1"/>
  <c r="HY43" i="1"/>
  <c r="HY44" i="1"/>
  <c r="HY45" i="1"/>
  <c r="HY46" i="1"/>
  <c r="HY47" i="1"/>
  <c r="HY48" i="1"/>
  <c r="HY49" i="1"/>
  <c r="HY50" i="1"/>
  <c r="HY51" i="1"/>
  <c r="HY52" i="1"/>
  <c r="HY53" i="1"/>
  <c r="HY54" i="1"/>
  <c r="HY55" i="1"/>
  <c r="HY56" i="1"/>
  <c r="HY57" i="1"/>
  <c r="HY58" i="1"/>
  <c r="HY59" i="1"/>
  <c r="HY60" i="1"/>
  <c r="HY61" i="1"/>
  <c r="HY62" i="1"/>
  <c r="HY63" i="1"/>
  <c r="HY64" i="1"/>
  <c r="HY65" i="1"/>
  <c r="HY66" i="1"/>
  <c r="HY67" i="1"/>
  <c r="HY68" i="1"/>
  <c r="HY69" i="1"/>
  <c r="HY70" i="1"/>
  <c r="HY71" i="1"/>
  <c r="HY72" i="1"/>
  <c r="HY73" i="1"/>
  <c r="HY74" i="1"/>
  <c r="HY75" i="1"/>
  <c r="HY76" i="1"/>
  <c r="HY77" i="1"/>
  <c r="HY78" i="1"/>
  <c r="HY79" i="1"/>
  <c r="HY80" i="1"/>
  <c r="HY81" i="1"/>
  <c r="HY82" i="1"/>
  <c r="HY83" i="1"/>
  <c r="HY84" i="1"/>
  <c r="HY85" i="1"/>
  <c r="HY86" i="1"/>
  <c r="HY87" i="1"/>
  <c r="HY88" i="1"/>
  <c r="HY89" i="1"/>
  <c r="HY90" i="1"/>
  <c r="HY91" i="1"/>
  <c r="HY92" i="1"/>
  <c r="HY94" i="1"/>
  <c r="HY95" i="1"/>
  <c r="HY96" i="1"/>
  <c r="HY97" i="1"/>
  <c r="HY98" i="1"/>
  <c r="HY99" i="1"/>
  <c r="HY100" i="1"/>
  <c r="HY101" i="1"/>
  <c r="HY102" i="1"/>
  <c r="HY103" i="1"/>
  <c r="HY104" i="1"/>
  <c r="HY105" i="1"/>
  <c r="HY106" i="1"/>
  <c r="HY107" i="1"/>
  <c r="HY108" i="1"/>
  <c r="HY109" i="1"/>
  <c r="HY110" i="1"/>
  <c r="HY111" i="1"/>
  <c r="HY112" i="1"/>
  <c r="HY113" i="1"/>
  <c r="HY114" i="1"/>
  <c r="HY115" i="1"/>
  <c r="HY116" i="1"/>
  <c r="HY117" i="1"/>
  <c r="HY118" i="1"/>
  <c r="HY119" i="1"/>
  <c r="HY120" i="1"/>
  <c r="HY121" i="1"/>
  <c r="HY122" i="1"/>
  <c r="HY123" i="1"/>
  <c r="HY124" i="1"/>
  <c r="HY125" i="1"/>
  <c r="HY126" i="1"/>
  <c r="HY127" i="1"/>
  <c r="HY128" i="1"/>
  <c r="HY129" i="1"/>
  <c r="HY130" i="1"/>
  <c r="HY131" i="1"/>
  <c r="HY132" i="1"/>
  <c r="HY133" i="1"/>
  <c r="HY134" i="1"/>
  <c r="HY135" i="1"/>
  <c r="HY136" i="1"/>
  <c r="HY137" i="1"/>
  <c r="HY138" i="1"/>
  <c r="HY139" i="1"/>
  <c r="HY140" i="1"/>
  <c r="HY141" i="1"/>
  <c r="HY142" i="1"/>
  <c r="HY143" i="1"/>
  <c r="HY144" i="1"/>
  <c r="HY145" i="1"/>
  <c r="HY146" i="1"/>
  <c r="HY147" i="1"/>
  <c r="HY148" i="1"/>
  <c r="HY149" i="1"/>
  <c r="HY150" i="1"/>
  <c r="HY151" i="1"/>
  <c r="HY152" i="1"/>
  <c r="HY153" i="1"/>
  <c r="HY154" i="1"/>
  <c r="FI2" i="1"/>
  <c r="FI3" i="1"/>
  <c r="FI4" i="1"/>
  <c r="FI5" i="1"/>
  <c r="FI6" i="1"/>
  <c r="FI7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I58" i="1"/>
  <c r="FI59" i="1"/>
  <c r="FI60" i="1"/>
  <c r="FI61" i="1"/>
  <c r="FI62" i="1"/>
  <c r="FI63" i="1"/>
  <c r="FI64" i="1"/>
  <c r="FI65" i="1"/>
  <c r="FI66" i="1"/>
  <c r="FI67" i="1"/>
  <c r="FI68" i="1"/>
  <c r="FI69" i="1"/>
  <c r="FI70" i="1"/>
  <c r="FI71" i="1"/>
  <c r="FI72" i="1"/>
  <c r="FI73" i="1"/>
  <c r="FI74" i="1"/>
  <c r="FI75" i="1"/>
  <c r="FI76" i="1"/>
  <c r="FI77" i="1"/>
  <c r="FI78" i="1"/>
  <c r="FI79" i="1"/>
  <c r="FI80" i="1"/>
  <c r="FI81" i="1"/>
  <c r="FI82" i="1"/>
  <c r="FI83" i="1"/>
  <c r="FI84" i="1"/>
  <c r="FI85" i="1"/>
  <c r="FI86" i="1"/>
  <c r="FI87" i="1"/>
  <c r="FI88" i="1"/>
  <c r="FI89" i="1"/>
  <c r="FI90" i="1"/>
  <c r="FI91" i="1"/>
  <c r="FI92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I109" i="1"/>
  <c r="FI110" i="1"/>
  <c r="FI111" i="1"/>
  <c r="FI112" i="1"/>
  <c r="FI113" i="1"/>
  <c r="FI114" i="1"/>
  <c r="FI115" i="1"/>
  <c r="FI116" i="1"/>
  <c r="FI117" i="1"/>
  <c r="FI118" i="1"/>
  <c r="FI119" i="1"/>
  <c r="FI120" i="1"/>
  <c r="FI121" i="1"/>
  <c r="FI122" i="1"/>
  <c r="FI123" i="1"/>
  <c r="FI124" i="1"/>
  <c r="FI125" i="1"/>
  <c r="FI126" i="1"/>
  <c r="FI127" i="1"/>
  <c r="FI128" i="1"/>
  <c r="FI129" i="1"/>
  <c r="FI130" i="1"/>
  <c r="FI131" i="1"/>
  <c r="FI132" i="1"/>
  <c r="FI133" i="1"/>
  <c r="FI134" i="1"/>
  <c r="FI135" i="1"/>
  <c r="FI136" i="1"/>
  <c r="FI137" i="1"/>
  <c r="FI138" i="1"/>
  <c r="FI139" i="1"/>
  <c r="FI140" i="1"/>
  <c r="FI141" i="1"/>
  <c r="FI142" i="1"/>
  <c r="FI143" i="1"/>
  <c r="FI144" i="1"/>
  <c r="FI145" i="1"/>
  <c r="FI146" i="1"/>
  <c r="FI147" i="1"/>
  <c r="FI148" i="1"/>
  <c r="FI149" i="1"/>
  <c r="FI150" i="1"/>
  <c r="FI151" i="1"/>
  <c r="FI152" i="1"/>
  <c r="FI153" i="1"/>
  <c r="FI154" i="1"/>
  <c r="EF2" i="1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DS2" i="1"/>
  <c r="DS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40" i="1"/>
  <c r="DS141" i="1"/>
  <c r="DS142" i="1"/>
  <c r="DS143" i="1"/>
  <c r="DS144" i="1"/>
  <c r="DS145" i="1"/>
  <c r="DS146" i="1"/>
  <c r="DS147" i="1"/>
  <c r="DS148" i="1"/>
  <c r="DS149" i="1"/>
  <c r="DS150" i="1"/>
  <c r="DS151" i="1"/>
  <c r="DS152" i="1"/>
  <c r="DS153" i="1"/>
  <c r="DS154" i="1"/>
  <c r="DE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GY155" i="1"/>
  <c r="GZ155" i="1"/>
  <c r="HA155" i="1"/>
  <c r="HB155" i="1"/>
  <c r="HC155" i="1"/>
  <c r="HD155" i="1"/>
  <c r="HE155" i="1"/>
  <c r="HF155" i="1"/>
  <c r="HG155" i="1"/>
  <c r="HH155" i="1"/>
  <c r="HI155" i="1"/>
  <c r="HJ155" i="1"/>
  <c r="HK155" i="1"/>
  <c r="HL155" i="1"/>
  <c r="HM155" i="1"/>
  <c r="HN155" i="1"/>
  <c r="HO155" i="1"/>
  <c r="HP155" i="1"/>
  <c r="HQ155" i="1"/>
  <c r="HR155" i="1"/>
  <c r="HS155" i="1"/>
  <c r="HT155" i="1"/>
  <c r="HU155" i="1"/>
  <c r="HV155" i="1"/>
  <c r="HW155" i="1"/>
  <c r="HX155" i="1"/>
  <c r="HZ155" i="1"/>
  <c r="IA155" i="1"/>
  <c r="IB155" i="1"/>
  <c r="IC155" i="1"/>
  <c r="ID155" i="1"/>
  <c r="IE155" i="1"/>
  <c r="IF155" i="1"/>
  <c r="IG155" i="1"/>
  <c r="IH155" i="1"/>
  <c r="II155" i="1"/>
  <c r="IJ155" i="1"/>
  <c r="IK155" i="1"/>
  <c r="IL155" i="1"/>
  <c r="IM155" i="1"/>
  <c r="IN155" i="1"/>
  <c r="IO155" i="1"/>
  <c r="IP155" i="1"/>
  <c r="IQ155" i="1"/>
  <c r="IR155" i="1"/>
  <c r="IS155" i="1"/>
  <c r="IT155" i="1"/>
  <c r="IU155" i="1"/>
  <c r="IV155" i="1"/>
  <c r="IW155" i="1"/>
  <c r="IX155" i="1"/>
  <c r="IY155" i="1"/>
  <c r="IZ155" i="1"/>
  <c r="JA155" i="1"/>
  <c r="JB155" i="1"/>
  <c r="JC155" i="1"/>
  <c r="JD155" i="1"/>
  <c r="JE155" i="1"/>
  <c r="JF155" i="1"/>
  <c r="JG155" i="1"/>
  <c r="JH155" i="1"/>
  <c r="JI155" i="1"/>
  <c r="JJ155" i="1"/>
  <c r="JK155" i="1"/>
  <c r="JL155" i="1"/>
  <c r="JM155" i="1"/>
  <c r="JN155" i="1"/>
  <c r="JO155" i="1"/>
  <c r="JP155" i="1"/>
  <c r="JQ155" i="1"/>
  <c r="JR155" i="1"/>
  <c r="JS155" i="1"/>
  <c r="JT155" i="1"/>
  <c r="JU155" i="1"/>
  <c r="JV155" i="1"/>
  <c r="JW155" i="1"/>
  <c r="JX155" i="1"/>
  <c r="JY155" i="1"/>
  <c r="JZ155" i="1"/>
  <c r="KA155" i="1"/>
  <c r="KB155" i="1"/>
  <c r="KC155" i="1"/>
  <c r="KD155" i="1"/>
  <c r="KE155" i="1"/>
  <c r="KF155" i="1"/>
  <c r="KG155" i="1"/>
  <c r="KH155" i="1"/>
  <c r="KI155" i="1"/>
  <c r="KJ155" i="1"/>
  <c r="KK155" i="1"/>
  <c r="KL155" i="1"/>
  <c r="KN155" i="1"/>
  <c r="KO155" i="1"/>
  <c r="KP155" i="1"/>
  <c r="KQ155" i="1"/>
  <c r="KR155" i="1"/>
  <c r="KS155" i="1"/>
  <c r="KT155" i="1"/>
  <c r="KU155" i="1"/>
  <c r="KV155" i="1"/>
  <c r="KW155" i="1"/>
  <c r="KX155" i="1"/>
  <c r="KY155" i="1"/>
  <c r="KZ155" i="1"/>
  <c r="LA155" i="1"/>
  <c r="LB155" i="1"/>
  <c r="LC155" i="1"/>
  <c r="LD155" i="1"/>
  <c r="LE155" i="1"/>
  <c r="LF155" i="1"/>
  <c r="LG155" i="1"/>
  <c r="LH155" i="1"/>
  <c r="LI155" i="1"/>
  <c r="LJ155" i="1"/>
  <c r="LK155" i="1"/>
  <c r="LL155" i="1"/>
  <c r="LM155" i="1"/>
  <c r="LN155" i="1"/>
  <c r="LO155" i="1"/>
  <c r="LP155" i="1"/>
  <c r="LQ155" i="1"/>
  <c r="LR155" i="1"/>
  <c r="LS155" i="1"/>
  <c r="LT155" i="1"/>
  <c r="LU155" i="1"/>
  <c r="LV155" i="1"/>
  <c r="LW155" i="1"/>
  <c r="LX155" i="1"/>
  <c r="LY155" i="1"/>
  <c r="LZ155" i="1"/>
  <c r="MA155" i="1"/>
  <c r="MB155" i="1"/>
  <c r="MC155" i="1"/>
  <c r="MD155" i="1"/>
  <c r="ME155" i="1"/>
  <c r="MF155" i="1"/>
  <c r="MG155" i="1"/>
  <c r="MH155" i="1"/>
  <c r="MI155" i="1"/>
  <c r="MJ155" i="1"/>
  <c r="MK155" i="1"/>
  <c r="ML155" i="1"/>
  <c r="MM155" i="1"/>
  <c r="MN155" i="1"/>
  <c r="MO155" i="1"/>
  <c r="MP155" i="1"/>
  <c r="MQ155" i="1"/>
  <c r="MR155" i="1"/>
  <c r="MS155" i="1"/>
  <c r="MT155" i="1"/>
  <c r="MU155" i="1"/>
  <c r="MV155" i="1"/>
  <c r="MW155" i="1"/>
  <c r="MX155" i="1"/>
  <c r="MY155" i="1"/>
  <c r="NA155" i="1"/>
  <c r="NB155" i="1"/>
  <c r="NC155" i="1"/>
  <c r="ND155" i="1"/>
  <c r="NE155" i="1"/>
  <c r="NF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K155" i="1"/>
  <c r="OL155" i="1"/>
  <c r="OM155" i="1"/>
  <c r="ON155" i="1"/>
  <c r="OO155" i="1"/>
  <c r="OP155" i="1"/>
  <c r="OR155" i="1"/>
  <c r="OS155" i="1"/>
  <c r="OT155" i="1"/>
  <c r="OU155" i="1"/>
  <c r="OV155" i="1"/>
  <c r="OX155" i="1"/>
  <c r="OY155" i="1"/>
  <c r="OZ155" i="1"/>
  <c r="PA155" i="1"/>
  <c r="PB155" i="1"/>
  <c r="PC155" i="1"/>
  <c r="PD155" i="1"/>
  <c r="PE155" i="1"/>
  <c r="PF155" i="1"/>
  <c r="PG155" i="1"/>
  <c r="PH155" i="1"/>
  <c r="PI155" i="1"/>
  <c r="PJ155" i="1"/>
  <c r="PK155" i="1"/>
  <c r="PL155" i="1"/>
  <c r="PM155" i="1"/>
  <c r="PN155" i="1"/>
  <c r="PO155" i="1"/>
  <c r="PP155" i="1"/>
  <c r="PQ155" i="1"/>
  <c r="PR155" i="1"/>
  <c r="PS155" i="1"/>
  <c r="PT155" i="1"/>
  <c r="PU155" i="1"/>
  <c r="PV155" i="1"/>
  <c r="PW155" i="1"/>
  <c r="PX155" i="1"/>
  <c r="PY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QY155" i="1"/>
  <c r="QZ155" i="1"/>
  <c r="RA155" i="1"/>
  <c r="RB155" i="1"/>
  <c r="RC155" i="1"/>
  <c r="RE155" i="1"/>
  <c r="RF155" i="1"/>
  <c r="RG155" i="1"/>
  <c r="RH155" i="1"/>
  <c r="RI155" i="1"/>
  <c r="RJ155" i="1"/>
  <c r="RK155" i="1"/>
  <c r="RL155" i="1"/>
  <c r="RM155" i="1"/>
  <c r="RN155" i="1"/>
  <c r="RO155" i="1"/>
  <c r="RP155" i="1"/>
  <c r="RQ155" i="1"/>
  <c r="RR155" i="1"/>
  <c r="RS155" i="1"/>
  <c r="RT155" i="1"/>
  <c r="RV155" i="1"/>
  <c r="RW155" i="1"/>
  <c r="RX155" i="1"/>
  <c r="RY155" i="1"/>
  <c r="RZ155" i="1"/>
  <c r="SA155" i="1"/>
  <c r="SB155" i="1"/>
  <c r="SC155" i="1"/>
  <c r="SD155" i="1"/>
  <c r="SE155" i="1"/>
  <c r="SF155" i="1"/>
  <c r="SG155" i="1"/>
  <c r="SH155" i="1"/>
  <c r="SI155" i="1"/>
  <c r="SJ155" i="1"/>
  <c r="SK155" i="1"/>
  <c r="SL155" i="1"/>
  <c r="SM155" i="1"/>
  <c r="SN155" i="1"/>
  <c r="SO155" i="1"/>
  <c r="SP155" i="1"/>
  <c r="SQ155" i="1"/>
  <c r="SR155" i="1"/>
  <c r="SS155" i="1"/>
  <c r="ST155" i="1"/>
  <c r="SU155" i="1"/>
  <c r="SV155" i="1"/>
  <c r="SW155" i="1"/>
  <c r="SX155" i="1"/>
  <c r="SY155" i="1"/>
  <c r="SZ155" i="1"/>
  <c r="TA155" i="1"/>
  <c r="TB155" i="1"/>
  <c r="TC155" i="1"/>
  <c r="TD155" i="1"/>
  <c r="TE155" i="1"/>
  <c r="TF155" i="1"/>
  <c r="TG155" i="1"/>
  <c r="TH155" i="1"/>
  <c r="TI155" i="1"/>
  <c r="TJ155" i="1"/>
  <c r="TK155" i="1"/>
  <c r="TL155" i="1"/>
  <c r="TM155" i="1"/>
  <c r="TN155" i="1"/>
  <c r="TO155" i="1"/>
  <c r="TP155" i="1"/>
  <c r="TQ155" i="1"/>
  <c r="TR155" i="1"/>
  <c r="TS155" i="1"/>
  <c r="TT155" i="1"/>
  <c r="TU155" i="1"/>
  <c r="TV155" i="1"/>
  <c r="TW155" i="1"/>
  <c r="TX155" i="1"/>
  <c r="TY155" i="1"/>
  <c r="TZ155" i="1"/>
  <c r="UA155" i="1"/>
  <c r="UB155" i="1"/>
  <c r="UC155" i="1"/>
  <c r="UD155" i="1"/>
  <c r="UF155" i="1"/>
  <c r="UG155" i="1"/>
  <c r="UH155" i="1"/>
  <c r="UI155" i="1"/>
  <c r="UJ155" i="1"/>
  <c r="UK155" i="1"/>
  <c r="UL155" i="1"/>
  <c r="UM155" i="1"/>
  <c r="UN155" i="1"/>
  <c r="UO155" i="1"/>
  <c r="UP155" i="1"/>
  <c r="UQ155" i="1"/>
  <c r="UR155" i="1"/>
  <c r="US155" i="1"/>
  <c r="UT155" i="1"/>
  <c r="UU155" i="1"/>
  <c r="UV155" i="1"/>
  <c r="UW155" i="1"/>
  <c r="UX155" i="1"/>
  <c r="UY155" i="1"/>
  <c r="UZ155" i="1"/>
  <c r="VA155" i="1"/>
  <c r="VB155" i="1"/>
  <c r="VC155" i="1"/>
  <c r="VD155" i="1"/>
  <c r="VE155" i="1"/>
  <c r="VF155" i="1"/>
  <c r="VG155" i="1"/>
  <c r="VH155" i="1"/>
  <c r="VI155" i="1"/>
  <c r="VK155" i="1"/>
  <c r="VL155" i="1"/>
  <c r="VM155" i="1"/>
  <c r="VN155" i="1"/>
  <c r="VO155" i="1"/>
  <c r="VP155" i="1"/>
  <c r="VQ155" i="1"/>
  <c r="VR155" i="1"/>
  <c r="VS155" i="1"/>
  <c r="VT155" i="1"/>
  <c r="VU155" i="1"/>
  <c r="VV155" i="1"/>
  <c r="VW155" i="1"/>
  <c r="VX155" i="1"/>
  <c r="VY155" i="1"/>
  <c r="VZ155" i="1"/>
  <c r="WA155" i="1"/>
  <c r="WB155" i="1"/>
  <c r="WC155" i="1"/>
  <c r="WD155" i="1"/>
  <c r="WE155" i="1"/>
  <c r="WF155" i="1"/>
  <c r="WG155" i="1"/>
  <c r="WH155" i="1"/>
  <c r="WI155" i="1"/>
  <c r="WJ155" i="1"/>
  <c r="WK155" i="1"/>
  <c r="WL155" i="1"/>
  <c r="WN155" i="1"/>
  <c r="WO155" i="1"/>
  <c r="WP155" i="1"/>
  <c r="WQ155" i="1"/>
  <c r="WR155" i="1"/>
  <c r="WS155" i="1"/>
  <c r="WT155" i="1"/>
  <c r="WU155" i="1"/>
  <c r="WV155" i="1"/>
  <c r="WW155" i="1"/>
  <c r="WX155" i="1"/>
  <c r="WY155" i="1"/>
  <c r="WZ155" i="1"/>
  <c r="XA155" i="1"/>
  <c r="XB155" i="1"/>
  <c r="XC155" i="1"/>
  <c r="XD155" i="1"/>
  <c r="XE155" i="1"/>
  <c r="XF155" i="1"/>
  <c r="XG155" i="1"/>
  <c r="XI155" i="1"/>
  <c r="XJ155" i="1"/>
  <c r="XK155" i="1"/>
  <c r="XL155" i="1"/>
  <c r="XM155" i="1"/>
  <c r="XN155" i="1"/>
  <c r="XO155" i="1"/>
  <c r="XP155" i="1"/>
  <c r="XQ155" i="1"/>
  <c r="XR155" i="1"/>
  <c r="XS155" i="1"/>
  <c r="XT155" i="1"/>
  <c r="XU155" i="1"/>
  <c r="XV155" i="1"/>
  <c r="XW155" i="1"/>
  <c r="XX155" i="1"/>
  <c r="XY155" i="1"/>
  <c r="XZ155" i="1"/>
  <c r="YA155" i="1"/>
  <c r="YB155" i="1"/>
  <c r="YC155" i="1"/>
  <c r="YE155" i="1"/>
  <c r="YF155" i="1"/>
  <c r="YG155" i="1"/>
  <c r="YH155" i="1"/>
  <c r="YI155" i="1"/>
  <c r="YJ155" i="1"/>
  <c r="YK155" i="1"/>
  <c r="YL155" i="1"/>
  <c r="YM155" i="1"/>
  <c r="YN155" i="1"/>
  <c r="YO155" i="1"/>
  <c r="YP155" i="1"/>
  <c r="YQ155" i="1"/>
  <c r="YR155" i="1"/>
  <c r="YS155" i="1"/>
  <c r="YT155" i="1"/>
  <c r="YU155" i="1"/>
  <c r="YV155" i="1"/>
  <c r="YW155" i="1"/>
  <c r="YY155" i="1"/>
  <c r="YZ155" i="1"/>
  <c r="ZA155" i="1"/>
  <c r="ZB155" i="1"/>
  <c r="ZC155" i="1"/>
  <c r="ZD155" i="1"/>
  <c r="ZE155" i="1"/>
  <c r="ZF155" i="1"/>
  <c r="ZG155" i="1"/>
  <c r="ZH155" i="1"/>
  <c r="ZI155" i="1"/>
  <c r="ZJ155" i="1"/>
  <c r="ZK155" i="1"/>
  <c r="ZL155" i="1"/>
  <c r="ZM155" i="1"/>
  <c r="ZN155" i="1"/>
  <c r="ZO155" i="1"/>
  <c r="ZP155" i="1"/>
  <c r="ZQ155" i="1"/>
  <c r="ZS155" i="1"/>
  <c r="ZT155" i="1"/>
  <c r="ZU155" i="1"/>
  <c r="ZV155" i="1"/>
  <c r="ZW155" i="1"/>
  <c r="ZY155" i="1"/>
  <c r="ZZ155" i="1"/>
  <c r="AAA155" i="1"/>
  <c r="AAB155" i="1"/>
  <c r="AAC155" i="1"/>
  <c r="AAD155" i="1"/>
  <c r="AAE155" i="1"/>
  <c r="AAF155" i="1"/>
  <c r="AAG155" i="1"/>
  <c r="AAH155" i="1"/>
  <c r="AAI155" i="1"/>
  <c r="AAJ155" i="1"/>
  <c r="AAK155" i="1"/>
  <c r="AAL155" i="1"/>
  <c r="AAM155" i="1"/>
  <c r="AAN155" i="1"/>
  <c r="AAO155" i="1"/>
  <c r="AAP155" i="1"/>
  <c r="AAQ155" i="1"/>
  <c r="AAR155" i="1"/>
  <c r="AAS155" i="1"/>
  <c r="AAU155" i="1"/>
  <c r="AAV155" i="1"/>
  <c r="AAW155" i="1"/>
  <c r="AAX155" i="1"/>
  <c r="AAY155" i="1"/>
  <c r="AAZ155" i="1"/>
  <c r="ABA155" i="1"/>
  <c r="ABB155" i="1"/>
  <c r="ABC155" i="1"/>
  <c r="ABD155" i="1"/>
  <c r="ABE155" i="1"/>
  <c r="ABF155" i="1"/>
  <c r="ABG155" i="1"/>
  <c r="ABH155" i="1"/>
  <c r="ABI155" i="1"/>
  <c r="ABJ155" i="1"/>
  <c r="ABK155" i="1"/>
  <c r="ABL155" i="1"/>
  <c r="ABM155" i="1"/>
  <c r="ABN155" i="1"/>
  <c r="ABO155" i="1"/>
  <c r="ABP155" i="1"/>
  <c r="ABR155" i="1"/>
  <c r="ABS155" i="1"/>
  <c r="ABT155" i="1"/>
  <c r="ABU155" i="1"/>
  <c r="ABW155" i="1"/>
  <c r="ABX155" i="1"/>
  <c r="ABY155" i="1"/>
  <c r="ABZ155" i="1"/>
  <c r="ACA155" i="1"/>
  <c r="ACB155" i="1"/>
  <c r="ACD155" i="1"/>
  <c r="ACE155" i="1"/>
  <c r="ACF155" i="1"/>
  <c r="ACG155" i="1"/>
  <c r="ACH155" i="1"/>
  <c r="ACI155" i="1"/>
  <c r="ACJ155" i="1"/>
  <c r="ACK155" i="1"/>
  <c r="ACL155" i="1"/>
  <c r="ACM155" i="1"/>
  <c r="ACN155" i="1"/>
  <c r="ACO155" i="1"/>
  <c r="ACP155" i="1"/>
  <c r="ACR155" i="1"/>
  <c r="ACS155" i="1"/>
  <c r="ACT155" i="1"/>
  <c r="ACU155" i="1"/>
  <c r="ACV155" i="1"/>
  <c r="ACW155" i="1"/>
  <c r="ACX155" i="1"/>
  <c r="ACY155" i="1"/>
  <c r="ACZ155" i="1"/>
  <c r="ADB155" i="1"/>
  <c r="ADC155" i="1"/>
  <c r="ADD155" i="1"/>
  <c r="ADE155" i="1"/>
  <c r="ADF155" i="1"/>
  <c r="ADG155" i="1"/>
  <c r="ADH155" i="1"/>
  <c r="ADI155" i="1"/>
  <c r="ADJ155" i="1"/>
  <c r="ADK155" i="1"/>
  <c r="ADL155" i="1"/>
  <c r="ADN155" i="1"/>
  <c r="ADO155" i="1"/>
  <c r="ADP155" i="1"/>
  <c r="ADQ155" i="1"/>
  <c r="ADR155" i="1"/>
  <c r="ADS155" i="1"/>
  <c r="ADT155" i="1"/>
  <c r="ADU155" i="1"/>
  <c r="ADV155" i="1"/>
  <c r="ADW155" i="1"/>
  <c r="ADX155" i="1"/>
  <c r="ADY155" i="1"/>
  <c r="ADZ155" i="1"/>
  <c r="AEA155" i="1"/>
  <c r="AEB155" i="1"/>
  <c r="AEC155" i="1"/>
  <c r="AED155" i="1"/>
  <c r="AEE155" i="1"/>
  <c r="AEF155" i="1"/>
  <c r="AEG155" i="1"/>
  <c r="AEH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C155" i="1"/>
  <c r="RD155" i="1" l="1"/>
  <c r="YD155" i="1"/>
  <c r="ABV155" i="1"/>
  <c r="XH155" i="1"/>
  <c r="FI155" i="1"/>
  <c r="HY155" i="1"/>
  <c r="OW155" i="1"/>
  <c r="WM155" i="1"/>
  <c r="ZX155" i="1"/>
  <c r="ACQ155" i="1"/>
  <c r="DS155" i="1"/>
  <c r="KM155" i="1"/>
  <c r="RU155" i="1"/>
  <c r="AAT155" i="1"/>
  <c r="ADA155" i="1"/>
  <c r="DE155" i="1"/>
  <c r="OQ155" i="1"/>
  <c r="VJ155" i="1"/>
  <c r="ZR155" i="1"/>
  <c r="ACC155" i="1"/>
  <c r="AEI155" i="1"/>
  <c r="BA155" i="1"/>
  <c r="CB155" i="1"/>
  <c r="EF155" i="1"/>
  <c r="MZ155" i="1"/>
  <c r="UE155" i="1"/>
  <c r="YX155" i="1"/>
  <c r="ABQ155" i="1"/>
  <c r="ADM155" i="1"/>
</calcChain>
</file>

<file path=xl/connections.xml><?xml version="1.0" encoding="utf-8"?>
<connections xmlns="http://schemas.openxmlformats.org/spreadsheetml/2006/main">
  <connection id="1" keepAlive="1" name="Query - AP" description="Connection to the 'AP' query in the workbook." type="5" refreshedVersion="6" background="1" saveData="1">
    <dbPr connection="Provider=Microsoft.Mashup.OleDb.1;Data Source=$Workbook$;Location=AP;Extended Properties=&quot;&quot;" command="SELECT * FROM [AP]"/>
  </connection>
  <connection id="2" keepAlive="1" name="Query - AT Table" description="Connection to the 'AT Table' query in the workbook." type="5" refreshedVersion="6" background="1" saveData="1">
    <dbPr connection="Provider=Microsoft.Mashup.OleDb.1;Data Source=$Workbook$;Location=&quot;AT Table&quot;;Extended Properties=&quot;&quot;" command="SELECT * FROM [AT Table]"/>
  </connection>
  <connection id="3" keepAlive="1" name="Query - Bilirubin" description="Connection to the 'Bilirubin' query in the workbook." type="5" refreshedVersion="6" background="1" saveData="1">
    <dbPr connection="Provider=Microsoft.Mashup.OleDb.1;Data Source=$Workbook$;Location=Bilirubin;Extended Properties=&quot;&quot;" command="SELECT * FROM [Bilirubin]"/>
  </connection>
  <connection id="4" keepAlive="1" name="Query - Choline estrase" description="Connection to the 'Choline estrase' query in the workbook." type="5" refreshedVersion="6" background="1" saveData="1">
    <dbPr connection="Provider=Microsoft.Mashup.OleDb.1;Data Source=$Workbook$;Location=Choline estrase;Extended Properties=&quot;&quot;" command="SELECT * FROM [Choline estrase]"/>
  </connection>
  <connection id="5" keepAlive="1" name="Query - CK Observations" description="Connection to the 'CK Observations' query in the workbook." type="5" refreshedVersion="6" background="1">
    <dbPr connection="Provider=Microsoft.Mashup.OleDb.1;Data Source=$Workbook$;Location=&quot;CK Observations&quot;;Extended Properties=&quot;&quot;" command="SELECT * FROM [CK Observations]"/>
  </connection>
  <connection id="6" keepAlive="1" name="Query - Fibrinogen" description="Connection to the 'Fibrinogen' query in the workbook." type="5" refreshedVersion="6" background="1" saveData="1">
    <dbPr connection="Provider=Microsoft.Mashup.OleDb.1;Data Source=$Workbook$;Location=Fibrinogen;Extended Properties=&quot;&quot;" command="SELECT * FROM [Fibrinogen]"/>
  </connection>
  <connection id="7" keepAlive="1" name="Query - GGT" description="Connection to the 'GGT' query in the workbook." type="5" refreshedVersion="6" background="1" saveData="1">
    <dbPr connection="Provider=Microsoft.Mashup.OleDb.1;Data Source=$Workbook$;Location=GGT;Extended Properties=&quot;&quot;" command="SELECT * FROM [GGT]"/>
  </connection>
  <connection id="8" keepAlive="1" name="Query - GLDH" description="Connection to the 'GLDH' query in the workbook." type="5" refreshedVersion="6" background="1" saveData="1">
    <dbPr connection="Provider=Microsoft.Mashup.OleDb.1;Data Source=$Workbook$;Location=GLDH;Extended Properties=&quot;&quot;" command="SELECT * FROM [GLDH]"/>
  </connection>
  <connection id="9" keepAlive="1" name="Query - GOT" description="Connection to the 'GOT' query in the workbook." type="5" refreshedVersion="6" background="1" saveData="1">
    <dbPr connection="Provider=Microsoft.Mashup.OleDb.1;Data Source=$Workbook$;Location=GOT;Extended Properties=&quot;&quot;" command="SELECT * FROM [GOT]"/>
  </connection>
  <connection id="10" keepAlive="1" name="Query - GPT" description="Connection to the 'GPT' query in the workbook." type="5" refreshedVersion="6" background="1" saveData="1">
    <dbPr connection="Provider=Microsoft.Mashup.OleDb.1;Data Source=$Workbook$;Location=GPT;Extended Properties=&quot;&quot;" command="SELECT * FROM [GPT]"/>
  </connection>
  <connection id="11" keepAlive="1" name="Query - LDH" description="Connection to the 'LDH' query in the workbook." type="5" refreshedVersion="6" background="1" saveData="1">
    <dbPr connection="Provider=Microsoft.Mashup.OleDb.1;Data Source=$Workbook$;Location=LDH;Extended Properties=&quot;&quot;" command="SELECT * FROM [LDH]"/>
  </connection>
  <connection id="12" keepAlive="1" name="Query - Leukozyten" description="Connection to the 'Leukozyten' query in the workbook." type="5" refreshedVersion="6" background="1" saveData="1">
    <dbPr connection="Provider=Microsoft.Mashup.OleDb.1;Data Source=$Workbook$;Location=Leukozyten;Extended Properties=&quot;&quot;" command="SELECT * FROM [Leukozyten]"/>
  </connection>
  <connection id="13" keepAlive="1" name="Query - PTT" description="Connection to the 'PTT' query in the workbook." type="5" refreshedVersion="6" background="1" saveData="1">
    <dbPr connection="Provider=Microsoft.Mashup.OleDb.1;Data Source=$Workbook$;Location=PTT;Extended Properties=&quot;&quot;" command="SELECT * FROM [PTT]"/>
  </connection>
  <connection id="14" keepAlive="1" name="Query - Quick" description="Connection to the 'Quick' query in the workbook." type="5" refreshedVersion="6" background="1" saveData="1">
    <dbPr connection="Provider=Microsoft.Mashup.OleDb.1;Data Source=$Workbook$;Location=Quick;Extended Properties=&quot;&quot;" command="SELECT * FROM [Quick]"/>
  </connection>
</connections>
</file>

<file path=xl/sharedStrings.xml><?xml version="1.0" encoding="utf-8"?>
<sst xmlns="http://schemas.openxmlformats.org/spreadsheetml/2006/main" count="7749" uniqueCount="2425">
  <si>
    <t>Patienten-ID</t>
  </si>
  <si>
    <t>Alter</t>
  </si>
  <si>
    <t>Geschlecht</t>
  </si>
  <si>
    <t>Initialien</t>
  </si>
  <si>
    <t>Arztbrief</t>
  </si>
  <si>
    <t>Laborwerte</t>
  </si>
  <si>
    <t>00001263</t>
  </si>
  <si>
    <t>K.A.</t>
  </si>
  <si>
    <t>w</t>
  </si>
  <si>
    <t>Ja</t>
  </si>
  <si>
    <t>P.H.</t>
  </si>
  <si>
    <t>00001480</t>
  </si>
  <si>
    <t>00001505</t>
  </si>
  <si>
    <t>S.B.</t>
  </si>
  <si>
    <t>m</t>
  </si>
  <si>
    <t>Nein</t>
  </si>
  <si>
    <t>00001506</t>
  </si>
  <si>
    <t>E.R.</t>
  </si>
  <si>
    <t>00002139</t>
  </si>
  <si>
    <t>G.H.</t>
  </si>
  <si>
    <t>00005281</t>
  </si>
  <si>
    <t>M.S.</t>
  </si>
  <si>
    <t>00200085</t>
  </si>
  <si>
    <t>I.L.</t>
  </si>
  <si>
    <t>00200149</t>
  </si>
  <si>
    <t>R.C.</t>
  </si>
  <si>
    <t>00500129</t>
  </si>
  <si>
    <t>R.U.</t>
  </si>
  <si>
    <t>01000192</t>
  </si>
  <si>
    <t>F.R.</t>
  </si>
  <si>
    <t>01000197</t>
  </si>
  <si>
    <t>H.G.</t>
  </si>
  <si>
    <t>01000891</t>
  </si>
  <si>
    <t>S.S.</t>
  </si>
  <si>
    <t>01002033</t>
  </si>
  <si>
    <t>D.M.</t>
  </si>
  <si>
    <t>01002241</t>
  </si>
  <si>
    <t>01003215</t>
  </si>
  <si>
    <t>T.H.</t>
  </si>
  <si>
    <t>Z.K.</t>
  </si>
  <si>
    <t>01003457</t>
  </si>
  <si>
    <t>B.H.</t>
  </si>
  <si>
    <t>01005555</t>
  </si>
  <si>
    <t>01005591</t>
  </si>
  <si>
    <t>01006310</t>
  </si>
  <si>
    <t>H.B.</t>
  </si>
  <si>
    <t>01007842</t>
  </si>
  <si>
    <t>C.G.</t>
  </si>
  <si>
    <t>02004367</t>
  </si>
  <si>
    <t>R.R.</t>
  </si>
  <si>
    <t>02005223</t>
  </si>
  <si>
    <t>K.S.</t>
  </si>
  <si>
    <t>02005294</t>
  </si>
  <si>
    <t>02006107</t>
  </si>
  <si>
    <t>S.F.</t>
  </si>
  <si>
    <t>02007236</t>
  </si>
  <si>
    <t>B.W.</t>
  </si>
  <si>
    <t>02008127</t>
  </si>
  <si>
    <t>N.B.</t>
  </si>
  <si>
    <t>02010754</t>
  </si>
  <si>
    <t>02012014</t>
  </si>
  <si>
    <t>J.M.</t>
  </si>
  <si>
    <t>03000152</t>
  </si>
  <si>
    <t>P.B.</t>
  </si>
  <si>
    <t>03001872</t>
  </si>
  <si>
    <t>03014566</t>
  </si>
  <si>
    <t>03015058</t>
  </si>
  <si>
    <t>S.L.</t>
  </si>
  <si>
    <t>03017084</t>
  </si>
  <si>
    <t>03018901</t>
  </si>
  <si>
    <t>D.C.</t>
  </si>
  <si>
    <t>03019249</t>
  </si>
  <si>
    <t>A.M.</t>
  </si>
  <si>
    <t>03019706</t>
  </si>
  <si>
    <t>04000996</t>
  </si>
  <si>
    <t>V.D.</t>
  </si>
  <si>
    <t>04003543</t>
  </si>
  <si>
    <t>M.J.</t>
  </si>
  <si>
    <t>04003768</t>
  </si>
  <si>
    <t>R.S.</t>
  </si>
  <si>
    <t>04006540</t>
  </si>
  <si>
    <t>M.T.</t>
  </si>
  <si>
    <t>04007054</t>
  </si>
  <si>
    <t>R.B.</t>
  </si>
  <si>
    <t>04007646</t>
  </si>
  <si>
    <t>04009308</t>
  </si>
  <si>
    <t>M.B.</t>
  </si>
  <si>
    <t>04011002</t>
  </si>
  <si>
    <t>R.T.</t>
  </si>
  <si>
    <t>04900268</t>
  </si>
  <si>
    <t>I.S.</t>
  </si>
  <si>
    <t>04900809</t>
  </si>
  <si>
    <t>04900849</t>
  </si>
  <si>
    <t>05001097</t>
  </si>
  <si>
    <t>P.G.</t>
  </si>
  <si>
    <t>05001098</t>
  </si>
  <si>
    <t>S.A.</t>
  </si>
  <si>
    <t>05004470</t>
  </si>
  <si>
    <t>I.I.</t>
  </si>
  <si>
    <t>05005508</t>
  </si>
  <si>
    <t>05005517</t>
  </si>
  <si>
    <t>05005523</t>
  </si>
  <si>
    <t>05005557</t>
  </si>
  <si>
    <t>05006152</t>
  </si>
  <si>
    <t>G.B.</t>
  </si>
  <si>
    <t>05006717</t>
  </si>
  <si>
    <t>05006719</t>
  </si>
  <si>
    <t>05006726</t>
  </si>
  <si>
    <t>05006732</t>
  </si>
  <si>
    <t>05006733</t>
  </si>
  <si>
    <t>05006736</t>
  </si>
  <si>
    <t>05006761</t>
  </si>
  <si>
    <t>05006764</t>
  </si>
  <si>
    <t>05006844</t>
  </si>
  <si>
    <t>R.D.</t>
  </si>
  <si>
    <t>05006916</t>
  </si>
  <si>
    <t>05006917</t>
  </si>
  <si>
    <t>05010412</t>
  </si>
  <si>
    <t>W.D.</t>
  </si>
  <si>
    <t>05011824</t>
  </si>
  <si>
    <t>05013714</t>
  </si>
  <si>
    <t>J.S.</t>
  </si>
  <si>
    <t>05013780</t>
  </si>
  <si>
    <t>05015182</t>
  </si>
  <si>
    <t>S.I.</t>
  </si>
  <si>
    <t>05016179</t>
  </si>
  <si>
    <t>05016207</t>
  </si>
  <si>
    <t>05016255</t>
  </si>
  <si>
    <t>05018677</t>
  </si>
  <si>
    <t>E.B.</t>
  </si>
  <si>
    <t>G.N.</t>
  </si>
  <si>
    <t>06012361</t>
  </si>
  <si>
    <t>D.S.</t>
  </si>
  <si>
    <t>06032853</t>
  </si>
  <si>
    <t>06043619</t>
  </si>
  <si>
    <t>S.J.</t>
  </si>
  <si>
    <t>06062587</t>
  </si>
  <si>
    <t>F.K.</t>
  </si>
  <si>
    <t>06064311</t>
  </si>
  <si>
    <t>S.T.</t>
  </si>
  <si>
    <t>06081681</t>
  </si>
  <si>
    <t>H.K.</t>
  </si>
  <si>
    <t>07008716</t>
  </si>
  <si>
    <t>07011435</t>
  </si>
  <si>
    <t>07034252</t>
  </si>
  <si>
    <t>07034283</t>
  </si>
  <si>
    <t>07034934</t>
  </si>
  <si>
    <t>07035085</t>
  </si>
  <si>
    <t>07035107</t>
  </si>
  <si>
    <t>07079011</t>
  </si>
  <si>
    <t>07103068</t>
  </si>
  <si>
    <t>08019333</t>
  </si>
  <si>
    <t>08065877</t>
  </si>
  <si>
    <t>08089666</t>
  </si>
  <si>
    <t>A.F.</t>
  </si>
  <si>
    <t>08103536</t>
  </si>
  <si>
    <t>Z.C.</t>
  </si>
  <si>
    <t>08124816</t>
  </si>
  <si>
    <t>08135416</t>
  </si>
  <si>
    <t>A.G.</t>
  </si>
  <si>
    <t>08148882</t>
  </si>
  <si>
    <t>L.H.</t>
  </si>
  <si>
    <t>09074418</t>
  </si>
  <si>
    <t>09095148</t>
  </si>
  <si>
    <t>10098420</t>
  </si>
  <si>
    <t>10173664</t>
  </si>
  <si>
    <t>11000454</t>
  </si>
  <si>
    <t>11138447</t>
  </si>
  <si>
    <t>A.G.-H.</t>
  </si>
  <si>
    <t>11187503</t>
  </si>
  <si>
    <t>11231446</t>
  </si>
  <si>
    <t>W.</t>
  </si>
  <si>
    <t>12055731</t>
  </si>
  <si>
    <t>12202633</t>
  </si>
  <si>
    <t>J.B.</t>
  </si>
  <si>
    <t>93018945</t>
  </si>
  <si>
    <t>94002083</t>
  </si>
  <si>
    <t>94009028</t>
  </si>
  <si>
    <t>94011991</t>
  </si>
  <si>
    <t>95004426</t>
  </si>
  <si>
    <t>B.B.</t>
  </si>
  <si>
    <t>A.E.</t>
  </si>
  <si>
    <t>95005793</t>
  </si>
  <si>
    <t>95005907</t>
  </si>
  <si>
    <t>T.K.</t>
  </si>
  <si>
    <t>95900164</t>
  </si>
  <si>
    <t>S.C.</t>
  </si>
  <si>
    <t>96015811</t>
  </si>
  <si>
    <t>S.W.</t>
  </si>
  <si>
    <t>96018835</t>
  </si>
  <si>
    <t>W.C.</t>
  </si>
  <si>
    <t>97002414/97001240</t>
  </si>
  <si>
    <t>97001891</t>
  </si>
  <si>
    <t>L.S.</t>
  </si>
  <si>
    <t>97005366</t>
  </si>
  <si>
    <t>R.K.</t>
  </si>
  <si>
    <t>97008791</t>
  </si>
  <si>
    <t>97500067</t>
  </si>
  <si>
    <t>H.J.</t>
  </si>
  <si>
    <t>98000595</t>
  </si>
  <si>
    <t>98001469</t>
  </si>
  <si>
    <t>98001796</t>
  </si>
  <si>
    <t>98002692</t>
  </si>
  <si>
    <t>23/17</t>
  </si>
  <si>
    <t>m/w</t>
  </si>
  <si>
    <t>Ja/Ja</t>
  </si>
  <si>
    <t>Nein/Ja</t>
  </si>
  <si>
    <t>98005277</t>
  </si>
  <si>
    <t>98007258</t>
  </si>
  <si>
    <t>98008326</t>
  </si>
  <si>
    <t>O.E.</t>
  </si>
  <si>
    <t>99000717</t>
  </si>
  <si>
    <t>99000802</t>
  </si>
  <si>
    <t>W.J.</t>
  </si>
  <si>
    <t>99000892</t>
  </si>
  <si>
    <t>F.M.</t>
  </si>
  <si>
    <t>99000894</t>
  </si>
  <si>
    <t>W.O.</t>
  </si>
  <si>
    <t>99000897</t>
  </si>
  <si>
    <t>K.B.</t>
  </si>
  <si>
    <t>99001245</t>
  </si>
  <si>
    <t>M.L.</t>
  </si>
  <si>
    <t>99001815</t>
  </si>
  <si>
    <t>J.O.</t>
  </si>
  <si>
    <t>99001898</t>
  </si>
  <si>
    <t>99001902</t>
  </si>
  <si>
    <t>R.A.</t>
  </si>
  <si>
    <t>99001912</t>
  </si>
  <si>
    <t>G.W.</t>
  </si>
  <si>
    <t>99001913</t>
  </si>
  <si>
    <t>H.F.</t>
  </si>
  <si>
    <t>99001927</t>
  </si>
  <si>
    <t>99001937</t>
  </si>
  <si>
    <t>L.E.</t>
  </si>
  <si>
    <t>99001943</t>
  </si>
  <si>
    <t>N.S.</t>
  </si>
  <si>
    <t>99901337</t>
  </si>
  <si>
    <t>J.H.</t>
  </si>
  <si>
    <t>Suizid</t>
  </si>
  <si>
    <t>Indikation</t>
  </si>
  <si>
    <t>Leben</t>
  </si>
  <si>
    <t>Intervention</t>
  </si>
  <si>
    <t>Konakionsgabe(Vit. K), Absetzen aller Medikamente</t>
  </si>
  <si>
    <t>nein</t>
  </si>
  <si>
    <t>Tinnitus rechts, Kopfschmerzen</t>
  </si>
  <si>
    <t>Fieberhafter Infekt</t>
  </si>
  <si>
    <t xml:space="preserve">Fieber </t>
  </si>
  <si>
    <t>Postoperativ nach Radiusfraktur</t>
  </si>
  <si>
    <t>Antibiose mit Ciprobay</t>
  </si>
  <si>
    <t>Schmerzen</t>
  </si>
  <si>
    <t>Schmerzen (Hexenschuss,Kopfschmerzen)</t>
  </si>
  <si>
    <t xml:space="preserve">Schmerzen   </t>
  </si>
  <si>
    <t>Mittelohrentzuendung</t>
  </si>
  <si>
    <t>Fieber</t>
  </si>
  <si>
    <t>Grippaler Infekt</t>
  </si>
  <si>
    <t>Kopfschmerzen</t>
  </si>
  <si>
    <t>Absetzen der Medikamente</t>
  </si>
  <si>
    <t>ja</t>
  </si>
  <si>
    <t>Erbrechen provoziert,Aktivkohle,Infusion</t>
  </si>
  <si>
    <t>Zahnschmerzen</t>
  </si>
  <si>
    <t>Angina Tonsillaris</t>
  </si>
  <si>
    <t>Prophylaxe von Knochenschmerzen</t>
  </si>
  <si>
    <t>Gleiderschmerzen</t>
  </si>
  <si>
    <t>Siliben Behandlung</t>
  </si>
  <si>
    <t>Postoperativ Analgetische Behandlung</t>
  </si>
  <si>
    <t>W.W.</t>
  </si>
  <si>
    <t>Darminfekt</t>
  </si>
  <si>
    <t>Tanesmen/Obstipation</t>
  </si>
  <si>
    <t>Erkaeltung</t>
  </si>
  <si>
    <t>Schmerz</t>
  </si>
  <si>
    <t>Acetylcystein</t>
  </si>
  <si>
    <t>Ohrenentzuendung</t>
  </si>
  <si>
    <t>Postoperativ Schmerzlindernd</t>
  </si>
  <si>
    <t>Nach Hueft-Op, vermutlich Schmerz</t>
  </si>
  <si>
    <t>Sepsis</t>
  </si>
  <si>
    <t>Migraene</t>
  </si>
  <si>
    <t>Halsschmerzen</t>
  </si>
  <si>
    <t>Grippe</t>
  </si>
  <si>
    <t>Antidot Fluimucil</t>
  </si>
  <si>
    <t>Schmerztherapie</t>
  </si>
  <si>
    <t>Postoperative Schmerzen</t>
  </si>
  <si>
    <t>Fiebergefuehl</t>
  </si>
  <si>
    <t>Postoperativer Schmerz</t>
  </si>
  <si>
    <t>Allgemeinanaesthesie</t>
  </si>
  <si>
    <t>Abgeschlagenheit, Schwaeche</t>
  </si>
  <si>
    <t>Hyperpyrexie</t>
  </si>
  <si>
    <t>Schmerzen, Fieber</t>
  </si>
  <si>
    <t>Fieber, Cephalgie</t>
  </si>
  <si>
    <t>Tonsillektomie Post Op</t>
  </si>
  <si>
    <t xml:space="preserve">Endokarditis </t>
  </si>
  <si>
    <t>Absetzen der Medikamente,Yienam (Imipenem/Kombi)</t>
  </si>
  <si>
    <t>Bandscheibeninfekt</t>
  </si>
  <si>
    <t>Fieber/Fieber</t>
  </si>
  <si>
    <t>nein/nein</t>
  </si>
  <si>
    <t>98004909/98004910</t>
  </si>
  <si>
    <t>ja/ja</t>
  </si>
  <si>
    <t>Aktivkohle, Magenspuelung,ACC Gabe</t>
  </si>
  <si>
    <t>Kopfschmerzen und Fieber</t>
  </si>
  <si>
    <t>Schmerzen und Fieber</t>
  </si>
  <si>
    <t>Fieber,Halsschmerzen</t>
  </si>
  <si>
    <t>Wirkung</t>
  </si>
  <si>
    <t>Steven Johnson</t>
  </si>
  <si>
    <t>Interaktion Paracetamol und Vit.C, Verkleinerung Quick Wert</t>
  </si>
  <si>
    <t>Leberwerte veraendert</t>
  </si>
  <si>
    <t>Erbrechen, Paracetamol Intoxikation</t>
  </si>
  <si>
    <t>toxische Hepatopathie</t>
  </si>
  <si>
    <t>Ikterus</t>
  </si>
  <si>
    <t>Ikterus,Cholostase</t>
  </si>
  <si>
    <t>Uebelkeit, Erbrechen</t>
  </si>
  <si>
    <t>toxischer Leberschaden mit Leberversagen</t>
  </si>
  <si>
    <t>Leberversagen</t>
  </si>
  <si>
    <t>Hepatitis</t>
  </si>
  <si>
    <t>Hepatomegalie, Oedeme</t>
  </si>
  <si>
    <t>Hepatitis, Leukopenie</t>
  </si>
  <si>
    <t>Steven Johnson Syndrom</t>
  </si>
  <si>
    <t>vermutlich Steven Johnson Syndrom</t>
  </si>
  <si>
    <t>Bauchschmerzen, Leberwerte veraendert</t>
  </si>
  <si>
    <t>Leberfunktion eingeschraenkt, veraenderte Werte</t>
  </si>
  <si>
    <t>Leberschaden</t>
  </si>
  <si>
    <t>veraenderte Leberwerte</t>
  </si>
  <si>
    <t>Leberfunktionsstoerung</t>
  </si>
  <si>
    <t>08064673/08055749</t>
  </si>
  <si>
    <t>Hautreaktion</t>
  </si>
  <si>
    <t>Agranulozytose</t>
  </si>
  <si>
    <t xml:space="preserve">Leberversagen </t>
  </si>
  <si>
    <t>Lebewerete verandert</t>
  </si>
  <si>
    <t>Uebelkeit, Erbrechen, Leberwerte veraendert</t>
  </si>
  <si>
    <t>Gewicht (kg)</t>
  </si>
  <si>
    <t>Groesse (cm)</t>
  </si>
  <si>
    <t>C.D</t>
  </si>
  <si>
    <t>k.A/53</t>
  </si>
  <si>
    <t>k.A/170</t>
  </si>
  <si>
    <t>Erythema</t>
  </si>
  <si>
    <t>Epidermale Nekrolyse</t>
  </si>
  <si>
    <t>Leberschaden, Leukopenie</t>
  </si>
  <si>
    <t>14,4</t>
  </si>
  <si>
    <t>Ck-d3</t>
  </si>
  <si>
    <t>CK-d1 (U\l)</t>
  </si>
  <si>
    <t>Quick-d1 (%)</t>
  </si>
  <si>
    <t>Quick-d3</t>
  </si>
  <si>
    <t>Quick-d6</t>
  </si>
  <si>
    <t>&gt;5</t>
  </si>
  <si>
    <t>PTT-d3</t>
  </si>
  <si>
    <t>PTT-d6</t>
  </si>
  <si>
    <t>PTT-d1 (sec)</t>
  </si>
  <si>
    <t>&gt;180</t>
  </si>
  <si>
    <t>33,6</t>
  </si>
  <si>
    <t>TZ-d1</t>
  </si>
  <si>
    <t>AT III -d1</t>
  </si>
  <si>
    <t>GOT-d1 (u\l)</t>
  </si>
  <si>
    <t>GPT-d1 (u\l)</t>
  </si>
  <si>
    <t>LDH-d1 (u\l)</t>
  </si>
  <si>
    <t>Leukozyten-d5</t>
  </si>
  <si>
    <t>6,8</t>
  </si>
  <si>
    <t>Lymphozyten-d1 (%)</t>
  </si>
  <si>
    <t>9,9</t>
  </si>
  <si>
    <t>Bilirubin-d1 (mikromol/l)</t>
  </si>
  <si>
    <t>GLDH-d1 (u/l)</t>
  </si>
  <si>
    <t>AP-d1 (u/l)</t>
  </si>
  <si>
    <t>AP-d2</t>
  </si>
  <si>
    <t>AP-d8</t>
  </si>
  <si>
    <t>AP-d9</t>
  </si>
  <si>
    <t>AP-d13</t>
  </si>
  <si>
    <t>AP-d15</t>
  </si>
  <si>
    <t>AP-d16</t>
  </si>
  <si>
    <t>AP-d17</t>
  </si>
  <si>
    <t>AP-d18</t>
  </si>
  <si>
    <t>AP-d19</t>
  </si>
  <si>
    <t>AP-d20</t>
  </si>
  <si>
    <t>AP-d22</t>
  </si>
  <si>
    <t>AP-d28</t>
  </si>
  <si>
    <t>AP-d30</t>
  </si>
  <si>
    <t>Bilirubin-d2</t>
  </si>
  <si>
    <t>Bilirubin-d13</t>
  </si>
  <si>
    <t>Bilirubin-d16</t>
  </si>
  <si>
    <t>Bilirubin-d17</t>
  </si>
  <si>
    <t>Bilirubin-d18</t>
  </si>
  <si>
    <t>Bilirubin-d21</t>
  </si>
  <si>
    <t>11,9</t>
  </si>
  <si>
    <t>Bilirubin-d12</t>
  </si>
  <si>
    <t>Bilirubin-d15</t>
  </si>
  <si>
    <t>Bilirubin-d20</t>
  </si>
  <si>
    <t>Cholinesterase-d1 (U/l)</t>
  </si>
  <si>
    <t>Cholinesterase-d4</t>
  </si>
  <si>
    <t>Cholinesterase-d5</t>
  </si>
  <si>
    <t>Cholinesterase-d6</t>
  </si>
  <si>
    <t>Cholinesterase-d9</t>
  </si>
  <si>
    <t>Cholinesterase-d11</t>
  </si>
  <si>
    <t>Cholinesterase-d15</t>
  </si>
  <si>
    <t>Ck-d2</t>
  </si>
  <si>
    <t>Ck-d6</t>
  </si>
  <si>
    <t>Ck-d7</t>
  </si>
  <si>
    <t>Ck-d8</t>
  </si>
  <si>
    <t>Ck-d10</t>
  </si>
  <si>
    <t>GGT-d1 (u\l)</t>
  </si>
  <si>
    <t>GGT-d8</t>
  </si>
  <si>
    <t>GGT-d9</t>
  </si>
  <si>
    <t>GGT-d14</t>
  </si>
  <si>
    <t>GGT-d15</t>
  </si>
  <si>
    <t>GGT-d16</t>
  </si>
  <si>
    <t>GGT-d17</t>
  </si>
  <si>
    <t>GGT-d18</t>
  </si>
  <si>
    <t>GGT-d20</t>
  </si>
  <si>
    <t>GGT-d19</t>
  </si>
  <si>
    <t>GGT-d28</t>
  </si>
  <si>
    <t>GGT-d13</t>
  </si>
  <si>
    <t>GGT-d35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</si>
  <si>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</si>
  <si>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</si>
  <si>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</si>
  <si>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</si>
  <si>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</si>
  <si>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</si>
  <si>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</si>
  <si>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</si>
  <si>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</si>
  <si>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</si>
  <si>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LDH-d29</t>
  </si>
  <si>
    <t>PTT-d7</t>
  </si>
  <si>
    <t>PTT-d8</t>
  </si>
  <si>
    <t>PTT-d9</t>
  </si>
  <si>
    <t>PTT-d10</t>
  </si>
  <si>
    <t>GOT-d9</t>
  </si>
  <si>
    <t>GOT-d10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</si>
  <si>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</si>
  <si>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</si>
  <si>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</si>
  <si>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</si>
  <si>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</si>
  <si>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</si>
  <si>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</si>
  <si>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</si>
  <si>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</si>
  <si>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</si>
  <si>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GOT-d29</t>
  </si>
  <si>
    <t>GOT-d31</t>
  </si>
  <si>
    <t>GOT-d36</t>
  </si>
  <si>
    <t>GOT-d39</t>
  </si>
  <si>
    <t>GOT-d32</t>
  </si>
  <si>
    <t>GPT-d9</t>
  </si>
  <si>
    <t>GPT-d10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</si>
  <si>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</si>
  <si>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</si>
  <si>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</si>
  <si>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</si>
  <si>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</si>
  <si>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</si>
  <si>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</si>
  <si>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</si>
  <si>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</si>
  <si>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</si>
  <si>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GPT-d29</t>
  </si>
  <si>
    <t>GPT-d31</t>
  </si>
  <si>
    <t>GPT-d32</t>
  </si>
  <si>
    <t>GPT-d36</t>
  </si>
  <si>
    <t>GPT-d39</t>
  </si>
  <si>
    <t>Kreatinin-d1 (mikromol/l)</t>
  </si>
  <si>
    <t>29,9</t>
  </si>
  <si>
    <t>5,41</t>
  </si>
  <si>
    <t>10,73</t>
  </si>
  <si>
    <t xml:space="preserve">INR-d1 </t>
  </si>
  <si>
    <t>Amylase-d1 (U/l)</t>
  </si>
  <si>
    <t>GOT-d3</t>
  </si>
  <si>
    <t>GPT-d3</t>
  </si>
  <si>
    <t>AP-d3</t>
  </si>
  <si>
    <t>GGT-d3</t>
  </si>
  <si>
    <t>INR-d3</t>
  </si>
  <si>
    <t>Kreatinin-d5</t>
  </si>
  <si>
    <t>GOT-d5</t>
  </si>
  <si>
    <t>GPT-d5</t>
  </si>
  <si>
    <t>AP-d5</t>
  </si>
  <si>
    <t>GGT-d5</t>
  </si>
  <si>
    <t>Kreatinin-d7</t>
  </si>
  <si>
    <t>GOT-d7</t>
  </si>
  <si>
    <t>GPT-d7</t>
  </si>
  <si>
    <t>Crp-d1 (mg/l)</t>
  </si>
  <si>
    <t>PTZ-d1 (%)</t>
  </si>
  <si>
    <t>AP-d7</t>
  </si>
  <si>
    <t>GGT-d7</t>
  </si>
  <si>
    <t>PTZ-d7</t>
  </si>
  <si>
    <t>Kreatinin-d8</t>
  </si>
  <si>
    <t>GOT-d8</t>
  </si>
  <si>
    <t>GPT-d8</t>
  </si>
  <si>
    <t>Billirubin-d8</t>
  </si>
  <si>
    <t>Fibrinogen-d8</t>
  </si>
  <si>
    <t>Kreatinin-d27</t>
  </si>
  <si>
    <t>Harnstoff-d1 (mmol/l)</t>
  </si>
  <si>
    <t>GOT-d27</t>
  </si>
  <si>
    <t>GPT-d27</t>
  </si>
  <si>
    <t>Billirubin-d27</t>
  </si>
  <si>
    <t>Billirubin-d3</t>
  </si>
  <si>
    <t>AP-d27</t>
  </si>
  <si>
    <t>GGT-d27</t>
  </si>
  <si>
    <t>PTZ-d27</t>
  </si>
  <si>
    <t>Billirubin-d28</t>
  </si>
  <si>
    <t>GOT-d28</t>
  </si>
  <si>
    <t>GPT-d28</t>
  </si>
  <si>
    <t>Amylase-d2</t>
  </si>
  <si>
    <t>Bilirubin-d39</t>
  </si>
  <si>
    <t>Leukozyten-d2</t>
  </si>
  <si>
    <t>Thrombozyten-d1 (GPT/l)</t>
  </si>
  <si>
    <t>7,4</t>
  </si>
  <si>
    <t>NH3-d1</t>
  </si>
  <si>
    <t>44,4</t>
  </si>
  <si>
    <t>3,3</t>
  </si>
  <si>
    <t>GOT-d11</t>
  </si>
  <si>
    <t>GPT-d11</t>
  </si>
  <si>
    <t>LDH-d11</t>
  </si>
  <si>
    <t>GGT-d12</t>
  </si>
  <si>
    <t>GGT-d21</t>
  </si>
  <si>
    <t>GGT-d26</t>
  </si>
  <si>
    <t>GOT-d12</t>
  </si>
  <si>
    <t>GOT-d26</t>
  </si>
  <si>
    <t>GPT-d12</t>
  </si>
  <si>
    <t>GPT-d26</t>
  </si>
  <si>
    <t>GGT-d40</t>
  </si>
  <si>
    <t>GGT-d54</t>
  </si>
  <si>
    <t>GOT-d40</t>
  </si>
  <si>
    <t>GOT-d54</t>
  </si>
  <si>
    <t>GPT-d40</t>
  </si>
  <si>
    <t>GPT-d54</t>
  </si>
  <si>
    <t>PLT-d1 /mikrol</t>
  </si>
  <si>
    <t>378 000</t>
  </si>
  <si>
    <t>BSG-d1 (mm/h)</t>
  </si>
  <si>
    <t>Monozyten (%)</t>
  </si>
  <si>
    <t>Eosinophile Granuloyzten (%)</t>
  </si>
  <si>
    <t>21,9</t>
  </si>
  <si>
    <t>GLDH- Verlauf</t>
  </si>
  <si>
    <t>7,8</t>
  </si>
  <si>
    <t>75,68</t>
  </si>
  <si>
    <t>alpha-1-G-d1 (%)</t>
  </si>
  <si>
    <t>alpha-2-G-d1 (%)</t>
  </si>
  <si>
    <t>beta-G-d1 (%)</t>
  </si>
  <si>
    <t>1,8</t>
  </si>
  <si>
    <t>5,5</t>
  </si>
  <si>
    <t>8,3</t>
  </si>
  <si>
    <t>gamma-G-d1 (%)</t>
  </si>
  <si>
    <t>12,0</t>
  </si>
  <si>
    <t>12,7</t>
  </si>
  <si>
    <t>1,41</t>
  </si>
  <si>
    <t>104,2</t>
  </si>
  <si>
    <t>Billirubin-d5</t>
  </si>
  <si>
    <t>70,55</t>
  </si>
  <si>
    <t>61,6</t>
  </si>
  <si>
    <t>26,4</t>
  </si>
  <si>
    <t>Harnsaure-d1 (mg/dl)</t>
  </si>
  <si>
    <t>3,1</t>
  </si>
  <si>
    <t>.</t>
  </si>
  <si>
    <t>20,7</t>
  </si>
  <si>
    <t>&gt;3000</t>
  </si>
  <si>
    <t>Muskelkraempfe</t>
  </si>
  <si>
    <t>193,6</t>
  </si>
  <si>
    <t>6,7</t>
  </si>
  <si>
    <t>0,6 mg/dl</t>
  </si>
  <si>
    <t>13,8</t>
  </si>
  <si>
    <t>Albumin-d3</t>
  </si>
  <si>
    <t>Harnstoff-d3</t>
  </si>
  <si>
    <t>Kreatinin-d3</t>
  </si>
  <si>
    <t>149,6</t>
  </si>
  <si>
    <t>1,2</t>
  </si>
  <si>
    <t>Leukozyten-d3</t>
  </si>
  <si>
    <t>Albumin-d4</t>
  </si>
  <si>
    <t>Harnstoff-d4</t>
  </si>
  <si>
    <t>Kreatinin-d4</t>
  </si>
  <si>
    <t>Billirubin-d4</t>
  </si>
  <si>
    <t>Quick-d4</t>
  </si>
  <si>
    <t>INR-d4</t>
  </si>
  <si>
    <t>1,1</t>
  </si>
  <si>
    <t>PTT-d4</t>
  </si>
  <si>
    <t>Fibrinogen-d3</t>
  </si>
  <si>
    <t>Fibrinogen-d4</t>
  </si>
  <si>
    <t>Leukozyten-d4</t>
  </si>
  <si>
    <t>Thrombozyten-d3</t>
  </si>
  <si>
    <t>Thrombozyten-d4</t>
  </si>
  <si>
    <t>Harnstoff-d5</t>
  </si>
  <si>
    <t>184,8</t>
  </si>
  <si>
    <t>6,4</t>
  </si>
  <si>
    <t>Harnsaure-d5</t>
  </si>
  <si>
    <t>Crp-d5</t>
  </si>
  <si>
    <t>228,2</t>
  </si>
  <si>
    <t>Thrombozyten-d5</t>
  </si>
  <si>
    <t>Harnstoff-d7</t>
  </si>
  <si>
    <t>Harnsaure-d7</t>
  </si>
  <si>
    <t>Thrombozyten-d7</t>
  </si>
  <si>
    <t>Crp-d7</t>
  </si>
  <si>
    <t>155,8</t>
  </si>
  <si>
    <t>Leukozyten-d7</t>
  </si>
  <si>
    <t>Kreatinin-d11</t>
  </si>
  <si>
    <t>Quick-d12</t>
  </si>
  <si>
    <t>PTT-d12</t>
  </si>
  <si>
    <t>INR-d12</t>
  </si>
  <si>
    <t>3,4</t>
  </si>
  <si>
    <t>Fibrinogen-d12</t>
  </si>
  <si>
    <t>Harnstoff-d13</t>
  </si>
  <si>
    <t>Kreatinin-d13</t>
  </si>
  <si>
    <t>96,8</t>
  </si>
  <si>
    <t>Harnsaure-d14</t>
  </si>
  <si>
    <t>4,4</t>
  </si>
  <si>
    <t>GOT-d13</t>
  </si>
  <si>
    <t>GPT-d13</t>
  </si>
  <si>
    <t>LDH-d13</t>
  </si>
  <si>
    <t>Ck-d13</t>
  </si>
  <si>
    <t>4,56 KU/L</t>
  </si>
  <si>
    <t>Quick-d13</t>
  </si>
  <si>
    <t>PTT-d13</t>
  </si>
  <si>
    <t>Fibrinogen-d13</t>
  </si>
  <si>
    <t>INR-d13</t>
  </si>
  <si>
    <t>1,4</t>
  </si>
  <si>
    <t>Thrombozyten-d13</t>
  </si>
  <si>
    <t>CRP-d13</t>
  </si>
  <si>
    <t>63,7</t>
  </si>
  <si>
    <t>Leukozyten-d13</t>
  </si>
  <si>
    <t>Harnstoff-d14</t>
  </si>
  <si>
    <t>17mg/dl</t>
  </si>
  <si>
    <t>Thrombozyten-d14</t>
  </si>
  <si>
    <t>Kreatinin-d14</t>
  </si>
  <si>
    <t>Harnsaure-d13</t>
  </si>
  <si>
    <t>4,9</t>
  </si>
  <si>
    <t>Cholinesterase-d13</t>
  </si>
  <si>
    <t>Bilirubin-d14</t>
  </si>
  <si>
    <t>Ck-d14</t>
  </si>
  <si>
    <t>AP-d14</t>
  </si>
  <si>
    <t>Quick-d14</t>
  </si>
  <si>
    <t>INR-d14</t>
  </si>
  <si>
    <t>Fibrinogen-d14</t>
  </si>
  <si>
    <t>PTT-d14</t>
  </si>
  <si>
    <t>Leukozyten-d14</t>
  </si>
  <si>
    <t>CRP-d14</t>
  </si>
  <si>
    <t>45,4</t>
  </si>
  <si>
    <t>Quick-d20</t>
  </si>
  <si>
    <t>3,9</t>
  </si>
  <si>
    <t>9,6</t>
  </si>
  <si>
    <t>11,8</t>
  </si>
  <si>
    <t>18,4</t>
  </si>
  <si>
    <t>2,1</t>
  </si>
  <si>
    <t>31,5</t>
  </si>
  <si>
    <t>1,0</t>
  </si>
  <si>
    <t>GPT-d2</t>
  </si>
  <si>
    <t>GGT-d2</t>
  </si>
  <si>
    <t>LDH-d2</t>
  </si>
  <si>
    <t>7,3</t>
  </si>
  <si>
    <t>Lipase-d3</t>
  </si>
  <si>
    <t>GLDH-d3</t>
  </si>
  <si>
    <t>0,9</t>
  </si>
  <si>
    <t>Cholinesterase-d3</t>
  </si>
  <si>
    <t>LDH-d3</t>
  </si>
  <si>
    <t>Lipase-d7</t>
  </si>
  <si>
    <t>Cholinesterase-d7</t>
  </si>
  <si>
    <t>LDH-d7</t>
  </si>
  <si>
    <t>2,0</t>
  </si>
  <si>
    <t>Amylase-d14</t>
  </si>
  <si>
    <t>Lipase-d14</t>
  </si>
  <si>
    <t>GLDH-d14</t>
  </si>
  <si>
    <t>&lt;50</t>
  </si>
  <si>
    <t>0,94</t>
  </si>
  <si>
    <t>Quick-d8</t>
  </si>
  <si>
    <t>GOT-d2</t>
  </si>
  <si>
    <t>Lymphozyten-d2</t>
  </si>
  <si>
    <t>AP-d10</t>
  </si>
  <si>
    <t>AP-d21</t>
  </si>
  <si>
    <t>AP-d23</t>
  </si>
  <si>
    <t>Ap-d25</t>
  </si>
  <si>
    <t>AP-d29</t>
  </si>
  <si>
    <t>AP-d31</t>
  </si>
  <si>
    <t>Ap-d36</t>
  </si>
  <si>
    <t>AP-d39</t>
  </si>
  <si>
    <t>AP Therapieende</t>
  </si>
  <si>
    <t>Bilirubin-d19</t>
  </si>
  <si>
    <t>Bilirubin-d23</t>
  </si>
  <si>
    <t>Bilirubin-25</t>
  </si>
  <si>
    <t>Bilirubin-d31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</si>
  <si>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</si>
  <si>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</si>
  <si>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</si>
  <si>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</si>
  <si>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</si>
  <si>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</si>
  <si>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Ck-d15</t>
  </si>
  <si>
    <t>Ck-d19</t>
  </si>
  <si>
    <t>Ck-d20</t>
  </si>
  <si>
    <t>Ck-d21</t>
  </si>
  <si>
    <t>Ck-d23</t>
  </si>
  <si>
    <t>GGT-d10</t>
  </si>
  <si>
    <t>GGT-d23</t>
  </si>
  <si>
    <t>GGT-d25</t>
  </si>
  <si>
    <t>GGT-d29</t>
  </si>
  <si>
    <t>GGT-d31</t>
  </si>
  <si>
    <t>GGT-d36</t>
  </si>
  <si>
    <t>GGT-d39</t>
  </si>
  <si>
    <t>GGT-Verlauf/Therapieende</t>
  </si>
  <si>
    <t>PTT-d18</t>
  </si>
  <si>
    <t>PTT-d20</t>
  </si>
  <si>
    <t>PTT-d23</t>
  </si>
  <si>
    <t>PTT-d25</t>
  </si>
  <si>
    <t>PTT-d29</t>
  </si>
  <si>
    <t>GOT Therapieende</t>
  </si>
  <si>
    <t>GPT-Therapieende</t>
  </si>
  <si>
    <t>Quick-d18</t>
  </si>
  <si>
    <t>Quick-23</t>
  </si>
  <si>
    <t>Quick-25</t>
  </si>
  <si>
    <t>Quick-29</t>
  </si>
  <si>
    <t>PTT-d27</t>
  </si>
  <si>
    <t>AT III-d7</t>
  </si>
  <si>
    <t>Bilirubin-d7</t>
  </si>
  <si>
    <t>Amylase-d28</t>
  </si>
  <si>
    <t>Lipase-d28</t>
  </si>
  <si>
    <t>0,84 Einheit ?</t>
  </si>
  <si>
    <t>Crp-d3</t>
  </si>
  <si>
    <t>PTZ-d5</t>
  </si>
  <si>
    <t>PTZ-d8</t>
  </si>
  <si>
    <t>Fibrinogen-d7</t>
  </si>
  <si>
    <t>Harnstoff-d27</t>
  </si>
  <si>
    <t>12000/mikrol</t>
  </si>
  <si>
    <t>9000/mikrol</t>
  </si>
  <si>
    <t>48/55</t>
  </si>
  <si>
    <t>&gt;700mikromol/l</t>
  </si>
  <si>
    <t>140 x erhöht</t>
  </si>
  <si>
    <t>At III-d13</t>
  </si>
  <si>
    <t>INR-d20</t>
  </si>
  <si>
    <t>Amylase-d20</t>
  </si>
  <si>
    <t>Lipase-d20</t>
  </si>
  <si>
    <t>Thrombozyten-d20</t>
  </si>
  <si>
    <t>Laktat-d3</t>
  </si>
  <si>
    <t>Laktat-d4</t>
  </si>
  <si>
    <t>Leukozyten-d20</t>
  </si>
  <si>
    <t>GGT-m7</t>
  </si>
  <si>
    <t>Bilirubin-m7</t>
  </si>
  <si>
    <t>GLDH-d2</t>
  </si>
  <si>
    <t>334 nmol/ls</t>
  </si>
  <si>
    <t>Cholinesterase-d2</t>
  </si>
  <si>
    <t xml:space="preserve">105.6 </t>
  </si>
  <si>
    <t>79.2</t>
  </si>
  <si>
    <t>GGT-d32</t>
  </si>
  <si>
    <t>Billirubin-d32</t>
  </si>
  <si>
    <t>Ap-d32</t>
  </si>
  <si>
    <t>Ap-d35</t>
  </si>
  <si>
    <t>Ap-d38</t>
  </si>
  <si>
    <t>Ap-d40</t>
  </si>
  <si>
    <t>GOT-d35</t>
  </si>
  <si>
    <t>GPT-d35</t>
  </si>
  <si>
    <t>LDH-d35</t>
  </si>
  <si>
    <t>Billirubin-d35</t>
  </si>
  <si>
    <t>GOT-d37</t>
  </si>
  <si>
    <t>GPT-d37</t>
  </si>
  <si>
    <t>GGT-d37</t>
  </si>
  <si>
    <t>Billirubin-d37</t>
  </si>
  <si>
    <t>Amylase-d37</t>
  </si>
  <si>
    <t>146 einheit?</t>
  </si>
  <si>
    <t>Billirubin-d38</t>
  </si>
  <si>
    <t>LDH-d38</t>
  </si>
  <si>
    <t>GOT-d38</t>
  </si>
  <si>
    <t>GPT-d38</t>
  </si>
  <si>
    <t>GGT-d38</t>
  </si>
  <si>
    <t>INR-d38</t>
  </si>
  <si>
    <t>228.82</t>
  </si>
  <si>
    <t>LDH-d39</t>
  </si>
  <si>
    <t>LDH-d40</t>
  </si>
  <si>
    <t>Billirubin-d40</t>
  </si>
  <si>
    <t xml:space="preserve">244.12 </t>
  </si>
  <si>
    <t>Kreatinin-d40</t>
  </si>
  <si>
    <t>216.48</t>
  </si>
  <si>
    <t>GGT-d42</t>
  </si>
  <si>
    <t>Bilirubin-d42</t>
  </si>
  <si>
    <t xml:space="preserve">469.88 </t>
  </si>
  <si>
    <t>LDH-d5</t>
  </si>
  <si>
    <t>LDH-d8</t>
  </si>
  <si>
    <t xml:space="preserve">Quick-d2 </t>
  </si>
  <si>
    <t>PTT-d2</t>
  </si>
  <si>
    <t>Fibrinogen-d2</t>
  </si>
  <si>
    <t>ATIII-d2</t>
  </si>
  <si>
    <t>Leukozyten-d6</t>
  </si>
  <si>
    <t>GPT-d6</t>
  </si>
  <si>
    <t>GGT-d6</t>
  </si>
  <si>
    <t>Billirubin-d6</t>
  </si>
  <si>
    <t>Billirubin-d9</t>
  </si>
  <si>
    <t>Ap-d6</t>
  </si>
  <si>
    <t>Kreatinin-d2</t>
  </si>
  <si>
    <t>Kreatinin-d9</t>
  </si>
  <si>
    <t>Crp-d2</t>
  </si>
  <si>
    <t>Crp-d6</t>
  </si>
  <si>
    <t>Crp-d9</t>
  </si>
  <si>
    <t>Thrombozyten-d2</t>
  </si>
  <si>
    <t>Thrombozyten-d9</t>
  </si>
  <si>
    <t>411 GPT/L</t>
  </si>
  <si>
    <t>INR-d2</t>
  </si>
  <si>
    <t>INR-d6</t>
  </si>
  <si>
    <t>&gt; 100</t>
  </si>
  <si>
    <t xml:space="preserve">&gt;115 </t>
  </si>
  <si>
    <t>PTT-d15</t>
  </si>
  <si>
    <t>Leukozyten-d8</t>
  </si>
  <si>
    <t>Leukozyten-d19</t>
  </si>
  <si>
    <t>Ap-d12</t>
  </si>
  <si>
    <t>Kreatin-d19</t>
  </si>
  <si>
    <t>Lipase-d2</t>
  </si>
  <si>
    <t>Crp-d8</t>
  </si>
  <si>
    <t>Thrombozyten-d8</t>
  </si>
  <si>
    <t>385^9/L</t>
  </si>
  <si>
    <t>Ck-m20d28</t>
  </si>
  <si>
    <t>Ck-m21/2</t>
  </si>
  <si>
    <t>&gt;100</t>
  </si>
  <si>
    <t>Quick-m20d28</t>
  </si>
  <si>
    <t>PTT-m20d28</t>
  </si>
  <si>
    <t>GOT-m20d28</t>
  </si>
  <si>
    <t>GOT-m21d1</t>
  </si>
  <si>
    <t>GOT-m21d2</t>
  </si>
  <si>
    <t>GOTm21/d5</t>
  </si>
  <si>
    <t>GOTm21/d9</t>
  </si>
  <si>
    <t>GPT-m20d28</t>
  </si>
  <si>
    <t>GPT-m21/d1</t>
  </si>
  <si>
    <t>GPTm21d2</t>
  </si>
  <si>
    <t>GPTm21d9</t>
  </si>
  <si>
    <t>GPTm21d5</t>
  </si>
  <si>
    <t>GGT-m20d28</t>
  </si>
  <si>
    <t>GGTm21d1</t>
  </si>
  <si>
    <t>GGTm21d2</t>
  </si>
  <si>
    <t>GGTm21d5</t>
  </si>
  <si>
    <t>GGTm21d9</t>
  </si>
  <si>
    <t>LDH-m20d28</t>
  </si>
  <si>
    <t>LDH-m21d2</t>
  </si>
  <si>
    <t>LDH-m21d9</t>
  </si>
  <si>
    <t>Lymphozyten-m20d28</t>
  </si>
  <si>
    <t>Lymphozyten-m21d2</t>
  </si>
  <si>
    <t>Bilirubin-m21d1</t>
  </si>
  <si>
    <t>Bilirubin-m21d2</t>
  </si>
  <si>
    <t>Bilirubin-m21d5</t>
  </si>
  <si>
    <t>Ap-m20d28</t>
  </si>
  <si>
    <t>Ap-m21d1</t>
  </si>
  <si>
    <t>Ap-m21d2</t>
  </si>
  <si>
    <t>Ap-m21d5</t>
  </si>
  <si>
    <t>Ap-m21d9</t>
  </si>
  <si>
    <t>Kreatinin-m20d28</t>
  </si>
  <si>
    <t>CRP-m20d28</t>
  </si>
  <si>
    <t>CRP-m21d1</t>
  </si>
  <si>
    <t>CRP-m21d2</t>
  </si>
  <si>
    <t>532 10^9/L</t>
  </si>
  <si>
    <t>312 10^9/L</t>
  </si>
  <si>
    <t>371 10^9/L</t>
  </si>
  <si>
    <t>&gt; 440</t>
  </si>
  <si>
    <t>Ck-d4</t>
  </si>
  <si>
    <t>GOT-d4</t>
  </si>
  <si>
    <t>GPT-d4</t>
  </si>
  <si>
    <t>GGT-d4</t>
  </si>
  <si>
    <t>LDH-d4</t>
  </si>
  <si>
    <t>Ap-d4</t>
  </si>
  <si>
    <t>&gt;440</t>
  </si>
  <si>
    <t>&gt;120</t>
  </si>
  <si>
    <t>Quick-d7</t>
  </si>
  <si>
    <t>INR-d7</t>
  </si>
  <si>
    <t>Amylase-d3</t>
  </si>
  <si>
    <t>Amylase-d7</t>
  </si>
  <si>
    <t>Cholesterin-d3</t>
  </si>
  <si>
    <t>Cholesterin-d7</t>
  </si>
  <si>
    <t>Triacylglyceride-d14 (mmol/l)</t>
  </si>
  <si>
    <t>Triacylgylceride-d7</t>
  </si>
  <si>
    <t>&lt;3000</t>
  </si>
  <si>
    <t>&gt;2000</t>
  </si>
  <si>
    <t>Laktat-d7</t>
  </si>
  <si>
    <t>&gt; 100 mikrog/dl</t>
  </si>
  <si>
    <t>NH3-d7</t>
  </si>
  <si>
    <t>&gt;150 mikrog/dl</t>
  </si>
  <si>
    <t>Quick-d5</t>
  </si>
  <si>
    <t>PTT-d5</t>
  </si>
  <si>
    <t>ATII-d5</t>
  </si>
  <si>
    <t>ATIII-d6</t>
  </si>
  <si>
    <t>GOT-d6</t>
  </si>
  <si>
    <t>Kreatinin-d6</t>
  </si>
  <si>
    <t>Amylase-d4</t>
  </si>
  <si>
    <t>Thrombozyten-d6</t>
  </si>
  <si>
    <t>20,3 g/l</t>
  </si>
  <si>
    <t>Cholesterin-d4</t>
  </si>
  <si>
    <t>59 U/L</t>
  </si>
  <si>
    <t>Triacylglyceride-d4</t>
  </si>
  <si>
    <t>Quick-d9</t>
  </si>
  <si>
    <t>Quick-d11</t>
  </si>
  <si>
    <t>Quick-d15</t>
  </si>
  <si>
    <t>PTT-d11</t>
  </si>
  <si>
    <t>Leukozyten-d9</t>
  </si>
  <si>
    <t>Leukozyten-d11</t>
  </si>
  <si>
    <t>Leukozyten-d12</t>
  </si>
  <si>
    <t>GGT-d11</t>
  </si>
  <si>
    <t>Billirubin-d11</t>
  </si>
  <si>
    <t>Ap-d11</t>
  </si>
  <si>
    <t>INR-d9</t>
  </si>
  <si>
    <t>Harnstoff-d11</t>
  </si>
  <si>
    <t>Thrombozyten-d15</t>
  </si>
  <si>
    <t>INR-d15</t>
  </si>
  <si>
    <t>&lt;130</t>
  </si>
  <si>
    <t>618 GPT/L</t>
  </si>
  <si>
    <t>GOT-d42</t>
  </si>
  <si>
    <t>GPT-d42</t>
  </si>
  <si>
    <t>315 Einheit?</t>
  </si>
  <si>
    <t>CRP-d16</t>
  </si>
  <si>
    <t>100 Einheit?</t>
  </si>
  <si>
    <t>3,95 Einheit?</t>
  </si>
  <si>
    <t>552 3nmol/ls</t>
  </si>
  <si>
    <t>3,86 3mikromol/ls</t>
  </si>
  <si>
    <t>Albumin-d14</t>
  </si>
  <si>
    <t>220 3nmol/ls</t>
  </si>
  <si>
    <t>GLDH-d13</t>
  </si>
  <si>
    <t>5,94 3mikromol/ls</t>
  </si>
  <si>
    <t>Albumin-d13</t>
  </si>
  <si>
    <t>Billirubin-d10</t>
  </si>
  <si>
    <t>INR-d10</t>
  </si>
  <si>
    <t>67 mikrog/dl</t>
  </si>
  <si>
    <t>Ck-d5</t>
  </si>
  <si>
    <t>Fibrinogen-d5</t>
  </si>
  <si>
    <t>INR-d5</t>
  </si>
  <si>
    <t>&lt; 7</t>
  </si>
  <si>
    <t>&lt; 10</t>
  </si>
  <si>
    <t>Amylase-d5</t>
  </si>
  <si>
    <t>Lipase-d4</t>
  </si>
  <si>
    <t>Lipase-d5</t>
  </si>
  <si>
    <t>&lt;10</t>
  </si>
  <si>
    <t>Crp-d4</t>
  </si>
  <si>
    <t>Harnstoff-d2</t>
  </si>
  <si>
    <t>304 G/L</t>
  </si>
  <si>
    <t>Triacylglyceride-d2</t>
  </si>
  <si>
    <t>Triacylglyceride-d3</t>
  </si>
  <si>
    <t>Triacylglyceride-d5</t>
  </si>
  <si>
    <t>NH3-d4</t>
  </si>
  <si>
    <t>NH3-d5</t>
  </si>
  <si>
    <t>Cholesterin-d8</t>
  </si>
  <si>
    <t>Cholesterin-d14</t>
  </si>
  <si>
    <t>&lt;5</t>
  </si>
  <si>
    <t>LDH-d6</t>
  </si>
  <si>
    <t>Amylase-d6</t>
  </si>
  <si>
    <t>Lipase-d6</t>
  </si>
  <si>
    <t>Harnstoff-d6</t>
  </si>
  <si>
    <t>88 G/L</t>
  </si>
  <si>
    <t>Triacylglyceride-d6</t>
  </si>
  <si>
    <t>34 mikromol/l</t>
  </si>
  <si>
    <t>NH3-d2</t>
  </si>
  <si>
    <t>NH3-d3</t>
  </si>
  <si>
    <t>1,5</t>
  </si>
  <si>
    <t>GLDH-d4</t>
  </si>
  <si>
    <t>GLDH-d6</t>
  </si>
  <si>
    <t>40,3</t>
  </si>
  <si>
    <t>37,7</t>
  </si>
  <si>
    <t>8,4</t>
  </si>
  <si>
    <t>1,62</t>
  </si>
  <si>
    <t>1,12</t>
  </si>
  <si>
    <t>185 g/l</t>
  </si>
  <si>
    <t>20 mikromol/l</t>
  </si>
  <si>
    <t>Albumin-d2</t>
  </si>
  <si>
    <t>31,4</t>
  </si>
  <si>
    <t>33,2</t>
  </si>
  <si>
    <t>40,9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</si>
  <si>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</si>
  <si>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</si>
  <si>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</si>
  <si>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</si>
  <si>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</si>
  <si>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</si>
  <si>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</si>
  <si>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</si>
  <si>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</si>
  <si>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</si>
  <si>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</si>
  <si>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</si>
  <si>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</si>
  <si>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</si>
  <si>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</si>
  <si>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</si>
  <si>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</si>
  <si>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</si>
  <si>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</si>
  <si>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</si>
  <si>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GGT-m4d6</t>
  </si>
  <si>
    <t>GGT-m5d21</t>
  </si>
  <si>
    <t>GGT-m5d26</t>
  </si>
  <si>
    <t>GGT-m5d29</t>
  </si>
  <si>
    <t>GGT-m6d7</t>
  </si>
  <si>
    <t>GGT-m7d16</t>
  </si>
  <si>
    <t>GGT-m10d6</t>
  </si>
  <si>
    <t>GGT-m11d10</t>
  </si>
  <si>
    <t>GGT-m11d30</t>
  </si>
  <si>
    <t>GGT-m6d14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</si>
  <si>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</si>
  <si>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</si>
  <si>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</si>
  <si>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</si>
  <si>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</si>
  <si>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</si>
  <si>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</si>
  <si>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</si>
  <si>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</si>
  <si>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</si>
  <si>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GLDH-m6d7</t>
  </si>
  <si>
    <t>GLDH-m6d14</t>
  </si>
  <si>
    <t>GLDH-m7d16</t>
  </si>
  <si>
    <t>GLDH-m11d10</t>
  </si>
  <si>
    <t>GLDH-m11d30</t>
  </si>
  <si>
    <t>41,8</t>
  </si>
  <si>
    <t>1,7</t>
  </si>
  <si>
    <t>18,3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</si>
  <si>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</si>
  <si>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</si>
  <si>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</si>
  <si>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</si>
  <si>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</si>
  <si>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</si>
  <si>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</si>
  <si>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</si>
  <si>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</si>
  <si>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</si>
  <si>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</si>
  <si>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</si>
  <si>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</si>
  <si>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</si>
  <si>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</si>
  <si>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Tria-m4d6</t>
  </si>
  <si>
    <t>Tria-m7d16</t>
  </si>
  <si>
    <t>Tria-m10d6</t>
  </si>
  <si>
    <t>Tria-m11d10</t>
  </si>
  <si>
    <t>Tria-m11d30</t>
  </si>
  <si>
    <t>Cholesterin-m4d6</t>
  </si>
  <si>
    <t>Cholesterin-m7d16</t>
  </si>
  <si>
    <t>Cholesterin-m10d6</t>
  </si>
  <si>
    <t>Cholesterin-m11d10</t>
  </si>
  <si>
    <t>Cholesterin-m11d30</t>
  </si>
  <si>
    <t>66,5</t>
  </si>
  <si>
    <t>5,42 einheit ?</t>
  </si>
  <si>
    <t>253 Tsd  einheit ?</t>
  </si>
  <si>
    <t>810 mikromol/l</t>
  </si>
  <si>
    <t>ATIII-d3</t>
  </si>
  <si>
    <t>Leukozyten/d17</t>
  </si>
  <si>
    <t>3,0</t>
  </si>
  <si>
    <t>515 einheit?</t>
  </si>
  <si>
    <t>Amylase-d9</t>
  </si>
  <si>
    <t>Amylase-d12</t>
  </si>
  <si>
    <t>273 einheit?</t>
  </si>
  <si>
    <t>&gt;1000</t>
  </si>
  <si>
    <t>892 einheit ?</t>
  </si>
  <si>
    <t>Thrombozyten-d17</t>
  </si>
  <si>
    <t>Thrombozyten-d12</t>
  </si>
  <si>
    <t>90 einheit?</t>
  </si>
  <si>
    <t>24,2</t>
  </si>
  <si>
    <t>Quick-d27</t>
  </si>
  <si>
    <t>Quick-d32</t>
  </si>
  <si>
    <t>PTT-d32</t>
  </si>
  <si>
    <t>AT III-d32</t>
  </si>
  <si>
    <t>AT III-d33</t>
  </si>
  <si>
    <t>Got-d33</t>
  </si>
  <si>
    <t>GPT-d33</t>
  </si>
  <si>
    <t>GGT-d33</t>
  </si>
  <si>
    <t>LDH-d27</t>
  </si>
  <si>
    <t>LDH-d33</t>
  </si>
  <si>
    <t>LDH-d32</t>
  </si>
  <si>
    <t>Kreatinin-d32</t>
  </si>
  <si>
    <t>Kreatinin-d33</t>
  </si>
  <si>
    <t>86 mikromol/l</t>
  </si>
  <si>
    <t>GOT-m2d2</t>
  </si>
  <si>
    <t>GPT-m2d2</t>
  </si>
  <si>
    <t>GGT-m2d2</t>
  </si>
  <si>
    <t>AP-m2d2</t>
  </si>
  <si>
    <t>Ck-d28</t>
  </si>
  <si>
    <t>Ldh-d28</t>
  </si>
  <si>
    <t>Kreatinin-d21</t>
  </si>
  <si>
    <t>Harnstoff-d21</t>
  </si>
  <si>
    <t>Harnstoff-d28</t>
  </si>
  <si>
    <t>Leukozyten-d15</t>
  </si>
  <si>
    <t>Lymphozyten-d8</t>
  </si>
  <si>
    <t>Leukozyten-d16</t>
  </si>
  <si>
    <t>24,7</t>
  </si>
  <si>
    <t>56,47</t>
  </si>
  <si>
    <t>42,4</t>
  </si>
  <si>
    <t>1,33</t>
  </si>
  <si>
    <t>218 einheit?</t>
  </si>
  <si>
    <t>BMI</t>
  </si>
  <si>
    <t>16,7</t>
  </si>
  <si>
    <t>28,9</t>
  </si>
  <si>
    <t>26,1</t>
  </si>
  <si>
    <t>25,8</t>
  </si>
  <si>
    <t>18,8</t>
  </si>
  <si>
    <t>26,6</t>
  </si>
  <si>
    <t>31,2</t>
  </si>
  <si>
    <t>0,059</t>
  </si>
  <si>
    <t>39,9</t>
  </si>
  <si>
    <t>19,2</t>
  </si>
  <si>
    <t>25,4</t>
  </si>
  <si>
    <t>25,3</t>
  </si>
  <si>
    <t>22,4</t>
  </si>
  <si>
    <t>30,5</t>
  </si>
  <si>
    <t>21,2</t>
  </si>
  <si>
    <t>31,8</t>
  </si>
  <si>
    <t>19,5</t>
  </si>
  <si>
    <t>23,5</t>
  </si>
  <si>
    <t>37,5</t>
  </si>
  <si>
    <t>21,7</t>
  </si>
  <si>
    <t>20,2</t>
  </si>
  <si>
    <t>31,6</t>
  </si>
  <si>
    <t>17,7</t>
  </si>
  <si>
    <t>22,6</t>
  </si>
  <si>
    <t>21,3</t>
  </si>
  <si>
    <t>29,7</t>
  </si>
  <si>
    <t>20,8</t>
  </si>
  <si>
    <t>19,4</t>
  </si>
  <si>
    <t>21,5</t>
  </si>
  <si>
    <t>25,1</t>
  </si>
  <si>
    <t>29,1</t>
  </si>
  <si>
    <t>26,7</t>
  </si>
  <si>
    <t>26,5</t>
  </si>
  <si>
    <t>19,6</t>
  </si>
  <si>
    <t>Nebendiagnosen</t>
  </si>
  <si>
    <t>Symptome bei Aufnahme</t>
  </si>
  <si>
    <t>Entlassungsmedikation</t>
  </si>
  <si>
    <t>Dauermedikation</t>
  </si>
  <si>
    <t>Paracetamol-Dosis</t>
  </si>
  <si>
    <t>Dauer der Paracetamol Einnahme</t>
  </si>
  <si>
    <t>Paracetamol Start</t>
  </si>
  <si>
    <t>Paracetamol Stop</t>
  </si>
  <si>
    <t>Tarivid, Firin</t>
  </si>
  <si>
    <t>Makrohaematurie</t>
  </si>
  <si>
    <t>7 Tage</t>
  </si>
  <si>
    <t>2 g/d</t>
  </si>
  <si>
    <t>Gerinnungsstörung, haemorrhagische Bullae</t>
  </si>
  <si>
    <t>Harnwegsinfektion</t>
  </si>
  <si>
    <t>akute Gastrointeritis</t>
  </si>
  <si>
    <t>Grunderkrankung</t>
  </si>
  <si>
    <t>Tinnitus</t>
  </si>
  <si>
    <t>Mykoplasmen-Pneumonie</t>
  </si>
  <si>
    <t>Cystitis</t>
  </si>
  <si>
    <t>syst. lupus erythematodes</t>
  </si>
  <si>
    <t>Flecken an Händen, Füßen</t>
  </si>
  <si>
    <t>Erkältung, verschleterung AZ, Bläschen</t>
  </si>
  <si>
    <t>Bläschen, HV an Händen MSH/GSH</t>
  </si>
  <si>
    <t>Cortison, Corticoid</t>
  </si>
  <si>
    <t>Fluimucil,Lindoxyl,Tavanic,Rhinotussal</t>
  </si>
  <si>
    <t>Cortison, Cotrim,Amoxcillin</t>
  </si>
  <si>
    <t>2 x 1 Dosis/Tag</t>
  </si>
  <si>
    <t>Vitamin C, Marcumar</t>
  </si>
  <si>
    <t>16 g</t>
  </si>
  <si>
    <t>verlängerte Gerinnung</t>
  </si>
  <si>
    <t>1 Tag</t>
  </si>
  <si>
    <t>Antidot Gabe /24h später</t>
  </si>
  <si>
    <t>Diclofenac,Tramal,Gelomyrtol</t>
  </si>
  <si>
    <t>Toxischer Leberzellschaden</t>
  </si>
  <si>
    <t>1,5 g/Tag</t>
  </si>
  <si>
    <t>1,5 g/ Tag</t>
  </si>
  <si>
    <t>Leberwerte veraendert, nicht infektiöse Hepatitis</t>
  </si>
  <si>
    <t>Miller-Fisher-Syndrom</t>
  </si>
  <si>
    <t>Chephalgie</t>
  </si>
  <si>
    <t>12 Tage</t>
  </si>
  <si>
    <t>A-HBC pos, Anti HAV pos</t>
  </si>
  <si>
    <t>Polyglobin,Urbason,Thyronajod,Bisobloc, Ranitidin</t>
  </si>
  <si>
    <t>Radiusfraktur</t>
  </si>
  <si>
    <t>3g/Tag</t>
  </si>
  <si>
    <t>Leberwerte veraendert,Bluthochdruck</t>
  </si>
  <si>
    <t>Ciprobay,Optociliin,Jonosteril,Tramal Long,Antra Mups,Vioxx,Tramadol,Omeprazol,Rofecoxib,Hydergintropfen,Calcitonin-Nasentropfen,Ciprofloxaicn,Dikaliumclorazepat,Metamizol,Flurazepam</t>
  </si>
  <si>
    <t>unknown/21.3.2000</t>
  </si>
  <si>
    <t>unknown/5.4.2000</t>
  </si>
  <si>
    <t>unknown/15 Tage</t>
  </si>
  <si>
    <t>3g/Tag /1,5 g</t>
  </si>
  <si>
    <t>500 mg</t>
  </si>
  <si>
    <t>Isoptin, Renacor,Spalt, Digitoxin,Loftan,Prednisolon</t>
  </si>
  <si>
    <t>Leberwerte veraendert, Leberzellschädigung, Cholestase, Ikterus, Hepatomegalie, Einzelzellnekrosen, Cholangitis</t>
  </si>
  <si>
    <t>Starke Durstgefühl, Übelkeit, Erbrechen, Kopfweh</t>
  </si>
  <si>
    <t>Bronchitis chronisch obstruktiv,Stoffwechseldefekte, Paracetamol Missbrauch</t>
  </si>
  <si>
    <t>Cholecystitis, Diabetes Mellitus,Herz-Krankheit chronische onA ischiämische,arterielle Hypertonie, Hexenschuss</t>
  </si>
  <si>
    <t>Zusätzliche Medikation</t>
  </si>
  <si>
    <t>Astrozytom Grad III</t>
  </si>
  <si>
    <t>orale Erosionen, Bläschen</t>
  </si>
  <si>
    <t>Hepatitis C, Gastroentiritis</t>
  </si>
  <si>
    <t>01.09.1999/25.09.1999</t>
  </si>
  <si>
    <t>1 Tag/1Tag</t>
  </si>
  <si>
    <t>1*1 Tbsp/ 1x</t>
  </si>
  <si>
    <t>Bepanthen, Phenydan,Remestan</t>
  </si>
  <si>
    <t>Leukämie,refraktäre Anämie</t>
  </si>
  <si>
    <t>Exanthem, Blasen</t>
  </si>
  <si>
    <t>Erkältung und Otitis</t>
  </si>
  <si>
    <t>Acetylsalicylsäure,...</t>
  </si>
  <si>
    <t>2 Tage</t>
  </si>
  <si>
    <t>5 DF/Tag</t>
  </si>
  <si>
    <t>1,5g/ 1 Tag, 1,0 g/ 2 Tag</t>
  </si>
  <si>
    <t>Trisonomie 21</t>
  </si>
  <si>
    <t>ASD 1</t>
  </si>
  <si>
    <t>N-Acetylcystein, Antibiose (nach 48h)</t>
  </si>
  <si>
    <t>Erbrechen</t>
  </si>
  <si>
    <t>Zyprexa,Stangyl,Olanzapine,Trimipramine Maleate, Paroxetine</t>
  </si>
  <si>
    <t>Psychiatrische Grunderkrankung</t>
  </si>
  <si>
    <t>20.12.2000/20.1.20001</t>
  </si>
  <si>
    <t>20.12.2000/20.1.2001</t>
  </si>
  <si>
    <t>2g/1g</t>
  </si>
  <si>
    <t>Leberwerte veraendert, nach Reexpoistion am 20.1 erneute Erhöhung Leberwerte</t>
  </si>
  <si>
    <t>Zyprexa, Stangyl abgesetzt, Seroxat Therapie (nach 8 Tagen)</t>
  </si>
  <si>
    <t>Adipositas, Alkohol Missbrauch dadurch Fettleber</t>
  </si>
  <si>
    <t>Fettleberhepatits</t>
  </si>
  <si>
    <t>Fieber, Ikterus,Abgeschlagenheit</t>
  </si>
  <si>
    <t>Adipositas,Diabetes Mellitus (nicht insulinpflichtig), Ascites</t>
  </si>
  <si>
    <t>Lasix, Diuretikabehandlung und Spirunolacton, Konakion Gabe (erhöhter INR)</t>
  </si>
  <si>
    <t>Ten(toxic epidermal necrolysis) mit Schleimhautbeteiligung, Bläschen</t>
  </si>
  <si>
    <t>Tegretal,Novalgin, Carbamezapin (Krampfanfälle)</t>
  </si>
  <si>
    <t>Glukokortikosteriod Gabe, Candio Hermal Suspension,Hydrocortison,Subkutin Lösung,...</t>
  </si>
  <si>
    <t>Krampfanfälle, Hepatitis B</t>
  </si>
  <si>
    <t>reduzierter Ernährungs und Allgemeinzustand, Engmaschige Kontrolle aufgrund Anorexie</t>
  </si>
  <si>
    <t>Anorexie</t>
  </si>
  <si>
    <t>Zyprexa, Efexor, Stilnox, Spasmo-Cibalgin, Dafalgan, Prazine</t>
  </si>
  <si>
    <t>4 Tabletten</t>
  </si>
  <si>
    <t>Absetzen der Medikamente, Tramal Reserve</t>
  </si>
  <si>
    <t>11,5 g</t>
  </si>
  <si>
    <t>Hepatitis, Ikterus</t>
  </si>
  <si>
    <t>Propofol,Midazolam,Enfluran</t>
  </si>
  <si>
    <t>nach Zahnärztlichem Eingriff-Schmerzen?</t>
  </si>
  <si>
    <t>8 Tage</t>
  </si>
  <si>
    <t>2 Tabletten/Tag</t>
  </si>
  <si>
    <t>Hepatopathie, Osteopenie</t>
  </si>
  <si>
    <t>Kraftlos, Schlechter AZ</t>
  </si>
  <si>
    <t>&gt; 1 Jahr</t>
  </si>
  <si>
    <t>Frühjahr 2000</t>
  </si>
  <si>
    <t>Sommer 2001</t>
  </si>
  <si>
    <t>1 g/ Tag</t>
  </si>
  <si>
    <t>toxische Hepatose,Thrombo-Leukopenie,normochrome Anaemie</t>
  </si>
  <si>
    <t>Zwangsstörung</t>
  </si>
  <si>
    <t>enorme Gewichtsreduktion (30kg), früher hoher Alkoholkonsum</t>
  </si>
  <si>
    <t>Fluctin, Aspirin</t>
  </si>
  <si>
    <t>Haemolytische Anaemie,Leberzirrhose, Ikterus</t>
  </si>
  <si>
    <t>&gt; 1g/Tag</t>
  </si>
  <si>
    <t>1,5g</t>
  </si>
  <si>
    <t>4 Tage</t>
  </si>
  <si>
    <t>1,5g/Tag</t>
  </si>
  <si>
    <t>Penicillin, Theophyllin, Codein</t>
  </si>
  <si>
    <t>Ikterus, Erbrechen, Appetitlosigkeit</t>
  </si>
  <si>
    <t>Rocephinbehandlung (keine Verbess.), Tazobac, Acc Gabe (zur Sekretolyse)</t>
  </si>
  <si>
    <t>Rewodina</t>
  </si>
  <si>
    <t>Schwindel, Billirubinerhöhung, AZ beeinträchtigt</t>
  </si>
  <si>
    <t>6g/Tag</t>
  </si>
  <si>
    <t>Unbekannt</t>
  </si>
  <si>
    <t>3/Tag</t>
  </si>
  <si>
    <t>Loratadin</t>
  </si>
  <si>
    <t xml:space="preserve">Loratadin abgesetzt </t>
  </si>
  <si>
    <t>20g</t>
  </si>
  <si>
    <t>innerhalb 12 h</t>
  </si>
  <si>
    <t>Ergenyl,Resimatil,Effortil plus</t>
  </si>
  <si>
    <t>Grand Mal Epilepsie, Oligophrenie</t>
  </si>
  <si>
    <t>Harnwegsinfekt, Angina tonsillaris</t>
  </si>
  <si>
    <t>Leberversagen,Leberkoma, Hirnödem</t>
  </si>
  <si>
    <t>500mg-1g/Tag</t>
  </si>
  <si>
    <t>14.1.2002/16.1.2002</t>
  </si>
  <si>
    <t>1 Tag/ 2 Tage</t>
  </si>
  <si>
    <t>14.1.2002/ 17.01.2002</t>
  </si>
  <si>
    <t>verschlechterte AZ, komatös</t>
  </si>
  <si>
    <t>Lamictal,Clindamycin,Augmentan forte,ASS,Novalgin,Vomex A, MCP Tropfen</t>
  </si>
  <si>
    <t>Lamisil</t>
  </si>
  <si>
    <t>"low dosages"</t>
  </si>
  <si>
    <t>einige Tage</t>
  </si>
  <si>
    <t>Ikterus, Grippe Gefühl</t>
  </si>
  <si>
    <t>Grippe Gefühl/Nasopharyngitis</t>
  </si>
  <si>
    <t>Nierenbeckenenntzündung</t>
  </si>
  <si>
    <t>Neupogen (Stammzellmobilisierung)</t>
  </si>
  <si>
    <t>keine Intervention, 2 Wochen nach Spende normalisiert</t>
  </si>
  <si>
    <t>1g/Tag</t>
  </si>
  <si>
    <t>Fußnagelmykose</t>
  </si>
  <si>
    <t>Lamisil Therapie (Fußnagelnekrose)</t>
  </si>
  <si>
    <t>Ikterus, Hepatitis (A,B,B,E ausgeschlossen)</t>
  </si>
  <si>
    <t>Ludiomil</t>
  </si>
  <si>
    <t>positiver RAST auf Paracetamol</t>
  </si>
  <si>
    <t>4g</t>
  </si>
  <si>
    <t>Kolonkarzinom</t>
  </si>
  <si>
    <t xml:space="preserve">7g </t>
  </si>
  <si>
    <t>Spizef,Clexane</t>
  </si>
  <si>
    <t>Cytomegalie, IGG pos.</t>
  </si>
  <si>
    <t>Erkältung (2003)</t>
  </si>
  <si>
    <t>6 Tage</t>
  </si>
  <si>
    <t>verschlechterter AZ, ikterus</t>
  </si>
  <si>
    <t>Hepatitis B, Appendektomie, Nierenbeckenentzündung (2000)</t>
  </si>
  <si>
    <t>Ursodeoxycholic acid tabletten, Prednisolone, Levocetirizine, Metoclopramide</t>
  </si>
  <si>
    <t>Multiple Sklerose</t>
  </si>
  <si>
    <t>Absetzen der Medikamente, Behandlung mit Prednisolon,Loratadim,betamethason</t>
  </si>
  <si>
    <t>Flupiritin</t>
  </si>
  <si>
    <t>4g/Tag</t>
  </si>
  <si>
    <t>Absetzen der Medikamente,Silymarin und Cholestyramin Gabe</t>
  </si>
  <si>
    <t>Robif,Pantoprazol,Tetrazepam</t>
  </si>
  <si>
    <t>Betaferon,Valette</t>
  </si>
  <si>
    <t>500 mg/Tag</t>
  </si>
  <si>
    <t>Interferon,Proleukin,Fluorouracil,Metoclopramide, Codein</t>
  </si>
  <si>
    <t>Infektion Harntraktes,Klebsiellen Pneumonie, Gastritis, Schlechter AZ</t>
  </si>
  <si>
    <t>Nierenkarzinom, Diabetes Mellitus Typ 2 insulinabhängig, Arterielle Hypertonie, Thrombose, chronische Gastritis</t>
  </si>
  <si>
    <t>Nephrektomie (rechts),Gewichtsverlust, Lungen und Schenkel Metastasen</t>
  </si>
  <si>
    <t>Novalgin Gabe</t>
  </si>
  <si>
    <t>Doxycyclin,Valette</t>
  </si>
  <si>
    <t>Voltaren,Ketek</t>
  </si>
  <si>
    <t>Juckenden Haut, Exanthem</t>
  </si>
  <si>
    <t>Steven Johnson Syndrom, Erhöhte Leberwerte</t>
  </si>
  <si>
    <t>Gliederschmerzen, Arterielle Hypertonie</t>
  </si>
  <si>
    <t>Sigma Resektion</t>
  </si>
  <si>
    <t>Hepatitis A und IGG positiv</t>
  </si>
  <si>
    <t>3Tage</t>
  </si>
  <si>
    <t>Therapie der Blutgerinnung, Absetzen Paracetmol und Cefuroxime</t>
  </si>
  <si>
    <t>Leberversagen, Gerinnungsstörung, Arterielle Hypertonie, Organversagen, Hämothorax</t>
  </si>
  <si>
    <t>Suprane(begleitend zur Anästhesie), Acetylcystein,phytomenadion,valsartan,Diazepam, NFX,Inzolen,Fotassium,Sorbitol,Sodium Chlorid,Intramin,Kylitol,Ranitidine,Ropivacaine,Metronidazol,Briserin, (2004), Cefuroxine (Diverticulitis 1989)</t>
  </si>
  <si>
    <t>Absetzen der Medikamente, MCP Tropfen</t>
  </si>
  <si>
    <t>läppchenzentrale Nekrose</t>
  </si>
  <si>
    <t>Ebrechen, Fieber,Geldfärbung der Augen</t>
  </si>
  <si>
    <t>Ciprofloxacin, Metoclopramide</t>
  </si>
  <si>
    <t>Infusionstherapie, ASS Pause, Clexane, übrige Medikation abgesetzt</t>
  </si>
  <si>
    <t>Diabetes Mellitus</t>
  </si>
  <si>
    <t>Myokardinfarkt</t>
  </si>
  <si>
    <t>Akutes Abdomen</t>
  </si>
  <si>
    <t>ASS, Corvaton Retard, Dilatrend, Isoket</t>
  </si>
  <si>
    <t>3 Tage</t>
  </si>
  <si>
    <t>4,3 g/Tag</t>
  </si>
  <si>
    <t>Leberwerte erhöht, Gerinnungswert erniedrigt</t>
  </si>
  <si>
    <t>Lonarid</t>
  </si>
  <si>
    <t>Alkoholmissbrauch (mehrere L)</t>
  </si>
  <si>
    <t>10g/Tag</t>
  </si>
  <si>
    <t>5g/Tag</t>
  </si>
  <si>
    <t>Delirium</t>
  </si>
  <si>
    <t>nach 16 h</t>
  </si>
  <si>
    <t>1 Tablette</t>
  </si>
  <si>
    <t>Cholezystektomie,Hysterektomie</t>
  </si>
  <si>
    <t>Geröteter Rachen, Schmerzen im Abdomen</t>
  </si>
  <si>
    <t>Gabe von Novaminsulfon und Pantoprazol</t>
  </si>
  <si>
    <t>Pantoprazol 40mg/d</t>
  </si>
  <si>
    <t xml:space="preserve">Absetzen der Medikamente und Gabe von Anitbiotikum </t>
  </si>
  <si>
    <t>Bromhexin,Cefuroxim</t>
  </si>
  <si>
    <t>Verdacht auf Pneumonie</t>
  </si>
  <si>
    <t>Fieber, Husten,Kopfschmerzen</t>
  </si>
  <si>
    <t>1 g</t>
  </si>
  <si>
    <t>Lamotrigine, Trileptal,Cipralex,Folsäure</t>
  </si>
  <si>
    <t>Sediert,Intubatiert, Beatmet, Gabe von Paracetmol,Clonacepam,Refobacin,Zinacef, später anstatt Refo und Zinac Meronem und Plasma Gabe</t>
  </si>
  <si>
    <t>Leberversagen, Hämorrhagie</t>
  </si>
  <si>
    <t>Lebewerte verandert, Cholestase</t>
  </si>
  <si>
    <t>12233581</t>
  </si>
  <si>
    <t>12461026</t>
  </si>
  <si>
    <t>12539722</t>
  </si>
  <si>
    <t>12567806</t>
  </si>
  <si>
    <t>12709523</t>
  </si>
  <si>
    <t>Leberversage</t>
  </si>
  <si>
    <t>Nexium,enahexal,decortin</t>
  </si>
  <si>
    <t>Rheumatische Arthritis, Hypertonus, Gastritis, Lungenfibrose</t>
  </si>
  <si>
    <t>tramal,decortin,xanef</t>
  </si>
  <si>
    <t>Psoriasisarthropathie, arterieller Hypertonus, diab. Stoffwechsel,Basilaristhrombose</t>
  </si>
  <si>
    <t>Absetzen Paracetamol</t>
  </si>
  <si>
    <t>Lithium Acetat/Carbonat</t>
  </si>
  <si>
    <t>Stark vermindertes Bewusstsein,Tremor,Schläfrigkeit</t>
  </si>
  <si>
    <t>5g</t>
  </si>
  <si>
    <t>Niereninsuffizienz aufgrund Medikamentenmissbrauch</t>
  </si>
  <si>
    <t>Leberschaden, Leberinsuffizienz</t>
  </si>
  <si>
    <t>innerhalb 24 h</t>
  </si>
  <si>
    <t>5 g</t>
  </si>
  <si>
    <t>Metamizol</t>
  </si>
  <si>
    <t xml:space="preserve">nach 24 h </t>
  </si>
  <si>
    <t>45g</t>
  </si>
  <si>
    <t>nach 24 h</t>
  </si>
  <si>
    <t>Larynxcarzinom, Herzinsuffizienz, arterieller Hypertonus, COPD</t>
  </si>
  <si>
    <t>2g/tag</t>
  </si>
  <si>
    <t>Dipidolor,amineurin,furesis,isoptin,acc,prednisolon,prothazin,carbostesin,etomidat,sevoran</t>
  </si>
  <si>
    <t>1-2 Wochen</t>
  </si>
  <si>
    <t xml:space="preserve">nach 7-14 Tage </t>
  </si>
  <si>
    <t>Leberschaden, Multi Organ Versagen</t>
  </si>
  <si>
    <t>9g/in 8h</t>
  </si>
  <si>
    <t>nach 24 h, Dialyse</t>
  </si>
  <si>
    <t>20-25g/in 10h</t>
  </si>
  <si>
    <t>Hepatits C aufgrund Alkoholkonsum</t>
  </si>
  <si>
    <t>nach 24h, Dialyse</t>
  </si>
  <si>
    <t>10g</t>
  </si>
  <si>
    <t>nach 3 Tagen</t>
  </si>
  <si>
    <t>nach 24h</t>
  </si>
  <si>
    <t>25g</t>
  </si>
  <si>
    <t>Acetylsalecylsäure</t>
  </si>
  <si>
    <t>8g</t>
  </si>
  <si>
    <t>Diclofenac, Ibuprofen</t>
  </si>
  <si>
    <t>15g</t>
  </si>
  <si>
    <t>nach 5 Tagen</t>
  </si>
  <si>
    <t>Penicillin</t>
  </si>
  <si>
    <t>Leponex/Clozaril,Vomex</t>
  </si>
  <si>
    <t>Acetylcystein, Antibiotikum</t>
  </si>
  <si>
    <t>Unruhe, Tachykardie, Koma, Stupor, Myoklonie, Transaminase Anstieg</t>
  </si>
  <si>
    <t>nach 7-14 Tagen</t>
  </si>
  <si>
    <t>Niereninsuffizienz, Organversagen, Leberfunktionsstörung</t>
  </si>
  <si>
    <t>Phenytoin,Digoxin</t>
  </si>
  <si>
    <t>Niereninsuffizienz, Leberfunktionsstörung</t>
  </si>
  <si>
    <t>nach 1 Tag</t>
  </si>
  <si>
    <t>Coffein,Chlorphenamin</t>
  </si>
  <si>
    <t>Darm karzinom</t>
  </si>
  <si>
    <t>5 Tage</t>
  </si>
  <si>
    <t>Post Operativ Schmerzen</t>
  </si>
  <si>
    <t>Oxygesic,Amlodipin</t>
  </si>
  <si>
    <t>Hypertonie, Struma OP</t>
  </si>
  <si>
    <t>4-6 Wochen</t>
  </si>
  <si>
    <t>2-4 g/Tag</t>
  </si>
  <si>
    <t>Diabetes Mellitus Typ 1</t>
  </si>
  <si>
    <t>Leberversagen, Cholestatische Hepatitis, Ikterus</t>
  </si>
  <si>
    <t>Ibuprofen, Doxycyclin, Dolormin, Amoxicillin, Ciprofloxacin,Clindamycin</t>
  </si>
  <si>
    <t>Otitis Media, Exanthem(durch Amoxcillin), ARDS</t>
  </si>
  <si>
    <t>Acetylcystein, aufgrund ADRS intubiert, Hämofiltration mit MARS</t>
  </si>
  <si>
    <t>geplant: Transplantation</t>
  </si>
  <si>
    <t>Hepatitis mit Tod durch Leberkoma</t>
  </si>
  <si>
    <t>Clinda Saar, Otobacid,Novaminsulfon</t>
  </si>
  <si>
    <t>2-4g/Tag, insg. 3 Packungen</t>
  </si>
  <si>
    <t>Fettleber, Alkoholmissbrauch</t>
  </si>
  <si>
    <t>Transaminasen bis zum 4 Stelligen erhöht, Abdominale und Duodenale OP</t>
  </si>
  <si>
    <t>Absetzen der Medikamente, ACC Gabe, Plasmagabe</t>
  </si>
  <si>
    <t>Norvasc, Vesdil, Nexium, Piritramide</t>
  </si>
  <si>
    <t>Lebertransplantation</t>
  </si>
  <si>
    <t>2 DF</t>
  </si>
  <si>
    <t>Voltaren,Cephalosporine,Sevoran, Mono Embolex,Tranxilium,Remitentanil,Nimbox,Doplantin,Dipidolor, ACC</t>
  </si>
  <si>
    <t>Gabe von ACC</t>
  </si>
  <si>
    <t>Hüft OP</t>
  </si>
  <si>
    <t>Gelbe Augen,Ascited,Dunkler Urin, Gastro Interstinale Probleme, Schläfrigkeit</t>
  </si>
  <si>
    <t>1-2x1g/Tag</t>
  </si>
  <si>
    <t>Sepsis bei Pneumonie, Rheuma,Lyme Borreliose</t>
  </si>
  <si>
    <t>Prostatahyperplasie,Pleuraerguss,ANV,Criticall-Illness-Myopathie,Arzneimittelexanthem,Gingivostomatitis,Pharyngotonsillitis, paroxymales VHS, Raucher</t>
  </si>
  <si>
    <t>Phenylbutazon,Voltaren,Prostagutt,Aspirin,Doxiciclin,Falicard,Digitoxin,Diazepam,Etomaldat,Dormicin,Irenat,Jonosteril,Sufenta,Noradrenalin,Hydrocortison,Antra,Rocephin,Pipril,Kaliumphosphor,Clexane,dobutamin,Beloc,Delix,Movicol,actrapid,Lasix, Nexium, Novasource, AT III,Clinomel, Acidorir, Pyocatanin,Triclosan,</t>
  </si>
  <si>
    <t>Cranoc</t>
  </si>
  <si>
    <t>Adipositis, arterielle Hypertonie</t>
  </si>
  <si>
    <t>Hypercholesterolämie,Post ERCP Pankreatitis mit Niereninsuffizienz</t>
  </si>
  <si>
    <t>ERCP, Antibiotikum Rocephin</t>
  </si>
  <si>
    <t>Moxonidin,Disalunil,Concor 5</t>
  </si>
  <si>
    <t>Tegretal,Lamotrigine</t>
  </si>
  <si>
    <t>Hepatoxische Reaktion, Leberversage</t>
  </si>
  <si>
    <t>nach 1 Woche</t>
  </si>
  <si>
    <t>Darm Op</t>
  </si>
  <si>
    <t>Neugeborenenikterus, Ventrikelseptumdefekt</t>
  </si>
  <si>
    <t>proguanil(malaria prophylaxe),codein,atovaguon</t>
  </si>
  <si>
    <t>Absetzen der Medikamente, ACC Gabe, Inhalation mit Emser</t>
  </si>
  <si>
    <t>Fieber, schlechter AZ</t>
  </si>
  <si>
    <t>Amoxicillin,Roxithromycin</t>
  </si>
  <si>
    <t>500mg/Tag</t>
  </si>
  <si>
    <t>Absetzen der Medikamente, Konakion, Comafusin,E153, HepaMerz,Multibiointa,Albumin, KCL/MCP,Pantozol,Lebertransplantation</t>
  </si>
  <si>
    <t>Leistungsminderung, Druckschmerz, Exanthem, unklare Hepatitis mit Ikterus</t>
  </si>
  <si>
    <t>Leberzirrhose,Ascites, Teilthrombose linke Pfortader,Encephalopathie</t>
  </si>
  <si>
    <t>Amoxypen,Bronchiprat,Cerazette,Doxycyclin,Ferrosanol,Lall J,Syneudon,Voltaren</t>
  </si>
  <si>
    <t>&gt; 1 Monat</t>
  </si>
  <si>
    <t>Avalox</t>
  </si>
  <si>
    <t>Absetzen der Medikamente, Albumin Gabe,Legalon,Eks, Fenistil,Antibiotikum Ciprobay dann Clont,Rocephin,UDC, Konakion</t>
  </si>
  <si>
    <t>Ikterus, Druckschmerzen Leber, Juckreiz, Fieber, Leberzirrhose diagnostiziert</t>
  </si>
  <si>
    <t>akute Cholecysteitis, akutes Leberversagen</t>
  </si>
  <si>
    <t>chronischer Alkoholkonsum</t>
  </si>
  <si>
    <t>Grippostad C, Prednisolon</t>
  </si>
  <si>
    <t>1 g/Tag</t>
  </si>
  <si>
    <t>Exanthem, Fieber, Gelenkschmerz,Muskelschmerz,Schluckstörung</t>
  </si>
  <si>
    <t>Ibuprofen,Penicillin,Ceftraxion,Piperacillin,Clarithromycin,non-steriodiale Antihestaminica und Antirheumatika</t>
  </si>
  <si>
    <t>Tumorlyse Syndrom, Leukämie</t>
  </si>
  <si>
    <t>Hepatosplenomegalie</t>
  </si>
  <si>
    <t>Propofol,Alfenatinil,Dexamethason</t>
  </si>
  <si>
    <t>30g</t>
  </si>
  <si>
    <t>Zienam,Dipidolor</t>
  </si>
  <si>
    <t>Peritonitis,Gastroentiritis</t>
  </si>
  <si>
    <t>Hypokaliämie,mechanischer Ileus,Pangastritis,Meteorismus</t>
  </si>
  <si>
    <t>Icterus, Müdigkeit, Bauchschmerzen</t>
  </si>
  <si>
    <t>Behandlung mit ACC, MARS</t>
  </si>
  <si>
    <t>Peritonitis,Rektumresektion bei Adenocarzinom</t>
  </si>
  <si>
    <t>Leberwerte veraendert, Oedeme, Kopf-Bauchschmerzen</t>
  </si>
  <si>
    <t>1-2g/Tag</t>
  </si>
  <si>
    <t>seit August 2008</t>
  </si>
  <si>
    <t>ca. 16 Tage</t>
  </si>
  <si>
    <t>Myasthenie</t>
  </si>
  <si>
    <t>Faktor V Leiden</t>
  </si>
  <si>
    <t>Remifemin,Mestinon</t>
  </si>
  <si>
    <t>Abestzen Remifemin</t>
  </si>
  <si>
    <t>Schmerzen im Oberbauchbereich</t>
  </si>
  <si>
    <t>Remergil</t>
  </si>
  <si>
    <t>Morbus Parkinson,Gastritis,Lumbago</t>
  </si>
  <si>
    <t>Depression, Angstzustände,LWS/HWS mit degenerativen Veränderungen, Hypotesteronämie</t>
  </si>
  <si>
    <t>Absetzen der Medikamente, Ibuprofen gegen Schmerzen, Ropinirol, Pantozol,Sertalin,Tamsulosin,Enalapril</t>
  </si>
  <si>
    <t>3 g</t>
  </si>
  <si>
    <t>Beckenprellung nach Sturz</t>
  </si>
  <si>
    <t>Diabetes mellitus insulinabhängig</t>
  </si>
  <si>
    <t>Absetzen der Medikamente, Diurese</t>
  </si>
  <si>
    <t>Lasix, Pantozol,...</t>
  </si>
  <si>
    <t>Amoxcillin</t>
  </si>
  <si>
    <t>Exanthem</t>
  </si>
  <si>
    <t>Prednisolon Gabe nach 4 d</t>
  </si>
  <si>
    <t>Patch Test für beide Medikamente postitiv, Prick postitiv fur Amoxicillin</t>
  </si>
  <si>
    <t>Diflucan, Baldrian,Vancomycin,Inostenil,Furosemid,Prednisolon,Clont,Concor,Omniflora,Fraxiparin,Rocephin,Gelositin,Ocutears Lipospray,Kalinor,Digifoxin,Pantozol,Bisoprolol,CaD3</t>
  </si>
  <si>
    <t>2.4.2009/9.4.2009/11.4.2009</t>
  </si>
  <si>
    <t>2.4.2009/9.4.220/11.4.2009</t>
  </si>
  <si>
    <t>1x 1g/Tag, 2x 500mg/Tag</t>
  </si>
  <si>
    <t>Fieber,Hypertonie,Nierenversagen</t>
  </si>
  <si>
    <t>Urosepsis mit CMV Reaktivierung</t>
  </si>
  <si>
    <t>Vegetation im Bereich Mitralklappe,infektiöse Endokarditis, Zyto-Neutropenien-&gt; toxisch geschädigtes RM, Pleuraerguss links,Agranulozytose, Osteoporose,Neurogene Blasenelteerungsstörung,SIRS,Ulcus ventriculi, Vorhofflimmern</t>
  </si>
  <si>
    <t>GCSF Therapie</t>
  </si>
  <si>
    <t>Pantozol,Digimerck,CalciumD3,Decortin,Omniflora, Protein,Fraxiparin</t>
  </si>
  <si>
    <t>Leberversagen, Nierenversagen, Hirnödem, Gerinnungsstörung</t>
  </si>
  <si>
    <t>reduzierter AZ,Abdominalschmerzen</t>
  </si>
  <si>
    <t>9-18 g/ pro 6d</t>
  </si>
  <si>
    <t>Fluimucil, Hämodialyse, ZVK, geplant Lebertransplantation</t>
  </si>
  <si>
    <t>2g/Tag</t>
  </si>
  <si>
    <t>Leberversagen, Cholezystolithiasis</t>
  </si>
  <si>
    <t>Tonsillektomie,Angiomyolipom rechte Niere</t>
  </si>
  <si>
    <t>Ikterus,Übelkeit</t>
  </si>
  <si>
    <t>Ibuprofen</t>
  </si>
  <si>
    <t>7 Wochen</t>
  </si>
  <si>
    <t>Ursodeoxycholsäure</t>
  </si>
  <si>
    <t>Flupiritin,Amitriptylin, Naproxan, Metoprolol</t>
  </si>
  <si>
    <t>Vit K und Acetylcystein, Terlipressin,Antibiotikum</t>
  </si>
  <si>
    <t>Leberwerte veraendert, Exanthem, metabolische Azidose, Lungen-Leberversagen, Verdacht auf Sepsis, Purpura</t>
  </si>
  <si>
    <t>Chronische Schmerzen,Lumboischialgie,degenerativer WS Schaden mit Bandscheibenprotusion,Hypertonie</t>
  </si>
  <si>
    <t>Pantozol,Thyronajod,Votum,Metohexal,HCT,Simvastatin,Novalgin,Fraxiparin,Kalinor,Fentanyl,MCP</t>
  </si>
  <si>
    <t>Re-Reluxation des Atlantoaxialgelenks bei Grisel Syndrom</t>
  </si>
  <si>
    <t>Alkoholmissbrauch</t>
  </si>
  <si>
    <t>Opiatüberhang,Bradypnoe,Zyanose,Viglanzminderung</t>
  </si>
  <si>
    <t>Propofol,Cisatracurium,Fentanyl,Piritramid,Dimenhydrinat,Paracetamol</t>
  </si>
  <si>
    <t>18.40.2012</t>
  </si>
  <si>
    <t>Ruptur vorderes Kreuzband, Innenminiskushornriss</t>
  </si>
  <si>
    <t>Opiatüberhang, Appendektomie und</t>
  </si>
  <si>
    <t>Narcatin, Anexate, Acetylcystein</t>
  </si>
  <si>
    <t>1,5g /Tag</t>
  </si>
  <si>
    <t>Mevinacor</t>
  </si>
  <si>
    <t>Hypercholesterinämie</t>
  </si>
  <si>
    <t>Psoriasis vulgaris</t>
  </si>
  <si>
    <t>toxische Hepatose, Cholestatische Hepatitis</t>
  </si>
  <si>
    <t>5,5 g/Tag</t>
  </si>
  <si>
    <t>Omeprazol,Glibenclamid,Kreon,Isorbid,ASS,Indometazin</t>
  </si>
  <si>
    <t>Solu Decortin Gabe und Cortison</t>
  </si>
  <si>
    <t>Erbrechen, Oberbauchschmerzen, Übelkeit</t>
  </si>
  <si>
    <t>Leberwerte veraendert, Organversagen</t>
  </si>
  <si>
    <t>Diabetes Mellitus,Pankreasinsuffizienz,Hyperurikämie, Fettleber</t>
  </si>
  <si>
    <t>Leberwerte veraendert, Hyperpyrexie</t>
  </si>
  <si>
    <t>Timonil retard</t>
  </si>
  <si>
    <t>19.08.</t>
  </si>
  <si>
    <t>Epilepsie</t>
  </si>
  <si>
    <t>fieberhafter Infekt,Urticaria</t>
  </si>
  <si>
    <t>Orelox und ASS Gabe</t>
  </si>
  <si>
    <t>Virale Gastro-Enteritis</t>
  </si>
  <si>
    <t>Ceclor Saft,Parkemed, Metifex</t>
  </si>
  <si>
    <t>250mg/tag 1 / 500 mg /2 Tag</t>
  </si>
  <si>
    <t>Leberwerte veraendert, Hirnödem, Zerfall der Leber</t>
  </si>
  <si>
    <t>Leberinsuffizienz, Nephritis</t>
  </si>
  <si>
    <t>25 g/Tag</t>
  </si>
  <si>
    <t xml:space="preserve">Infusion Acetylcystein </t>
  </si>
  <si>
    <t>Übelkeit, Erbrechen, Bauchschmerzen</t>
  </si>
  <si>
    <t>Non Hodgkin Lymphom</t>
  </si>
  <si>
    <t>Sempra Kapseln,Zantic,Pepdul, Morphin,Diflucan,Zovirax,Bactrim,Targocid,Heparin, Antithrombin III,Prothil,Dilzem</t>
  </si>
  <si>
    <t>13 Tage</t>
  </si>
  <si>
    <t>24 Tage</t>
  </si>
  <si>
    <t>20 Tage</t>
  </si>
  <si>
    <t>16 Tage</t>
  </si>
  <si>
    <t>18 Tage</t>
  </si>
  <si>
    <t>3,5g</t>
  </si>
  <si>
    <t>Borderline Psychose</t>
  </si>
  <si>
    <t>Taxilan,Tavegil,Dihydergot,Diazepam,Haloperidol,Neurocil,Truxal</t>
  </si>
  <si>
    <t>Neurodermitis, Asthma</t>
  </si>
  <si>
    <t>ACC Gabe</t>
  </si>
  <si>
    <t>Klippel-Trenaunay Syndrom</t>
  </si>
  <si>
    <t>Tonsillektomie</t>
  </si>
  <si>
    <t>Trapanal,Lachgas,Paspertin</t>
  </si>
  <si>
    <t>7g</t>
  </si>
  <si>
    <t>Übelket, Ebrechen</t>
  </si>
  <si>
    <t>Leberversagen, Hepatogene Koagulopathie, Hirnödem</t>
  </si>
  <si>
    <t>geplante Lebertransplantation</t>
  </si>
  <si>
    <t>2-3 Tage</t>
  </si>
  <si>
    <t>Tage</t>
  </si>
  <si>
    <t>cholestatische Hepatitis,Pankreatitits,Lyell Snydrom,Pneumonie Sepsis</t>
  </si>
  <si>
    <t>Bauchschmerzen</t>
  </si>
  <si>
    <t xml:space="preserve"> ausstrahlender Druckschmerz im Abdomenbereich ,Exanthem,Pharyngitis, Epidermolyse</t>
  </si>
  <si>
    <t>Herabsetzen der Medikation, Cotricosteriod Gabe</t>
  </si>
  <si>
    <t>unklare Bauchschmerzen</t>
  </si>
  <si>
    <t>Harnwegsinfekt, Fettleberaspekte, Psychose,</t>
  </si>
  <si>
    <t>Diazepam, Buscopan,Doxycyclin, Muskel Trancopal, Korodin, Yxin Augentropfen,</t>
  </si>
  <si>
    <t>Leberausfall, Knochenmarkssupression</t>
  </si>
  <si>
    <t>mehrere Gramm</t>
  </si>
  <si>
    <t>13.01.1997/1.2.1997</t>
  </si>
  <si>
    <t>16.01.1997/10.2.1997</t>
  </si>
  <si>
    <t>4 Tage/10 Tage</t>
  </si>
  <si>
    <t>Novalgin</t>
  </si>
  <si>
    <t>chronische Polyarthritis</t>
  </si>
  <si>
    <t>Grippale Beschwerde,Schmerzen,Übelkeit,Erbrechen, Fieber, Schüttelfrost, Exanthem</t>
  </si>
  <si>
    <t>3-4 g/Tag</t>
  </si>
  <si>
    <t>Beloc Zpl, Metoclepramid,Rifun</t>
  </si>
  <si>
    <t>Hypertonie, Endokarditits, Reflux Ösophagitis</t>
  </si>
  <si>
    <t>Supraventriculäre Sinustachykardie, Ulcera Ventriculi</t>
  </si>
  <si>
    <t>Absetzen der Medikamente, Pantoprazol, Metoclopramid und Metoprolol Gabe</t>
  </si>
  <si>
    <t>Übelkeit, Schwindel, Bauchkrämpfe</t>
  </si>
  <si>
    <t>Elzogram</t>
  </si>
  <si>
    <t>Spinale Muskeldystrophie</t>
  </si>
  <si>
    <t>Absetzen Elzogram, Konakion und Plasma Gabe</t>
  </si>
  <si>
    <t>Pneumonie, Herz Insuffizienz, Cholecystitis, Myelodysplastisches Syndrom</t>
  </si>
  <si>
    <t>Hepatotoxisch, Somnolenz</t>
  </si>
  <si>
    <t>Diflucan,Digitoxin,Mundipharma,Gernebecin,Fortum,Berlosin,</t>
  </si>
  <si>
    <t>Allopurinol,Isoptin,Lasix</t>
  </si>
  <si>
    <t>&gt;7 Monate</t>
  </si>
  <si>
    <t>Generalisierte Arteriosklerose,chronisch obstruktive Lungenerkrankung</t>
  </si>
  <si>
    <t>Soor,Lamliasis,unklares Abdomen</t>
  </si>
  <si>
    <t>Furanthril,Chlormadinon</t>
  </si>
  <si>
    <t>bis 3g/Tag</t>
  </si>
  <si>
    <t>ca 3 Monate</t>
  </si>
  <si>
    <t>Bandscheibenvorfall</t>
  </si>
  <si>
    <t>ASS,Cibrobay, Novalgin</t>
  </si>
  <si>
    <t>grippaler Infekt mit Harnwegsinfektion</t>
  </si>
  <si>
    <t>Hautausschlag, Luftnot, Leberwertveränderung</t>
  </si>
  <si>
    <t>kA/6.06.89</t>
  </si>
  <si>
    <t>kA/7.06.89</t>
  </si>
  <si>
    <t>2 Tage/2 Tage</t>
  </si>
  <si>
    <t>kA/1g pro Tag</t>
  </si>
  <si>
    <t>1-2g</t>
  </si>
  <si>
    <t>Übelkeit, Erbrechen</t>
  </si>
  <si>
    <t xml:space="preserve">Behandlung mit ACC nach 20 h </t>
  </si>
  <si>
    <t>98008110 not.</t>
  </si>
  <si>
    <t>Morbus Farquar mit Cerebralem Befall mit Knochenmarkstransplantation</t>
  </si>
  <si>
    <t>Blasen und Erosionen an der Haut</t>
  </si>
  <si>
    <t>GVH Reaktion, Glucosemangel, Infektion der oberen Atemwege</t>
  </si>
  <si>
    <t>200ml/Tag / 200 ml/Tag</t>
  </si>
  <si>
    <t>20.11.1996/26.11.96</t>
  </si>
  <si>
    <t>20.11.1996/22.11.96</t>
  </si>
  <si>
    <t>1 Tag/5 Tage</t>
  </si>
  <si>
    <t>Herzinsuffizienz,Leberzirrhose bei chron. Hepatitis C,Beinparese rechts</t>
  </si>
  <si>
    <t>20.12.1996/2.1.1997</t>
  </si>
  <si>
    <t>23.12.1996/3.2.1996</t>
  </si>
  <si>
    <t>4 Tage/2 Tage</t>
  </si>
  <si>
    <t>KA/ 1 TBSP/Tag</t>
  </si>
  <si>
    <t>Bakterielle Suprainfektion mit Enterokokkus und Enterokokkus Septikämie, Candidose.Demenz,Hypokaliamie</t>
  </si>
  <si>
    <t>Septikaemie,Abzess am Unterarm,lymphadenitis colli</t>
  </si>
  <si>
    <t>HIV positiv, Missempfindung an Handen und Fuessen,Exanthem,Fieber, MSH Erosionen</t>
  </si>
  <si>
    <t>Steven Johnson Syndrom/Trockener Husten</t>
  </si>
  <si>
    <t>Viramune, Videx, Zerit</t>
  </si>
  <si>
    <t>5.10.1998/28.10.1998</t>
  </si>
  <si>
    <t>25.10.1998/1.11.1998</t>
  </si>
  <si>
    <t>21 Tage/5 Tage</t>
  </si>
  <si>
    <t>2x 1,5g/Tag</t>
  </si>
  <si>
    <t>Exanthem mit Blasen an der Haut, MSH Erosionen, Fieber, massive Konjunktivitis</t>
  </si>
  <si>
    <t>Steven Johnson Syndrom, Epidermale Nekrolyse</t>
  </si>
  <si>
    <t>KHK,Vorderwandinfarkt,Hypertonie,Hypercholesterinamie</t>
  </si>
  <si>
    <t>Bisporol,HerzASS,Diclofenac,Allopurinol,Meditonsin</t>
  </si>
  <si>
    <t>Glioblastem parieto-occipital li.</t>
  </si>
  <si>
    <t>orale Erosionen,Exanthem,Hautblasen</t>
  </si>
  <si>
    <t>Tegretal,ASS,Gastrozepin,Fortecortin,Thym Uvocal,Omniscan, Transpulim</t>
  </si>
  <si>
    <t>20.08.1998</t>
  </si>
  <si>
    <t>Infekt obere Luftwege,Erkaltung(1 Monat vor Hautreaktion),Krampfanfalle</t>
  </si>
  <si>
    <t>3 Dos.F/Tag</t>
  </si>
  <si>
    <t>Bronchialkarzinom, Hirnmetastase</t>
  </si>
  <si>
    <t>Fieber, Exanthem,Hautblasen, orale Erosion, Mucositis</t>
  </si>
  <si>
    <t>Mucosolvan,Phenhydan,Fortecortin,Ulcogant,Zantic,Fluimucil,Heparin</t>
  </si>
  <si>
    <t>9.04.1997</t>
  </si>
  <si>
    <t>1Tag</t>
  </si>
  <si>
    <t>Myeloplasma Pneumonie</t>
  </si>
  <si>
    <t>Husten,Exanthem mit Blasen,Stomatitis,orale Erosionen</t>
  </si>
  <si>
    <t>Amoxypem Saft</t>
  </si>
  <si>
    <t>Tonsillitis</t>
  </si>
  <si>
    <t>Tonsillits</t>
  </si>
  <si>
    <t>Allergie auf CEL-Saft</t>
  </si>
  <si>
    <t>Fieber, Halsschmerzen,Exanthem,orale Erosion,Hautblasen</t>
  </si>
  <si>
    <t>Capval Saft, Fenistil,CEC Saft, Pen-Lich Saft</t>
  </si>
  <si>
    <t>Novamin, Dolantin</t>
  </si>
  <si>
    <t>Pyelonephritis,Gastroenteritis</t>
  </si>
  <si>
    <t>Asthma Bronchiale</t>
  </si>
  <si>
    <t>24.05.</t>
  </si>
  <si>
    <t>Heroin-Codein Abhangigkeit, Hepatitis B Infektion</t>
  </si>
  <si>
    <t>Ikterus, Exanthem,anales Ulkus,Erosionen,Sepsis</t>
  </si>
  <si>
    <t>21.10.1994</t>
  </si>
  <si>
    <t>23.10.1994</t>
  </si>
  <si>
    <t>Atosil,L-Polamidon,Maalox Susp,Valium,Tramal,Novalgin,Lasix,Konakion</t>
  </si>
  <si>
    <t>Ottitis Media,Grippaler Infekt, schwere Hautreaktion</t>
  </si>
  <si>
    <t>Husten,Diarrhoe,schwere Hautreaktion,fieberhafter Infekt, Exanthem und Blasen</t>
  </si>
  <si>
    <t>Amoxcillin,Diclofenac</t>
  </si>
  <si>
    <t>Grippaler Infekt,Mykoplasmen Pneumonie 1 Monat vor Hautreaktion</t>
  </si>
  <si>
    <t>ASS,Tarivid,Fluimucil,Kompensan,Nystatin,Kanamytrex</t>
  </si>
  <si>
    <t>6.1.1995</t>
  </si>
  <si>
    <t>8.1.1995</t>
  </si>
  <si>
    <t>Penicillin Allergie,Gastritis,Konjunktivitis</t>
  </si>
  <si>
    <t>Fieber,Husten,Kopfschmerzen</t>
  </si>
  <si>
    <t>Pharyngitis 1Monat vor Hautreaktion,Halsschmerzen,Fieber,Exanthem,Erosionen,Leberversagen</t>
  </si>
  <si>
    <t>20.9.1997</t>
  </si>
  <si>
    <t>22.09.1997</t>
  </si>
  <si>
    <t>3 anz/Tag</t>
  </si>
  <si>
    <t>Penicillin Allergie,Alkoholischer Leberschaden</t>
  </si>
  <si>
    <t>Ibuprofen,Silomat,Rulid,ACC,Orelox</t>
  </si>
  <si>
    <t>Steven Johnson Syndrom,Halsschmerzen,Fieber,Exanthem</t>
  </si>
  <si>
    <t>Toxisch epidermale Nekrolyse mit Maculae</t>
  </si>
  <si>
    <t>PUVA Therapie 1 Monat vor Hautreaktion,Exanthem</t>
  </si>
  <si>
    <t>19.09.1994</t>
  </si>
  <si>
    <t>Dalmadrom,Pepdul,Agarol</t>
  </si>
  <si>
    <t>Varikosis,Schlafstorung,Fieber</t>
  </si>
  <si>
    <t>gastrointestinale Beschwerden, exanthematischer Lichen ruber, Hirnorganisches Psychosyndrom</t>
  </si>
  <si>
    <t>Harnwegsinfekt 1 Monat vor Hautreaktion</t>
  </si>
  <si>
    <t>Tarivid,Phenhydan,Zentropil</t>
  </si>
  <si>
    <t>Spindelzellcarzinom,Fieber, Krampfanfallsprophylaxe</t>
  </si>
  <si>
    <t>Calcium Substitution,Gehirnblutung,Hypothyrese,Thyreoidektomie</t>
  </si>
  <si>
    <t>11.10.1994</t>
  </si>
  <si>
    <t>12.10.1994</t>
  </si>
  <si>
    <t>Neuralgie,Neuritis,Radiculitis</t>
  </si>
  <si>
    <t>Tegretal Retard,ASS</t>
  </si>
  <si>
    <t>Alkoholkonsum</t>
  </si>
  <si>
    <t>5,1</t>
  </si>
  <si>
    <t>8,5</t>
  </si>
  <si>
    <t>224,4</t>
  </si>
  <si>
    <t>6,97</t>
  </si>
  <si>
    <t>4,76</t>
  </si>
  <si>
    <t>9,18</t>
  </si>
  <si>
    <t>2,89</t>
  </si>
  <si>
    <t>49,47</t>
  </si>
  <si>
    <t>40,12</t>
  </si>
  <si>
    <t>34,17</t>
  </si>
  <si>
    <t>26,35</t>
  </si>
  <si>
    <t>20,06</t>
  </si>
  <si>
    <t>29,24</t>
  </si>
  <si>
    <t>24,82</t>
  </si>
  <si>
    <t>23,12</t>
  </si>
  <si>
    <t>18,87</t>
  </si>
  <si>
    <t>49,3</t>
  </si>
  <si>
    <t>15,13</t>
  </si>
  <si>
    <t>25,5</t>
  </si>
  <si>
    <t>32,3</t>
  </si>
  <si>
    <t>93,5</t>
  </si>
  <si>
    <t>13,6</t>
  </si>
  <si>
    <t>15,3</t>
  </si>
  <si>
    <t>27,2</t>
  </si>
  <si>
    <t>197,2</t>
  </si>
  <si>
    <t>210,8</t>
  </si>
  <si>
    <t>288,15</t>
  </si>
  <si>
    <t>130,9</t>
  </si>
  <si>
    <t>229,5</t>
  </si>
  <si>
    <t>96,9</t>
  </si>
  <si>
    <t>62,9</t>
  </si>
  <si>
    <t>22,1</t>
  </si>
  <si>
    <t>88,4</t>
  </si>
  <si>
    <t>10,2</t>
  </si>
  <si>
    <t>60,69</t>
  </si>
  <si>
    <t>13,94</t>
  </si>
  <si>
    <t>13,09</t>
  </si>
  <si>
    <t>11,05</t>
  </si>
  <si>
    <t>10,03</t>
  </si>
  <si>
    <t>118,49</t>
  </si>
  <si>
    <t>132,94</t>
  </si>
  <si>
    <t>150,28</t>
  </si>
  <si>
    <t>64,24</t>
  </si>
  <si>
    <t>65,12</t>
  </si>
  <si>
    <t>81,84</t>
  </si>
  <si>
    <t>39,6</t>
  </si>
  <si>
    <t>50,16</t>
  </si>
  <si>
    <t>35,2</t>
  </si>
  <si>
    <t>28,16</t>
  </si>
  <si>
    <t>29,04</t>
  </si>
  <si>
    <t>48,4</t>
  </si>
  <si>
    <t>38,72</t>
  </si>
  <si>
    <t>51,04</t>
  </si>
  <si>
    <t>29,92</t>
  </si>
  <si>
    <t>101,2</t>
  </si>
  <si>
    <t>52,8</t>
  </si>
  <si>
    <t>61,1</t>
  </si>
  <si>
    <t>84,48</t>
  </si>
  <si>
    <t>82,72</t>
  </si>
  <si>
    <t>57,2</t>
  </si>
  <si>
    <t>59,84</t>
  </si>
  <si>
    <t>74,8</t>
  </si>
  <si>
    <t>70,4</t>
  </si>
  <si>
    <t>169,84</t>
  </si>
  <si>
    <t>89,76</t>
  </si>
  <si>
    <t>76,56</t>
  </si>
  <si>
    <t>180,4</t>
  </si>
  <si>
    <t>36,9</t>
  </si>
  <si>
    <t>PTT-d1w2</t>
  </si>
  <si>
    <t>47,7</t>
  </si>
  <si>
    <t>39,3</t>
  </si>
  <si>
    <t>PTT-d2w2</t>
  </si>
  <si>
    <t>PTT-d4w1</t>
  </si>
  <si>
    <t>PTT-d4w2</t>
  </si>
  <si>
    <t>PTT-d4w3</t>
  </si>
  <si>
    <t>Fibrinogen-d4w1</t>
  </si>
  <si>
    <t>Fibrinogen-d4w2</t>
  </si>
  <si>
    <t>Ck-d2w3</t>
  </si>
  <si>
    <t>Ck-d2w2</t>
  </si>
  <si>
    <t>Ck-d4w2</t>
  </si>
  <si>
    <t>Ck-d4w3</t>
  </si>
  <si>
    <t>Ck-d4w4</t>
  </si>
  <si>
    <t>Ck-d5w2</t>
  </si>
  <si>
    <t>Ck-d6w2</t>
  </si>
  <si>
    <t>Ck-d6w3</t>
  </si>
  <si>
    <t>Quick-d1w2</t>
  </si>
  <si>
    <t>11,5</t>
  </si>
  <si>
    <t>Quick-d2w2</t>
  </si>
  <si>
    <t>Quick-d4w2</t>
  </si>
  <si>
    <t>Quick-d4w3</t>
  </si>
  <si>
    <t>&lt;6</t>
  </si>
  <si>
    <t>AT III-d1w2</t>
  </si>
  <si>
    <t>Leukozyten-d1w2</t>
  </si>
  <si>
    <t>Leukozyten-d2w2</t>
  </si>
  <si>
    <t>Leukozyten-d2w3</t>
  </si>
  <si>
    <t>Leukozyten-d3w2</t>
  </si>
  <si>
    <t>Leukozyten-d4w2</t>
  </si>
  <si>
    <t>Leukozyten-d4w3</t>
  </si>
  <si>
    <t>Leukozyten-d4w4</t>
  </si>
  <si>
    <t>Leukozyten-d5w2</t>
  </si>
  <si>
    <t>Leukozyten-d6w2</t>
  </si>
  <si>
    <t>Leukozyten-d6w3</t>
  </si>
  <si>
    <t>GOT-d1w2</t>
  </si>
  <si>
    <t>GOT-d1w3</t>
  </si>
  <si>
    <t>GOT-d1w4</t>
  </si>
  <si>
    <t>1,21</t>
  </si>
  <si>
    <t>33,4</t>
  </si>
  <si>
    <t>GOT-d2w2</t>
  </si>
  <si>
    <t>GOT-d2w3</t>
  </si>
  <si>
    <t>GOT-d4w2</t>
  </si>
  <si>
    <t>GOT-d4w3</t>
  </si>
  <si>
    <t>GOT-d4w4</t>
  </si>
  <si>
    <t>GOT-d5w2</t>
  </si>
  <si>
    <t>GOT-d6w2</t>
  </si>
  <si>
    <t>GOTd6w3</t>
  </si>
  <si>
    <t>GPT-d1w2</t>
  </si>
  <si>
    <t>GPT-d1w3</t>
  </si>
  <si>
    <t>8,85</t>
  </si>
  <si>
    <t>65,30</t>
  </si>
  <si>
    <t>69,6</t>
  </si>
  <si>
    <t>GPT-d2w2</t>
  </si>
  <si>
    <t>Gpt-d2w3</t>
  </si>
  <si>
    <t>GPT-d4w2</t>
  </si>
  <si>
    <t>GPT-d4w3</t>
  </si>
  <si>
    <t>GPT-d4w4</t>
  </si>
  <si>
    <t>GPT-d5w2</t>
  </si>
  <si>
    <t>GPT-d6w2</t>
  </si>
  <si>
    <t>GPT-d6w3</t>
  </si>
  <si>
    <t>GGT-d1w2</t>
  </si>
  <si>
    <t>7,99</t>
  </si>
  <si>
    <t>GGT-d2w2</t>
  </si>
  <si>
    <t>GGT-d4w2</t>
  </si>
  <si>
    <t>GGT-d4w3</t>
  </si>
  <si>
    <t>GGT-d4w4</t>
  </si>
  <si>
    <t>GGT-d5w2</t>
  </si>
  <si>
    <t>GGT-d6w2</t>
  </si>
  <si>
    <t>GGT-d6w3</t>
  </si>
  <si>
    <t>LDH-d1w2</t>
  </si>
  <si>
    <t>7,05</t>
  </si>
  <si>
    <t>LDH-d1w3</t>
  </si>
  <si>
    <t>LDH-d2w2</t>
  </si>
  <si>
    <t>LDH-d2w3</t>
  </si>
  <si>
    <t>LDH-d4w2</t>
  </si>
  <si>
    <t>LDH-d4w3</t>
  </si>
  <si>
    <t>LDH-d4w4</t>
  </si>
  <si>
    <t>LDH-d5w2</t>
  </si>
  <si>
    <t>LDH-d6w2</t>
  </si>
  <si>
    <t>LDH-d6w3</t>
  </si>
  <si>
    <t>Bilirubin-d1w2</t>
  </si>
  <si>
    <t>69,19</t>
  </si>
  <si>
    <t>55,42</t>
  </si>
  <si>
    <t>Bilirubin-d2w2</t>
  </si>
  <si>
    <t>Bilirubin-d2w3</t>
  </si>
  <si>
    <t>18,7</t>
  </si>
  <si>
    <t>20,4</t>
  </si>
  <si>
    <t>Bilirubin-d3w2</t>
  </si>
  <si>
    <t>Billirubin-d4w2</t>
  </si>
  <si>
    <t>Billirubin-d4w3</t>
  </si>
  <si>
    <t>Bilirubin-d4w4</t>
  </si>
  <si>
    <t>54,4</t>
  </si>
  <si>
    <t>66,3</t>
  </si>
  <si>
    <t>90,1</t>
  </si>
  <si>
    <t>Billirubin-d5w2</t>
  </si>
  <si>
    <t>30,6</t>
  </si>
  <si>
    <t>Bilirubin-d6w2</t>
  </si>
  <si>
    <t>Billirubin-d6w3</t>
  </si>
  <si>
    <t>23,8</t>
  </si>
  <si>
    <t>GLDH-d1w2</t>
  </si>
  <si>
    <t>GLDH-d1w3</t>
  </si>
  <si>
    <t>217,2</t>
  </si>
  <si>
    <t>GLDH-d2w2</t>
  </si>
  <si>
    <t>71,8</t>
  </si>
  <si>
    <t>AP-d1w2</t>
  </si>
  <si>
    <t>Ap-d1w3</t>
  </si>
  <si>
    <t>14,0</t>
  </si>
  <si>
    <t>9,81</t>
  </si>
  <si>
    <t>12,8</t>
  </si>
  <si>
    <t>AP-d2w2</t>
  </si>
  <si>
    <t>Ap-d2w3</t>
  </si>
  <si>
    <t>AP-d4w2</t>
  </si>
  <si>
    <t>AP-d4w3</t>
  </si>
  <si>
    <t>Ap-d4w4</t>
  </si>
  <si>
    <t>AP-d5w2</t>
  </si>
  <si>
    <t>AP-d6w2</t>
  </si>
  <si>
    <t>Ap-d6w3</t>
  </si>
  <si>
    <t>Cholinesterase-d1w2</t>
  </si>
  <si>
    <t>92,8</t>
  </si>
  <si>
    <t>86,9</t>
  </si>
  <si>
    <t>Cholinesterase-d2w2</t>
  </si>
  <si>
    <t>Cholinesterase-d5w2</t>
  </si>
  <si>
    <t>Cholinesterase-d6w2</t>
  </si>
  <si>
    <t>Cholinesterase-d6w3</t>
  </si>
  <si>
    <t>Kreatinin-d1w2</t>
  </si>
  <si>
    <t>167,2</t>
  </si>
  <si>
    <t>211,2</t>
  </si>
  <si>
    <t>79,2</t>
  </si>
  <si>
    <t>Kreatinin-d2w2</t>
  </si>
  <si>
    <t>Kreatinin-d2w3</t>
  </si>
  <si>
    <t>24,64</t>
  </si>
  <si>
    <t>27,28</t>
  </si>
  <si>
    <t>87,12</t>
  </si>
  <si>
    <t>Kreatinin-d4w2</t>
  </si>
  <si>
    <t>Kreatinin-d4w3</t>
  </si>
  <si>
    <t>62,48</t>
  </si>
  <si>
    <t>80,8</t>
  </si>
  <si>
    <t>56,32</t>
  </si>
  <si>
    <t>Kreatinin-d4w4</t>
  </si>
  <si>
    <t>Kreatinin-d5w2</t>
  </si>
  <si>
    <t>249,92</t>
  </si>
  <si>
    <t>Kreatinin-d6w2</t>
  </si>
  <si>
    <t>Kreatinin-d6w3</t>
  </si>
  <si>
    <t>246,4</t>
  </si>
  <si>
    <t>244,64</t>
  </si>
  <si>
    <t>INR-d1w2</t>
  </si>
  <si>
    <t>2,42</t>
  </si>
  <si>
    <t>2,11</t>
  </si>
  <si>
    <t>INR-d2w2</t>
  </si>
  <si>
    <t>1,95</t>
  </si>
  <si>
    <t>2,47</t>
  </si>
  <si>
    <t>INR-d4w2</t>
  </si>
  <si>
    <t>INR-d4w3</t>
  </si>
  <si>
    <t>INR-d4w4</t>
  </si>
  <si>
    <t>5,2</t>
  </si>
  <si>
    <t>&gt;6,82</t>
  </si>
  <si>
    <t>Amylase-d2w2</t>
  </si>
  <si>
    <t>Amylase-d2w3</t>
  </si>
  <si>
    <t>3,60</t>
  </si>
  <si>
    <t>0,93</t>
  </si>
  <si>
    <t>223 einheit?</t>
  </si>
  <si>
    <t>Amylase-d4w2</t>
  </si>
  <si>
    <t>Amylase-d4w3</t>
  </si>
  <si>
    <t>Amzlase-d4w4</t>
  </si>
  <si>
    <t>Amylase-d5w2</t>
  </si>
  <si>
    <t>Amylase-d6w2</t>
  </si>
  <si>
    <t>Amylase-d6w3</t>
  </si>
  <si>
    <t>Lipase-d1w2</t>
  </si>
  <si>
    <t>2,04</t>
  </si>
  <si>
    <t>0,51</t>
  </si>
  <si>
    <t>Lipase-d2w2</t>
  </si>
  <si>
    <t>Lipase-d2w3</t>
  </si>
  <si>
    <t>Lipase-d4w2</t>
  </si>
  <si>
    <t>Lipase-d4w3</t>
  </si>
  <si>
    <t>Lipase-d4w5</t>
  </si>
  <si>
    <t>Lipase-d5w2</t>
  </si>
  <si>
    <t>Lipase-d6w2</t>
  </si>
  <si>
    <t>Lipase-d6w3</t>
  </si>
  <si>
    <t>CRP-d1w2</t>
  </si>
  <si>
    <t>CRP-d4w2</t>
  </si>
  <si>
    <t>CRP-d4w3</t>
  </si>
  <si>
    <t>CRP-d4w4</t>
  </si>
  <si>
    <t>Harnstoff-d2w2</t>
  </si>
  <si>
    <t>Harnstoff-d2w3</t>
  </si>
  <si>
    <t>Harnstoff-d4w2</t>
  </si>
  <si>
    <t>Harnstoff-d4w3</t>
  </si>
  <si>
    <t>Harnstoff-d4w4</t>
  </si>
  <si>
    <t>|Harnstoff-d5w2</t>
  </si>
  <si>
    <t>Harnstoff-d6w2</t>
  </si>
  <si>
    <t>Harnstoff-d6w3</t>
  </si>
  <si>
    <t>Thrombozyten-d1w2</t>
  </si>
  <si>
    <t>Trhombozyten-d2w2</t>
  </si>
  <si>
    <t>Thrombozyten-d2w3</t>
  </si>
  <si>
    <t>Trhomozyten-d3w2</t>
  </si>
  <si>
    <t>Thrombozyten-d5w2</t>
  </si>
  <si>
    <t>Thrombozyten-d6w2</t>
  </si>
  <si>
    <t>Trhombozyten-d6w3</t>
  </si>
  <si>
    <t>79 mikromol/l</t>
  </si>
  <si>
    <t>Albumin-d1w2</t>
  </si>
  <si>
    <t>32,7</t>
  </si>
  <si>
    <t>Albumin-d4w2</t>
  </si>
  <si>
    <t>Albumin-d4w3</t>
  </si>
  <si>
    <t>Triacylglyceride-d2w2</t>
  </si>
  <si>
    <t>Triacylglyceride-d2w3</t>
  </si>
  <si>
    <t>Triacylglyceride-d4w2</t>
  </si>
  <si>
    <t>Triacylglyceride-d4w3</t>
  </si>
  <si>
    <t>Triacylglyceride-d4w4</t>
  </si>
  <si>
    <t>Triacylglyceride-d5w2</t>
  </si>
  <si>
    <t>Triacylglyceride-d6w2</t>
  </si>
  <si>
    <t>Triacylglyceride-d6w3</t>
  </si>
  <si>
    <t xml:space="preserve">6,93 </t>
  </si>
  <si>
    <t xml:space="preserve">2,55 </t>
  </si>
  <si>
    <t>275,4</t>
  </si>
  <si>
    <t>Fibrinogen(mg/dl)-d1</t>
  </si>
  <si>
    <t>441,6</t>
  </si>
  <si>
    <t>362,4</t>
  </si>
  <si>
    <t>178,2</t>
  </si>
  <si>
    <t>202,8</t>
  </si>
  <si>
    <t>22,8</t>
  </si>
  <si>
    <t>7231,8</t>
  </si>
  <si>
    <t>147,6</t>
  </si>
  <si>
    <t>761,4</t>
  </si>
  <si>
    <t>947,4</t>
  </si>
  <si>
    <t>620,4</t>
  </si>
  <si>
    <t>58,2</t>
  </si>
  <si>
    <t>34,2</t>
  </si>
  <si>
    <t>142,8</t>
  </si>
  <si>
    <t>112,2</t>
  </si>
  <si>
    <t>40,2</t>
  </si>
  <si>
    <t>410,4</t>
  </si>
  <si>
    <t>385,2</t>
  </si>
  <si>
    <t>502,8</t>
  </si>
  <si>
    <t>1171,2</t>
  </si>
  <si>
    <t>5887,2</t>
  </si>
  <si>
    <t>625,2</t>
  </si>
  <si>
    <t>723,6</t>
  </si>
  <si>
    <t>577,2</t>
  </si>
  <si>
    <t>67,8</t>
  </si>
  <si>
    <t>121,2</t>
  </si>
  <si>
    <t>83,4</t>
  </si>
  <si>
    <t>109,8</t>
  </si>
  <si>
    <t>205,8</t>
  </si>
  <si>
    <t>218,4</t>
  </si>
  <si>
    <t>1051,2</t>
  </si>
  <si>
    <t>936,6</t>
  </si>
  <si>
    <t>274,8</t>
  </si>
  <si>
    <t>125,4</t>
  </si>
  <si>
    <t>136,8</t>
  </si>
  <si>
    <t>976,8</t>
  </si>
  <si>
    <t>319,8</t>
  </si>
  <si>
    <t>266,4</t>
  </si>
  <si>
    <t>270,6</t>
  </si>
  <si>
    <t>238,8</t>
  </si>
  <si>
    <t>907,8</t>
  </si>
  <si>
    <t xml:space="preserve">277,8 </t>
  </si>
  <si>
    <t>161,8</t>
  </si>
  <si>
    <t>53,4</t>
  </si>
  <si>
    <t>59,4</t>
  </si>
  <si>
    <t>232,2</t>
  </si>
  <si>
    <t>169,2</t>
  </si>
  <si>
    <t>181,8</t>
  </si>
  <si>
    <t>189,6</t>
  </si>
  <si>
    <t>325,2</t>
  </si>
  <si>
    <t>172,2</t>
  </si>
  <si>
    <t>307,8</t>
  </si>
  <si>
    <t>148,8</t>
  </si>
  <si>
    <t>151,8</t>
  </si>
  <si>
    <t>154,2</t>
  </si>
  <si>
    <t>Cholinesterase-d2w3</t>
  </si>
  <si>
    <t>16,2</t>
  </si>
  <si>
    <t>Lipase-d1  (U/L)</t>
  </si>
  <si>
    <t xml:space="preserve">&gt;1000 </t>
  </si>
  <si>
    <t>17,4</t>
  </si>
  <si>
    <t>55,8</t>
  </si>
  <si>
    <t>Laktat-d1 (mmol/l)</t>
  </si>
  <si>
    <t xml:space="preserve">&gt;17 </t>
  </si>
  <si>
    <t xml:space="preserve">1,1 </t>
  </si>
  <si>
    <t xml:space="preserve">1,5 </t>
  </si>
  <si>
    <t xml:space="preserve">1,2 </t>
  </si>
  <si>
    <t>Cholesterin-(mg/dl)-d1</t>
  </si>
  <si>
    <t>Triacyglyceride-(mg/dl)-d1</t>
  </si>
  <si>
    <t>71,4</t>
  </si>
  <si>
    <t>184,2</t>
  </si>
  <si>
    <t>Leukozyten-d1 (\mikrol)</t>
  </si>
  <si>
    <t>&lt;1</t>
  </si>
  <si>
    <t>&lt; 5</t>
  </si>
  <si>
    <t>0.38</t>
  </si>
  <si>
    <t>0.96</t>
  </si>
  <si>
    <t>Albumin-d1 (g/l)</t>
  </si>
  <si>
    <t xml:space="preserve">&lt;0,0025 </t>
  </si>
  <si>
    <t>Anzahl CK Daten</t>
  </si>
  <si>
    <t>Anzahl Quick Daten</t>
  </si>
  <si>
    <t>Anzahl PTT Daten</t>
  </si>
  <si>
    <t>Anzahl Fibrinogen Daten</t>
  </si>
  <si>
    <t>Anzahl AT Daten</t>
  </si>
  <si>
    <t>Anzahl Leukozyten Daten</t>
  </si>
  <si>
    <t>Anzahl GOT Daten</t>
  </si>
  <si>
    <t>Anzahl GP Daten</t>
  </si>
  <si>
    <t>Anzahl GGT Daten</t>
  </si>
  <si>
    <t>Anzahl LDH Daten</t>
  </si>
  <si>
    <t>Anzahl Lymphozyten Daten</t>
  </si>
  <si>
    <t>Anzahl BILLI Werte</t>
  </si>
  <si>
    <t>Anzahl GLDH Daten</t>
  </si>
  <si>
    <t>Anzahl AP Werte</t>
  </si>
  <si>
    <t>Anzahl Choline Daten</t>
  </si>
  <si>
    <t>Anzahl Kreatinin Daten</t>
  </si>
  <si>
    <t>Anzahl INR Daten</t>
  </si>
  <si>
    <t>Anzahl Amylase Daten</t>
  </si>
  <si>
    <t>Anzahl Lipase Daten</t>
  </si>
  <si>
    <t>Anzahl CRP DATEN</t>
  </si>
  <si>
    <t>Azahl PTZ dATEN</t>
  </si>
  <si>
    <t>Anzahl Harnstoff Daten</t>
  </si>
  <si>
    <t>Anzahl Thromb Daten</t>
  </si>
  <si>
    <t>Anzahl Laktat Daten</t>
  </si>
  <si>
    <t>Anzahl NH3 Daten</t>
  </si>
  <si>
    <t>Anzahl Albumin Daten</t>
  </si>
  <si>
    <t>Anzahl Hansäure Daten</t>
  </si>
  <si>
    <t>Anzahl Cholest Daten</t>
  </si>
  <si>
    <t>Anzahl Tria Daten</t>
  </si>
  <si>
    <t>Anzahl vorhandener Daten</t>
  </si>
  <si>
    <t>Duplikat mit SJS + first…</t>
  </si>
  <si>
    <t>Duplikate</t>
  </si>
  <si>
    <r>
      <t xml:space="preserve">Duplikat mit SJS + first… </t>
    </r>
    <r>
      <rPr>
        <b/>
        <u/>
        <sz val="11"/>
        <color theme="1"/>
        <rFont val="Calibri"/>
        <family val="2"/>
        <scheme val="minor"/>
      </rPr>
      <t>und</t>
    </r>
    <r>
      <rPr>
        <sz val="11"/>
        <color theme="1"/>
        <rFont val="Calibri"/>
        <family val="2"/>
        <scheme val="minor"/>
      </rPr>
      <t xml:space="preserve"> Diclofenac</t>
    </r>
  </si>
  <si>
    <t>x</t>
  </si>
  <si>
    <t>Duplikat mit "Übersicht SJS, TEN ohne Duplikate"</t>
  </si>
  <si>
    <t xml:space="preserve">Ck-d1 </t>
  </si>
  <si>
    <t>Ck</t>
  </si>
  <si>
    <t>Ck-d1  , Ck-d3</t>
  </si>
  <si>
    <t>Ck-d14 , Ck-d15 , Ck-d19 , Ck-d20 , Ck-d21 , Ck-d23</t>
  </si>
  <si>
    <t>Ck-d1  , Ck-d13 , Ck-d14</t>
  </si>
  <si>
    <t>Ck-d1  , Ck-d2</t>
  </si>
  <si>
    <t>Ck-d1  , Ck-m20d28 , Ck-m21/2</t>
  </si>
  <si>
    <t>Ck-d3 , Ck-d4</t>
  </si>
  <si>
    <t>Ck-d1  , Ck-d3 , Ck-d7</t>
  </si>
  <si>
    <t>Ck-d2 , Ck-d2w2 , Ck-d3 , Ck-d4 , Ck-d4w2 , Ck-d4w3 , Ck-d4w4 , Ck-d5</t>
  </si>
  <si>
    <t>Ck-d1  , Ck-d2 , Ck-d2w2 , Ck-d2w3 , Ck-d3 , Ck-d4 , Ck-d5 , Ck-d5w2 , Ck-d6 , Ck-d6w2 , Ck-d6w3 , Ck-d7</t>
  </si>
  <si>
    <t>Ck-d1  , Ck-d2 , Ck-d3</t>
  </si>
  <si>
    <t>Ck-d1  , Ck-d6 , Ck-d14 , Ck-d21 , Ck-d28</t>
  </si>
  <si>
    <t>Cretaine Kinase</t>
  </si>
  <si>
    <t>Day of Observation</t>
  </si>
  <si>
    <t xml:space="preserve">Quick-d1 </t>
  </si>
  <si>
    <t>Quick</t>
  </si>
  <si>
    <t>Quick-d1  , Quick-d3 , Quick-d6 , Quick-d8</t>
  </si>
  <si>
    <t>Quick-d1  , Quick-d18 , Quick-d20 , Quick-23 , Quick-25 , Quick-29</t>
  </si>
  <si>
    <t>Quick-d1  , Quick-d1w2</t>
  </si>
  <si>
    <t>Quick-d1  , Quick-d3 , Quick-d4 , Quick-d12 , Quick-d13 , Quick-d14 , Quick-d20</t>
  </si>
  <si>
    <t>Quick-d2  , Quick-d6</t>
  </si>
  <si>
    <t>Quick-d1  , Quick-m20d28</t>
  </si>
  <si>
    <t>Quick-d1  , Quick-d3 , Quick-d7</t>
  </si>
  <si>
    <t>Quick-d1  , Quick-d2  , Quick-d4 , Quick-d5 , Quick-d6 , Quick-d8 , Quick-d9 , Quick-d11 , Quick-d13 , Quick-d14 , Quick-d15</t>
  </si>
  <si>
    <t>Quick-d1  , Quick-d14</t>
  </si>
  <si>
    <t>Quick-d6 , Quick-d15</t>
  </si>
  <si>
    <t>Quick-d1  , Quick-d2  , Quick-d2w2 , Quick-d3 , Quick-d4 , Quick-d4w2 , Quick-d4w3 , Quick-d5</t>
  </si>
  <si>
    <t>Quick-d1  , Quick-d1w2 , Quick-d2  , Quick-d2w2 , Quick-d3</t>
  </si>
  <si>
    <t>Quick-d1  , Quick-d1w2 , Quick-d7</t>
  </si>
  <si>
    <t>Quick-d2  , Quick-d3</t>
  </si>
  <si>
    <t>Quick-d1  , Quick-d3</t>
  </si>
  <si>
    <t>Quick-d27 , Quick-d32</t>
  </si>
  <si>
    <t>PTT</t>
  </si>
  <si>
    <t>Total Count of Obervations</t>
  </si>
  <si>
    <t>PTT-d1 (sec)PTT-d3PTT-d6</t>
  </si>
  <si>
    <t>PTT-d1 (sec)PTT-d7PTT-d8PTT-d9PTT-d10PTT-d18PTT-d20PTT-d23PTT-d25PTT-d29</t>
  </si>
  <si>
    <t>PTT-d1 (sec)PTT-d3PTT-d7PTT-d8PTT-d27</t>
  </si>
  <si>
    <t>PTT-d1 (sec)PTT-d1w2</t>
  </si>
  <si>
    <t>PTT-d1 (sec)PTT-d3PTT-d4PTT-d12PTT-d13PTT-d14</t>
  </si>
  <si>
    <t>PTT-d1 (sec)PTT-d3</t>
  </si>
  <si>
    <t>PTT-d2PTT-d6</t>
  </si>
  <si>
    <t>PTT-d1 (sec)PTT-d15</t>
  </si>
  <si>
    <t>PTT-d1 (sec)PTT-m20d28</t>
  </si>
  <si>
    <t>PTT-d1 (sec)PTT-d3PTT-d7</t>
  </si>
  <si>
    <t>PTT-d1 (sec)PTT-d2PTT-d4PTT-d5PTT-d6PTT-d8PTT-d9PTT-d11PTT-d14PTT-d15</t>
  </si>
  <si>
    <t>PTT-d1 (sec)PTT-d2PTT-d2w2PTT-d3PTT-d4PTT-d4w1PTT-d4w2PTT-d4w3PTT-d5</t>
  </si>
  <si>
    <t>PTT-d1 (sec)PTT-d2</t>
  </si>
  <si>
    <t>PTT-d2PTT-d2w2PTT-d3</t>
  </si>
  <si>
    <t>PTT-d27PTT-d32</t>
  </si>
  <si>
    <t>Qucik</t>
  </si>
  <si>
    <t>Total Number of Observations</t>
  </si>
  <si>
    <t>Fibrinogen-d1</t>
  </si>
  <si>
    <t>Fibrinogen</t>
  </si>
  <si>
    <t>FB</t>
  </si>
  <si>
    <t>FB
FB</t>
  </si>
  <si>
    <t>Fibrinogen-d1 , Fibrinogen-d3 , Fibrinogen-d4 , Fibrinogen-d12 , Fibrinogen-d13 , Fibrinogen-d14</t>
  </si>
  <si>
    <t>Fibrinogen-d2 , Fibrinogen-d4 , Fibrinogen-d4w1 , Fibrinogen-d4w2 , Fibrinogen-d5</t>
  </si>
  <si>
    <t>Column1</t>
  </si>
  <si>
    <t>Column2</t>
  </si>
  <si>
    <t>AT</t>
  </si>
  <si>
    <t>AT III -d1 , AT III-d1w2</t>
  </si>
  <si>
    <t>ATII-d5 , ATIII-d6</t>
  </si>
  <si>
    <t>AT III-d32 , AT III-d33</t>
  </si>
  <si>
    <t xml:space="preserve">Leukozyten-d1 </t>
  </si>
  <si>
    <t>Leukozyten-d17</t>
  </si>
  <si>
    <t>Leukozyten</t>
  </si>
  <si>
    <t>Day of Observations</t>
  </si>
  <si>
    <t>Leukozyten-d2 , Leukozyten-d3</t>
  </si>
  <si>
    <t>Leukozyten-d1  , Leukozyten-d2</t>
  </si>
  <si>
    <t>Leukozyten-d1  , Leukozyten-d2 , Leukozyten-d6</t>
  </si>
  <si>
    <t>Leukozyten-d1  , Leukozyten-d2 , Leukozyten-d8 , Leukozyten-d19</t>
  </si>
  <si>
    <t>Leukozyten-d1  , Leukozyten-d3 , Leukozyten-d4</t>
  </si>
  <si>
    <t>Leukozyten-d1  , Leukozyten-d3 , Leukozyten-d7</t>
  </si>
  <si>
    <t>Leukozyten-d1  , Leukozyten-d1w2 , Leukozyten-d2 , Leukozyten-d2w2 , Leukozyten-d3 , Leukozyten-d3w2 , Leukozyten-d4</t>
  </si>
  <si>
    <t>Leukozyten-d1  , Leukozyten-d2 , Leukozyten-d3</t>
  </si>
  <si>
    <t>Leukozyten-d1  , Leukozyten-d1w2 , Leukozyten-d2 , Leukozyten-d2w2 , Leukozyten-d3 , Leukozyten-d4 , Leukozyten-d6</t>
  </si>
  <si>
    <t>Leukozyten-d1  , Leukozyten-d13</t>
  </si>
  <si>
    <t>Leukozyten-d1  , Leukozyten-d15</t>
  </si>
  <si>
    <t>Leukozyten-d1  , Leukozyten-d1w2</t>
  </si>
  <si>
    <t>Leukozyten-d1  , Leukozyten-d2 , Leukozyten-d2w2 , Leukozyten-d2w3 , Leukozyten-d3 , Leukozyten-d4 ,
 Leukozyten-d5 , Leukozyten-d5w2 , Leukozyten-d6 , Leukozyten-d6w2 , Leukozyten-d6w3 , Leukozyten-d7</t>
  </si>
  <si>
    <t>Leukozyten-d1  , Leukozyten-d2 , Leukozyten-d4 , Leukozyten-d5 , Leukozyten-d6 , Leukozyten-d8 , 
Leukozyten-d9 , Leukozyten-d11 , Leukozyten-d12 , Leukozyten-d13 , Leukozyten-d14</t>
  </si>
  <si>
    <t>Leukozyten-d1  , Leukozyten-d2 , Leukozyten-d2w2 , Leukozyten-d3 , Leukozyten-d4 , Leukozyten-d4w2 , 
Leukozyten-d4w3 , Leukozyten-d4w4 , Leukozyten-d5</t>
  </si>
  <si>
    <t>Leukozyten-d1  , Leukozyten-d3 , Leukozyten-d4 , Leukozyten-d5 , Leukozyten-d7 , Leukozyten-d13 ,
 Leukozyten-d14 , Leukozyten-d20</t>
  </si>
  <si>
    <t xml:space="preserve">GOT-d1 </t>
  </si>
  <si>
    <t>GOT-Missing day</t>
  </si>
  <si>
    <t>GOT</t>
  </si>
  <si>
    <t>GOT-d1  , GOT-d1w2</t>
  </si>
  <si>
    <t>GOT-d1  , GOT-d3 , GOT-d5 , GOT-d7 , GOT-d8 , GOT-d15 , GOT-d27 , GOT-d28</t>
  </si>
  <si>
    <t>GOT-d1  , GOT-d12 , GOT-d21 , GOT-d26 , GOT-d40 , GOT-d54</t>
  </si>
  <si>
    <t>GOT-d1  , GOT-d3 , GOT-d18</t>
  </si>
  <si>
    <t>GOT-d1  , GOT-d13 , GOT-d14</t>
  </si>
  <si>
    <t>GOT-d2 , GOT-d3 , GOT-d7 , GOT-d14</t>
  </si>
  <si>
    <t>GOT-d1  , GOT-d5</t>
  </si>
  <si>
    <t>GOT-d1  , GOT-d32 , GOT-d35 , GOT-d37 , GOT-d38 , GOT-d39 , GOT-d40</t>
  </si>
  <si>
    <t>GOT-d1  , GOT-d2 , GOT-d5 , GOT-d8</t>
  </si>
  <si>
    <t>GOT-d1  , GOT-d15</t>
  </si>
  <si>
    <t>GOT-d1  , GOT-d8</t>
  </si>
  <si>
    <t>GOT-d1  , GOT-d2 , GOT-d7 , GOT-d9</t>
  </si>
  <si>
    <t>GOT-d1  , GOT-d1w2 , GOT-d1w3</t>
  </si>
  <si>
    <t>GOT-d1  , GOT-d2 , GOT-d8 , GOT-d12 , GOT-d19</t>
  </si>
  <si>
    <t>GOT-d1  , GOT-d3 , GOT-d4</t>
  </si>
  <si>
    <t>GOT-d1  , GOT-d2 , GOT-d3 , GOT-d7</t>
  </si>
  <si>
    <t>GOT-d1  , GOT-d2 , GOT-d4 , GOT-d5 , GOT-d6 , GOT-d8 , GOT-d9 , GOT-d11 , GOT-d12 , GOT-d13 , GOT-d14 , GOT-d15</t>
  </si>
  <si>
    <t>GOT-d1  , GOT-d12</t>
  </si>
  <si>
    <t>GOT-d1  , GOT-d6 , GOT-d8 , GOT-d42</t>
  </si>
  <si>
    <t>GOT-d1  , GOT-d2</t>
  </si>
  <si>
    <t>GOT-d1  , GOT-d2 , GOT-d4 , GOT-d6</t>
  </si>
  <si>
    <t>GOT-d1  , GOT-d10</t>
  </si>
  <si>
    <t>GOT-d1  , GOT-d2 , GOT-d3 , GOT-d4 , GOT-d4w2 , GOT-d4w3 , GOT-d4w4 , GOT-d5</t>
  </si>
  <si>
    <t>GOT-d1  , GOT-d4 , GOT-d8 , GOT-d14</t>
  </si>
  <si>
    <t>GOT-d1  , GOT-d2 , GOT-d3</t>
  </si>
  <si>
    <t>GOT-d1  , GOT-d1w2 , GOT-d2 , GOT-d2w2 , GOT-d3 , GOT-d4 , GOT-d6</t>
  </si>
  <si>
    <t>GOT-d1  , GOT-m4d6 , GOT-m5d21 , GOT-m5d26 , GOT-m5d29 , GOT-m6d7 , GOT-m6d4 , GOT-m7d6 , GOT-m10d6 , GOT-m11d10 , GOT-m11d30</t>
  </si>
  <si>
    <t>GOT-d1  , GOT-d2 , GOT-d2w2 , GOT-d3 , GOT-d4</t>
  </si>
  <si>
    <t>GOT-d2 , GOT-d3</t>
  </si>
  <si>
    <t>GOT-d1  , GOT-d3</t>
  </si>
  <si>
    <t>Got</t>
  </si>
  <si>
    <t>GOT-d1  , GOT-m2d2</t>
  </si>
  <si>
    <t>GOT-d1  , GOT-d6 , GOT-d14 , GOT-d21 , GOT-d28</t>
  </si>
  <si>
    <t>GOT-d1  , GOT-d2 , GOT-d6</t>
  </si>
  <si>
    <t>GOT-m21/d5</t>
  </si>
  <si>
    <t>GOT-m21/d9</t>
  </si>
  <si>
    <t>GOT-d1  , GOT-m20d28 , GOT-m21d1 , GOT-m21d2 , GOT-m21/d5 , GOT-m21/d9</t>
  </si>
  <si>
    <t>GOT-d6w3</t>
  </si>
  <si>
    <t>GOT-d1  , GOT-d2 , GOT-d2w2 , GOT-d2w3 , GOT-d3 , GOT-d4 , GOT-d5 , GOT-d5w2 , GOT-d6 , GOT-d6w2 , GOT-d6w3 , GOT-d7</t>
  </si>
  <si>
    <t>GPT-Therapie ende</t>
  </si>
  <si>
    <t>GPT-d1</t>
  </si>
  <si>
    <t>GPT-d2w3</t>
  </si>
  <si>
    <t>GPT-m21d2</t>
  </si>
  <si>
    <t>GPT-m21d5</t>
  </si>
  <si>
    <t>GPT-m21d9</t>
  </si>
  <si>
    <t>GPT</t>
  </si>
  <si>
    <t>GPT-d1 , GPT-d3 , GPT-d5 , GPT-d7 , GPT-d8 , GPT-d15 , GPT-d27 , GPT-d28</t>
  </si>
  <si>
    <t>GPT-d1 , GPT-d11</t>
  </si>
  <si>
    <t>GPT-d1 , GPT-d12 , GPT-d21 , GPT-d26 , GPT-d40 , GPT-d54</t>
  </si>
  <si>
    <t>GPT-d1 , GPT-d3 , GPT-d18</t>
  </si>
  <si>
    <t>GPT-d1 , GPT-d8</t>
  </si>
  <si>
    <t>GPT-d1 , GPT-d1w2 , GPT-d1w3</t>
  </si>
  <si>
    <t>GPT-d1 , GPT-d13 , GPT-d14</t>
  </si>
  <si>
    <t>GPT-d1 , GPT-d2 , GPT-d3 , GPT-d14</t>
  </si>
  <si>
    <t>GPT-d1 , GPT-d5</t>
  </si>
  <si>
    <t>GPT-d1 , GPT-d31 , GPT-d32 , GPT-d35 , GPT-d37 , GPT-d38 , GPT-d39 , GPT-d40</t>
  </si>
  <si>
    <t>GPT-d1 , GPT-d2 , GPT-d5 , GPT-d8</t>
  </si>
  <si>
    <t>GPT-d1 , GPT-d15</t>
  </si>
  <si>
    <t>GPT-d1 , GPT-d2 , GPT-d6 , GPT-d9</t>
  </si>
  <si>
    <t>GPT-d1 , GPT-d2 , GPT-d8 , GPT-d12 , GPT-d19</t>
  </si>
  <si>
    <t>GPT-d1 , GPT-m20d28 , GPT-m21/d1 , GPT-m21d2 , GPT-m21d5 , GPT-m21d9</t>
  </si>
  <si>
    <t>GPT-d1 , GPT-d3 , GPT-d4</t>
  </si>
  <si>
    <t>GPT-d1 , GPT-d2 , GPT-d3 , GPT-d7</t>
  </si>
  <si>
    <t>GPT-d4 , GPT-d5 , GPT-d6 , GPT-d8 , GPT-d9 , GPT-d11 , GPT-d12 , GPT-d13 , GPT-d14 , GPT-d15</t>
  </si>
  <si>
    <t>GPT-d1 , GPT-d12</t>
  </si>
  <si>
    <t>GPT-d1 , GPT-d6 , GPT-d9 , GPT-d42</t>
  </si>
  <si>
    <t>GPT-d1 , GPT-d2 , GPT-d16</t>
  </si>
  <si>
    <t>GPT-d1 , GPT-d2 , GPT-d4 , GPT-d6</t>
  </si>
  <si>
    <t>GPT-d1 , GPT-d10</t>
  </si>
  <si>
    <t>GPT-d1 , GPT-d2 , GPT-d3 , GPT-d4 , GPT-d4w2 , GPT-d4w3 , GPT-d4w4 , GPT-d5</t>
  </si>
  <si>
    <t>GPT-d1 , GPT-d4 , GPT-d8 , GPT-d14</t>
  </si>
  <si>
    <t>GPT-d1 , GPT-d2 , GPT-d3 , GPT-d4 , GPT-d5 , GPT-d5w2 , GPT-d6 , GPT-d6w2 , GPT-d6w3 , GPT-d7</t>
  </si>
  <si>
    <t>GPT-d1 , GPT-d2 , GPT-d3</t>
  </si>
  <si>
    <t>GPT-d1 , GPT-d2 , GPT-d3 , GPT-d4 , GPT-d6</t>
  </si>
  <si>
    <t>GPT-d1 , GPT-d2 , GPT-d2w2 , GPT-d3 , GPT-d4</t>
  </si>
  <si>
    <t>GPT-d2 , GPT-d2w2 , GPT-d3</t>
  </si>
  <si>
    <t>GPT-d1 , GPT-d3</t>
  </si>
  <si>
    <t>GPT-d2 , GPT-d2w2 , GPT-d15</t>
  </si>
  <si>
    <t>GPT-d1 , GPT-d27 , GPT-d32 , GPT-d33</t>
  </si>
  <si>
    <t>GPT-d1 , GPT-m2d2</t>
  </si>
  <si>
    <t>GPT-d1 , GPT-d6 , GPT-d14 , GPT-d21 , GPT-d28</t>
  </si>
  <si>
    <t>GPT-d1 , GPT-d2 , GPT-d6</t>
  </si>
  <si>
    <t>GPT-d1 , GPT-d9 , GPT-d10 , GPT-d14 , GPT-d15 , GPT-d16 , GPT-d17 , GPT-d18 , GPT-d19 , GPT-d20 , 
GPT-d21 , GPT-d23 , GPT-d25 , GPT-d29 , GPT-d31 , GPT-d32 , GPT-d36 , GPT-d39 , GPT-Therapie ende</t>
  </si>
  <si>
    <t>GPT-d1 , GPT-m4d6 , GPT-m5d21 , GPT-m5d26 , GPT-m5d29 , GPT-m6d7 , GPT-m6d14 , 
GPT-m7d16 , GPT-m10d6 , GPT-m11d10 , GPT-m11d30</t>
  </si>
  <si>
    <t xml:space="preserve">GGT-d1 </t>
  </si>
  <si>
    <t>GGT-m21d1</t>
  </si>
  <si>
    <t>GGT-m21d2</t>
  </si>
  <si>
    <t>GGT-m21d5</t>
  </si>
  <si>
    <t>GGT-m21d9</t>
  </si>
  <si>
    <t>GGT-Therapieende</t>
  </si>
  <si>
    <t>GGT</t>
  </si>
  <si>
    <t>GGT-d1  , GGT-d1w2</t>
  </si>
  <si>
    <t>GGT-d1  , GGT-d3 , GGT-d5 , GGT-d7 , GGT-d8 , GGT-d15 , GGT-d27 , GGT-d28</t>
  </si>
  <si>
    <t>GGT-d1  , GGT-d12 , GGT-d21 , GGT-d26 , GGT-d40 , GGT-d54</t>
  </si>
  <si>
    <t>GGT-d1  , GGT-Therapieende</t>
  </si>
  <si>
    <t>GGT-d3 , GGT-d18</t>
  </si>
  <si>
    <t>GGT-d1  , GGT-d13 , GGT-d14 , GGT-d20</t>
  </si>
  <si>
    <t>GGT-d1  , GGT-m7</t>
  </si>
  <si>
    <t>GGT-d1  , GGT-d2 , GGT-d3 , GGT-d7 , GGT-d14</t>
  </si>
  <si>
    <t>GGT-d32 , GGT-d35 , GGT-d37 , GGT-d38 , GGT-d39 , GGT-d40 , GGT-d42</t>
  </si>
  <si>
    <t>GGT-d1  , GGT-d8</t>
  </si>
  <si>
    <t>GGT-d1  , GGT-d2 , GGT-d6 , GGT-d9</t>
  </si>
  <si>
    <t>GGT-d1  , GGT-d2 , GGT-d5 , GGT-d8 , GGT-d12 , GGT-d19</t>
  </si>
  <si>
    <t>GGT-m20d28 , GGT-m21d1 , GGT-m21d2 , GGT-m21d5 , GGT-m21d9</t>
  </si>
  <si>
    <t>GGT-d1  , GGT-d2 , GGT-d3 , GGT-d7</t>
  </si>
  <si>
    <t>GGT-d4 , GGT-d5 , GGT-d6 , GGT-d8 , GGT-d9 , GGT-d11 , GGT-d12 , GGT-d13 , GGT-d14 , GGT-d15</t>
  </si>
  <si>
    <t>GGT-d1  , GGT-d12</t>
  </si>
  <si>
    <t>GGT-d1  , GGT-d6 , GGT-d8</t>
  </si>
  <si>
    <t>GGT-d1  , GGT-d2 , GGT-d16</t>
  </si>
  <si>
    <t>GGT-d1  , GGT-d2 , GGT-d4 , GGT-d6</t>
  </si>
  <si>
    <t>GGT-d1  , GGT-d2 , GGT-d3 , GGT-d4 , GGT-d4w2 , GGT-d4w3 , GGT-d4w4 , GGT-d5</t>
  </si>
  <si>
    <t>GGT-d1  , GGT-d4 , GGT-d8 , GGT-d14</t>
  </si>
  <si>
    <t>GGT-d1  , GGT-d2 , GGT-d3 , GGT-d4 , GGT-d5 , GGT-d5w2 , GGT-d6 , GGT-d6w2 , GGT-d6w3 , GGT-d7</t>
  </si>
  <si>
    <t>GGT-d1  , GGT-d2 , GGT-d3</t>
  </si>
  <si>
    <t>GGT-d1  , GGT-d1w2 , GGT-d2 , GGT-d2w2 , GGT-d3 , GGT-d4 , GGT-d6</t>
  </si>
  <si>
    <t>GGT-d1  , GGT-m4d6 , GGT-m5d21 , GGT-m5d26 , GGT-m5d29 , GGT-m6d7 , GGT-m6d14 , GGT-m7d16 , GGT-m10d6 , GGT-m11d10 , GGT-m11d30</t>
  </si>
  <si>
    <t>GGT-d2 , GGT-d4</t>
  </si>
  <si>
    <t>GGT-d1  , GGT-d7</t>
  </si>
  <si>
    <t>GGT-d2 , GGT-d3 , GGT-d4 , GGT-d6 , GGT-d12 , GGT-d13</t>
  </si>
  <si>
    <t>GGT-d1  , GGT-d3</t>
  </si>
  <si>
    <t>GGT-d1  , GGT-d32 , GGT-d33</t>
  </si>
  <si>
    <t>GGT-d1  , GGT-m2d2</t>
  </si>
  <si>
    <t>GGT-d1  , GGT-d6 , GGT-d14 , GGT-d21 , GGT-d28</t>
  </si>
  <si>
    <t>GGT-d2 , GGT-d9 , GGT-d10 , GGT-d14 , GGT-d15 , GGT-d16 , GGT-d17 , GGT-d18 , GGT-d19 , 
GGT-d20 , GGT-d21 , GGT-d23 , GGT-d25 , GGT-d29 , GGT-d31 , GGT-d36 , GGT-d39 , GGT-Therapieende</t>
  </si>
  <si>
    <t xml:space="preserve">LDH-d1 </t>
  </si>
  <si>
    <t>LDH-d28</t>
  </si>
  <si>
    <t>LDH</t>
  </si>
  <si>
    <t>LDH-d1  , LDH-d14 , LDH-d15 , LDH-d16 , LDH-d17 , LDH-d18 , LDH-d19 , LDH-d20 , LDH-d21 , LDH-23 , LDH-25 , LDH-d29</t>
  </si>
  <si>
    <t>LDH-d1  , LDH-d11</t>
  </si>
  <si>
    <t>LDH-d1  , LDH-d1w2</t>
  </si>
  <si>
    <t>LDH-d1  , LDH-d13 , LDH-d14</t>
  </si>
  <si>
    <t>LDH-d1  , LDH-d2 , LDH-d3 , LDH-d7</t>
  </si>
  <si>
    <t>LDH-d35 , LDH-d38 , LDH-d39 , LDH-d40</t>
  </si>
  <si>
    <t>LDH-d2 , LDH-d5 , LDH-d8</t>
  </si>
  <si>
    <t>LDH-d1  , LDH-d2</t>
  </si>
  <si>
    <t>LDH-d1  , LDH-m20d28 , LDH-m21d2 , LDH-m21d9</t>
  </si>
  <si>
    <t>LDH-d3 , LDH-d4</t>
  </si>
  <si>
    <t>LDH-d1  , LDH-d1w2 , LDH-d1w3</t>
  </si>
  <si>
    <t>LDH-d1  , LDH-d2 , LDH-d3 , LDH-d4 , LDH-d4w2 , LDH-d4w3 , LDH-d4w4 , LDH-d5</t>
  </si>
  <si>
    <t>LDH-d1  , LDH-d2 , LDH-d2w2 , LDH-d2w3 , LDH-d3 , LDH-d4 , LDH-d5 , LDH-d5w2 , LDH-d6 , LDH-d6w2 , LDH-d6w3 , LDH-d7</t>
  </si>
  <si>
    <t>LDH-d1  , LDH-d2 , LDH-d3</t>
  </si>
  <si>
    <t>LDH-d1  , LDH-d1w2 , LDH-d2 , LDH-d2w2 , LDH-d3 , LDH-d4 , LDH-d6</t>
  </si>
  <si>
    <t>LDH-d2 , LDH-d3 , LDH-d4</t>
  </si>
  <si>
    <t>LDH-d1  , LDH-d3</t>
  </si>
  <si>
    <t>LDH-d27 , LDH-d32 , LDH-d33</t>
  </si>
  <si>
    <t>LDH-d1  , LDH-d6 , LDH-d14 , LDH-d21 , LDH-d28</t>
  </si>
  <si>
    <t>Bilirubin-d22</t>
  </si>
  <si>
    <t xml:space="preserve">Bilirubin-d1 </t>
  </si>
  <si>
    <t>Bilirubin-m4d6</t>
  </si>
  <si>
    <t>Bilirubin-m5d21</t>
  </si>
  <si>
    <t>Bilirubin-m5d26</t>
  </si>
  <si>
    <t>Bilirubin-m5d29</t>
  </si>
  <si>
    <t>Bilirubin-m6d7</t>
  </si>
  <si>
    <t>Bilirubin-m6d14</t>
  </si>
  <si>
    <t>Bilirubin-m7d16</t>
  </si>
  <si>
    <t>Bilirubin-m10d6</t>
  </si>
  <si>
    <t>Bilirubin-m11d10</t>
  </si>
  <si>
    <t>Bilirubin-m11d30</t>
  </si>
  <si>
    <t>Bilirubin</t>
  </si>
  <si>
    <t>Billirubin</t>
  </si>
  <si>
    <t>Billirubin-d5 , Billirubin-d8 , Billirubin-d27 , Billirubin-d28</t>
  </si>
  <si>
    <t>Bilirubin-d7 , Bilirubin-d21</t>
  </si>
  <si>
    <t>Bilirubin-d1  , Bilirubin-d18</t>
  </si>
  <si>
    <t>Bilirubin-d1  , Bilirubin-d2 , Bilirubin-d13 , Bilirubin-d14</t>
  </si>
  <si>
    <t>Billirubin-d3 , Billirubin-d4</t>
  </si>
  <si>
    <t>Bilirubin-d1  , Bilirubin-m7</t>
  </si>
  <si>
    <t>Bilirubin-d22 , Bilirubin-d14</t>
  </si>
  <si>
    <t>Bilirubin-d1  , Bilirubin-d39 , Bilirubin-d42</t>
  </si>
  <si>
    <t>Billirubin-d32 , Billirubin-d35 , Billirubin-d37 , Billirubin-d38 , Billirubin-d40</t>
  </si>
  <si>
    <t>Bilirubin-d1  , Bilirubin-d22 , Bilirubin-d7</t>
  </si>
  <si>
    <t>Bilirubin-d1  , Bilirubin-d12</t>
  </si>
  <si>
    <t>Billirubin-d6 , Billirubin-d9</t>
  </si>
  <si>
    <t>Bilirubin-m21d1 , Bilirubin-m21d2 , Bilirubin-m21d5</t>
  </si>
  <si>
    <t>Bilirubin-d1  , Bilirubin-d7</t>
  </si>
  <si>
    <t>Bilirubin-d22 , Bilirubin-d12 , Bilirubin-d13 , Bilirubin-d14 , Bilirubin-d15</t>
  </si>
  <si>
    <t>Billirubin-d4 , Billirubin-d5 , Billirubin-d6 , Billirubin-d8 , Billirubin-d9 , Billirubin-d11</t>
  </si>
  <si>
    <t>Bilirubin-d1  , Bilirubin-d13</t>
  </si>
  <si>
    <t>Bilirubin-d1  , Bilirubin-d1w2</t>
  </si>
  <si>
    <t>Bilirubin-d1  , Bilirubin-d22 , Bilirubin-d4w4</t>
  </si>
  <si>
    <t>Billirubin-d3 , Billirubin-d4 , Billirubin-d4w2 , Billirubin-d4w3 , Billirubin-d5</t>
  </si>
  <si>
    <t>Bilirubin-d1  , Bilirubin-d22 , Bilirubin-d2w2 , Bilirubin-d2w3 , Bilirubin-d6w2 , Bilirubin-d7</t>
  </si>
  <si>
    <t>Billirubin-d3 , Billirubin-d4 , Billirubin-d5 , Billirubin-d5w2 , Billirubin-d6 , Billirubin-d6w3</t>
  </si>
  <si>
    <t>Bilirubin-d1  , Bilirubin-d22</t>
  </si>
  <si>
    <t>Bilirubin-d1  , Bilirubin-d1w2 , Bilirubin-d22 , Bilirubin-d2w2 , Bilirubin-d2w3</t>
  </si>
  <si>
    <t>Billirubin-d3 , Billirubin-d4 , Billirubin-d6</t>
  </si>
  <si>
    <t>Bilirubin-d22 , Bilirubin-d7</t>
  </si>
  <si>
    <t>Bilirubin-d1  , Bilirubin-d14 , Bilirubin-d21</t>
  </si>
  <si>
    <t>Billirubin-d6 , Billirubin-d28</t>
  </si>
  <si>
    <t>Bilirubin-d2 , Bilirubin-d22 , Bilirubin-d15 , Bilirubin-d16 , Bilirubin-d18 , Bilirubin-d19 ,
 Bilirubin-d20 , Bilirubin-d21 , Bilirubin-d23 , Bilirubin-25 , Bilirubin-d31 , Bilirubin-d39</t>
  </si>
  <si>
    <t>Bilirubin-d1  , Bilirubin-m4d6 , Bilirubin-m5d21 , Bilirubin-m5d26 , Bilirubin-m5d29 , 
Bilirubin-m6d7 , Bilirubin-m6d14 , Bilirubin-m7d16 , Bilirubin-m10d6 , Bilirubin-m11d10 , Bilirubin-m11d30</t>
  </si>
  <si>
    <t xml:space="preserve">GLDH-d1 </t>
  </si>
  <si>
    <t>GLDH</t>
  </si>
  <si>
    <t>GLDH-d1  , GLDH- Verlauf</t>
  </si>
  <si>
    <t>GLDH-d1  , GLDH-d1w2 , GLDH-d1w3</t>
  </si>
  <si>
    <t>GLDH-d2 , GLDH-d3 , GLDH-d14</t>
  </si>
  <si>
    <t>GLDH-d1  , GLDH-d14</t>
  </si>
  <si>
    <t>GLDH-d1  , GLDH-d13</t>
  </si>
  <si>
    <t>GLDH-d1  , GLDH-d1w2 , GLDH-d2 , GLDH-d2w2 , GLDH-d3 , GLDH-d4 , GLDH-d6</t>
  </si>
  <si>
    <t>GLDH-m6d7 , GLDH-m6d14 , GLDH-m7d16 , GLDH-m11d10 , GLDH-m11d30</t>
  </si>
  <si>
    <t xml:space="preserve">AP-d1 </t>
  </si>
  <si>
    <t>AP-d1w3</t>
  </si>
  <si>
    <t>AP-d2w3</t>
  </si>
  <si>
    <t>AP-d4</t>
  </si>
  <si>
    <t>AP-d4w4</t>
  </si>
  <si>
    <t>AP-d6</t>
  </si>
  <si>
    <t>AP-d6w3</t>
  </si>
  <si>
    <t>AP-d11</t>
  </si>
  <si>
    <t>AP-d12</t>
  </si>
  <si>
    <t>AP-d25</t>
  </si>
  <si>
    <t>AP-d32</t>
  </si>
  <si>
    <t>AP-d35</t>
  </si>
  <si>
    <t>AP-d36</t>
  </si>
  <si>
    <t>AP-d38</t>
  </si>
  <si>
    <t>AP-d40</t>
  </si>
  <si>
    <t>AP-m5d21</t>
  </si>
  <si>
    <t>AP-m5d26</t>
  </si>
  <si>
    <t>AP-m5d29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</si>
  <si>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</si>
  <si>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</si>
  <si>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</si>
  <si>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</si>
  <si>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</si>
  <si>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</si>
  <si>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</si>
  <si>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</si>
  <si>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</t>
  </si>
  <si>
    <t>AP-d1  , AP-d3 , AP-d5 , AP-d7 , AP-d8 , AP-d15 , AP-d27 , AP-d28</t>
  </si>
  <si>
    <t>AP-d3 , AP-d18</t>
  </si>
  <si>
    <t>AP-d1  , AP-d1w2 , AP-d1w3</t>
  </si>
  <si>
    <t>AP-d1  , AP-d13 , AP-d14</t>
  </si>
  <si>
    <t>AP-d1  , AP-d2 , AP-d3 , AP-d7</t>
  </si>
  <si>
    <t>AP-d1  , AP-d32 , AP-d35 , AP-d38 , AP-d39 , AP-d40</t>
  </si>
  <si>
    <t>AP-d1  , AP-d2 , AP-d5 , AP-d8</t>
  </si>
  <si>
    <t>AP-d1  , AP-d8</t>
  </si>
  <si>
    <t>AP-d1  , AP-d2 , AP-d6 , AP-d9</t>
  </si>
  <si>
    <t>AP-d1  , AP-d2 , AP-d8 , AP-d12 , AP-d19</t>
  </si>
  <si>
    <t>AP-d1  , AP-m20d28 , AP-m21d1 , AP-m21d2 , AP-m21d5 , AP-m21d9</t>
  </si>
  <si>
    <t>AP-d1  , AP-d4</t>
  </si>
  <si>
    <t>AP-d1  , AP-d3 , AP-d7</t>
  </si>
  <si>
    <t>AP-d5 , AP-d6 , AP-d8 , AP-d9 , AP-d11 , AP-d12 , AP-d13 , AP-d14 , AP-d15</t>
  </si>
  <si>
    <t>AP-d1  , AP-d12</t>
  </si>
  <si>
    <t>AP-d1  , AP-d6 , AP-d29</t>
  </si>
  <si>
    <t>AP-d1  , AP-d2 , AP-d4 , AP-d6</t>
  </si>
  <si>
    <t>AP-d1  , AP-d14</t>
  </si>
  <si>
    <t>AP-d1  , AP-d13</t>
  </si>
  <si>
    <t>AP-d1  , AP-d1w2</t>
  </si>
  <si>
    <t>AP-d1  , AP-d2 , AP-d3 , AP-d4 , AP-d4w2 , AP-d4w3 , AP-d4w4 , AP-d5</t>
  </si>
  <si>
    <t>AP-d1  , AP-d2 , AP-d2w2 , AP-d2w3 , AP-d3 , AP-d4 , AP-d5 , AP-d5w2 , AP-d6 , AP-d6w2 , AP-d6w3 , AP-d7</t>
  </si>
  <si>
    <t>AP-d1  , AP-d2 , AP-d3</t>
  </si>
  <si>
    <t>AP-d1  , AP-d1w2 , AP-d2 , AP-d3 , AP-d4</t>
  </si>
  <si>
    <t>AP-m5d21 , AP-m5d26 , AP-m5d29 , AP-m6d7 , AP-m6d14 , AP-m7d16 , AP-m10d6 , AP-m11d10 , AP-m11d30</t>
  </si>
  <si>
    <t>AP-d2 , AP-d3 , AP-d4</t>
  </si>
  <si>
    <t>AP-d2 , AP-d3 , AP-d4 , AP-d6 , AP-d12 , AP-d14</t>
  </si>
  <si>
    <t>AP-d1  , AP-d3</t>
  </si>
  <si>
    <t>AP-d1  , AP-m2d2</t>
  </si>
  <si>
    <t>AP-d1  , AP-d6 , AP-d14 , AP-d21 , AP-d28</t>
  </si>
  <si>
    <t>AP-Therapie ende</t>
  </si>
  <si>
    <t>AP-d1  , AP-d2 , AP-d9 , AP-d10 , AP-d14 , AP-d16 , AP-d17 , AP-d18 , AP-d19 , AP-d20 , AP-d21 , AP-d23 , AP-d25 , AP-d29 , AP-d31 , AP-d36 , AP-d39 , AP-Therapie ende</t>
  </si>
  <si>
    <t>GOT-Therapie ende</t>
  </si>
  <si>
    <t>GOT-d1  , GOT-d9 , GOT-d10 , GOT-d14 , GOT-d15 , GOT-d16 , GOT-d17 , GOT-d18 , GOT-d19 , GOT-d20 , GOT-d21 , GOT-d23 , GOT-d25 , GOT-d29 , GOT-d31 , GOT-d32 , GOT-d36 , GOT-d39 , GOT-Therapie ende</t>
  </si>
  <si>
    <r>
      <t>GOT-d1  , GOT-d11 ,</t>
    </r>
    <r>
      <rPr>
        <sz val="11"/>
        <color rgb="FFFF0000"/>
        <rFont val="Calibri"/>
        <family val="2"/>
        <scheme val="minor"/>
      </rPr>
      <t xml:space="preserve"> GOT-Missing day</t>
    </r>
  </si>
  <si>
    <t>Cholinesterase-d62</t>
  </si>
  <si>
    <t xml:space="preserve">Cholinesterase-d1 </t>
  </si>
  <si>
    <t>CE</t>
  </si>
  <si>
    <t>Cholinesterase-d15 , Cholinesterase-d18 , Cholinesterase-19 , Cholinesterase-d20 , Cholinesterase-d23 , Cholinesterase-25 , Cholinesterase-29</t>
  </si>
  <si>
    <t>Cholinesterase-d1  , Cholinesterase-d1w2</t>
  </si>
  <si>
    <t>Cholinesterase-d2 , Cholinesterase-d3 , Cholinesterase-d7</t>
  </si>
  <si>
    <t>Cholinesterase-d1  , Cholinesterase-d1w2 , Cholinesterase-d2 , Cholinesterase-d2w2 , Cholinesterase-d3 , Cholinesterase-d4 , Cholinesterase-d62</t>
  </si>
  <si>
    <t>Cholinesterase-m5d26 , Cholinesterase-m6d7 , Cholinesterase-m6d14 , Cholinesterase-m7d16 , Cholinesterase-m10d6 , Cholinesterase-m11d30</t>
  </si>
  <si>
    <t>Cholinesterase-d1  , Cholinesterase-d3</t>
  </si>
  <si>
    <t>Cholinesterase-d1  , Cholinesterase-d2 , Cholinesterase-d2w2 , Cholinesterase-d2w3 , Cholinesterase-d3 , Cholinesterase-d5 , 
Cholinesterase-d5w2 , Cholinesterase-d62 , Cholinesterase-d6w2 , Cholinesterase-d6w3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</si>
</sst>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0" fontId="4" fillId="0" borderId="0" xfId="0" applyFont="1"/>
    <xf numFmtId="0" fontId="5" fillId="0" borderId="0" xfId="0" applyFont="1"/>
    <xf numFmtId="49" fontId="6" fillId="0" borderId="0" xfId="0" applyNumberFormat="1" applyFont="1" applyAlignment="1">
      <alignment wrapText="1"/>
    </xf>
    <xf numFmtId="49" fontId="0" fillId="7" borderId="0" xfId="0" applyNumberFormat="1" applyFill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0" fillId="0" borderId="0" xfId="0" applyFill="1"/>
    <xf numFmtId="0" fontId="0" fillId="0" borderId="0" xfId="0" applyNumberFormat="1" applyAlignment="1">
      <alignment wrapText="1"/>
    </xf>
    <xf numFmtId="0" fontId="8" fillId="9" borderId="2" xfId="0" applyFont="1" applyFill="1" applyBorder="1"/>
    <xf numFmtId="0" fontId="0" fillId="10" borderId="1" xfId="0" applyFont="1" applyFill="1" applyBorder="1"/>
    <xf numFmtId="0" fontId="0" fillId="10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11" borderId="0" xfId="0" applyNumberFormat="1" applyFill="1"/>
    <xf numFmtId="0" fontId="10" fillId="0" borderId="0" xfId="0" applyNumberFormat="1" applyFont="1"/>
    <xf numFmtId="0" fontId="0" fillId="0" borderId="0" xfId="0" applyNumberFormat="1" applyAlignment="1">
      <alignment horizontal="left" vertical="center"/>
    </xf>
    <xf numFmtId="0" fontId="0" fillId="11" borderId="0" xfId="0" applyFill="1"/>
    <xf numFmtId="0" fontId="5" fillId="11" borderId="0" xfId="0" applyFont="1" applyFill="1"/>
    <xf numFmtId="0" fontId="11" fillId="11" borderId="0" xfId="0" applyNumberFormat="1" applyFont="1" applyFill="1" applyAlignment="1">
      <alignment horizont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10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removeDataOnSave="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21"/>
      <queryTableField id="2" name="Cretaine Kinase" tableColumnId="22"/>
      <queryTableField id="3" name="Day of Observation" tableColumnId="23"/>
      <queryTableField id="4" name="Total Number of Observations" tableColumnId="24"/>
    </queryTableFields>
  </queryTableRefresh>
</queryTable>
</file>

<file path=xl/queryTables/queryTable2.xml><?xml version="1.0" encoding="utf-8"?>
<queryTable xmlns="http://schemas.openxmlformats.org/spreadsheetml/2006/main" name="ExternalData_1" connectionId="1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7"/>
      <queryTableField id="2" name="Qucik" tableColumnId="18"/>
      <queryTableField id="3" name="Day of Observation" tableColumnId="19"/>
      <queryTableField id="4" name="Total Number of Observations" tableColumnId="20"/>
    </queryTableFields>
  </queryTableRefresh>
</queryTable>
</file>

<file path=xl/queryTables/queryTable3.xml><?xml version="1.0" encoding="utf-8"?>
<queryTable xmlns="http://schemas.openxmlformats.org/spreadsheetml/2006/main" name="ExternalData_1" connectionId="1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3"/>
      <queryTableField id="2" name="PTT" tableColumnId="14"/>
      <queryTableField id="3" name="Day of Observation" tableColumnId="15"/>
      <queryTableField id="4" name="Total Count of Obervations" tableColumnId="16"/>
    </queryTableFields>
  </queryTableRefresh>
</queryTable>
</file>

<file path=xl/queryTables/queryTable4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Fibrinogen" tableColumnId="10"/>
      <queryTableField id="3" name="Day of Observation" tableColumnId="11"/>
      <queryTableField id="4" name="Total Number of Observations" tableColumnId="12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AT" tableColumnId="10"/>
      <queryTableField id="3" name="Day of Observation" tableColumnId="11"/>
      <queryTableField id="4" name="Total Number of Observations" tableColumnId="12"/>
    </queryTableFields>
  </queryTableRefresh>
</queryTable>
</file>

<file path=xl/queryTables/queryTable6.xml><?xml version="1.0" encoding="utf-8"?>
<queryTable xmlns="http://schemas.openxmlformats.org/spreadsheetml/2006/main" name="ExternalData_1" connectionId="1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Leukozyten" tableColumnId="10"/>
      <queryTableField id="3" name="Day of Observations" tableColumnId="11"/>
      <queryTableField id="4" name="Total Number of Observations" tableColumnId="12"/>
    </queryTableFields>
  </queryTableRefresh>
</queryTable>
</file>

<file path=xl/queryTables/queryTable7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25"/>
      <queryTableField id="2" name="GOT" tableColumnId="26"/>
      <queryTableField id="3" name="Day of Observations" tableColumnId="27"/>
      <queryTableField id="4" name="Total Number of Observations" tableColumnId="28"/>
    </queryTableFields>
  </queryTableRefresh>
</queryTable>
</file>

<file path=xl/queryTables/queryTable8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3"/>
      <queryTableField id="2" name="GPT" tableColumnId="14"/>
      <queryTableField id="3" name="Day of Observations" tableColumnId="15"/>
      <queryTableField id="4" name="Total Number of Observations" tableColumnId="16"/>
    </queryTableFields>
  </queryTableRefresh>
</queryTable>
</file>

<file path=xl/queryTables/queryTable9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GGT" tableColumnId="10"/>
      <queryTableField id="3" name="Day of Observation" tableColumnId="11"/>
      <queryTableField id="4" name="Total Number of Observations" tableColumnId="12"/>
    </queryTableFields>
  </queryTableRefresh>
</queryTable>
</file>

<file path=xl/queryTables/queryTable10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LDH" tableColumnId="10"/>
      <queryTableField id="3" name="Day of Observation" tableColumnId="11"/>
      <queryTableField id="4" name="Total Number of Observations" tableColumnId="12"/>
    </queryTableFields>
  </queryTableRefresh>
</queryTable>
</file>

<file path=xl/queryTables/queryTable1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Bilirubin" tableColumnId="10"/>
      <queryTableField id="3" name="Day of Observations" tableColumnId="11"/>
      <queryTableField id="4" name="Total Number of Observations" tableColumnId="12"/>
    </queryTableFields>
  </queryTableRefresh>
</queryTable>
</file>

<file path=xl/queryTables/queryTable12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GLDH" tableColumnId="10"/>
      <queryTableField id="3" name="Day of Observation" tableColumnId="11"/>
      <queryTableField id="4" name="Total Number of Observations" tableColumnId="12"/>
    </queryTableFields>
  </queryTableRefresh>
</queryTable>
</file>

<file path=xl/queryTables/queryTable1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3"/>
      <queryTableField id="2" name="AP" tableColumnId="14"/>
      <queryTableField id="3" name="Day of Observations" tableColumnId="15"/>
      <queryTableField id="4" name="Total Number of Observations" tableColumnId="16"/>
    </queryTableFields>
  </queryTableRefresh>
</queryTable>
</file>

<file path=xl/queryTables/queryTable14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9"/>
      <queryTableField id="2" name="CE" tableColumnId="10"/>
      <queryTableField id="3" name="Day of Observation" tableColumnId="11"/>
      <queryTableField id="4" name="Total Number of Observations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id="1" name="Table1" displayName="Table1" ref="A1:AB153" totalsRowShown="0">
  <autoFilter ref="A1:AB153"/>
  <tableColumns count="28">
    <tableColumn id="1" name="Patienten-ID"/>
    <tableColumn id="2" name="Ck-d1 "/>
    <tableColumn id="3" name="Ck-d2"/>
    <tableColumn id="4" name="Ck-d2w2"/>
    <tableColumn id="5" name="Ck-d2w3"/>
    <tableColumn id="6" name="Ck-d3"/>
    <tableColumn id="7" name="Ck-d4"/>
    <tableColumn id="8" name="Ck-d4w2"/>
    <tableColumn id="9" name="Ck-d4w3"/>
    <tableColumn id="10" name="Ck-d4w4"/>
    <tableColumn id="11" name="Ck-d5"/>
    <tableColumn id="12" name="Ck-d5w2"/>
    <tableColumn id="13" name="Ck-d6"/>
    <tableColumn id="14" name="Ck-d6w2"/>
    <tableColumn id="15" name="Ck-d6w3"/>
    <tableColumn id="16" name="Ck-d7"/>
    <tableColumn id="17" name="Ck-d8"/>
    <tableColumn id="18" name="Ck-d10"/>
    <tableColumn id="19" name="Ck-d13"/>
    <tableColumn id="20" name="Ck-d14"/>
    <tableColumn id="21" name="Ck-d15"/>
    <tableColumn id="22" name="Ck-d19"/>
    <tableColumn id="23" name="Ck-d20"/>
    <tableColumn id="24" name="Ck-d21"/>
    <tableColumn id="25" name="Ck-d23"/>
    <tableColumn id="26" name="Ck-d28"/>
    <tableColumn id="27" name="Ck-m20d28"/>
    <tableColumn id="28" name="Ck-m21/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K_Observations" displayName="CK_Observations" ref="A1:D20" tableType="queryTable" totalsRowShown="0" headerRowDxfId="47">
  <autoFilter ref="A1:D20"/>
  <sortState ref="A2:D20">
    <sortCondition ref="C1:C20"/>
  </sortState>
  <tableColumns count="4">
    <tableColumn id="21" uniqueName="21" name="Patienten-ID" queryTableFieldId="1" dataDxfId="101"/>
    <tableColumn id="22" uniqueName="22" name="Cretaine Kinase" queryTableFieldId="2" dataDxfId="100"/>
    <tableColumn id="23" uniqueName="23" name="Day of Observation" queryTableFieldId="3" dataDxfId="99"/>
    <tableColumn id="24" uniqueName="24" name="Total Number of Observations" queryTableFieldId="4" dataDxfId="9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AA153" totalsRowShown="0">
  <autoFilter ref="A1:AA153"/>
  <tableColumns count="27">
    <tableColumn id="1" name="Patienten-ID"/>
    <tableColumn id="2" name="Quick-d1 "/>
    <tableColumn id="3" name="Quick-d1w2"/>
    <tableColumn id="4" name="Quick-d2 "/>
    <tableColumn id="5" name="Quick-d2w2"/>
    <tableColumn id="6" name="Quick-d3"/>
    <tableColumn id="7" name="Quick-d4"/>
    <tableColumn id="8" name="Quick-d4w2"/>
    <tableColumn id="9" name="Quick-d4w3"/>
    <tableColumn id="10" name="Quick-d5"/>
    <tableColumn id="11" name="Quick-d6"/>
    <tableColumn id="12" name="Quick-d7"/>
    <tableColumn id="13" name="Quick-d8"/>
    <tableColumn id="14" name="Quick-d9"/>
    <tableColumn id="15" name="Quick-d11"/>
    <tableColumn id="16" name="Quick-d12"/>
    <tableColumn id="17" name="Quick-d13"/>
    <tableColumn id="18" name="Quick-d14"/>
    <tableColumn id="19" name="Quick-d15"/>
    <tableColumn id="20" name="Quick-d18"/>
    <tableColumn id="21" name="Quick-d20"/>
    <tableColumn id="22" name="Quick-23"/>
    <tableColumn id="23" name="Quick-25"/>
    <tableColumn id="24" name="Quick-d27"/>
    <tableColumn id="25" name="Quick-29"/>
    <tableColumn id="26" name="Quick-d32"/>
    <tableColumn id="27" name="Quick-m20d2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Quick" displayName="Quick" ref="A1:D34" tableType="queryTable" totalsRowShown="0" headerRowDxfId="46">
  <autoFilter ref="A1:D34"/>
  <tableColumns count="4">
    <tableColumn id="17" uniqueName="17" name="Patienten-ID" queryTableFieldId="1" dataDxfId="97"/>
    <tableColumn id="18" uniqueName="18" name="Qucik" queryTableFieldId="2" dataDxfId="96"/>
    <tableColumn id="19" uniqueName="19" name="Day of Observation" queryTableFieldId="3" dataDxfId="95"/>
    <tableColumn id="20" uniqueName="20" name="Total Number of Observations" queryTableFieldId="4" dataDxfId="9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C153" totalsRowShown="0" headerRowDxfId="93">
  <autoFilter ref="A1:AC153"/>
  <tableColumns count="29">
    <tableColumn id="1" name="Patienten-ID"/>
    <tableColumn id="2" name="PTT-d1 (sec)" dataDxfId="92"/>
    <tableColumn id="3" name="PTT-d1w2" dataDxfId="91"/>
    <tableColumn id="4" name="PTT-d2" dataDxfId="90"/>
    <tableColumn id="5" name="PTT-d2w2" dataDxfId="89"/>
    <tableColumn id="6" name="PTT-d3" dataDxfId="88"/>
    <tableColumn id="7" name="PTT-d4" dataDxfId="87"/>
    <tableColumn id="8" name="PTT-d4w1" dataDxfId="86"/>
    <tableColumn id="9" name="PTT-d4w2" dataDxfId="85"/>
    <tableColumn id="10" name="PTT-d4w3" dataDxfId="84"/>
    <tableColumn id="11" name="PTT-d5" dataDxfId="83"/>
    <tableColumn id="12" name="PTT-d6" dataDxfId="82"/>
    <tableColumn id="13" name="PTT-d7" dataDxfId="81"/>
    <tableColumn id="14" name="PTT-d8" dataDxfId="80"/>
    <tableColumn id="15" name="PTT-d9" dataDxfId="79"/>
    <tableColumn id="16" name="PTT-d10" dataDxfId="78"/>
    <tableColumn id="17" name="PTT-d11" dataDxfId="77"/>
    <tableColumn id="18" name="PTT-d12" dataDxfId="76"/>
    <tableColumn id="19" name="PTT-d13" dataDxfId="75"/>
    <tableColumn id="20" name="PTT-d14" dataDxfId="74"/>
    <tableColumn id="21" name="PTT-d15" dataDxfId="73"/>
    <tableColumn id="22" name="PTT-d18" dataDxfId="72"/>
    <tableColumn id="23" name="PTT-d20" dataDxfId="71"/>
    <tableColumn id="24" name="PTT-d23" dataDxfId="70"/>
    <tableColumn id="25" name="PTT-d25" dataDxfId="69"/>
    <tableColumn id="26" name="PTT-d27" dataDxfId="68"/>
    <tableColumn id="27" name="PTT-d29" dataDxfId="67"/>
    <tableColumn id="28" name="PTT-d32" dataDxfId="66"/>
    <tableColumn id="29" name="PTT-m20d28" dataDxfId="6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PTT" displayName="PTT" ref="A1:D25" tableType="queryTable" totalsRowShown="0" headerRowDxfId="45">
  <autoFilter ref="A1:D25"/>
  <tableColumns count="4">
    <tableColumn id="13" uniqueName="13" name="Patienten-ID" queryTableFieldId="1" dataDxfId="64"/>
    <tableColumn id="14" uniqueName="14" name="PTT" queryTableFieldId="2" dataDxfId="63"/>
    <tableColumn id="15" uniqueName="15" name="Day of Observation" queryTableFieldId="3" dataDxfId="62"/>
    <tableColumn id="16" uniqueName="16" name="Total Count of Obervations" queryTableFieldId="4" dataDxfId="6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153" totalsRowShown="0">
  <autoFilter ref="A1:N153"/>
  <tableColumns count="14">
    <tableColumn id="1" name="Patienten-ID"/>
    <tableColumn id="2" name="TZ-d1"/>
    <tableColumn id="3" name="Fibrinogen-d1"/>
    <tableColumn id="4" name="Fibrinogen-d2"/>
    <tableColumn id="5" name="Fibrinogen-d3"/>
    <tableColumn id="6" name="Fibrinogen-d4"/>
    <tableColumn id="7" name="Fibrinogen-d4w1"/>
    <tableColumn id="8" name="Fibrinogen-d4w2"/>
    <tableColumn id="9" name="Fibrinogen-d5"/>
    <tableColumn id="10" name="Fibrinogen-d7"/>
    <tableColumn id="11" name="Fibrinogen-d8"/>
    <tableColumn id="12" name="Fibrinogen-d12"/>
    <tableColumn id="13" name="Fibrinogen-d13"/>
    <tableColumn id="14" name="Fibrinogen-d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brinogen" displayName="Fibrinogen" ref="A1:D12" tableType="queryTable" totalsRowShown="0" headerRowDxfId="44">
  <autoFilter ref="A1:D12"/>
  <tableColumns count="4">
    <tableColumn id="9" uniqueName="9" name="Patienten-ID" queryTableFieldId="1" dataDxfId="60"/>
    <tableColumn id="10" uniqueName="10" name="Fibrinogen" queryTableFieldId="2" dataDxfId="59"/>
    <tableColumn id="11" uniqueName="11" name="Day of Observation" queryTableFieldId="3" dataDxfId="58"/>
    <tableColumn id="12" uniqueName="12" name="Total Number of Observations" queryTableFieldId="4" dataDxfId="5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54" totalsRowShown="0">
  <autoFilter ref="A1:M154"/>
  <tableColumns count="13">
    <tableColumn id="1" name="Patienten-ID"/>
    <tableColumn id="2" name="AT III -d1"/>
    <tableColumn id="3" name="Column1"/>
    <tableColumn id="4" name="Column2"/>
    <tableColumn id="5" name="AT III-d1w2"/>
    <tableColumn id="6" name="ATIII-d2"/>
    <tableColumn id="7" name="ATIII-d3"/>
    <tableColumn id="8" name="ATII-d5"/>
    <tableColumn id="9" name="ATIII-d6"/>
    <tableColumn id="10" name="AT III-d7"/>
    <tableColumn id="11" name="At III-d13"/>
    <tableColumn id="12" name="AT III-d32"/>
    <tableColumn id="13" name="AT III-d3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AT_Table" displayName="AT_Table" ref="A1:D10" tableType="queryTable" totalsRowShown="0" headerRowDxfId="43">
  <autoFilter ref="A1:D10"/>
  <tableColumns count="4">
    <tableColumn id="9" uniqueName="9" name="Patienten-ID" queryTableFieldId="1" dataDxfId="56"/>
    <tableColumn id="10" uniqueName="10" name="AT" queryTableFieldId="2" dataDxfId="55"/>
    <tableColumn id="11" uniqueName="11" name="Day of Observation" queryTableFieldId="3" dataDxfId="54"/>
    <tableColumn id="12" uniqueName="12" name="Total Number of Observations" queryTableFieldId="4" dataDxfId="5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AC153" totalsRowShown="0">
  <autoFilter ref="A1:AC153"/>
  <tableColumns count="29">
    <tableColumn id="1" name="Patienten-ID"/>
    <tableColumn id="2" name="Leukozyten-d1 "/>
    <tableColumn id="3" name="Leukozyten-d1w2"/>
    <tableColumn id="4" name="Leukozyten-d2"/>
    <tableColumn id="5" name="Leukozyten-d2w2"/>
    <tableColumn id="6" name="Leukozyten-d2w3"/>
    <tableColumn id="7" name="Leukozyten-d3"/>
    <tableColumn id="8" name="Leukozyten-d3w2"/>
    <tableColumn id="9" name="Leukozyten-d4"/>
    <tableColumn id="10" name="Leukozyten-d4w2"/>
    <tableColumn id="11" name="Leukozyten-d4w3"/>
    <tableColumn id="12" name="Leukozyten-d4w4"/>
    <tableColumn id="13" name="Leukozyten-d5"/>
    <tableColumn id="14" name="Leukozyten-d5w2"/>
    <tableColumn id="15" name="Leukozyten-d6"/>
    <tableColumn id="16" name="Leukozyten-d6w2"/>
    <tableColumn id="17" name="Leukozyten-d6w3"/>
    <tableColumn id="18" name="Leukozyten-d7"/>
    <tableColumn id="19" name="Leukozyten-d8"/>
    <tableColumn id="20" name="Leukozyten-d9"/>
    <tableColumn id="21" name="Leukozyten-d11"/>
    <tableColumn id="22" name="Leukozyten-d12"/>
    <tableColumn id="23" name="Leukozyten-d13"/>
    <tableColumn id="24" name="Leukozyten-d14"/>
    <tableColumn id="25" name="Leukozyten-d15"/>
    <tableColumn id="26" name="Leukozyten-d16"/>
    <tableColumn id="27" name="Leukozyten-d17"/>
    <tableColumn id="28" name="Leukozyten-d19"/>
    <tableColumn id="29" name="Leukozyten-d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ukozyten" displayName="Leukozyten" ref="A1:D39" tableType="queryTable" totalsRowShown="0" headerRowDxfId="48">
  <autoFilter ref="A1:D39"/>
  <sortState ref="A2:D39">
    <sortCondition descending="1" ref="D1:D39"/>
  </sortState>
  <tableColumns count="4">
    <tableColumn id="9" uniqueName="9" name="Patienten-ID" queryTableFieldId="1" dataDxfId="52"/>
    <tableColumn id="10" uniqueName="10" name="Leukozyten" queryTableFieldId="2" dataDxfId="51"/>
    <tableColumn id="11" uniqueName="11" name="Day of Observations" queryTableFieldId="3" dataDxfId="50"/>
    <tableColumn id="12" uniqueName="12" name="Total Number of Observations" queryTableFieldId="4" dataDxfId="4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BP153" totalsRowShown="0">
  <autoFilter ref="A1:BP153"/>
  <tableColumns count="68">
    <tableColumn id="1" name="Patienten-ID"/>
    <tableColumn id="2" name="GOT-d1 "/>
    <tableColumn id="3" name="GOT-d1w2"/>
    <tableColumn id="4" name="GOT-d1w3"/>
    <tableColumn id="5" name="GOT-d1w4"/>
    <tableColumn id="6" name="GOT-d2"/>
    <tableColumn id="7" name="GOT-d2w2"/>
    <tableColumn id="8" name="GOT-d2w3"/>
    <tableColumn id="9" name="GOT-d3"/>
    <tableColumn id="10" name="GOT-d4"/>
    <tableColumn id="11" name="GOT-d4w2"/>
    <tableColumn id="12" name="GOT-d4w3"/>
    <tableColumn id="13" name="GOT-d4w4"/>
    <tableColumn id="14" name="GOT-d5"/>
    <tableColumn id="15" name="GOT-d5w2"/>
    <tableColumn id="16" name="GOT-d6"/>
    <tableColumn id="17" name="GOT-d6w2"/>
    <tableColumn id="18" name="GOT-d6w3"/>
    <tableColumn id="19" name="GOT-d7"/>
    <tableColumn id="20" name="GOT-d8"/>
    <tableColumn id="21" name="GOT-d9"/>
    <tableColumn id="22" name="GOT-d10"/>
    <tableColumn id="23" name="GOT-d11"/>
    <tableColumn id="24" name="GOT-d12"/>
    <tableColumn id="25" name="GOT-d13"/>
    <tableColumn id="26" name="GOT-d14"/>
    <tableColumn id="27" name="GOT-d15"/>
    <tableColumn id="28" name="GOT-d16"/>
    <tableColumn id="29" name="GOT-d17"/>
    <tableColumn id="30" name="GOT-d18"/>
    <tableColumn id="31" name="GOT-d19"/>
    <tableColumn id="32" name="GOT-d20"/>
    <tableColumn id="33" name="GOT-d21"/>
    <tableColumn id="34" name="GOT-d23"/>
    <tableColumn id="35" name="GOT-d25"/>
    <tableColumn id="36" name="GOT-d26"/>
    <tableColumn id="37" name="GOT-d27"/>
    <tableColumn id="38" name="GOT-d28"/>
    <tableColumn id="39" name="GOT-d29"/>
    <tableColumn id="40" name="GOT-d31"/>
    <tableColumn id="41" name="GOT-d32"/>
    <tableColumn id="42" name="Got-d33"/>
    <tableColumn id="43" name="GOT-d35"/>
    <tableColumn id="44" name="GOT-d36"/>
    <tableColumn id="45" name="GOT-d37"/>
    <tableColumn id="46" name="GOT-d38"/>
    <tableColumn id="47" name="GOT-d39"/>
    <tableColumn id="48" name="GOT-Missing day"/>
    <tableColumn id="49" name="GOT-d40"/>
    <tableColumn id="50" name="GOT-d42"/>
    <tableColumn id="51" name="GOT-d54"/>
    <tableColumn id="52" name="GOT-m2d2"/>
    <tableColumn id="53" name="GOT-m4d6"/>
    <tableColumn id="54" name="GOT-m5d21"/>
    <tableColumn id="55" name="GOT-m5d26"/>
    <tableColumn id="56" name="GOT-m5d29"/>
    <tableColumn id="57" name="GOT-m6d7"/>
    <tableColumn id="58" name="GOT-m6d4"/>
    <tableColumn id="59" name="GOT-m7d6"/>
    <tableColumn id="60" name="GOT-m10d6"/>
    <tableColumn id="61" name="GOT-m11d10"/>
    <tableColumn id="62" name="GOT-m11d30"/>
    <tableColumn id="63" name="GOT-m20d28"/>
    <tableColumn id="64" name="GOT-m21d1"/>
    <tableColumn id="65" name="GOT-m21d2"/>
    <tableColumn id="66" name="GOT-m21/d5"/>
    <tableColumn id="67" name="GOT-m21/d9"/>
    <tableColumn id="68" name="GOT-Therapie end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GOT" displayName="GOT" ref="A1:D75" tableType="queryTable" totalsRowShown="0" headerRowDxfId="42">
  <autoFilter ref="A1:D75"/>
  <tableColumns count="4">
    <tableColumn id="25" uniqueName="25" name="Patienten-ID" queryTableFieldId="1" dataDxfId="9"/>
    <tableColumn id="26" uniqueName="26" name="GOT" queryTableFieldId="2" dataDxfId="8"/>
    <tableColumn id="27" uniqueName="27" name="Day of Observations" queryTableFieldId="3" dataDxfId="7"/>
    <tableColumn id="28" uniqueName="28" name="Total Number of Observations" queryTableFieldId="4" dataDxfId="6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BN154" totalsRowShown="0">
  <autoFilter ref="A1:BN154"/>
  <tableColumns count="66">
    <tableColumn id="1" name="Patienten-ID"/>
    <tableColumn id="2" name="GPT-d1"/>
    <tableColumn id="3" name="GPT-d1w2"/>
    <tableColumn id="4" name="GPT-d1w3"/>
    <tableColumn id="5" name="GPT-d2"/>
    <tableColumn id="6" name="GPT-d2w2"/>
    <tableColumn id="7" name="GPT-d2w3"/>
    <tableColumn id="8" name="GPT-d3"/>
    <tableColumn id="9" name="GPT-d4"/>
    <tableColumn id="10" name="GPT-d4w2"/>
    <tableColumn id="11" name="GPT-d4w3"/>
    <tableColumn id="12" name="GPT-d4w4"/>
    <tableColumn id="13" name="GPT-d5"/>
    <tableColumn id="14" name="GPT-d5w2"/>
    <tableColumn id="15" name="GPT-d6"/>
    <tableColumn id="16" name="GPT-d6w2"/>
    <tableColumn id="17" name="GPT-d6w3"/>
    <tableColumn id="18" name="GPT-d7"/>
    <tableColumn id="19" name="GPT-d8"/>
    <tableColumn id="20" name="GPT-d9"/>
    <tableColumn id="21" name="GPT-d10"/>
    <tableColumn id="22" name="GPT-d11"/>
    <tableColumn id="23" name="GPT-d12"/>
    <tableColumn id="24" name="GPT-d13"/>
    <tableColumn id="25" name="GPT-d14"/>
    <tableColumn id="26" name="GPT-d15"/>
    <tableColumn id="27" name="GPT-d16"/>
    <tableColumn id="28" name="GPT-d17"/>
    <tableColumn id="29" name="GPT-d18"/>
    <tableColumn id="30" name="GPT-d19"/>
    <tableColumn id="31" name="GPT-d20"/>
    <tableColumn id="32" name="GPT-d21"/>
    <tableColumn id="33" name="GPT-d23"/>
    <tableColumn id="34" name="GPT-d25"/>
    <tableColumn id="35" name="GPT-d26"/>
    <tableColumn id="36" name="GPT-d27"/>
    <tableColumn id="37" name="GPT-d28"/>
    <tableColumn id="38" name="GPT-d29"/>
    <tableColumn id="39" name="GPT-d31"/>
    <tableColumn id="40" name="GPT-d32"/>
    <tableColumn id="41" name="GPT-d33"/>
    <tableColumn id="42" name="GPT-d35"/>
    <tableColumn id="43" name="GPT-d36"/>
    <tableColumn id="44" name="GPT-d37"/>
    <tableColumn id="45" name="GPT-d38"/>
    <tableColumn id="46" name="GPT-d39"/>
    <tableColumn id="47" name="GPT-d40"/>
    <tableColumn id="48" name="GPT-d42"/>
    <tableColumn id="49" name="GPT-d54"/>
    <tableColumn id="50" name="GPT-m2d2"/>
    <tableColumn id="51" name="GPT-m4d6"/>
    <tableColumn id="52" name="GPT-m5d21"/>
    <tableColumn id="53" name="GPT-m5d26"/>
    <tableColumn id="54" name="GPT-m5d29"/>
    <tableColumn id="55" name="GPT-m6d7"/>
    <tableColumn id="56" name="GPT-m6d14"/>
    <tableColumn id="57" name="GPT-m7d16"/>
    <tableColumn id="58" name="GPT-m10d6"/>
    <tableColumn id="59" name="GPT-m11d10"/>
    <tableColumn id="60" name="GPT-m11d30"/>
    <tableColumn id="61" name="GPT-m20d28"/>
    <tableColumn id="62" name="GPT-m21/d1"/>
    <tableColumn id="63" name="GPT-m21d2"/>
    <tableColumn id="64" name="GPT-m21d5"/>
    <tableColumn id="65" name="GPT-m21d9"/>
    <tableColumn id="66" name="GPT-Therapie end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GPT" displayName="GPT" ref="A1:D76" tableType="queryTable" totalsRowShown="0" headerRowDxfId="32">
  <autoFilter ref="A1:D76"/>
  <sortState ref="A2:D76">
    <sortCondition descending="1" ref="D1:D76"/>
  </sortState>
  <tableColumns count="4">
    <tableColumn id="13" uniqueName="13" name="Patienten-ID" queryTableFieldId="1" dataDxfId="41"/>
    <tableColumn id="14" uniqueName="14" name="GPT" queryTableFieldId="2" dataDxfId="40"/>
    <tableColumn id="15" uniqueName="15" name="Day of Observations" queryTableFieldId="3" dataDxfId="39"/>
    <tableColumn id="16" uniqueName="16" name="Total Number of Observations" queryTableFieldId="4" dataDxfId="38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BM154" totalsRowShown="0">
  <autoFilter ref="A1:BM154"/>
  <tableColumns count="65">
    <tableColumn id="1" name="Patienten-ID"/>
    <tableColumn id="2" name="GGT-d1 "/>
    <tableColumn id="3" name="GGT-d1w2"/>
    <tableColumn id="4" name="GGT-d2"/>
    <tableColumn id="5" name="GGT-d2w2"/>
    <tableColumn id="6" name="GGT-d3"/>
    <tableColumn id="7" name="GGT-d4"/>
    <tableColumn id="8" name="GGT-d4w2"/>
    <tableColumn id="9" name="GGT-d4w3"/>
    <tableColumn id="10" name="GGT-d4w4"/>
    <tableColumn id="11" name="GGT-d5"/>
    <tableColumn id="12" name="GGT-d5w2"/>
    <tableColumn id="13" name="GGT-d6"/>
    <tableColumn id="14" name="GGT-d6w2"/>
    <tableColumn id="15" name="GGT-d6w3"/>
    <tableColumn id="16" name="GGT-d7"/>
    <tableColumn id="17" name="GGT-d8"/>
    <tableColumn id="18" name="GGT-d9"/>
    <tableColumn id="19" name="GGT-d10"/>
    <tableColumn id="20" name="GGT-d11"/>
    <tableColumn id="21" name="GGT-d12"/>
    <tableColumn id="22" name="GGT-d13"/>
    <tableColumn id="23" name="GGT-d14"/>
    <tableColumn id="24" name="GGT-d15"/>
    <tableColumn id="25" name="GGT-d16"/>
    <tableColumn id="26" name="GGT-d17"/>
    <tableColumn id="27" name="GGT-d18"/>
    <tableColumn id="28" name="GGT-d19"/>
    <tableColumn id="29" name="GGT-d20"/>
    <tableColumn id="30" name="GGT-d21"/>
    <tableColumn id="31" name="GGT-d23"/>
    <tableColumn id="32" name="GGT-d25"/>
    <tableColumn id="33" name="GGT-d26"/>
    <tableColumn id="34" name="GGT-d27"/>
    <tableColumn id="35" name="GGT-d28"/>
    <tableColumn id="36" name="GGT-d29"/>
    <tableColumn id="37" name="GGT-d31"/>
    <tableColumn id="38" name="GGT-d32"/>
    <tableColumn id="39" name="GGT-d33"/>
    <tableColumn id="40" name="GGT-d35"/>
    <tableColumn id="41" name="GGT-d36"/>
    <tableColumn id="42" name="GGT-d37"/>
    <tableColumn id="43" name="GGT-d38"/>
    <tableColumn id="44" name="GGT-d39"/>
    <tableColumn id="45" name="GGT-d40"/>
    <tableColumn id="46" name="GGT-d42"/>
    <tableColumn id="47" name="GGT-d54"/>
    <tableColumn id="48" name="GGT-m2d2"/>
    <tableColumn id="49" name="GGT-m4d6"/>
    <tableColumn id="50" name="GGT-m5d21"/>
    <tableColumn id="51" name="GGT-m5d26"/>
    <tableColumn id="52" name="GGT-m5d29"/>
    <tableColumn id="53" name="GGT-m6d7"/>
    <tableColumn id="54" name="GGT-m6d14"/>
    <tableColumn id="55" name="GGT-m7d16"/>
    <tableColumn id="56" name="GGT-m10d6"/>
    <tableColumn id="57" name="GGT-m11d10"/>
    <tableColumn id="58" name="GGT-m11d30"/>
    <tableColumn id="59" name="GGT-m7"/>
    <tableColumn id="60" name="GGT-m20d28"/>
    <tableColumn id="61" name="GGT-m21d1"/>
    <tableColumn id="62" name="GGT-m21d2"/>
    <tableColumn id="63" name="GGT-m21d5"/>
    <tableColumn id="64" name="GGT-m21d9"/>
    <tableColumn id="65" name="GGT-Therapieend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GGT" displayName="GGT" ref="A1:D67" tableType="queryTable" totalsRowShown="0" headerRowDxfId="33">
  <autoFilter ref="A1:D67"/>
  <tableColumns count="4">
    <tableColumn id="9" uniqueName="9" name="Patienten-ID" queryTableFieldId="1" dataDxfId="37"/>
    <tableColumn id="10" uniqueName="10" name="GGT" queryTableFieldId="2" dataDxfId="36"/>
    <tableColumn id="11" uniqueName="11" name="Day of Observation" queryTableFieldId="3" dataDxfId="35"/>
    <tableColumn id="12" uniqueName="12" name="Total Number of Observations" queryTableFieldId="4" dataDxfId="3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AQ154" totalsRowShown="0">
  <autoFilter ref="A1:AQ154"/>
  <tableColumns count="43">
    <tableColumn id="1" name="Patienten-ID"/>
    <tableColumn id="2" name="LDH-d1 "/>
    <tableColumn id="3" name="LDH-d1w2"/>
    <tableColumn id="4" name="LDH-d1w3"/>
    <tableColumn id="5" name="LDH-d2"/>
    <tableColumn id="6" name="LDH-d2w2"/>
    <tableColumn id="7" name="LDH-d2w3"/>
    <tableColumn id="8" name="LDH-d3"/>
    <tableColumn id="9" name="LDH-d4"/>
    <tableColumn id="10" name="LDH-d4w2"/>
    <tableColumn id="11" name="LDH-d4w3"/>
    <tableColumn id="12" name="LDH-d4w4"/>
    <tableColumn id="13" name="LDH-d5"/>
    <tableColumn id="14" name="LDH-d5w2"/>
    <tableColumn id="15" name="LDH-d6"/>
    <tableColumn id="16" name="LDH-d6w2"/>
    <tableColumn id="17" name="LDH-d6w3"/>
    <tableColumn id="18" name="LDH-d7"/>
    <tableColumn id="19" name="LDH-d8"/>
    <tableColumn id="20" name="LDH-d11"/>
    <tableColumn id="21" name="LDH-d13"/>
    <tableColumn id="22" name="LDH-d14"/>
    <tableColumn id="23" name="LDH-d15"/>
    <tableColumn id="24" name="LDH-d16"/>
    <tableColumn id="25" name="LDH-d17"/>
    <tableColumn id="26" name="LDH-d18"/>
    <tableColumn id="27" name="LDH-d19"/>
    <tableColumn id="28" name="LDH-d20"/>
    <tableColumn id="29" name="LDH-d21"/>
    <tableColumn id="30" name="LDH-23"/>
    <tableColumn id="31" name="LDH-25"/>
    <tableColumn id="32" name="LDH-d27"/>
    <tableColumn id="33" name="LDH-d28"/>
    <tableColumn id="34" name="LDH-d29"/>
    <tableColumn id="35" name="LDH-d32"/>
    <tableColumn id="36" name="LDH-d33"/>
    <tableColumn id="37" name="LDH-d35"/>
    <tableColumn id="38" name="LDH-d38"/>
    <tableColumn id="39" name="LDH-d39"/>
    <tableColumn id="40" name="LDH-d40"/>
    <tableColumn id="41" name="LDH-m20d28"/>
    <tableColumn id="42" name="LDH-m21d2"/>
    <tableColumn id="43" name="LDH-m21d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DH" displayName="LDH" ref="A1:D44" tableType="queryTable" totalsRowShown="0" headerRowDxfId="22">
  <autoFilter ref="A1:D44"/>
  <sortState ref="A2:D44">
    <sortCondition descending="1" ref="D1:D44"/>
  </sortState>
  <tableColumns count="4">
    <tableColumn id="9" uniqueName="9" name="Patienten-ID" queryTableFieldId="1" dataDxfId="31"/>
    <tableColumn id="10" uniqueName="10" name="LDH" queryTableFieldId="2" dataDxfId="30"/>
    <tableColumn id="11" uniqueName="11" name="Day of Observation" queryTableFieldId="3" dataDxfId="29"/>
    <tableColumn id="12" uniqueName="12" name="Total Number of Observations" queryTableFieldId="4" dataDxfId="28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BG154" totalsRowShown="0">
  <autoFilter ref="A1:BG154"/>
  <tableColumns count="59">
    <tableColumn id="1" name="Patienten-ID"/>
    <tableColumn id="2" name="Bilirubin-d1 "/>
    <tableColumn id="3" name="Bilirubin-d2"/>
    <tableColumn id="4" name="Bilirubin-d1w2"/>
    <tableColumn id="5" name="Bilirubin-d22"/>
    <tableColumn id="6" name="Bilirubin-d2w2"/>
    <tableColumn id="7" name="Bilirubin-d2w3"/>
    <tableColumn id="8" name="Billirubin-d3"/>
    <tableColumn id="9" name="Bilirubin-d3w2"/>
    <tableColumn id="10" name="Billirubin-d4"/>
    <tableColumn id="11" name="Billirubin-d4w2"/>
    <tableColumn id="12" name="Billirubin-d4w3"/>
    <tableColumn id="13" name="Bilirubin-d4w4"/>
    <tableColumn id="14" name="Billirubin-d5"/>
    <tableColumn id="15" name="Billirubin-d5w2"/>
    <tableColumn id="16" name="Billirubin-d6"/>
    <tableColumn id="17" name="Bilirubin-d6w2"/>
    <tableColumn id="18" name="Billirubin-d6w3"/>
    <tableColumn id="19" name="Bilirubin-d7"/>
    <tableColumn id="20" name="Billirubin-d8"/>
    <tableColumn id="21" name="Billirubin-d9"/>
    <tableColumn id="22" name="Billirubin-d10"/>
    <tableColumn id="23" name="Billirubin-d11"/>
    <tableColumn id="24" name="Bilirubin-d12"/>
    <tableColumn id="25" name="Bilirubin-d13"/>
    <tableColumn id="26" name="Bilirubin-d14"/>
    <tableColumn id="27" name="Bilirubin-d15"/>
    <tableColumn id="28" name="Bilirubin-d16"/>
    <tableColumn id="29" name="Bilirubin-d17"/>
    <tableColumn id="30" name="Bilirubin-d18"/>
    <tableColumn id="31" name="Bilirubin-d19"/>
    <tableColumn id="32" name="Bilirubin-d20"/>
    <tableColumn id="33" name="Bilirubin-d21"/>
    <tableColumn id="34" name="Bilirubin-d23"/>
    <tableColumn id="35" name="Bilirubin-25"/>
    <tableColumn id="36" name="Billirubin-d27"/>
    <tableColumn id="37" name="Billirubin-d28"/>
    <tableColumn id="38" name="Bilirubin-d31"/>
    <tableColumn id="39" name="Billirubin-d32"/>
    <tableColumn id="40" name="Billirubin-d35"/>
    <tableColumn id="41" name="Billirubin-d37"/>
    <tableColumn id="42" name="Billirubin-d38"/>
    <tableColumn id="43" name="Bilirubin-d39"/>
    <tableColumn id="44" name="Billirubin-d40"/>
    <tableColumn id="45" name="Bilirubin-d42"/>
    <tableColumn id="46" name="Bilirubin-m4d6"/>
    <tableColumn id="47" name="Bilirubin-m5d21"/>
    <tableColumn id="48" name="Bilirubin-m5d26"/>
    <tableColumn id="49" name="Bilirubin-m5d29"/>
    <tableColumn id="50" name="Bilirubin-m6d7"/>
    <tableColumn id="51" name="Bilirubin-m6d14"/>
    <tableColumn id="52" name="Bilirubin-m7d16"/>
    <tableColumn id="53" name="Bilirubin-m10d6"/>
    <tableColumn id="54" name="Bilirubin-m11d10"/>
    <tableColumn id="55" name="Bilirubin-m11d30"/>
    <tableColumn id="56" name="Bilirubin-m7"/>
    <tableColumn id="57" name="Bilirubin-m21d1"/>
    <tableColumn id="58" name="Bilirubin-m21d2"/>
    <tableColumn id="59" name="Bilirubin-m21d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lirubin" displayName="Bilirubin" ref="A1:D65" tableType="queryTable" totalsRowShown="0" headerRowDxfId="23">
  <autoFilter ref="A1:D65"/>
  <sortState ref="A2:D65">
    <sortCondition descending="1" ref="D1:D65"/>
  </sortState>
  <tableColumns count="4">
    <tableColumn id="9" uniqueName="9" name="Patienten-ID" queryTableFieldId="1" dataDxfId="27"/>
    <tableColumn id="10" uniqueName="10" name="Bilirubin" queryTableFieldId="2" dataDxfId="26"/>
    <tableColumn id="11" uniqueName="11" name="Day of Observations" queryTableFieldId="3" dataDxfId="25"/>
    <tableColumn id="12" uniqueName="12" name="Total Number of Observations" queryTableFieldId="4" dataDxfId="24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Q154" totalsRowShown="0">
  <autoFilter ref="A1:Q154"/>
  <tableColumns count="17">
    <tableColumn id="1" name="Patienten-ID"/>
    <tableColumn id="2" name="GLDH-d1 "/>
    <tableColumn id="3" name="GLDH-d1w2"/>
    <tableColumn id="4" name="GLDH-d1w3"/>
    <tableColumn id="5" name="GLDH-d2"/>
    <tableColumn id="6" name="GLDH-d2w2"/>
    <tableColumn id="7" name="GLDH-d3"/>
    <tableColumn id="8" name="GLDH-d4"/>
    <tableColumn id="9" name="GLDH-d6"/>
    <tableColumn id="10" name="GLDH-d13"/>
    <tableColumn id="11" name="GLDH-d14"/>
    <tableColumn id="12" name="GLDH-m6d7"/>
    <tableColumn id="13" name="GLDH-m6d14"/>
    <tableColumn id="14" name="GLDH-m7d16"/>
    <tableColumn id="15" name="GLDH-m11d10"/>
    <tableColumn id="16" name="GLDH-m11d30"/>
    <tableColumn id="17" name="GLDH- Verlauf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GLDH" displayName="GLDH" ref="A1:D11" tableType="queryTable" totalsRowShown="0">
  <autoFilter ref="A1:D11"/>
  <tableColumns count="4">
    <tableColumn id="9" uniqueName="9" name="Patienten-ID" queryTableFieldId="1" dataDxfId="21"/>
    <tableColumn id="10" uniqueName="10" name="GLDH" queryTableFieldId="2" dataDxfId="20"/>
    <tableColumn id="11" uniqueName="11" name="Day of Observation" queryTableFieldId="3" dataDxfId="19"/>
    <tableColumn id="12" uniqueName="12" name="Total Number of Observations" queryTableFieldId="4" dataDxfId="18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BJ154" totalsRowShown="0" tableBorderDxfId="17">
  <autoFilter ref="A1:BJ154"/>
  <tableColumns count="62">
    <tableColumn id="1" name="Patienten-ID" dataDxfId="16"/>
    <tableColumn id="2" name="AP-d1 "/>
    <tableColumn id="3" name="AP-d1w2"/>
    <tableColumn id="4" name="AP-d1w3"/>
    <tableColumn id="5" name="AP-d2"/>
    <tableColumn id="6" name="AP-d2w2"/>
    <tableColumn id="7" name="AP-d2w3"/>
    <tableColumn id="8" name="AP-d3"/>
    <tableColumn id="9" name="AP-d4"/>
    <tableColumn id="10" name="AP-d4w2"/>
    <tableColumn id="11" name="AP-d4w3"/>
    <tableColumn id="12" name="AP-d4w4"/>
    <tableColumn id="13" name="AP-d5"/>
    <tableColumn id="14" name="AP-d5w2"/>
    <tableColumn id="15" name="AP-d6"/>
    <tableColumn id="16" name="AP-d6w2"/>
    <tableColumn id="17" name="AP-d6w3"/>
    <tableColumn id="18" name="AP-d7"/>
    <tableColumn id="19" name="AP-d8"/>
    <tableColumn id="20" name="AP-d9"/>
    <tableColumn id="21" name="AP-d10"/>
    <tableColumn id="22" name="AP-d11"/>
    <tableColumn id="23" name="AP-d12"/>
    <tableColumn id="24" name="AP-d13"/>
    <tableColumn id="25" name="AP-d14"/>
    <tableColumn id="26" name="AP-d15"/>
    <tableColumn id="27" name="AP-d16"/>
    <tableColumn id="28" name="AP-d17"/>
    <tableColumn id="29" name="AP-d18"/>
    <tableColumn id="30" name="AP-d19"/>
    <tableColumn id="31" name="AP-d20"/>
    <tableColumn id="32" name="AP-d21"/>
    <tableColumn id="33" name="AP-d22"/>
    <tableColumn id="34" name="AP-d23"/>
    <tableColumn id="35" name="AP-d25"/>
    <tableColumn id="36" name="AP-d27"/>
    <tableColumn id="37" name="AP-d28"/>
    <tableColumn id="38" name="AP-d29"/>
    <tableColumn id="39" name="AP-d30"/>
    <tableColumn id="40" name="AP-d31"/>
    <tableColumn id="41" name="AP-d32"/>
    <tableColumn id="42" name="AP-d35"/>
    <tableColumn id="43" name="AP-d36"/>
    <tableColumn id="44" name="AP-d38"/>
    <tableColumn id="45" name="AP-d39"/>
    <tableColumn id="46" name="AP-d40"/>
    <tableColumn id="47" name="AP-m2d2"/>
    <tableColumn id="48" name="AP-m5d21"/>
    <tableColumn id="49" name="AP-m5d26"/>
    <tableColumn id="50" name="AP-m5d29"/>
    <tableColumn id="51" name="AP-m6d7"/>
    <tableColumn id="52" name="AP-m6d14"/>
    <tableColumn id="53" name="AP-m7d16"/>
    <tableColumn id="54" name="AP-m10d6"/>
    <tableColumn id="55" name="AP-m11d10"/>
    <tableColumn id="56" name="AP-m11d30"/>
    <tableColumn id="57" name="AP-m20d28"/>
    <tableColumn id="58" name="AP-m21d1"/>
    <tableColumn id="59" name="AP-m21d2"/>
    <tableColumn id="60" name="AP-m21d5"/>
    <tableColumn id="61" name="AP-m21d9"/>
    <tableColumn id="62" name="AP-Therapie end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AP" displayName="AP" ref="A1:D42" tableType="queryTable" totalsRowShown="0" headerRowDxfId="15">
  <autoFilter ref="A1:D42"/>
  <sortState ref="A2:D43">
    <sortCondition descending="1" ref="D1:D43"/>
  </sortState>
  <tableColumns count="4">
    <tableColumn id="13" uniqueName="13" name="Patienten-ID" queryTableFieldId="1" dataDxfId="14"/>
    <tableColumn id="14" uniqueName="14" name="AP" queryTableFieldId="2" dataDxfId="13"/>
    <tableColumn id="15" uniqueName="15" name="Day of Observations" queryTableFieldId="3" dataDxfId="12"/>
    <tableColumn id="16" uniqueName="16" name="Total Number of Observations" queryTableFieldId="4" dataDxfId="11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AE154" totalsRowShown="0" tableBorderDxfId="5">
  <autoFilter ref="A1:AE154"/>
  <tableColumns count="31">
    <tableColumn id="1" name="Patienten-ID" dataDxfId="4"/>
    <tableColumn id="2" name="Cholinesterase-d1 "/>
    <tableColumn id="3" name="Cholinesterase-d1w2"/>
    <tableColumn id="4" name="Cholinesterase-d2"/>
    <tableColumn id="5" name="Cholinesterase-d2w2"/>
    <tableColumn id="6" name="Cholinesterase-d2w3"/>
    <tableColumn id="7" name="Cholinesterase-d3"/>
    <tableColumn id="8" name="Cholinesterase-d4"/>
    <tableColumn id="9" name="Cholinesterase-d5"/>
    <tableColumn id="10" name="Cholinesterase-d6"/>
    <tableColumn id="11" name="Cholinesterase-d5w2"/>
    <tableColumn id="12" name="Cholinesterase-d62"/>
    <tableColumn id="13" name="Cholinesterase-d6w2"/>
    <tableColumn id="14" name="Cholinesterase-d6w3"/>
    <tableColumn id="15" name="Cholinesterase-d7"/>
    <tableColumn id="16" name="Cholinesterase-d9"/>
    <tableColumn id="17" name="Cholinesterase-d11"/>
    <tableColumn id="18" name="Cholinesterase-d13"/>
    <tableColumn id="19" name="Cholinesterase-d15"/>
    <tableColumn id="20" name="Cholinesterase-d18"/>
    <tableColumn id="21" name="Cholinesterase-19"/>
    <tableColumn id="22" name="Cholinesterase-d20"/>
    <tableColumn id="23" name="Cholinesterase-d23"/>
    <tableColumn id="24" name="Cholinesterase-25"/>
    <tableColumn id="25" name="Cholinesterase-29"/>
    <tableColumn id="26" name="Cholinesterase-m5d26"/>
    <tableColumn id="27" name="Cholinesterase-m6d7"/>
    <tableColumn id="28" name="Cholinesterase-m6d14"/>
    <tableColumn id="29" name="Cholinesterase-m7d16"/>
    <tableColumn id="30" name="Cholinesterase-m10d6"/>
    <tableColumn id="31" name="Cholinesterase-m11d3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oline_estrase" displayName="Choline_estrase" ref="A1:D16" tableType="queryTable" totalsRowShown="0">
  <autoFilter ref="A1:D16"/>
  <sortState ref="A2:D16">
    <sortCondition descending="1" ref="D1:D16"/>
  </sortState>
  <tableColumns count="4">
    <tableColumn id="9" uniqueName="9" name="Patienten-ID" queryTableFieldId="1" dataDxfId="3"/>
    <tableColumn id="10" uniqueName="10" name="CE" queryTableFieldId="2" dataDxfId="2"/>
    <tableColumn id="11" uniqueName="11" name="Day of Observation" queryTableFieldId="3" dataDxfId="1"/>
    <tableColumn id="12" uniqueName="12" name="Total Number of Observations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I155"/>
  <sheetViews>
    <sheetView tabSelected="1" zoomScale="85" zoomScaleNormal="85" workbookViewId="0">
      <pane xSplit="2" ySplit="1" topLeftCell="WM118" activePane="bottomRight" state="frozen"/>
      <selection pane="topRight" activeCell="B1" sqref="B1"/>
      <selection pane="bottomLeft" activeCell="A2" sqref="A2"/>
      <selection pane="bottomRight" activeCell="UF1" sqref="UF1:VI154"/>
    </sheetView>
  </sheetViews>
  <sheetFormatPr defaultColWidth="8.85546875" defaultRowHeight="15" x14ac:dyDescent="0.25"/>
  <cols>
    <col min="2" max="2" width="18.140625" style="1" bestFit="1" customWidth="1"/>
    <col min="3" max="3" width="9" bestFit="1" customWidth="1"/>
    <col min="4" max="4" width="5.85546875" bestFit="1" customWidth="1"/>
    <col min="5" max="5" width="10.7109375" bestFit="1" customWidth="1"/>
    <col min="6" max="6" width="8.85546875" bestFit="1" customWidth="1"/>
    <col min="7" max="7" width="11.140625" bestFit="1" customWidth="1"/>
    <col min="8" max="8" width="39.28515625" bestFit="1" customWidth="1"/>
    <col min="9" max="9" width="9.85546875" bestFit="1" customWidth="1"/>
    <col min="10" max="10" width="6.42578125" customWidth="1"/>
    <col min="11" max="11" width="106.85546875" bestFit="1" customWidth="1"/>
    <col min="12" max="12" width="85.42578125" bestFit="1" customWidth="1"/>
    <col min="13" max="13" width="10.7109375" bestFit="1" customWidth="1"/>
    <col min="14" max="14" width="12.42578125" bestFit="1" customWidth="1"/>
    <col min="15" max="15" width="4.42578125" bestFit="1" customWidth="1"/>
    <col min="16" max="16" width="25.7109375" bestFit="1" customWidth="1"/>
    <col min="17" max="17" width="24.42578125" bestFit="1" customWidth="1"/>
    <col min="18" max="18" width="31.140625" bestFit="1" customWidth="1"/>
    <col min="19" max="19" width="25.85546875" bestFit="1" customWidth="1"/>
    <col min="20" max="20" width="103.7109375" bestFit="1" customWidth="1"/>
    <col min="21" max="21" width="115.85546875" bestFit="1" customWidth="1"/>
    <col min="22" max="22" width="67.85546875" bestFit="1" customWidth="1"/>
    <col min="23" max="23" width="239.28515625" bestFit="1" customWidth="1"/>
    <col min="24" max="24" width="53.28515625" bestFit="1" customWidth="1"/>
    <col min="25" max="25" width="27.85546875" bestFit="1" customWidth="1"/>
    <col min="26" max="26" width="10.7109375" bestFit="1" customWidth="1"/>
    <col min="27" max="27" width="16.42578125" bestFit="1" customWidth="1"/>
    <col min="28" max="29" width="8.42578125" bestFit="1" customWidth="1"/>
    <col min="30" max="30" width="9.7109375" bestFit="1" customWidth="1"/>
    <col min="31" max="31" width="13.7109375" bestFit="1" customWidth="1"/>
    <col min="32" max="34" width="13.7109375" customWidth="1"/>
    <col min="35" max="35" width="7.42578125" bestFit="1" customWidth="1"/>
    <col min="36" max="36" width="7.42578125" customWidth="1"/>
    <col min="37" max="37" width="11" bestFit="1" customWidth="1"/>
    <col min="38" max="39" width="11" customWidth="1"/>
    <col min="40" max="41" width="6" customWidth="1"/>
    <col min="42" max="42" width="16" bestFit="1" customWidth="1"/>
    <col min="43" max="50" width="7" customWidth="1"/>
    <col min="51" max="51" width="10.7109375" bestFit="1" customWidth="1"/>
    <col min="52" max="52" width="9.42578125" bestFit="1" customWidth="1"/>
    <col min="53" max="53" width="14" customWidth="1"/>
    <col min="54" max="54" width="12.28515625" bestFit="1" customWidth="1"/>
    <col min="55" max="55" width="12.28515625" customWidth="1"/>
    <col min="56" max="56" width="9.28515625" bestFit="1" customWidth="1"/>
    <col min="57" max="57" width="9.28515625" customWidth="1"/>
    <col min="58" max="58" width="8.85546875" bestFit="1" customWidth="1"/>
    <col min="59" max="62" width="8.85546875" customWidth="1"/>
    <col min="63" max="63" width="8.85546875" bestFit="1" customWidth="1"/>
    <col min="64" max="66" width="8.85546875" customWidth="1"/>
    <col min="67" max="73" width="9.85546875" bestFit="1" customWidth="1"/>
    <col min="74" max="75" width="8.85546875" customWidth="1"/>
    <col min="76" max="76" width="9.85546875" bestFit="1" customWidth="1"/>
    <col min="77" max="77" width="8.85546875" customWidth="1"/>
    <col min="78" max="78" width="9.85546875" bestFit="1" customWidth="1"/>
    <col min="79" max="79" width="13.7109375" bestFit="1" customWidth="1"/>
    <col min="80" max="80" width="13.7109375" customWidth="1"/>
    <col min="81" max="81" width="11.7109375" bestFit="1" customWidth="1"/>
    <col min="82" max="82" width="11.7109375" customWidth="1"/>
    <col min="83" max="83" width="7" bestFit="1" customWidth="1"/>
    <col min="84" max="84" width="9.42578125" bestFit="1" customWidth="1"/>
    <col min="85" max="85" width="7" bestFit="1" customWidth="1"/>
    <col min="86" max="86" width="12.42578125" bestFit="1" customWidth="1"/>
    <col min="87" max="89" width="12.42578125" customWidth="1"/>
    <col min="90" max="90" width="7" customWidth="1"/>
    <col min="91" max="91" width="7" bestFit="1" customWidth="1"/>
    <col min="92" max="94" width="7" customWidth="1"/>
    <col min="95" max="95" width="8" bestFit="1" customWidth="1"/>
    <col min="96" max="100" width="8" customWidth="1"/>
    <col min="101" max="104" width="8" bestFit="1" customWidth="1"/>
    <col min="105" max="105" width="8" customWidth="1"/>
    <col min="106" max="106" width="8" bestFit="1" customWidth="1"/>
    <col min="107" max="107" width="8" customWidth="1"/>
    <col min="108" max="108" width="11.7109375" bestFit="1" customWidth="1"/>
    <col min="109" max="109" width="15" customWidth="1"/>
    <col min="110" max="110" width="5.85546875" bestFit="1" customWidth="1"/>
    <col min="111" max="111" width="13.42578125" bestFit="1" customWidth="1"/>
    <col min="112" max="122" width="13.42578125" customWidth="1"/>
    <col min="123" max="123" width="22.28515625" customWidth="1"/>
    <col min="124" max="124" width="12.140625" bestFit="1" customWidth="1"/>
    <col min="125" max="126" width="8.7109375" hidden="1" customWidth="1"/>
    <col min="127" max="127" width="10.85546875" bestFit="1" customWidth="1"/>
    <col min="128" max="135" width="8.7109375" customWidth="1"/>
    <col min="136" max="136" width="15.7109375" customWidth="1"/>
    <col min="137" max="137" width="25.85546875" bestFit="1" customWidth="1"/>
    <col min="138" max="138" width="25.85546875" customWidth="1"/>
    <col min="139" max="139" width="14.140625" bestFit="1" customWidth="1"/>
    <col min="140" max="143" width="14.140625" customWidth="1"/>
    <col min="144" max="144" width="14.42578125" bestFit="1" customWidth="1"/>
    <col min="145" max="147" width="14.42578125" customWidth="1"/>
    <col min="148" max="148" width="14.140625" bestFit="1" customWidth="1"/>
    <col min="149" max="155" width="14.140625" customWidth="1"/>
    <col min="156" max="157" width="15.140625" bestFit="1" customWidth="1"/>
    <col min="158" max="158" width="18.140625" bestFit="1" customWidth="1"/>
    <col min="159" max="161" width="15.140625" bestFit="1" customWidth="1"/>
    <col min="162" max="162" width="15.28515625" bestFit="1" customWidth="1"/>
    <col min="163" max="164" width="15.140625" bestFit="1" customWidth="1"/>
    <col min="165" max="165" width="22.140625" customWidth="1"/>
    <col min="166" max="166" width="18.140625" bestFit="1" customWidth="1"/>
    <col min="167" max="169" width="10.140625" bestFit="1" customWidth="1"/>
    <col min="170" max="170" width="16" bestFit="1" customWidth="1"/>
    <col min="171" max="211" width="12" customWidth="1"/>
    <col min="212" max="212" width="12" hidden="1" customWidth="1"/>
    <col min="213" max="230" width="12" customWidth="1"/>
    <col min="231" max="231" width="11.42578125" bestFit="1" customWidth="1"/>
    <col min="232" max="232" width="17.85546875" bestFit="1" customWidth="1"/>
    <col min="233" max="233" width="17.85546875" customWidth="1"/>
    <col min="234" max="234" width="18.140625" bestFit="1" customWidth="1"/>
    <col min="235" max="236" width="9.85546875" bestFit="1" customWidth="1"/>
    <col min="237" max="237" width="16" bestFit="1" customWidth="1"/>
    <col min="238" max="238" width="15.42578125" bestFit="1" customWidth="1"/>
    <col min="239" max="239" width="9.42578125" bestFit="1" customWidth="1"/>
    <col min="240" max="241" width="7.28515625" bestFit="1" customWidth="1"/>
    <col min="242" max="297" width="11.7109375" customWidth="1"/>
    <col min="298" max="298" width="17.85546875" bestFit="1" customWidth="1"/>
    <col min="299" max="299" width="17.85546875" customWidth="1"/>
    <col min="300" max="300" width="18.140625" bestFit="1" customWidth="1"/>
    <col min="301" max="301" width="10" bestFit="1" customWidth="1"/>
    <col min="302" max="302" width="16" bestFit="1" customWidth="1"/>
    <col min="303" max="303" width="10" bestFit="1" customWidth="1"/>
    <col min="304" max="362" width="17.28515625" customWidth="1"/>
    <col min="363" max="363" width="25.7109375" bestFit="1" customWidth="1"/>
    <col min="364" max="364" width="25.7109375" customWidth="1"/>
    <col min="365" max="365" width="18.140625" bestFit="1" customWidth="1"/>
    <col min="366" max="366" width="9.85546875" bestFit="1" customWidth="1"/>
    <col min="367" max="407" width="11.7109375" customWidth="1"/>
    <col min="408" max="408" width="19.42578125" style="32" bestFit="1" customWidth="1"/>
    <col min="409" max="413" width="19.42578125" style="32" customWidth="1"/>
    <col min="414" max="414" width="23.7109375" bestFit="1" customWidth="1"/>
    <col min="415" max="415" width="11.42578125" hidden="1" customWidth="1"/>
    <col min="416" max="435" width="11.42578125" customWidth="1"/>
    <col min="436" max="437" width="12.42578125" bestFit="1" customWidth="1"/>
    <col min="438" max="438" width="12.42578125" customWidth="1"/>
    <col min="439" max="442" width="12.42578125" bestFit="1" customWidth="1"/>
    <col min="443" max="443" width="12.42578125" customWidth="1"/>
    <col min="444" max="444" width="12.42578125" bestFit="1" customWidth="1"/>
    <col min="445" max="445" width="12.42578125" customWidth="1"/>
    <col min="446" max="446" width="12.42578125" bestFit="1" customWidth="1"/>
    <col min="447" max="449" width="12.42578125" customWidth="1"/>
    <col min="450" max="450" width="12.42578125" bestFit="1" customWidth="1"/>
    <col min="451" max="461" width="12.42578125" customWidth="1"/>
    <col min="462" max="462" width="9.42578125" bestFit="1" customWidth="1"/>
    <col min="463" max="465" width="10.42578125" bestFit="1" customWidth="1"/>
    <col min="466" max="467" width="11.42578125" bestFit="1" customWidth="1"/>
    <col min="468" max="468" width="12" bestFit="1" customWidth="1"/>
    <col min="469" max="471" width="15.28515625" bestFit="1" customWidth="1"/>
    <col min="472" max="472" width="15.28515625" customWidth="1"/>
    <col min="473" max="473" width="14.140625" bestFit="1" customWidth="1"/>
    <col min="474" max="475" width="14.140625" customWidth="1"/>
    <col min="476" max="489" width="13.140625" customWidth="1"/>
    <col min="490" max="490" width="16" bestFit="1" customWidth="1"/>
    <col min="491" max="492" width="16" customWidth="1"/>
    <col min="493" max="493" width="16" bestFit="1" customWidth="1"/>
    <col min="494" max="495" width="16" customWidth="1"/>
    <col min="531" max="534" width="7.28515625" bestFit="1" customWidth="1"/>
    <col min="535" max="535" width="9" bestFit="1" customWidth="1"/>
    <col min="536" max="538" width="10" bestFit="1" customWidth="1"/>
    <col min="539" max="539" width="9" bestFit="1" customWidth="1"/>
    <col min="540" max="542" width="10" bestFit="1" customWidth="1"/>
    <col min="543" max="545" width="11" bestFit="1" customWidth="1"/>
    <col min="546" max="549" width="10" bestFit="1" customWidth="1"/>
    <col min="550" max="550" width="16.42578125" bestFit="1" customWidth="1"/>
    <col min="551" max="551" width="16.42578125" customWidth="1"/>
    <col min="552" max="552" width="18.7109375" bestFit="1" customWidth="1"/>
    <col min="553" max="556" width="18.7109375" customWidth="1"/>
    <col min="557" max="557" width="22.140625" customWidth="1"/>
    <col min="558" max="559" width="17.42578125" bestFit="1" customWidth="1"/>
    <col min="560" max="560" width="17.42578125" hidden="1" customWidth="1"/>
    <col min="561" max="561" width="17.42578125" customWidth="1"/>
    <col min="562" max="562" width="17.42578125" bestFit="1" customWidth="1"/>
    <col min="563" max="565" width="17.42578125" customWidth="1"/>
    <col min="566" max="566" width="17.42578125" bestFit="1" customWidth="1"/>
    <col min="567" max="567" width="18.42578125" bestFit="1" customWidth="1"/>
    <col min="568" max="573" width="18.42578125" customWidth="1"/>
    <col min="574" max="575" width="17.28515625" bestFit="1" customWidth="1"/>
    <col min="576" max="576" width="21.140625" bestFit="1" customWidth="1"/>
    <col min="577" max="577" width="20.140625" bestFit="1" customWidth="1"/>
    <col min="578" max="580" width="21.140625" bestFit="1" customWidth="1"/>
    <col min="581" max="582" width="18.42578125" customWidth="1"/>
    <col min="583" max="583" width="24.28515625" bestFit="1" customWidth="1"/>
    <col min="584" max="587" width="24.28515625" customWidth="1"/>
    <col min="588" max="589" width="12" bestFit="1" customWidth="1"/>
    <col min="590" max="592" width="12" customWidth="1"/>
    <col min="593" max="593" width="12" bestFit="1" customWidth="1"/>
    <col min="594" max="597" width="12" customWidth="1"/>
    <col min="598" max="599" width="12" bestFit="1" customWidth="1"/>
    <col min="600" max="605" width="12" customWidth="1"/>
    <col min="606" max="606" width="13.140625" bestFit="1" customWidth="1"/>
    <col min="607" max="610" width="13.140625" customWidth="1"/>
    <col min="611" max="611" width="16.7109375" customWidth="1"/>
    <col min="612" max="612" width="10" bestFit="1" customWidth="1"/>
    <col min="613" max="631" width="10" customWidth="1"/>
    <col min="632" max="632" width="15.7109375" customWidth="1"/>
    <col min="633" max="633" width="16.140625" bestFit="1" customWidth="1"/>
    <col min="634" max="634" width="11.42578125" bestFit="1" customWidth="1"/>
    <col min="635" max="648" width="11.42578125" customWidth="1"/>
    <col min="649" max="649" width="12.42578125" bestFit="1" customWidth="1"/>
    <col min="650" max="650" width="16" bestFit="1" customWidth="1"/>
    <col min="651" max="653" width="12.42578125" bestFit="1" customWidth="1"/>
    <col min="654" max="654" width="17.85546875" customWidth="1"/>
    <col min="655" max="655" width="16" bestFit="1" customWidth="1"/>
    <col min="656" max="656" width="16" customWidth="1"/>
    <col min="657" max="674" width="15.140625" customWidth="1"/>
    <col min="675" max="675" width="12.85546875" bestFit="1" customWidth="1"/>
    <col min="676" max="694" width="12.85546875" customWidth="1"/>
    <col min="695" max="695" width="10.42578125" bestFit="1" customWidth="1"/>
    <col min="696" max="696" width="10.42578125" customWidth="1"/>
    <col min="701" max="701" width="20.85546875" bestFit="1" customWidth="1"/>
    <col min="702" max="722" width="20.85546875" customWidth="1"/>
    <col min="723" max="723" width="24.28515625" bestFit="1" customWidth="1"/>
    <col min="724" max="745" width="24.28515625" customWidth="1"/>
    <col min="746" max="746" width="11" bestFit="1" customWidth="1"/>
    <col min="747" max="747" width="11" customWidth="1"/>
    <col min="748" max="748" width="10.42578125" bestFit="1" customWidth="1"/>
    <col min="749" max="749" width="14.7109375" bestFit="1" customWidth="1"/>
    <col min="750" max="750" width="14.7109375" customWidth="1"/>
    <col min="751" max="751" width="15.140625" bestFit="1" customWidth="1"/>
    <col min="752" max="752" width="7.42578125" bestFit="1" customWidth="1"/>
    <col min="753" max="757" width="11.42578125" customWidth="1"/>
    <col min="758" max="758" width="14" bestFit="1" customWidth="1"/>
    <col min="759" max="759" width="14.7109375" bestFit="1" customWidth="1"/>
    <col min="760" max="760" width="14.42578125" bestFit="1" customWidth="1"/>
    <col min="761" max="761" width="27.7109375" bestFit="1" customWidth="1"/>
    <col min="762" max="762" width="15" bestFit="1" customWidth="1"/>
    <col min="763" max="771" width="15" customWidth="1"/>
    <col min="772" max="773" width="16" bestFit="1" customWidth="1"/>
    <col min="774" max="774" width="13.42578125" bestFit="1" customWidth="1"/>
    <col min="775" max="775" width="15.85546875" bestFit="1" customWidth="1"/>
    <col min="776" max="776" width="20.28515625" bestFit="1" customWidth="1"/>
    <col min="777" max="779" width="20.28515625" customWidth="1"/>
    <col min="780" max="780" width="14" bestFit="1" customWidth="1"/>
    <col min="781" max="781" width="14" customWidth="1"/>
    <col min="782" max="782" width="22" bestFit="1" customWidth="1"/>
    <col min="783" max="786" width="14.28515625" bestFit="1" customWidth="1"/>
    <col min="787" max="787" width="15.28515625" bestFit="1" customWidth="1"/>
    <col min="788" max="788" width="17" bestFit="1" customWidth="1"/>
    <col min="789" max="790" width="18.140625" bestFit="1" customWidth="1"/>
    <col min="791" max="792" width="19.140625" bestFit="1" customWidth="1"/>
    <col min="793" max="793" width="19.140625" customWidth="1"/>
    <col min="794" max="794" width="25" bestFit="1" customWidth="1"/>
    <col min="795" max="795" width="18" bestFit="1" customWidth="1"/>
    <col min="796" max="796" width="20.42578125" bestFit="1" customWidth="1"/>
    <col min="797" max="797" width="18" customWidth="1"/>
    <col min="798" max="799" width="18" bestFit="1" customWidth="1"/>
    <col min="800" max="802" width="18" customWidth="1"/>
    <col min="803" max="803" width="18" bestFit="1" customWidth="1"/>
    <col min="804" max="804" width="18" customWidth="1"/>
    <col min="805" max="805" width="18" bestFit="1" customWidth="1"/>
    <col min="806" max="807" width="18" customWidth="1"/>
    <col min="808" max="808" width="18" bestFit="1" customWidth="1"/>
    <col min="809" max="809" width="27.7109375" bestFit="1" customWidth="1"/>
    <col min="810" max="810" width="9.85546875" bestFit="1" customWidth="1"/>
    <col min="811" max="813" width="20" customWidth="1"/>
    <col min="814" max="814" width="11.85546875" bestFit="1" customWidth="1"/>
    <col min="815" max="815" width="14" customWidth="1"/>
  </cols>
  <sheetData>
    <row r="1" spans="1:815" x14ac:dyDescent="0.25">
      <c r="A1" t="s">
        <v>2063</v>
      </c>
      <c r="B1" s="18" t="s">
        <v>0</v>
      </c>
      <c r="C1" s="19" t="s">
        <v>3</v>
      </c>
      <c r="D1" s="19" t="s">
        <v>1</v>
      </c>
      <c r="E1" s="19" t="s">
        <v>2</v>
      </c>
      <c r="F1" s="19" t="s">
        <v>4</v>
      </c>
      <c r="G1" s="19" t="s">
        <v>5</v>
      </c>
      <c r="H1" s="19" t="s">
        <v>239</v>
      </c>
      <c r="I1" s="19" t="s">
        <v>238</v>
      </c>
      <c r="J1" s="19" t="s">
        <v>240</v>
      </c>
      <c r="K1" s="19" t="s">
        <v>241</v>
      </c>
      <c r="L1" s="19" t="s">
        <v>300</v>
      </c>
      <c r="M1" s="19" t="s">
        <v>327</v>
      </c>
      <c r="N1" s="19" t="s">
        <v>328</v>
      </c>
      <c r="O1" s="19" t="s">
        <v>1068</v>
      </c>
      <c r="P1" s="19" t="s">
        <v>1109</v>
      </c>
      <c r="Q1" s="19" t="s">
        <v>1110</v>
      </c>
      <c r="R1" s="19" t="s">
        <v>1108</v>
      </c>
      <c r="S1" s="19" t="s">
        <v>1107</v>
      </c>
      <c r="T1" s="19" t="s">
        <v>1118</v>
      </c>
      <c r="U1" s="19" t="s">
        <v>1103</v>
      </c>
      <c r="V1" s="19" t="s">
        <v>1104</v>
      </c>
      <c r="W1" s="19" t="s">
        <v>1159</v>
      </c>
      <c r="X1" s="19" t="s">
        <v>1105</v>
      </c>
      <c r="Y1" s="19" t="s">
        <v>1106</v>
      </c>
      <c r="Z1" s="19" t="s">
        <v>337</v>
      </c>
      <c r="AA1" s="19" t="s">
        <v>389</v>
      </c>
      <c r="AB1" s="19" t="s">
        <v>1752</v>
      </c>
      <c r="AC1" s="19" t="s">
        <v>1751</v>
      </c>
      <c r="AD1" s="19" t="s">
        <v>336</v>
      </c>
      <c r="AE1" s="19" t="s">
        <v>838</v>
      </c>
      <c r="AF1" s="19" t="s">
        <v>1753</v>
      </c>
      <c r="AG1" s="19" t="s">
        <v>1754</v>
      </c>
      <c r="AH1" s="19" t="s">
        <v>1755</v>
      </c>
      <c r="AI1" s="19" t="s">
        <v>904</v>
      </c>
      <c r="AJ1" s="19" t="s">
        <v>1756</v>
      </c>
      <c r="AK1" s="19" t="s">
        <v>390</v>
      </c>
      <c r="AL1" s="19" t="s">
        <v>1757</v>
      </c>
      <c r="AM1" s="19" t="s">
        <v>1758</v>
      </c>
      <c r="AN1" s="19" t="s">
        <v>391</v>
      </c>
      <c r="AO1" s="19" t="s">
        <v>392</v>
      </c>
      <c r="AP1" s="19" t="s">
        <v>393</v>
      </c>
      <c r="AQ1" s="19" t="s">
        <v>601</v>
      </c>
      <c r="AR1" s="19" t="s">
        <v>620</v>
      </c>
      <c r="AS1" s="19" t="s">
        <v>677</v>
      </c>
      <c r="AT1" s="19" t="s">
        <v>678</v>
      </c>
      <c r="AU1" s="19" t="s">
        <v>679</v>
      </c>
      <c r="AV1" s="19" t="s">
        <v>680</v>
      </c>
      <c r="AW1" s="19" t="s">
        <v>681</v>
      </c>
      <c r="AX1" s="19" t="s">
        <v>1055</v>
      </c>
      <c r="AY1" s="19" t="s">
        <v>797</v>
      </c>
      <c r="AZ1" s="19" t="s">
        <v>798</v>
      </c>
      <c r="BA1" s="20" t="s">
        <v>2032</v>
      </c>
      <c r="BB1" s="19" t="s">
        <v>338</v>
      </c>
      <c r="BC1" s="19" t="s">
        <v>1759</v>
      </c>
      <c r="BD1" s="19" t="s">
        <v>766</v>
      </c>
      <c r="BE1" s="19" t="s">
        <v>1761</v>
      </c>
      <c r="BF1" s="19" t="s">
        <v>339</v>
      </c>
      <c r="BG1" s="19" t="s">
        <v>565</v>
      </c>
      <c r="BH1" s="19" t="s">
        <v>1762</v>
      </c>
      <c r="BI1" s="19" t="s">
        <v>1763</v>
      </c>
      <c r="BJ1" s="19" t="s">
        <v>860</v>
      </c>
      <c r="BK1" s="19" t="s">
        <v>340</v>
      </c>
      <c r="BL1" s="19" t="s">
        <v>846</v>
      </c>
      <c r="BM1" s="19" t="s">
        <v>655</v>
      </c>
      <c r="BN1" s="19" t="s">
        <v>872</v>
      </c>
      <c r="BO1" s="19" t="s">
        <v>873</v>
      </c>
      <c r="BP1" s="19" t="s">
        <v>588</v>
      </c>
      <c r="BQ1" s="19" t="s">
        <v>603</v>
      </c>
      <c r="BR1" s="19" t="s">
        <v>622</v>
      </c>
      <c r="BS1" s="19" t="s">
        <v>874</v>
      </c>
      <c r="BT1" s="19" t="s">
        <v>697</v>
      </c>
      <c r="BU1" s="19" t="s">
        <v>629</v>
      </c>
      <c r="BV1" s="19" t="s">
        <v>698</v>
      </c>
      <c r="BW1" s="19" t="s">
        <v>699</v>
      </c>
      <c r="BX1" s="19" t="s">
        <v>1037</v>
      </c>
      <c r="BY1" s="19" t="s">
        <v>700</v>
      </c>
      <c r="BZ1" s="19" t="s">
        <v>1038</v>
      </c>
      <c r="CA1" s="19" t="s">
        <v>800</v>
      </c>
      <c r="CB1" s="20" t="s">
        <v>2033</v>
      </c>
      <c r="CC1" s="19" t="s">
        <v>344</v>
      </c>
      <c r="CD1" s="19" t="s">
        <v>1742</v>
      </c>
      <c r="CE1" s="19" t="s">
        <v>767</v>
      </c>
      <c r="CF1" s="19" t="s">
        <v>1745</v>
      </c>
      <c r="CG1" s="19" t="s">
        <v>342</v>
      </c>
      <c r="CH1" s="19" t="s">
        <v>568</v>
      </c>
      <c r="CI1" s="19" t="s">
        <v>1746</v>
      </c>
      <c r="CJ1" s="19" t="s">
        <v>1747</v>
      </c>
      <c r="CK1" s="19" t="s">
        <v>1748</v>
      </c>
      <c r="CL1" s="19" t="s">
        <v>861</v>
      </c>
      <c r="CM1" s="19" t="s">
        <v>343</v>
      </c>
      <c r="CN1" s="19" t="s">
        <v>418</v>
      </c>
      <c r="CO1" s="19" t="s">
        <v>419</v>
      </c>
      <c r="CP1" s="19" t="s">
        <v>420</v>
      </c>
      <c r="CQ1" s="19" t="s">
        <v>421</v>
      </c>
      <c r="CR1" s="19" t="s">
        <v>875</v>
      </c>
      <c r="CS1" s="19" t="s">
        <v>589</v>
      </c>
      <c r="CT1" s="19" t="s">
        <v>604</v>
      </c>
      <c r="CU1" s="19" t="s">
        <v>625</v>
      </c>
      <c r="CV1" s="19" t="s">
        <v>788</v>
      </c>
      <c r="CW1" s="19" t="s">
        <v>690</v>
      </c>
      <c r="CX1" s="19" t="s">
        <v>691</v>
      </c>
      <c r="CY1" s="19" t="s">
        <v>692</v>
      </c>
      <c r="CZ1" s="19" t="s">
        <v>693</v>
      </c>
      <c r="DA1" s="19" t="s">
        <v>701</v>
      </c>
      <c r="DB1" s="19" t="s">
        <v>694</v>
      </c>
      <c r="DC1" s="19" t="s">
        <v>1039</v>
      </c>
      <c r="DD1" s="19" t="s">
        <v>801</v>
      </c>
      <c r="DE1" s="20" t="s">
        <v>2034</v>
      </c>
      <c r="DF1" s="19" t="s">
        <v>347</v>
      </c>
      <c r="DG1" s="19" t="s">
        <v>1955</v>
      </c>
      <c r="DH1" s="19" t="s">
        <v>768</v>
      </c>
      <c r="DI1" s="19" t="s">
        <v>569</v>
      </c>
      <c r="DJ1" s="19" t="s">
        <v>570</v>
      </c>
      <c r="DK1" s="19" t="s">
        <v>1749</v>
      </c>
      <c r="DL1" s="19" t="s">
        <v>1750</v>
      </c>
      <c r="DM1" s="19" t="s">
        <v>905</v>
      </c>
      <c r="DN1" s="19" t="s">
        <v>710</v>
      </c>
      <c r="DO1" s="19" t="s">
        <v>484</v>
      </c>
      <c r="DP1" s="19" t="s">
        <v>592</v>
      </c>
      <c r="DQ1" s="19" t="s">
        <v>605</v>
      </c>
      <c r="DR1" s="19" t="s">
        <v>624</v>
      </c>
      <c r="DS1" s="20" t="s">
        <v>2035</v>
      </c>
      <c r="DT1" s="19" t="s">
        <v>348</v>
      </c>
      <c r="DU1" s="19"/>
      <c r="DV1" s="19"/>
      <c r="DW1" s="19" t="s">
        <v>1765</v>
      </c>
      <c r="DX1" s="19" t="s">
        <v>769</v>
      </c>
      <c r="DY1" s="19" t="s">
        <v>1024</v>
      </c>
      <c r="DZ1" s="19" t="s">
        <v>862</v>
      </c>
      <c r="EA1" s="19" t="s">
        <v>863</v>
      </c>
      <c r="EB1" s="19" t="s">
        <v>702</v>
      </c>
      <c r="EC1" s="19" t="s">
        <v>717</v>
      </c>
      <c r="ED1" s="19" t="s">
        <v>1040</v>
      </c>
      <c r="EE1" s="19" t="s">
        <v>1041</v>
      </c>
      <c r="EF1" s="20" t="s">
        <v>2036</v>
      </c>
      <c r="EG1" s="19" t="s">
        <v>2025</v>
      </c>
      <c r="EH1" s="19" t="s">
        <v>1766</v>
      </c>
      <c r="EI1" s="19" t="s">
        <v>499</v>
      </c>
      <c r="EJ1" s="19" t="s">
        <v>1767</v>
      </c>
      <c r="EK1" s="19" t="s">
        <v>1768</v>
      </c>
      <c r="EL1" s="19" t="s">
        <v>560</v>
      </c>
      <c r="EM1" s="19" t="s">
        <v>1769</v>
      </c>
      <c r="EN1" s="19" t="s">
        <v>571</v>
      </c>
      <c r="EO1" s="19" t="s">
        <v>1770</v>
      </c>
      <c r="EP1" s="19" t="s">
        <v>1771</v>
      </c>
      <c r="EQ1" s="19" t="s">
        <v>1772</v>
      </c>
      <c r="ER1" s="19" t="s">
        <v>352</v>
      </c>
      <c r="ES1" s="19" t="s">
        <v>1773</v>
      </c>
      <c r="ET1" s="19" t="s">
        <v>770</v>
      </c>
      <c r="EU1" s="19" t="s">
        <v>1774</v>
      </c>
      <c r="EV1" s="19" t="s">
        <v>1775</v>
      </c>
      <c r="EW1" s="19" t="s">
        <v>586</v>
      </c>
      <c r="EX1" s="19" t="s">
        <v>789</v>
      </c>
      <c r="EY1" s="19" t="s">
        <v>876</v>
      </c>
      <c r="EZ1" s="19" t="s">
        <v>877</v>
      </c>
      <c r="FA1" s="19" t="s">
        <v>878</v>
      </c>
      <c r="FB1" s="19" t="s">
        <v>611</v>
      </c>
      <c r="FC1" s="19" t="s">
        <v>626</v>
      </c>
      <c r="FD1" s="19" t="s">
        <v>1060</v>
      </c>
      <c r="FE1" s="19" t="s">
        <v>1062</v>
      </c>
      <c r="FF1" s="19" t="s">
        <v>1025</v>
      </c>
      <c r="FG1" s="19" t="s">
        <v>790</v>
      </c>
      <c r="FH1" s="19" t="s">
        <v>724</v>
      </c>
      <c r="FI1" s="20" t="s">
        <v>2037</v>
      </c>
      <c r="FJ1" s="19" t="s">
        <v>349</v>
      </c>
      <c r="FK1" s="19" t="s">
        <v>1776</v>
      </c>
      <c r="FL1" s="19" t="s">
        <v>1777</v>
      </c>
      <c r="FM1" s="19" t="s">
        <v>1778</v>
      </c>
      <c r="FN1" s="19" t="s">
        <v>656</v>
      </c>
      <c r="FO1" s="19" t="s">
        <v>1781</v>
      </c>
      <c r="FP1" s="19" t="s">
        <v>1782</v>
      </c>
      <c r="FQ1" s="19" t="s">
        <v>462</v>
      </c>
      <c r="FR1" s="19" t="s">
        <v>839</v>
      </c>
      <c r="FS1" s="19" t="s">
        <v>1783</v>
      </c>
      <c r="FT1" s="19" t="s">
        <v>1784</v>
      </c>
      <c r="FU1" s="19" t="s">
        <v>1785</v>
      </c>
      <c r="FV1" s="19" t="s">
        <v>468</v>
      </c>
      <c r="FW1" s="19" t="s">
        <v>1786</v>
      </c>
      <c r="FX1" s="19" t="s">
        <v>864</v>
      </c>
      <c r="FY1" s="19" t="s">
        <v>1787</v>
      </c>
      <c r="FZ1" s="19" t="s">
        <v>1788</v>
      </c>
      <c r="GA1" s="19" t="s">
        <v>473</v>
      </c>
      <c r="GB1" s="19" t="s">
        <v>481</v>
      </c>
      <c r="GC1" s="19" t="s">
        <v>422</v>
      </c>
      <c r="GD1" s="19" t="s">
        <v>423</v>
      </c>
      <c r="GE1" s="19" t="s">
        <v>505</v>
      </c>
      <c r="GF1" s="19" t="s">
        <v>511</v>
      </c>
      <c r="GG1" s="19" t="s">
        <v>598</v>
      </c>
      <c r="GH1" s="19" t="s">
        <v>424</v>
      </c>
      <c r="GI1" s="19" t="s">
        <v>425</v>
      </c>
      <c r="GJ1" s="19" t="s">
        <v>426</v>
      </c>
      <c r="GK1" s="19" t="s">
        <v>427</v>
      </c>
      <c r="GL1" s="19" t="s">
        <v>428</v>
      </c>
      <c r="GM1" s="19" t="s">
        <v>429</v>
      </c>
      <c r="GN1" s="19" t="s">
        <v>430</v>
      </c>
      <c r="GO1" s="19" t="s">
        <v>431</v>
      </c>
      <c r="GP1" s="19" t="s">
        <v>432</v>
      </c>
      <c r="GQ1" s="19" t="s">
        <v>433</v>
      </c>
      <c r="GR1" s="19" t="s">
        <v>512</v>
      </c>
      <c r="GS1" s="19" t="s">
        <v>487</v>
      </c>
      <c r="GT1" s="19" t="s">
        <v>495</v>
      </c>
      <c r="GU1" s="19" t="s">
        <v>434</v>
      </c>
      <c r="GV1" s="19" t="s">
        <v>435</v>
      </c>
      <c r="GW1" s="19" t="s">
        <v>438</v>
      </c>
      <c r="GX1" s="19" t="s">
        <v>1042</v>
      </c>
      <c r="GY1" s="19" t="s">
        <v>738</v>
      </c>
      <c r="GZ1" s="19" t="s">
        <v>436</v>
      </c>
      <c r="HA1" s="19" t="s">
        <v>742</v>
      </c>
      <c r="HB1" s="19" t="s">
        <v>750</v>
      </c>
      <c r="HC1" s="19" t="s">
        <v>437</v>
      </c>
      <c r="HD1" s="19"/>
      <c r="HE1" s="19" t="s">
        <v>517</v>
      </c>
      <c r="HF1" s="19" t="s">
        <v>888</v>
      </c>
      <c r="HG1" s="19" t="s">
        <v>518</v>
      </c>
      <c r="HH1" s="19" t="s">
        <v>1051</v>
      </c>
      <c r="HI1" s="19" t="s">
        <v>947</v>
      </c>
      <c r="HJ1" s="19" t="s">
        <v>948</v>
      </c>
      <c r="HK1" s="19" t="s">
        <v>949</v>
      </c>
      <c r="HL1" s="19" t="s">
        <v>950</v>
      </c>
      <c r="HM1" s="19" t="s">
        <v>951</v>
      </c>
      <c r="HN1" s="19" t="s">
        <v>952</v>
      </c>
      <c r="HO1" s="19" t="s">
        <v>953</v>
      </c>
      <c r="HP1" s="19" t="s">
        <v>954</v>
      </c>
      <c r="HQ1" s="19" t="s">
        <v>955</v>
      </c>
      <c r="HR1" s="19" t="s">
        <v>956</v>
      </c>
      <c r="HS1" s="19" t="s">
        <v>802</v>
      </c>
      <c r="HT1" s="19" t="s">
        <v>803</v>
      </c>
      <c r="HU1" s="19" t="s">
        <v>804</v>
      </c>
      <c r="HV1" s="19" t="s">
        <v>805</v>
      </c>
      <c r="HW1" s="19" t="s">
        <v>806</v>
      </c>
      <c r="HX1" s="19" t="s">
        <v>695</v>
      </c>
      <c r="HY1" s="20" t="s">
        <v>2038</v>
      </c>
      <c r="HZ1" s="19" t="s">
        <v>350</v>
      </c>
      <c r="IA1" s="19" t="s">
        <v>1789</v>
      </c>
      <c r="IB1" s="19" t="s">
        <v>1790</v>
      </c>
      <c r="IC1" s="19" t="s">
        <v>637</v>
      </c>
      <c r="ID1" s="19" t="s">
        <v>1794</v>
      </c>
      <c r="IE1" s="19" t="s">
        <v>1795</v>
      </c>
      <c r="IF1" s="19" t="s">
        <v>463</v>
      </c>
      <c r="IG1" s="19" t="s">
        <v>840</v>
      </c>
      <c r="IH1" s="19" t="s">
        <v>1796</v>
      </c>
      <c r="II1" s="19" t="s">
        <v>1797</v>
      </c>
      <c r="IJ1" s="19" t="s">
        <v>1798</v>
      </c>
      <c r="IK1" s="19" t="s">
        <v>469</v>
      </c>
      <c r="IL1" s="19" t="s">
        <v>1799</v>
      </c>
      <c r="IM1" s="19" t="s">
        <v>771</v>
      </c>
      <c r="IN1" s="19" t="s">
        <v>1800</v>
      </c>
      <c r="IO1" s="19" t="s">
        <v>1801</v>
      </c>
      <c r="IP1" s="19" t="s">
        <v>474</v>
      </c>
      <c r="IQ1" s="19" t="s">
        <v>482</v>
      </c>
      <c r="IR1" s="19" t="s">
        <v>439</v>
      </c>
      <c r="IS1" s="19" t="s">
        <v>440</v>
      </c>
      <c r="IT1" s="19" t="s">
        <v>506</v>
      </c>
      <c r="IU1" s="19" t="s">
        <v>513</v>
      </c>
      <c r="IV1" s="19" t="s">
        <v>599</v>
      </c>
      <c r="IW1" s="19" t="s">
        <v>441</v>
      </c>
      <c r="IX1" s="19" t="s">
        <v>442</v>
      </c>
      <c r="IY1" s="19" t="s">
        <v>443</v>
      </c>
      <c r="IZ1" s="19" t="s">
        <v>444</v>
      </c>
      <c r="JA1" s="19" t="s">
        <v>445</v>
      </c>
      <c r="JB1" s="19" t="s">
        <v>446</v>
      </c>
      <c r="JC1" s="19" t="s">
        <v>447</v>
      </c>
      <c r="JD1" s="19" t="s">
        <v>448</v>
      </c>
      <c r="JE1" s="19" t="s">
        <v>449</v>
      </c>
      <c r="JF1" s="19" t="s">
        <v>450</v>
      </c>
      <c r="JG1" s="19" t="s">
        <v>514</v>
      </c>
      <c r="JH1" s="19" t="s">
        <v>488</v>
      </c>
      <c r="JI1" s="19" t="s">
        <v>496</v>
      </c>
      <c r="JJ1" s="19" t="s">
        <v>451</v>
      </c>
      <c r="JK1" s="19" t="s">
        <v>452</v>
      </c>
      <c r="JL1" s="19" t="s">
        <v>453</v>
      </c>
      <c r="JM1" s="19" t="s">
        <v>1043</v>
      </c>
      <c r="JN1" s="19" t="s">
        <v>739</v>
      </c>
      <c r="JO1" s="19" t="s">
        <v>454</v>
      </c>
      <c r="JP1" s="19" t="s">
        <v>743</v>
      </c>
      <c r="JQ1" s="19" t="s">
        <v>751</v>
      </c>
      <c r="JR1" s="19" t="s">
        <v>455</v>
      </c>
      <c r="JS1" s="19" t="s">
        <v>519</v>
      </c>
      <c r="JT1" s="19" t="s">
        <v>889</v>
      </c>
      <c r="JU1" s="19" t="s">
        <v>520</v>
      </c>
      <c r="JV1" s="19" t="s">
        <v>1052</v>
      </c>
      <c r="JW1" s="19" t="s">
        <v>957</v>
      </c>
      <c r="JX1" s="19" t="s">
        <v>958</v>
      </c>
      <c r="JY1" s="19" t="s">
        <v>959</v>
      </c>
      <c r="JZ1" s="19" t="s">
        <v>960</v>
      </c>
      <c r="KA1" s="19" t="s">
        <v>961</v>
      </c>
      <c r="KB1" s="19" t="s">
        <v>962</v>
      </c>
      <c r="KC1" s="19" t="s">
        <v>963</v>
      </c>
      <c r="KD1" s="19" t="s">
        <v>964</v>
      </c>
      <c r="KE1" s="19" t="s">
        <v>965</v>
      </c>
      <c r="KF1" s="19" t="s">
        <v>966</v>
      </c>
      <c r="KG1" s="19" t="s">
        <v>807</v>
      </c>
      <c r="KH1" s="19" t="s">
        <v>808</v>
      </c>
      <c r="KI1" s="19" t="s">
        <v>809</v>
      </c>
      <c r="KJ1" s="19" t="s">
        <v>811</v>
      </c>
      <c r="KK1" s="19" t="s">
        <v>810</v>
      </c>
      <c r="KL1" s="19" t="s">
        <v>696</v>
      </c>
      <c r="KM1" s="20" t="s">
        <v>2039</v>
      </c>
      <c r="KN1" s="19" t="s">
        <v>394</v>
      </c>
      <c r="KO1" s="19" t="s">
        <v>1802</v>
      </c>
      <c r="KP1" s="19" t="s">
        <v>638</v>
      </c>
      <c r="KQ1" s="19" t="s">
        <v>1804</v>
      </c>
      <c r="KR1" s="19" t="s">
        <v>465</v>
      </c>
      <c r="KS1" s="19" t="s">
        <v>841</v>
      </c>
      <c r="KT1" s="19" t="s">
        <v>1805</v>
      </c>
      <c r="KU1" s="19" t="s">
        <v>1806</v>
      </c>
      <c r="KV1" s="19" t="s">
        <v>1807</v>
      </c>
      <c r="KW1" s="19" t="s">
        <v>471</v>
      </c>
      <c r="KX1" s="19" t="s">
        <v>1808</v>
      </c>
      <c r="KY1" s="19" t="s">
        <v>772</v>
      </c>
      <c r="KZ1" s="19" t="s">
        <v>1809</v>
      </c>
      <c r="LA1" s="19" t="s">
        <v>1810</v>
      </c>
      <c r="LB1" s="19" t="s">
        <v>478</v>
      </c>
      <c r="LC1" s="19" t="s">
        <v>395</v>
      </c>
      <c r="LD1" s="19" t="s">
        <v>396</v>
      </c>
      <c r="LE1" s="19" t="s">
        <v>682</v>
      </c>
      <c r="LF1" s="19" t="s">
        <v>879</v>
      </c>
      <c r="LG1" s="19" t="s">
        <v>508</v>
      </c>
      <c r="LH1" s="19" t="s">
        <v>405</v>
      </c>
      <c r="LI1" s="19" t="s">
        <v>397</v>
      </c>
      <c r="LJ1" s="19" t="s">
        <v>398</v>
      </c>
      <c r="LK1" s="19" t="s">
        <v>399</v>
      </c>
      <c r="LL1" s="19" t="s">
        <v>400</v>
      </c>
      <c r="LM1" s="19" t="s">
        <v>401</v>
      </c>
      <c r="LN1" s="19" t="s">
        <v>403</v>
      </c>
      <c r="LO1" s="19" t="s">
        <v>402</v>
      </c>
      <c r="LP1" s="19" t="s">
        <v>509</v>
      </c>
      <c r="LQ1" s="19" t="s">
        <v>683</v>
      </c>
      <c r="LR1" s="19" t="s">
        <v>684</v>
      </c>
      <c r="LS1" s="19" t="s">
        <v>510</v>
      </c>
      <c r="LT1" s="19" t="s">
        <v>492</v>
      </c>
      <c r="LU1" s="19" t="s">
        <v>404</v>
      </c>
      <c r="LV1" s="19" t="s">
        <v>685</v>
      </c>
      <c r="LW1" s="19" t="s">
        <v>686</v>
      </c>
      <c r="LX1" s="19" t="s">
        <v>732</v>
      </c>
      <c r="LY1" s="19" t="s">
        <v>1044</v>
      </c>
      <c r="LZ1" s="19" t="s">
        <v>406</v>
      </c>
      <c r="MA1" s="19" t="s">
        <v>687</v>
      </c>
      <c r="MB1" s="19" t="s">
        <v>744</v>
      </c>
      <c r="MC1" s="19" t="s">
        <v>752</v>
      </c>
      <c r="MD1" s="19" t="s">
        <v>688</v>
      </c>
      <c r="ME1" s="19" t="s">
        <v>515</v>
      </c>
      <c r="MF1" s="19" t="s">
        <v>761</v>
      </c>
      <c r="MG1" s="19" t="s">
        <v>516</v>
      </c>
      <c r="MH1" s="19" t="s">
        <v>1053</v>
      </c>
      <c r="MI1" s="19" t="s">
        <v>967</v>
      </c>
      <c r="MJ1" s="19" t="s">
        <v>968</v>
      </c>
      <c r="MK1" s="19" t="s">
        <v>969</v>
      </c>
      <c r="ML1" s="19" t="s">
        <v>970</v>
      </c>
      <c r="MM1" s="19" t="s">
        <v>971</v>
      </c>
      <c r="MN1" s="19" t="s">
        <v>976</v>
      </c>
      <c r="MO1" s="19" t="s">
        <v>972</v>
      </c>
      <c r="MP1" s="19" t="s">
        <v>973</v>
      </c>
      <c r="MQ1" s="19" t="s">
        <v>974</v>
      </c>
      <c r="MR1" s="19" t="s">
        <v>975</v>
      </c>
      <c r="MS1" s="19" t="s">
        <v>725</v>
      </c>
      <c r="MT1" s="19" t="s">
        <v>812</v>
      </c>
      <c r="MU1" s="19" t="s">
        <v>813</v>
      </c>
      <c r="MV1" s="19" t="s">
        <v>814</v>
      </c>
      <c r="MW1" s="19" t="s">
        <v>815</v>
      </c>
      <c r="MX1" s="19" t="s">
        <v>816</v>
      </c>
      <c r="MY1" s="19" t="s">
        <v>689</v>
      </c>
      <c r="MZ1" s="20" t="s">
        <v>2040</v>
      </c>
      <c r="NA1" s="19" t="s">
        <v>351</v>
      </c>
      <c r="NB1" s="19" t="s">
        <v>1811</v>
      </c>
      <c r="NC1" s="19" t="s">
        <v>1813</v>
      </c>
      <c r="ND1" s="19" t="s">
        <v>639</v>
      </c>
      <c r="NE1" s="19" t="s">
        <v>1814</v>
      </c>
      <c r="NF1" s="19" t="s">
        <v>1815</v>
      </c>
      <c r="NG1" s="19" t="s">
        <v>645</v>
      </c>
      <c r="NH1" s="19" t="s">
        <v>842</v>
      </c>
      <c r="NI1" s="19" t="s">
        <v>1816</v>
      </c>
      <c r="NJ1" s="19" t="s">
        <v>1817</v>
      </c>
      <c r="NK1" s="19" t="s">
        <v>1818</v>
      </c>
      <c r="NL1" s="19" t="s">
        <v>764</v>
      </c>
      <c r="NM1" s="19" t="s">
        <v>1819</v>
      </c>
      <c r="NN1" s="19" t="s">
        <v>924</v>
      </c>
      <c r="NO1" s="19" t="s">
        <v>1820</v>
      </c>
      <c r="NP1" s="19" t="s">
        <v>1821</v>
      </c>
      <c r="NQ1" s="19" t="s">
        <v>648</v>
      </c>
      <c r="NR1" s="19" t="s">
        <v>765</v>
      </c>
      <c r="NS1" s="19" t="s">
        <v>507</v>
      </c>
      <c r="NT1" s="19" t="s">
        <v>600</v>
      </c>
      <c r="NU1" s="19" t="s">
        <v>407</v>
      </c>
      <c r="NV1" s="19" t="s">
        <v>408</v>
      </c>
      <c r="NW1" s="19" t="s">
        <v>409</v>
      </c>
      <c r="NX1" s="19" t="s">
        <v>410</v>
      </c>
      <c r="NY1" s="19" t="s">
        <v>411</v>
      </c>
      <c r="NZ1" s="19" t="s">
        <v>412</v>
      </c>
      <c r="OA1" s="19" t="s">
        <v>413</v>
      </c>
      <c r="OB1" s="19" t="s">
        <v>414</v>
      </c>
      <c r="OC1" s="19" t="s">
        <v>415</v>
      </c>
      <c r="OD1" s="19" t="s">
        <v>416</v>
      </c>
      <c r="OE1" s="19" t="s">
        <v>1045</v>
      </c>
      <c r="OF1" s="19" t="s">
        <v>1056</v>
      </c>
      <c r="OG1" s="19" t="s">
        <v>417</v>
      </c>
      <c r="OH1" s="19" t="s">
        <v>1047</v>
      </c>
      <c r="OI1" s="19" t="s">
        <v>1046</v>
      </c>
      <c r="OJ1" s="19" t="s">
        <v>740</v>
      </c>
      <c r="OK1" s="19" t="s">
        <v>749</v>
      </c>
      <c r="OL1" s="19" t="s">
        <v>755</v>
      </c>
      <c r="OM1" s="19" t="s">
        <v>756</v>
      </c>
      <c r="ON1" s="19" t="s">
        <v>817</v>
      </c>
      <c r="OO1" s="19" t="s">
        <v>818</v>
      </c>
      <c r="OP1" s="19" t="s">
        <v>819</v>
      </c>
      <c r="OQ1" s="20" t="s">
        <v>2041</v>
      </c>
      <c r="OR1" s="32" t="s">
        <v>354</v>
      </c>
      <c r="OS1" s="32" t="s">
        <v>657</v>
      </c>
      <c r="OT1" s="32" t="s">
        <v>1061</v>
      </c>
      <c r="OU1" s="32" t="s">
        <v>820</v>
      </c>
      <c r="OV1" s="32" t="s">
        <v>821</v>
      </c>
      <c r="OW1" s="33" t="s">
        <v>2042</v>
      </c>
      <c r="OX1" s="19" t="s">
        <v>356</v>
      </c>
      <c r="OY1" s="19" t="s">
        <v>372</v>
      </c>
      <c r="OZ1" s="19" t="s">
        <v>1822</v>
      </c>
      <c r="PA1" s="19" t="s">
        <v>372</v>
      </c>
      <c r="PB1" s="19" t="s">
        <v>1825</v>
      </c>
      <c r="PC1" s="19" t="s">
        <v>1826</v>
      </c>
      <c r="PD1" s="19" t="s">
        <v>490</v>
      </c>
      <c r="PE1" s="19" t="s">
        <v>1829</v>
      </c>
      <c r="PF1" s="19" t="s">
        <v>564</v>
      </c>
      <c r="PG1" s="19" t="s">
        <v>1830</v>
      </c>
      <c r="PH1" s="19" t="s">
        <v>1831</v>
      </c>
      <c r="PI1" s="19" t="s">
        <v>1832</v>
      </c>
      <c r="PJ1" s="19" t="s">
        <v>541</v>
      </c>
      <c r="PK1" s="19" t="s">
        <v>1836</v>
      </c>
      <c r="PL1" s="19" t="s">
        <v>773</v>
      </c>
      <c r="PM1" s="19" t="s">
        <v>1838</v>
      </c>
      <c r="PN1" s="19" t="s">
        <v>1839</v>
      </c>
      <c r="PO1" s="19" t="s">
        <v>703</v>
      </c>
      <c r="PP1" s="19" t="s">
        <v>483</v>
      </c>
      <c r="PQ1" s="19" t="s">
        <v>774</v>
      </c>
      <c r="PR1" s="19" t="s">
        <v>901</v>
      </c>
      <c r="PS1" s="19" t="s">
        <v>880</v>
      </c>
      <c r="PT1" s="19" t="s">
        <v>379</v>
      </c>
      <c r="PU1" s="19" t="s">
        <v>373</v>
      </c>
      <c r="PV1" s="19" t="s">
        <v>619</v>
      </c>
      <c r="PW1" s="19" t="s">
        <v>380</v>
      </c>
      <c r="PX1" s="19" t="s">
        <v>374</v>
      </c>
      <c r="PY1" s="19" t="s">
        <v>375</v>
      </c>
      <c r="PZ1" s="19" t="s">
        <v>376</v>
      </c>
      <c r="QA1" s="19" t="s">
        <v>667</v>
      </c>
      <c r="QB1" s="19" t="s">
        <v>381</v>
      </c>
      <c r="QC1" s="19" t="s">
        <v>377</v>
      </c>
      <c r="QD1" s="19" t="s">
        <v>668</v>
      </c>
      <c r="QE1" s="19" t="s">
        <v>669</v>
      </c>
      <c r="QF1" s="19" t="s">
        <v>489</v>
      </c>
      <c r="QG1" s="19" t="s">
        <v>494</v>
      </c>
      <c r="QH1" s="19" t="s">
        <v>670</v>
      </c>
      <c r="QI1" s="19" t="s">
        <v>733</v>
      </c>
      <c r="QJ1" s="19" t="s">
        <v>741</v>
      </c>
      <c r="QK1" s="19" t="s">
        <v>745</v>
      </c>
      <c r="QL1" s="19" t="s">
        <v>748</v>
      </c>
      <c r="QM1" s="19" t="s">
        <v>498</v>
      </c>
      <c r="QN1" s="19" t="s">
        <v>757</v>
      </c>
      <c r="QO1" s="19" t="s">
        <v>762</v>
      </c>
      <c r="QP1" s="19" t="s">
        <v>977</v>
      </c>
      <c r="QQ1" s="19" t="s">
        <v>978</v>
      </c>
      <c r="QR1" s="19" t="s">
        <v>979</v>
      </c>
      <c r="QS1" s="19" t="s">
        <v>980</v>
      </c>
      <c r="QT1" s="19" t="s">
        <v>981</v>
      </c>
      <c r="QU1" s="19" t="s">
        <v>982</v>
      </c>
      <c r="QV1" s="19" t="s">
        <v>983</v>
      </c>
      <c r="QW1" s="19" t="s">
        <v>984</v>
      </c>
      <c r="QX1" s="19" t="s">
        <v>985</v>
      </c>
      <c r="QY1" s="19" t="s">
        <v>986</v>
      </c>
      <c r="QZ1" s="19" t="s">
        <v>726</v>
      </c>
      <c r="RA1" s="19" t="s">
        <v>822</v>
      </c>
      <c r="RB1" s="19" t="s">
        <v>823</v>
      </c>
      <c r="RC1" s="19" t="s">
        <v>824</v>
      </c>
      <c r="RD1" s="20" t="s">
        <v>2043</v>
      </c>
      <c r="RE1" s="19" t="s">
        <v>357</v>
      </c>
      <c r="RF1" s="19" t="s">
        <v>1841</v>
      </c>
      <c r="RG1" s="19" t="s">
        <v>1842</v>
      </c>
      <c r="RH1" s="19" t="s">
        <v>727</v>
      </c>
      <c r="RI1" s="19" t="s">
        <v>1844</v>
      </c>
      <c r="RJ1" s="19" t="s">
        <v>642</v>
      </c>
      <c r="RK1" s="19" t="s">
        <v>934</v>
      </c>
      <c r="RL1" s="19" t="s">
        <v>935</v>
      </c>
      <c r="RM1" s="19" t="s">
        <v>898</v>
      </c>
      <c r="RN1" s="19" t="s">
        <v>652</v>
      </c>
      <c r="RO1" s="19" t="s">
        <v>987</v>
      </c>
      <c r="RP1" s="19" t="s">
        <v>988</v>
      </c>
      <c r="RQ1" s="19" t="s">
        <v>989</v>
      </c>
      <c r="RR1" s="19" t="s">
        <v>990</v>
      </c>
      <c r="RS1" s="19" t="s">
        <v>991</v>
      </c>
      <c r="RT1" s="19" t="s">
        <v>527</v>
      </c>
      <c r="RU1" s="20" t="s">
        <v>2044</v>
      </c>
      <c r="RV1" s="19" t="s">
        <v>358</v>
      </c>
      <c r="RW1" s="19" t="s">
        <v>1846</v>
      </c>
      <c r="RX1" s="19" t="s">
        <v>1847</v>
      </c>
      <c r="RY1" s="19" t="s">
        <v>359</v>
      </c>
      <c r="RZ1" s="19" t="s">
        <v>1851</v>
      </c>
      <c r="SA1" s="19" t="s">
        <v>1852</v>
      </c>
      <c r="SB1" s="19" t="s">
        <v>464</v>
      </c>
      <c r="SC1" s="19" t="s">
        <v>843</v>
      </c>
      <c r="SD1" s="19" t="s">
        <v>1853</v>
      </c>
      <c r="SE1" s="19" t="s">
        <v>1854</v>
      </c>
      <c r="SF1" s="19" t="s">
        <v>1855</v>
      </c>
      <c r="SG1" s="19" t="s">
        <v>470</v>
      </c>
      <c r="SH1" s="19" t="s">
        <v>1856</v>
      </c>
      <c r="SI1" s="19" t="s">
        <v>775</v>
      </c>
      <c r="SJ1" s="19" t="s">
        <v>1857</v>
      </c>
      <c r="SK1" s="19" t="s">
        <v>1858</v>
      </c>
      <c r="SL1" s="19" t="s">
        <v>477</v>
      </c>
      <c r="SM1" s="19" t="s">
        <v>360</v>
      </c>
      <c r="SN1" s="19" t="s">
        <v>361</v>
      </c>
      <c r="SO1" s="19" t="s">
        <v>658</v>
      </c>
      <c r="SP1" s="19" t="s">
        <v>881</v>
      </c>
      <c r="SQ1" s="19" t="s">
        <v>791</v>
      </c>
      <c r="SR1" s="19" t="s">
        <v>362</v>
      </c>
      <c r="SS1" s="19" t="s">
        <v>621</v>
      </c>
      <c r="ST1" s="19" t="s">
        <v>363</v>
      </c>
      <c r="SU1" s="19" t="s">
        <v>364</v>
      </c>
      <c r="SV1" s="19" t="s">
        <v>365</v>
      </c>
      <c r="SW1" s="19" t="s">
        <v>366</v>
      </c>
      <c r="SX1" s="19" t="s">
        <v>367</v>
      </c>
      <c r="SY1" s="19" t="s">
        <v>368</v>
      </c>
      <c r="SZ1" s="19" t="s">
        <v>659</v>
      </c>
      <c r="TA1" s="19" t="s">
        <v>369</v>
      </c>
      <c r="TB1" s="19" t="s">
        <v>660</v>
      </c>
      <c r="TC1" s="19" t="s">
        <v>661</v>
      </c>
      <c r="TD1" s="19" t="s">
        <v>491</v>
      </c>
      <c r="TE1" s="19" t="s">
        <v>370</v>
      </c>
      <c r="TF1" s="19" t="s">
        <v>662</v>
      </c>
      <c r="TG1" s="19" t="s">
        <v>371</v>
      </c>
      <c r="TH1" s="19" t="s">
        <v>663</v>
      </c>
      <c r="TI1" s="19" t="s">
        <v>734</v>
      </c>
      <c r="TJ1" s="19" t="s">
        <v>735</v>
      </c>
      <c r="TK1" s="19" t="s">
        <v>664</v>
      </c>
      <c r="TL1" s="19" t="s">
        <v>736</v>
      </c>
      <c r="TM1" s="19" t="s">
        <v>665</v>
      </c>
      <c r="TN1" s="19" t="s">
        <v>737</v>
      </c>
      <c r="TO1" s="19" t="s">
        <v>1054</v>
      </c>
      <c r="TP1" s="19" t="s">
        <v>995</v>
      </c>
      <c r="TQ1" s="19" t="s">
        <v>996</v>
      </c>
      <c r="TR1" s="19" t="s">
        <v>997</v>
      </c>
      <c r="TS1" s="19" t="s">
        <v>998</v>
      </c>
      <c r="TT1" s="19" t="s">
        <v>999</v>
      </c>
      <c r="TU1" s="19" t="s">
        <v>1000</v>
      </c>
      <c r="TV1" s="19" t="s">
        <v>1001</v>
      </c>
      <c r="TW1" s="19" t="s">
        <v>1002</v>
      </c>
      <c r="TX1" s="19" t="s">
        <v>1003</v>
      </c>
      <c r="TY1" s="19" t="s">
        <v>825</v>
      </c>
      <c r="TZ1" s="19" t="s">
        <v>826</v>
      </c>
      <c r="UA1" s="19" t="s">
        <v>827</v>
      </c>
      <c r="UB1" s="19" t="s">
        <v>828</v>
      </c>
      <c r="UC1" s="19" t="s">
        <v>829</v>
      </c>
      <c r="UD1" s="19" t="s">
        <v>666</v>
      </c>
      <c r="UE1" s="20" t="s">
        <v>2045</v>
      </c>
      <c r="UF1" s="19" t="s">
        <v>382</v>
      </c>
      <c r="UG1" s="19" t="s">
        <v>1859</v>
      </c>
      <c r="UH1" s="19" t="s">
        <v>729</v>
      </c>
      <c r="UI1" s="19" t="s">
        <v>1862</v>
      </c>
      <c r="UJ1" s="19" t="s">
        <v>2010</v>
      </c>
      <c r="UK1" s="19" t="s">
        <v>644</v>
      </c>
      <c r="UL1" s="19" t="s">
        <v>383</v>
      </c>
      <c r="UM1" s="19" t="s">
        <v>384</v>
      </c>
      <c r="UN1" s="19" t="s">
        <v>385</v>
      </c>
      <c r="UO1" s="19" t="s">
        <v>1863</v>
      </c>
      <c r="UP1" s="19" t="s">
        <v>385</v>
      </c>
      <c r="UQ1" s="19" t="s">
        <v>1864</v>
      </c>
      <c r="UR1" s="19" t="s">
        <v>1865</v>
      </c>
      <c r="US1" s="19" t="s">
        <v>647</v>
      </c>
      <c r="UT1" s="19" t="s">
        <v>386</v>
      </c>
      <c r="UU1" s="19" t="s">
        <v>387</v>
      </c>
      <c r="UV1" s="19" t="s">
        <v>618</v>
      </c>
      <c r="UW1" s="19" t="s">
        <v>388</v>
      </c>
      <c r="UX1" s="19" t="s">
        <v>671</v>
      </c>
      <c r="UY1" s="19" t="s">
        <v>672</v>
      </c>
      <c r="UZ1" s="19" t="s">
        <v>673</v>
      </c>
      <c r="VA1" s="19" t="s">
        <v>674</v>
      </c>
      <c r="VB1" s="19" t="s">
        <v>675</v>
      </c>
      <c r="VC1" s="19" t="s">
        <v>676</v>
      </c>
      <c r="VD1" s="19" t="s">
        <v>1004</v>
      </c>
      <c r="VE1" s="19" t="s">
        <v>1005</v>
      </c>
      <c r="VF1" s="19" t="s">
        <v>1006</v>
      </c>
      <c r="VG1" s="19" t="s">
        <v>1007</v>
      </c>
      <c r="VH1" s="19" t="s">
        <v>1008</v>
      </c>
      <c r="VI1" s="19" t="s">
        <v>1009</v>
      </c>
      <c r="VJ1" s="20" t="s">
        <v>2046</v>
      </c>
      <c r="VK1" s="19" t="s">
        <v>456</v>
      </c>
      <c r="VL1" s="19" t="s">
        <v>1866</v>
      </c>
      <c r="VM1" s="19" t="s">
        <v>776</v>
      </c>
      <c r="VN1" s="19" t="s">
        <v>1870</v>
      </c>
      <c r="VO1" s="19" t="s">
        <v>1871</v>
      </c>
      <c r="VP1" s="19" t="s">
        <v>557</v>
      </c>
      <c r="VQ1" s="19" t="s">
        <v>563</v>
      </c>
      <c r="VR1" s="19" t="s">
        <v>1875</v>
      </c>
      <c r="VS1" s="19" t="s">
        <v>1876</v>
      </c>
      <c r="VT1" s="19" t="s">
        <v>1880</v>
      </c>
      <c r="VU1" s="19" t="s">
        <v>467</v>
      </c>
      <c r="VV1" s="19" t="s">
        <v>1881</v>
      </c>
      <c r="VW1" s="19" t="s">
        <v>865</v>
      </c>
      <c r="VX1" s="19" t="s">
        <v>1883</v>
      </c>
      <c r="VY1" s="19" t="s">
        <v>1884</v>
      </c>
      <c r="VZ1" s="19" t="s">
        <v>472</v>
      </c>
      <c r="WA1" s="19" t="s">
        <v>480</v>
      </c>
      <c r="WB1" s="19" t="s">
        <v>777</v>
      </c>
      <c r="WC1" s="19" t="s">
        <v>587</v>
      </c>
      <c r="WD1" s="19" t="s">
        <v>594</v>
      </c>
      <c r="WE1" s="19" t="s">
        <v>615</v>
      </c>
      <c r="WF1" s="19" t="s">
        <v>792</v>
      </c>
      <c r="WG1" s="19" t="s">
        <v>1057</v>
      </c>
      <c r="WH1" s="19" t="s">
        <v>485</v>
      </c>
      <c r="WI1" s="19" t="s">
        <v>1048</v>
      </c>
      <c r="WJ1" s="19" t="s">
        <v>1049</v>
      </c>
      <c r="WK1" s="19" t="s">
        <v>759</v>
      </c>
      <c r="WL1" s="19" t="s">
        <v>830</v>
      </c>
      <c r="WM1" s="20" t="s">
        <v>2047</v>
      </c>
      <c r="WN1" s="19" t="s">
        <v>460</v>
      </c>
      <c r="WO1" s="19" t="s">
        <v>1887</v>
      </c>
      <c r="WP1" s="19" t="s">
        <v>784</v>
      </c>
      <c r="WQ1" s="19" t="s">
        <v>1890</v>
      </c>
      <c r="WR1" s="19" t="s">
        <v>466</v>
      </c>
      <c r="WS1" s="19" t="s">
        <v>566</v>
      </c>
      <c r="WT1" s="19" t="s">
        <v>1893</v>
      </c>
      <c r="WU1" s="19" t="s">
        <v>1894</v>
      </c>
      <c r="WV1" s="19" t="s">
        <v>1895</v>
      </c>
      <c r="WW1" s="19" t="s">
        <v>906</v>
      </c>
      <c r="WX1" s="19" t="s">
        <v>785</v>
      </c>
      <c r="WY1" s="19" t="s">
        <v>847</v>
      </c>
      <c r="WZ1" s="19" t="s">
        <v>882</v>
      </c>
      <c r="XA1" s="19" t="s">
        <v>902</v>
      </c>
      <c r="XB1" s="19" t="s">
        <v>590</v>
      </c>
      <c r="XC1" s="19" t="s">
        <v>606</v>
      </c>
      <c r="XD1" s="19" t="s">
        <v>623</v>
      </c>
      <c r="XE1" s="19" t="s">
        <v>885</v>
      </c>
      <c r="XF1" s="19" t="s">
        <v>718</v>
      </c>
      <c r="XG1" s="19" t="s">
        <v>753</v>
      </c>
      <c r="XH1" s="20" t="s">
        <v>2048</v>
      </c>
      <c r="XI1" s="19" t="s">
        <v>461</v>
      </c>
      <c r="XJ1" s="19" t="s">
        <v>497</v>
      </c>
      <c r="XK1" s="19" t="s">
        <v>1898</v>
      </c>
      <c r="XL1" s="19" t="s">
        <v>1899</v>
      </c>
      <c r="XM1" s="19" t="s">
        <v>848</v>
      </c>
      <c r="XN1" s="19" t="s">
        <v>866</v>
      </c>
      <c r="XO1" s="19" t="s">
        <v>1903</v>
      </c>
      <c r="XP1" s="19" t="s">
        <v>1904</v>
      </c>
      <c r="XQ1" s="19" t="s">
        <v>1905</v>
      </c>
      <c r="XR1" s="19" t="s">
        <v>909</v>
      </c>
      <c r="XS1" s="19" t="s">
        <v>1906</v>
      </c>
      <c r="XT1" s="19" t="s">
        <v>925</v>
      </c>
      <c r="XU1" s="19" t="s">
        <v>1907</v>
      </c>
      <c r="XV1" s="19" t="s">
        <v>1908</v>
      </c>
      <c r="XW1" s="19" t="s">
        <v>849</v>
      </c>
      <c r="XX1" s="19" t="s">
        <v>1028</v>
      </c>
      <c r="XY1" s="19" t="s">
        <v>1029</v>
      </c>
      <c r="XZ1" s="19" t="s">
        <v>650</v>
      </c>
      <c r="YA1" s="19" t="s">
        <v>719</v>
      </c>
      <c r="YB1" s="19" t="s">
        <v>704</v>
      </c>
      <c r="YC1" s="19" t="s">
        <v>746</v>
      </c>
      <c r="YD1" s="20" t="s">
        <v>2049</v>
      </c>
      <c r="YE1" s="19" t="s">
        <v>2012</v>
      </c>
      <c r="YF1" s="19" t="s">
        <v>1909</v>
      </c>
      <c r="YG1" s="19" t="s">
        <v>793</v>
      </c>
      <c r="YH1" s="19" t="s">
        <v>1912</v>
      </c>
      <c r="YI1" s="19" t="s">
        <v>1913</v>
      </c>
      <c r="YJ1" s="19" t="s">
        <v>641</v>
      </c>
      <c r="YK1" s="19" t="s">
        <v>910</v>
      </c>
      <c r="YL1" s="19" t="s">
        <v>1914</v>
      </c>
      <c r="YM1" s="19" t="s">
        <v>1915</v>
      </c>
      <c r="YN1" s="19" t="s">
        <v>1916</v>
      </c>
      <c r="YO1" s="19" t="s">
        <v>911</v>
      </c>
      <c r="YP1" s="19" t="s">
        <v>1917</v>
      </c>
      <c r="YQ1" s="19" t="s">
        <v>926</v>
      </c>
      <c r="YR1" s="19" t="s">
        <v>1918</v>
      </c>
      <c r="YS1" s="19" t="s">
        <v>1919</v>
      </c>
      <c r="YT1" s="19" t="s">
        <v>646</v>
      </c>
      <c r="YU1" s="19" t="s">
        <v>651</v>
      </c>
      <c r="YV1" s="19" t="s">
        <v>720</v>
      </c>
      <c r="YW1" s="19" t="s">
        <v>705</v>
      </c>
      <c r="YX1" s="20" t="s">
        <v>2050</v>
      </c>
      <c r="YY1" s="19" t="s">
        <v>475</v>
      </c>
      <c r="YZ1" s="19" t="s">
        <v>1920</v>
      </c>
      <c r="ZA1" s="19" t="s">
        <v>778</v>
      </c>
      <c r="ZB1" s="19" t="s">
        <v>707</v>
      </c>
      <c r="ZC1" s="19" t="s">
        <v>913</v>
      </c>
      <c r="ZD1" s="19" t="s">
        <v>1921</v>
      </c>
      <c r="ZE1" s="19" t="s">
        <v>1922</v>
      </c>
      <c r="ZF1" s="19" t="s">
        <v>1923</v>
      </c>
      <c r="ZG1" s="19" t="s">
        <v>578</v>
      </c>
      <c r="ZH1" s="19" t="s">
        <v>779</v>
      </c>
      <c r="ZI1" s="19" t="s">
        <v>584</v>
      </c>
      <c r="ZJ1" s="19" t="s">
        <v>794</v>
      </c>
      <c r="ZK1" s="19" t="s">
        <v>780</v>
      </c>
      <c r="ZL1" s="19" t="s">
        <v>609</v>
      </c>
      <c r="ZM1" s="19" t="s">
        <v>627</v>
      </c>
      <c r="ZN1" s="19" t="s">
        <v>891</v>
      </c>
      <c r="ZO1" s="19" t="s">
        <v>831</v>
      </c>
      <c r="ZP1" s="19" t="s">
        <v>832</v>
      </c>
      <c r="ZQ1" s="19" t="s">
        <v>833</v>
      </c>
      <c r="ZR1" s="20" t="s">
        <v>2051</v>
      </c>
      <c r="ZS1" s="19" t="s">
        <v>476</v>
      </c>
      <c r="ZT1" s="19" t="s">
        <v>708</v>
      </c>
      <c r="ZU1" s="19" t="s">
        <v>479</v>
      </c>
      <c r="ZV1" s="19" t="s">
        <v>709</v>
      </c>
      <c r="ZW1" s="19" t="s">
        <v>493</v>
      </c>
      <c r="ZX1" s="20" t="s">
        <v>2052</v>
      </c>
      <c r="ZY1" s="19" t="s">
        <v>486</v>
      </c>
      <c r="ZZ1" s="19" t="s">
        <v>914</v>
      </c>
      <c r="AAA1" s="19" t="s">
        <v>1924</v>
      </c>
      <c r="AAB1" s="19" t="s">
        <v>1925</v>
      </c>
      <c r="AAC1" s="19" t="s">
        <v>556</v>
      </c>
      <c r="AAD1" s="19" t="s">
        <v>562</v>
      </c>
      <c r="AAE1" s="19" t="s">
        <v>1926</v>
      </c>
      <c r="AAF1" s="19" t="s">
        <v>1927</v>
      </c>
      <c r="AAG1" s="19" t="s">
        <v>1928</v>
      </c>
      <c r="AAH1" s="19" t="s">
        <v>574</v>
      </c>
      <c r="AAI1" s="19" t="s">
        <v>1929</v>
      </c>
      <c r="AAJ1" s="19" t="s">
        <v>927</v>
      </c>
      <c r="AAK1" s="19" t="s">
        <v>1930</v>
      </c>
      <c r="AAL1" s="19" t="s">
        <v>1931</v>
      </c>
      <c r="AAM1" s="19" t="s">
        <v>581</v>
      </c>
      <c r="AAN1" s="19" t="s">
        <v>883</v>
      </c>
      <c r="AAO1" s="19" t="s">
        <v>593</v>
      </c>
      <c r="AAP1" s="19" t="s">
        <v>612</v>
      </c>
      <c r="AAQ1" s="19" t="s">
        <v>1058</v>
      </c>
      <c r="AAR1" s="19" t="s">
        <v>711</v>
      </c>
      <c r="AAS1" s="19" t="s">
        <v>1059</v>
      </c>
      <c r="AAT1" s="20" t="s">
        <v>2053</v>
      </c>
      <c r="AAU1" s="19" t="s">
        <v>500</v>
      </c>
      <c r="AAV1" s="19" t="s">
        <v>1932</v>
      </c>
      <c r="AAW1" s="19" t="s">
        <v>781</v>
      </c>
      <c r="AAX1" s="19" t="s">
        <v>1933</v>
      </c>
      <c r="AAY1" s="19" t="s">
        <v>1934</v>
      </c>
      <c r="AAZ1" s="19" t="s">
        <v>572</v>
      </c>
      <c r="ABA1" s="19" t="s">
        <v>1935</v>
      </c>
      <c r="ABB1" s="19" t="s">
        <v>573</v>
      </c>
      <c r="ABC1" s="19" t="s">
        <v>580</v>
      </c>
      <c r="ABD1" s="19" t="s">
        <v>1936</v>
      </c>
      <c r="ABE1" s="19" t="s">
        <v>867</v>
      </c>
      <c r="ABF1" s="19" t="s">
        <v>1937</v>
      </c>
      <c r="ABG1" s="19" t="s">
        <v>1938</v>
      </c>
      <c r="ABH1" s="19" t="s">
        <v>583</v>
      </c>
      <c r="ABI1" s="19" t="s">
        <v>795</v>
      </c>
      <c r="ABJ1" s="19" t="s">
        <v>782</v>
      </c>
      <c r="ABK1" s="19" t="s">
        <v>1034</v>
      </c>
      <c r="ABL1" s="19" t="s">
        <v>608</v>
      </c>
      <c r="ABM1" s="19" t="s">
        <v>614</v>
      </c>
      <c r="ABN1" s="19" t="s">
        <v>884</v>
      </c>
      <c r="ABO1" s="19" t="s">
        <v>1033</v>
      </c>
      <c r="ABP1" s="19" t="s">
        <v>721</v>
      </c>
      <c r="ABQ1" s="20" t="s">
        <v>2054</v>
      </c>
      <c r="ABR1" s="19" t="s">
        <v>2016</v>
      </c>
      <c r="ABS1" s="19" t="s">
        <v>722</v>
      </c>
      <c r="ABT1" s="19" t="s">
        <v>723</v>
      </c>
      <c r="ABU1" s="19" t="s">
        <v>856</v>
      </c>
      <c r="ABV1" s="20" t="s">
        <v>2055</v>
      </c>
      <c r="ABW1" s="19" t="s">
        <v>502</v>
      </c>
      <c r="ABX1" s="19" t="s">
        <v>931</v>
      </c>
      <c r="ABY1" s="19" t="s">
        <v>932</v>
      </c>
      <c r="ABZ1" s="19" t="s">
        <v>919</v>
      </c>
      <c r="ACA1" s="19" t="s">
        <v>920</v>
      </c>
      <c r="ACB1" s="19" t="s">
        <v>858</v>
      </c>
      <c r="ACC1" s="20" t="s">
        <v>2056</v>
      </c>
      <c r="ACD1" s="19" t="s">
        <v>521</v>
      </c>
      <c r="ACE1" s="19" t="s">
        <v>523</v>
      </c>
      <c r="ACF1" s="19" t="s">
        <v>524</v>
      </c>
      <c r="ACG1" s="19" t="s">
        <v>525</v>
      </c>
      <c r="ACH1" s="19" t="s">
        <v>2030</v>
      </c>
      <c r="ACI1" s="19" t="s">
        <v>1940</v>
      </c>
      <c r="ACJ1" s="19" t="s">
        <v>943</v>
      </c>
      <c r="ACK1" s="19" t="s">
        <v>555</v>
      </c>
      <c r="ACL1" s="19" t="s">
        <v>561</v>
      </c>
      <c r="ACM1" s="19" t="s">
        <v>1942</v>
      </c>
      <c r="ACN1" s="19" t="s">
        <v>1943</v>
      </c>
      <c r="ACO1" s="19" t="s">
        <v>900</v>
      </c>
      <c r="ACP1" s="19" t="s">
        <v>896</v>
      </c>
      <c r="ACQ1" s="20" t="s">
        <v>2057</v>
      </c>
      <c r="ACR1" s="19" t="s">
        <v>530</v>
      </c>
      <c r="ACS1" s="19" t="s">
        <v>531</v>
      </c>
      <c r="ACT1" s="19" t="s">
        <v>532</v>
      </c>
      <c r="ACU1" s="19" t="s">
        <v>536</v>
      </c>
      <c r="ACV1" s="19" t="s">
        <v>545</v>
      </c>
      <c r="ACW1" s="19" t="s">
        <v>577</v>
      </c>
      <c r="ACX1" s="19" t="s">
        <v>582</v>
      </c>
      <c r="ACY1" s="19" t="s">
        <v>616</v>
      </c>
      <c r="ACZ1" s="19" t="s">
        <v>596</v>
      </c>
      <c r="ADA1" s="20" t="s">
        <v>2058</v>
      </c>
      <c r="ADB1" s="19" t="s">
        <v>2021</v>
      </c>
      <c r="ADC1" s="19" t="s">
        <v>850</v>
      </c>
      <c r="ADD1" s="19" t="s">
        <v>869</v>
      </c>
      <c r="ADE1" s="19" t="s">
        <v>851</v>
      </c>
      <c r="ADF1" s="19" t="s">
        <v>921</v>
      </c>
      <c r="ADG1" s="19" t="s">
        <v>922</v>
      </c>
      <c r="ADH1" s="19" t="s">
        <v>1015</v>
      </c>
      <c r="ADI1" s="19" t="s">
        <v>1016</v>
      </c>
      <c r="ADJ1" s="19" t="s">
        <v>1017</v>
      </c>
      <c r="ADK1" s="19" t="s">
        <v>1018</v>
      </c>
      <c r="ADL1" s="19" t="s">
        <v>1019</v>
      </c>
      <c r="ADM1" s="20" t="s">
        <v>2059</v>
      </c>
      <c r="ADN1" s="19" t="s">
        <v>2022</v>
      </c>
      <c r="ADO1" s="19" t="s">
        <v>916</v>
      </c>
      <c r="ADP1" s="19" t="s">
        <v>1944</v>
      </c>
      <c r="ADQ1" s="19" t="s">
        <v>1945</v>
      </c>
      <c r="ADR1" s="19" t="s">
        <v>917</v>
      </c>
      <c r="ADS1" s="19" t="s">
        <v>871</v>
      </c>
      <c r="ADT1" s="19" t="s">
        <v>1946</v>
      </c>
      <c r="ADU1" s="19" t="s">
        <v>1947</v>
      </c>
      <c r="ADV1" s="19" t="s">
        <v>1948</v>
      </c>
      <c r="ADW1" s="19" t="s">
        <v>918</v>
      </c>
      <c r="ADX1" s="19" t="s">
        <v>1949</v>
      </c>
      <c r="ADY1" s="19" t="s">
        <v>929</v>
      </c>
      <c r="ADZ1" s="19" t="s">
        <v>1950</v>
      </c>
      <c r="AEA1" s="19" t="s">
        <v>1951</v>
      </c>
      <c r="AEB1" s="19" t="s">
        <v>853</v>
      </c>
      <c r="AEC1" s="19" t="s">
        <v>852</v>
      </c>
      <c r="AED1" s="19" t="s">
        <v>1010</v>
      </c>
      <c r="AEE1" s="19" t="s">
        <v>1011</v>
      </c>
      <c r="AEF1" s="19" t="s">
        <v>1012</v>
      </c>
      <c r="AEG1" s="19" t="s">
        <v>1013</v>
      </c>
      <c r="AEH1" s="19" t="s">
        <v>1014</v>
      </c>
      <c r="AEI1" s="20" t="s">
        <v>2060</v>
      </c>
    </row>
    <row r="2" spans="1:815" x14ac:dyDescent="0.25">
      <c r="A2" s="21" t="s">
        <v>2065</v>
      </c>
      <c r="B2" s="2" t="s">
        <v>6</v>
      </c>
      <c r="C2" t="s">
        <v>7</v>
      </c>
      <c r="D2">
        <v>70</v>
      </c>
      <c r="E2" t="s">
        <v>8</v>
      </c>
      <c r="F2" t="s">
        <v>9</v>
      </c>
      <c r="G2" t="s">
        <v>9</v>
      </c>
      <c r="I2" t="s">
        <v>243</v>
      </c>
      <c r="J2" t="s">
        <v>9</v>
      </c>
      <c r="K2" t="s">
        <v>242</v>
      </c>
      <c r="L2" t="s">
        <v>301</v>
      </c>
      <c r="M2">
        <v>47</v>
      </c>
      <c r="N2">
        <v>168</v>
      </c>
      <c r="O2" t="s">
        <v>1069</v>
      </c>
      <c r="P2" s="13">
        <v>36615</v>
      </c>
      <c r="Q2" s="13">
        <v>36622</v>
      </c>
      <c r="R2" t="s">
        <v>1203</v>
      </c>
      <c r="S2" t="s">
        <v>1114</v>
      </c>
      <c r="T2" t="s">
        <v>1116</v>
      </c>
      <c r="U2" t="s">
        <v>1112</v>
      </c>
      <c r="V2" t="s">
        <v>1115</v>
      </c>
      <c r="W2" t="s">
        <v>1111</v>
      </c>
      <c r="Z2">
        <v>124</v>
      </c>
      <c r="AD2">
        <v>41</v>
      </c>
      <c r="BA2" s="16">
        <f>COUNTA(Z2:AZ2)</f>
        <v>2</v>
      </c>
      <c r="BB2" t="s">
        <v>341</v>
      </c>
      <c r="BF2">
        <v>20</v>
      </c>
      <c r="BK2">
        <v>75</v>
      </c>
      <c r="BM2">
        <v>74</v>
      </c>
      <c r="CB2" s="16">
        <f>COUNTA(BB2:CA2)</f>
        <v>4</v>
      </c>
      <c r="CC2" t="s">
        <v>345</v>
      </c>
      <c r="CG2">
        <v>61</v>
      </c>
      <c r="CM2" t="s">
        <v>346</v>
      </c>
      <c r="DE2" s="16">
        <f>COUNTA(CC2:DD2)</f>
        <v>3</v>
      </c>
      <c r="DF2" t="s">
        <v>335</v>
      </c>
      <c r="DS2" s="16">
        <f>COUNTA(DG2:DR2)</f>
        <v>0</v>
      </c>
      <c r="EF2" s="16">
        <f>COUNTA(DT2:EE2)</f>
        <v>0</v>
      </c>
      <c r="FI2" s="16">
        <f>COUNTA(EG2:FH2)</f>
        <v>0</v>
      </c>
      <c r="HY2" s="16">
        <f>COUNTA(FJ2:HX2)</f>
        <v>0</v>
      </c>
      <c r="KM2" s="16">
        <f>COUNTA(HZ2:KL2)</f>
        <v>0</v>
      </c>
      <c r="MZ2" s="16">
        <f>COUNTA(KN2:MY2)</f>
        <v>0</v>
      </c>
      <c r="OQ2" s="16">
        <f>COUNTA(NA2:OP2)</f>
        <v>0</v>
      </c>
      <c r="OW2" s="33">
        <f>COUNTA(OR2:OV2)</f>
        <v>0</v>
      </c>
      <c r="RD2" s="16">
        <f>COUNTA(OX2:RC2)</f>
        <v>0</v>
      </c>
      <c r="RU2" s="16">
        <f>COUNTA(RE2:RT2)</f>
        <v>0</v>
      </c>
      <c r="UE2" s="16">
        <f>COUNTA(RV2:UD2)</f>
        <v>0</v>
      </c>
      <c r="VJ2" s="16">
        <f>COUNTA(UF2:VI2)</f>
        <v>0</v>
      </c>
      <c r="WM2" s="16">
        <f>COUNTA(VK2:WL2)</f>
        <v>0</v>
      </c>
      <c r="XH2" s="16">
        <f>COUNTA(WN2:XG2)</f>
        <v>0</v>
      </c>
      <c r="YD2" s="16">
        <f>COUNTA(XI2:YC2)</f>
        <v>0</v>
      </c>
      <c r="YX2" s="16">
        <f>COUNTA(YE2:YW2)</f>
        <v>0</v>
      </c>
      <c r="ZR2" s="16">
        <f>COUNTA(YY2:ZQ2)</f>
        <v>0</v>
      </c>
      <c r="ZX2" s="16">
        <f>COUNTA(ZS2:ZW2)</f>
        <v>0</v>
      </c>
      <c r="AAT2" s="16">
        <f>COUNTA(ZY2:AAS2)</f>
        <v>0</v>
      </c>
      <c r="ABQ2" s="16">
        <f>COUNTA(AAU2,ABP2)</f>
        <v>0</v>
      </c>
      <c r="ABV2" s="16">
        <f>COUNTA(ABR2:ABU2)</f>
        <v>0</v>
      </c>
      <c r="ACC2" s="16">
        <f>COUNTA(ABW2:ACB2)</f>
        <v>0</v>
      </c>
      <c r="ACQ2" s="16">
        <f>COUNTA(ACH2:ACP2)</f>
        <v>0</v>
      </c>
      <c r="ADA2" s="16">
        <f>COUNTA(ACV2:ACZ2)</f>
        <v>0</v>
      </c>
      <c r="ADM2" s="16">
        <f>COUNTA(ADB2:ADL2)</f>
        <v>0</v>
      </c>
      <c r="AEI2" s="16">
        <f>COUNTA(ADN2:AEH2)</f>
        <v>0</v>
      </c>
    </row>
    <row r="3" spans="1:815" x14ac:dyDescent="0.25">
      <c r="A3" s="21" t="s">
        <v>2065</v>
      </c>
      <c r="B3" s="2" t="s">
        <v>11</v>
      </c>
      <c r="C3" t="s">
        <v>10</v>
      </c>
      <c r="D3">
        <v>58</v>
      </c>
      <c r="E3" t="s">
        <v>8</v>
      </c>
      <c r="F3" t="s">
        <v>15</v>
      </c>
      <c r="G3" t="s">
        <v>9</v>
      </c>
      <c r="H3" t="s">
        <v>244</v>
      </c>
      <c r="I3" t="s">
        <v>243</v>
      </c>
      <c r="J3" t="s">
        <v>9</v>
      </c>
      <c r="L3" t="s">
        <v>301</v>
      </c>
      <c r="M3">
        <v>65</v>
      </c>
      <c r="N3">
        <v>150</v>
      </c>
      <c r="O3" t="s">
        <v>1070</v>
      </c>
      <c r="T3" t="s">
        <v>1119</v>
      </c>
      <c r="U3" t="s">
        <v>1117</v>
      </c>
      <c r="V3" t="s">
        <v>1125</v>
      </c>
      <c r="W3" t="s">
        <v>1126</v>
      </c>
      <c r="BA3" s="16">
        <f t="shared" ref="BA3:BA66" si="0">COUNTA(Z3:AZ3)</f>
        <v>0</v>
      </c>
      <c r="CB3" s="16">
        <f t="shared" ref="CB3:CB66" si="1">COUNTA(BB3:CA3)</f>
        <v>0</v>
      </c>
      <c r="DE3" s="16">
        <f t="shared" ref="DE3:DE66" si="2">COUNTA(CC3:DD3)</f>
        <v>0</v>
      </c>
      <c r="DS3" s="16">
        <f t="shared" ref="DS3:DS66" si="3">COUNTA(DG3:DR3)</f>
        <v>0</v>
      </c>
      <c r="EF3" s="16">
        <f t="shared" ref="EF3:EF66" si="4">COUNTA(DT3:EE3)</f>
        <v>0</v>
      </c>
      <c r="FI3" s="16">
        <f t="shared" ref="FI3:FI66" si="5">COUNTA(EG3:FH3)</f>
        <v>0</v>
      </c>
      <c r="FJ3">
        <v>13</v>
      </c>
      <c r="HY3" s="16">
        <f t="shared" ref="HY3:HY66" si="6">COUNTA(FJ3:HX3)</f>
        <v>1</v>
      </c>
      <c r="HZ3">
        <v>24</v>
      </c>
      <c r="KM3" s="16">
        <f t="shared" ref="KM3:KM66" si="7">COUNTA(HZ3:KL3)</f>
        <v>1</v>
      </c>
      <c r="KN3">
        <v>49</v>
      </c>
      <c r="MZ3" s="16">
        <f t="shared" ref="MZ3:MZ66" si="8">COUNTA(KN3:MY3)</f>
        <v>1</v>
      </c>
      <c r="NA3">
        <v>222</v>
      </c>
      <c r="OQ3" s="16">
        <f t="shared" ref="OQ3:OQ66" si="9">COUNTA(NA3:OP3)</f>
        <v>1</v>
      </c>
      <c r="OW3" s="33">
        <f t="shared" ref="OW3:OW66" si="10">COUNTA(OR3:OV3)</f>
        <v>0</v>
      </c>
      <c r="RD3" s="16">
        <f t="shared" ref="RD3:RD66" si="11">COUNTA(OX3:RC3)</f>
        <v>0</v>
      </c>
      <c r="RU3" s="16">
        <f t="shared" ref="RU3:RU66" si="12">COUNTA(RE3:RT3)</f>
        <v>0</v>
      </c>
      <c r="UE3" s="16">
        <f t="shared" ref="UE3:UE66" si="13">COUNTA(RV3:UD3)</f>
        <v>0</v>
      </c>
      <c r="VJ3" s="16">
        <f t="shared" ref="VJ3:VJ66" si="14">COUNTA(UF3:VI3)</f>
        <v>0</v>
      </c>
      <c r="WM3" s="16">
        <f t="shared" ref="WM3:WM66" si="15">COUNTA(VK3:WL3)</f>
        <v>0</v>
      </c>
      <c r="XH3" s="16">
        <f t="shared" ref="XH3:XH66" si="16">COUNTA(WN3:XG3)</f>
        <v>0</v>
      </c>
      <c r="YD3" s="16">
        <f t="shared" ref="YD3:YD66" si="17">COUNTA(XI3:YC3)</f>
        <v>0</v>
      </c>
      <c r="YX3" s="16">
        <f t="shared" ref="YX3:YX66" si="18">COUNTA(YE3:YW3)</f>
        <v>0</v>
      </c>
      <c r="ZR3" s="16">
        <f t="shared" ref="ZR3:ZR66" si="19">COUNTA(YY3:ZQ3)</f>
        <v>0</v>
      </c>
      <c r="ZX3" s="16">
        <f t="shared" ref="ZX3:ZX66" si="20">COUNTA(ZS3:ZW3)</f>
        <v>0</v>
      </c>
      <c r="AAT3" s="16">
        <f t="shared" ref="AAT3:AAT66" si="21">COUNTA(ZY3:AAS3)</f>
        <v>0</v>
      </c>
      <c r="ABQ3" s="16">
        <f t="shared" ref="ABQ3:ABQ66" si="22">COUNTA(AAU3,ABP3)</f>
        <v>0</v>
      </c>
      <c r="ABV3" s="16">
        <f t="shared" ref="ABV3:ABV66" si="23">COUNTA(ABR3:ABU3)</f>
        <v>0</v>
      </c>
      <c r="ACC3" s="16">
        <f t="shared" ref="ACC3:ACC66" si="24">COUNTA(ABW3:ACB3)</f>
        <v>0</v>
      </c>
      <c r="ACQ3" s="16">
        <f t="shared" ref="ACQ3:ACQ66" si="25">COUNTA(ACH3:ACP3)</f>
        <v>0</v>
      </c>
      <c r="ADA3" s="16">
        <f t="shared" ref="ADA3:ADA66" si="26">COUNTA(ACV3:ACZ3)</f>
        <v>0</v>
      </c>
      <c r="ADM3" s="16">
        <f t="shared" ref="ADM3:ADM66" si="27">COUNTA(ADB3:ADL3)</f>
        <v>0</v>
      </c>
      <c r="AEI3" s="16">
        <f t="shared" ref="AEI3:AEI66" si="28">COUNTA(ADN3:AEH3)</f>
        <v>0</v>
      </c>
    </row>
    <row r="4" spans="1:815" x14ac:dyDescent="0.25">
      <c r="A4" s="21" t="s">
        <v>2065</v>
      </c>
      <c r="B4" s="2" t="s">
        <v>12</v>
      </c>
      <c r="C4" t="s">
        <v>13</v>
      </c>
      <c r="D4">
        <v>15</v>
      </c>
      <c r="E4" t="s">
        <v>14</v>
      </c>
      <c r="F4" t="s">
        <v>9</v>
      </c>
      <c r="G4" t="s">
        <v>9</v>
      </c>
      <c r="H4" t="s">
        <v>245</v>
      </c>
      <c r="I4" t="s">
        <v>243</v>
      </c>
      <c r="J4" t="s">
        <v>9</v>
      </c>
      <c r="L4" t="s">
        <v>301</v>
      </c>
      <c r="M4">
        <v>78</v>
      </c>
      <c r="N4">
        <v>173</v>
      </c>
      <c r="O4" t="s">
        <v>1071</v>
      </c>
      <c r="T4" t="s">
        <v>1120</v>
      </c>
      <c r="V4" t="s">
        <v>1124</v>
      </c>
      <c r="W4" t="s">
        <v>1127</v>
      </c>
      <c r="BA4" s="16">
        <f t="shared" si="0"/>
        <v>0</v>
      </c>
      <c r="CB4" s="16">
        <f t="shared" si="1"/>
        <v>0</v>
      </c>
      <c r="DE4" s="16">
        <f t="shared" si="2"/>
        <v>0</v>
      </c>
      <c r="DS4" s="16">
        <f t="shared" si="3"/>
        <v>0</v>
      </c>
      <c r="EF4" s="16">
        <f t="shared" si="4"/>
        <v>0</v>
      </c>
      <c r="ER4">
        <v>200</v>
      </c>
      <c r="FI4" s="16">
        <f t="shared" si="5"/>
        <v>1</v>
      </c>
      <c r="FN4">
        <v>28</v>
      </c>
      <c r="HY4" s="16">
        <f t="shared" si="6"/>
        <v>1</v>
      </c>
      <c r="IC4">
        <v>32</v>
      </c>
      <c r="KM4" s="16">
        <f t="shared" si="7"/>
        <v>1</v>
      </c>
      <c r="MZ4" s="16">
        <f t="shared" si="8"/>
        <v>0</v>
      </c>
      <c r="ND4">
        <v>249</v>
      </c>
      <c r="OQ4" s="16">
        <f t="shared" si="9"/>
        <v>1</v>
      </c>
      <c r="OR4" s="32" t="s">
        <v>355</v>
      </c>
      <c r="OW4" s="33">
        <f t="shared" si="10"/>
        <v>1</v>
      </c>
      <c r="RD4" s="16">
        <f t="shared" si="11"/>
        <v>0</v>
      </c>
      <c r="RU4" s="16">
        <f t="shared" si="12"/>
        <v>0</v>
      </c>
      <c r="UE4" s="16">
        <f t="shared" si="13"/>
        <v>0</v>
      </c>
      <c r="VJ4" s="16">
        <f t="shared" si="14"/>
        <v>0</v>
      </c>
      <c r="WM4" s="16">
        <f t="shared" si="15"/>
        <v>0</v>
      </c>
      <c r="XH4" s="16">
        <f t="shared" si="16"/>
        <v>0</v>
      </c>
      <c r="YD4" s="16">
        <f t="shared" si="17"/>
        <v>0</v>
      </c>
      <c r="YX4" s="16">
        <f t="shared" si="18"/>
        <v>0</v>
      </c>
      <c r="ZR4" s="16">
        <f t="shared" si="19"/>
        <v>0</v>
      </c>
      <c r="ZX4" s="16">
        <f t="shared" si="20"/>
        <v>0</v>
      </c>
      <c r="AAT4" s="16">
        <f t="shared" si="21"/>
        <v>0</v>
      </c>
      <c r="ABQ4" s="16">
        <f t="shared" si="22"/>
        <v>0</v>
      </c>
      <c r="ABV4" s="16">
        <f t="shared" si="23"/>
        <v>0</v>
      </c>
      <c r="ACC4" s="16">
        <f t="shared" si="24"/>
        <v>0</v>
      </c>
      <c r="ACQ4" s="16">
        <f t="shared" si="25"/>
        <v>0</v>
      </c>
      <c r="ADA4" s="16">
        <f t="shared" si="26"/>
        <v>0</v>
      </c>
      <c r="ADM4" s="16">
        <f t="shared" si="27"/>
        <v>0</v>
      </c>
      <c r="AEI4" s="16">
        <f t="shared" si="28"/>
        <v>0</v>
      </c>
    </row>
    <row r="5" spans="1:815" x14ac:dyDescent="0.25">
      <c r="A5" s="21" t="s">
        <v>2065</v>
      </c>
      <c r="B5" s="2" t="s">
        <v>16</v>
      </c>
      <c r="C5" t="s">
        <v>17</v>
      </c>
      <c r="D5">
        <v>36</v>
      </c>
      <c r="E5" t="s">
        <v>8</v>
      </c>
      <c r="F5" t="s">
        <v>15</v>
      </c>
      <c r="G5" t="s">
        <v>9</v>
      </c>
      <c r="H5" t="s">
        <v>246</v>
      </c>
      <c r="I5" t="s">
        <v>243</v>
      </c>
      <c r="J5" t="s">
        <v>9</v>
      </c>
      <c r="L5" t="s">
        <v>301</v>
      </c>
      <c r="M5">
        <v>62</v>
      </c>
      <c r="N5">
        <v>155</v>
      </c>
      <c r="O5" t="s">
        <v>1072</v>
      </c>
      <c r="T5" t="s">
        <v>1121</v>
      </c>
      <c r="U5" t="s">
        <v>1122</v>
      </c>
      <c r="V5" t="s">
        <v>1123</v>
      </c>
      <c r="W5" t="s">
        <v>1128</v>
      </c>
      <c r="BA5" s="16">
        <f t="shared" si="0"/>
        <v>0</v>
      </c>
      <c r="CB5" s="16">
        <f t="shared" si="1"/>
        <v>0</v>
      </c>
      <c r="DE5" s="16">
        <f t="shared" si="2"/>
        <v>0</v>
      </c>
      <c r="DS5" s="16">
        <f t="shared" si="3"/>
        <v>0</v>
      </c>
      <c r="EF5" s="16">
        <f t="shared" si="4"/>
        <v>0</v>
      </c>
      <c r="EI5">
        <v>11.64</v>
      </c>
      <c r="FI5" s="16">
        <f t="shared" si="5"/>
        <v>1</v>
      </c>
      <c r="FJ5">
        <v>15</v>
      </c>
      <c r="HY5" s="16">
        <f t="shared" si="6"/>
        <v>1</v>
      </c>
      <c r="HZ5">
        <v>28</v>
      </c>
      <c r="KM5" s="16">
        <f t="shared" si="7"/>
        <v>1</v>
      </c>
      <c r="KN5">
        <v>45</v>
      </c>
      <c r="MZ5" s="16">
        <f t="shared" si="8"/>
        <v>1</v>
      </c>
      <c r="NA5">
        <v>144</v>
      </c>
      <c r="OQ5" s="16">
        <f t="shared" si="9"/>
        <v>1</v>
      </c>
      <c r="OS5" s="32">
        <v>6.8</v>
      </c>
      <c r="OW5" s="33">
        <f t="shared" si="10"/>
        <v>1</v>
      </c>
      <c r="RD5" s="16">
        <f t="shared" si="11"/>
        <v>0</v>
      </c>
      <c r="RU5" s="16">
        <f t="shared" si="12"/>
        <v>0</v>
      </c>
      <c r="UE5" s="16">
        <f t="shared" si="13"/>
        <v>0</v>
      </c>
      <c r="VJ5" s="16">
        <f t="shared" si="14"/>
        <v>0</v>
      </c>
      <c r="WM5" s="16">
        <f t="shared" si="15"/>
        <v>0</v>
      </c>
      <c r="XH5" s="16">
        <f t="shared" si="16"/>
        <v>0</v>
      </c>
      <c r="YD5" s="16">
        <f t="shared" si="17"/>
        <v>0</v>
      </c>
      <c r="YX5" s="16">
        <f t="shared" si="18"/>
        <v>0</v>
      </c>
      <c r="ZR5" s="16">
        <f t="shared" si="19"/>
        <v>0</v>
      </c>
      <c r="ZX5" s="16">
        <f t="shared" si="20"/>
        <v>0</v>
      </c>
      <c r="AAT5" s="16">
        <f t="shared" si="21"/>
        <v>0</v>
      </c>
      <c r="ABQ5" s="16">
        <f t="shared" si="22"/>
        <v>0</v>
      </c>
      <c r="ABV5" s="16">
        <f t="shared" si="23"/>
        <v>0</v>
      </c>
      <c r="ACC5" s="16">
        <f t="shared" si="24"/>
        <v>0</v>
      </c>
      <c r="ACQ5" s="16">
        <f t="shared" si="25"/>
        <v>0</v>
      </c>
      <c r="ADA5" s="16">
        <f t="shared" si="26"/>
        <v>0</v>
      </c>
      <c r="ADM5" s="16">
        <f t="shared" si="27"/>
        <v>0</v>
      </c>
      <c r="AEI5" s="16">
        <f t="shared" si="28"/>
        <v>0</v>
      </c>
    </row>
    <row r="6" spans="1:815" x14ac:dyDescent="0.25">
      <c r="B6" s="2" t="s">
        <v>18</v>
      </c>
      <c r="C6" t="s">
        <v>19</v>
      </c>
      <c r="D6">
        <v>69</v>
      </c>
      <c r="E6" t="s">
        <v>8</v>
      </c>
      <c r="F6" t="s">
        <v>9</v>
      </c>
      <c r="G6" t="s">
        <v>9</v>
      </c>
      <c r="I6" t="s">
        <v>243</v>
      </c>
      <c r="J6" t="s">
        <v>9</v>
      </c>
      <c r="L6" t="s">
        <v>302</v>
      </c>
      <c r="S6" t="s">
        <v>1129</v>
      </c>
      <c r="W6" t="s">
        <v>1130</v>
      </c>
      <c r="BA6" s="16">
        <f t="shared" si="0"/>
        <v>0</v>
      </c>
      <c r="BB6">
        <v>7</v>
      </c>
      <c r="CB6" s="16">
        <f t="shared" si="1"/>
        <v>1</v>
      </c>
      <c r="DE6" s="16">
        <f t="shared" si="2"/>
        <v>0</v>
      </c>
      <c r="DS6" s="16">
        <f t="shared" si="3"/>
        <v>0</v>
      </c>
      <c r="EF6" s="16">
        <f t="shared" si="4"/>
        <v>0</v>
      </c>
      <c r="FI6" s="16">
        <f t="shared" si="5"/>
        <v>0</v>
      </c>
      <c r="HY6" s="16">
        <f t="shared" si="6"/>
        <v>0</v>
      </c>
      <c r="KM6" s="16">
        <f t="shared" si="7"/>
        <v>0</v>
      </c>
      <c r="MZ6" s="16">
        <f t="shared" si="8"/>
        <v>0</v>
      </c>
      <c r="OQ6" s="16">
        <f t="shared" si="9"/>
        <v>0</v>
      </c>
      <c r="OW6" s="33">
        <f t="shared" si="10"/>
        <v>0</v>
      </c>
      <c r="RD6" s="16">
        <f t="shared" si="11"/>
        <v>0</v>
      </c>
      <c r="RU6" s="16">
        <f t="shared" si="12"/>
        <v>0</v>
      </c>
      <c r="UE6" s="16">
        <f t="shared" si="13"/>
        <v>0</v>
      </c>
      <c r="VJ6" s="16">
        <f t="shared" si="14"/>
        <v>0</v>
      </c>
      <c r="WM6" s="16">
        <f t="shared" si="15"/>
        <v>0</v>
      </c>
      <c r="XH6" s="16">
        <f t="shared" si="16"/>
        <v>0</v>
      </c>
      <c r="YD6" s="16">
        <f t="shared" si="17"/>
        <v>0</v>
      </c>
      <c r="YX6" s="16">
        <f t="shared" si="18"/>
        <v>0</v>
      </c>
      <c r="ZR6" s="16">
        <f t="shared" si="19"/>
        <v>0</v>
      </c>
      <c r="ZX6" s="16">
        <f t="shared" si="20"/>
        <v>0</v>
      </c>
      <c r="AAT6" s="16">
        <f t="shared" si="21"/>
        <v>0</v>
      </c>
      <c r="ABQ6" s="16">
        <f t="shared" si="22"/>
        <v>0</v>
      </c>
      <c r="ABV6" s="16">
        <f t="shared" si="23"/>
        <v>0</v>
      </c>
      <c r="ACC6" s="16">
        <f t="shared" si="24"/>
        <v>0</v>
      </c>
      <c r="ACQ6" s="16">
        <f t="shared" si="25"/>
        <v>0</v>
      </c>
      <c r="ADA6" s="16">
        <f t="shared" si="26"/>
        <v>0</v>
      </c>
      <c r="ADM6" s="16">
        <f t="shared" si="27"/>
        <v>0</v>
      </c>
      <c r="AEI6" s="16">
        <f t="shared" si="28"/>
        <v>0</v>
      </c>
    </row>
    <row r="7" spans="1:815" x14ac:dyDescent="0.25">
      <c r="B7" s="4" t="s">
        <v>20</v>
      </c>
      <c r="C7" t="s">
        <v>21</v>
      </c>
      <c r="D7">
        <v>24</v>
      </c>
      <c r="E7" t="s">
        <v>8</v>
      </c>
      <c r="F7" t="s">
        <v>9</v>
      </c>
      <c r="G7" t="s">
        <v>9</v>
      </c>
      <c r="I7" t="s">
        <v>9</v>
      </c>
      <c r="J7" t="s">
        <v>9</v>
      </c>
      <c r="K7" t="s">
        <v>1134</v>
      </c>
      <c r="L7" t="s">
        <v>1136</v>
      </c>
      <c r="M7">
        <v>50</v>
      </c>
      <c r="N7">
        <v>163</v>
      </c>
      <c r="O7" t="s">
        <v>1073</v>
      </c>
      <c r="P7" s="11">
        <v>36619</v>
      </c>
      <c r="Q7" s="11">
        <v>36619</v>
      </c>
      <c r="R7" t="s">
        <v>1133</v>
      </c>
      <c r="S7" t="s">
        <v>1131</v>
      </c>
      <c r="V7" t="s">
        <v>1132</v>
      </c>
      <c r="W7" t="s">
        <v>1135</v>
      </c>
      <c r="BA7" s="16">
        <f t="shared" si="0"/>
        <v>0</v>
      </c>
      <c r="BB7">
        <v>18</v>
      </c>
      <c r="CB7" s="16">
        <f t="shared" si="1"/>
        <v>1</v>
      </c>
      <c r="DE7" s="16">
        <f t="shared" si="2"/>
        <v>0</v>
      </c>
      <c r="DS7" s="16">
        <f t="shared" si="3"/>
        <v>0</v>
      </c>
      <c r="EF7" s="16">
        <f t="shared" si="4"/>
        <v>0</v>
      </c>
      <c r="FI7" s="16">
        <f t="shared" si="5"/>
        <v>0</v>
      </c>
      <c r="FJ7">
        <v>5300</v>
      </c>
      <c r="FK7">
        <v>136</v>
      </c>
      <c r="HY7" s="16">
        <f t="shared" si="6"/>
        <v>2</v>
      </c>
      <c r="HZ7">
        <v>849</v>
      </c>
      <c r="KM7" s="16">
        <f t="shared" si="7"/>
        <v>1</v>
      </c>
      <c r="MZ7" s="16">
        <f t="shared" si="8"/>
        <v>0</v>
      </c>
      <c r="OQ7" s="16">
        <f t="shared" si="9"/>
        <v>0</v>
      </c>
      <c r="OW7" s="33">
        <f t="shared" si="10"/>
        <v>0</v>
      </c>
      <c r="OX7">
        <v>100</v>
      </c>
      <c r="RD7" s="16">
        <f t="shared" si="11"/>
        <v>1</v>
      </c>
      <c r="RE7">
        <v>128</v>
      </c>
      <c r="RU7" s="16">
        <f t="shared" si="12"/>
        <v>1</v>
      </c>
      <c r="UE7" s="16">
        <f t="shared" si="13"/>
        <v>0</v>
      </c>
      <c r="VJ7" s="16">
        <f t="shared" si="14"/>
        <v>0</v>
      </c>
      <c r="WM7" s="16">
        <f t="shared" si="15"/>
        <v>0</v>
      </c>
      <c r="XH7" s="16">
        <f t="shared" si="16"/>
        <v>0</v>
      </c>
      <c r="YD7" s="16">
        <f t="shared" si="17"/>
        <v>0</v>
      </c>
      <c r="YX7" s="16">
        <f t="shared" si="18"/>
        <v>0</v>
      </c>
      <c r="ZR7" s="16">
        <f t="shared" si="19"/>
        <v>0</v>
      </c>
      <c r="ZX7" s="16">
        <f t="shared" si="20"/>
        <v>0</v>
      </c>
      <c r="AAT7" s="16">
        <f t="shared" si="21"/>
        <v>0</v>
      </c>
      <c r="ABQ7" s="16">
        <f t="shared" si="22"/>
        <v>0</v>
      </c>
      <c r="ABV7" s="16">
        <f t="shared" si="23"/>
        <v>0</v>
      </c>
      <c r="ACC7" s="16">
        <f t="shared" si="24"/>
        <v>0</v>
      </c>
      <c r="ACQ7" s="16">
        <f t="shared" si="25"/>
        <v>0</v>
      </c>
      <c r="ADA7" s="16">
        <f t="shared" si="26"/>
        <v>0</v>
      </c>
      <c r="ADM7" s="16">
        <f t="shared" si="27"/>
        <v>0</v>
      </c>
      <c r="AEI7" s="16">
        <f t="shared" si="28"/>
        <v>0</v>
      </c>
    </row>
    <row r="8" spans="1:815" x14ac:dyDescent="0.25">
      <c r="B8" s="2" t="s">
        <v>22</v>
      </c>
      <c r="C8" t="s">
        <v>23</v>
      </c>
      <c r="D8">
        <v>59</v>
      </c>
      <c r="E8" t="s">
        <v>8</v>
      </c>
      <c r="F8" t="s">
        <v>9</v>
      </c>
      <c r="G8" t="s">
        <v>9</v>
      </c>
      <c r="H8" t="s">
        <v>1141</v>
      </c>
      <c r="I8" t="s">
        <v>15</v>
      </c>
      <c r="J8" t="s">
        <v>9</v>
      </c>
      <c r="L8" t="s">
        <v>1139</v>
      </c>
      <c r="M8">
        <v>95</v>
      </c>
      <c r="P8" s="11">
        <v>36573</v>
      </c>
      <c r="Q8" s="11">
        <v>36585</v>
      </c>
      <c r="R8" t="s">
        <v>1525</v>
      </c>
      <c r="S8" t="s">
        <v>1138</v>
      </c>
      <c r="T8" t="s">
        <v>1140</v>
      </c>
      <c r="U8" t="s">
        <v>1143</v>
      </c>
      <c r="W8" t="s">
        <v>1144</v>
      </c>
      <c r="AR8">
        <v>20</v>
      </c>
      <c r="AS8">
        <v>12</v>
      </c>
      <c r="AT8">
        <v>8</v>
      </c>
      <c r="AU8">
        <v>8</v>
      </c>
      <c r="AV8">
        <v>8</v>
      </c>
      <c r="AW8">
        <v>9</v>
      </c>
      <c r="BA8" s="16">
        <f t="shared" si="0"/>
        <v>6</v>
      </c>
      <c r="BB8">
        <v>100</v>
      </c>
      <c r="BT8">
        <v>100</v>
      </c>
      <c r="BU8">
        <v>100</v>
      </c>
      <c r="BV8">
        <v>100</v>
      </c>
      <c r="BW8">
        <v>100</v>
      </c>
      <c r="BY8">
        <v>100</v>
      </c>
      <c r="CB8" s="16">
        <f t="shared" si="1"/>
        <v>6</v>
      </c>
      <c r="CC8">
        <v>25</v>
      </c>
      <c r="CN8">
        <v>43</v>
      </c>
      <c r="CO8">
        <v>37</v>
      </c>
      <c r="CP8">
        <v>25</v>
      </c>
      <c r="CQ8">
        <v>26</v>
      </c>
      <c r="CW8">
        <v>29</v>
      </c>
      <c r="CX8">
        <v>26</v>
      </c>
      <c r="CY8">
        <v>23</v>
      </c>
      <c r="CZ8">
        <v>23</v>
      </c>
      <c r="DB8">
        <v>23</v>
      </c>
      <c r="DE8" s="16">
        <f t="shared" si="2"/>
        <v>10</v>
      </c>
      <c r="DS8" s="16">
        <f t="shared" si="3"/>
        <v>0</v>
      </c>
      <c r="EF8" s="16">
        <f t="shared" si="4"/>
        <v>0</v>
      </c>
      <c r="FI8" s="16">
        <f t="shared" si="5"/>
        <v>0</v>
      </c>
      <c r="FJ8">
        <v>14</v>
      </c>
      <c r="GC8">
        <v>13</v>
      </c>
      <c r="GD8">
        <v>26</v>
      </c>
      <c r="GH8">
        <v>42</v>
      </c>
      <c r="GI8">
        <v>88</v>
      </c>
      <c r="GJ8">
        <v>104</v>
      </c>
      <c r="GK8">
        <v>125</v>
      </c>
      <c r="GL8">
        <v>105</v>
      </c>
      <c r="GM8">
        <v>70</v>
      </c>
      <c r="GN8">
        <v>51</v>
      </c>
      <c r="GO8">
        <v>41</v>
      </c>
      <c r="GP8">
        <v>36</v>
      </c>
      <c r="GQ8">
        <v>21</v>
      </c>
      <c r="GU8">
        <v>17</v>
      </c>
      <c r="GV8">
        <v>14</v>
      </c>
      <c r="GW8">
        <v>12</v>
      </c>
      <c r="GZ8">
        <v>13</v>
      </c>
      <c r="HC8">
        <v>13</v>
      </c>
      <c r="HX8">
        <v>125</v>
      </c>
      <c r="HY8" s="16">
        <f t="shared" si="6"/>
        <v>19</v>
      </c>
      <c r="HZ8">
        <v>27</v>
      </c>
      <c r="IR8">
        <v>36</v>
      </c>
      <c r="IS8">
        <v>58</v>
      </c>
      <c r="IW8">
        <v>110</v>
      </c>
      <c r="IX8">
        <v>205</v>
      </c>
      <c r="IY8">
        <v>277</v>
      </c>
      <c r="IZ8">
        <v>343</v>
      </c>
      <c r="JA8">
        <v>302</v>
      </c>
      <c r="JB8">
        <v>278</v>
      </c>
      <c r="JC8">
        <v>241</v>
      </c>
      <c r="JD8">
        <v>195</v>
      </c>
      <c r="JE8">
        <v>145</v>
      </c>
      <c r="JF8">
        <v>102</v>
      </c>
      <c r="JJ8">
        <v>48</v>
      </c>
      <c r="JK8">
        <v>29</v>
      </c>
      <c r="JL8">
        <v>23</v>
      </c>
      <c r="JO8">
        <v>22</v>
      </c>
      <c r="JR8">
        <v>21</v>
      </c>
      <c r="KL8">
        <v>343</v>
      </c>
      <c r="KM8" s="16">
        <f t="shared" si="7"/>
        <v>19</v>
      </c>
      <c r="KP8">
        <v>42</v>
      </c>
      <c r="LD8">
        <v>33</v>
      </c>
      <c r="LE8">
        <v>38</v>
      </c>
      <c r="LI8">
        <v>82</v>
      </c>
      <c r="LJ8">
        <v>174</v>
      </c>
      <c r="LK8">
        <v>216</v>
      </c>
      <c r="LL8">
        <v>242</v>
      </c>
      <c r="LM8">
        <v>221</v>
      </c>
      <c r="LN8">
        <v>215</v>
      </c>
      <c r="LO8">
        <v>216</v>
      </c>
      <c r="LP8">
        <v>191</v>
      </c>
      <c r="LQ8">
        <v>192</v>
      </c>
      <c r="LR8">
        <v>168</v>
      </c>
      <c r="LV8">
        <v>135</v>
      </c>
      <c r="LW8">
        <v>42</v>
      </c>
      <c r="MA8">
        <v>78</v>
      </c>
      <c r="MD8">
        <v>56</v>
      </c>
      <c r="MY8">
        <v>240</v>
      </c>
      <c r="MZ8" s="16">
        <f t="shared" si="8"/>
        <v>18</v>
      </c>
      <c r="NA8">
        <v>166</v>
      </c>
      <c r="NU8">
        <v>170</v>
      </c>
      <c r="NV8">
        <v>222</v>
      </c>
      <c r="NW8">
        <v>248</v>
      </c>
      <c r="NX8">
        <v>257</v>
      </c>
      <c r="NY8">
        <v>245</v>
      </c>
      <c r="NZ8">
        <v>193</v>
      </c>
      <c r="OA8">
        <v>182</v>
      </c>
      <c r="OB8">
        <v>169</v>
      </c>
      <c r="OC8">
        <v>157</v>
      </c>
      <c r="OD8">
        <v>147</v>
      </c>
      <c r="OG8">
        <v>156</v>
      </c>
      <c r="OQ8" s="16">
        <f t="shared" si="9"/>
        <v>12</v>
      </c>
      <c r="OW8" s="33">
        <f t="shared" si="10"/>
        <v>0</v>
      </c>
      <c r="OY8">
        <v>7.14</v>
      </c>
      <c r="PA8">
        <v>7.14</v>
      </c>
      <c r="PW8">
        <v>12.41</v>
      </c>
      <c r="PX8">
        <v>11.9</v>
      </c>
      <c r="PZ8">
        <v>9.86</v>
      </c>
      <c r="QA8">
        <v>9.35</v>
      </c>
      <c r="QB8">
        <v>10.3</v>
      </c>
      <c r="QC8">
        <v>7.65</v>
      </c>
      <c r="QD8">
        <v>9.18</v>
      </c>
      <c r="QE8">
        <v>8.16</v>
      </c>
      <c r="QH8">
        <v>7.14</v>
      </c>
      <c r="QM8">
        <v>8.67</v>
      </c>
      <c r="RD8" s="16">
        <f t="shared" si="11"/>
        <v>12</v>
      </c>
      <c r="RU8" s="16">
        <f t="shared" si="12"/>
        <v>0</v>
      </c>
      <c r="RV8">
        <v>203</v>
      </c>
      <c r="RY8">
        <v>203</v>
      </c>
      <c r="SN8">
        <v>164</v>
      </c>
      <c r="SO8">
        <v>156</v>
      </c>
      <c r="SS8">
        <v>152</v>
      </c>
      <c r="SU8">
        <v>188</v>
      </c>
      <c r="SV8">
        <v>206</v>
      </c>
      <c r="SW8">
        <v>198</v>
      </c>
      <c r="SX8">
        <v>185</v>
      </c>
      <c r="SY8">
        <v>199</v>
      </c>
      <c r="SZ8">
        <v>241</v>
      </c>
      <c r="TB8">
        <v>221</v>
      </c>
      <c r="TC8">
        <v>212</v>
      </c>
      <c r="TF8">
        <v>198</v>
      </c>
      <c r="TH8">
        <v>184</v>
      </c>
      <c r="TK8">
        <v>174</v>
      </c>
      <c r="TM8">
        <v>159</v>
      </c>
      <c r="UD8">
        <v>240</v>
      </c>
      <c r="UE8" s="16">
        <f t="shared" si="13"/>
        <v>18</v>
      </c>
      <c r="UW8">
        <v>8.74</v>
      </c>
      <c r="UX8">
        <v>5.89</v>
      </c>
      <c r="UY8">
        <v>4.67</v>
      </c>
      <c r="UZ8">
        <v>5.54</v>
      </c>
      <c r="VA8">
        <v>6.33</v>
      </c>
      <c r="VB8">
        <v>6.55</v>
      </c>
      <c r="VC8">
        <v>7.66</v>
      </c>
      <c r="VJ8" s="16">
        <f t="shared" si="14"/>
        <v>7</v>
      </c>
      <c r="WM8" s="16">
        <f t="shared" si="15"/>
        <v>0</v>
      </c>
      <c r="XH8" s="16">
        <f t="shared" si="16"/>
        <v>0</v>
      </c>
      <c r="YD8" s="16">
        <f t="shared" si="17"/>
        <v>0</v>
      </c>
      <c r="YX8" s="16">
        <f t="shared" si="18"/>
        <v>0</v>
      </c>
      <c r="ZR8" s="16">
        <f t="shared" si="19"/>
        <v>0</v>
      </c>
      <c r="ZX8" s="16">
        <f t="shared" si="20"/>
        <v>0</v>
      </c>
      <c r="AAT8" s="16">
        <f t="shared" si="21"/>
        <v>0</v>
      </c>
      <c r="ABQ8" s="16">
        <f t="shared" si="22"/>
        <v>0</v>
      </c>
      <c r="ABV8" s="16">
        <f t="shared" si="23"/>
        <v>0</v>
      </c>
      <c r="ACC8" s="16">
        <f t="shared" si="24"/>
        <v>0</v>
      </c>
      <c r="ACQ8" s="16">
        <f t="shared" si="25"/>
        <v>0</v>
      </c>
      <c r="ADA8" s="16">
        <f t="shared" si="26"/>
        <v>0</v>
      </c>
      <c r="ADM8" s="16">
        <f t="shared" si="27"/>
        <v>0</v>
      </c>
      <c r="AEI8" s="16">
        <f t="shared" si="28"/>
        <v>0</v>
      </c>
    </row>
    <row r="9" spans="1:815" x14ac:dyDescent="0.25">
      <c r="B9" s="2" t="s">
        <v>24</v>
      </c>
      <c r="C9" t="s">
        <v>25</v>
      </c>
      <c r="D9">
        <v>54</v>
      </c>
      <c r="E9" t="s">
        <v>8</v>
      </c>
      <c r="F9" t="s">
        <v>9</v>
      </c>
      <c r="G9" t="s">
        <v>9</v>
      </c>
      <c r="H9" t="s">
        <v>247</v>
      </c>
      <c r="I9" t="s">
        <v>15</v>
      </c>
      <c r="J9" t="s">
        <v>9</v>
      </c>
      <c r="L9" t="s">
        <v>1147</v>
      </c>
      <c r="P9" s="11" t="s">
        <v>1149</v>
      </c>
      <c r="Q9" t="s">
        <v>1150</v>
      </c>
      <c r="R9" t="s">
        <v>1151</v>
      </c>
      <c r="S9" t="s">
        <v>1152</v>
      </c>
      <c r="T9" t="s">
        <v>1145</v>
      </c>
      <c r="W9" t="s">
        <v>1148</v>
      </c>
      <c r="BA9" s="16">
        <f t="shared" si="0"/>
        <v>0</v>
      </c>
      <c r="CB9" s="16">
        <f t="shared" si="1"/>
        <v>0</v>
      </c>
      <c r="DE9" s="16">
        <f t="shared" si="2"/>
        <v>0</v>
      </c>
      <c r="DS9" s="16">
        <f t="shared" si="3"/>
        <v>0</v>
      </c>
      <c r="EF9" s="16">
        <f t="shared" si="4"/>
        <v>0</v>
      </c>
      <c r="FI9" s="16">
        <f t="shared" si="5"/>
        <v>0</v>
      </c>
      <c r="FJ9">
        <v>40</v>
      </c>
      <c r="HY9" s="16">
        <f t="shared" si="6"/>
        <v>1</v>
      </c>
      <c r="HZ9">
        <v>128</v>
      </c>
      <c r="KM9" s="16">
        <f t="shared" si="7"/>
        <v>1</v>
      </c>
      <c r="KN9">
        <v>35</v>
      </c>
      <c r="KO9">
        <v>168</v>
      </c>
      <c r="MZ9" s="16">
        <f t="shared" si="8"/>
        <v>2</v>
      </c>
      <c r="OQ9" s="16">
        <f t="shared" si="9"/>
        <v>0</v>
      </c>
      <c r="OW9" s="33">
        <f t="shared" si="10"/>
        <v>0</v>
      </c>
      <c r="RD9" s="16">
        <f t="shared" si="11"/>
        <v>0</v>
      </c>
      <c r="RU9" s="16">
        <f t="shared" si="12"/>
        <v>0</v>
      </c>
      <c r="RV9">
        <v>446</v>
      </c>
      <c r="UE9" s="16">
        <f t="shared" si="13"/>
        <v>1</v>
      </c>
      <c r="VJ9" s="16">
        <f t="shared" si="14"/>
        <v>0</v>
      </c>
      <c r="WM9" s="16">
        <f t="shared" si="15"/>
        <v>0</v>
      </c>
      <c r="XH9" s="16">
        <f t="shared" si="16"/>
        <v>0</v>
      </c>
      <c r="YD9" s="16">
        <f t="shared" si="17"/>
        <v>0</v>
      </c>
      <c r="YX9" s="16">
        <f t="shared" si="18"/>
        <v>0</v>
      </c>
      <c r="ZR9" s="16">
        <f t="shared" si="19"/>
        <v>0</v>
      </c>
      <c r="ZX9" s="16">
        <f t="shared" si="20"/>
        <v>0</v>
      </c>
      <c r="AAT9" s="16">
        <f t="shared" si="21"/>
        <v>0</v>
      </c>
      <c r="ABQ9" s="16">
        <f t="shared" si="22"/>
        <v>0</v>
      </c>
      <c r="ABV9" s="16">
        <f t="shared" si="23"/>
        <v>0</v>
      </c>
      <c r="ACC9" s="16">
        <f t="shared" si="24"/>
        <v>0</v>
      </c>
      <c r="ACQ9" s="16">
        <f t="shared" si="25"/>
        <v>0</v>
      </c>
      <c r="ADA9" s="16">
        <f t="shared" si="26"/>
        <v>0</v>
      </c>
      <c r="ADM9" s="16">
        <f t="shared" si="27"/>
        <v>0</v>
      </c>
      <c r="AEI9" s="16">
        <f t="shared" si="28"/>
        <v>0</v>
      </c>
    </row>
    <row r="10" spans="1:815" x14ac:dyDescent="0.25">
      <c r="B10" s="4" t="s">
        <v>26</v>
      </c>
      <c r="C10" t="s">
        <v>27</v>
      </c>
      <c r="D10">
        <v>72</v>
      </c>
      <c r="E10" t="s">
        <v>8</v>
      </c>
      <c r="F10" t="s">
        <v>9</v>
      </c>
      <c r="G10" t="s">
        <v>9</v>
      </c>
      <c r="H10" t="s">
        <v>250</v>
      </c>
      <c r="I10" t="s">
        <v>15</v>
      </c>
      <c r="J10" t="s">
        <v>9</v>
      </c>
      <c r="K10" t="s">
        <v>248</v>
      </c>
      <c r="L10" t="s">
        <v>1155</v>
      </c>
      <c r="N10">
        <v>152</v>
      </c>
      <c r="P10" s="11"/>
      <c r="Q10" s="11">
        <v>36433</v>
      </c>
      <c r="S10" t="s">
        <v>1153</v>
      </c>
      <c r="T10" t="s">
        <v>1158</v>
      </c>
      <c r="U10" t="s">
        <v>1157</v>
      </c>
      <c r="V10" t="s">
        <v>1156</v>
      </c>
      <c r="W10" t="s">
        <v>1154</v>
      </c>
      <c r="BA10" s="16">
        <f t="shared" si="0"/>
        <v>0</v>
      </c>
      <c r="CB10" s="16">
        <f t="shared" si="1"/>
        <v>0</v>
      </c>
      <c r="CC10">
        <v>31</v>
      </c>
      <c r="CG10">
        <v>36</v>
      </c>
      <c r="CN10">
        <v>30.9</v>
      </c>
      <c r="CO10">
        <v>47.8</v>
      </c>
      <c r="DA10">
        <v>28</v>
      </c>
      <c r="DE10" s="16">
        <f t="shared" si="2"/>
        <v>5</v>
      </c>
      <c r="DN10">
        <v>240</v>
      </c>
      <c r="DO10">
        <v>250</v>
      </c>
      <c r="DS10" s="16">
        <f t="shared" si="3"/>
        <v>2</v>
      </c>
      <c r="DT10" s="7"/>
      <c r="EB10" s="7">
        <v>0.25</v>
      </c>
      <c r="EC10" s="7"/>
      <c r="ED10" s="7"/>
      <c r="EE10" s="7"/>
      <c r="EF10" s="16">
        <f t="shared" si="4"/>
        <v>1</v>
      </c>
      <c r="FI10" s="16">
        <f t="shared" si="5"/>
        <v>0</v>
      </c>
      <c r="FJ10" t="s">
        <v>457</v>
      </c>
      <c r="FQ10">
        <v>52</v>
      </c>
      <c r="FV10">
        <v>4125</v>
      </c>
      <c r="GA10">
        <v>2577</v>
      </c>
      <c r="GB10">
        <v>1223</v>
      </c>
      <c r="GI10">
        <v>132</v>
      </c>
      <c r="GS10">
        <v>269</v>
      </c>
      <c r="GT10">
        <v>125</v>
      </c>
      <c r="HY10" s="16">
        <f t="shared" si="6"/>
        <v>8</v>
      </c>
      <c r="HZ10">
        <v>24.6</v>
      </c>
      <c r="IF10">
        <v>8.6</v>
      </c>
      <c r="IK10">
        <v>4298</v>
      </c>
      <c r="IP10">
        <v>3607</v>
      </c>
      <c r="IQ10">
        <v>2361</v>
      </c>
      <c r="IX10">
        <v>274</v>
      </c>
      <c r="JH10">
        <v>186</v>
      </c>
      <c r="JI10">
        <v>76</v>
      </c>
      <c r="KM10" s="16">
        <f t="shared" si="7"/>
        <v>8</v>
      </c>
      <c r="KN10" t="s">
        <v>459</v>
      </c>
      <c r="KR10">
        <v>9.1199999999999992</v>
      </c>
      <c r="KW10">
        <v>526</v>
      </c>
      <c r="LB10">
        <v>399</v>
      </c>
      <c r="LC10">
        <v>362</v>
      </c>
      <c r="LJ10">
        <v>399</v>
      </c>
      <c r="LT10">
        <v>619</v>
      </c>
      <c r="LU10">
        <v>900</v>
      </c>
      <c r="MZ10" s="16">
        <f t="shared" si="8"/>
        <v>8</v>
      </c>
      <c r="OQ10" s="16">
        <f t="shared" si="9"/>
        <v>0</v>
      </c>
      <c r="OW10" s="33">
        <f t="shared" si="10"/>
        <v>0</v>
      </c>
      <c r="PJ10">
        <v>311.8</v>
      </c>
      <c r="PO10">
        <v>356.1</v>
      </c>
      <c r="PP10">
        <v>356.2</v>
      </c>
      <c r="QC10">
        <v>427</v>
      </c>
      <c r="QF10">
        <v>427</v>
      </c>
      <c r="QG10">
        <v>210</v>
      </c>
      <c r="RD10" s="16">
        <f t="shared" si="11"/>
        <v>6</v>
      </c>
      <c r="RU10" s="16">
        <f t="shared" si="12"/>
        <v>0</v>
      </c>
      <c r="RV10" t="s">
        <v>458</v>
      </c>
      <c r="SB10">
        <v>4.9400000000000004</v>
      </c>
      <c r="SG10">
        <v>144</v>
      </c>
      <c r="SL10">
        <v>135</v>
      </c>
      <c r="SM10">
        <v>129</v>
      </c>
      <c r="ST10">
        <v>211</v>
      </c>
      <c r="TD10">
        <v>437</v>
      </c>
      <c r="TE10">
        <v>440</v>
      </c>
      <c r="UE10" s="16">
        <f t="shared" si="13"/>
        <v>8</v>
      </c>
      <c r="VJ10" s="16">
        <f t="shared" si="14"/>
        <v>0</v>
      </c>
      <c r="VK10">
        <v>78</v>
      </c>
      <c r="VU10">
        <v>71.2</v>
      </c>
      <c r="VZ10">
        <v>58.9</v>
      </c>
      <c r="WA10">
        <v>51.3</v>
      </c>
      <c r="WH10">
        <v>61</v>
      </c>
      <c r="WM10" s="16">
        <f t="shared" si="15"/>
        <v>5</v>
      </c>
      <c r="WN10">
        <v>1.2</v>
      </c>
      <c r="WR10">
        <v>1.73</v>
      </c>
      <c r="XH10" s="16">
        <f t="shared" si="16"/>
        <v>2</v>
      </c>
      <c r="XI10">
        <v>152</v>
      </c>
      <c r="YB10">
        <v>142</v>
      </c>
      <c r="YD10" s="16">
        <f t="shared" si="17"/>
        <v>2</v>
      </c>
      <c r="YE10" t="s">
        <v>706</v>
      </c>
      <c r="YW10">
        <v>200</v>
      </c>
      <c r="YX10" s="16">
        <f t="shared" si="18"/>
        <v>2</v>
      </c>
      <c r="ZB10">
        <v>54</v>
      </c>
      <c r="ZR10" s="16">
        <f t="shared" si="19"/>
        <v>1</v>
      </c>
      <c r="ZT10">
        <v>39</v>
      </c>
      <c r="ZU10">
        <v>62</v>
      </c>
      <c r="ZV10">
        <v>48</v>
      </c>
      <c r="ZW10">
        <v>88</v>
      </c>
      <c r="ZX10" s="16">
        <f t="shared" si="20"/>
        <v>4</v>
      </c>
      <c r="AAR10">
        <v>4.6500000000000004</v>
      </c>
      <c r="AAT10" s="16">
        <f t="shared" si="21"/>
        <v>1</v>
      </c>
      <c r="AAU10">
        <v>156</v>
      </c>
      <c r="ABQ10" s="16">
        <f t="shared" si="22"/>
        <v>1</v>
      </c>
      <c r="ABV10" s="16">
        <f t="shared" si="23"/>
        <v>0</v>
      </c>
      <c r="ACC10" s="16">
        <f t="shared" si="24"/>
        <v>0</v>
      </c>
      <c r="ACQ10" s="16">
        <f t="shared" si="25"/>
        <v>0</v>
      </c>
      <c r="ADA10" s="16">
        <f t="shared" si="26"/>
        <v>0</v>
      </c>
      <c r="ADM10" s="16">
        <f t="shared" si="27"/>
        <v>0</v>
      </c>
      <c r="AEI10" s="16">
        <f t="shared" si="28"/>
        <v>0</v>
      </c>
    </row>
    <row r="11" spans="1:815" x14ac:dyDescent="0.25">
      <c r="A11" s="21" t="s">
        <v>2065</v>
      </c>
      <c r="B11" s="2" t="s">
        <v>28</v>
      </c>
      <c r="C11" t="s">
        <v>29</v>
      </c>
      <c r="D11">
        <v>59</v>
      </c>
      <c r="E11" t="s">
        <v>8</v>
      </c>
      <c r="F11" t="s">
        <v>9</v>
      </c>
      <c r="G11" t="s">
        <v>9</v>
      </c>
      <c r="H11" t="s">
        <v>251</v>
      </c>
      <c r="I11" t="s">
        <v>15</v>
      </c>
      <c r="J11" t="s">
        <v>9</v>
      </c>
      <c r="L11" t="s">
        <v>301</v>
      </c>
      <c r="M11">
        <v>77</v>
      </c>
      <c r="N11">
        <v>170</v>
      </c>
      <c r="O11" t="s">
        <v>1074</v>
      </c>
      <c r="P11" s="11" t="s">
        <v>1163</v>
      </c>
      <c r="Q11" s="11" t="s">
        <v>1163</v>
      </c>
      <c r="R11" t="s">
        <v>1164</v>
      </c>
      <c r="S11" t="s">
        <v>1165</v>
      </c>
      <c r="T11" t="s">
        <v>1160</v>
      </c>
      <c r="U11" t="s">
        <v>1162</v>
      </c>
      <c r="V11" t="s">
        <v>1161</v>
      </c>
      <c r="W11" t="s">
        <v>1166</v>
      </c>
      <c r="BA11" s="16">
        <f t="shared" si="0"/>
        <v>0</v>
      </c>
      <c r="CB11" s="16">
        <f t="shared" si="1"/>
        <v>0</v>
      </c>
      <c r="DE11" s="16">
        <f t="shared" si="2"/>
        <v>0</v>
      </c>
      <c r="DS11" s="16">
        <f t="shared" si="3"/>
        <v>0</v>
      </c>
      <c r="EF11" s="16">
        <f t="shared" si="4"/>
        <v>0</v>
      </c>
      <c r="EG11">
        <v>4000</v>
      </c>
      <c r="FI11" s="16">
        <f t="shared" si="5"/>
        <v>1</v>
      </c>
      <c r="HY11" s="16">
        <f t="shared" si="6"/>
        <v>0</v>
      </c>
      <c r="KM11" s="16">
        <f t="shared" si="7"/>
        <v>0</v>
      </c>
      <c r="KN11">
        <v>240</v>
      </c>
      <c r="MZ11" s="16">
        <f t="shared" si="8"/>
        <v>1</v>
      </c>
      <c r="OQ11" s="16">
        <f t="shared" si="9"/>
        <v>0</v>
      </c>
      <c r="OR11" s="32" t="s">
        <v>712</v>
      </c>
      <c r="OW11" s="33">
        <f t="shared" si="10"/>
        <v>1</v>
      </c>
      <c r="RD11" s="16">
        <f t="shared" si="11"/>
        <v>0</v>
      </c>
      <c r="RU11" s="16">
        <f t="shared" si="12"/>
        <v>0</v>
      </c>
      <c r="UE11" s="16">
        <f t="shared" si="13"/>
        <v>0</v>
      </c>
      <c r="VJ11" s="16">
        <f t="shared" si="14"/>
        <v>0</v>
      </c>
      <c r="WM11" s="16">
        <f t="shared" si="15"/>
        <v>0</v>
      </c>
      <c r="XH11" s="16">
        <f t="shared" si="16"/>
        <v>0</v>
      </c>
      <c r="YD11" s="16">
        <f t="shared" si="17"/>
        <v>0</v>
      </c>
      <c r="YX11" s="16">
        <f t="shared" si="18"/>
        <v>0</v>
      </c>
      <c r="YY11">
        <v>11</v>
      </c>
      <c r="ZR11" s="16">
        <f t="shared" si="19"/>
        <v>1</v>
      </c>
      <c r="ZX11" s="16">
        <f t="shared" si="20"/>
        <v>0</v>
      </c>
      <c r="AAT11" s="16">
        <f t="shared" si="21"/>
        <v>0</v>
      </c>
      <c r="ABQ11" s="16">
        <f t="shared" si="22"/>
        <v>0</v>
      </c>
      <c r="ABV11" s="16">
        <f t="shared" si="23"/>
        <v>0</v>
      </c>
      <c r="ACC11" s="16">
        <f t="shared" si="24"/>
        <v>0</v>
      </c>
      <c r="ACQ11" s="16">
        <f t="shared" si="25"/>
        <v>0</v>
      </c>
      <c r="ADA11" s="16">
        <f t="shared" si="26"/>
        <v>0</v>
      </c>
      <c r="ADM11" s="16">
        <f t="shared" si="27"/>
        <v>0</v>
      </c>
      <c r="AEI11" s="16">
        <f t="shared" si="28"/>
        <v>0</v>
      </c>
    </row>
    <row r="12" spans="1:815" x14ac:dyDescent="0.25">
      <c r="A12" s="21" t="s">
        <v>2065</v>
      </c>
      <c r="B12" s="2" t="s">
        <v>30</v>
      </c>
      <c r="C12" t="s">
        <v>31</v>
      </c>
      <c r="D12">
        <v>53</v>
      </c>
      <c r="E12" t="s">
        <v>8</v>
      </c>
      <c r="F12" t="s">
        <v>9</v>
      </c>
      <c r="G12" t="s">
        <v>9</v>
      </c>
      <c r="H12" t="s">
        <v>252</v>
      </c>
      <c r="I12" t="s">
        <v>15</v>
      </c>
      <c r="J12" t="s">
        <v>15</v>
      </c>
      <c r="L12" t="s">
        <v>301</v>
      </c>
      <c r="M12">
        <v>78</v>
      </c>
      <c r="N12">
        <v>158</v>
      </c>
      <c r="O12" t="s">
        <v>1075</v>
      </c>
      <c r="P12" s="11">
        <v>36536</v>
      </c>
      <c r="Q12" s="11">
        <v>36537</v>
      </c>
      <c r="R12" t="s">
        <v>1171</v>
      </c>
      <c r="S12" t="s">
        <v>1172</v>
      </c>
      <c r="T12" t="s">
        <v>1167</v>
      </c>
      <c r="U12" t="s">
        <v>1169</v>
      </c>
      <c r="V12" t="s">
        <v>1168</v>
      </c>
      <c r="W12" t="s">
        <v>1170</v>
      </c>
      <c r="BA12" s="16">
        <f t="shared" si="0"/>
        <v>0</v>
      </c>
      <c r="CB12" s="16">
        <f t="shared" si="1"/>
        <v>0</v>
      </c>
      <c r="DE12" s="16">
        <f t="shared" si="2"/>
        <v>0</v>
      </c>
      <c r="DS12" s="16">
        <f t="shared" si="3"/>
        <v>0</v>
      </c>
      <c r="EF12" s="16">
        <f t="shared" si="4"/>
        <v>0</v>
      </c>
      <c r="EI12">
        <v>8900</v>
      </c>
      <c r="EL12">
        <v>10600</v>
      </c>
      <c r="FI12" s="16">
        <f t="shared" si="5"/>
        <v>2</v>
      </c>
      <c r="FV12">
        <v>25</v>
      </c>
      <c r="HY12" s="16">
        <f t="shared" si="6"/>
        <v>1</v>
      </c>
      <c r="IK12">
        <v>64</v>
      </c>
      <c r="KM12" s="16">
        <f t="shared" si="7"/>
        <v>1</v>
      </c>
      <c r="KR12">
        <v>51</v>
      </c>
      <c r="MZ12" s="16">
        <f t="shared" si="8"/>
        <v>1</v>
      </c>
      <c r="OQ12" s="16">
        <f t="shared" si="9"/>
        <v>0</v>
      </c>
      <c r="OR12" s="32" t="s">
        <v>713</v>
      </c>
      <c r="OW12" s="33">
        <f t="shared" si="10"/>
        <v>1</v>
      </c>
      <c r="RD12" s="16">
        <f t="shared" si="11"/>
        <v>0</v>
      </c>
      <c r="RU12" s="16">
        <f t="shared" si="12"/>
        <v>0</v>
      </c>
      <c r="UE12" s="16">
        <f t="shared" si="13"/>
        <v>0</v>
      </c>
      <c r="VJ12" s="16">
        <f t="shared" si="14"/>
        <v>0</v>
      </c>
      <c r="WM12" s="16">
        <f t="shared" si="15"/>
        <v>0</v>
      </c>
      <c r="XH12" s="16">
        <f t="shared" si="16"/>
        <v>0</v>
      </c>
      <c r="YD12" s="16">
        <f t="shared" si="17"/>
        <v>0</v>
      </c>
      <c r="YX12" s="16">
        <f t="shared" si="18"/>
        <v>0</v>
      </c>
      <c r="ZR12" s="16">
        <f t="shared" si="19"/>
        <v>0</v>
      </c>
      <c r="ZX12" s="16">
        <f t="shared" si="20"/>
        <v>0</v>
      </c>
      <c r="AAT12" s="16">
        <f t="shared" si="21"/>
        <v>0</v>
      </c>
      <c r="ABQ12" s="16">
        <f t="shared" si="22"/>
        <v>0</v>
      </c>
      <c r="ABV12" s="16">
        <f t="shared" si="23"/>
        <v>0</v>
      </c>
      <c r="ACC12" s="16">
        <f t="shared" si="24"/>
        <v>0</v>
      </c>
      <c r="ACQ12" s="16">
        <f t="shared" si="25"/>
        <v>0</v>
      </c>
      <c r="ADA12" s="16">
        <f t="shared" si="26"/>
        <v>0</v>
      </c>
      <c r="ADM12" s="16">
        <f t="shared" si="27"/>
        <v>0</v>
      </c>
      <c r="AEI12" s="16">
        <f t="shared" si="28"/>
        <v>0</v>
      </c>
    </row>
    <row r="13" spans="1:815" x14ac:dyDescent="0.25">
      <c r="B13" s="2" t="s">
        <v>32</v>
      </c>
      <c r="C13" t="s">
        <v>33</v>
      </c>
      <c r="D13">
        <v>1</v>
      </c>
      <c r="E13" t="s">
        <v>14</v>
      </c>
      <c r="F13" t="s">
        <v>9</v>
      </c>
      <c r="G13" t="s">
        <v>9</v>
      </c>
      <c r="H13" t="s">
        <v>253</v>
      </c>
      <c r="I13" t="s">
        <v>15</v>
      </c>
      <c r="J13" t="s">
        <v>9</v>
      </c>
      <c r="K13" t="s">
        <v>1176</v>
      </c>
      <c r="L13" t="s">
        <v>304</v>
      </c>
      <c r="M13" t="s">
        <v>1076</v>
      </c>
      <c r="N13">
        <v>61</v>
      </c>
      <c r="P13" s="11">
        <v>36912</v>
      </c>
      <c r="Q13" s="11">
        <v>36913</v>
      </c>
      <c r="R13" t="s">
        <v>1171</v>
      </c>
      <c r="S13" t="s">
        <v>1173</v>
      </c>
      <c r="T13" t="s">
        <v>1174</v>
      </c>
      <c r="U13" t="s">
        <v>1175</v>
      </c>
      <c r="V13" t="s">
        <v>1177</v>
      </c>
      <c r="BA13" s="16">
        <f t="shared" si="0"/>
        <v>0</v>
      </c>
      <c r="BB13">
        <v>17</v>
      </c>
      <c r="CB13" s="16">
        <f t="shared" si="1"/>
        <v>1</v>
      </c>
      <c r="CC13" t="s">
        <v>503</v>
      </c>
      <c r="DE13" s="16">
        <f t="shared" si="2"/>
        <v>1</v>
      </c>
      <c r="DS13" s="16">
        <f t="shared" si="3"/>
        <v>0</v>
      </c>
      <c r="EF13" s="16">
        <f t="shared" si="4"/>
        <v>0</v>
      </c>
      <c r="EG13">
        <v>17700</v>
      </c>
      <c r="FI13" s="16">
        <f t="shared" si="5"/>
        <v>1</v>
      </c>
      <c r="FJ13">
        <v>6600</v>
      </c>
      <c r="GE13">
        <v>23</v>
      </c>
      <c r="HD13">
        <v>23</v>
      </c>
      <c r="HY13" s="16">
        <f t="shared" si="6"/>
        <v>3</v>
      </c>
      <c r="HZ13">
        <v>6200</v>
      </c>
      <c r="IT13">
        <v>281</v>
      </c>
      <c r="KM13" s="16">
        <f t="shared" si="7"/>
        <v>2</v>
      </c>
      <c r="KN13">
        <v>35</v>
      </c>
      <c r="MZ13" s="16">
        <f t="shared" si="8"/>
        <v>1</v>
      </c>
      <c r="NA13">
        <v>14800</v>
      </c>
      <c r="NS13">
        <v>2496</v>
      </c>
      <c r="OQ13" s="16">
        <f t="shared" si="9"/>
        <v>2</v>
      </c>
      <c r="OW13" s="33">
        <f t="shared" si="10"/>
        <v>0</v>
      </c>
      <c r="OX13" t="s">
        <v>378</v>
      </c>
      <c r="RD13" s="16">
        <f t="shared" si="11"/>
        <v>1</v>
      </c>
      <c r="RU13" s="16">
        <f t="shared" si="12"/>
        <v>0</v>
      </c>
      <c r="UE13" s="16">
        <f t="shared" si="13"/>
        <v>0</v>
      </c>
      <c r="UF13">
        <v>3300</v>
      </c>
      <c r="VJ13" s="16">
        <f t="shared" si="14"/>
        <v>1</v>
      </c>
      <c r="WM13" s="16">
        <f t="shared" si="15"/>
        <v>0</v>
      </c>
      <c r="XH13" s="16">
        <f t="shared" si="16"/>
        <v>0</v>
      </c>
      <c r="YD13" s="16">
        <f t="shared" si="17"/>
        <v>0</v>
      </c>
      <c r="YX13" s="16">
        <f t="shared" si="18"/>
        <v>0</v>
      </c>
      <c r="YY13" t="s">
        <v>504</v>
      </c>
      <c r="ZR13" s="16">
        <f t="shared" si="19"/>
        <v>1</v>
      </c>
      <c r="ZX13" s="16">
        <f t="shared" si="20"/>
        <v>0</v>
      </c>
      <c r="AAT13" s="16">
        <f t="shared" si="21"/>
        <v>0</v>
      </c>
      <c r="AAU13">
        <v>288</v>
      </c>
      <c r="ABQ13" s="16">
        <f t="shared" si="22"/>
        <v>1</v>
      </c>
      <c r="ABR13" t="s">
        <v>501</v>
      </c>
      <c r="ABV13" s="16">
        <f t="shared" si="23"/>
        <v>1</v>
      </c>
      <c r="ACC13" s="16">
        <f t="shared" si="24"/>
        <v>0</v>
      </c>
      <c r="ACQ13" s="16">
        <f t="shared" si="25"/>
        <v>0</v>
      </c>
      <c r="ADA13" s="16">
        <f t="shared" si="26"/>
        <v>0</v>
      </c>
      <c r="ADM13" s="16">
        <f t="shared" si="27"/>
        <v>0</v>
      </c>
      <c r="AEI13" s="16">
        <f t="shared" si="28"/>
        <v>0</v>
      </c>
    </row>
    <row r="14" spans="1:815" x14ac:dyDescent="0.25">
      <c r="B14" s="2" t="s">
        <v>34</v>
      </c>
      <c r="C14" t="s">
        <v>35</v>
      </c>
      <c r="D14">
        <v>28</v>
      </c>
      <c r="E14" t="s">
        <v>8</v>
      </c>
      <c r="F14" t="s">
        <v>9</v>
      </c>
      <c r="G14" t="s">
        <v>9</v>
      </c>
      <c r="I14" t="s">
        <v>15</v>
      </c>
      <c r="J14" t="s">
        <v>9</v>
      </c>
      <c r="K14" t="s">
        <v>1184</v>
      </c>
      <c r="L14" t="s">
        <v>1183</v>
      </c>
      <c r="P14" s="11" t="s">
        <v>1180</v>
      </c>
      <c r="Q14" s="11" t="s">
        <v>1181</v>
      </c>
      <c r="R14" t="s">
        <v>1164</v>
      </c>
      <c r="S14" t="s">
        <v>1182</v>
      </c>
      <c r="T14" t="s">
        <v>1179</v>
      </c>
      <c r="U14" t="s">
        <v>1185</v>
      </c>
      <c r="W14" t="s">
        <v>1178</v>
      </c>
      <c r="BA14" s="16">
        <f t="shared" si="0"/>
        <v>0</v>
      </c>
      <c r="CB14" s="16">
        <f t="shared" si="1"/>
        <v>0</v>
      </c>
      <c r="DE14" s="16">
        <f t="shared" si="2"/>
        <v>0</v>
      </c>
      <c r="DS14" s="16">
        <f t="shared" si="3"/>
        <v>0</v>
      </c>
      <c r="EF14" s="16">
        <f t="shared" si="4"/>
        <v>0</v>
      </c>
      <c r="FI14" s="16">
        <f t="shared" si="5"/>
        <v>0</v>
      </c>
      <c r="FJ14">
        <v>9</v>
      </c>
      <c r="GF14">
        <v>22</v>
      </c>
      <c r="GO14">
        <v>47</v>
      </c>
      <c r="GR14">
        <v>18</v>
      </c>
      <c r="HE14">
        <v>13</v>
      </c>
      <c r="HG14">
        <v>17</v>
      </c>
      <c r="HY14" s="16">
        <f t="shared" si="6"/>
        <v>6</v>
      </c>
      <c r="HZ14">
        <v>34</v>
      </c>
      <c r="IU14">
        <v>49</v>
      </c>
      <c r="JD14">
        <v>190</v>
      </c>
      <c r="JG14">
        <v>111</v>
      </c>
      <c r="JS14">
        <v>30</v>
      </c>
      <c r="JU14">
        <v>50</v>
      </c>
      <c r="KM14" s="16">
        <f t="shared" si="7"/>
        <v>6</v>
      </c>
      <c r="KN14">
        <v>17</v>
      </c>
      <c r="LG14">
        <v>20</v>
      </c>
      <c r="LP14">
        <v>57</v>
      </c>
      <c r="LS14">
        <v>45</v>
      </c>
      <c r="ME14">
        <v>20</v>
      </c>
      <c r="MG14">
        <v>30</v>
      </c>
      <c r="MZ14" s="16">
        <f t="shared" si="8"/>
        <v>6</v>
      </c>
      <c r="OQ14" s="16">
        <f t="shared" si="9"/>
        <v>0</v>
      </c>
      <c r="OW14" s="33">
        <f t="shared" si="10"/>
        <v>0</v>
      </c>
      <c r="RD14" s="16">
        <f t="shared" si="11"/>
        <v>0</v>
      </c>
      <c r="RU14" s="16">
        <f t="shared" si="12"/>
        <v>0</v>
      </c>
      <c r="UE14" s="16">
        <f t="shared" si="13"/>
        <v>0</v>
      </c>
      <c r="VJ14" s="16">
        <f t="shared" si="14"/>
        <v>0</v>
      </c>
      <c r="WM14" s="16">
        <f t="shared" si="15"/>
        <v>0</v>
      </c>
      <c r="XH14" s="16">
        <f t="shared" si="16"/>
        <v>0</v>
      </c>
      <c r="YD14" s="16">
        <f t="shared" si="17"/>
        <v>0</v>
      </c>
      <c r="YX14" s="16">
        <f t="shared" si="18"/>
        <v>0</v>
      </c>
      <c r="ZR14" s="16">
        <f t="shared" si="19"/>
        <v>0</v>
      </c>
      <c r="ZX14" s="16">
        <f t="shared" si="20"/>
        <v>0</v>
      </c>
      <c r="AAT14" s="16">
        <f t="shared" si="21"/>
        <v>0</v>
      </c>
      <c r="ABQ14" s="16">
        <f t="shared" si="22"/>
        <v>0</v>
      </c>
      <c r="ABV14" s="16">
        <f t="shared" si="23"/>
        <v>0</v>
      </c>
      <c r="ACC14" s="16">
        <f t="shared" si="24"/>
        <v>0</v>
      </c>
      <c r="ACQ14" s="16">
        <f t="shared" si="25"/>
        <v>0</v>
      </c>
      <c r="ADA14" s="16">
        <f t="shared" si="26"/>
        <v>0</v>
      </c>
      <c r="ADM14" s="16">
        <f t="shared" si="27"/>
        <v>0</v>
      </c>
      <c r="AEI14" s="16">
        <f t="shared" si="28"/>
        <v>0</v>
      </c>
    </row>
    <row r="15" spans="1:815" x14ac:dyDescent="0.25">
      <c r="B15" s="2" t="s">
        <v>36</v>
      </c>
      <c r="C15" t="s">
        <v>39</v>
      </c>
      <c r="D15">
        <v>45</v>
      </c>
      <c r="E15" t="s">
        <v>14</v>
      </c>
      <c r="F15" t="s">
        <v>9</v>
      </c>
      <c r="G15" t="s">
        <v>15</v>
      </c>
      <c r="H15" t="s">
        <v>254</v>
      </c>
      <c r="I15" t="s">
        <v>15</v>
      </c>
      <c r="J15" t="s">
        <v>9</v>
      </c>
      <c r="K15" t="s">
        <v>1189</v>
      </c>
      <c r="L15" t="s">
        <v>305</v>
      </c>
      <c r="M15">
        <v>135</v>
      </c>
      <c r="N15">
        <v>184</v>
      </c>
      <c r="O15" t="s">
        <v>1077</v>
      </c>
      <c r="T15" t="s">
        <v>1186</v>
      </c>
      <c r="U15" t="s">
        <v>1188</v>
      </c>
      <c r="V15" t="s">
        <v>1187</v>
      </c>
      <c r="BA15" s="16">
        <f t="shared" si="0"/>
        <v>0</v>
      </c>
      <c r="CB15" s="16">
        <f t="shared" si="1"/>
        <v>0</v>
      </c>
      <c r="DE15" s="16">
        <f t="shared" si="2"/>
        <v>0</v>
      </c>
      <c r="DS15" s="16">
        <f t="shared" si="3"/>
        <v>0</v>
      </c>
      <c r="EF15" s="16">
        <f t="shared" si="4"/>
        <v>0</v>
      </c>
      <c r="FI15" s="16">
        <f t="shared" si="5"/>
        <v>0</v>
      </c>
      <c r="HY15" s="16">
        <f t="shared" si="6"/>
        <v>0</v>
      </c>
      <c r="KM15" s="16">
        <f t="shared" si="7"/>
        <v>0</v>
      </c>
      <c r="MZ15" s="16">
        <f t="shared" si="8"/>
        <v>0</v>
      </c>
      <c r="OQ15" s="16">
        <f t="shared" si="9"/>
        <v>0</v>
      </c>
      <c r="OW15" s="33">
        <f t="shared" si="10"/>
        <v>0</v>
      </c>
      <c r="RD15" s="16">
        <f t="shared" si="11"/>
        <v>0</v>
      </c>
      <c r="RU15" s="16">
        <f t="shared" si="12"/>
        <v>0</v>
      </c>
      <c r="UE15" s="16">
        <f t="shared" si="13"/>
        <v>0</v>
      </c>
      <c r="VJ15" s="16">
        <f t="shared" si="14"/>
        <v>0</v>
      </c>
      <c r="WM15" s="16">
        <f t="shared" si="15"/>
        <v>0</v>
      </c>
      <c r="XH15" s="16">
        <f t="shared" si="16"/>
        <v>0</v>
      </c>
      <c r="YD15" s="16">
        <f t="shared" si="17"/>
        <v>0</v>
      </c>
      <c r="YX15" s="16">
        <f t="shared" si="18"/>
        <v>0</v>
      </c>
      <c r="ZR15" s="16">
        <f t="shared" si="19"/>
        <v>0</v>
      </c>
      <c r="ZX15" s="16">
        <f t="shared" si="20"/>
        <v>0</v>
      </c>
      <c r="AAT15" s="16">
        <f t="shared" si="21"/>
        <v>0</v>
      </c>
      <c r="ABQ15" s="16">
        <f t="shared" si="22"/>
        <v>0</v>
      </c>
      <c r="ABV15" s="16">
        <f t="shared" si="23"/>
        <v>0</v>
      </c>
      <c r="ACC15" s="16">
        <f t="shared" si="24"/>
        <v>0</v>
      </c>
      <c r="ACQ15" s="16">
        <f t="shared" si="25"/>
        <v>0</v>
      </c>
      <c r="ADA15" s="16">
        <f t="shared" si="26"/>
        <v>0</v>
      </c>
      <c r="ADM15" s="16">
        <f t="shared" si="27"/>
        <v>0</v>
      </c>
      <c r="AEI15" s="16">
        <f t="shared" si="28"/>
        <v>0</v>
      </c>
    </row>
    <row r="16" spans="1:815" x14ac:dyDescent="0.25">
      <c r="A16" s="21" t="s">
        <v>2065</v>
      </c>
      <c r="B16" s="3" t="s">
        <v>37</v>
      </c>
      <c r="C16" t="s">
        <v>38</v>
      </c>
      <c r="D16">
        <v>28</v>
      </c>
      <c r="E16" t="s">
        <v>8</v>
      </c>
      <c r="F16" t="s">
        <v>9</v>
      </c>
      <c r="G16" t="s">
        <v>9</v>
      </c>
      <c r="H16" t="s">
        <v>255</v>
      </c>
      <c r="I16" t="s">
        <v>15</v>
      </c>
      <c r="J16" t="s">
        <v>9</v>
      </c>
      <c r="K16" t="s">
        <v>1192</v>
      </c>
      <c r="L16" t="s">
        <v>301</v>
      </c>
      <c r="Q16" s="11">
        <v>36958</v>
      </c>
      <c r="T16" t="s">
        <v>1193</v>
      </c>
      <c r="V16" t="s">
        <v>1190</v>
      </c>
      <c r="W16" t="s">
        <v>1191</v>
      </c>
      <c r="BA16" s="16">
        <f t="shared" si="0"/>
        <v>0</v>
      </c>
      <c r="CB16" s="16">
        <f t="shared" si="1"/>
        <v>0</v>
      </c>
      <c r="DE16" s="16">
        <f t="shared" si="2"/>
        <v>0</v>
      </c>
      <c r="DS16" s="16">
        <f t="shared" si="3"/>
        <v>0</v>
      </c>
      <c r="EF16" s="16">
        <f t="shared" si="4"/>
        <v>0</v>
      </c>
      <c r="FI16" s="16">
        <f t="shared" si="5"/>
        <v>0</v>
      </c>
      <c r="FJ16">
        <v>20</v>
      </c>
      <c r="HY16" s="16">
        <f t="shared" si="6"/>
        <v>1</v>
      </c>
      <c r="HZ16">
        <v>27</v>
      </c>
      <c r="KM16" s="16">
        <f t="shared" si="7"/>
        <v>1</v>
      </c>
      <c r="MZ16" s="16">
        <f t="shared" si="8"/>
        <v>0</v>
      </c>
      <c r="NA16">
        <v>248</v>
      </c>
      <c r="OQ16" s="16">
        <f t="shared" si="9"/>
        <v>1</v>
      </c>
      <c r="OW16" s="33">
        <f t="shared" si="10"/>
        <v>0</v>
      </c>
      <c r="RD16" s="16">
        <f t="shared" si="11"/>
        <v>0</v>
      </c>
      <c r="RU16" s="16">
        <f t="shared" si="12"/>
        <v>0</v>
      </c>
      <c r="UE16" s="16">
        <f t="shared" si="13"/>
        <v>0</v>
      </c>
      <c r="UF16">
        <v>2.9</v>
      </c>
      <c r="VJ16" s="16">
        <f t="shared" si="14"/>
        <v>1</v>
      </c>
      <c r="WM16" s="16">
        <f t="shared" si="15"/>
        <v>0</v>
      </c>
      <c r="XH16" s="16">
        <f t="shared" si="16"/>
        <v>0</v>
      </c>
      <c r="XI16">
        <v>196</v>
      </c>
      <c r="YD16" s="16">
        <f t="shared" si="17"/>
        <v>1</v>
      </c>
      <c r="YX16" s="16">
        <f t="shared" si="18"/>
        <v>0</v>
      </c>
      <c r="YY16">
        <v>22.5</v>
      </c>
      <c r="ZR16" s="16">
        <f t="shared" si="19"/>
        <v>1</v>
      </c>
      <c r="ZX16" s="16">
        <f t="shared" si="20"/>
        <v>0</v>
      </c>
      <c r="AAT16" s="16">
        <f t="shared" si="21"/>
        <v>0</v>
      </c>
      <c r="ABQ16" s="16">
        <f t="shared" si="22"/>
        <v>0</v>
      </c>
      <c r="ABV16" s="16">
        <f t="shared" si="23"/>
        <v>0</v>
      </c>
      <c r="ACC16" s="16">
        <f t="shared" si="24"/>
        <v>0</v>
      </c>
      <c r="ACD16" t="s">
        <v>522</v>
      </c>
      <c r="ACE16">
        <v>61</v>
      </c>
      <c r="ACF16">
        <v>22.4</v>
      </c>
      <c r="ACG16">
        <v>8.1999999999999993</v>
      </c>
      <c r="ACQ16" s="16">
        <f t="shared" si="25"/>
        <v>0</v>
      </c>
      <c r="ADA16" s="16">
        <f t="shared" si="26"/>
        <v>0</v>
      </c>
      <c r="ADM16" s="16">
        <f t="shared" si="27"/>
        <v>0</v>
      </c>
      <c r="AEI16" s="16">
        <f t="shared" si="28"/>
        <v>0</v>
      </c>
    </row>
    <row r="17" spans="2:815" x14ac:dyDescent="0.25">
      <c r="B17" s="2" t="s">
        <v>40</v>
      </c>
      <c r="C17" t="s">
        <v>41</v>
      </c>
      <c r="D17">
        <v>48</v>
      </c>
      <c r="E17" t="s">
        <v>8</v>
      </c>
      <c r="F17" t="s">
        <v>9</v>
      </c>
      <c r="G17" t="s">
        <v>9</v>
      </c>
      <c r="H17" t="s">
        <v>249</v>
      </c>
      <c r="I17" t="s">
        <v>15</v>
      </c>
      <c r="J17" t="s">
        <v>9</v>
      </c>
      <c r="K17" t="s">
        <v>1198</v>
      </c>
      <c r="L17" t="s">
        <v>303</v>
      </c>
      <c r="P17" s="11">
        <v>36862</v>
      </c>
      <c r="Q17" s="11">
        <v>36862</v>
      </c>
      <c r="R17" t="s">
        <v>1133</v>
      </c>
      <c r="S17" t="s">
        <v>1197</v>
      </c>
      <c r="T17" t="s">
        <v>1195</v>
      </c>
      <c r="V17" t="s">
        <v>1194</v>
      </c>
      <c r="W17" t="s">
        <v>1196</v>
      </c>
      <c r="BA17" s="16">
        <f t="shared" si="0"/>
        <v>0</v>
      </c>
      <c r="CB17" s="16">
        <f t="shared" si="1"/>
        <v>0</v>
      </c>
      <c r="DE17" s="16">
        <f t="shared" si="2"/>
        <v>0</v>
      </c>
      <c r="DS17" s="16">
        <f t="shared" si="3"/>
        <v>0</v>
      </c>
      <c r="EF17" s="16">
        <f t="shared" si="4"/>
        <v>0</v>
      </c>
      <c r="FI17" s="16">
        <f t="shared" si="5"/>
        <v>0</v>
      </c>
      <c r="FJ17">
        <v>75</v>
      </c>
      <c r="HY17" s="16">
        <f t="shared" si="6"/>
        <v>1</v>
      </c>
      <c r="HZ17">
        <v>193</v>
      </c>
      <c r="KM17" s="16">
        <f t="shared" si="7"/>
        <v>1</v>
      </c>
      <c r="LZ17">
        <v>158</v>
      </c>
      <c r="MZ17" s="16">
        <f t="shared" si="8"/>
        <v>1</v>
      </c>
      <c r="OQ17" s="16">
        <f t="shared" si="9"/>
        <v>0</v>
      </c>
      <c r="OW17" s="33">
        <f t="shared" si="10"/>
        <v>0</v>
      </c>
      <c r="RD17" s="16">
        <f t="shared" si="11"/>
        <v>0</v>
      </c>
      <c r="RU17" s="16">
        <f t="shared" si="12"/>
        <v>0</v>
      </c>
      <c r="UE17" s="16">
        <f t="shared" si="13"/>
        <v>0</v>
      </c>
      <c r="VJ17" s="16">
        <f t="shared" si="14"/>
        <v>0</v>
      </c>
      <c r="WM17" s="16">
        <f t="shared" si="15"/>
        <v>0</v>
      </c>
      <c r="XH17" s="16">
        <f t="shared" si="16"/>
        <v>0</v>
      </c>
      <c r="YD17" s="16">
        <f t="shared" si="17"/>
        <v>0</v>
      </c>
      <c r="YX17" s="16">
        <f t="shared" si="18"/>
        <v>0</v>
      </c>
      <c r="ZR17" s="16">
        <f t="shared" si="19"/>
        <v>0</v>
      </c>
      <c r="ZX17" s="16">
        <f t="shared" si="20"/>
        <v>0</v>
      </c>
      <c r="AAT17" s="16">
        <f t="shared" si="21"/>
        <v>0</v>
      </c>
      <c r="ABQ17" s="16">
        <f t="shared" si="22"/>
        <v>0</v>
      </c>
      <c r="ABV17" s="16">
        <f t="shared" si="23"/>
        <v>0</v>
      </c>
      <c r="ACC17" s="16">
        <f t="shared" si="24"/>
        <v>0</v>
      </c>
      <c r="ACQ17" s="16">
        <f t="shared" si="25"/>
        <v>0</v>
      </c>
      <c r="ADA17" s="16">
        <f t="shared" si="26"/>
        <v>0</v>
      </c>
      <c r="ADM17" s="16">
        <f t="shared" si="27"/>
        <v>0</v>
      </c>
      <c r="AEI17" s="16">
        <f t="shared" si="28"/>
        <v>0</v>
      </c>
    </row>
    <row r="18" spans="2:815" x14ac:dyDescent="0.25">
      <c r="B18" s="4" t="s">
        <v>42</v>
      </c>
      <c r="D18">
        <v>14</v>
      </c>
      <c r="E18" t="s">
        <v>8</v>
      </c>
      <c r="F18" t="s">
        <v>15</v>
      </c>
      <c r="G18" t="s">
        <v>15</v>
      </c>
      <c r="I18" t="s">
        <v>15</v>
      </c>
      <c r="J18" t="s">
        <v>9</v>
      </c>
      <c r="L18" t="s">
        <v>303</v>
      </c>
      <c r="P18" s="11">
        <v>37005</v>
      </c>
      <c r="Q18" s="11">
        <v>37005</v>
      </c>
      <c r="R18" t="s">
        <v>1133</v>
      </c>
      <c r="S18" t="s">
        <v>1199</v>
      </c>
      <c r="BA18" s="16">
        <f t="shared" si="0"/>
        <v>0</v>
      </c>
      <c r="CB18" s="16">
        <f t="shared" si="1"/>
        <v>0</v>
      </c>
      <c r="DE18" s="16">
        <f t="shared" si="2"/>
        <v>0</v>
      </c>
      <c r="DS18" s="16">
        <f t="shared" si="3"/>
        <v>0</v>
      </c>
      <c r="EF18" s="16">
        <f t="shared" si="4"/>
        <v>0</v>
      </c>
      <c r="FI18" s="16">
        <f t="shared" si="5"/>
        <v>0</v>
      </c>
      <c r="HY18" s="16">
        <f t="shared" si="6"/>
        <v>0</v>
      </c>
      <c r="KM18" s="16">
        <f t="shared" si="7"/>
        <v>0</v>
      </c>
      <c r="MZ18" s="16">
        <f t="shared" si="8"/>
        <v>0</v>
      </c>
      <c r="OQ18" s="16">
        <f t="shared" si="9"/>
        <v>0</v>
      </c>
      <c r="OW18" s="33">
        <f t="shared" si="10"/>
        <v>0</v>
      </c>
      <c r="RD18" s="16">
        <f t="shared" si="11"/>
        <v>0</v>
      </c>
      <c r="RU18" s="16">
        <f t="shared" si="12"/>
        <v>0</v>
      </c>
      <c r="UE18" s="16">
        <f t="shared" si="13"/>
        <v>0</v>
      </c>
      <c r="VJ18" s="16">
        <f t="shared" si="14"/>
        <v>0</v>
      </c>
      <c r="WM18" s="16">
        <f t="shared" si="15"/>
        <v>0</v>
      </c>
      <c r="XH18" s="16">
        <f t="shared" si="16"/>
        <v>0</v>
      </c>
      <c r="YD18" s="16">
        <f t="shared" si="17"/>
        <v>0</v>
      </c>
      <c r="YX18" s="16">
        <f t="shared" si="18"/>
        <v>0</v>
      </c>
      <c r="ZR18" s="16">
        <f t="shared" si="19"/>
        <v>0</v>
      </c>
      <c r="ZX18" s="16">
        <f t="shared" si="20"/>
        <v>0</v>
      </c>
      <c r="AAT18" s="16">
        <f t="shared" si="21"/>
        <v>0</v>
      </c>
      <c r="ABQ18" s="16">
        <f t="shared" si="22"/>
        <v>0</v>
      </c>
      <c r="ABV18" s="16">
        <f t="shared" si="23"/>
        <v>0</v>
      </c>
      <c r="ACC18" s="16">
        <f t="shared" si="24"/>
        <v>0</v>
      </c>
      <c r="ACQ18" s="16">
        <f t="shared" si="25"/>
        <v>0</v>
      </c>
      <c r="ADA18" s="16">
        <f t="shared" si="26"/>
        <v>0</v>
      </c>
      <c r="ADM18" s="16">
        <f t="shared" si="27"/>
        <v>0</v>
      </c>
      <c r="AEI18" s="16">
        <f t="shared" si="28"/>
        <v>0</v>
      </c>
    </row>
    <row r="19" spans="2:815" x14ac:dyDescent="0.25">
      <c r="B19" s="2" t="s">
        <v>43</v>
      </c>
      <c r="D19">
        <v>12</v>
      </c>
      <c r="E19" t="s">
        <v>8</v>
      </c>
      <c r="F19" t="s">
        <v>9</v>
      </c>
      <c r="G19" t="s">
        <v>15</v>
      </c>
      <c r="H19" t="s">
        <v>1202</v>
      </c>
      <c r="I19" t="s">
        <v>15</v>
      </c>
      <c r="J19" t="s">
        <v>9</v>
      </c>
      <c r="L19" t="s">
        <v>1200</v>
      </c>
      <c r="M19">
        <v>20</v>
      </c>
      <c r="R19" t="s">
        <v>1133</v>
      </c>
      <c r="S19" t="s">
        <v>1153</v>
      </c>
      <c r="W19" t="s">
        <v>1201</v>
      </c>
      <c r="BA19" s="16">
        <f t="shared" si="0"/>
        <v>0</v>
      </c>
      <c r="CB19" s="16">
        <f t="shared" si="1"/>
        <v>0</v>
      </c>
      <c r="DE19" s="16">
        <f t="shared" si="2"/>
        <v>0</v>
      </c>
      <c r="DS19" s="16">
        <f t="shared" si="3"/>
        <v>0</v>
      </c>
      <c r="EF19" s="16">
        <f t="shared" si="4"/>
        <v>0</v>
      </c>
      <c r="FI19" s="16">
        <f t="shared" si="5"/>
        <v>0</v>
      </c>
      <c r="HY19" s="16">
        <f t="shared" si="6"/>
        <v>0</v>
      </c>
      <c r="KM19" s="16">
        <f t="shared" si="7"/>
        <v>0</v>
      </c>
      <c r="MZ19" s="16">
        <f t="shared" si="8"/>
        <v>0</v>
      </c>
      <c r="OQ19" s="16">
        <f t="shared" si="9"/>
        <v>0</v>
      </c>
      <c r="OW19" s="33">
        <f t="shared" si="10"/>
        <v>0</v>
      </c>
      <c r="RD19" s="16">
        <f t="shared" si="11"/>
        <v>0</v>
      </c>
      <c r="RU19" s="16">
        <f t="shared" si="12"/>
        <v>0</v>
      </c>
      <c r="UE19" s="16">
        <f t="shared" si="13"/>
        <v>0</v>
      </c>
      <c r="VJ19" s="16">
        <f t="shared" si="14"/>
        <v>0</v>
      </c>
      <c r="WM19" s="16">
        <f t="shared" si="15"/>
        <v>0</v>
      </c>
      <c r="XH19" s="16">
        <f t="shared" si="16"/>
        <v>0</v>
      </c>
      <c r="YD19" s="16">
        <f t="shared" si="17"/>
        <v>0</v>
      </c>
      <c r="YX19" s="16">
        <f t="shared" si="18"/>
        <v>0</v>
      </c>
      <c r="ZR19" s="16">
        <f t="shared" si="19"/>
        <v>0</v>
      </c>
      <c r="ZX19" s="16">
        <f t="shared" si="20"/>
        <v>0</v>
      </c>
      <c r="AAT19" s="16">
        <f t="shared" si="21"/>
        <v>0</v>
      </c>
      <c r="ABQ19" s="16">
        <f t="shared" si="22"/>
        <v>0</v>
      </c>
      <c r="ABV19" s="16">
        <f t="shared" si="23"/>
        <v>0</v>
      </c>
      <c r="ACC19" s="16">
        <f t="shared" si="24"/>
        <v>0</v>
      </c>
      <c r="ACQ19" s="16">
        <f t="shared" si="25"/>
        <v>0</v>
      </c>
      <c r="ADA19" s="16">
        <f t="shared" si="26"/>
        <v>0</v>
      </c>
      <c r="ADM19" s="16">
        <f t="shared" si="27"/>
        <v>0</v>
      </c>
      <c r="AEI19" s="16">
        <f t="shared" si="28"/>
        <v>0</v>
      </c>
    </row>
    <row r="20" spans="2:815" x14ac:dyDescent="0.25">
      <c r="B20" s="2" t="s">
        <v>44</v>
      </c>
      <c r="C20" t="s">
        <v>45</v>
      </c>
      <c r="D20">
        <v>61</v>
      </c>
      <c r="E20" t="s">
        <v>8</v>
      </c>
      <c r="F20" t="s">
        <v>15</v>
      </c>
      <c r="G20" t="s">
        <v>9</v>
      </c>
      <c r="H20" t="s">
        <v>253</v>
      </c>
      <c r="I20" t="s">
        <v>15</v>
      </c>
      <c r="J20" t="s">
        <v>9</v>
      </c>
      <c r="L20" t="s">
        <v>303</v>
      </c>
      <c r="M20">
        <v>52</v>
      </c>
      <c r="N20">
        <v>170</v>
      </c>
      <c r="O20">
        <v>18</v>
      </c>
      <c r="R20" t="s">
        <v>1203</v>
      </c>
      <c r="S20" t="s">
        <v>1204</v>
      </c>
      <c r="T20" t="s">
        <v>1205</v>
      </c>
      <c r="V20" t="s">
        <v>1206</v>
      </c>
      <c r="BA20" s="16">
        <f t="shared" si="0"/>
        <v>0</v>
      </c>
      <c r="CB20" s="16">
        <f t="shared" si="1"/>
        <v>0</v>
      </c>
      <c r="DE20" s="16">
        <f t="shared" si="2"/>
        <v>0</v>
      </c>
      <c r="DS20" s="16">
        <f t="shared" si="3"/>
        <v>0</v>
      </c>
      <c r="EF20" s="16">
        <f t="shared" si="4"/>
        <v>0</v>
      </c>
      <c r="FI20" s="16">
        <f t="shared" si="5"/>
        <v>0</v>
      </c>
      <c r="FJ20">
        <v>25</v>
      </c>
      <c r="HY20" s="16">
        <f t="shared" si="6"/>
        <v>1</v>
      </c>
      <c r="HZ20">
        <v>44</v>
      </c>
      <c r="KM20" s="16">
        <f t="shared" si="7"/>
        <v>1</v>
      </c>
      <c r="KN20">
        <v>129</v>
      </c>
      <c r="MY20">
        <v>39</v>
      </c>
      <c r="MZ20" s="16">
        <f t="shared" si="8"/>
        <v>2</v>
      </c>
      <c r="OQ20" s="16">
        <f t="shared" si="9"/>
        <v>0</v>
      </c>
      <c r="OW20" s="33">
        <f t="shared" si="10"/>
        <v>0</v>
      </c>
      <c r="RD20" s="16">
        <f t="shared" si="11"/>
        <v>0</v>
      </c>
      <c r="RE20" t="s">
        <v>526</v>
      </c>
      <c r="RT20" t="s">
        <v>528</v>
      </c>
      <c r="RU20" s="16">
        <f t="shared" si="12"/>
        <v>2</v>
      </c>
      <c r="UE20" s="16">
        <f t="shared" si="13"/>
        <v>0</v>
      </c>
      <c r="VJ20" s="16">
        <f t="shared" si="14"/>
        <v>0</v>
      </c>
      <c r="WM20" s="16">
        <f t="shared" si="15"/>
        <v>0</v>
      </c>
      <c r="XH20" s="16">
        <f t="shared" si="16"/>
        <v>0</v>
      </c>
      <c r="YD20" s="16">
        <f t="shared" si="17"/>
        <v>0</v>
      </c>
      <c r="YX20" s="16">
        <f t="shared" si="18"/>
        <v>0</v>
      </c>
      <c r="ZR20" s="16">
        <f t="shared" si="19"/>
        <v>0</v>
      </c>
      <c r="ZX20" s="16">
        <f t="shared" si="20"/>
        <v>0</v>
      </c>
      <c r="AAT20" s="16">
        <f t="shared" si="21"/>
        <v>0</v>
      </c>
      <c r="ABQ20" s="16">
        <f t="shared" si="22"/>
        <v>0</v>
      </c>
      <c r="ABV20" s="16">
        <f t="shared" si="23"/>
        <v>0</v>
      </c>
      <c r="ACC20" s="16">
        <f t="shared" si="24"/>
        <v>0</v>
      </c>
      <c r="ACQ20" s="16">
        <f t="shared" si="25"/>
        <v>0</v>
      </c>
      <c r="ADA20" s="16">
        <f t="shared" si="26"/>
        <v>0</v>
      </c>
      <c r="ADM20" s="16">
        <f t="shared" si="27"/>
        <v>0</v>
      </c>
      <c r="AEI20" s="16">
        <f t="shared" si="28"/>
        <v>0</v>
      </c>
    </row>
    <row r="21" spans="2:815" x14ac:dyDescent="0.25">
      <c r="B21" s="2" t="s">
        <v>46</v>
      </c>
      <c r="C21" t="s">
        <v>47</v>
      </c>
      <c r="D21">
        <v>41</v>
      </c>
      <c r="E21" t="s">
        <v>14</v>
      </c>
      <c r="F21" t="s">
        <v>9</v>
      </c>
      <c r="G21" t="s">
        <v>9</v>
      </c>
      <c r="H21" t="s">
        <v>255</v>
      </c>
      <c r="I21" t="s">
        <v>243</v>
      </c>
      <c r="J21" t="s">
        <v>9</v>
      </c>
      <c r="K21" t="s">
        <v>256</v>
      </c>
      <c r="L21" t="s">
        <v>1211</v>
      </c>
      <c r="M21">
        <v>60</v>
      </c>
      <c r="N21">
        <v>177</v>
      </c>
      <c r="O21" t="s">
        <v>1078</v>
      </c>
      <c r="P21" t="s">
        <v>1208</v>
      </c>
      <c r="Q21" t="s">
        <v>1209</v>
      </c>
      <c r="R21" t="s">
        <v>1207</v>
      </c>
      <c r="S21" t="s">
        <v>1210</v>
      </c>
      <c r="T21" t="s">
        <v>1212</v>
      </c>
      <c r="U21" t="s">
        <v>1213</v>
      </c>
      <c r="BA21" s="16">
        <f t="shared" si="0"/>
        <v>0</v>
      </c>
      <c r="CB21" s="16">
        <f t="shared" si="1"/>
        <v>0</v>
      </c>
      <c r="DE21" s="16">
        <f t="shared" si="2"/>
        <v>0</v>
      </c>
      <c r="DS21" s="16">
        <f t="shared" si="3"/>
        <v>0</v>
      </c>
      <c r="EF21" s="16">
        <f t="shared" si="4"/>
        <v>0</v>
      </c>
      <c r="FI21" s="16">
        <f t="shared" si="5"/>
        <v>0</v>
      </c>
      <c r="FJ21">
        <v>20</v>
      </c>
      <c r="FK21">
        <v>29</v>
      </c>
      <c r="HY21" s="16">
        <f t="shared" si="6"/>
        <v>2</v>
      </c>
      <c r="HZ21" t="s">
        <v>714</v>
      </c>
      <c r="KM21" s="16">
        <f t="shared" si="7"/>
        <v>1</v>
      </c>
      <c r="KN21">
        <v>41</v>
      </c>
      <c r="KO21">
        <v>38</v>
      </c>
      <c r="MZ21" s="16">
        <f t="shared" si="8"/>
        <v>2</v>
      </c>
      <c r="OQ21" s="16">
        <f t="shared" si="9"/>
        <v>0</v>
      </c>
      <c r="OW21" s="33">
        <f t="shared" si="10"/>
        <v>0</v>
      </c>
      <c r="RD21" s="16">
        <f t="shared" si="11"/>
        <v>0</v>
      </c>
      <c r="RU21" s="16">
        <f t="shared" si="12"/>
        <v>0</v>
      </c>
      <c r="UE21" s="16">
        <f t="shared" si="13"/>
        <v>0</v>
      </c>
      <c r="VJ21" s="16">
        <f t="shared" si="14"/>
        <v>0</v>
      </c>
      <c r="VK21" t="s">
        <v>529</v>
      </c>
      <c r="WM21" s="16">
        <f t="shared" si="15"/>
        <v>1</v>
      </c>
      <c r="XH21" s="16">
        <f t="shared" si="16"/>
        <v>0</v>
      </c>
      <c r="YD21" s="16">
        <f t="shared" si="17"/>
        <v>0</v>
      </c>
      <c r="YX21" s="16">
        <f t="shared" si="18"/>
        <v>0</v>
      </c>
      <c r="ZR21" s="16">
        <f t="shared" si="19"/>
        <v>0</v>
      </c>
      <c r="ZX21" s="16">
        <f t="shared" si="20"/>
        <v>0</v>
      </c>
      <c r="AAT21" s="16">
        <f t="shared" si="21"/>
        <v>0</v>
      </c>
      <c r="ABQ21" s="16">
        <f t="shared" si="22"/>
        <v>0</v>
      </c>
      <c r="ABV21" s="16">
        <f t="shared" si="23"/>
        <v>0</v>
      </c>
      <c r="ACC21" s="16">
        <f t="shared" si="24"/>
        <v>0</v>
      </c>
      <c r="ACH21" s="10">
        <v>0.72299999999999998</v>
      </c>
      <c r="ACQ21" s="16">
        <f t="shared" si="25"/>
        <v>1</v>
      </c>
      <c r="ACR21" t="s">
        <v>533</v>
      </c>
      <c r="ACS21" t="s">
        <v>534</v>
      </c>
      <c r="ACT21" t="s">
        <v>535</v>
      </c>
      <c r="ACU21" t="s">
        <v>537</v>
      </c>
      <c r="ADA21" s="16">
        <f t="shared" si="26"/>
        <v>0</v>
      </c>
      <c r="ADM21" s="16">
        <f t="shared" si="27"/>
        <v>0</v>
      </c>
      <c r="AEI21" s="16">
        <f t="shared" si="28"/>
        <v>0</v>
      </c>
    </row>
    <row r="22" spans="2:815" x14ac:dyDescent="0.25">
      <c r="B22" s="3" t="s">
        <v>48</v>
      </c>
      <c r="C22" t="s">
        <v>49</v>
      </c>
      <c r="D22">
        <v>61</v>
      </c>
      <c r="E22" t="s">
        <v>8</v>
      </c>
      <c r="F22" t="s">
        <v>9</v>
      </c>
      <c r="G22" t="s">
        <v>15</v>
      </c>
      <c r="H22" t="s">
        <v>249</v>
      </c>
      <c r="I22" t="s">
        <v>243</v>
      </c>
      <c r="J22" t="s">
        <v>9</v>
      </c>
      <c r="L22" t="s">
        <v>1215</v>
      </c>
      <c r="S22" t="s">
        <v>1216</v>
      </c>
      <c r="W22" t="s">
        <v>1214</v>
      </c>
      <c r="BA22" s="16">
        <f t="shared" si="0"/>
        <v>0</v>
      </c>
      <c r="CB22" s="16">
        <f t="shared" si="1"/>
        <v>0</v>
      </c>
      <c r="DE22" s="16">
        <f t="shared" si="2"/>
        <v>0</v>
      </c>
      <c r="DS22" s="16">
        <f t="shared" si="3"/>
        <v>0</v>
      </c>
      <c r="EF22" s="16">
        <f t="shared" si="4"/>
        <v>0</v>
      </c>
      <c r="FI22" s="16">
        <f t="shared" si="5"/>
        <v>0</v>
      </c>
      <c r="HY22" s="16">
        <f t="shared" si="6"/>
        <v>0</v>
      </c>
      <c r="KM22" s="16">
        <f t="shared" si="7"/>
        <v>0</v>
      </c>
      <c r="MZ22" s="16">
        <f t="shared" si="8"/>
        <v>0</v>
      </c>
      <c r="OQ22" s="16">
        <f t="shared" si="9"/>
        <v>0</v>
      </c>
      <c r="OW22" s="33">
        <f t="shared" si="10"/>
        <v>0</v>
      </c>
      <c r="RD22" s="16">
        <f t="shared" si="11"/>
        <v>0</v>
      </c>
      <c r="RU22" s="16">
        <f t="shared" si="12"/>
        <v>0</v>
      </c>
      <c r="UE22" s="16">
        <f t="shared" si="13"/>
        <v>0</v>
      </c>
      <c r="VJ22" s="16">
        <f t="shared" si="14"/>
        <v>0</v>
      </c>
      <c r="WM22" s="16">
        <f t="shared" si="15"/>
        <v>0</v>
      </c>
      <c r="XH22" s="16">
        <f t="shared" si="16"/>
        <v>0</v>
      </c>
      <c r="YD22" s="16">
        <f t="shared" si="17"/>
        <v>0</v>
      </c>
      <c r="YX22" s="16">
        <f t="shared" si="18"/>
        <v>0</v>
      </c>
      <c r="ZR22" s="16">
        <f t="shared" si="19"/>
        <v>0</v>
      </c>
      <c r="ZX22" s="16">
        <f t="shared" si="20"/>
        <v>0</v>
      </c>
      <c r="AAT22" s="16">
        <f t="shared" si="21"/>
        <v>0</v>
      </c>
      <c r="ABQ22" s="16">
        <f t="shared" si="22"/>
        <v>0</v>
      </c>
      <c r="ABV22" s="16">
        <f t="shared" si="23"/>
        <v>0</v>
      </c>
      <c r="ACC22" s="16">
        <f t="shared" si="24"/>
        <v>0</v>
      </c>
      <c r="ACQ22" s="16">
        <f t="shared" si="25"/>
        <v>0</v>
      </c>
      <c r="ADA22" s="16">
        <f t="shared" si="26"/>
        <v>0</v>
      </c>
      <c r="ADM22" s="16">
        <f t="shared" si="27"/>
        <v>0</v>
      </c>
      <c r="AEI22" s="16">
        <f t="shared" si="28"/>
        <v>0</v>
      </c>
    </row>
    <row r="23" spans="2:815" x14ac:dyDescent="0.25">
      <c r="B23" s="2" t="s">
        <v>50</v>
      </c>
      <c r="C23" t="s">
        <v>51</v>
      </c>
      <c r="D23">
        <v>40</v>
      </c>
      <c r="E23" t="s">
        <v>14</v>
      </c>
      <c r="F23" t="s">
        <v>9</v>
      </c>
      <c r="G23" t="s">
        <v>9</v>
      </c>
      <c r="H23" t="s">
        <v>249</v>
      </c>
      <c r="I23" t="s">
        <v>243</v>
      </c>
      <c r="J23" t="s">
        <v>257</v>
      </c>
      <c r="K23" t="s">
        <v>1222</v>
      </c>
      <c r="L23" t="s">
        <v>307</v>
      </c>
      <c r="P23" s="11">
        <v>37333</v>
      </c>
      <c r="Q23" s="11">
        <v>37337</v>
      </c>
      <c r="R23" t="s">
        <v>1375</v>
      </c>
      <c r="S23" t="s">
        <v>1219</v>
      </c>
      <c r="V23" t="s">
        <v>1221</v>
      </c>
      <c r="W23" t="s">
        <v>1220</v>
      </c>
      <c r="BA23" s="16">
        <f t="shared" si="0"/>
        <v>0</v>
      </c>
      <c r="CB23" s="16">
        <f t="shared" si="1"/>
        <v>0</v>
      </c>
      <c r="DE23" s="16">
        <f t="shared" si="2"/>
        <v>0</v>
      </c>
      <c r="DS23" s="16">
        <f t="shared" si="3"/>
        <v>0</v>
      </c>
      <c r="EF23" s="16">
        <f t="shared" si="4"/>
        <v>0</v>
      </c>
      <c r="EG23" t="s">
        <v>538</v>
      </c>
      <c r="FI23" s="16">
        <f t="shared" si="5"/>
        <v>1</v>
      </c>
      <c r="FJ23" t="s">
        <v>539</v>
      </c>
      <c r="FQ23">
        <v>1.85</v>
      </c>
      <c r="GL23">
        <v>1.6</v>
      </c>
      <c r="HY23" s="16">
        <f t="shared" si="6"/>
        <v>3</v>
      </c>
      <c r="HZ23">
        <v>2.89</v>
      </c>
      <c r="IF23">
        <v>2.83</v>
      </c>
      <c r="JA23">
        <v>4.2</v>
      </c>
      <c r="KM23" s="16">
        <f t="shared" si="7"/>
        <v>3</v>
      </c>
      <c r="KR23">
        <v>7.24</v>
      </c>
      <c r="LM23">
        <v>13.9</v>
      </c>
      <c r="MZ23" s="16">
        <f t="shared" si="8"/>
        <v>2</v>
      </c>
      <c r="OQ23" s="16">
        <f t="shared" si="9"/>
        <v>0</v>
      </c>
      <c r="OW23" s="33">
        <f t="shared" si="10"/>
        <v>0</v>
      </c>
      <c r="OX23" t="s">
        <v>540</v>
      </c>
      <c r="PD23">
        <v>96.5</v>
      </c>
      <c r="PZ23">
        <v>28.6</v>
      </c>
      <c r="RD23" s="16">
        <f t="shared" si="11"/>
        <v>3</v>
      </c>
      <c r="RU23" s="16">
        <f t="shared" si="12"/>
        <v>0</v>
      </c>
      <c r="SB23">
        <v>10.9</v>
      </c>
      <c r="SW23">
        <v>21.4</v>
      </c>
      <c r="UE23" s="16">
        <f t="shared" si="13"/>
        <v>2</v>
      </c>
      <c r="VJ23" s="16">
        <f t="shared" si="14"/>
        <v>0</v>
      </c>
      <c r="WM23" s="16">
        <f t="shared" si="15"/>
        <v>0</v>
      </c>
      <c r="XH23" s="16">
        <f t="shared" si="16"/>
        <v>0</v>
      </c>
      <c r="YD23" s="16">
        <f t="shared" si="17"/>
        <v>0</v>
      </c>
      <c r="YX23" s="16">
        <f t="shared" si="18"/>
        <v>0</v>
      </c>
      <c r="YY23">
        <v>237.3</v>
      </c>
      <c r="ZR23" s="16">
        <f t="shared" si="19"/>
        <v>1</v>
      </c>
      <c r="ZX23" s="16">
        <f t="shared" si="20"/>
        <v>0</v>
      </c>
      <c r="AAT23" s="16">
        <f t="shared" si="21"/>
        <v>0</v>
      </c>
      <c r="ABQ23" s="16">
        <f t="shared" si="22"/>
        <v>0</v>
      </c>
      <c r="ABV23" s="16">
        <f t="shared" si="23"/>
        <v>0</v>
      </c>
      <c r="ACC23" s="16">
        <f t="shared" si="24"/>
        <v>0</v>
      </c>
      <c r="ACQ23" s="16">
        <f t="shared" si="25"/>
        <v>0</v>
      </c>
      <c r="ADA23" s="16">
        <f t="shared" si="26"/>
        <v>0</v>
      </c>
      <c r="ADM23" s="16">
        <f t="shared" si="27"/>
        <v>0</v>
      </c>
      <c r="AEI23" s="16">
        <f t="shared" si="28"/>
        <v>0</v>
      </c>
    </row>
    <row r="24" spans="2:815" x14ac:dyDescent="0.25">
      <c r="B24" s="4" t="s">
        <v>52</v>
      </c>
      <c r="D24">
        <v>12</v>
      </c>
      <c r="E24" t="s">
        <v>8</v>
      </c>
      <c r="F24" t="s">
        <v>9</v>
      </c>
      <c r="G24" t="s">
        <v>15</v>
      </c>
      <c r="H24" t="s">
        <v>1226</v>
      </c>
      <c r="J24" t="s">
        <v>257</v>
      </c>
      <c r="K24" t="s">
        <v>258</v>
      </c>
      <c r="L24" t="s">
        <v>1224</v>
      </c>
      <c r="S24" t="s">
        <v>1225</v>
      </c>
      <c r="W24" t="s">
        <v>1223</v>
      </c>
      <c r="BA24" s="16">
        <f t="shared" si="0"/>
        <v>0</v>
      </c>
      <c r="CB24" s="16">
        <f t="shared" si="1"/>
        <v>0</v>
      </c>
      <c r="DE24" s="16">
        <f t="shared" si="2"/>
        <v>0</v>
      </c>
      <c r="DS24" s="16">
        <f t="shared" si="3"/>
        <v>0</v>
      </c>
      <c r="EF24" s="16">
        <f t="shared" si="4"/>
        <v>0</v>
      </c>
      <c r="FI24" s="16">
        <f t="shared" si="5"/>
        <v>0</v>
      </c>
      <c r="HY24" s="16">
        <f t="shared" si="6"/>
        <v>0</v>
      </c>
      <c r="KM24" s="16">
        <f t="shared" si="7"/>
        <v>0</v>
      </c>
      <c r="MZ24" s="16">
        <f t="shared" si="8"/>
        <v>0</v>
      </c>
      <c r="OQ24" s="16">
        <f t="shared" si="9"/>
        <v>0</v>
      </c>
      <c r="OW24" s="33">
        <f t="shared" si="10"/>
        <v>0</v>
      </c>
      <c r="RD24" s="16">
        <f t="shared" si="11"/>
        <v>0</v>
      </c>
      <c r="RU24" s="16">
        <f t="shared" si="12"/>
        <v>0</v>
      </c>
      <c r="UE24" s="16">
        <f t="shared" si="13"/>
        <v>0</v>
      </c>
      <c r="VJ24" s="16">
        <f t="shared" si="14"/>
        <v>0</v>
      </c>
      <c r="WM24" s="16">
        <f t="shared" si="15"/>
        <v>0</v>
      </c>
      <c r="XH24" s="16">
        <f t="shared" si="16"/>
        <v>0</v>
      </c>
      <c r="YD24" s="16">
        <f t="shared" si="17"/>
        <v>0</v>
      </c>
      <c r="YX24" s="16">
        <f t="shared" si="18"/>
        <v>0</v>
      </c>
      <c r="ZR24" s="16">
        <f t="shared" si="19"/>
        <v>0</v>
      </c>
      <c r="ZX24" s="16">
        <f t="shared" si="20"/>
        <v>0</v>
      </c>
      <c r="AAT24" s="16">
        <f t="shared" si="21"/>
        <v>0</v>
      </c>
      <c r="ABQ24" s="16">
        <f t="shared" si="22"/>
        <v>0</v>
      </c>
      <c r="ABV24" s="16">
        <f t="shared" si="23"/>
        <v>0</v>
      </c>
      <c r="ACC24" s="16">
        <f t="shared" si="24"/>
        <v>0</v>
      </c>
      <c r="ACQ24" s="16">
        <f t="shared" si="25"/>
        <v>0</v>
      </c>
      <c r="ADA24" s="16">
        <f t="shared" si="26"/>
        <v>0</v>
      </c>
      <c r="ADM24" s="16">
        <f t="shared" si="27"/>
        <v>0</v>
      </c>
      <c r="AEI24" s="16">
        <f t="shared" si="28"/>
        <v>0</v>
      </c>
    </row>
    <row r="25" spans="2:815" x14ac:dyDescent="0.25">
      <c r="B25" s="2" t="s">
        <v>53</v>
      </c>
      <c r="C25" t="s">
        <v>54</v>
      </c>
      <c r="D25">
        <v>15</v>
      </c>
      <c r="E25" t="s">
        <v>8</v>
      </c>
      <c r="F25" t="s">
        <v>15</v>
      </c>
      <c r="G25" t="s">
        <v>9</v>
      </c>
      <c r="H25" t="s">
        <v>255</v>
      </c>
      <c r="I25" t="s">
        <v>243</v>
      </c>
      <c r="J25" t="s">
        <v>257</v>
      </c>
      <c r="K25" t="s">
        <v>1229</v>
      </c>
      <c r="L25" t="s">
        <v>308</v>
      </c>
      <c r="N25">
        <v>165</v>
      </c>
      <c r="P25" s="11">
        <v>37360</v>
      </c>
      <c r="Q25" s="11">
        <v>37360</v>
      </c>
      <c r="R25" t="s">
        <v>1133</v>
      </c>
      <c r="S25" t="s">
        <v>1227</v>
      </c>
      <c r="W25" t="s">
        <v>1228</v>
      </c>
      <c r="BA25" s="16">
        <f t="shared" si="0"/>
        <v>0</v>
      </c>
      <c r="CB25" s="16">
        <f t="shared" si="1"/>
        <v>0</v>
      </c>
      <c r="DE25" s="16">
        <f t="shared" si="2"/>
        <v>0</v>
      </c>
      <c r="DS25" s="16">
        <f t="shared" si="3"/>
        <v>0</v>
      </c>
      <c r="EF25" s="16">
        <f t="shared" si="4"/>
        <v>0</v>
      </c>
      <c r="FI25" s="16">
        <f t="shared" si="5"/>
        <v>0</v>
      </c>
      <c r="FJ25">
        <v>302</v>
      </c>
      <c r="HY25" s="16">
        <f t="shared" si="6"/>
        <v>1</v>
      </c>
      <c r="HZ25">
        <v>523</v>
      </c>
      <c r="IQ25">
        <v>77</v>
      </c>
      <c r="KM25" s="16">
        <f t="shared" si="7"/>
        <v>2</v>
      </c>
      <c r="KN25">
        <v>128</v>
      </c>
      <c r="MZ25" s="16">
        <f t="shared" si="8"/>
        <v>1</v>
      </c>
      <c r="NA25">
        <v>346</v>
      </c>
      <c r="OQ25" s="16">
        <f t="shared" si="9"/>
        <v>1</v>
      </c>
      <c r="OW25" s="33">
        <f t="shared" si="10"/>
        <v>0</v>
      </c>
      <c r="OX25" t="s">
        <v>542</v>
      </c>
      <c r="RD25" s="16">
        <f t="shared" si="11"/>
        <v>1</v>
      </c>
      <c r="RU25" s="16">
        <f t="shared" si="12"/>
        <v>0</v>
      </c>
      <c r="RV25">
        <v>328</v>
      </c>
      <c r="UE25" s="16">
        <f t="shared" si="13"/>
        <v>1</v>
      </c>
      <c r="VJ25" s="16">
        <f t="shared" si="14"/>
        <v>0</v>
      </c>
      <c r="WM25" s="16">
        <f t="shared" si="15"/>
        <v>0</v>
      </c>
      <c r="XH25" s="16">
        <f t="shared" si="16"/>
        <v>0</v>
      </c>
      <c r="YD25" s="16">
        <f t="shared" si="17"/>
        <v>0</v>
      </c>
      <c r="YX25" s="16">
        <f t="shared" si="18"/>
        <v>0</v>
      </c>
      <c r="ZR25" s="16">
        <f t="shared" si="19"/>
        <v>0</v>
      </c>
      <c r="ZX25" s="16">
        <f t="shared" si="20"/>
        <v>0</v>
      </c>
      <c r="AAT25" s="16">
        <f t="shared" si="21"/>
        <v>0</v>
      </c>
      <c r="ABQ25" s="16">
        <f t="shared" si="22"/>
        <v>0</v>
      </c>
      <c r="ABV25" s="16">
        <f t="shared" si="23"/>
        <v>0</v>
      </c>
      <c r="ACC25" s="16">
        <f t="shared" si="24"/>
        <v>0</v>
      </c>
      <c r="ACQ25" s="16">
        <f t="shared" si="25"/>
        <v>0</v>
      </c>
      <c r="ADA25" s="16">
        <f t="shared" si="26"/>
        <v>0</v>
      </c>
      <c r="ADM25" s="16">
        <f t="shared" si="27"/>
        <v>0</v>
      </c>
      <c r="AEI25" s="16">
        <f t="shared" si="28"/>
        <v>0</v>
      </c>
    </row>
    <row r="26" spans="2:815" x14ac:dyDescent="0.25">
      <c r="B26" s="6" t="s">
        <v>55</v>
      </c>
      <c r="C26" t="s">
        <v>56</v>
      </c>
      <c r="D26">
        <v>18</v>
      </c>
      <c r="E26" t="s">
        <v>14</v>
      </c>
      <c r="F26" t="s">
        <v>15</v>
      </c>
      <c r="G26" t="s">
        <v>15</v>
      </c>
      <c r="H26" t="s">
        <v>259</v>
      </c>
      <c r="I26" t="s">
        <v>243</v>
      </c>
      <c r="J26" t="s">
        <v>15</v>
      </c>
      <c r="L26" t="s">
        <v>309</v>
      </c>
      <c r="M26">
        <v>92</v>
      </c>
      <c r="N26">
        <v>171</v>
      </c>
      <c r="O26" t="s">
        <v>635</v>
      </c>
      <c r="R26" t="s">
        <v>1231</v>
      </c>
      <c r="S26" t="s">
        <v>1230</v>
      </c>
      <c r="BA26" s="16">
        <f t="shared" si="0"/>
        <v>0</v>
      </c>
      <c r="CB26" s="16">
        <f t="shared" si="1"/>
        <v>0</v>
      </c>
      <c r="DE26" s="16">
        <f t="shared" si="2"/>
        <v>0</v>
      </c>
      <c r="DS26" s="16">
        <f t="shared" si="3"/>
        <v>0</v>
      </c>
      <c r="EF26" s="16">
        <f t="shared" si="4"/>
        <v>0</v>
      </c>
      <c r="FI26" s="16">
        <f t="shared" si="5"/>
        <v>0</v>
      </c>
      <c r="HY26" s="16">
        <f t="shared" si="6"/>
        <v>0</v>
      </c>
      <c r="KM26" s="16">
        <f t="shared" si="7"/>
        <v>0</v>
      </c>
      <c r="MZ26" s="16">
        <f t="shared" si="8"/>
        <v>0</v>
      </c>
      <c r="OQ26" s="16">
        <f t="shared" si="9"/>
        <v>0</v>
      </c>
      <c r="OW26" s="33">
        <f t="shared" si="10"/>
        <v>0</v>
      </c>
      <c r="RD26" s="16">
        <f t="shared" si="11"/>
        <v>0</v>
      </c>
      <c r="RU26" s="16">
        <f t="shared" si="12"/>
        <v>0</v>
      </c>
      <c r="UE26" s="16">
        <f t="shared" si="13"/>
        <v>0</v>
      </c>
      <c r="VJ26" s="16">
        <f t="shared" si="14"/>
        <v>0</v>
      </c>
      <c r="WM26" s="16">
        <f t="shared" si="15"/>
        <v>0</v>
      </c>
      <c r="XH26" s="16">
        <f t="shared" si="16"/>
        <v>0</v>
      </c>
      <c r="YD26" s="16">
        <f t="shared" si="17"/>
        <v>0</v>
      </c>
      <c r="YX26" s="16">
        <f t="shared" si="18"/>
        <v>0</v>
      </c>
      <c r="ZR26" s="16">
        <f t="shared" si="19"/>
        <v>0</v>
      </c>
      <c r="ZX26" s="16">
        <f t="shared" si="20"/>
        <v>0</v>
      </c>
      <c r="AAT26" s="16">
        <f t="shared" si="21"/>
        <v>0</v>
      </c>
      <c r="ABQ26" s="16">
        <f t="shared" si="22"/>
        <v>0</v>
      </c>
      <c r="ABV26" s="16">
        <f t="shared" si="23"/>
        <v>0</v>
      </c>
      <c r="ACC26" s="16">
        <f t="shared" si="24"/>
        <v>0</v>
      </c>
      <c r="ACQ26" s="16">
        <f t="shared" si="25"/>
        <v>0</v>
      </c>
      <c r="ADA26" s="16">
        <f t="shared" si="26"/>
        <v>0</v>
      </c>
      <c r="ADM26" s="16">
        <f t="shared" si="27"/>
        <v>0</v>
      </c>
      <c r="AEI26" s="16">
        <f t="shared" si="28"/>
        <v>0</v>
      </c>
    </row>
    <row r="27" spans="2:815" x14ac:dyDescent="0.25">
      <c r="B27" s="2" t="s">
        <v>57</v>
      </c>
      <c r="C27" t="s">
        <v>58</v>
      </c>
      <c r="D27">
        <v>24</v>
      </c>
      <c r="E27" t="s">
        <v>8</v>
      </c>
      <c r="F27" t="s">
        <v>9</v>
      </c>
      <c r="G27" t="s">
        <v>9</v>
      </c>
      <c r="H27" t="s">
        <v>260</v>
      </c>
      <c r="I27" t="s">
        <v>15</v>
      </c>
      <c r="J27" t="s">
        <v>15</v>
      </c>
      <c r="L27" t="s">
        <v>1235</v>
      </c>
      <c r="M27">
        <v>33.5</v>
      </c>
      <c r="P27" t="s">
        <v>1237</v>
      </c>
      <c r="Q27" s="11" t="s">
        <v>1239</v>
      </c>
      <c r="R27" t="s">
        <v>1238</v>
      </c>
      <c r="S27" t="s">
        <v>1236</v>
      </c>
      <c r="T27" t="s">
        <v>1233</v>
      </c>
      <c r="U27" t="s">
        <v>1234</v>
      </c>
      <c r="V27" t="s">
        <v>1240</v>
      </c>
      <c r="W27" t="s">
        <v>1241</v>
      </c>
      <c r="Y27" t="s">
        <v>1232</v>
      </c>
      <c r="BA27" s="16">
        <f t="shared" si="0"/>
        <v>0</v>
      </c>
      <c r="CB27" s="16">
        <f t="shared" si="1"/>
        <v>0</v>
      </c>
      <c r="DE27" s="16">
        <f t="shared" si="2"/>
        <v>0</v>
      </c>
      <c r="DS27" s="16">
        <f t="shared" si="3"/>
        <v>0</v>
      </c>
      <c r="EF27" s="16">
        <f t="shared" si="4"/>
        <v>0</v>
      </c>
      <c r="FI27" s="16">
        <f t="shared" si="5"/>
        <v>0</v>
      </c>
      <c r="HY27" s="16">
        <f t="shared" si="6"/>
        <v>0</v>
      </c>
      <c r="KM27" s="16">
        <f t="shared" si="7"/>
        <v>0</v>
      </c>
      <c r="MZ27" s="16">
        <f t="shared" si="8"/>
        <v>0</v>
      </c>
      <c r="OQ27" s="16">
        <f t="shared" si="9"/>
        <v>0</v>
      </c>
      <c r="OW27" s="33">
        <f t="shared" si="10"/>
        <v>0</v>
      </c>
      <c r="RD27" s="16">
        <f t="shared" si="11"/>
        <v>0</v>
      </c>
      <c r="RU27" s="16">
        <f t="shared" si="12"/>
        <v>0</v>
      </c>
      <c r="UE27" s="16">
        <f t="shared" si="13"/>
        <v>0</v>
      </c>
      <c r="VJ27" s="16">
        <f t="shared" si="14"/>
        <v>0</v>
      </c>
      <c r="WM27" s="16">
        <f t="shared" si="15"/>
        <v>0</v>
      </c>
      <c r="XH27" s="16">
        <f t="shared" si="16"/>
        <v>0</v>
      </c>
      <c r="YD27" s="16">
        <f t="shared" si="17"/>
        <v>0</v>
      </c>
      <c r="YX27" s="16">
        <f t="shared" si="18"/>
        <v>0</v>
      </c>
      <c r="ZR27" s="16">
        <f t="shared" si="19"/>
        <v>0</v>
      </c>
      <c r="ZX27" s="16">
        <f t="shared" si="20"/>
        <v>0</v>
      </c>
      <c r="AAT27" s="16">
        <f t="shared" si="21"/>
        <v>0</v>
      </c>
      <c r="ABQ27" s="16">
        <f t="shared" si="22"/>
        <v>0</v>
      </c>
      <c r="ABR27" t="s">
        <v>2017</v>
      </c>
      <c r="ABV27" s="16">
        <f t="shared" si="23"/>
        <v>1</v>
      </c>
      <c r="ABW27" t="s">
        <v>715</v>
      </c>
      <c r="ACC27" s="16">
        <f t="shared" si="24"/>
        <v>1</v>
      </c>
      <c r="ACQ27" s="16">
        <f t="shared" si="25"/>
        <v>0</v>
      </c>
      <c r="ADA27" s="16">
        <f t="shared" si="26"/>
        <v>0</v>
      </c>
      <c r="ADM27" s="16">
        <f t="shared" si="27"/>
        <v>0</v>
      </c>
      <c r="AEI27" s="16">
        <f t="shared" si="28"/>
        <v>0</v>
      </c>
    </row>
    <row r="28" spans="2:815" x14ac:dyDescent="0.25">
      <c r="B28" s="3" t="s">
        <v>59</v>
      </c>
      <c r="E28" t="s">
        <v>14</v>
      </c>
      <c r="F28" t="s">
        <v>9</v>
      </c>
      <c r="G28" t="s">
        <v>9</v>
      </c>
      <c r="H28" t="s">
        <v>1246</v>
      </c>
      <c r="I28" t="s">
        <v>15</v>
      </c>
      <c r="J28" t="s">
        <v>9</v>
      </c>
      <c r="L28" t="s">
        <v>1200</v>
      </c>
      <c r="Q28" s="14">
        <v>37500</v>
      </c>
      <c r="R28" t="s">
        <v>1244</v>
      </c>
      <c r="S28" t="s">
        <v>1243</v>
      </c>
      <c r="V28" t="s">
        <v>1245</v>
      </c>
      <c r="W28" t="s">
        <v>1242</v>
      </c>
      <c r="BA28" s="16">
        <f t="shared" si="0"/>
        <v>0</v>
      </c>
      <c r="CB28" s="16">
        <f t="shared" si="1"/>
        <v>0</v>
      </c>
      <c r="DE28" s="16">
        <f t="shared" si="2"/>
        <v>0</v>
      </c>
      <c r="DS28" s="16">
        <f t="shared" si="3"/>
        <v>0</v>
      </c>
      <c r="EF28" s="16">
        <f t="shared" si="4"/>
        <v>0</v>
      </c>
      <c r="FI28" s="16">
        <f t="shared" si="5"/>
        <v>0</v>
      </c>
      <c r="HY28" s="16">
        <f t="shared" si="6"/>
        <v>0</v>
      </c>
      <c r="HZ28" t="s">
        <v>716</v>
      </c>
      <c r="KM28" s="16">
        <f t="shared" si="7"/>
        <v>1</v>
      </c>
      <c r="MZ28" s="16">
        <f t="shared" si="8"/>
        <v>0</v>
      </c>
      <c r="OQ28" s="16">
        <f t="shared" si="9"/>
        <v>0</v>
      </c>
      <c r="OW28" s="33">
        <f t="shared" si="10"/>
        <v>0</v>
      </c>
      <c r="OX28">
        <v>102</v>
      </c>
      <c r="RD28" s="16">
        <f t="shared" si="11"/>
        <v>1</v>
      </c>
      <c r="RU28" s="16">
        <f t="shared" si="12"/>
        <v>0</v>
      </c>
      <c r="UE28" s="16">
        <f t="shared" si="13"/>
        <v>0</v>
      </c>
      <c r="VJ28" s="16">
        <f t="shared" si="14"/>
        <v>0</v>
      </c>
      <c r="WM28" s="16">
        <f t="shared" si="15"/>
        <v>0</v>
      </c>
      <c r="XH28" s="16">
        <f t="shared" si="16"/>
        <v>0</v>
      </c>
      <c r="YD28" s="16">
        <f t="shared" si="17"/>
        <v>0</v>
      </c>
      <c r="YX28" s="16">
        <f t="shared" si="18"/>
        <v>0</v>
      </c>
      <c r="ZR28" s="16">
        <f t="shared" si="19"/>
        <v>0</v>
      </c>
      <c r="ZX28" s="16">
        <f t="shared" si="20"/>
        <v>0</v>
      </c>
      <c r="AAT28" s="16">
        <f t="shared" si="21"/>
        <v>0</v>
      </c>
      <c r="ABQ28" s="16">
        <f t="shared" si="22"/>
        <v>0</v>
      </c>
      <c r="ABV28" s="16">
        <f t="shared" si="23"/>
        <v>0</v>
      </c>
      <c r="ACC28" s="16">
        <f t="shared" si="24"/>
        <v>0</v>
      </c>
      <c r="ACQ28" s="16">
        <f t="shared" si="25"/>
        <v>0</v>
      </c>
      <c r="ADA28" s="16">
        <f t="shared" si="26"/>
        <v>0</v>
      </c>
      <c r="ADM28" s="16">
        <f t="shared" si="27"/>
        <v>0</v>
      </c>
      <c r="AEI28" s="16">
        <f t="shared" si="28"/>
        <v>0</v>
      </c>
    </row>
    <row r="29" spans="2:815" x14ac:dyDescent="0.25">
      <c r="B29" s="2" t="s">
        <v>60</v>
      </c>
      <c r="C29" t="s">
        <v>61</v>
      </c>
      <c r="D29">
        <v>36</v>
      </c>
      <c r="E29" t="s">
        <v>8</v>
      </c>
      <c r="F29" t="s">
        <v>9</v>
      </c>
      <c r="G29" t="s">
        <v>9</v>
      </c>
      <c r="H29" t="s">
        <v>261</v>
      </c>
      <c r="I29" t="s">
        <v>15</v>
      </c>
      <c r="J29" t="s">
        <v>9</v>
      </c>
      <c r="K29" t="s">
        <v>1249</v>
      </c>
      <c r="L29" t="s">
        <v>312</v>
      </c>
      <c r="M29">
        <v>74</v>
      </c>
      <c r="N29">
        <v>175</v>
      </c>
      <c r="O29" t="s">
        <v>1036</v>
      </c>
      <c r="P29" s="11">
        <v>37329</v>
      </c>
      <c r="Q29" s="11">
        <v>37333</v>
      </c>
      <c r="R29" t="s">
        <v>1218</v>
      </c>
      <c r="S29" t="s">
        <v>1153</v>
      </c>
      <c r="T29" t="s">
        <v>1247</v>
      </c>
      <c r="W29" t="s">
        <v>1248</v>
      </c>
      <c r="BA29" s="16">
        <f t="shared" si="0"/>
        <v>0</v>
      </c>
      <c r="BB29">
        <v>114</v>
      </c>
      <c r="CB29" s="16">
        <f t="shared" si="1"/>
        <v>1</v>
      </c>
      <c r="CC29">
        <v>31</v>
      </c>
      <c r="DE29" s="16">
        <f t="shared" si="2"/>
        <v>1</v>
      </c>
      <c r="DG29">
        <v>441</v>
      </c>
      <c r="DS29" s="16">
        <f t="shared" si="3"/>
        <v>1</v>
      </c>
      <c r="EF29" s="16">
        <f t="shared" si="4"/>
        <v>0</v>
      </c>
      <c r="FI29" s="16">
        <f t="shared" si="5"/>
        <v>0</v>
      </c>
      <c r="FJ29">
        <v>7</v>
      </c>
      <c r="HY29" s="16">
        <f t="shared" si="6"/>
        <v>1</v>
      </c>
      <c r="HZ29">
        <v>8</v>
      </c>
      <c r="KM29" s="16">
        <f t="shared" si="7"/>
        <v>1</v>
      </c>
      <c r="KN29">
        <v>5</v>
      </c>
      <c r="MZ29" s="16">
        <f t="shared" si="8"/>
        <v>1</v>
      </c>
      <c r="NA29">
        <v>153</v>
      </c>
      <c r="OQ29" s="16">
        <f t="shared" si="9"/>
        <v>1</v>
      </c>
      <c r="OR29" s="32" t="s">
        <v>548</v>
      </c>
      <c r="OW29" s="33">
        <f t="shared" si="10"/>
        <v>1</v>
      </c>
      <c r="OX29" t="s">
        <v>1674</v>
      </c>
      <c r="RD29" s="16">
        <f t="shared" si="11"/>
        <v>1</v>
      </c>
      <c r="RU29" s="16">
        <f t="shared" si="12"/>
        <v>0</v>
      </c>
      <c r="UE29" s="16">
        <f t="shared" si="13"/>
        <v>0</v>
      </c>
      <c r="UF29">
        <v>5100</v>
      </c>
      <c r="VJ29" s="16">
        <f t="shared" si="14"/>
        <v>1</v>
      </c>
      <c r="VK29" t="s">
        <v>543</v>
      </c>
      <c r="WM29" s="16">
        <f t="shared" si="15"/>
        <v>1</v>
      </c>
      <c r="XH29" s="16">
        <f t="shared" si="16"/>
        <v>0</v>
      </c>
      <c r="YD29" s="16">
        <f t="shared" si="17"/>
        <v>0</v>
      </c>
      <c r="YX29" s="16">
        <f t="shared" si="18"/>
        <v>0</v>
      </c>
      <c r="ZR29" s="16">
        <f t="shared" si="19"/>
        <v>0</v>
      </c>
      <c r="ZW29" t="s">
        <v>547</v>
      </c>
      <c r="ZX29" s="16">
        <f t="shared" si="20"/>
        <v>1</v>
      </c>
      <c r="AAT29" s="16">
        <f t="shared" si="21"/>
        <v>0</v>
      </c>
      <c r="AAU29">
        <v>340</v>
      </c>
      <c r="ABQ29" s="16">
        <f t="shared" si="22"/>
        <v>1</v>
      </c>
      <c r="ABV29" s="16">
        <f t="shared" si="23"/>
        <v>0</v>
      </c>
      <c r="ACC29" s="16">
        <f t="shared" si="24"/>
        <v>0</v>
      </c>
      <c r="ACQ29" s="16">
        <f t="shared" si="25"/>
        <v>0</v>
      </c>
      <c r="ACV29" t="s">
        <v>546</v>
      </c>
      <c r="ADA29" s="16">
        <f t="shared" si="26"/>
        <v>1</v>
      </c>
      <c r="ADM29" s="16">
        <f t="shared" si="27"/>
        <v>0</v>
      </c>
      <c r="AEI29" s="16">
        <f t="shared" si="28"/>
        <v>0</v>
      </c>
    </row>
    <row r="30" spans="2:815" x14ac:dyDescent="0.25">
      <c r="B30" s="2" t="s">
        <v>62</v>
      </c>
      <c r="C30" t="s">
        <v>63</v>
      </c>
      <c r="D30">
        <v>48</v>
      </c>
      <c r="E30" t="s">
        <v>14</v>
      </c>
      <c r="F30" t="s">
        <v>9</v>
      </c>
      <c r="G30" t="s">
        <v>9</v>
      </c>
      <c r="H30" t="s">
        <v>262</v>
      </c>
      <c r="I30" t="s">
        <v>15</v>
      </c>
      <c r="J30" t="s">
        <v>9</v>
      </c>
      <c r="K30" t="s">
        <v>263</v>
      </c>
      <c r="L30" t="s">
        <v>1253</v>
      </c>
      <c r="M30">
        <v>87</v>
      </c>
      <c r="N30">
        <v>185</v>
      </c>
      <c r="O30" t="s">
        <v>1079</v>
      </c>
      <c r="P30" s="11">
        <v>37515</v>
      </c>
      <c r="Q30" s="11">
        <v>37517</v>
      </c>
      <c r="R30" t="s">
        <v>1299</v>
      </c>
      <c r="S30" t="s">
        <v>1250</v>
      </c>
      <c r="U30" t="s">
        <v>1251</v>
      </c>
      <c r="W30" t="s">
        <v>1252</v>
      </c>
      <c r="Z30">
        <v>1.0900000000000001</v>
      </c>
      <c r="BA30" s="16">
        <f t="shared" si="0"/>
        <v>1</v>
      </c>
      <c r="BB30">
        <v>74</v>
      </c>
      <c r="BC30">
        <v>110</v>
      </c>
      <c r="CB30" s="16">
        <f t="shared" si="1"/>
        <v>2</v>
      </c>
      <c r="CC30" t="s">
        <v>1741</v>
      </c>
      <c r="CD30" t="s">
        <v>346</v>
      </c>
      <c r="DE30" s="16">
        <f t="shared" si="2"/>
        <v>2</v>
      </c>
      <c r="DS30" s="16">
        <f t="shared" si="3"/>
        <v>0</v>
      </c>
      <c r="DT30">
        <v>105</v>
      </c>
      <c r="DW30">
        <v>139</v>
      </c>
      <c r="EF30" s="16">
        <f t="shared" si="4"/>
        <v>2</v>
      </c>
      <c r="FI30" s="16">
        <f t="shared" si="5"/>
        <v>0</v>
      </c>
      <c r="FJ30" t="s">
        <v>1780</v>
      </c>
      <c r="FK30" t="s">
        <v>1779</v>
      </c>
      <c r="HY30" s="16">
        <f t="shared" si="6"/>
        <v>2</v>
      </c>
      <c r="HZ30" t="s">
        <v>1792</v>
      </c>
      <c r="IA30" t="s">
        <v>1793</v>
      </c>
      <c r="IB30" t="s">
        <v>1791</v>
      </c>
      <c r="KM30" s="16">
        <f t="shared" si="7"/>
        <v>3</v>
      </c>
      <c r="KN30" t="s">
        <v>459</v>
      </c>
      <c r="KO30" t="s">
        <v>1803</v>
      </c>
      <c r="MZ30" s="16">
        <f t="shared" si="8"/>
        <v>2</v>
      </c>
      <c r="NA30" t="s">
        <v>526</v>
      </c>
      <c r="NB30" t="s">
        <v>1812</v>
      </c>
      <c r="OQ30" s="16">
        <f t="shared" si="9"/>
        <v>2</v>
      </c>
      <c r="OW30" s="33">
        <f t="shared" si="10"/>
        <v>0</v>
      </c>
      <c r="OX30">
        <v>135</v>
      </c>
      <c r="RD30" s="16">
        <f t="shared" si="11"/>
        <v>1</v>
      </c>
      <c r="RE30">
        <v>1833</v>
      </c>
      <c r="RF30">
        <v>1950</v>
      </c>
      <c r="RG30">
        <v>481</v>
      </c>
      <c r="RU30" s="16">
        <f t="shared" si="12"/>
        <v>3</v>
      </c>
      <c r="RV30" t="s">
        <v>1850</v>
      </c>
      <c r="RW30" t="s">
        <v>1848</v>
      </c>
      <c r="RX30" t="s">
        <v>1849</v>
      </c>
      <c r="UE30" s="16">
        <f t="shared" si="13"/>
        <v>3</v>
      </c>
      <c r="UF30" t="s">
        <v>1861</v>
      </c>
      <c r="UG30" t="s">
        <v>1860</v>
      </c>
      <c r="VJ30" s="16">
        <f t="shared" si="14"/>
        <v>2</v>
      </c>
      <c r="VK30">
        <v>74</v>
      </c>
      <c r="VL30">
        <v>90</v>
      </c>
      <c r="WM30" s="16">
        <f t="shared" si="15"/>
        <v>2</v>
      </c>
      <c r="XH30" s="16">
        <f t="shared" si="16"/>
        <v>0</v>
      </c>
      <c r="XJ30" t="s">
        <v>1901</v>
      </c>
      <c r="XK30" t="s">
        <v>1900</v>
      </c>
      <c r="YD30" s="16">
        <f t="shared" si="17"/>
        <v>2</v>
      </c>
      <c r="YE30" t="s">
        <v>1911</v>
      </c>
      <c r="YF30" t="s">
        <v>1910</v>
      </c>
      <c r="YX30" s="16">
        <f t="shared" si="18"/>
        <v>2</v>
      </c>
      <c r="ZR30" s="16">
        <f t="shared" si="19"/>
        <v>0</v>
      </c>
      <c r="ZX30" s="16">
        <f t="shared" si="20"/>
        <v>0</v>
      </c>
      <c r="AAT30" s="16">
        <f t="shared" si="21"/>
        <v>0</v>
      </c>
      <c r="ABQ30" s="16">
        <f t="shared" si="22"/>
        <v>0</v>
      </c>
      <c r="ABV30" s="16">
        <f t="shared" si="23"/>
        <v>0</v>
      </c>
      <c r="ACC30" s="16">
        <f t="shared" si="24"/>
        <v>0</v>
      </c>
      <c r="ACQ30" s="16">
        <f t="shared" si="25"/>
        <v>0</v>
      </c>
      <c r="ADA30" s="16">
        <f t="shared" si="26"/>
        <v>0</v>
      </c>
      <c r="ADM30" s="16">
        <f t="shared" si="27"/>
        <v>0</v>
      </c>
      <c r="AEI30" s="16">
        <f t="shared" si="28"/>
        <v>0</v>
      </c>
    </row>
    <row r="31" spans="2:815" x14ac:dyDescent="0.25">
      <c r="B31" s="3" t="s">
        <v>64</v>
      </c>
      <c r="E31" t="s">
        <v>8</v>
      </c>
      <c r="F31" t="s">
        <v>9</v>
      </c>
      <c r="G31" t="s">
        <v>15</v>
      </c>
      <c r="I31" t="s">
        <v>9</v>
      </c>
      <c r="J31" t="s">
        <v>9</v>
      </c>
      <c r="L31" t="s">
        <v>311</v>
      </c>
      <c r="W31" t="s">
        <v>1254</v>
      </c>
      <c r="Y31" s="15"/>
      <c r="BA31" s="16">
        <f t="shared" si="0"/>
        <v>0</v>
      </c>
      <c r="CB31" s="16">
        <f t="shared" si="1"/>
        <v>0</v>
      </c>
      <c r="DE31" s="16">
        <f t="shared" si="2"/>
        <v>0</v>
      </c>
      <c r="DS31" s="16">
        <f t="shared" si="3"/>
        <v>0</v>
      </c>
      <c r="EF31" s="16">
        <f t="shared" si="4"/>
        <v>0</v>
      </c>
      <c r="FI31" s="16">
        <f t="shared" si="5"/>
        <v>0</v>
      </c>
      <c r="HY31" s="16">
        <f t="shared" si="6"/>
        <v>0</v>
      </c>
      <c r="KM31" s="16">
        <f t="shared" si="7"/>
        <v>0</v>
      </c>
      <c r="MZ31" s="16">
        <f t="shared" si="8"/>
        <v>0</v>
      </c>
      <c r="OQ31" s="16">
        <f t="shared" si="9"/>
        <v>0</v>
      </c>
      <c r="OW31" s="33">
        <f t="shared" si="10"/>
        <v>0</v>
      </c>
      <c r="RD31" s="16">
        <f t="shared" si="11"/>
        <v>0</v>
      </c>
      <c r="RU31" s="16">
        <f t="shared" si="12"/>
        <v>0</v>
      </c>
      <c r="UE31" s="16">
        <f t="shared" si="13"/>
        <v>0</v>
      </c>
      <c r="VJ31" s="16">
        <f t="shared" si="14"/>
        <v>0</v>
      </c>
      <c r="WM31" s="16">
        <f t="shared" si="15"/>
        <v>0</v>
      </c>
      <c r="XH31" s="16">
        <f t="shared" si="16"/>
        <v>0</v>
      </c>
      <c r="YD31" s="16">
        <f t="shared" si="17"/>
        <v>0</v>
      </c>
      <c r="YX31" s="16">
        <f t="shared" si="18"/>
        <v>0</v>
      </c>
      <c r="ZR31" s="16">
        <f t="shared" si="19"/>
        <v>0</v>
      </c>
      <c r="ZX31" s="16">
        <f t="shared" si="20"/>
        <v>0</v>
      </c>
      <c r="AAT31" s="16">
        <f t="shared" si="21"/>
        <v>0</v>
      </c>
      <c r="ABQ31" s="16">
        <f t="shared" si="22"/>
        <v>0</v>
      </c>
      <c r="ABV31" s="16">
        <f t="shared" si="23"/>
        <v>0</v>
      </c>
      <c r="ACC31" s="16">
        <f t="shared" si="24"/>
        <v>0</v>
      </c>
      <c r="ACQ31" s="16">
        <f t="shared" si="25"/>
        <v>0</v>
      </c>
      <c r="ADA31" s="16">
        <f t="shared" si="26"/>
        <v>0</v>
      </c>
      <c r="ADM31" s="16">
        <f t="shared" si="27"/>
        <v>0</v>
      </c>
      <c r="AEI31" s="16">
        <f t="shared" si="28"/>
        <v>0</v>
      </c>
    </row>
    <row r="32" spans="2:815" x14ac:dyDescent="0.25">
      <c r="B32" s="3" t="s">
        <v>65</v>
      </c>
      <c r="D32">
        <v>8</v>
      </c>
      <c r="E32" t="s">
        <v>14</v>
      </c>
      <c r="F32" t="s">
        <v>9</v>
      </c>
      <c r="G32" t="s">
        <v>9</v>
      </c>
      <c r="I32" t="s">
        <v>15</v>
      </c>
      <c r="J32" t="s">
        <v>9</v>
      </c>
      <c r="L32" t="s">
        <v>550</v>
      </c>
      <c r="U32" t="s">
        <v>1255</v>
      </c>
      <c r="Z32" t="s">
        <v>549</v>
      </c>
      <c r="BA32" s="16">
        <f t="shared" si="0"/>
        <v>1</v>
      </c>
      <c r="CB32" s="16">
        <f t="shared" si="1"/>
        <v>0</v>
      </c>
      <c r="DE32" s="16">
        <f t="shared" si="2"/>
        <v>0</v>
      </c>
      <c r="DS32" s="16">
        <f t="shared" si="3"/>
        <v>0</v>
      </c>
      <c r="EF32" s="16">
        <f t="shared" si="4"/>
        <v>0</v>
      </c>
      <c r="FI32" s="16">
        <f t="shared" si="5"/>
        <v>0</v>
      </c>
      <c r="HY32" s="16">
        <f t="shared" si="6"/>
        <v>0</v>
      </c>
      <c r="KM32" s="16">
        <f t="shared" si="7"/>
        <v>0</v>
      </c>
      <c r="MZ32" s="16">
        <f t="shared" si="8"/>
        <v>0</v>
      </c>
      <c r="OQ32" s="16">
        <f t="shared" si="9"/>
        <v>0</v>
      </c>
      <c r="OW32" s="33">
        <f t="shared" si="10"/>
        <v>0</v>
      </c>
      <c r="RD32" s="16">
        <f t="shared" si="11"/>
        <v>0</v>
      </c>
      <c r="RU32" s="16">
        <f t="shared" si="12"/>
        <v>0</v>
      </c>
      <c r="UE32" s="16">
        <f t="shared" si="13"/>
        <v>0</v>
      </c>
      <c r="VJ32" s="16">
        <f t="shared" si="14"/>
        <v>0</v>
      </c>
      <c r="WM32" s="16">
        <f t="shared" si="15"/>
        <v>0</v>
      </c>
      <c r="XH32" s="16">
        <f t="shared" si="16"/>
        <v>0</v>
      </c>
      <c r="YD32" s="16">
        <f t="shared" si="17"/>
        <v>0</v>
      </c>
      <c r="YX32" s="16">
        <f t="shared" si="18"/>
        <v>0</v>
      </c>
      <c r="ZR32" s="16">
        <f t="shared" si="19"/>
        <v>0</v>
      </c>
      <c r="ZX32" s="16">
        <f t="shared" si="20"/>
        <v>0</v>
      </c>
      <c r="AAT32" s="16">
        <f t="shared" si="21"/>
        <v>0</v>
      </c>
      <c r="ABQ32" s="16">
        <f t="shared" si="22"/>
        <v>0</v>
      </c>
      <c r="ABV32" s="16">
        <f t="shared" si="23"/>
        <v>0</v>
      </c>
      <c r="ACC32" s="16">
        <f t="shared" si="24"/>
        <v>0</v>
      </c>
      <c r="ACQ32" s="16">
        <f t="shared" si="25"/>
        <v>0</v>
      </c>
      <c r="ADA32" s="16">
        <f t="shared" si="26"/>
        <v>0</v>
      </c>
      <c r="ADM32" s="16">
        <f t="shared" si="27"/>
        <v>0</v>
      </c>
      <c r="AEI32" s="16">
        <f t="shared" si="28"/>
        <v>0</v>
      </c>
    </row>
    <row r="33" spans="1:815" x14ac:dyDescent="0.25">
      <c r="B33" s="2" t="s">
        <v>66</v>
      </c>
      <c r="C33" t="s">
        <v>67</v>
      </c>
      <c r="D33">
        <v>23</v>
      </c>
      <c r="E33" t="s">
        <v>14</v>
      </c>
      <c r="F33" t="s">
        <v>9</v>
      </c>
      <c r="G33" t="s">
        <v>9</v>
      </c>
      <c r="H33" t="s">
        <v>264</v>
      </c>
      <c r="I33" t="s">
        <v>15</v>
      </c>
      <c r="J33" t="s">
        <v>9</v>
      </c>
      <c r="K33" t="s">
        <v>256</v>
      </c>
      <c r="L33" t="s">
        <v>303</v>
      </c>
      <c r="M33">
        <v>68</v>
      </c>
      <c r="N33">
        <v>172</v>
      </c>
      <c r="O33">
        <v>23</v>
      </c>
      <c r="R33" t="s">
        <v>1218</v>
      </c>
      <c r="S33" t="s">
        <v>1258</v>
      </c>
      <c r="T33" t="s">
        <v>1257</v>
      </c>
      <c r="U33" t="s">
        <v>1260</v>
      </c>
      <c r="W33" t="s">
        <v>1259</v>
      </c>
      <c r="Z33">
        <v>105</v>
      </c>
      <c r="AQ33">
        <v>56</v>
      </c>
      <c r="AR33">
        <v>37</v>
      </c>
      <c r="BA33" s="16">
        <f t="shared" si="0"/>
        <v>3</v>
      </c>
      <c r="BB33">
        <v>105</v>
      </c>
      <c r="BF33">
        <v>73</v>
      </c>
      <c r="BG33">
        <v>82</v>
      </c>
      <c r="BP33">
        <v>23</v>
      </c>
      <c r="BQ33">
        <v>64</v>
      </c>
      <c r="BR33">
        <v>91</v>
      </c>
      <c r="BU33">
        <v>93</v>
      </c>
      <c r="CB33" s="16">
        <f t="shared" si="1"/>
        <v>7</v>
      </c>
      <c r="CC33">
        <v>28</v>
      </c>
      <c r="CG33">
        <v>26</v>
      </c>
      <c r="CH33">
        <v>27</v>
      </c>
      <c r="CS33">
        <v>36</v>
      </c>
      <c r="CT33">
        <v>27</v>
      </c>
      <c r="CU33">
        <v>24</v>
      </c>
      <c r="DE33" s="16">
        <f t="shared" si="2"/>
        <v>6</v>
      </c>
      <c r="DG33">
        <v>493</v>
      </c>
      <c r="DI33">
        <v>325</v>
      </c>
      <c r="DJ33">
        <v>517</v>
      </c>
      <c r="DP33">
        <v>604</v>
      </c>
      <c r="DQ33">
        <v>547</v>
      </c>
      <c r="DR33">
        <v>524</v>
      </c>
      <c r="DS33" s="16">
        <f t="shared" si="3"/>
        <v>6</v>
      </c>
      <c r="DT33" s="7"/>
      <c r="EC33" s="7">
        <v>1.03</v>
      </c>
      <c r="ED33" s="7"/>
      <c r="EE33" s="7"/>
      <c r="EF33" s="16">
        <f t="shared" si="4"/>
        <v>1</v>
      </c>
      <c r="EG33">
        <v>7100</v>
      </c>
      <c r="EL33">
        <v>10000</v>
      </c>
      <c r="EN33">
        <v>16600</v>
      </c>
      <c r="ER33">
        <v>11300</v>
      </c>
      <c r="EW33">
        <v>10200</v>
      </c>
      <c r="FB33">
        <v>11500</v>
      </c>
      <c r="FC33">
        <v>13300</v>
      </c>
      <c r="FH33">
        <v>11000</v>
      </c>
      <c r="FI33" s="16">
        <f t="shared" si="5"/>
        <v>8</v>
      </c>
      <c r="FJ33">
        <v>19</v>
      </c>
      <c r="GG33">
        <v>127</v>
      </c>
      <c r="GH33">
        <v>66</v>
      </c>
      <c r="HY33" s="16">
        <f t="shared" si="6"/>
        <v>3</v>
      </c>
      <c r="HZ33">
        <v>7</v>
      </c>
      <c r="IV33">
        <v>138</v>
      </c>
      <c r="IW33">
        <v>110</v>
      </c>
      <c r="KM33" s="16">
        <f t="shared" si="7"/>
        <v>3</v>
      </c>
      <c r="KN33">
        <v>17</v>
      </c>
      <c r="LH33">
        <v>298</v>
      </c>
      <c r="LI33">
        <v>269</v>
      </c>
      <c r="LO33">
        <v>153</v>
      </c>
      <c r="MZ33" s="16">
        <f t="shared" si="8"/>
        <v>4</v>
      </c>
      <c r="NA33">
        <v>193</v>
      </c>
      <c r="NT33">
        <v>269</v>
      </c>
      <c r="NU33">
        <v>188</v>
      </c>
      <c r="OQ33" s="16">
        <f t="shared" si="9"/>
        <v>3</v>
      </c>
      <c r="OW33" s="33">
        <f t="shared" si="10"/>
        <v>0</v>
      </c>
      <c r="OX33" t="s">
        <v>1674</v>
      </c>
      <c r="OY33" t="s">
        <v>553</v>
      </c>
      <c r="PD33" t="s">
        <v>378</v>
      </c>
      <c r="PF33" t="s">
        <v>1675</v>
      </c>
      <c r="PU33" t="s">
        <v>1674</v>
      </c>
      <c r="PV33" t="s">
        <v>353</v>
      </c>
      <c r="RD33" s="16">
        <f t="shared" si="11"/>
        <v>6</v>
      </c>
      <c r="RU33" s="16">
        <f t="shared" si="12"/>
        <v>0</v>
      </c>
      <c r="RV33">
        <v>75</v>
      </c>
      <c r="SR33">
        <v>111</v>
      </c>
      <c r="SS33">
        <v>106</v>
      </c>
      <c r="UE33" s="16">
        <f t="shared" si="13"/>
        <v>3</v>
      </c>
      <c r="UV33" t="s">
        <v>602</v>
      </c>
      <c r="VJ33" s="16">
        <f t="shared" si="14"/>
        <v>1</v>
      </c>
      <c r="VK33" t="s">
        <v>551</v>
      </c>
      <c r="VP33" t="s">
        <v>558</v>
      </c>
      <c r="VQ33" t="s">
        <v>551</v>
      </c>
      <c r="VU33" t="s">
        <v>575</v>
      </c>
      <c r="VZ33">
        <v>132</v>
      </c>
      <c r="WC33">
        <v>88</v>
      </c>
      <c r="WD33" t="s">
        <v>595</v>
      </c>
      <c r="WE33" t="s">
        <v>595</v>
      </c>
      <c r="WM33" s="16">
        <f t="shared" si="15"/>
        <v>8</v>
      </c>
      <c r="WN33">
        <v>1</v>
      </c>
      <c r="WR33" t="s">
        <v>559</v>
      </c>
      <c r="WS33" t="s">
        <v>567</v>
      </c>
      <c r="XB33" t="s">
        <v>591</v>
      </c>
      <c r="XC33" t="s">
        <v>607</v>
      </c>
      <c r="XD33" t="s">
        <v>567</v>
      </c>
      <c r="XF33">
        <v>1</v>
      </c>
      <c r="XH33" s="16">
        <f t="shared" si="16"/>
        <v>7</v>
      </c>
      <c r="XZ33">
        <v>71</v>
      </c>
      <c r="YA33">
        <v>51</v>
      </c>
      <c r="YD33" s="16">
        <f t="shared" si="17"/>
        <v>2</v>
      </c>
      <c r="YU33">
        <v>483</v>
      </c>
      <c r="YV33">
        <v>184</v>
      </c>
      <c r="YX33" s="16">
        <f t="shared" si="18"/>
        <v>2</v>
      </c>
      <c r="YY33" t="s">
        <v>554</v>
      </c>
      <c r="ZG33" t="s">
        <v>579</v>
      </c>
      <c r="ZI33" t="s">
        <v>585</v>
      </c>
      <c r="ZL33" t="s">
        <v>610</v>
      </c>
      <c r="ZM33" t="s">
        <v>628</v>
      </c>
      <c r="ZR33" s="16">
        <f t="shared" si="19"/>
        <v>5</v>
      </c>
      <c r="ZX33" s="16">
        <f t="shared" si="20"/>
        <v>0</v>
      </c>
      <c r="ZY33">
        <v>0.53</v>
      </c>
      <c r="AAC33">
        <v>0.33</v>
      </c>
      <c r="AAD33">
        <v>0.31</v>
      </c>
      <c r="AAH33" t="s">
        <v>613</v>
      </c>
      <c r="AAM33">
        <v>0.26</v>
      </c>
      <c r="AAO33">
        <v>0.08</v>
      </c>
      <c r="AAP33">
        <v>0.11</v>
      </c>
      <c r="AAT33" s="16">
        <f t="shared" si="21"/>
        <v>7</v>
      </c>
      <c r="AAU33">
        <v>236</v>
      </c>
      <c r="AAZ33">
        <v>200</v>
      </c>
      <c r="ABB33">
        <v>288</v>
      </c>
      <c r="ABC33">
        <v>178</v>
      </c>
      <c r="ABH33">
        <v>232</v>
      </c>
      <c r="ABL33">
        <v>411</v>
      </c>
      <c r="ABM33">
        <v>553</v>
      </c>
      <c r="ABP33">
        <v>853</v>
      </c>
      <c r="ABQ33" s="16">
        <f t="shared" si="22"/>
        <v>2</v>
      </c>
      <c r="ABS33" t="s">
        <v>2018</v>
      </c>
      <c r="ABT33" t="s">
        <v>2019</v>
      </c>
      <c r="ABV33" s="16">
        <f t="shared" si="23"/>
        <v>2</v>
      </c>
      <c r="ACC33" s="16">
        <f t="shared" si="24"/>
        <v>0</v>
      </c>
      <c r="ACH33">
        <v>44</v>
      </c>
      <c r="ACK33">
        <v>24</v>
      </c>
      <c r="ACL33">
        <v>32</v>
      </c>
      <c r="ACQ33" s="16">
        <f t="shared" si="25"/>
        <v>3</v>
      </c>
      <c r="ACV33" t="s">
        <v>552</v>
      </c>
      <c r="ACW33" t="s">
        <v>576</v>
      </c>
      <c r="ACX33" t="s">
        <v>353</v>
      </c>
      <c r="ACY33" t="s">
        <v>597</v>
      </c>
      <c r="ACZ33" t="s">
        <v>617</v>
      </c>
      <c r="ADA33" s="16">
        <f t="shared" si="26"/>
        <v>5</v>
      </c>
      <c r="ADM33" s="16">
        <f t="shared" si="27"/>
        <v>0</v>
      </c>
      <c r="AEI33" s="16">
        <f t="shared" si="28"/>
        <v>0</v>
      </c>
    </row>
    <row r="34" spans="1:815" x14ac:dyDescent="0.25">
      <c r="B34" s="3" t="s">
        <v>68</v>
      </c>
      <c r="C34" t="s">
        <v>31</v>
      </c>
      <c r="D34">
        <v>31</v>
      </c>
      <c r="E34" t="s">
        <v>8</v>
      </c>
      <c r="F34" t="s">
        <v>9</v>
      </c>
      <c r="G34" t="s">
        <v>9</v>
      </c>
      <c r="H34" t="s">
        <v>249</v>
      </c>
      <c r="I34" t="s">
        <v>15</v>
      </c>
      <c r="J34" t="s">
        <v>9</v>
      </c>
      <c r="K34" t="s">
        <v>1265</v>
      </c>
      <c r="L34" t="s">
        <v>313</v>
      </c>
      <c r="R34" t="s">
        <v>1262</v>
      </c>
      <c r="T34" t="s">
        <v>1261</v>
      </c>
      <c r="U34" t="s">
        <v>1264</v>
      </c>
      <c r="V34" t="s">
        <v>1263</v>
      </c>
      <c r="W34" t="s">
        <v>1268</v>
      </c>
      <c r="BA34" s="16">
        <f t="shared" si="0"/>
        <v>0</v>
      </c>
      <c r="CB34" s="16">
        <f t="shared" si="1"/>
        <v>0</v>
      </c>
      <c r="DE34" s="16">
        <f t="shared" si="2"/>
        <v>0</v>
      </c>
      <c r="DS34" s="16">
        <f t="shared" si="3"/>
        <v>0</v>
      </c>
      <c r="EF34" s="16">
        <f t="shared" si="4"/>
        <v>0</v>
      </c>
      <c r="FI34" s="16">
        <f t="shared" si="5"/>
        <v>0</v>
      </c>
      <c r="FJ34">
        <v>360</v>
      </c>
      <c r="HY34" s="16">
        <f t="shared" si="6"/>
        <v>1</v>
      </c>
      <c r="HZ34">
        <v>552</v>
      </c>
      <c r="KM34" s="16">
        <f t="shared" si="7"/>
        <v>1</v>
      </c>
      <c r="KN34">
        <v>88</v>
      </c>
      <c r="MS34">
        <v>128</v>
      </c>
      <c r="MZ34" s="16">
        <f t="shared" si="8"/>
        <v>2</v>
      </c>
      <c r="OQ34" s="16">
        <f t="shared" si="9"/>
        <v>0</v>
      </c>
      <c r="OW34" s="33">
        <f t="shared" si="10"/>
        <v>0</v>
      </c>
      <c r="OX34" t="s">
        <v>1676</v>
      </c>
      <c r="QZ34">
        <v>151</v>
      </c>
      <c r="RD34" s="16">
        <f t="shared" si="11"/>
        <v>2</v>
      </c>
      <c r="RU34" s="16">
        <f t="shared" si="12"/>
        <v>0</v>
      </c>
      <c r="RV34">
        <v>808</v>
      </c>
      <c r="UE34" s="16">
        <f t="shared" si="13"/>
        <v>1</v>
      </c>
      <c r="VJ34" s="16">
        <f t="shared" si="14"/>
        <v>0</v>
      </c>
      <c r="WM34" s="16">
        <f t="shared" si="15"/>
        <v>0</v>
      </c>
      <c r="XH34" s="16">
        <f t="shared" si="16"/>
        <v>0</v>
      </c>
      <c r="YD34" s="16">
        <f t="shared" si="17"/>
        <v>0</v>
      </c>
      <c r="YX34" s="16">
        <f t="shared" si="18"/>
        <v>0</v>
      </c>
      <c r="ZR34" s="16">
        <f t="shared" si="19"/>
        <v>0</v>
      </c>
      <c r="ZX34" s="16">
        <f t="shared" si="20"/>
        <v>0</v>
      </c>
      <c r="AAT34" s="16">
        <f t="shared" si="21"/>
        <v>0</v>
      </c>
      <c r="ABQ34" s="16">
        <f t="shared" si="22"/>
        <v>0</v>
      </c>
      <c r="ABV34" s="16">
        <f t="shared" si="23"/>
        <v>0</v>
      </c>
      <c r="ACC34" s="16">
        <f t="shared" si="24"/>
        <v>0</v>
      </c>
      <c r="ACH34" s="10">
        <v>0.56299999999999994</v>
      </c>
      <c r="ACQ34" s="16">
        <f t="shared" si="25"/>
        <v>1</v>
      </c>
      <c r="ACR34" t="s">
        <v>630</v>
      </c>
      <c r="ACS34" t="s">
        <v>631</v>
      </c>
      <c r="ACT34" t="s">
        <v>632</v>
      </c>
      <c r="ACU34" t="s">
        <v>633</v>
      </c>
      <c r="ADA34" s="16">
        <f t="shared" si="26"/>
        <v>0</v>
      </c>
      <c r="ADM34" s="16">
        <f t="shared" si="27"/>
        <v>0</v>
      </c>
      <c r="AEI34" s="16">
        <f t="shared" si="28"/>
        <v>0</v>
      </c>
    </row>
    <row r="35" spans="1:815" x14ac:dyDescent="0.25">
      <c r="B35" s="2" t="s">
        <v>69</v>
      </c>
      <c r="C35" t="s">
        <v>70</v>
      </c>
      <c r="D35">
        <v>24</v>
      </c>
      <c r="E35" t="s">
        <v>8</v>
      </c>
      <c r="F35" t="s">
        <v>9</v>
      </c>
      <c r="G35" t="s">
        <v>15</v>
      </c>
      <c r="I35" t="s">
        <v>15</v>
      </c>
      <c r="J35" t="s">
        <v>9</v>
      </c>
      <c r="K35" t="s">
        <v>1267</v>
      </c>
      <c r="L35" t="s">
        <v>315</v>
      </c>
      <c r="P35" s="11">
        <v>37908</v>
      </c>
      <c r="Q35" s="11">
        <v>37908</v>
      </c>
      <c r="R35" t="s">
        <v>1133</v>
      </c>
      <c r="S35" t="s">
        <v>1250</v>
      </c>
      <c r="T35" t="s">
        <v>1266</v>
      </c>
      <c r="W35" t="s">
        <v>1271</v>
      </c>
      <c r="BA35" s="16">
        <f t="shared" si="0"/>
        <v>0</v>
      </c>
      <c r="CB35" s="16">
        <f t="shared" si="1"/>
        <v>0</v>
      </c>
      <c r="DE35" s="16">
        <f t="shared" si="2"/>
        <v>0</v>
      </c>
      <c r="DS35" s="16">
        <f t="shared" si="3"/>
        <v>0</v>
      </c>
      <c r="EF35" s="16">
        <f t="shared" si="4"/>
        <v>0</v>
      </c>
      <c r="FI35" s="16">
        <f t="shared" si="5"/>
        <v>0</v>
      </c>
      <c r="HY35" s="16">
        <f t="shared" si="6"/>
        <v>0</v>
      </c>
      <c r="KM35" s="16">
        <f t="shared" si="7"/>
        <v>0</v>
      </c>
      <c r="KN35">
        <v>176</v>
      </c>
      <c r="MZ35" s="16">
        <f t="shared" si="8"/>
        <v>1</v>
      </c>
      <c r="OQ35" s="16">
        <f t="shared" si="9"/>
        <v>0</v>
      </c>
      <c r="OW35" s="33">
        <f t="shared" si="10"/>
        <v>0</v>
      </c>
      <c r="RD35" s="16">
        <f t="shared" si="11"/>
        <v>0</v>
      </c>
      <c r="RU35" s="16">
        <f t="shared" si="12"/>
        <v>0</v>
      </c>
      <c r="UE35" s="16">
        <f t="shared" si="13"/>
        <v>0</v>
      </c>
      <c r="VJ35" s="16">
        <f t="shared" si="14"/>
        <v>0</v>
      </c>
      <c r="WM35" s="16">
        <f t="shared" si="15"/>
        <v>0</v>
      </c>
      <c r="XH35" s="16">
        <f t="shared" si="16"/>
        <v>0</v>
      </c>
      <c r="YD35" s="16">
        <f t="shared" si="17"/>
        <v>0</v>
      </c>
      <c r="YX35" s="16">
        <f t="shared" si="18"/>
        <v>0</v>
      </c>
      <c r="ZR35" s="16">
        <f t="shared" si="19"/>
        <v>0</v>
      </c>
      <c r="ZX35" s="16">
        <f t="shared" si="20"/>
        <v>0</v>
      </c>
      <c r="AAT35" s="16">
        <f t="shared" si="21"/>
        <v>0</v>
      </c>
      <c r="ABQ35" s="16">
        <f t="shared" si="22"/>
        <v>0</v>
      </c>
      <c r="ABV35" s="16">
        <f t="shared" si="23"/>
        <v>0</v>
      </c>
      <c r="ACC35" s="16">
        <f t="shared" si="24"/>
        <v>0</v>
      </c>
      <c r="ACQ35" s="16">
        <f t="shared" si="25"/>
        <v>0</v>
      </c>
      <c r="ADA35" s="16">
        <f t="shared" si="26"/>
        <v>0</v>
      </c>
      <c r="ADM35" s="16">
        <f t="shared" si="27"/>
        <v>0</v>
      </c>
      <c r="AEI35" s="16">
        <f t="shared" si="28"/>
        <v>0</v>
      </c>
    </row>
    <row r="36" spans="1:815" x14ac:dyDescent="0.25">
      <c r="B36" s="2" t="s">
        <v>71</v>
      </c>
      <c r="C36" t="s">
        <v>72</v>
      </c>
      <c r="D36">
        <v>24</v>
      </c>
      <c r="E36" t="s">
        <v>8</v>
      </c>
      <c r="F36" t="s">
        <v>9</v>
      </c>
      <c r="G36" t="s">
        <v>9</v>
      </c>
      <c r="H36" t="s">
        <v>253</v>
      </c>
      <c r="I36" t="s">
        <v>243</v>
      </c>
      <c r="J36" t="s">
        <v>9</v>
      </c>
      <c r="K36" t="s">
        <v>1270</v>
      </c>
      <c r="L36" t="s">
        <v>1245</v>
      </c>
      <c r="P36" s="11">
        <v>37935</v>
      </c>
      <c r="Q36" s="11">
        <v>37958</v>
      </c>
      <c r="R36" t="s">
        <v>1526</v>
      </c>
      <c r="S36" t="s">
        <v>1269</v>
      </c>
      <c r="T36" t="s">
        <v>1266</v>
      </c>
      <c r="W36" t="s">
        <v>1272</v>
      </c>
      <c r="BA36" s="16">
        <f t="shared" si="0"/>
        <v>0</v>
      </c>
      <c r="CB36" s="16">
        <f t="shared" si="1"/>
        <v>0</v>
      </c>
      <c r="DE36" s="16">
        <f t="shared" si="2"/>
        <v>0</v>
      </c>
      <c r="DS36" s="16">
        <f t="shared" si="3"/>
        <v>0</v>
      </c>
      <c r="EF36" s="16">
        <f t="shared" si="4"/>
        <v>0</v>
      </c>
      <c r="FI36" s="16">
        <f t="shared" si="5"/>
        <v>0</v>
      </c>
      <c r="FJ36">
        <v>1260</v>
      </c>
      <c r="HY36" s="16">
        <f t="shared" si="6"/>
        <v>1</v>
      </c>
      <c r="HZ36">
        <v>1200</v>
      </c>
      <c r="KM36" s="16">
        <f t="shared" si="7"/>
        <v>1</v>
      </c>
      <c r="KN36">
        <v>55</v>
      </c>
      <c r="MZ36" s="16">
        <f t="shared" si="8"/>
        <v>1</v>
      </c>
      <c r="OQ36" s="16">
        <f t="shared" si="9"/>
        <v>0</v>
      </c>
      <c r="OW36" s="33">
        <f t="shared" si="10"/>
        <v>0</v>
      </c>
      <c r="OX36">
        <v>617</v>
      </c>
      <c r="RD36" s="16">
        <f t="shared" si="11"/>
        <v>1</v>
      </c>
      <c r="RU36" s="16">
        <f t="shared" si="12"/>
        <v>0</v>
      </c>
      <c r="UE36" s="16">
        <f t="shared" si="13"/>
        <v>0</v>
      </c>
      <c r="VJ36" s="16">
        <f t="shared" si="14"/>
        <v>0</v>
      </c>
      <c r="WM36" s="16">
        <f t="shared" si="15"/>
        <v>0</v>
      </c>
      <c r="XH36" s="16">
        <f t="shared" si="16"/>
        <v>0</v>
      </c>
      <c r="YD36" s="16">
        <f t="shared" si="17"/>
        <v>0</v>
      </c>
      <c r="YX36" s="16">
        <f t="shared" si="18"/>
        <v>0</v>
      </c>
      <c r="ZR36" s="16">
        <f t="shared" si="19"/>
        <v>0</v>
      </c>
      <c r="ZX36" s="16">
        <f t="shared" si="20"/>
        <v>0</v>
      </c>
      <c r="AAT36" s="16">
        <f t="shared" si="21"/>
        <v>0</v>
      </c>
      <c r="ABQ36" s="16">
        <f t="shared" si="22"/>
        <v>0</v>
      </c>
      <c r="ABV36" s="16">
        <f t="shared" si="23"/>
        <v>0</v>
      </c>
      <c r="ACC36" s="16">
        <f t="shared" si="24"/>
        <v>0</v>
      </c>
      <c r="ACQ36" s="16">
        <f t="shared" si="25"/>
        <v>0</v>
      </c>
      <c r="ADA36" s="16">
        <f t="shared" si="26"/>
        <v>0</v>
      </c>
      <c r="ADM36" s="16">
        <f t="shared" si="27"/>
        <v>0</v>
      </c>
      <c r="AEI36" s="16">
        <f t="shared" si="28"/>
        <v>0</v>
      </c>
    </row>
    <row r="37" spans="1:815" x14ac:dyDescent="0.25">
      <c r="B37" s="2" t="s">
        <v>73</v>
      </c>
      <c r="C37" t="s">
        <v>265</v>
      </c>
      <c r="D37">
        <v>69</v>
      </c>
      <c r="E37" t="s">
        <v>14</v>
      </c>
      <c r="F37" t="s">
        <v>9</v>
      </c>
      <c r="G37" t="s">
        <v>9</v>
      </c>
      <c r="I37" t="s">
        <v>243</v>
      </c>
      <c r="J37" t="s">
        <v>9</v>
      </c>
      <c r="K37" t="s">
        <v>256</v>
      </c>
      <c r="L37" t="s">
        <v>1275</v>
      </c>
      <c r="Q37" s="11">
        <v>37497</v>
      </c>
      <c r="S37" t="s">
        <v>1273</v>
      </c>
      <c r="T37" t="s">
        <v>1276</v>
      </c>
      <c r="U37" t="s">
        <v>1277</v>
      </c>
      <c r="W37" t="s">
        <v>1274</v>
      </c>
      <c r="BA37" s="16">
        <f t="shared" si="0"/>
        <v>0</v>
      </c>
      <c r="CB37" s="16">
        <f t="shared" si="1"/>
        <v>0</v>
      </c>
      <c r="DE37" s="16">
        <f t="shared" si="2"/>
        <v>0</v>
      </c>
      <c r="DS37" s="16">
        <f t="shared" si="3"/>
        <v>0</v>
      </c>
      <c r="EF37" s="16">
        <f t="shared" si="4"/>
        <v>0</v>
      </c>
      <c r="FI37" s="16">
        <f t="shared" si="5"/>
        <v>0</v>
      </c>
      <c r="HY37" s="16">
        <f t="shared" si="6"/>
        <v>0</v>
      </c>
      <c r="KM37" s="16">
        <f t="shared" si="7"/>
        <v>0</v>
      </c>
      <c r="MZ37" s="16">
        <f t="shared" si="8"/>
        <v>0</v>
      </c>
      <c r="NA37">
        <v>233</v>
      </c>
      <c r="NB37">
        <v>377</v>
      </c>
      <c r="OQ37" s="16">
        <f t="shared" si="9"/>
        <v>2</v>
      </c>
      <c r="OW37" s="33">
        <f t="shared" si="10"/>
        <v>0</v>
      </c>
      <c r="RD37" s="16">
        <f t="shared" si="11"/>
        <v>0</v>
      </c>
      <c r="RU37" s="16">
        <f t="shared" si="12"/>
        <v>0</v>
      </c>
      <c r="UE37" s="16">
        <f t="shared" si="13"/>
        <v>0</v>
      </c>
      <c r="VJ37" s="16">
        <f t="shared" si="14"/>
        <v>0</v>
      </c>
      <c r="VK37">
        <v>132</v>
      </c>
      <c r="VL37" t="s">
        <v>1867</v>
      </c>
      <c r="WM37" s="16">
        <f t="shared" si="15"/>
        <v>2</v>
      </c>
      <c r="XH37" s="16">
        <f t="shared" si="16"/>
        <v>0</v>
      </c>
      <c r="YD37" s="16">
        <f t="shared" si="17"/>
        <v>0</v>
      </c>
      <c r="YX37" s="16">
        <f t="shared" si="18"/>
        <v>0</v>
      </c>
      <c r="YY37">
        <v>13</v>
      </c>
      <c r="YZ37">
        <v>28</v>
      </c>
      <c r="ZR37" s="16">
        <f t="shared" si="19"/>
        <v>2</v>
      </c>
      <c r="ZX37" s="16">
        <f t="shared" si="20"/>
        <v>0</v>
      </c>
      <c r="AAT37" s="16">
        <f t="shared" si="21"/>
        <v>0</v>
      </c>
      <c r="ABQ37" s="16">
        <f t="shared" si="22"/>
        <v>0</v>
      </c>
      <c r="ABV37" s="16">
        <f t="shared" si="23"/>
        <v>0</v>
      </c>
      <c r="ACC37" s="16">
        <f t="shared" si="24"/>
        <v>0</v>
      </c>
      <c r="ACQ37" s="16">
        <f t="shared" si="25"/>
        <v>0</v>
      </c>
      <c r="ADA37" s="16">
        <f t="shared" si="26"/>
        <v>0</v>
      </c>
      <c r="ADM37" s="16">
        <f t="shared" si="27"/>
        <v>0</v>
      </c>
      <c r="AEI37" s="16">
        <f t="shared" si="28"/>
        <v>0</v>
      </c>
    </row>
    <row r="38" spans="1:815" x14ac:dyDescent="0.25">
      <c r="B38" s="2" t="s">
        <v>74</v>
      </c>
      <c r="C38" t="s">
        <v>75</v>
      </c>
      <c r="D38">
        <v>64</v>
      </c>
      <c r="E38" t="s">
        <v>8</v>
      </c>
      <c r="F38" t="s">
        <v>9</v>
      </c>
      <c r="G38" t="s">
        <v>9</v>
      </c>
      <c r="H38" t="s">
        <v>245</v>
      </c>
      <c r="I38" t="s">
        <v>243</v>
      </c>
      <c r="K38" t="s">
        <v>1278</v>
      </c>
      <c r="L38" t="s">
        <v>303</v>
      </c>
      <c r="M38">
        <v>64</v>
      </c>
      <c r="N38">
        <v>159</v>
      </c>
      <c r="O38" t="s">
        <v>1080</v>
      </c>
      <c r="P38" s="13">
        <v>37899</v>
      </c>
      <c r="Q38" s="13">
        <v>37904</v>
      </c>
      <c r="R38" t="s">
        <v>1262</v>
      </c>
      <c r="S38" t="s">
        <v>1250</v>
      </c>
      <c r="V38" t="s">
        <v>245</v>
      </c>
      <c r="W38" t="s">
        <v>1279</v>
      </c>
      <c r="AP38" t="s">
        <v>554</v>
      </c>
      <c r="BA38" s="16">
        <f t="shared" si="0"/>
        <v>1</v>
      </c>
      <c r="CB38" s="16">
        <f t="shared" si="1"/>
        <v>0</v>
      </c>
      <c r="CC38" t="s">
        <v>635</v>
      </c>
      <c r="CG38">
        <v>32</v>
      </c>
      <c r="DE38" s="16">
        <f t="shared" si="2"/>
        <v>2</v>
      </c>
      <c r="DS38" s="16">
        <f t="shared" si="3"/>
        <v>0</v>
      </c>
      <c r="EF38" s="16">
        <f t="shared" si="4"/>
        <v>0</v>
      </c>
      <c r="EG38">
        <v>3500</v>
      </c>
      <c r="EI38">
        <v>25000</v>
      </c>
      <c r="FI38" s="16">
        <f t="shared" si="5"/>
        <v>2</v>
      </c>
      <c r="FN38" t="s">
        <v>2023</v>
      </c>
      <c r="FQ38" t="s">
        <v>2015</v>
      </c>
      <c r="GA38" t="s">
        <v>1869</v>
      </c>
      <c r="GH38" t="s">
        <v>1078</v>
      </c>
      <c r="HY38" s="16">
        <f t="shared" si="6"/>
        <v>4</v>
      </c>
      <c r="HZ38" t="s">
        <v>1968</v>
      </c>
      <c r="IC38">
        <v>129</v>
      </c>
      <c r="IF38" t="s">
        <v>1969</v>
      </c>
      <c r="IW38" t="s">
        <v>1970</v>
      </c>
      <c r="KM38" s="16">
        <f t="shared" si="7"/>
        <v>4</v>
      </c>
      <c r="KN38">
        <v>69</v>
      </c>
      <c r="KP38" t="s">
        <v>1979</v>
      </c>
      <c r="KR38">
        <v>75</v>
      </c>
      <c r="LB38" t="s">
        <v>1980</v>
      </c>
      <c r="LI38" t="s">
        <v>1981</v>
      </c>
      <c r="MZ38" s="16">
        <f t="shared" si="8"/>
        <v>5</v>
      </c>
      <c r="NA38" t="s">
        <v>1991</v>
      </c>
      <c r="ND38" t="s">
        <v>1992</v>
      </c>
      <c r="NG38" t="s">
        <v>1993</v>
      </c>
      <c r="NQ38" t="s">
        <v>1994</v>
      </c>
      <c r="OQ38" s="16">
        <f t="shared" si="9"/>
        <v>4</v>
      </c>
      <c r="OW38" s="33">
        <f t="shared" si="10"/>
        <v>0</v>
      </c>
      <c r="PA38">
        <v>10.6</v>
      </c>
      <c r="PD38" t="s">
        <v>640</v>
      </c>
      <c r="PV38" t="s">
        <v>355</v>
      </c>
      <c r="RD38" s="16">
        <f t="shared" si="11"/>
        <v>3</v>
      </c>
      <c r="RH38" t="s">
        <v>728</v>
      </c>
      <c r="RJ38">
        <v>258</v>
      </c>
      <c r="RN38" t="s">
        <v>653</v>
      </c>
      <c r="RU38" s="16">
        <f t="shared" si="12"/>
        <v>3</v>
      </c>
      <c r="RV38" t="s">
        <v>1966</v>
      </c>
      <c r="RY38" t="s">
        <v>1998</v>
      </c>
      <c r="SB38">
        <v>54</v>
      </c>
      <c r="SL38" t="s">
        <v>1999</v>
      </c>
      <c r="UE38" s="16">
        <f t="shared" si="13"/>
        <v>4</v>
      </c>
      <c r="UH38">
        <v>4020</v>
      </c>
      <c r="UK38">
        <v>4200</v>
      </c>
      <c r="US38">
        <v>4380</v>
      </c>
      <c r="VJ38" s="16">
        <f t="shared" si="14"/>
        <v>3</v>
      </c>
      <c r="VK38">
        <v>53</v>
      </c>
      <c r="VP38">
        <v>61</v>
      </c>
      <c r="WM38" s="16">
        <f t="shared" si="15"/>
        <v>2</v>
      </c>
      <c r="WN38" t="s">
        <v>636</v>
      </c>
      <c r="WR38" t="s">
        <v>567</v>
      </c>
      <c r="XH38" s="16">
        <f t="shared" si="16"/>
        <v>2</v>
      </c>
      <c r="XZ38">
        <v>15</v>
      </c>
      <c r="YD38" s="16">
        <f t="shared" si="17"/>
        <v>1</v>
      </c>
      <c r="YE38" t="s">
        <v>1828</v>
      </c>
      <c r="YJ38" t="s">
        <v>2014</v>
      </c>
      <c r="YT38">
        <v>33</v>
      </c>
      <c r="YU38" t="s">
        <v>1078</v>
      </c>
      <c r="YX38" s="16">
        <f t="shared" si="18"/>
        <v>4</v>
      </c>
      <c r="ZI38">
        <v>71.599999999999994</v>
      </c>
      <c r="ZR38" s="16">
        <f t="shared" si="19"/>
        <v>1</v>
      </c>
      <c r="ZS38">
        <v>98</v>
      </c>
      <c r="ZX38" s="16">
        <f t="shared" si="20"/>
        <v>1</v>
      </c>
      <c r="ZY38" t="s">
        <v>634</v>
      </c>
      <c r="AAC38" t="s">
        <v>533</v>
      </c>
      <c r="AAP38" t="s">
        <v>649</v>
      </c>
      <c r="AAT38" s="16">
        <f t="shared" si="21"/>
        <v>3</v>
      </c>
      <c r="AAU38">
        <v>222</v>
      </c>
      <c r="ABQ38" s="16">
        <f t="shared" si="22"/>
        <v>1</v>
      </c>
      <c r="ABV38" s="16">
        <f t="shared" si="23"/>
        <v>0</v>
      </c>
      <c r="ACC38" s="16">
        <f t="shared" si="24"/>
        <v>0</v>
      </c>
      <c r="ACK38" s="10">
        <v>0.28299999999999997</v>
      </c>
      <c r="ACQ38" s="16">
        <f t="shared" si="25"/>
        <v>1</v>
      </c>
      <c r="ADA38" s="16">
        <f t="shared" si="26"/>
        <v>0</v>
      </c>
      <c r="ADM38" s="16">
        <f t="shared" si="27"/>
        <v>0</v>
      </c>
      <c r="AEC38" t="s">
        <v>654</v>
      </c>
      <c r="AEI38" s="16">
        <f t="shared" si="28"/>
        <v>1</v>
      </c>
    </row>
    <row r="39" spans="1:815" x14ac:dyDescent="0.25">
      <c r="A39" s="21" t="s">
        <v>2065</v>
      </c>
      <c r="B39" s="2" t="s">
        <v>76</v>
      </c>
      <c r="C39" t="s">
        <v>77</v>
      </c>
      <c r="D39">
        <v>62</v>
      </c>
      <c r="E39" t="s">
        <v>8</v>
      </c>
      <c r="F39" t="s">
        <v>9</v>
      </c>
      <c r="G39" t="s">
        <v>9</v>
      </c>
      <c r="H39" t="s">
        <v>253</v>
      </c>
      <c r="I39" t="s">
        <v>243</v>
      </c>
      <c r="J39" t="s">
        <v>257</v>
      </c>
      <c r="L39" t="s">
        <v>1282</v>
      </c>
      <c r="M39">
        <v>94</v>
      </c>
      <c r="T39" t="s">
        <v>1283</v>
      </c>
      <c r="V39" t="s">
        <v>1281</v>
      </c>
      <c r="W39" t="s">
        <v>1280</v>
      </c>
      <c r="BA39" s="16">
        <f t="shared" si="0"/>
        <v>0</v>
      </c>
      <c r="CB39" s="16">
        <f t="shared" si="1"/>
        <v>0</v>
      </c>
      <c r="DE39" s="16">
        <f t="shared" si="2"/>
        <v>0</v>
      </c>
      <c r="DS39" s="16">
        <f t="shared" si="3"/>
        <v>0</v>
      </c>
      <c r="EF39" s="16">
        <f t="shared" si="4"/>
        <v>0</v>
      </c>
      <c r="FI39" s="16">
        <f t="shared" si="5"/>
        <v>0</v>
      </c>
      <c r="FJ39">
        <v>39</v>
      </c>
      <c r="FV39">
        <v>25</v>
      </c>
      <c r="HY39" s="16">
        <f t="shared" si="6"/>
        <v>2</v>
      </c>
      <c r="HZ39">
        <v>53</v>
      </c>
      <c r="IK39">
        <v>38</v>
      </c>
      <c r="KM39" s="16">
        <f t="shared" si="7"/>
        <v>2</v>
      </c>
      <c r="MZ39" s="16">
        <f t="shared" si="8"/>
        <v>0</v>
      </c>
      <c r="OQ39" s="16">
        <f t="shared" si="9"/>
        <v>0</v>
      </c>
      <c r="OW39" s="33">
        <f t="shared" si="10"/>
        <v>0</v>
      </c>
      <c r="RD39" s="16">
        <f t="shared" si="11"/>
        <v>0</v>
      </c>
      <c r="RU39" s="16">
        <f t="shared" si="12"/>
        <v>0</v>
      </c>
      <c r="UE39" s="16">
        <f t="shared" si="13"/>
        <v>0</v>
      </c>
      <c r="VJ39" s="16">
        <f t="shared" si="14"/>
        <v>0</v>
      </c>
      <c r="VK39" t="s">
        <v>730</v>
      </c>
      <c r="VU39" t="s">
        <v>731</v>
      </c>
      <c r="WM39" s="16">
        <f t="shared" si="15"/>
        <v>2</v>
      </c>
      <c r="XH39" s="16">
        <f t="shared" si="16"/>
        <v>0</v>
      </c>
      <c r="YD39" s="16">
        <f t="shared" si="17"/>
        <v>0</v>
      </c>
      <c r="YX39" s="16">
        <f t="shared" si="18"/>
        <v>0</v>
      </c>
      <c r="YY39">
        <v>71.2</v>
      </c>
      <c r="ZG39">
        <v>10.3</v>
      </c>
      <c r="ZR39" s="16">
        <f t="shared" si="19"/>
        <v>2</v>
      </c>
      <c r="ZX39" s="16">
        <f t="shared" si="20"/>
        <v>0</v>
      </c>
      <c r="AAT39" s="16">
        <f t="shared" si="21"/>
        <v>0</v>
      </c>
      <c r="ABQ39" s="16">
        <f t="shared" si="22"/>
        <v>0</v>
      </c>
      <c r="ABV39" s="16">
        <f t="shared" si="23"/>
        <v>0</v>
      </c>
      <c r="ACC39" s="16">
        <f t="shared" si="24"/>
        <v>0</v>
      </c>
      <c r="ACQ39" s="16">
        <f t="shared" si="25"/>
        <v>0</v>
      </c>
      <c r="ADA39" s="16">
        <f t="shared" si="26"/>
        <v>0</v>
      </c>
      <c r="ADM39" s="16">
        <f t="shared" si="27"/>
        <v>0</v>
      </c>
      <c r="AEI39" s="16">
        <f t="shared" si="28"/>
        <v>0</v>
      </c>
    </row>
    <row r="40" spans="1:815" x14ac:dyDescent="0.25">
      <c r="B40" s="2" t="s">
        <v>78</v>
      </c>
      <c r="C40" t="s">
        <v>79</v>
      </c>
      <c r="D40">
        <v>64</v>
      </c>
      <c r="E40" t="s">
        <v>8</v>
      </c>
      <c r="F40" t="s">
        <v>9</v>
      </c>
      <c r="G40" t="s">
        <v>9</v>
      </c>
      <c r="I40" t="s">
        <v>243</v>
      </c>
      <c r="J40" t="s">
        <v>257</v>
      </c>
      <c r="K40" t="s">
        <v>1287</v>
      </c>
      <c r="L40" t="s">
        <v>1288</v>
      </c>
      <c r="P40" s="11">
        <v>38050</v>
      </c>
      <c r="Q40" s="11">
        <v>38053</v>
      </c>
      <c r="R40" t="s">
        <v>1218</v>
      </c>
      <c r="S40" t="s">
        <v>1256</v>
      </c>
      <c r="T40" s="15" t="s">
        <v>1284</v>
      </c>
      <c r="U40" t="s">
        <v>1285</v>
      </c>
      <c r="V40" t="s">
        <v>306</v>
      </c>
      <c r="W40" t="s">
        <v>1289</v>
      </c>
      <c r="BA40" s="16">
        <f t="shared" si="0"/>
        <v>0</v>
      </c>
      <c r="CB40" s="16">
        <f t="shared" si="1"/>
        <v>0</v>
      </c>
      <c r="DE40" s="16">
        <f t="shared" si="2"/>
        <v>0</v>
      </c>
      <c r="DS40" s="16">
        <f t="shared" si="3"/>
        <v>0</v>
      </c>
      <c r="EF40" s="16">
        <f t="shared" si="4"/>
        <v>0</v>
      </c>
      <c r="FI40" s="16">
        <f t="shared" si="5"/>
        <v>0</v>
      </c>
      <c r="FJ40">
        <v>15</v>
      </c>
      <c r="GW40">
        <v>15</v>
      </c>
      <c r="GY40">
        <v>18</v>
      </c>
      <c r="HA40">
        <v>506</v>
      </c>
      <c r="HB40">
        <v>4563</v>
      </c>
      <c r="HC40">
        <v>4396</v>
      </c>
      <c r="HE40">
        <v>1897</v>
      </c>
      <c r="HY40" s="16">
        <f t="shared" si="6"/>
        <v>7</v>
      </c>
      <c r="HZ40">
        <v>12</v>
      </c>
      <c r="JK40">
        <v>21</v>
      </c>
      <c r="JL40">
        <v>12</v>
      </c>
      <c r="JN40">
        <v>14</v>
      </c>
      <c r="JP40">
        <v>390</v>
      </c>
      <c r="JQ40">
        <v>3135</v>
      </c>
      <c r="JR40">
        <v>4112</v>
      </c>
      <c r="JS40">
        <v>2774</v>
      </c>
      <c r="KM40" s="16">
        <f t="shared" si="7"/>
        <v>8</v>
      </c>
      <c r="LX40">
        <v>12</v>
      </c>
      <c r="LZ40">
        <v>7</v>
      </c>
      <c r="MB40">
        <v>23</v>
      </c>
      <c r="MC40">
        <v>47</v>
      </c>
      <c r="MD40">
        <v>55</v>
      </c>
      <c r="ME40">
        <v>82</v>
      </c>
      <c r="MF40">
        <v>148</v>
      </c>
      <c r="MZ40" s="16">
        <f t="shared" si="8"/>
        <v>7</v>
      </c>
      <c r="OJ40">
        <v>110</v>
      </c>
      <c r="OK40">
        <v>6331</v>
      </c>
      <c r="OL40">
        <v>6436</v>
      </c>
      <c r="OM40">
        <v>3313</v>
      </c>
      <c r="OQ40" s="16">
        <f t="shared" si="9"/>
        <v>4</v>
      </c>
      <c r="OW40" s="33">
        <f t="shared" si="10"/>
        <v>0</v>
      </c>
      <c r="OX40" t="s">
        <v>1677</v>
      </c>
      <c r="QI40" s="8">
        <v>6.97</v>
      </c>
      <c r="QJ40" s="9">
        <v>8.84</v>
      </c>
      <c r="QK40">
        <v>63.58</v>
      </c>
      <c r="QL40">
        <v>176.97</v>
      </c>
      <c r="QM40" t="s">
        <v>754</v>
      </c>
      <c r="QN40" t="s">
        <v>758</v>
      </c>
      <c r="QO40" t="s">
        <v>763</v>
      </c>
      <c r="RD40" s="16">
        <f t="shared" si="11"/>
        <v>8</v>
      </c>
      <c r="RU40" s="16">
        <f t="shared" si="12"/>
        <v>0</v>
      </c>
      <c r="RV40">
        <v>60</v>
      </c>
      <c r="TI40">
        <v>60</v>
      </c>
      <c r="TJ40">
        <v>31</v>
      </c>
      <c r="TL40">
        <v>131</v>
      </c>
      <c r="TM40">
        <v>163</v>
      </c>
      <c r="TN40">
        <v>153</v>
      </c>
      <c r="UE40" s="16">
        <f t="shared" si="13"/>
        <v>6</v>
      </c>
      <c r="VJ40" s="16">
        <f t="shared" si="14"/>
        <v>0</v>
      </c>
      <c r="WK40" t="s">
        <v>760</v>
      </c>
      <c r="WM40" s="16">
        <f t="shared" si="15"/>
        <v>1</v>
      </c>
      <c r="WN40">
        <v>1</v>
      </c>
      <c r="XH40" s="16">
        <f t="shared" si="16"/>
        <v>1</v>
      </c>
      <c r="XI40">
        <v>5.77</v>
      </c>
      <c r="YC40" t="s">
        <v>747</v>
      </c>
      <c r="YD40" s="16">
        <f t="shared" si="17"/>
        <v>2</v>
      </c>
      <c r="YX40" s="16">
        <f t="shared" si="18"/>
        <v>0</v>
      </c>
      <c r="ZR40" s="16">
        <f t="shared" si="19"/>
        <v>0</v>
      </c>
      <c r="ZX40" s="16">
        <f t="shared" si="20"/>
        <v>0</v>
      </c>
      <c r="AAT40" s="16">
        <f t="shared" si="21"/>
        <v>0</v>
      </c>
      <c r="ABQ40" s="16">
        <f t="shared" si="22"/>
        <v>0</v>
      </c>
      <c r="ABV40" s="16">
        <f t="shared" si="23"/>
        <v>0</v>
      </c>
      <c r="ACC40" s="16">
        <f t="shared" si="24"/>
        <v>0</v>
      </c>
      <c r="ACQ40" s="16">
        <f t="shared" si="25"/>
        <v>0</v>
      </c>
      <c r="ADA40" s="16">
        <f t="shared" si="26"/>
        <v>0</v>
      </c>
      <c r="ADM40" s="16">
        <f t="shared" si="27"/>
        <v>0</v>
      </c>
      <c r="AEI40" s="16">
        <f t="shared" si="28"/>
        <v>0</v>
      </c>
    </row>
    <row r="41" spans="1:815" x14ac:dyDescent="0.25">
      <c r="B41" s="4" t="s">
        <v>80</v>
      </c>
      <c r="C41" t="s">
        <v>81</v>
      </c>
      <c r="D41">
        <v>39</v>
      </c>
      <c r="E41" t="s">
        <v>14</v>
      </c>
      <c r="F41" t="s">
        <v>9</v>
      </c>
      <c r="G41" t="s">
        <v>9</v>
      </c>
      <c r="H41" t="s">
        <v>266</v>
      </c>
      <c r="I41" t="s">
        <v>243</v>
      </c>
      <c r="J41" t="s">
        <v>257</v>
      </c>
      <c r="K41" t="s">
        <v>1290</v>
      </c>
      <c r="L41" t="s">
        <v>311</v>
      </c>
      <c r="M41">
        <v>81</v>
      </c>
      <c r="N41">
        <v>176</v>
      </c>
      <c r="O41" t="s">
        <v>1071</v>
      </c>
      <c r="P41" s="11">
        <v>38051</v>
      </c>
      <c r="Q41" s="11">
        <v>38070</v>
      </c>
      <c r="R41" t="s">
        <v>1527</v>
      </c>
      <c r="S41" t="s">
        <v>1137</v>
      </c>
      <c r="U41" t="s">
        <v>1291</v>
      </c>
      <c r="V41" t="s">
        <v>1292</v>
      </c>
      <c r="W41" t="s">
        <v>1293</v>
      </c>
      <c r="BA41" s="16">
        <f t="shared" si="0"/>
        <v>0</v>
      </c>
      <c r="BB41" s="7">
        <v>0.96</v>
      </c>
      <c r="BC41" s="7"/>
      <c r="BD41" s="7"/>
      <c r="BE41" s="7"/>
      <c r="CB41" s="16">
        <f t="shared" si="1"/>
        <v>1</v>
      </c>
      <c r="CC41">
        <v>32.799999999999997</v>
      </c>
      <c r="DE41" s="16">
        <f t="shared" si="2"/>
        <v>1</v>
      </c>
      <c r="DS41" s="16">
        <f t="shared" si="3"/>
        <v>0</v>
      </c>
      <c r="EF41" s="16">
        <f t="shared" si="4"/>
        <v>0</v>
      </c>
      <c r="EG41">
        <v>9400</v>
      </c>
      <c r="EI41">
        <v>10000</v>
      </c>
      <c r="FI41" s="16">
        <f t="shared" si="5"/>
        <v>2</v>
      </c>
      <c r="FJ41">
        <v>1485</v>
      </c>
      <c r="FN41">
        <v>1614</v>
      </c>
      <c r="FV41">
        <v>1728</v>
      </c>
      <c r="GB41">
        <v>912</v>
      </c>
      <c r="HY41" s="16">
        <f t="shared" si="6"/>
        <v>4</v>
      </c>
      <c r="HZ41">
        <v>2376</v>
      </c>
      <c r="IC41">
        <v>2262</v>
      </c>
      <c r="IK41">
        <v>1722</v>
      </c>
      <c r="IQ41">
        <v>1548</v>
      </c>
      <c r="KM41" s="16">
        <f t="shared" si="7"/>
        <v>4</v>
      </c>
      <c r="KN41">
        <v>243</v>
      </c>
      <c r="MZ41" s="16">
        <f t="shared" si="8"/>
        <v>1</v>
      </c>
      <c r="ND41">
        <v>414</v>
      </c>
      <c r="NL41">
        <v>288</v>
      </c>
      <c r="NR41">
        <v>258</v>
      </c>
      <c r="OQ41" s="16">
        <f t="shared" si="9"/>
        <v>3</v>
      </c>
      <c r="OW41" s="33">
        <f t="shared" si="10"/>
        <v>0</v>
      </c>
      <c r="OX41">
        <v>208</v>
      </c>
      <c r="PA41">
        <v>22.7</v>
      </c>
      <c r="PJ41">
        <v>154</v>
      </c>
      <c r="PO41">
        <v>115</v>
      </c>
      <c r="RD41" s="16">
        <f t="shared" si="11"/>
        <v>4</v>
      </c>
      <c r="RU41" s="16">
        <f t="shared" si="12"/>
        <v>0</v>
      </c>
      <c r="RV41" t="s">
        <v>2000</v>
      </c>
      <c r="RY41">
        <v>219</v>
      </c>
      <c r="SG41" t="s">
        <v>2001</v>
      </c>
      <c r="SM41" t="s">
        <v>2002</v>
      </c>
      <c r="UE41" s="16">
        <f t="shared" si="13"/>
        <v>4</v>
      </c>
      <c r="VJ41" s="16">
        <f t="shared" si="14"/>
        <v>0</v>
      </c>
      <c r="VK41">
        <v>98</v>
      </c>
      <c r="WM41" s="16">
        <f t="shared" si="15"/>
        <v>1</v>
      </c>
      <c r="XH41" s="16">
        <f t="shared" si="16"/>
        <v>0</v>
      </c>
      <c r="YD41" s="16">
        <f t="shared" si="17"/>
        <v>0</v>
      </c>
      <c r="YE41" t="s">
        <v>2015</v>
      </c>
      <c r="YX41" s="16">
        <f t="shared" si="18"/>
        <v>1</v>
      </c>
      <c r="YY41">
        <v>5</v>
      </c>
      <c r="ZR41" s="16">
        <f t="shared" si="19"/>
        <v>1</v>
      </c>
      <c r="ZX41" s="16">
        <f t="shared" si="20"/>
        <v>0</v>
      </c>
      <c r="AAT41" s="16">
        <f t="shared" si="21"/>
        <v>0</v>
      </c>
      <c r="ABQ41" s="16">
        <f t="shared" si="22"/>
        <v>0</v>
      </c>
      <c r="ABV41" s="16">
        <f t="shared" si="23"/>
        <v>0</v>
      </c>
      <c r="ACC41" s="16">
        <f t="shared" si="24"/>
        <v>0</v>
      </c>
      <c r="ACQ41" s="16">
        <f t="shared" si="25"/>
        <v>0</v>
      </c>
      <c r="ADA41" s="16">
        <f t="shared" si="26"/>
        <v>0</v>
      </c>
      <c r="ADM41" s="16">
        <f t="shared" si="27"/>
        <v>0</v>
      </c>
      <c r="AEI41" s="16">
        <f t="shared" si="28"/>
        <v>0</v>
      </c>
    </row>
    <row r="42" spans="1:815" x14ac:dyDescent="0.25">
      <c r="B42" s="4" t="s">
        <v>82</v>
      </c>
      <c r="C42" t="s">
        <v>83</v>
      </c>
      <c r="D42">
        <v>45</v>
      </c>
      <c r="E42" t="s">
        <v>14</v>
      </c>
      <c r="F42" t="s">
        <v>15</v>
      </c>
      <c r="G42" t="s">
        <v>15</v>
      </c>
      <c r="H42" t="s">
        <v>267</v>
      </c>
      <c r="I42" t="s">
        <v>243</v>
      </c>
      <c r="J42" t="s">
        <v>257</v>
      </c>
      <c r="K42" t="s">
        <v>1294</v>
      </c>
      <c r="L42" t="s">
        <v>303</v>
      </c>
      <c r="M42">
        <v>58</v>
      </c>
      <c r="N42">
        <v>161</v>
      </c>
      <c r="O42" t="s">
        <v>1081</v>
      </c>
      <c r="P42" s="11">
        <v>37998</v>
      </c>
      <c r="Q42" s="11">
        <v>38001</v>
      </c>
      <c r="R42" t="s">
        <v>1218</v>
      </c>
      <c r="S42" t="s">
        <v>1300</v>
      </c>
      <c r="T42" t="s">
        <v>1295</v>
      </c>
      <c r="U42" t="s">
        <v>1296</v>
      </c>
      <c r="V42" t="s">
        <v>1297</v>
      </c>
      <c r="W42" t="s">
        <v>1298</v>
      </c>
      <c r="BA42" s="16">
        <f t="shared" si="0"/>
        <v>0</v>
      </c>
      <c r="CB42" s="16">
        <f t="shared" si="1"/>
        <v>0</v>
      </c>
      <c r="DE42" s="16">
        <f t="shared" si="2"/>
        <v>0</v>
      </c>
      <c r="DS42" s="16">
        <f t="shared" si="3"/>
        <v>0</v>
      </c>
      <c r="EF42" s="16">
        <f t="shared" si="4"/>
        <v>0</v>
      </c>
      <c r="EG42">
        <v>8300</v>
      </c>
      <c r="FI42" s="16">
        <f t="shared" si="5"/>
        <v>1</v>
      </c>
      <c r="FJ42">
        <v>161</v>
      </c>
      <c r="GI42">
        <v>20.5</v>
      </c>
      <c r="HY42" s="16">
        <f t="shared" si="6"/>
        <v>2</v>
      </c>
      <c r="HZ42">
        <v>920</v>
      </c>
      <c r="IX42">
        <v>45.8</v>
      </c>
      <c r="KM42" s="16">
        <f t="shared" si="7"/>
        <v>2</v>
      </c>
      <c r="MZ42" s="16">
        <f t="shared" si="8"/>
        <v>0</v>
      </c>
      <c r="NA42">
        <v>255</v>
      </c>
      <c r="OQ42" s="16">
        <f t="shared" si="9"/>
        <v>1</v>
      </c>
      <c r="OW42" s="33">
        <f t="shared" si="10"/>
        <v>0</v>
      </c>
      <c r="OX42">
        <v>33.200000000000003</v>
      </c>
      <c r="PT42">
        <v>14.8</v>
      </c>
      <c r="RD42" s="16">
        <f t="shared" si="11"/>
        <v>2</v>
      </c>
      <c r="RU42" s="16">
        <f t="shared" si="12"/>
        <v>0</v>
      </c>
      <c r="UE42" s="16">
        <f t="shared" si="13"/>
        <v>0</v>
      </c>
      <c r="VJ42" s="16">
        <f t="shared" si="14"/>
        <v>0</v>
      </c>
      <c r="VK42">
        <v>52.3</v>
      </c>
      <c r="WM42" s="16">
        <f t="shared" si="15"/>
        <v>1</v>
      </c>
      <c r="XH42" s="16">
        <f t="shared" si="16"/>
        <v>0</v>
      </c>
      <c r="YD42" s="16">
        <f t="shared" si="17"/>
        <v>0</v>
      </c>
      <c r="YE42">
        <v>48</v>
      </c>
      <c r="YX42" s="16">
        <f t="shared" si="18"/>
        <v>1</v>
      </c>
      <c r="ZR42" s="16">
        <f t="shared" si="19"/>
        <v>0</v>
      </c>
      <c r="ZX42" s="16">
        <f t="shared" si="20"/>
        <v>0</v>
      </c>
      <c r="AAT42" s="16">
        <f t="shared" si="21"/>
        <v>0</v>
      </c>
      <c r="ABQ42" s="16">
        <f t="shared" si="22"/>
        <v>0</v>
      </c>
      <c r="ABR42" t="s">
        <v>2020</v>
      </c>
      <c r="ABV42" s="16">
        <f t="shared" si="23"/>
        <v>1</v>
      </c>
      <c r="ACC42" s="16">
        <f t="shared" si="24"/>
        <v>0</v>
      </c>
      <c r="ACQ42" s="16">
        <f t="shared" si="25"/>
        <v>0</v>
      </c>
      <c r="ADA42" s="16">
        <f t="shared" si="26"/>
        <v>0</v>
      </c>
      <c r="ADM42" s="16">
        <f t="shared" si="27"/>
        <v>0</v>
      </c>
      <c r="AEI42" s="16">
        <f t="shared" si="28"/>
        <v>0</v>
      </c>
    </row>
    <row r="43" spans="1:815" x14ac:dyDescent="0.25">
      <c r="B43" s="6" t="s">
        <v>84</v>
      </c>
      <c r="D43">
        <v>44</v>
      </c>
      <c r="E43" t="s">
        <v>14</v>
      </c>
      <c r="F43" t="s">
        <v>9</v>
      </c>
      <c r="G43" t="s">
        <v>15</v>
      </c>
      <c r="I43" t="s">
        <v>257</v>
      </c>
      <c r="J43" t="s">
        <v>257</v>
      </c>
      <c r="K43" t="s">
        <v>1307</v>
      </c>
      <c r="L43" t="s">
        <v>1301</v>
      </c>
      <c r="M43">
        <v>75</v>
      </c>
      <c r="S43" t="s">
        <v>1304</v>
      </c>
      <c r="U43" t="s">
        <v>1303</v>
      </c>
      <c r="V43" t="s">
        <v>1306</v>
      </c>
      <c r="W43" t="s">
        <v>1302</v>
      </c>
      <c r="BA43" s="16">
        <f t="shared" si="0"/>
        <v>0</v>
      </c>
      <c r="CB43" s="16">
        <f t="shared" si="1"/>
        <v>0</v>
      </c>
      <c r="DE43" s="16">
        <f t="shared" si="2"/>
        <v>0</v>
      </c>
      <c r="DS43" s="16">
        <f t="shared" si="3"/>
        <v>0</v>
      </c>
      <c r="EF43" s="16">
        <f t="shared" si="4"/>
        <v>0</v>
      </c>
      <c r="FI43" s="16">
        <f t="shared" si="5"/>
        <v>0</v>
      </c>
      <c r="HY43" s="16">
        <f t="shared" si="6"/>
        <v>0</v>
      </c>
      <c r="KM43" s="16">
        <f t="shared" si="7"/>
        <v>0</v>
      </c>
      <c r="MZ43" s="16">
        <f t="shared" si="8"/>
        <v>0</v>
      </c>
      <c r="OQ43" s="16">
        <f t="shared" si="9"/>
        <v>0</v>
      </c>
      <c r="OW43" s="33">
        <f t="shared" si="10"/>
        <v>0</v>
      </c>
      <c r="RD43" s="16">
        <f t="shared" si="11"/>
        <v>0</v>
      </c>
      <c r="RU43" s="16">
        <f t="shared" si="12"/>
        <v>0</v>
      </c>
      <c r="UE43" s="16">
        <f t="shared" si="13"/>
        <v>0</v>
      </c>
      <c r="VJ43" s="16">
        <f t="shared" si="14"/>
        <v>0</v>
      </c>
      <c r="WM43" s="16">
        <f t="shared" si="15"/>
        <v>0</v>
      </c>
      <c r="XH43" s="16">
        <f t="shared" si="16"/>
        <v>0</v>
      </c>
      <c r="YD43" s="16">
        <f t="shared" si="17"/>
        <v>0</v>
      </c>
      <c r="YX43" s="16">
        <f t="shared" si="18"/>
        <v>0</v>
      </c>
      <c r="ZR43" s="16">
        <f t="shared" si="19"/>
        <v>0</v>
      </c>
      <c r="ZX43" s="16">
        <f t="shared" si="20"/>
        <v>0</v>
      </c>
      <c r="AAT43" s="16">
        <f t="shared" si="21"/>
        <v>0</v>
      </c>
      <c r="ABQ43" s="16">
        <f t="shared" si="22"/>
        <v>0</v>
      </c>
      <c r="ABV43" s="16">
        <f t="shared" si="23"/>
        <v>0</v>
      </c>
      <c r="ACC43" s="16">
        <f t="shared" si="24"/>
        <v>0</v>
      </c>
      <c r="ACQ43" s="16">
        <f t="shared" si="25"/>
        <v>0</v>
      </c>
      <c r="ADA43" s="16">
        <f t="shared" si="26"/>
        <v>0</v>
      </c>
      <c r="ADM43" s="16">
        <f t="shared" si="27"/>
        <v>0</v>
      </c>
      <c r="AEI43" s="16">
        <f t="shared" si="28"/>
        <v>0</v>
      </c>
    </row>
    <row r="44" spans="1:815" x14ac:dyDescent="0.25">
      <c r="B44" s="2" t="s">
        <v>85</v>
      </c>
      <c r="C44" t="s">
        <v>86</v>
      </c>
      <c r="D44">
        <v>50</v>
      </c>
      <c r="E44" t="s">
        <v>8</v>
      </c>
      <c r="F44" t="s">
        <v>9</v>
      </c>
      <c r="G44" t="s">
        <v>9</v>
      </c>
      <c r="H44" t="s">
        <v>255</v>
      </c>
      <c r="I44" t="s">
        <v>243</v>
      </c>
      <c r="J44" t="s">
        <v>257</v>
      </c>
      <c r="K44" t="s">
        <v>1311</v>
      </c>
      <c r="L44" t="s">
        <v>316</v>
      </c>
      <c r="M44">
        <v>69.8</v>
      </c>
      <c r="N44">
        <v>166</v>
      </c>
      <c r="O44">
        <v>25</v>
      </c>
      <c r="P44" s="11">
        <v>38046</v>
      </c>
      <c r="Q44" s="11">
        <v>38046</v>
      </c>
      <c r="R44" t="s">
        <v>1133</v>
      </c>
      <c r="S44" t="s">
        <v>1308</v>
      </c>
      <c r="T44" t="s">
        <v>254</v>
      </c>
      <c r="U44" t="s">
        <v>1309</v>
      </c>
      <c r="V44" t="s">
        <v>1310</v>
      </c>
      <c r="X44" t="s">
        <v>1312</v>
      </c>
      <c r="BA44" s="16">
        <f t="shared" si="0"/>
        <v>0</v>
      </c>
      <c r="CB44" s="16">
        <f t="shared" si="1"/>
        <v>0</v>
      </c>
      <c r="DE44" s="16">
        <f t="shared" si="2"/>
        <v>0</v>
      </c>
      <c r="DS44" s="16">
        <f t="shared" si="3"/>
        <v>0</v>
      </c>
      <c r="EF44" s="16">
        <f t="shared" si="4"/>
        <v>0</v>
      </c>
      <c r="EG44">
        <v>6900</v>
      </c>
      <c r="FI44" s="16">
        <f t="shared" si="5"/>
        <v>1</v>
      </c>
      <c r="FJ44">
        <v>258</v>
      </c>
      <c r="GB44">
        <v>71</v>
      </c>
      <c r="HY44" s="16">
        <f t="shared" si="6"/>
        <v>2</v>
      </c>
      <c r="HZ44">
        <v>358</v>
      </c>
      <c r="IQ44">
        <v>45</v>
      </c>
      <c r="KM44" s="16">
        <f t="shared" si="7"/>
        <v>2</v>
      </c>
      <c r="KN44">
        <v>90</v>
      </c>
      <c r="LC44">
        <v>21</v>
      </c>
      <c r="MZ44" s="16">
        <f t="shared" si="8"/>
        <v>2</v>
      </c>
      <c r="OQ44" s="16">
        <f t="shared" si="9"/>
        <v>0</v>
      </c>
      <c r="OW44" s="33">
        <f t="shared" si="10"/>
        <v>0</v>
      </c>
      <c r="OX44" s="9">
        <v>11.9</v>
      </c>
      <c r="RD44" s="16">
        <f t="shared" si="11"/>
        <v>1</v>
      </c>
      <c r="RU44" s="16">
        <f t="shared" si="12"/>
        <v>0</v>
      </c>
      <c r="RV44">
        <v>83</v>
      </c>
      <c r="SM44">
        <v>60</v>
      </c>
      <c r="UE44" s="16">
        <f t="shared" si="13"/>
        <v>2</v>
      </c>
      <c r="VJ44" s="16">
        <f t="shared" si="14"/>
        <v>0</v>
      </c>
      <c r="WM44" s="16">
        <f t="shared" si="15"/>
        <v>0</v>
      </c>
      <c r="XH44" s="16">
        <f t="shared" si="16"/>
        <v>0</v>
      </c>
      <c r="YD44" s="16">
        <f t="shared" si="17"/>
        <v>0</v>
      </c>
      <c r="YE44">
        <v>33</v>
      </c>
      <c r="YX44" s="16">
        <f t="shared" si="18"/>
        <v>1</v>
      </c>
      <c r="YY44" t="s">
        <v>2026</v>
      </c>
      <c r="ZR44" s="16">
        <f t="shared" si="19"/>
        <v>1</v>
      </c>
      <c r="ZX44" s="16">
        <f t="shared" si="20"/>
        <v>0</v>
      </c>
      <c r="AAT44" s="16">
        <f t="shared" si="21"/>
        <v>0</v>
      </c>
      <c r="ABQ44" s="16">
        <f t="shared" si="22"/>
        <v>0</v>
      </c>
      <c r="ABV44" s="16">
        <f t="shared" si="23"/>
        <v>0</v>
      </c>
      <c r="ACC44" s="16">
        <f t="shared" si="24"/>
        <v>0</v>
      </c>
      <c r="ACQ44" s="16">
        <f t="shared" si="25"/>
        <v>0</v>
      </c>
      <c r="ADA44" s="16">
        <f t="shared" si="26"/>
        <v>0</v>
      </c>
      <c r="ADM44" s="16">
        <f t="shared" si="27"/>
        <v>0</v>
      </c>
      <c r="AEI44" s="16">
        <f t="shared" si="28"/>
        <v>0</v>
      </c>
    </row>
    <row r="45" spans="1:815" x14ac:dyDescent="0.25">
      <c r="B45" s="2" t="s">
        <v>87</v>
      </c>
      <c r="C45" t="s">
        <v>88</v>
      </c>
      <c r="D45">
        <v>38</v>
      </c>
      <c r="E45" t="s">
        <v>14</v>
      </c>
      <c r="F45" t="s">
        <v>9</v>
      </c>
      <c r="G45" t="s">
        <v>9</v>
      </c>
      <c r="H45" t="s">
        <v>268</v>
      </c>
      <c r="I45" t="s">
        <v>243</v>
      </c>
      <c r="J45" t="s">
        <v>257</v>
      </c>
      <c r="K45" t="s">
        <v>1313</v>
      </c>
      <c r="L45" t="s">
        <v>303</v>
      </c>
      <c r="M45">
        <v>80</v>
      </c>
      <c r="N45">
        <v>180</v>
      </c>
      <c r="O45" t="s">
        <v>1063</v>
      </c>
      <c r="P45" s="11">
        <v>38134</v>
      </c>
      <c r="Q45" s="11">
        <v>38140</v>
      </c>
      <c r="R45" t="s">
        <v>1113</v>
      </c>
      <c r="S45" t="s">
        <v>1137</v>
      </c>
      <c r="T45" t="s">
        <v>1316</v>
      </c>
      <c r="U45" t="s">
        <v>1315</v>
      </c>
      <c r="W45" t="s">
        <v>1314</v>
      </c>
      <c r="BA45" s="16">
        <f t="shared" si="0"/>
        <v>0</v>
      </c>
      <c r="BD45">
        <v>70</v>
      </c>
      <c r="BK45">
        <v>67</v>
      </c>
      <c r="CB45" s="16">
        <f t="shared" si="1"/>
        <v>2</v>
      </c>
      <c r="CE45">
        <v>44.5</v>
      </c>
      <c r="CM45">
        <v>42.3</v>
      </c>
      <c r="DE45" s="16">
        <f t="shared" si="2"/>
        <v>2</v>
      </c>
      <c r="DH45">
        <v>790</v>
      </c>
      <c r="DS45" s="16">
        <f t="shared" si="3"/>
        <v>1</v>
      </c>
      <c r="DX45" s="7">
        <v>1.08</v>
      </c>
      <c r="DY45" s="7"/>
      <c r="DZ45" s="7"/>
      <c r="EA45" s="7"/>
      <c r="EF45" s="16">
        <f t="shared" si="4"/>
        <v>1</v>
      </c>
      <c r="EG45">
        <v>4200</v>
      </c>
      <c r="EI45">
        <v>4000</v>
      </c>
      <c r="ET45">
        <v>285000</v>
      </c>
      <c r="FI45" s="16">
        <f t="shared" si="5"/>
        <v>3</v>
      </c>
      <c r="FJ45" t="s">
        <v>1956</v>
      </c>
      <c r="FN45" t="s">
        <v>1957</v>
      </c>
      <c r="GA45" t="s">
        <v>1958</v>
      </c>
      <c r="GC45" t="s">
        <v>1959</v>
      </c>
      <c r="HY45" s="16">
        <f t="shared" si="6"/>
        <v>4</v>
      </c>
      <c r="HZ45" t="s">
        <v>1971</v>
      </c>
      <c r="IC45" t="s">
        <v>1972</v>
      </c>
      <c r="IM45">
        <v>321</v>
      </c>
      <c r="IR45" t="s">
        <v>1973</v>
      </c>
      <c r="KM45" s="16">
        <f t="shared" si="7"/>
        <v>4</v>
      </c>
      <c r="KN45" t="s">
        <v>1982</v>
      </c>
      <c r="KP45" t="s">
        <v>1982</v>
      </c>
      <c r="KY45" t="s">
        <v>1983</v>
      </c>
      <c r="LD45" t="s">
        <v>1984</v>
      </c>
      <c r="MZ45" s="16">
        <f t="shared" si="8"/>
        <v>4</v>
      </c>
      <c r="OQ45" s="16">
        <f t="shared" si="9"/>
        <v>0</v>
      </c>
      <c r="OW45" s="33">
        <f t="shared" si="10"/>
        <v>0</v>
      </c>
      <c r="OX45">
        <v>11.5</v>
      </c>
      <c r="PL45">
        <v>9</v>
      </c>
      <c r="PQ45">
        <v>11</v>
      </c>
      <c r="RD45" s="16">
        <f t="shared" si="11"/>
        <v>3</v>
      </c>
      <c r="RU45" s="16">
        <f t="shared" si="12"/>
        <v>0</v>
      </c>
      <c r="RV45" t="s">
        <v>2003</v>
      </c>
      <c r="RY45">
        <v>189</v>
      </c>
      <c r="SI45" t="s">
        <v>2004</v>
      </c>
      <c r="SN45">
        <v>294</v>
      </c>
      <c r="UE45" s="16">
        <f t="shared" si="13"/>
        <v>4</v>
      </c>
      <c r="VJ45" s="16">
        <f t="shared" si="14"/>
        <v>0</v>
      </c>
      <c r="VK45">
        <v>109</v>
      </c>
      <c r="VM45">
        <v>92</v>
      </c>
      <c r="WB45">
        <v>86</v>
      </c>
      <c r="WM45" s="16">
        <f t="shared" si="15"/>
        <v>3</v>
      </c>
      <c r="WP45">
        <v>1.3</v>
      </c>
      <c r="WX45">
        <v>1.3</v>
      </c>
      <c r="XH45" s="16">
        <f t="shared" si="16"/>
        <v>2</v>
      </c>
      <c r="YD45" s="16">
        <f t="shared" si="17"/>
        <v>0</v>
      </c>
      <c r="YX45" s="16">
        <f t="shared" si="18"/>
        <v>0</v>
      </c>
      <c r="YY45">
        <v>241</v>
      </c>
      <c r="ZA45">
        <v>180</v>
      </c>
      <c r="ZH45">
        <v>49</v>
      </c>
      <c r="ZK45">
        <v>12.9</v>
      </c>
      <c r="ZR45" s="16">
        <f t="shared" si="19"/>
        <v>4</v>
      </c>
      <c r="ZX45" s="16">
        <f t="shared" si="20"/>
        <v>0</v>
      </c>
      <c r="AAT45" s="16">
        <f t="shared" si="21"/>
        <v>0</v>
      </c>
      <c r="AAU45">
        <v>113</v>
      </c>
      <c r="AAW45">
        <v>108</v>
      </c>
      <c r="ABJ45" t="s">
        <v>783</v>
      </c>
      <c r="ABQ45" s="16">
        <f t="shared" si="22"/>
        <v>1</v>
      </c>
      <c r="ABV45" s="16">
        <f t="shared" si="23"/>
        <v>0</v>
      </c>
      <c r="ACC45" s="16">
        <f t="shared" si="24"/>
        <v>0</v>
      </c>
      <c r="ACQ45" s="16">
        <f t="shared" si="25"/>
        <v>0</v>
      </c>
      <c r="ADA45" s="16">
        <f t="shared" si="26"/>
        <v>0</v>
      </c>
      <c r="ADM45" s="16">
        <f t="shared" si="27"/>
        <v>0</v>
      </c>
      <c r="AEI45" s="16">
        <f t="shared" si="28"/>
        <v>0</v>
      </c>
    </row>
    <row r="46" spans="1:815" x14ac:dyDescent="0.25">
      <c r="B46" s="2" t="s">
        <v>89</v>
      </c>
      <c r="C46" t="s">
        <v>90</v>
      </c>
      <c r="D46">
        <v>39</v>
      </c>
      <c r="E46" t="s">
        <v>8</v>
      </c>
      <c r="F46" t="s">
        <v>9</v>
      </c>
      <c r="G46" t="s">
        <v>9</v>
      </c>
      <c r="I46" t="s">
        <v>243</v>
      </c>
      <c r="K46" t="s">
        <v>1319</v>
      </c>
      <c r="L46" t="s">
        <v>317</v>
      </c>
      <c r="S46" t="s">
        <v>1317</v>
      </c>
      <c r="W46" t="s">
        <v>1318</v>
      </c>
      <c r="Z46">
        <v>8000</v>
      </c>
      <c r="BA46" s="16">
        <f t="shared" si="0"/>
        <v>1</v>
      </c>
      <c r="BB46">
        <v>13</v>
      </c>
      <c r="BC46">
        <v>39</v>
      </c>
      <c r="CB46" s="16">
        <f t="shared" si="1"/>
        <v>2</v>
      </c>
      <c r="DE46" s="16">
        <f t="shared" si="2"/>
        <v>0</v>
      </c>
      <c r="DS46" s="16">
        <f t="shared" si="3"/>
        <v>0</v>
      </c>
      <c r="EF46" s="16">
        <f t="shared" si="4"/>
        <v>0</v>
      </c>
      <c r="FI46" s="16">
        <f t="shared" si="5"/>
        <v>0</v>
      </c>
      <c r="FJ46">
        <v>10499</v>
      </c>
      <c r="FK46">
        <v>7931</v>
      </c>
      <c r="FL46">
        <v>3657</v>
      </c>
      <c r="HY46" s="16">
        <f t="shared" si="6"/>
        <v>3</v>
      </c>
      <c r="HZ46">
        <v>11047</v>
      </c>
      <c r="IA46">
        <v>8688</v>
      </c>
      <c r="IB46">
        <v>4612</v>
      </c>
      <c r="KM46" s="16">
        <f t="shared" si="7"/>
        <v>3</v>
      </c>
      <c r="MZ46" s="16">
        <f t="shared" si="8"/>
        <v>0</v>
      </c>
      <c r="OQ46" s="16">
        <f t="shared" si="9"/>
        <v>0</v>
      </c>
      <c r="OW46" s="33">
        <f t="shared" si="10"/>
        <v>0</v>
      </c>
      <c r="RD46" s="16">
        <f t="shared" si="11"/>
        <v>0</v>
      </c>
      <c r="RU46" s="16">
        <f t="shared" si="12"/>
        <v>0</v>
      </c>
      <c r="UE46" s="16">
        <f t="shared" si="13"/>
        <v>0</v>
      </c>
      <c r="VJ46" s="16">
        <f t="shared" si="14"/>
        <v>0</v>
      </c>
      <c r="WM46" s="16">
        <f t="shared" si="15"/>
        <v>0</v>
      </c>
      <c r="XH46" s="16">
        <f t="shared" si="16"/>
        <v>0</v>
      </c>
      <c r="YD46" s="16">
        <f t="shared" si="17"/>
        <v>0</v>
      </c>
      <c r="YX46" s="16">
        <f t="shared" si="18"/>
        <v>0</v>
      </c>
      <c r="ZR46" s="16">
        <f t="shared" si="19"/>
        <v>0</v>
      </c>
      <c r="ZX46" s="16">
        <f t="shared" si="20"/>
        <v>0</v>
      </c>
      <c r="AAT46" s="16">
        <f t="shared" si="21"/>
        <v>0</v>
      </c>
      <c r="ABQ46" s="16">
        <f t="shared" si="22"/>
        <v>0</v>
      </c>
      <c r="ABR46" s="10">
        <v>0.4839</v>
      </c>
      <c r="ABV46" s="16">
        <f t="shared" si="23"/>
        <v>1</v>
      </c>
      <c r="ACC46" s="16">
        <f t="shared" si="24"/>
        <v>0</v>
      </c>
      <c r="ACQ46" s="16">
        <f t="shared" si="25"/>
        <v>0</v>
      </c>
      <c r="ADA46" s="16">
        <f t="shared" si="26"/>
        <v>0</v>
      </c>
      <c r="ADM46" s="16">
        <f t="shared" si="27"/>
        <v>0</v>
      </c>
      <c r="AEI46" s="16">
        <f t="shared" si="28"/>
        <v>0</v>
      </c>
    </row>
    <row r="47" spans="1:815" x14ac:dyDescent="0.25">
      <c r="B47" s="3" t="s">
        <v>91</v>
      </c>
      <c r="F47" t="s">
        <v>9</v>
      </c>
      <c r="G47" t="s">
        <v>15</v>
      </c>
      <c r="L47" t="s">
        <v>1321</v>
      </c>
      <c r="BA47" s="16">
        <f t="shared" si="0"/>
        <v>0</v>
      </c>
      <c r="CB47" s="16">
        <f t="shared" si="1"/>
        <v>0</v>
      </c>
      <c r="DE47" s="16">
        <f t="shared" si="2"/>
        <v>0</v>
      </c>
      <c r="DS47" s="16">
        <f t="shared" si="3"/>
        <v>0</v>
      </c>
      <c r="EF47" s="16">
        <f t="shared" si="4"/>
        <v>0</v>
      </c>
      <c r="FI47" s="16">
        <f t="shared" si="5"/>
        <v>0</v>
      </c>
      <c r="HY47" s="16">
        <f t="shared" si="6"/>
        <v>0</v>
      </c>
      <c r="KM47" s="16">
        <f t="shared" si="7"/>
        <v>0</v>
      </c>
      <c r="MZ47" s="16">
        <f t="shared" si="8"/>
        <v>0</v>
      </c>
      <c r="OQ47" s="16">
        <f t="shared" si="9"/>
        <v>0</v>
      </c>
      <c r="OW47" s="33">
        <f t="shared" si="10"/>
        <v>0</v>
      </c>
      <c r="RD47" s="16">
        <f t="shared" si="11"/>
        <v>0</v>
      </c>
      <c r="RU47" s="16">
        <f t="shared" si="12"/>
        <v>0</v>
      </c>
      <c r="UE47" s="16">
        <f t="shared" si="13"/>
        <v>0</v>
      </c>
      <c r="VJ47" s="16">
        <f t="shared" si="14"/>
        <v>0</v>
      </c>
      <c r="WM47" s="16">
        <f t="shared" si="15"/>
        <v>0</v>
      </c>
      <c r="XH47" s="16">
        <f t="shared" si="16"/>
        <v>0</v>
      </c>
      <c r="YD47" s="16">
        <f t="shared" si="17"/>
        <v>0</v>
      </c>
      <c r="YX47" s="16">
        <f t="shared" si="18"/>
        <v>0</v>
      </c>
      <c r="ZR47" s="16">
        <f t="shared" si="19"/>
        <v>0</v>
      </c>
      <c r="ZX47" s="16">
        <f t="shared" si="20"/>
        <v>0</v>
      </c>
      <c r="AAT47" s="16">
        <f t="shared" si="21"/>
        <v>0</v>
      </c>
      <c r="ABQ47" s="16">
        <f t="shared" si="22"/>
        <v>0</v>
      </c>
      <c r="ABV47" s="16">
        <f t="shared" si="23"/>
        <v>0</v>
      </c>
      <c r="ACC47" s="16">
        <f t="shared" si="24"/>
        <v>0</v>
      </c>
      <c r="ACQ47" s="16">
        <f t="shared" si="25"/>
        <v>0</v>
      </c>
      <c r="ADA47" s="16">
        <f t="shared" si="26"/>
        <v>0</v>
      </c>
      <c r="ADM47" s="16">
        <f t="shared" si="27"/>
        <v>0</v>
      </c>
      <c r="AEI47" s="16">
        <f t="shared" si="28"/>
        <v>0</v>
      </c>
    </row>
    <row r="48" spans="1:815" x14ac:dyDescent="0.25">
      <c r="B48" s="6" t="s">
        <v>92</v>
      </c>
      <c r="F48" t="s">
        <v>9</v>
      </c>
      <c r="G48" t="s">
        <v>15</v>
      </c>
      <c r="L48" t="s">
        <v>1320</v>
      </c>
      <c r="M48">
        <v>45</v>
      </c>
      <c r="BA48" s="16">
        <f t="shared" si="0"/>
        <v>0</v>
      </c>
      <c r="CB48" s="16">
        <f t="shared" si="1"/>
        <v>0</v>
      </c>
      <c r="DE48" s="16">
        <f t="shared" si="2"/>
        <v>0</v>
      </c>
      <c r="DS48" s="16">
        <f t="shared" si="3"/>
        <v>0</v>
      </c>
      <c r="EF48" s="16">
        <f t="shared" si="4"/>
        <v>0</v>
      </c>
      <c r="FI48" s="16">
        <f t="shared" si="5"/>
        <v>0</v>
      </c>
      <c r="HY48" s="16">
        <f t="shared" si="6"/>
        <v>0</v>
      </c>
      <c r="KM48" s="16">
        <f t="shared" si="7"/>
        <v>0</v>
      </c>
      <c r="MZ48" s="16">
        <f t="shared" si="8"/>
        <v>0</v>
      </c>
      <c r="OQ48" s="16">
        <f t="shared" si="9"/>
        <v>0</v>
      </c>
      <c r="OW48" s="33">
        <f t="shared" si="10"/>
        <v>0</v>
      </c>
      <c r="RD48" s="16">
        <f t="shared" si="11"/>
        <v>0</v>
      </c>
      <c r="RU48" s="16">
        <f t="shared" si="12"/>
        <v>0</v>
      </c>
      <c r="UE48" s="16">
        <f t="shared" si="13"/>
        <v>0</v>
      </c>
      <c r="VJ48" s="16">
        <f t="shared" si="14"/>
        <v>0</v>
      </c>
      <c r="WM48" s="16">
        <f t="shared" si="15"/>
        <v>0</v>
      </c>
      <c r="XH48" s="16">
        <f t="shared" si="16"/>
        <v>0</v>
      </c>
      <c r="YD48" s="16">
        <f t="shared" si="17"/>
        <v>0</v>
      </c>
      <c r="YX48" s="16">
        <f t="shared" si="18"/>
        <v>0</v>
      </c>
      <c r="ZR48" s="16">
        <f t="shared" si="19"/>
        <v>0</v>
      </c>
      <c r="ZX48" s="16">
        <f t="shared" si="20"/>
        <v>0</v>
      </c>
      <c r="AAT48" s="16">
        <f t="shared" si="21"/>
        <v>0</v>
      </c>
      <c r="ABQ48" s="16">
        <f t="shared" si="22"/>
        <v>0</v>
      </c>
      <c r="ABV48" s="16">
        <f t="shared" si="23"/>
        <v>0</v>
      </c>
      <c r="ACC48" s="16">
        <f t="shared" si="24"/>
        <v>0</v>
      </c>
      <c r="ACQ48" s="16">
        <f t="shared" si="25"/>
        <v>0</v>
      </c>
      <c r="ADA48" s="16">
        <f t="shared" si="26"/>
        <v>0</v>
      </c>
      <c r="ADM48" s="16">
        <f t="shared" si="27"/>
        <v>0</v>
      </c>
      <c r="AEI48" s="16">
        <f t="shared" si="28"/>
        <v>0</v>
      </c>
    </row>
    <row r="49" spans="2:815" x14ac:dyDescent="0.25">
      <c r="B49" s="2" t="s">
        <v>93</v>
      </c>
      <c r="C49" t="s">
        <v>94</v>
      </c>
      <c r="D49">
        <v>78</v>
      </c>
      <c r="E49" t="s">
        <v>8</v>
      </c>
      <c r="F49" t="s">
        <v>15</v>
      </c>
      <c r="G49" t="s">
        <v>9</v>
      </c>
      <c r="H49" t="s">
        <v>249</v>
      </c>
      <c r="I49" t="s">
        <v>243</v>
      </c>
      <c r="J49" t="s">
        <v>257</v>
      </c>
      <c r="K49" t="s">
        <v>256</v>
      </c>
      <c r="L49" t="s">
        <v>303</v>
      </c>
      <c r="M49">
        <v>63</v>
      </c>
      <c r="N49">
        <v>162</v>
      </c>
      <c r="O49">
        <v>24</v>
      </c>
      <c r="P49" s="11">
        <v>38275</v>
      </c>
      <c r="Q49" s="11">
        <v>38281</v>
      </c>
      <c r="R49" t="s">
        <v>1113</v>
      </c>
      <c r="S49" t="s">
        <v>1219</v>
      </c>
      <c r="T49" t="s">
        <v>1329</v>
      </c>
      <c r="W49" t="s">
        <v>1328</v>
      </c>
      <c r="Z49">
        <v>63</v>
      </c>
      <c r="AA49">
        <v>42</v>
      </c>
      <c r="BA49" s="16">
        <f t="shared" si="0"/>
        <v>2</v>
      </c>
      <c r="BB49" t="s">
        <v>786</v>
      </c>
      <c r="CB49" s="16">
        <f t="shared" si="1"/>
        <v>1</v>
      </c>
      <c r="CC49" t="s">
        <v>787</v>
      </c>
      <c r="CV49">
        <v>21</v>
      </c>
      <c r="DE49" s="16">
        <f t="shared" si="2"/>
        <v>2</v>
      </c>
      <c r="DS49" s="16">
        <f t="shared" si="3"/>
        <v>0</v>
      </c>
      <c r="EF49" s="16">
        <f t="shared" si="4"/>
        <v>0</v>
      </c>
      <c r="EG49">
        <v>12600</v>
      </c>
      <c r="EI49">
        <v>11500</v>
      </c>
      <c r="EX49">
        <v>12410</v>
      </c>
      <c r="FG49">
        <v>12610</v>
      </c>
      <c r="FI49" s="16">
        <f t="shared" si="5"/>
        <v>4</v>
      </c>
      <c r="FJ49">
        <v>22</v>
      </c>
      <c r="FN49">
        <v>22</v>
      </c>
      <c r="GB49">
        <v>36</v>
      </c>
      <c r="GF49">
        <v>18</v>
      </c>
      <c r="GM49">
        <v>17</v>
      </c>
      <c r="HY49" s="16">
        <f t="shared" si="6"/>
        <v>5</v>
      </c>
      <c r="HZ49">
        <v>23</v>
      </c>
      <c r="IC49">
        <v>22</v>
      </c>
      <c r="IQ49">
        <v>58</v>
      </c>
      <c r="IU49">
        <v>34</v>
      </c>
      <c r="JB49">
        <v>33</v>
      </c>
      <c r="KM49" s="16">
        <f t="shared" si="7"/>
        <v>5</v>
      </c>
      <c r="KN49">
        <v>95</v>
      </c>
      <c r="KP49">
        <v>90</v>
      </c>
      <c r="KW49">
        <v>91</v>
      </c>
      <c r="LC49">
        <v>159</v>
      </c>
      <c r="LG49">
        <v>136</v>
      </c>
      <c r="LN49">
        <v>116</v>
      </c>
      <c r="MZ49" s="16">
        <f t="shared" si="8"/>
        <v>6</v>
      </c>
      <c r="NA49">
        <v>236</v>
      </c>
      <c r="ND49">
        <v>235</v>
      </c>
      <c r="OQ49" s="16">
        <f t="shared" si="9"/>
        <v>2</v>
      </c>
      <c r="OW49" s="33">
        <f t="shared" si="10"/>
        <v>0</v>
      </c>
      <c r="RD49" s="16">
        <f t="shared" si="11"/>
        <v>0</v>
      </c>
      <c r="RU49" s="16">
        <f t="shared" si="12"/>
        <v>0</v>
      </c>
      <c r="RV49">
        <v>93</v>
      </c>
      <c r="RY49">
        <v>84</v>
      </c>
      <c r="SM49">
        <v>94</v>
      </c>
      <c r="SQ49">
        <v>89</v>
      </c>
      <c r="SX49">
        <v>98</v>
      </c>
      <c r="UE49" s="16">
        <f t="shared" si="13"/>
        <v>5</v>
      </c>
      <c r="VJ49" s="16">
        <f t="shared" si="14"/>
        <v>0</v>
      </c>
      <c r="VK49">
        <v>88</v>
      </c>
      <c r="VM49">
        <v>88</v>
      </c>
      <c r="WA49" t="s">
        <v>731</v>
      </c>
      <c r="WF49" t="s">
        <v>731</v>
      </c>
      <c r="WM49" s="16">
        <f t="shared" si="15"/>
        <v>4</v>
      </c>
      <c r="XH49" s="16">
        <f t="shared" si="16"/>
        <v>0</v>
      </c>
      <c r="YD49" s="16">
        <f t="shared" si="17"/>
        <v>0</v>
      </c>
      <c r="YG49">
        <v>155</v>
      </c>
      <c r="YH49">
        <v>188</v>
      </c>
      <c r="YX49" s="16">
        <f t="shared" si="18"/>
        <v>2</v>
      </c>
      <c r="YY49">
        <v>11</v>
      </c>
      <c r="ZB49">
        <v>3</v>
      </c>
      <c r="ZJ49">
        <v>2</v>
      </c>
      <c r="ZR49" s="16">
        <f t="shared" si="19"/>
        <v>3</v>
      </c>
      <c r="ZX49" s="16">
        <f t="shared" si="20"/>
        <v>0</v>
      </c>
      <c r="ZY49">
        <v>0.63</v>
      </c>
      <c r="AAT49" s="16">
        <f t="shared" si="21"/>
        <v>1</v>
      </c>
      <c r="AAU49" t="s">
        <v>835</v>
      </c>
      <c r="AAW49" t="s">
        <v>836</v>
      </c>
      <c r="ABI49" t="s">
        <v>796</v>
      </c>
      <c r="ABQ49" s="16">
        <f t="shared" si="22"/>
        <v>1</v>
      </c>
      <c r="ABV49" s="16">
        <f t="shared" si="23"/>
        <v>0</v>
      </c>
      <c r="ACC49" s="16">
        <f t="shared" si="24"/>
        <v>0</v>
      </c>
      <c r="ACQ49" s="16">
        <f t="shared" si="25"/>
        <v>0</v>
      </c>
      <c r="ADA49" s="16">
        <f t="shared" si="26"/>
        <v>0</v>
      </c>
      <c r="ADM49" s="16">
        <f t="shared" si="27"/>
        <v>0</v>
      </c>
      <c r="AEI49" s="16">
        <f t="shared" si="28"/>
        <v>0</v>
      </c>
    </row>
    <row r="50" spans="2:815" x14ac:dyDescent="0.25">
      <c r="B50" s="2" t="s">
        <v>95</v>
      </c>
      <c r="C50" t="s">
        <v>96</v>
      </c>
      <c r="D50">
        <v>54</v>
      </c>
      <c r="E50" t="s">
        <v>8</v>
      </c>
      <c r="F50" t="s">
        <v>15</v>
      </c>
      <c r="G50" t="s">
        <v>9</v>
      </c>
      <c r="H50" t="s">
        <v>249</v>
      </c>
      <c r="I50" t="s">
        <v>243</v>
      </c>
      <c r="K50" t="s">
        <v>1332</v>
      </c>
      <c r="L50" t="s">
        <v>303</v>
      </c>
      <c r="M50">
        <v>87</v>
      </c>
      <c r="N50">
        <v>169</v>
      </c>
      <c r="O50" t="s">
        <v>1082</v>
      </c>
      <c r="P50" s="11">
        <v>38274</v>
      </c>
      <c r="Q50" s="11">
        <v>38285</v>
      </c>
      <c r="R50" t="s">
        <v>1142</v>
      </c>
      <c r="S50" t="s">
        <v>1219</v>
      </c>
      <c r="T50" t="s">
        <v>1331</v>
      </c>
      <c r="W50" t="s">
        <v>1330</v>
      </c>
      <c r="Z50">
        <v>29</v>
      </c>
      <c r="AY50">
        <v>24</v>
      </c>
      <c r="AZ50">
        <v>16</v>
      </c>
      <c r="BA50" s="16">
        <f t="shared" si="0"/>
        <v>3</v>
      </c>
      <c r="BB50" t="s">
        <v>799</v>
      </c>
      <c r="CA50" t="s">
        <v>799</v>
      </c>
      <c r="CB50" s="16">
        <f t="shared" si="1"/>
        <v>2</v>
      </c>
      <c r="CC50">
        <v>25</v>
      </c>
      <c r="DD50">
        <v>22</v>
      </c>
      <c r="DE50" s="16">
        <f t="shared" si="2"/>
        <v>2</v>
      </c>
      <c r="DS50" s="16">
        <f t="shared" si="3"/>
        <v>0</v>
      </c>
      <c r="EF50" s="16">
        <f t="shared" si="4"/>
        <v>0</v>
      </c>
      <c r="EG50">
        <v>14100</v>
      </c>
      <c r="FI50" s="16">
        <f t="shared" si="5"/>
        <v>1</v>
      </c>
      <c r="FJ50">
        <v>38</v>
      </c>
      <c r="HS50">
        <v>64</v>
      </c>
      <c r="HT50">
        <v>53</v>
      </c>
      <c r="HU50">
        <v>54</v>
      </c>
      <c r="HV50">
        <v>57</v>
      </c>
      <c r="HW50">
        <v>57</v>
      </c>
      <c r="HY50" s="16">
        <f t="shared" si="6"/>
        <v>6</v>
      </c>
      <c r="HZ50">
        <v>51</v>
      </c>
      <c r="KG50">
        <v>73</v>
      </c>
      <c r="KH50">
        <v>69</v>
      </c>
      <c r="KI50">
        <v>72</v>
      </c>
      <c r="KJ50">
        <v>82</v>
      </c>
      <c r="KK50">
        <v>86</v>
      </c>
      <c r="KM50" s="16">
        <f t="shared" si="7"/>
        <v>6</v>
      </c>
      <c r="MT50">
        <v>224</v>
      </c>
      <c r="MU50">
        <v>231</v>
      </c>
      <c r="MV50">
        <v>249</v>
      </c>
      <c r="MW50">
        <v>301</v>
      </c>
      <c r="MX50">
        <v>378</v>
      </c>
      <c r="MZ50" s="16">
        <f t="shared" si="8"/>
        <v>5</v>
      </c>
      <c r="NA50">
        <v>196</v>
      </c>
      <c r="ON50">
        <v>195</v>
      </c>
      <c r="OO50">
        <v>267</v>
      </c>
      <c r="OP50">
        <v>252</v>
      </c>
      <c r="OQ50" s="16">
        <f t="shared" si="9"/>
        <v>4</v>
      </c>
      <c r="OR50" s="32">
        <v>13.5</v>
      </c>
      <c r="OU50" s="32">
        <v>12.5</v>
      </c>
      <c r="OV50" s="32">
        <v>22</v>
      </c>
      <c r="OW50" s="33">
        <f t="shared" si="10"/>
        <v>3</v>
      </c>
      <c r="RA50" t="s">
        <v>1713</v>
      </c>
      <c r="RB50" t="s">
        <v>1714</v>
      </c>
      <c r="RC50" t="s">
        <v>1715</v>
      </c>
      <c r="RD50" s="16">
        <f t="shared" si="11"/>
        <v>3</v>
      </c>
      <c r="RU50" s="16">
        <f t="shared" si="12"/>
        <v>0</v>
      </c>
      <c r="RV50">
        <v>139</v>
      </c>
      <c r="TY50">
        <v>159</v>
      </c>
      <c r="TZ50">
        <v>142</v>
      </c>
      <c r="UA50">
        <v>138</v>
      </c>
      <c r="UB50">
        <v>137</v>
      </c>
      <c r="UC50">
        <v>131</v>
      </c>
      <c r="UE50" s="16">
        <f t="shared" si="13"/>
        <v>6</v>
      </c>
      <c r="VJ50" s="16">
        <f t="shared" si="14"/>
        <v>0</v>
      </c>
      <c r="VK50">
        <v>88</v>
      </c>
      <c r="WL50">
        <v>88</v>
      </c>
      <c r="WM50" s="16">
        <f t="shared" si="15"/>
        <v>2</v>
      </c>
      <c r="WN50">
        <v>0.93</v>
      </c>
      <c r="XH50" s="16">
        <f t="shared" si="16"/>
        <v>1</v>
      </c>
      <c r="YD50" s="16">
        <f t="shared" si="17"/>
        <v>0</v>
      </c>
      <c r="YX50" s="16">
        <f t="shared" si="18"/>
        <v>0</v>
      </c>
      <c r="YY50">
        <v>33</v>
      </c>
      <c r="ZO50">
        <v>4.5</v>
      </c>
      <c r="ZP50">
        <v>1</v>
      </c>
      <c r="ZQ50">
        <v>0.5</v>
      </c>
      <c r="ZR50" s="16">
        <f t="shared" si="19"/>
        <v>4</v>
      </c>
      <c r="ZX50" s="16">
        <f t="shared" si="20"/>
        <v>0</v>
      </c>
      <c r="AAT50" s="16">
        <f t="shared" si="21"/>
        <v>0</v>
      </c>
      <c r="AAU50" t="s">
        <v>834</v>
      </c>
      <c r="ABQ50" s="16">
        <f t="shared" si="22"/>
        <v>1</v>
      </c>
      <c r="ABV50" s="16">
        <f t="shared" si="23"/>
        <v>0</v>
      </c>
      <c r="ACC50" s="16">
        <f t="shared" si="24"/>
        <v>0</v>
      </c>
      <c r="ACQ50" s="16">
        <f t="shared" si="25"/>
        <v>0</v>
      </c>
      <c r="ADA50" s="16">
        <f t="shared" si="26"/>
        <v>0</v>
      </c>
      <c r="ADM50" s="16">
        <f t="shared" si="27"/>
        <v>0</v>
      </c>
      <c r="AEI50" s="16">
        <f t="shared" si="28"/>
        <v>0</v>
      </c>
    </row>
    <row r="51" spans="2:815" x14ac:dyDescent="0.25">
      <c r="B51" s="4" t="s">
        <v>97</v>
      </c>
      <c r="C51" t="s">
        <v>98</v>
      </c>
      <c r="D51">
        <v>64</v>
      </c>
      <c r="E51" t="s">
        <v>8</v>
      </c>
      <c r="F51" t="s">
        <v>9</v>
      </c>
      <c r="G51" t="s">
        <v>15</v>
      </c>
      <c r="V51" t="s">
        <v>1334</v>
      </c>
      <c r="W51" t="s">
        <v>1333</v>
      </c>
      <c r="BA51" s="16">
        <f t="shared" si="0"/>
        <v>0</v>
      </c>
      <c r="CB51" s="16">
        <f t="shared" si="1"/>
        <v>0</v>
      </c>
      <c r="DE51" s="16">
        <f t="shared" si="2"/>
        <v>0</v>
      </c>
      <c r="DS51" s="16">
        <f t="shared" si="3"/>
        <v>0</v>
      </c>
      <c r="EF51" s="16">
        <f t="shared" si="4"/>
        <v>0</v>
      </c>
      <c r="FI51" s="16">
        <f t="shared" si="5"/>
        <v>0</v>
      </c>
      <c r="HY51" s="16">
        <f t="shared" si="6"/>
        <v>0</v>
      </c>
      <c r="KM51" s="16">
        <f t="shared" si="7"/>
        <v>0</v>
      </c>
      <c r="MZ51" s="16">
        <f t="shared" si="8"/>
        <v>0</v>
      </c>
      <c r="OQ51" s="16">
        <f t="shared" si="9"/>
        <v>0</v>
      </c>
      <c r="OW51" s="33">
        <f t="shared" si="10"/>
        <v>0</v>
      </c>
      <c r="RD51" s="16">
        <f t="shared" si="11"/>
        <v>0</v>
      </c>
      <c r="RU51" s="16">
        <f t="shared" si="12"/>
        <v>0</v>
      </c>
      <c r="UE51" s="16">
        <f t="shared" si="13"/>
        <v>0</v>
      </c>
      <c r="VJ51" s="16">
        <f t="shared" si="14"/>
        <v>0</v>
      </c>
      <c r="WM51" s="16">
        <f t="shared" si="15"/>
        <v>0</v>
      </c>
      <c r="XH51" s="16">
        <f t="shared" si="16"/>
        <v>0</v>
      </c>
      <c r="YD51" s="16">
        <f t="shared" si="17"/>
        <v>0</v>
      </c>
      <c r="YX51" s="16">
        <f t="shared" si="18"/>
        <v>0</v>
      </c>
      <c r="ZR51" s="16">
        <f t="shared" si="19"/>
        <v>0</v>
      </c>
      <c r="ZX51" s="16">
        <f t="shared" si="20"/>
        <v>0</v>
      </c>
      <c r="AAT51" s="16">
        <f t="shared" si="21"/>
        <v>0</v>
      </c>
      <c r="ABQ51" s="16">
        <f t="shared" si="22"/>
        <v>0</v>
      </c>
      <c r="ABV51" s="16">
        <f t="shared" si="23"/>
        <v>0</v>
      </c>
      <c r="ACC51" s="16">
        <f t="shared" si="24"/>
        <v>0</v>
      </c>
      <c r="ACQ51" s="16">
        <f t="shared" si="25"/>
        <v>0</v>
      </c>
      <c r="ADA51" s="16">
        <f t="shared" si="26"/>
        <v>0</v>
      </c>
      <c r="ADM51" s="16">
        <f t="shared" si="27"/>
        <v>0</v>
      </c>
      <c r="AEI51" s="16">
        <f t="shared" si="28"/>
        <v>0</v>
      </c>
    </row>
    <row r="52" spans="2:815" x14ac:dyDescent="0.25">
      <c r="B52" s="4" t="s">
        <v>99</v>
      </c>
      <c r="D52">
        <v>28</v>
      </c>
      <c r="E52" t="s">
        <v>14</v>
      </c>
      <c r="F52" t="s">
        <v>9</v>
      </c>
      <c r="G52" t="s">
        <v>9</v>
      </c>
      <c r="J52" t="s">
        <v>257</v>
      </c>
      <c r="L52" t="s">
        <v>1337</v>
      </c>
      <c r="S52" t="s">
        <v>1335</v>
      </c>
      <c r="U52" t="s">
        <v>1336</v>
      </c>
      <c r="BA52" s="16">
        <f t="shared" si="0"/>
        <v>0</v>
      </c>
      <c r="CB52" s="16">
        <f t="shared" si="1"/>
        <v>0</v>
      </c>
      <c r="DE52" s="16">
        <f t="shared" si="2"/>
        <v>0</v>
      </c>
      <c r="DS52" s="16">
        <f t="shared" si="3"/>
        <v>0</v>
      </c>
      <c r="EF52" s="16">
        <f t="shared" si="4"/>
        <v>0</v>
      </c>
      <c r="FI52" s="16">
        <f t="shared" si="5"/>
        <v>0</v>
      </c>
      <c r="HY52" s="16">
        <f t="shared" si="6"/>
        <v>0</v>
      </c>
      <c r="KM52" s="16">
        <f t="shared" si="7"/>
        <v>0</v>
      </c>
      <c r="MZ52" s="16">
        <f t="shared" si="8"/>
        <v>0</v>
      </c>
      <c r="OQ52" s="16">
        <f t="shared" si="9"/>
        <v>0</v>
      </c>
      <c r="OW52" s="33">
        <f t="shared" si="10"/>
        <v>0</v>
      </c>
      <c r="RD52" s="16">
        <f t="shared" si="11"/>
        <v>0</v>
      </c>
      <c r="RU52" s="16">
        <f t="shared" si="12"/>
        <v>0</v>
      </c>
      <c r="UE52" s="16">
        <f t="shared" si="13"/>
        <v>0</v>
      </c>
      <c r="VJ52" s="16">
        <f t="shared" si="14"/>
        <v>0</v>
      </c>
      <c r="VK52" t="s">
        <v>1868</v>
      </c>
      <c r="VL52">
        <v>440</v>
      </c>
      <c r="WM52" s="16">
        <f t="shared" si="15"/>
        <v>2</v>
      </c>
      <c r="XH52" s="16">
        <f t="shared" si="16"/>
        <v>0</v>
      </c>
      <c r="YD52" s="16">
        <f t="shared" si="17"/>
        <v>0</v>
      </c>
      <c r="YX52" s="16">
        <f t="shared" si="18"/>
        <v>0</v>
      </c>
      <c r="ZR52" s="16">
        <f t="shared" si="19"/>
        <v>0</v>
      </c>
      <c r="ZX52" s="16">
        <f t="shared" si="20"/>
        <v>0</v>
      </c>
      <c r="AAT52" s="16">
        <f t="shared" si="21"/>
        <v>0</v>
      </c>
      <c r="ABQ52" s="16">
        <f t="shared" si="22"/>
        <v>0</v>
      </c>
      <c r="ABV52" s="16">
        <f t="shared" si="23"/>
        <v>0</v>
      </c>
      <c r="ACC52" s="16">
        <f t="shared" si="24"/>
        <v>0</v>
      </c>
      <c r="ACQ52" s="16">
        <f t="shared" si="25"/>
        <v>0</v>
      </c>
      <c r="ADA52" s="16">
        <f t="shared" si="26"/>
        <v>0</v>
      </c>
      <c r="ADM52" s="16">
        <f t="shared" si="27"/>
        <v>0</v>
      </c>
      <c r="AEI52" s="16">
        <f t="shared" si="28"/>
        <v>0</v>
      </c>
    </row>
    <row r="53" spans="2:815" x14ac:dyDescent="0.25">
      <c r="B53" s="4" t="s">
        <v>100</v>
      </c>
      <c r="D53">
        <v>23</v>
      </c>
      <c r="E53" t="s">
        <v>14</v>
      </c>
      <c r="F53" t="s">
        <v>9</v>
      </c>
      <c r="G53" t="s">
        <v>9</v>
      </c>
      <c r="K53" t="s">
        <v>1338</v>
      </c>
      <c r="L53" t="s">
        <v>318</v>
      </c>
      <c r="S53" t="s">
        <v>1342</v>
      </c>
      <c r="U53" t="s">
        <v>1336</v>
      </c>
      <c r="BA53" s="16">
        <f t="shared" si="0"/>
        <v>0</v>
      </c>
      <c r="CB53" s="16">
        <f t="shared" si="1"/>
        <v>0</v>
      </c>
      <c r="DE53" s="16">
        <f t="shared" si="2"/>
        <v>0</v>
      </c>
      <c r="DS53" s="16">
        <f t="shared" si="3"/>
        <v>0</v>
      </c>
      <c r="EF53" s="16">
        <f t="shared" si="4"/>
        <v>0</v>
      </c>
      <c r="FI53" s="16">
        <f t="shared" si="5"/>
        <v>0</v>
      </c>
      <c r="HY53" s="16">
        <f t="shared" si="6"/>
        <v>0</v>
      </c>
      <c r="KM53" s="16">
        <f t="shared" si="7"/>
        <v>0</v>
      </c>
      <c r="MZ53" s="16">
        <f t="shared" si="8"/>
        <v>0</v>
      </c>
      <c r="OQ53" s="16">
        <f t="shared" si="9"/>
        <v>0</v>
      </c>
      <c r="OW53" s="33">
        <f t="shared" si="10"/>
        <v>0</v>
      </c>
      <c r="RD53" s="16">
        <f t="shared" si="11"/>
        <v>0</v>
      </c>
      <c r="RU53" s="16">
        <f t="shared" si="12"/>
        <v>0</v>
      </c>
      <c r="UE53" s="16">
        <f t="shared" si="13"/>
        <v>0</v>
      </c>
      <c r="VJ53" s="16">
        <f t="shared" si="14"/>
        <v>0</v>
      </c>
      <c r="VK53" t="s">
        <v>1868</v>
      </c>
      <c r="VL53">
        <v>440</v>
      </c>
      <c r="WM53" s="16">
        <f t="shared" si="15"/>
        <v>2</v>
      </c>
      <c r="XH53" s="16">
        <f t="shared" si="16"/>
        <v>0</v>
      </c>
      <c r="YD53" s="16">
        <f t="shared" si="17"/>
        <v>0</v>
      </c>
      <c r="YX53" s="16">
        <f t="shared" si="18"/>
        <v>0</v>
      </c>
      <c r="ZR53" s="16">
        <f t="shared" si="19"/>
        <v>0</v>
      </c>
      <c r="ZX53" s="16">
        <f t="shared" si="20"/>
        <v>0</v>
      </c>
      <c r="AAT53" s="16">
        <f t="shared" si="21"/>
        <v>0</v>
      </c>
      <c r="ABQ53" s="16">
        <f t="shared" si="22"/>
        <v>0</v>
      </c>
      <c r="ABV53" s="16">
        <f t="shared" si="23"/>
        <v>0</v>
      </c>
      <c r="ACC53" s="16">
        <f t="shared" si="24"/>
        <v>0</v>
      </c>
      <c r="ACQ53" s="16">
        <f t="shared" si="25"/>
        <v>0</v>
      </c>
      <c r="ADA53" s="16">
        <f t="shared" si="26"/>
        <v>0</v>
      </c>
      <c r="ADM53" s="16">
        <f t="shared" si="27"/>
        <v>0</v>
      </c>
      <c r="AEI53" s="16">
        <f t="shared" si="28"/>
        <v>0</v>
      </c>
    </row>
    <row r="54" spans="2:815" x14ac:dyDescent="0.25">
      <c r="B54" s="4" t="s">
        <v>101</v>
      </c>
      <c r="D54">
        <v>35</v>
      </c>
      <c r="E54" t="s">
        <v>8</v>
      </c>
      <c r="F54" t="s">
        <v>9</v>
      </c>
      <c r="G54" t="s">
        <v>9</v>
      </c>
      <c r="K54" t="s">
        <v>1341</v>
      </c>
      <c r="L54" t="s">
        <v>318</v>
      </c>
      <c r="S54" t="s">
        <v>1339</v>
      </c>
      <c r="U54" t="s">
        <v>1336</v>
      </c>
      <c r="W54" t="s">
        <v>1340</v>
      </c>
      <c r="BA54" s="16">
        <f t="shared" si="0"/>
        <v>0</v>
      </c>
      <c r="CB54" s="16">
        <f t="shared" si="1"/>
        <v>0</v>
      </c>
      <c r="DE54" s="16">
        <f t="shared" si="2"/>
        <v>0</v>
      </c>
      <c r="DS54" s="16">
        <f t="shared" si="3"/>
        <v>0</v>
      </c>
      <c r="EF54" s="16">
        <f t="shared" si="4"/>
        <v>0</v>
      </c>
      <c r="FI54" s="16">
        <f t="shared" si="5"/>
        <v>0</v>
      </c>
      <c r="HY54" s="16">
        <f t="shared" si="6"/>
        <v>0</v>
      </c>
      <c r="KM54" s="16">
        <f t="shared" si="7"/>
        <v>0</v>
      </c>
      <c r="MZ54" s="16">
        <f t="shared" si="8"/>
        <v>0</v>
      </c>
      <c r="OQ54" s="16">
        <f t="shared" si="9"/>
        <v>0</v>
      </c>
      <c r="OW54" s="33">
        <f t="shared" si="10"/>
        <v>0</v>
      </c>
      <c r="RD54" s="16">
        <f t="shared" si="11"/>
        <v>0</v>
      </c>
      <c r="RU54" s="16">
        <f t="shared" si="12"/>
        <v>0</v>
      </c>
      <c r="UE54" s="16">
        <f t="shared" si="13"/>
        <v>0</v>
      </c>
      <c r="VJ54" s="16">
        <f t="shared" si="14"/>
        <v>0</v>
      </c>
      <c r="VK54" t="s">
        <v>1868</v>
      </c>
      <c r="VL54">
        <v>440</v>
      </c>
      <c r="WM54" s="16">
        <f t="shared" si="15"/>
        <v>2</v>
      </c>
      <c r="XH54" s="16">
        <f t="shared" si="16"/>
        <v>0</v>
      </c>
      <c r="YD54" s="16">
        <f t="shared" si="17"/>
        <v>0</v>
      </c>
      <c r="YX54" s="16">
        <f t="shared" si="18"/>
        <v>0</v>
      </c>
      <c r="ZR54" s="16">
        <f t="shared" si="19"/>
        <v>0</v>
      </c>
      <c r="ZX54" s="16">
        <f t="shared" si="20"/>
        <v>0</v>
      </c>
      <c r="AAT54" s="16">
        <f t="shared" si="21"/>
        <v>0</v>
      </c>
      <c r="ABQ54" s="16">
        <f t="shared" si="22"/>
        <v>0</v>
      </c>
      <c r="ABV54" s="16">
        <f t="shared" si="23"/>
        <v>0</v>
      </c>
      <c r="ACC54" s="16">
        <f t="shared" si="24"/>
        <v>0</v>
      </c>
      <c r="ACQ54" s="16">
        <f t="shared" si="25"/>
        <v>0</v>
      </c>
      <c r="ADA54" s="16">
        <f t="shared" si="26"/>
        <v>0</v>
      </c>
      <c r="ADM54" s="16">
        <f t="shared" si="27"/>
        <v>0</v>
      </c>
      <c r="AEI54" s="16">
        <f t="shared" si="28"/>
        <v>0</v>
      </c>
    </row>
    <row r="55" spans="2:815" x14ac:dyDescent="0.25">
      <c r="B55" s="6" t="s">
        <v>102</v>
      </c>
      <c r="D55">
        <v>71</v>
      </c>
      <c r="E55" t="s">
        <v>14</v>
      </c>
      <c r="F55" t="s">
        <v>9</v>
      </c>
      <c r="G55" t="s">
        <v>9</v>
      </c>
      <c r="J55" t="s">
        <v>243</v>
      </c>
      <c r="K55" t="s">
        <v>1343</v>
      </c>
      <c r="L55" t="s">
        <v>318</v>
      </c>
      <c r="S55" t="s">
        <v>1335</v>
      </c>
      <c r="U55" t="s">
        <v>1336</v>
      </c>
      <c r="BA55" s="16">
        <f t="shared" si="0"/>
        <v>0</v>
      </c>
      <c r="CB55" s="16">
        <f t="shared" si="1"/>
        <v>0</v>
      </c>
      <c r="DE55" s="16">
        <f t="shared" si="2"/>
        <v>0</v>
      </c>
      <c r="DS55" s="16">
        <f t="shared" si="3"/>
        <v>0</v>
      </c>
      <c r="EF55" s="16">
        <f t="shared" si="4"/>
        <v>0</v>
      </c>
      <c r="FI55" s="16">
        <f t="shared" si="5"/>
        <v>0</v>
      </c>
      <c r="HY55" s="16">
        <f t="shared" si="6"/>
        <v>0</v>
      </c>
      <c r="KM55" s="16">
        <f t="shared" si="7"/>
        <v>0</v>
      </c>
      <c r="MZ55" s="16">
        <f t="shared" si="8"/>
        <v>0</v>
      </c>
      <c r="OQ55" s="16">
        <f t="shared" si="9"/>
        <v>0</v>
      </c>
      <c r="OW55" s="33">
        <f t="shared" si="10"/>
        <v>0</v>
      </c>
      <c r="RD55" s="16">
        <f t="shared" si="11"/>
        <v>0</v>
      </c>
      <c r="RU55" s="16">
        <f t="shared" si="12"/>
        <v>0</v>
      </c>
      <c r="UE55" s="16">
        <f t="shared" si="13"/>
        <v>0</v>
      </c>
      <c r="VJ55" s="16">
        <f t="shared" si="14"/>
        <v>0</v>
      </c>
      <c r="VK55" t="s">
        <v>837</v>
      </c>
      <c r="WM55" s="16">
        <f t="shared" si="15"/>
        <v>1</v>
      </c>
      <c r="XH55" s="16">
        <f t="shared" si="16"/>
        <v>0</v>
      </c>
      <c r="YD55" s="16">
        <f t="shared" si="17"/>
        <v>0</v>
      </c>
      <c r="YX55" s="16">
        <f t="shared" si="18"/>
        <v>0</v>
      </c>
      <c r="ZR55" s="16">
        <f t="shared" si="19"/>
        <v>0</v>
      </c>
      <c r="ZX55" s="16">
        <f t="shared" si="20"/>
        <v>0</v>
      </c>
      <c r="AAT55" s="16">
        <f t="shared" si="21"/>
        <v>0</v>
      </c>
      <c r="ABQ55" s="16">
        <f t="shared" si="22"/>
        <v>0</v>
      </c>
      <c r="ABV55" s="16">
        <f t="shared" si="23"/>
        <v>0</v>
      </c>
      <c r="ACC55" s="16">
        <f t="shared" si="24"/>
        <v>0</v>
      </c>
      <c r="ACQ55" s="16">
        <f t="shared" si="25"/>
        <v>0</v>
      </c>
      <c r="ADA55" s="16">
        <f t="shared" si="26"/>
        <v>0</v>
      </c>
      <c r="ADM55" s="16">
        <f t="shared" si="27"/>
        <v>0</v>
      </c>
      <c r="AEI55" s="16">
        <f t="shared" si="28"/>
        <v>0</v>
      </c>
    </row>
    <row r="56" spans="2:815" x14ac:dyDescent="0.25">
      <c r="B56" s="2" t="s">
        <v>103</v>
      </c>
      <c r="C56" t="s">
        <v>104</v>
      </c>
      <c r="D56">
        <v>76</v>
      </c>
      <c r="E56" t="s">
        <v>8</v>
      </c>
      <c r="F56" t="s">
        <v>9</v>
      </c>
      <c r="G56" t="s">
        <v>9</v>
      </c>
      <c r="H56" t="s">
        <v>269</v>
      </c>
      <c r="I56" t="s">
        <v>243</v>
      </c>
      <c r="J56" t="s">
        <v>243</v>
      </c>
      <c r="L56" t="s">
        <v>310</v>
      </c>
      <c r="M56">
        <v>53</v>
      </c>
      <c r="N56">
        <v>158</v>
      </c>
      <c r="O56" t="s">
        <v>1083</v>
      </c>
      <c r="P56" s="11">
        <v>38444</v>
      </c>
      <c r="Q56" s="11">
        <v>38446</v>
      </c>
      <c r="R56" t="s">
        <v>1299</v>
      </c>
      <c r="S56" t="s">
        <v>1345</v>
      </c>
      <c r="T56" t="s">
        <v>1344</v>
      </c>
      <c r="W56" t="s">
        <v>1346</v>
      </c>
      <c r="AD56" t="s">
        <v>1954</v>
      </c>
      <c r="AE56">
        <v>16.440000000000001</v>
      </c>
      <c r="BA56" s="16">
        <f t="shared" si="0"/>
        <v>2</v>
      </c>
      <c r="BB56">
        <v>1</v>
      </c>
      <c r="CB56" s="16">
        <f t="shared" si="1"/>
        <v>1</v>
      </c>
      <c r="DE56" s="16">
        <f t="shared" si="2"/>
        <v>0</v>
      </c>
      <c r="DG56">
        <v>472</v>
      </c>
      <c r="DS56" s="16">
        <f t="shared" si="3"/>
        <v>1</v>
      </c>
      <c r="EF56" s="16">
        <f t="shared" si="4"/>
        <v>0</v>
      </c>
      <c r="EG56">
        <v>16950</v>
      </c>
      <c r="EL56">
        <v>9500</v>
      </c>
      <c r="EN56">
        <v>16500</v>
      </c>
      <c r="FI56" s="16">
        <f t="shared" si="5"/>
        <v>3</v>
      </c>
      <c r="FJ56" t="s">
        <v>1960</v>
      </c>
      <c r="FQ56">
        <v>1423</v>
      </c>
      <c r="FR56" t="s">
        <v>1961</v>
      </c>
      <c r="HY56" s="16">
        <f t="shared" si="6"/>
        <v>3</v>
      </c>
      <c r="HZ56">
        <v>27</v>
      </c>
      <c r="IF56" t="s">
        <v>1974</v>
      </c>
      <c r="IG56">
        <v>4365</v>
      </c>
      <c r="KM56" s="16">
        <f t="shared" si="7"/>
        <v>3</v>
      </c>
      <c r="KS56">
        <v>138</v>
      </c>
      <c r="MZ56" s="16">
        <f t="shared" si="8"/>
        <v>1</v>
      </c>
      <c r="NG56">
        <v>2790</v>
      </c>
      <c r="NH56">
        <v>8397</v>
      </c>
      <c r="OQ56" s="16">
        <f t="shared" si="9"/>
        <v>2</v>
      </c>
      <c r="OW56" s="33">
        <f t="shared" si="10"/>
        <v>0</v>
      </c>
      <c r="OX56">
        <v>8</v>
      </c>
      <c r="PF56">
        <v>8.3000000000000007</v>
      </c>
      <c r="RD56" s="16">
        <f t="shared" si="11"/>
        <v>2</v>
      </c>
      <c r="RU56" s="16">
        <f t="shared" si="12"/>
        <v>0</v>
      </c>
      <c r="RV56">
        <v>90</v>
      </c>
      <c r="SC56" t="s">
        <v>2005</v>
      </c>
      <c r="UE56" s="16">
        <f t="shared" si="13"/>
        <v>2</v>
      </c>
      <c r="VJ56" s="16">
        <f t="shared" si="14"/>
        <v>0</v>
      </c>
      <c r="VK56">
        <v>62</v>
      </c>
      <c r="VQ56">
        <v>175</v>
      </c>
      <c r="WM56" s="16">
        <f t="shared" si="15"/>
        <v>2</v>
      </c>
      <c r="XH56" s="16">
        <f t="shared" si="16"/>
        <v>0</v>
      </c>
      <c r="XI56" t="s">
        <v>2011</v>
      </c>
      <c r="YD56" s="16">
        <f t="shared" si="17"/>
        <v>1</v>
      </c>
      <c r="YE56">
        <v>27</v>
      </c>
      <c r="YX56" s="16">
        <f t="shared" si="18"/>
        <v>1</v>
      </c>
      <c r="YY56">
        <v>24.5</v>
      </c>
      <c r="ZR56" s="16">
        <f t="shared" si="19"/>
        <v>1</v>
      </c>
      <c r="ZX56" s="16">
        <f t="shared" si="20"/>
        <v>0</v>
      </c>
      <c r="ZY56">
        <v>5.43</v>
      </c>
      <c r="AAD56">
        <v>10.54</v>
      </c>
      <c r="AAT56" s="16">
        <f t="shared" si="21"/>
        <v>2</v>
      </c>
      <c r="AAW56">
        <v>305</v>
      </c>
      <c r="AAZ56">
        <v>170</v>
      </c>
      <c r="ABB56">
        <v>86</v>
      </c>
      <c r="ABQ56" s="16">
        <f t="shared" si="22"/>
        <v>0</v>
      </c>
      <c r="ABV56" s="16">
        <f t="shared" si="23"/>
        <v>0</v>
      </c>
      <c r="ACC56" s="16">
        <f t="shared" si="24"/>
        <v>0</v>
      </c>
      <c r="ACQ56" s="16">
        <f t="shared" si="25"/>
        <v>0</v>
      </c>
      <c r="ADA56" s="16">
        <f t="shared" si="26"/>
        <v>0</v>
      </c>
      <c r="ADM56" s="16">
        <f t="shared" si="27"/>
        <v>0</v>
      </c>
      <c r="AEI56" s="16">
        <f t="shared" si="28"/>
        <v>0</v>
      </c>
    </row>
    <row r="57" spans="2:815" x14ac:dyDescent="0.25">
      <c r="B57" s="6" t="s">
        <v>105</v>
      </c>
      <c r="D57">
        <v>75</v>
      </c>
      <c r="E57" t="s">
        <v>14</v>
      </c>
      <c r="F57" t="s">
        <v>9</v>
      </c>
      <c r="G57" t="s">
        <v>9</v>
      </c>
      <c r="J57" t="s">
        <v>243</v>
      </c>
      <c r="K57" t="s">
        <v>1348</v>
      </c>
      <c r="L57" t="s">
        <v>1349</v>
      </c>
      <c r="R57" t="s">
        <v>1347</v>
      </c>
      <c r="S57" t="s">
        <v>1305</v>
      </c>
      <c r="U57" t="s">
        <v>1336</v>
      </c>
      <c r="BA57" s="16">
        <f t="shared" si="0"/>
        <v>0</v>
      </c>
      <c r="CB57" s="16">
        <f t="shared" si="1"/>
        <v>0</v>
      </c>
      <c r="DE57" s="16">
        <f t="shared" si="2"/>
        <v>0</v>
      </c>
      <c r="DS57" s="16">
        <f t="shared" si="3"/>
        <v>0</v>
      </c>
      <c r="EF57" s="16">
        <f t="shared" si="4"/>
        <v>0</v>
      </c>
      <c r="FI57" s="16">
        <f t="shared" si="5"/>
        <v>0</v>
      </c>
      <c r="HY57" s="16">
        <f t="shared" si="6"/>
        <v>0</v>
      </c>
      <c r="KM57" s="16">
        <f t="shared" si="7"/>
        <v>0</v>
      </c>
      <c r="MZ57" s="16">
        <f t="shared" si="8"/>
        <v>0</v>
      </c>
      <c r="OQ57" s="16">
        <f t="shared" si="9"/>
        <v>0</v>
      </c>
      <c r="OW57" s="33">
        <f t="shared" si="10"/>
        <v>0</v>
      </c>
      <c r="RD57" s="16">
        <f t="shared" si="11"/>
        <v>0</v>
      </c>
      <c r="RU57" s="16">
        <f t="shared" si="12"/>
        <v>0</v>
      </c>
      <c r="UE57" s="16">
        <f t="shared" si="13"/>
        <v>0</v>
      </c>
      <c r="VJ57" s="16">
        <f t="shared" si="14"/>
        <v>0</v>
      </c>
      <c r="VK57" t="s">
        <v>837</v>
      </c>
      <c r="WM57" s="16">
        <f t="shared" si="15"/>
        <v>1</v>
      </c>
      <c r="XH57" s="16">
        <f t="shared" si="16"/>
        <v>0</v>
      </c>
      <c r="YD57" s="16">
        <f t="shared" si="17"/>
        <v>0</v>
      </c>
      <c r="YX57" s="16">
        <f t="shared" si="18"/>
        <v>0</v>
      </c>
      <c r="ZR57" s="16">
        <f t="shared" si="19"/>
        <v>0</v>
      </c>
      <c r="ZX57" s="16">
        <f t="shared" si="20"/>
        <v>0</v>
      </c>
      <c r="AAT57" s="16">
        <f t="shared" si="21"/>
        <v>0</v>
      </c>
      <c r="ABQ57" s="16">
        <f t="shared" si="22"/>
        <v>0</v>
      </c>
      <c r="ABV57" s="16">
        <f t="shared" si="23"/>
        <v>0</v>
      </c>
      <c r="ACC57" s="16">
        <f t="shared" si="24"/>
        <v>0</v>
      </c>
      <c r="ACQ57" s="16">
        <f t="shared" si="25"/>
        <v>0</v>
      </c>
      <c r="ADA57" s="16">
        <f t="shared" si="26"/>
        <v>0</v>
      </c>
      <c r="ADM57" s="16">
        <f t="shared" si="27"/>
        <v>0</v>
      </c>
      <c r="AEI57" s="16">
        <f t="shared" si="28"/>
        <v>0</v>
      </c>
    </row>
    <row r="58" spans="2:815" x14ac:dyDescent="0.25">
      <c r="B58" s="4" t="s">
        <v>106</v>
      </c>
      <c r="D58">
        <v>22</v>
      </c>
      <c r="E58" t="s">
        <v>8</v>
      </c>
      <c r="F58" t="s">
        <v>9</v>
      </c>
      <c r="G58" t="s">
        <v>9</v>
      </c>
      <c r="J58" t="s">
        <v>257</v>
      </c>
      <c r="K58" t="s">
        <v>1351</v>
      </c>
      <c r="L58" t="s">
        <v>318</v>
      </c>
      <c r="S58" t="s">
        <v>1350</v>
      </c>
      <c r="U58" t="s">
        <v>1336</v>
      </c>
      <c r="BA58" s="16">
        <f t="shared" si="0"/>
        <v>0</v>
      </c>
      <c r="CB58" s="16">
        <f t="shared" si="1"/>
        <v>0</v>
      </c>
      <c r="DE58" s="16">
        <f t="shared" si="2"/>
        <v>0</v>
      </c>
      <c r="DS58" s="16">
        <f t="shared" si="3"/>
        <v>0</v>
      </c>
      <c r="EF58" s="16">
        <f t="shared" si="4"/>
        <v>0</v>
      </c>
      <c r="FI58" s="16">
        <f t="shared" si="5"/>
        <v>0</v>
      </c>
      <c r="HY58" s="16">
        <f t="shared" si="6"/>
        <v>0</v>
      </c>
      <c r="KM58" s="16">
        <f t="shared" si="7"/>
        <v>0</v>
      </c>
      <c r="MZ58" s="16">
        <f t="shared" si="8"/>
        <v>0</v>
      </c>
      <c r="OQ58" s="16">
        <f t="shared" si="9"/>
        <v>0</v>
      </c>
      <c r="OW58" s="33">
        <f t="shared" si="10"/>
        <v>0</v>
      </c>
      <c r="RD58" s="16">
        <f t="shared" si="11"/>
        <v>0</v>
      </c>
      <c r="RU58" s="16">
        <f t="shared" si="12"/>
        <v>0</v>
      </c>
      <c r="UE58" s="16">
        <f t="shared" si="13"/>
        <v>0</v>
      </c>
      <c r="VJ58" s="16">
        <f t="shared" si="14"/>
        <v>0</v>
      </c>
      <c r="VK58" t="s">
        <v>837</v>
      </c>
      <c r="WM58" s="16">
        <f t="shared" si="15"/>
        <v>1</v>
      </c>
      <c r="XH58" s="16">
        <f t="shared" si="16"/>
        <v>0</v>
      </c>
      <c r="YD58" s="16">
        <f t="shared" si="17"/>
        <v>0</v>
      </c>
      <c r="YX58" s="16">
        <f t="shared" si="18"/>
        <v>0</v>
      </c>
      <c r="ZR58" s="16">
        <f t="shared" si="19"/>
        <v>0</v>
      </c>
      <c r="ZX58" s="16">
        <f t="shared" si="20"/>
        <v>0</v>
      </c>
      <c r="AAT58" s="16">
        <f t="shared" si="21"/>
        <v>0</v>
      </c>
      <c r="ABQ58" s="16">
        <f t="shared" si="22"/>
        <v>0</v>
      </c>
      <c r="ABV58" s="16">
        <f t="shared" si="23"/>
        <v>0</v>
      </c>
      <c r="ACC58" s="16">
        <f t="shared" si="24"/>
        <v>0</v>
      </c>
      <c r="ACQ58" s="16">
        <f t="shared" si="25"/>
        <v>0</v>
      </c>
      <c r="ADA58" s="16">
        <f t="shared" si="26"/>
        <v>0</v>
      </c>
      <c r="ADM58" s="16">
        <f t="shared" si="27"/>
        <v>0</v>
      </c>
      <c r="AEI58" s="16">
        <f t="shared" si="28"/>
        <v>0</v>
      </c>
    </row>
    <row r="59" spans="2:815" x14ac:dyDescent="0.25">
      <c r="B59" s="6" t="s">
        <v>107</v>
      </c>
      <c r="D59">
        <v>19</v>
      </c>
      <c r="E59" t="s">
        <v>8</v>
      </c>
      <c r="F59" t="s">
        <v>9</v>
      </c>
      <c r="G59" t="s">
        <v>9</v>
      </c>
      <c r="J59" t="s">
        <v>257</v>
      </c>
      <c r="K59" t="s">
        <v>1354</v>
      </c>
      <c r="L59" t="s">
        <v>318</v>
      </c>
      <c r="S59" t="s">
        <v>1352</v>
      </c>
      <c r="T59" t="s">
        <v>1353</v>
      </c>
      <c r="U59" t="s">
        <v>1336</v>
      </c>
      <c r="BA59" s="16">
        <f t="shared" si="0"/>
        <v>0</v>
      </c>
      <c r="CB59" s="16">
        <f t="shared" si="1"/>
        <v>0</v>
      </c>
      <c r="DE59" s="16">
        <f t="shared" si="2"/>
        <v>0</v>
      </c>
      <c r="DS59" s="16">
        <f t="shared" si="3"/>
        <v>0</v>
      </c>
      <c r="EF59" s="16">
        <f t="shared" si="4"/>
        <v>0</v>
      </c>
      <c r="FI59" s="16">
        <f t="shared" si="5"/>
        <v>0</v>
      </c>
      <c r="HY59" s="16">
        <f t="shared" si="6"/>
        <v>0</v>
      </c>
      <c r="KM59" s="16">
        <f t="shared" si="7"/>
        <v>0</v>
      </c>
      <c r="MZ59" s="16">
        <f t="shared" si="8"/>
        <v>0</v>
      </c>
      <c r="OQ59" s="16">
        <f t="shared" si="9"/>
        <v>0</v>
      </c>
      <c r="OW59" s="33">
        <f t="shared" si="10"/>
        <v>0</v>
      </c>
      <c r="RD59" s="16">
        <f t="shared" si="11"/>
        <v>0</v>
      </c>
      <c r="RU59" s="16">
        <f t="shared" si="12"/>
        <v>0</v>
      </c>
      <c r="UE59" s="16">
        <f t="shared" si="13"/>
        <v>0</v>
      </c>
      <c r="VJ59" s="16">
        <f t="shared" si="14"/>
        <v>0</v>
      </c>
      <c r="VK59" t="s">
        <v>837</v>
      </c>
      <c r="WM59" s="16">
        <f t="shared" si="15"/>
        <v>1</v>
      </c>
      <c r="XH59" s="16">
        <f t="shared" si="16"/>
        <v>0</v>
      </c>
      <c r="YD59" s="16">
        <f t="shared" si="17"/>
        <v>0</v>
      </c>
      <c r="YX59" s="16">
        <f t="shared" si="18"/>
        <v>0</v>
      </c>
      <c r="ZR59" s="16">
        <f t="shared" si="19"/>
        <v>0</v>
      </c>
      <c r="ZX59" s="16">
        <f t="shared" si="20"/>
        <v>0</v>
      </c>
      <c r="AAT59" s="16">
        <f t="shared" si="21"/>
        <v>0</v>
      </c>
      <c r="ABQ59" s="16">
        <f t="shared" si="22"/>
        <v>0</v>
      </c>
      <c r="ABV59" s="16">
        <f t="shared" si="23"/>
        <v>0</v>
      </c>
      <c r="ACC59" s="16">
        <f t="shared" si="24"/>
        <v>0</v>
      </c>
      <c r="ACQ59" s="16">
        <f t="shared" si="25"/>
        <v>0</v>
      </c>
      <c r="ADA59" s="16">
        <f t="shared" si="26"/>
        <v>0</v>
      </c>
      <c r="ADM59" s="16">
        <f t="shared" si="27"/>
        <v>0</v>
      </c>
      <c r="AEI59" s="16">
        <f t="shared" si="28"/>
        <v>0</v>
      </c>
    </row>
    <row r="60" spans="2:815" x14ac:dyDescent="0.25">
      <c r="B60" s="4" t="s">
        <v>108</v>
      </c>
      <c r="D60">
        <v>39</v>
      </c>
      <c r="E60" t="s">
        <v>14</v>
      </c>
      <c r="F60" t="s">
        <v>9</v>
      </c>
      <c r="G60" t="s">
        <v>9</v>
      </c>
      <c r="J60" t="s">
        <v>257</v>
      </c>
      <c r="K60" t="s">
        <v>1356</v>
      </c>
      <c r="L60" t="s">
        <v>318</v>
      </c>
      <c r="S60" t="s">
        <v>1355</v>
      </c>
      <c r="U60" t="s">
        <v>1336</v>
      </c>
      <c r="BA60" s="16">
        <f t="shared" si="0"/>
        <v>0</v>
      </c>
      <c r="CB60" s="16">
        <f t="shared" si="1"/>
        <v>0</v>
      </c>
      <c r="DE60" s="16">
        <f t="shared" si="2"/>
        <v>0</v>
      </c>
      <c r="DS60" s="16">
        <f t="shared" si="3"/>
        <v>0</v>
      </c>
      <c r="EF60" s="16">
        <f t="shared" si="4"/>
        <v>0</v>
      </c>
      <c r="FI60" s="16">
        <f t="shared" si="5"/>
        <v>0</v>
      </c>
      <c r="HY60" s="16">
        <f t="shared" si="6"/>
        <v>0</v>
      </c>
      <c r="KM60" s="16">
        <f t="shared" si="7"/>
        <v>0</v>
      </c>
      <c r="MZ60" s="16">
        <f t="shared" si="8"/>
        <v>0</v>
      </c>
      <c r="OQ60" s="16">
        <f t="shared" si="9"/>
        <v>0</v>
      </c>
      <c r="OW60" s="33">
        <f t="shared" si="10"/>
        <v>0</v>
      </c>
      <c r="RD60" s="16">
        <f t="shared" si="11"/>
        <v>0</v>
      </c>
      <c r="RU60" s="16">
        <f t="shared" si="12"/>
        <v>0</v>
      </c>
      <c r="UE60" s="16">
        <f t="shared" si="13"/>
        <v>0</v>
      </c>
      <c r="VJ60" s="16">
        <f t="shared" si="14"/>
        <v>0</v>
      </c>
      <c r="VK60" t="s">
        <v>837</v>
      </c>
      <c r="WM60" s="16">
        <f t="shared" si="15"/>
        <v>1</v>
      </c>
      <c r="XH60" s="16">
        <f t="shared" si="16"/>
        <v>0</v>
      </c>
      <c r="YD60" s="16">
        <f t="shared" si="17"/>
        <v>0</v>
      </c>
      <c r="YX60" s="16">
        <f t="shared" si="18"/>
        <v>0</v>
      </c>
      <c r="ZR60" s="16">
        <f t="shared" si="19"/>
        <v>0</v>
      </c>
      <c r="ZX60" s="16">
        <f t="shared" si="20"/>
        <v>0</v>
      </c>
      <c r="AAT60" s="16">
        <f t="shared" si="21"/>
        <v>0</v>
      </c>
      <c r="ABQ60" s="16">
        <f t="shared" si="22"/>
        <v>0</v>
      </c>
      <c r="ABV60" s="16">
        <f t="shared" si="23"/>
        <v>0</v>
      </c>
      <c r="ACC60" s="16">
        <f t="shared" si="24"/>
        <v>0</v>
      </c>
      <c r="ACQ60" s="16">
        <f t="shared" si="25"/>
        <v>0</v>
      </c>
      <c r="ADA60" s="16">
        <f t="shared" si="26"/>
        <v>0</v>
      </c>
      <c r="ADM60" s="16">
        <f t="shared" si="27"/>
        <v>0</v>
      </c>
      <c r="AEI60" s="16">
        <f t="shared" si="28"/>
        <v>0</v>
      </c>
    </row>
    <row r="61" spans="2:815" x14ac:dyDescent="0.25">
      <c r="B61" s="4" t="s">
        <v>109</v>
      </c>
      <c r="D61">
        <v>18</v>
      </c>
      <c r="E61" t="s">
        <v>8</v>
      </c>
      <c r="F61" t="s">
        <v>9</v>
      </c>
      <c r="G61" t="s">
        <v>9</v>
      </c>
      <c r="J61" t="s">
        <v>257</v>
      </c>
      <c r="K61" t="s">
        <v>1357</v>
      </c>
      <c r="L61" t="s">
        <v>318</v>
      </c>
      <c r="S61" t="s">
        <v>1358</v>
      </c>
      <c r="U61" t="s">
        <v>1336</v>
      </c>
      <c r="BA61" s="16">
        <f t="shared" si="0"/>
        <v>0</v>
      </c>
      <c r="CB61" s="16">
        <f t="shared" si="1"/>
        <v>0</v>
      </c>
      <c r="DE61" s="16">
        <f t="shared" si="2"/>
        <v>0</v>
      </c>
      <c r="DS61" s="16">
        <f t="shared" si="3"/>
        <v>0</v>
      </c>
      <c r="EF61" s="16">
        <f t="shared" si="4"/>
        <v>0</v>
      </c>
      <c r="FI61" s="16">
        <f t="shared" si="5"/>
        <v>0</v>
      </c>
      <c r="HY61" s="16">
        <f t="shared" si="6"/>
        <v>0</v>
      </c>
      <c r="KM61" s="16">
        <f t="shared" si="7"/>
        <v>0</v>
      </c>
      <c r="MZ61" s="16">
        <f t="shared" si="8"/>
        <v>0</v>
      </c>
      <c r="OQ61" s="16">
        <f t="shared" si="9"/>
        <v>0</v>
      </c>
      <c r="OW61" s="33">
        <f t="shared" si="10"/>
        <v>0</v>
      </c>
      <c r="RD61" s="16">
        <f t="shared" si="11"/>
        <v>0</v>
      </c>
      <c r="RU61" s="16">
        <f t="shared" si="12"/>
        <v>0</v>
      </c>
      <c r="UE61" s="16">
        <f t="shared" si="13"/>
        <v>0</v>
      </c>
      <c r="VJ61" s="16">
        <f t="shared" si="14"/>
        <v>0</v>
      </c>
      <c r="VK61" t="s">
        <v>837</v>
      </c>
      <c r="WM61" s="16">
        <f t="shared" si="15"/>
        <v>1</v>
      </c>
      <c r="XH61" s="16">
        <f t="shared" si="16"/>
        <v>0</v>
      </c>
      <c r="YD61" s="16">
        <f t="shared" si="17"/>
        <v>0</v>
      </c>
      <c r="YX61" s="16">
        <f t="shared" si="18"/>
        <v>0</v>
      </c>
      <c r="ZR61" s="16">
        <f t="shared" si="19"/>
        <v>0</v>
      </c>
      <c r="ZX61" s="16">
        <f t="shared" si="20"/>
        <v>0</v>
      </c>
      <c r="AAT61" s="16">
        <f t="shared" si="21"/>
        <v>0</v>
      </c>
      <c r="ABQ61" s="16">
        <f t="shared" si="22"/>
        <v>0</v>
      </c>
      <c r="ABV61" s="16">
        <f t="shared" si="23"/>
        <v>0</v>
      </c>
      <c r="ACC61" s="16">
        <f t="shared" si="24"/>
        <v>0</v>
      </c>
      <c r="ACQ61" s="16">
        <f t="shared" si="25"/>
        <v>0</v>
      </c>
      <c r="ADA61" s="16">
        <f t="shared" si="26"/>
        <v>0</v>
      </c>
      <c r="ADM61" s="16">
        <f t="shared" si="27"/>
        <v>0</v>
      </c>
      <c r="AEI61" s="16">
        <f t="shared" si="28"/>
        <v>0</v>
      </c>
    </row>
    <row r="62" spans="2:815" x14ac:dyDescent="0.25">
      <c r="B62" s="4" t="s">
        <v>110</v>
      </c>
      <c r="D62">
        <v>75</v>
      </c>
      <c r="E62" t="s">
        <v>14</v>
      </c>
      <c r="F62" t="s">
        <v>9</v>
      </c>
      <c r="G62" t="s">
        <v>9</v>
      </c>
      <c r="J62" t="s">
        <v>257</v>
      </c>
      <c r="K62" t="s">
        <v>1357</v>
      </c>
      <c r="L62" t="s">
        <v>318</v>
      </c>
      <c r="S62" t="s">
        <v>1335</v>
      </c>
      <c r="U62" t="s">
        <v>1336</v>
      </c>
      <c r="W62" t="s">
        <v>1359</v>
      </c>
      <c r="BA62" s="16">
        <f t="shared" si="0"/>
        <v>0</v>
      </c>
      <c r="CB62" s="16">
        <f t="shared" si="1"/>
        <v>0</v>
      </c>
      <c r="DE62" s="16">
        <f t="shared" si="2"/>
        <v>0</v>
      </c>
      <c r="DS62" s="16">
        <f t="shared" si="3"/>
        <v>0</v>
      </c>
      <c r="EF62" s="16">
        <f t="shared" si="4"/>
        <v>0</v>
      </c>
      <c r="FI62" s="16">
        <f t="shared" si="5"/>
        <v>0</v>
      </c>
      <c r="HY62" s="16">
        <f t="shared" si="6"/>
        <v>0</v>
      </c>
      <c r="KM62" s="16">
        <f t="shared" si="7"/>
        <v>0</v>
      </c>
      <c r="MZ62" s="16">
        <f t="shared" si="8"/>
        <v>0</v>
      </c>
      <c r="OQ62" s="16">
        <f t="shared" si="9"/>
        <v>0</v>
      </c>
      <c r="OW62" s="33">
        <f t="shared" si="10"/>
        <v>0</v>
      </c>
      <c r="RD62" s="16">
        <f t="shared" si="11"/>
        <v>0</v>
      </c>
      <c r="RU62" s="16">
        <f t="shared" si="12"/>
        <v>0</v>
      </c>
      <c r="UE62" s="16">
        <f t="shared" si="13"/>
        <v>0</v>
      </c>
      <c r="VJ62" s="16">
        <f t="shared" si="14"/>
        <v>0</v>
      </c>
      <c r="VK62" t="s">
        <v>837</v>
      </c>
      <c r="WM62" s="16">
        <f t="shared" si="15"/>
        <v>1</v>
      </c>
      <c r="XH62" s="16">
        <f t="shared" si="16"/>
        <v>0</v>
      </c>
      <c r="YD62" s="16">
        <f t="shared" si="17"/>
        <v>0</v>
      </c>
      <c r="YX62" s="16">
        <f t="shared" si="18"/>
        <v>0</v>
      </c>
      <c r="ZR62" s="16">
        <f t="shared" si="19"/>
        <v>0</v>
      </c>
      <c r="ZX62" s="16">
        <f t="shared" si="20"/>
        <v>0</v>
      </c>
      <c r="AAT62" s="16">
        <f t="shared" si="21"/>
        <v>0</v>
      </c>
      <c r="ABQ62" s="16">
        <f t="shared" si="22"/>
        <v>0</v>
      </c>
      <c r="ABV62" s="16">
        <f t="shared" si="23"/>
        <v>0</v>
      </c>
      <c r="ACC62" s="16">
        <f t="shared" si="24"/>
        <v>0</v>
      </c>
      <c r="ACQ62" s="16">
        <f t="shared" si="25"/>
        <v>0</v>
      </c>
      <c r="ADA62" s="16">
        <f t="shared" si="26"/>
        <v>0</v>
      </c>
      <c r="ADM62" s="16">
        <f t="shared" si="27"/>
        <v>0</v>
      </c>
      <c r="AEI62" s="16">
        <f t="shared" si="28"/>
        <v>0</v>
      </c>
    </row>
    <row r="63" spans="2:815" x14ac:dyDescent="0.25">
      <c r="B63" s="4" t="s">
        <v>111</v>
      </c>
      <c r="D63">
        <v>27</v>
      </c>
      <c r="E63" t="s">
        <v>14</v>
      </c>
      <c r="F63" t="s">
        <v>9</v>
      </c>
      <c r="G63" t="s">
        <v>9</v>
      </c>
      <c r="J63" t="s">
        <v>257</v>
      </c>
      <c r="K63" t="s">
        <v>1343</v>
      </c>
      <c r="L63" t="s">
        <v>318</v>
      </c>
      <c r="S63" t="s">
        <v>1360</v>
      </c>
      <c r="U63" t="s">
        <v>1336</v>
      </c>
      <c r="W63" t="s">
        <v>1361</v>
      </c>
      <c r="BA63" s="16">
        <f t="shared" si="0"/>
        <v>0</v>
      </c>
      <c r="CB63" s="16">
        <f t="shared" si="1"/>
        <v>0</v>
      </c>
      <c r="DE63" s="16">
        <f t="shared" si="2"/>
        <v>0</v>
      </c>
      <c r="DS63" s="16">
        <f t="shared" si="3"/>
        <v>0</v>
      </c>
      <c r="EF63" s="16">
        <f t="shared" si="4"/>
        <v>0</v>
      </c>
      <c r="FI63" s="16">
        <f t="shared" si="5"/>
        <v>0</v>
      </c>
      <c r="HY63" s="16">
        <f t="shared" si="6"/>
        <v>0</v>
      </c>
      <c r="KM63" s="16">
        <f t="shared" si="7"/>
        <v>0</v>
      </c>
      <c r="MZ63" s="16">
        <f t="shared" si="8"/>
        <v>0</v>
      </c>
      <c r="OQ63" s="16">
        <f t="shared" si="9"/>
        <v>0</v>
      </c>
      <c r="OW63" s="33">
        <f t="shared" si="10"/>
        <v>0</v>
      </c>
      <c r="RD63" s="16">
        <f t="shared" si="11"/>
        <v>0</v>
      </c>
      <c r="RU63" s="16">
        <f t="shared" si="12"/>
        <v>0</v>
      </c>
      <c r="UE63" s="16">
        <f t="shared" si="13"/>
        <v>0</v>
      </c>
      <c r="VJ63" s="16">
        <f t="shared" si="14"/>
        <v>0</v>
      </c>
      <c r="VK63" t="s">
        <v>837</v>
      </c>
      <c r="WM63" s="16">
        <f t="shared" si="15"/>
        <v>1</v>
      </c>
      <c r="XH63" s="16">
        <f t="shared" si="16"/>
        <v>0</v>
      </c>
      <c r="YD63" s="16">
        <f t="shared" si="17"/>
        <v>0</v>
      </c>
      <c r="YX63" s="16">
        <f t="shared" si="18"/>
        <v>0</v>
      </c>
      <c r="ZR63" s="16">
        <f t="shared" si="19"/>
        <v>0</v>
      </c>
      <c r="ZX63" s="16">
        <f t="shared" si="20"/>
        <v>0</v>
      </c>
      <c r="AAT63" s="16">
        <f t="shared" si="21"/>
        <v>0</v>
      </c>
      <c r="ABQ63" s="16">
        <f t="shared" si="22"/>
        <v>0</v>
      </c>
      <c r="ABV63" s="16">
        <f t="shared" si="23"/>
        <v>0</v>
      </c>
      <c r="ACC63" s="16">
        <f t="shared" si="24"/>
        <v>0</v>
      </c>
      <c r="ACQ63" s="16">
        <f t="shared" si="25"/>
        <v>0</v>
      </c>
      <c r="ADA63" s="16">
        <f t="shared" si="26"/>
        <v>0</v>
      </c>
      <c r="ADM63" s="16">
        <f t="shared" si="27"/>
        <v>0</v>
      </c>
      <c r="AEI63" s="16">
        <f t="shared" si="28"/>
        <v>0</v>
      </c>
    </row>
    <row r="64" spans="2:815" x14ac:dyDescent="0.25">
      <c r="B64" s="4" t="s">
        <v>112</v>
      </c>
      <c r="D64">
        <v>19</v>
      </c>
      <c r="E64" t="s">
        <v>14</v>
      </c>
      <c r="F64" t="s">
        <v>9</v>
      </c>
      <c r="G64" t="s">
        <v>9</v>
      </c>
      <c r="J64" t="s">
        <v>257</v>
      </c>
      <c r="K64" t="s">
        <v>1363</v>
      </c>
      <c r="L64" t="s">
        <v>318</v>
      </c>
      <c r="S64" t="s">
        <v>1362</v>
      </c>
      <c r="U64" t="s">
        <v>1336</v>
      </c>
      <c r="W64" t="s">
        <v>1364</v>
      </c>
      <c r="BA64" s="16">
        <f t="shared" si="0"/>
        <v>0</v>
      </c>
      <c r="CB64" s="16">
        <f t="shared" si="1"/>
        <v>0</v>
      </c>
      <c r="DE64" s="16">
        <f t="shared" si="2"/>
        <v>0</v>
      </c>
      <c r="DS64" s="16">
        <f t="shared" si="3"/>
        <v>0</v>
      </c>
      <c r="EF64" s="16">
        <f t="shared" si="4"/>
        <v>0</v>
      </c>
      <c r="FI64" s="16">
        <f t="shared" si="5"/>
        <v>0</v>
      </c>
      <c r="HY64" s="16">
        <f t="shared" si="6"/>
        <v>0</v>
      </c>
      <c r="KM64" s="16">
        <f t="shared" si="7"/>
        <v>0</v>
      </c>
      <c r="MZ64" s="16">
        <f t="shared" si="8"/>
        <v>0</v>
      </c>
      <c r="OQ64" s="16">
        <f t="shared" si="9"/>
        <v>0</v>
      </c>
      <c r="OW64" s="33">
        <f t="shared" si="10"/>
        <v>0</v>
      </c>
      <c r="RD64" s="16">
        <f t="shared" si="11"/>
        <v>0</v>
      </c>
      <c r="RU64" s="16">
        <f t="shared" si="12"/>
        <v>0</v>
      </c>
      <c r="UE64" s="16">
        <f t="shared" si="13"/>
        <v>0</v>
      </c>
      <c r="VJ64" s="16">
        <f t="shared" si="14"/>
        <v>0</v>
      </c>
      <c r="VK64" t="s">
        <v>837</v>
      </c>
      <c r="WM64" s="16">
        <f t="shared" si="15"/>
        <v>1</v>
      </c>
      <c r="XH64" s="16">
        <f t="shared" si="16"/>
        <v>0</v>
      </c>
      <c r="YD64" s="16">
        <f t="shared" si="17"/>
        <v>0</v>
      </c>
      <c r="YX64" s="16">
        <f t="shared" si="18"/>
        <v>0</v>
      </c>
      <c r="ZR64" s="16">
        <f t="shared" si="19"/>
        <v>0</v>
      </c>
      <c r="ZX64" s="16">
        <f t="shared" si="20"/>
        <v>0</v>
      </c>
      <c r="AAT64" s="16">
        <f t="shared" si="21"/>
        <v>0</v>
      </c>
      <c r="ABQ64" s="16">
        <f t="shared" si="22"/>
        <v>0</v>
      </c>
      <c r="ABV64" s="16">
        <f t="shared" si="23"/>
        <v>0</v>
      </c>
      <c r="ACC64" s="16">
        <f t="shared" si="24"/>
        <v>0</v>
      </c>
      <c r="ACQ64" s="16">
        <f t="shared" si="25"/>
        <v>0</v>
      </c>
      <c r="ADA64" s="16">
        <f t="shared" si="26"/>
        <v>0</v>
      </c>
      <c r="ADM64" s="16">
        <f t="shared" si="27"/>
        <v>0</v>
      </c>
      <c r="AEI64" s="16">
        <f t="shared" si="28"/>
        <v>0</v>
      </c>
    </row>
    <row r="65" spans="2:815" x14ac:dyDescent="0.25">
      <c r="B65" s="6" t="s">
        <v>113</v>
      </c>
      <c r="C65" t="s">
        <v>114</v>
      </c>
      <c r="D65">
        <v>16</v>
      </c>
      <c r="E65" t="s">
        <v>8</v>
      </c>
      <c r="F65" t="s">
        <v>9</v>
      </c>
      <c r="G65" t="s">
        <v>15</v>
      </c>
      <c r="I65" t="s">
        <v>257</v>
      </c>
      <c r="J65" t="s">
        <v>257</v>
      </c>
      <c r="K65" t="s">
        <v>1366</v>
      </c>
      <c r="L65" t="s">
        <v>1367</v>
      </c>
      <c r="M65">
        <v>65</v>
      </c>
      <c r="N65">
        <v>168</v>
      </c>
      <c r="O65">
        <v>23</v>
      </c>
      <c r="Q65" s="11">
        <v>38447</v>
      </c>
      <c r="W65" t="s">
        <v>1365</v>
      </c>
      <c r="BA65" s="16">
        <f t="shared" si="0"/>
        <v>0</v>
      </c>
      <c r="CB65" s="16">
        <f t="shared" si="1"/>
        <v>0</v>
      </c>
      <c r="DE65" s="16">
        <f t="shared" si="2"/>
        <v>0</v>
      </c>
      <c r="DS65" s="16">
        <f t="shared" si="3"/>
        <v>0</v>
      </c>
      <c r="EF65" s="16">
        <f t="shared" si="4"/>
        <v>0</v>
      </c>
      <c r="FI65" s="16">
        <f t="shared" si="5"/>
        <v>0</v>
      </c>
      <c r="HY65" s="16">
        <f t="shared" si="6"/>
        <v>0</v>
      </c>
      <c r="KM65" s="16">
        <f t="shared" si="7"/>
        <v>0</v>
      </c>
      <c r="MZ65" s="16">
        <f t="shared" si="8"/>
        <v>0</v>
      </c>
      <c r="OQ65" s="16">
        <f t="shared" si="9"/>
        <v>0</v>
      </c>
      <c r="OW65" s="33">
        <f t="shared" si="10"/>
        <v>0</v>
      </c>
      <c r="RD65" s="16">
        <f t="shared" si="11"/>
        <v>0</v>
      </c>
      <c r="RU65" s="16">
        <f t="shared" si="12"/>
        <v>0</v>
      </c>
      <c r="UE65" s="16">
        <f t="shared" si="13"/>
        <v>0</v>
      </c>
      <c r="VJ65" s="16">
        <f t="shared" si="14"/>
        <v>0</v>
      </c>
      <c r="WM65" s="16">
        <f t="shared" si="15"/>
        <v>0</v>
      </c>
      <c r="XH65" s="16">
        <f t="shared" si="16"/>
        <v>0</v>
      </c>
      <c r="YD65" s="16">
        <f t="shared" si="17"/>
        <v>0</v>
      </c>
      <c r="YX65" s="16">
        <f t="shared" si="18"/>
        <v>0</v>
      </c>
      <c r="ZR65" s="16">
        <f t="shared" si="19"/>
        <v>0</v>
      </c>
      <c r="ZX65" s="16">
        <f t="shared" si="20"/>
        <v>0</v>
      </c>
      <c r="AAT65" s="16">
        <f t="shared" si="21"/>
        <v>0</v>
      </c>
      <c r="ABQ65" s="16">
        <f t="shared" si="22"/>
        <v>0</v>
      </c>
      <c r="ABV65" s="16">
        <f t="shared" si="23"/>
        <v>0</v>
      </c>
      <c r="ACC65" s="16">
        <f t="shared" si="24"/>
        <v>0</v>
      </c>
      <c r="ACQ65" s="16">
        <f t="shared" si="25"/>
        <v>0</v>
      </c>
      <c r="ADA65" s="16">
        <f t="shared" si="26"/>
        <v>0</v>
      </c>
      <c r="ADM65" s="16">
        <f t="shared" si="27"/>
        <v>0</v>
      </c>
      <c r="AEI65" s="16">
        <f t="shared" si="28"/>
        <v>0</v>
      </c>
    </row>
    <row r="66" spans="2:815" x14ac:dyDescent="0.25">
      <c r="B66" s="4" t="s">
        <v>115</v>
      </c>
      <c r="D66">
        <v>75</v>
      </c>
      <c r="E66" t="s">
        <v>14</v>
      </c>
      <c r="F66" t="s">
        <v>9</v>
      </c>
      <c r="G66" t="s">
        <v>9</v>
      </c>
      <c r="J66" t="s">
        <v>243</v>
      </c>
      <c r="K66" t="s">
        <v>1368</v>
      </c>
      <c r="L66" t="s">
        <v>1369</v>
      </c>
      <c r="R66" t="s">
        <v>1347</v>
      </c>
      <c r="S66" t="s">
        <v>1335</v>
      </c>
      <c r="W66" t="s">
        <v>1370</v>
      </c>
      <c r="BA66" s="16">
        <f t="shared" si="0"/>
        <v>0</v>
      </c>
      <c r="CB66" s="16">
        <f t="shared" si="1"/>
        <v>0</v>
      </c>
      <c r="DE66" s="16">
        <f t="shared" si="2"/>
        <v>0</v>
      </c>
      <c r="DS66" s="16">
        <f t="shared" si="3"/>
        <v>0</v>
      </c>
      <c r="EF66" s="16">
        <f t="shared" si="4"/>
        <v>0</v>
      </c>
      <c r="FI66" s="16">
        <f t="shared" si="5"/>
        <v>0</v>
      </c>
      <c r="HY66" s="16">
        <f t="shared" si="6"/>
        <v>0</v>
      </c>
      <c r="KM66" s="16">
        <f t="shared" si="7"/>
        <v>0</v>
      </c>
      <c r="MZ66" s="16">
        <f t="shared" si="8"/>
        <v>0</v>
      </c>
      <c r="OQ66" s="16">
        <f t="shared" si="9"/>
        <v>0</v>
      </c>
      <c r="OW66" s="33">
        <f t="shared" si="10"/>
        <v>0</v>
      </c>
      <c r="RD66" s="16">
        <f t="shared" si="11"/>
        <v>0</v>
      </c>
      <c r="RU66" s="16">
        <f t="shared" si="12"/>
        <v>0</v>
      </c>
      <c r="UE66" s="16">
        <f t="shared" si="13"/>
        <v>0</v>
      </c>
      <c r="VJ66" s="16">
        <f t="shared" si="14"/>
        <v>0</v>
      </c>
      <c r="VK66" t="s">
        <v>844</v>
      </c>
      <c r="WM66" s="16">
        <f t="shared" si="15"/>
        <v>1</v>
      </c>
      <c r="XH66" s="16">
        <f t="shared" si="16"/>
        <v>0</v>
      </c>
      <c r="YD66" s="16">
        <f t="shared" si="17"/>
        <v>0</v>
      </c>
      <c r="YX66" s="16">
        <f t="shared" si="18"/>
        <v>0</v>
      </c>
      <c r="ZR66" s="16">
        <f t="shared" si="19"/>
        <v>0</v>
      </c>
      <c r="ZX66" s="16">
        <f t="shared" si="20"/>
        <v>0</v>
      </c>
      <c r="AAT66" s="16">
        <f t="shared" si="21"/>
        <v>0</v>
      </c>
      <c r="ABQ66" s="16">
        <f t="shared" si="22"/>
        <v>0</v>
      </c>
      <c r="ABV66" s="16">
        <f t="shared" si="23"/>
        <v>0</v>
      </c>
      <c r="ACC66" s="16">
        <f t="shared" si="24"/>
        <v>0</v>
      </c>
      <c r="ACQ66" s="16">
        <f t="shared" si="25"/>
        <v>0</v>
      </c>
      <c r="ADA66" s="16">
        <f t="shared" si="26"/>
        <v>0</v>
      </c>
      <c r="ADM66" s="16">
        <f t="shared" si="27"/>
        <v>0</v>
      </c>
      <c r="AEI66" s="16">
        <f t="shared" si="28"/>
        <v>0</v>
      </c>
    </row>
    <row r="67" spans="2:815" x14ac:dyDescent="0.25">
      <c r="B67" s="4" t="s">
        <v>116</v>
      </c>
      <c r="D67">
        <v>71</v>
      </c>
      <c r="E67" t="s">
        <v>14</v>
      </c>
      <c r="F67" t="s">
        <v>9</v>
      </c>
      <c r="G67" t="s">
        <v>9</v>
      </c>
      <c r="J67" t="s">
        <v>243</v>
      </c>
      <c r="K67" t="s">
        <v>1372</v>
      </c>
      <c r="L67" t="s">
        <v>1371</v>
      </c>
      <c r="S67" t="s">
        <v>1335</v>
      </c>
      <c r="W67" t="s">
        <v>1373</v>
      </c>
      <c r="BA67" s="16">
        <f t="shared" ref="BA67:BA130" si="29">COUNTA(Z67:AZ67)</f>
        <v>0</v>
      </c>
      <c r="CB67" s="16">
        <f t="shared" ref="CB67:CB130" si="30">COUNTA(BB67:CA67)</f>
        <v>0</v>
      </c>
      <c r="DE67" s="16">
        <f t="shared" ref="DE67:DE130" si="31">COUNTA(CC67:DD67)</f>
        <v>0</v>
      </c>
      <c r="DS67" s="16">
        <f t="shared" ref="DS67:DS130" si="32">COUNTA(DG67:DR67)</f>
        <v>0</v>
      </c>
      <c r="EF67" s="16">
        <f t="shared" ref="EF67:EF130" si="33">COUNTA(DT67:EE67)</f>
        <v>0</v>
      </c>
      <c r="FI67" s="16">
        <f t="shared" ref="FI67:FI130" si="34">COUNTA(EG67:FH67)</f>
        <v>0</v>
      </c>
      <c r="HY67" s="16">
        <f t="shared" ref="HY67:HY130" si="35">COUNTA(FJ67:HX67)</f>
        <v>0</v>
      </c>
      <c r="KM67" s="16">
        <f t="shared" ref="KM67:KM130" si="36">COUNTA(HZ67:KL67)</f>
        <v>0</v>
      </c>
      <c r="MZ67" s="16">
        <f t="shared" ref="MZ67:MZ130" si="37">COUNTA(KN67:MY67)</f>
        <v>0</v>
      </c>
      <c r="OQ67" s="16">
        <f t="shared" ref="OQ67:OQ130" si="38">COUNTA(NA67:OP67)</f>
        <v>0</v>
      </c>
      <c r="OW67" s="33">
        <f t="shared" ref="OW67:OW130" si="39">COUNTA(OR67:OV67)</f>
        <v>0</v>
      </c>
      <c r="RD67" s="16">
        <f t="shared" ref="RD67:RD130" si="40">COUNTA(OX67:RC67)</f>
        <v>0</v>
      </c>
      <c r="RU67" s="16">
        <f t="shared" ref="RU67:RU130" si="41">COUNTA(RE67:RT67)</f>
        <v>0</v>
      </c>
      <c r="UE67" s="16">
        <f t="shared" ref="UE67:UE130" si="42">COUNTA(RV67:UD67)</f>
        <v>0</v>
      </c>
      <c r="VJ67" s="16">
        <f t="shared" ref="VJ67:VJ130" si="43">COUNTA(UF67:VI67)</f>
        <v>0</v>
      </c>
      <c r="VK67" t="s">
        <v>844</v>
      </c>
      <c r="WM67" s="16">
        <f t="shared" ref="WM67:WM130" si="44">COUNTA(VK67:WL67)</f>
        <v>1</v>
      </c>
      <c r="XH67" s="16">
        <f t="shared" ref="XH67:XH130" si="45">COUNTA(WN67:XG67)</f>
        <v>0</v>
      </c>
      <c r="YD67" s="16">
        <f t="shared" ref="YD67:YD130" si="46">COUNTA(XI67:YC67)</f>
        <v>0</v>
      </c>
      <c r="YX67" s="16">
        <f t="shared" ref="YX67:YX130" si="47">COUNTA(YE67:YW67)</f>
        <v>0</v>
      </c>
      <c r="ZR67" s="16">
        <f t="shared" ref="ZR67:ZR130" si="48">COUNTA(YY67:ZQ67)</f>
        <v>0</v>
      </c>
      <c r="ZX67" s="16">
        <f t="shared" ref="ZX67:ZX130" si="49">COUNTA(ZS67:ZW67)</f>
        <v>0</v>
      </c>
      <c r="AAT67" s="16">
        <f t="shared" ref="AAT67:AAT130" si="50">COUNTA(ZY67:AAS67)</f>
        <v>0</v>
      </c>
      <c r="ABQ67" s="16">
        <f t="shared" ref="ABQ67:ABQ130" si="51">COUNTA(AAU67,ABP67)</f>
        <v>0</v>
      </c>
      <c r="ABV67" s="16">
        <f t="shared" ref="ABV67:ABV130" si="52">COUNTA(ABR67:ABU67)</f>
        <v>0</v>
      </c>
      <c r="ACC67" s="16">
        <f t="shared" ref="ACC67:ACC130" si="53">COUNTA(ABW67:ACB67)</f>
        <v>0</v>
      </c>
      <c r="ACQ67" s="16">
        <f t="shared" ref="ACQ67:ACQ130" si="54">COUNTA(ACH67:ACP67)</f>
        <v>0</v>
      </c>
      <c r="ADA67" s="16">
        <f t="shared" ref="ADA67:ADA130" si="55">COUNTA(ACV67:ACZ67)</f>
        <v>0</v>
      </c>
      <c r="ADM67" s="16">
        <f t="shared" ref="ADM67:ADM130" si="56">COUNTA(ADB67:ADL67)</f>
        <v>0</v>
      </c>
      <c r="AEI67" s="16">
        <f t="shared" ref="AEI67:AEI130" si="57">COUNTA(ADN67:AEH67)</f>
        <v>0</v>
      </c>
    </row>
    <row r="68" spans="2:815" x14ac:dyDescent="0.25">
      <c r="B68" s="2" t="s">
        <v>117</v>
      </c>
      <c r="C68" t="s">
        <v>118</v>
      </c>
      <c r="D68">
        <v>39</v>
      </c>
      <c r="E68" t="s">
        <v>14</v>
      </c>
      <c r="F68" t="s">
        <v>9</v>
      </c>
      <c r="G68" t="s">
        <v>15</v>
      </c>
      <c r="H68" t="s">
        <v>255</v>
      </c>
      <c r="I68" t="s">
        <v>243</v>
      </c>
      <c r="L68" t="s">
        <v>319</v>
      </c>
      <c r="M68">
        <v>93.5</v>
      </c>
      <c r="N68">
        <v>171</v>
      </c>
      <c r="O68" t="s">
        <v>1084</v>
      </c>
      <c r="P68" s="11">
        <v>42177</v>
      </c>
      <c r="Q68" s="11">
        <v>42178</v>
      </c>
      <c r="R68" t="s">
        <v>1171</v>
      </c>
      <c r="S68" t="s">
        <v>1146</v>
      </c>
      <c r="BA68" s="16">
        <f t="shared" si="29"/>
        <v>0</v>
      </c>
      <c r="CB68" s="16">
        <f t="shared" si="30"/>
        <v>0</v>
      </c>
      <c r="DE68" s="16">
        <f t="shared" si="31"/>
        <v>0</v>
      </c>
      <c r="DS68" s="16">
        <f t="shared" si="32"/>
        <v>0</v>
      </c>
      <c r="EF68" s="16">
        <f t="shared" si="33"/>
        <v>0</v>
      </c>
      <c r="FI68" s="16">
        <f t="shared" si="34"/>
        <v>0</v>
      </c>
      <c r="HY68" s="16">
        <f t="shared" si="35"/>
        <v>0</v>
      </c>
      <c r="KM68" s="16">
        <f t="shared" si="36"/>
        <v>0</v>
      </c>
      <c r="MZ68" s="16">
        <f t="shared" si="37"/>
        <v>0</v>
      </c>
      <c r="OQ68" s="16">
        <f t="shared" si="38"/>
        <v>0</v>
      </c>
      <c r="OW68" s="33">
        <f t="shared" si="39"/>
        <v>0</v>
      </c>
      <c r="RD68" s="16">
        <f t="shared" si="40"/>
        <v>0</v>
      </c>
      <c r="RU68" s="16">
        <f t="shared" si="41"/>
        <v>0</v>
      </c>
      <c r="UE68" s="16">
        <f t="shared" si="42"/>
        <v>0</v>
      </c>
      <c r="VJ68" s="16">
        <f t="shared" si="43"/>
        <v>0</v>
      </c>
      <c r="WM68" s="16">
        <f t="shared" si="44"/>
        <v>0</v>
      </c>
      <c r="XH68" s="16">
        <f t="shared" si="45"/>
        <v>0</v>
      </c>
      <c r="YD68" s="16">
        <f t="shared" si="46"/>
        <v>0</v>
      </c>
      <c r="YX68" s="16">
        <f t="shared" si="47"/>
        <v>0</v>
      </c>
      <c r="ZR68" s="16">
        <f t="shared" si="48"/>
        <v>0</v>
      </c>
      <c r="ZX68" s="16">
        <f t="shared" si="49"/>
        <v>0</v>
      </c>
      <c r="AAT68" s="16">
        <f t="shared" si="50"/>
        <v>0</v>
      </c>
      <c r="ABQ68" s="16">
        <f t="shared" si="51"/>
        <v>0</v>
      </c>
      <c r="ABV68" s="16">
        <f t="shared" si="52"/>
        <v>0</v>
      </c>
      <c r="ACC68" s="16">
        <f t="shared" si="53"/>
        <v>0</v>
      </c>
      <c r="ACQ68" s="16">
        <f t="shared" si="54"/>
        <v>0</v>
      </c>
      <c r="ADA68" s="16">
        <f t="shared" si="55"/>
        <v>0</v>
      </c>
      <c r="ADM68" s="16">
        <f t="shared" si="56"/>
        <v>0</v>
      </c>
      <c r="AEI68" s="16">
        <f t="shared" si="57"/>
        <v>0</v>
      </c>
    </row>
    <row r="69" spans="2:815" x14ac:dyDescent="0.25">
      <c r="B69" s="2" t="s">
        <v>119</v>
      </c>
      <c r="C69" t="s">
        <v>41</v>
      </c>
      <c r="D69">
        <v>64</v>
      </c>
      <c r="E69" t="s">
        <v>8</v>
      </c>
      <c r="F69" t="s">
        <v>9</v>
      </c>
      <c r="G69" t="s">
        <v>9</v>
      </c>
      <c r="H69" t="s">
        <v>1376</v>
      </c>
      <c r="I69" t="s">
        <v>243</v>
      </c>
      <c r="J69" t="s">
        <v>257</v>
      </c>
      <c r="K69" t="s">
        <v>270</v>
      </c>
      <c r="L69" t="s">
        <v>319</v>
      </c>
      <c r="P69" s="11">
        <v>38456</v>
      </c>
      <c r="Q69" s="11">
        <v>38461</v>
      </c>
      <c r="R69" t="s">
        <v>1262</v>
      </c>
      <c r="S69" t="s">
        <v>1146</v>
      </c>
      <c r="T69" t="s">
        <v>1374</v>
      </c>
      <c r="U69" t="s">
        <v>1378</v>
      </c>
      <c r="W69" t="s">
        <v>1377</v>
      </c>
      <c r="Z69">
        <v>42</v>
      </c>
      <c r="AD69">
        <v>36</v>
      </c>
      <c r="AN69">
        <v>28</v>
      </c>
      <c r="BA69" s="16">
        <f t="shared" si="29"/>
        <v>3</v>
      </c>
      <c r="BB69" t="s">
        <v>845</v>
      </c>
      <c r="BF69">
        <v>118</v>
      </c>
      <c r="BL69" t="s">
        <v>845</v>
      </c>
      <c r="CB69" s="16">
        <f t="shared" si="30"/>
        <v>3</v>
      </c>
      <c r="CC69">
        <v>29.06</v>
      </c>
      <c r="CG69">
        <v>28.35</v>
      </c>
      <c r="CN69">
        <v>27.84</v>
      </c>
      <c r="DE69" s="16">
        <f t="shared" si="31"/>
        <v>3</v>
      </c>
      <c r="DS69" s="16">
        <f t="shared" si="32"/>
        <v>0</v>
      </c>
      <c r="EF69" s="16">
        <f t="shared" si="33"/>
        <v>0</v>
      </c>
      <c r="EG69">
        <v>6700</v>
      </c>
      <c r="EL69">
        <v>4800</v>
      </c>
      <c r="EW69">
        <v>7200</v>
      </c>
      <c r="FI69" s="16">
        <f t="shared" si="34"/>
        <v>3</v>
      </c>
      <c r="FJ69">
        <v>73</v>
      </c>
      <c r="FN69">
        <v>81</v>
      </c>
      <c r="FQ69">
        <v>57</v>
      </c>
      <c r="GA69">
        <v>15</v>
      </c>
      <c r="HY69" s="16">
        <f t="shared" si="35"/>
        <v>4</v>
      </c>
      <c r="HZ69">
        <v>93</v>
      </c>
      <c r="IC69">
        <v>117</v>
      </c>
      <c r="IF69">
        <v>96</v>
      </c>
      <c r="IP69">
        <v>61</v>
      </c>
      <c r="KM69" s="16">
        <f t="shared" si="36"/>
        <v>4</v>
      </c>
      <c r="KN69">
        <v>73</v>
      </c>
      <c r="KP69">
        <v>96</v>
      </c>
      <c r="KR69">
        <v>85</v>
      </c>
      <c r="LB69">
        <v>79</v>
      </c>
      <c r="MZ69" s="16">
        <f t="shared" si="37"/>
        <v>4</v>
      </c>
      <c r="NA69">
        <v>274</v>
      </c>
      <c r="ND69">
        <v>263</v>
      </c>
      <c r="NG69">
        <v>224</v>
      </c>
      <c r="NQ69">
        <v>199</v>
      </c>
      <c r="OQ69" s="16">
        <f t="shared" si="38"/>
        <v>4</v>
      </c>
      <c r="OW69" s="33">
        <f t="shared" si="39"/>
        <v>0</v>
      </c>
      <c r="OX69" t="s">
        <v>1677</v>
      </c>
      <c r="PD69" t="s">
        <v>1678</v>
      </c>
      <c r="PO69" t="s">
        <v>1679</v>
      </c>
      <c r="RD69" s="16">
        <f t="shared" si="40"/>
        <v>3</v>
      </c>
      <c r="RU69" s="16">
        <f t="shared" si="41"/>
        <v>0</v>
      </c>
      <c r="RV69">
        <v>101</v>
      </c>
      <c r="SB69">
        <v>109</v>
      </c>
      <c r="SL69">
        <v>101</v>
      </c>
      <c r="UE69" s="16">
        <f t="shared" si="42"/>
        <v>3</v>
      </c>
      <c r="VJ69" s="16">
        <f t="shared" si="43"/>
        <v>0</v>
      </c>
      <c r="VK69" t="s">
        <v>529</v>
      </c>
      <c r="VP69" t="s">
        <v>1716</v>
      </c>
      <c r="VZ69" t="s">
        <v>1717</v>
      </c>
      <c r="WM69" s="16">
        <f t="shared" si="44"/>
        <v>3</v>
      </c>
      <c r="WN69">
        <v>0.93</v>
      </c>
      <c r="WR69">
        <v>0.92</v>
      </c>
      <c r="WY69">
        <v>0.89</v>
      </c>
      <c r="XH69" s="16">
        <f t="shared" si="45"/>
        <v>3</v>
      </c>
      <c r="XI69">
        <v>37</v>
      </c>
      <c r="XM69">
        <v>33.1</v>
      </c>
      <c r="XW69">
        <v>77</v>
      </c>
      <c r="YD69" s="16">
        <f t="shared" si="46"/>
        <v>3</v>
      </c>
      <c r="YE69">
        <v>34</v>
      </c>
      <c r="YJ69">
        <v>36</v>
      </c>
      <c r="YT69">
        <v>75</v>
      </c>
      <c r="YX69" s="16">
        <f t="shared" si="47"/>
        <v>3</v>
      </c>
      <c r="YY69">
        <v>29</v>
      </c>
      <c r="ZB69">
        <v>15.3</v>
      </c>
      <c r="ZI69">
        <v>6.2</v>
      </c>
      <c r="ZR69" s="16">
        <f t="shared" si="48"/>
        <v>3</v>
      </c>
      <c r="ZX69" s="16">
        <f t="shared" si="49"/>
        <v>0</v>
      </c>
      <c r="ZY69">
        <v>0.49</v>
      </c>
      <c r="AAC69">
        <v>0.39</v>
      </c>
      <c r="AAM69">
        <v>0.54</v>
      </c>
      <c r="AAT69" s="16">
        <f t="shared" si="50"/>
        <v>3</v>
      </c>
      <c r="AAU69">
        <v>309</v>
      </c>
      <c r="AAZ69">
        <v>278</v>
      </c>
      <c r="ABH69">
        <v>358</v>
      </c>
      <c r="ABQ69" s="16">
        <f t="shared" si="51"/>
        <v>1</v>
      </c>
      <c r="ABV69" s="16">
        <f t="shared" si="52"/>
        <v>0</v>
      </c>
      <c r="ACC69" s="16">
        <f t="shared" si="53"/>
        <v>0</v>
      </c>
      <c r="ACQ69" s="16">
        <f t="shared" si="54"/>
        <v>0</v>
      </c>
      <c r="ADA69" s="16">
        <f t="shared" si="55"/>
        <v>0</v>
      </c>
      <c r="ADB69">
        <v>177</v>
      </c>
      <c r="ADC69">
        <v>205</v>
      </c>
      <c r="ADE69">
        <v>254</v>
      </c>
      <c r="ADM69" s="16">
        <f t="shared" si="56"/>
        <v>3</v>
      </c>
      <c r="ADN69">
        <v>241</v>
      </c>
      <c r="AEB69">
        <v>308</v>
      </c>
      <c r="AEI69" s="16">
        <f t="shared" si="57"/>
        <v>2</v>
      </c>
    </row>
    <row r="70" spans="2:815" x14ac:dyDescent="0.25">
      <c r="B70" s="2" t="s">
        <v>120</v>
      </c>
      <c r="C70" t="s">
        <v>121</v>
      </c>
      <c r="D70">
        <v>35</v>
      </c>
      <c r="E70" t="s">
        <v>8</v>
      </c>
      <c r="F70" t="s">
        <v>9</v>
      </c>
      <c r="G70" t="s">
        <v>9</v>
      </c>
      <c r="H70" t="s">
        <v>252</v>
      </c>
      <c r="I70" t="s">
        <v>243</v>
      </c>
      <c r="J70" t="s">
        <v>243</v>
      </c>
      <c r="K70" t="s">
        <v>1385</v>
      </c>
      <c r="L70" t="s">
        <v>1382</v>
      </c>
      <c r="M70">
        <v>50</v>
      </c>
      <c r="N70">
        <v>160</v>
      </c>
      <c r="O70" t="s">
        <v>1085</v>
      </c>
      <c r="R70" t="s">
        <v>1379</v>
      </c>
      <c r="S70" t="s">
        <v>1380</v>
      </c>
      <c r="T70" t="s">
        <v>1381</v>
      </c>
      <c r="U70" t="s">
        <v>1384</v>
      </c>
      <c r="W70" t="s">
        <v>1383</v>
      </c>
      <c r="BA70" s="16">
        <f t="shared" si="29"/>
        <v>0</v>
      </c>
      <c r="CB70" s="16">
        <f t="shared" si="30"/>
        <v>0</v>
      </c>
      <c r="DE70" s="16">
        <f t="shared" si="31"/>
        <v>0</v>
      </c>
      <c r="DS70" s="16">
        <f t="shared" si="32"/>
        <v>0</v>
      </c>
      <c r="EF70" s="16">
        <f t="shared" si="33"/>
        <v>0</v>
      </c>
      <c r="FI70" s="16">
        <f t="shared" si="34"/>
        <v>0</v>
      </c>
      <c r="FJ70" t="s">
        <v>854</v>
      </c>
      <c r="HY70" s="16">
        <f t="shared" si="35"/>
        <v>1</v>
      </c>
      <c r="HZ70" t="s">
        <v>855</v>
      </c>
      <c r="KM70" s="16">
        <f t="shared" si="36"/>
        <v>1</v>
      </c>
      <c r="MZ70" s="16">
        <f t="shared" si="37"/>
        <v>0</v>
      </c>
      <c r="OQ70" s="16">
        <f t="shared" si="38"/>
        <v>0</v>
      </c>
      <c r="OW70" s="33">
        <f t="shared" si="39"/>
        <v>0</v>
      </c>
      <c r="OX70">
        <v>425</v>
      </c>
      <c r="RD70" s="16">
        <f t="shared" si="40"/>
        <v>1</v>
      </c>
      <c r="RU70" s="16">
        <f t="shared" si="41"/>
        <v>0</v>
      </c>
      <c r="UE70" s="16">
        <f t="shared" si="42"/>
        <v>0</v>
      </c>
      <c r="VJ70" s="16">
        <f t="shared" si="43"/>
        <v>0</v>
      </c>
      <c r="WM70" s="16">
        <f t="shared" si="44"/>
        <v>0</v>
      </c>
      <c r="XH70" s="16">
        <f t="shared" si="45"/>
        <v>0</v>
      </c>
      <c r="YD70" s="16">
        <f t="shared" si="46"/>
        <v>0</v>
      </c>
      <c r="YX70" s="16">
        <f t="shared" si="47"/>
        <v>0</v>
      </c>
      <c r="ZR70" s="16">
        <f t="shared" si="48"/>
        <v>0</v>
      </c>
      <c r="ZX70" s="16">
        <f t="shared" si="49"/>
        <v>0</v>
      </c>
      <c r="AAT70" s="16">
        <f t="shared" si="50"/>
        <v>0</v>
      </c>
      <c r="ABQ70" s="16">
        <f t="shared" si="51"/>
        <v>0</v>
      </c>
      <c r="ABU70" t="s">
        <v>857</v>
      </c>
      <c r="ABV70" s="16">
        <f t="shared" si="52"/>
        <v>1</v>
      </c>
      <c r="ACB70" t="s">
        <v>859</v>
      </c>
      <c r="ACC70" s="16">
        <f t="shared" si="53"/>
        <v>1</v>
      </c>
      <c r="ACQ70" s="16">
        <f t="shared" si="54"/>
        <v>0</v>
      </c>
      <c r="ADA70" s="16">
        <f t="shared" si="55"/>
        <v>0</v>
      </c>
      <c r="ADM70" s="16">
        <f t="shared" si="56"/>
        <v>0</v>
      </c>
      <c r="AEI70" s="16">
        <f t="shared" si="57"/>
        <v>0</v>
      </c>
    </row>
    <row r="71" spans="2:815" x14ac:dyDescent="0.25">
      <c r="B71" s="6" t="s">
        <v>122</v>
      </c>
      <c r="E71" t="s">
        <v>14</v>
      </c>
      <c r="F71" t="s">
        <v>15</v>
      </c>
      <c r="G71" t="s">
        <v>15</v>
      </c>
      <c r="L71" t="s">
        <v>319</v>
      </c>
      <c r="BA71" s="16">
        <f t="shared" si="29"/>
        <v>0</v>
      </c>
      <c r="CB71" s="16">
        <f t="shared" si="30"/>
        <v>0</v>
      </c>
      <c r="DE71" s="16">
        <f t="shared" si="31"/>
        <v>0</v>
      </c>
      <c r="DS71" s="16">
        <f t="shared" si="32"/>
        <v>0</v>
      </c>
      <c r="EF71" s="16">
        <f t="shared" si="33"/>
        <v>0</v>
      </c>
      <c r="FI71" s="16">
        <f t="shared" si="34"/>
        <v>0</v>
      </c>
      <c r="HY71" s="16">
        <f t="shared" si="35"/>
        <v>0</v>
      </c>
      <c r="KM71" s="16">
        <f t="shared" si="36"/>
        <v>0</v>
      </c>
      <c r="MZ71" s="16">
        <f t="shared" si="37"/>
        <v>0</v>
      </c>
      <c r="OQ71" s="16">
        <f t="shared" si="38"/>
        <v>0</v>
      </c>
      <c r="OW71" s="33">
        <f t="shared" si="39"/>
        <v>0</v>
      </c>
      <c r="RD71" s="16">
        <f t="shared" si="40"/>
        <v>0</v>
      </c>
      <c r="RU71" s="16">
        <f t="shared" si="41"/>
        <v>0</v>
      </c>
      <c r="UE71" s="16">
        <f t="shared" si="42"/>
        <v>0</v>
      </c>
      <c r="VJ71" s="16">
        <f t="shared" si="43"/>
        <v>0</v>
      </c>
      <c r="WM71" s="16">
        <f t="shared" si="44"/>
        <v>0</v>
      </c>
      <c r="XH71" s="16">
        <f t="shared" si="45"/>
        <v>0</v>
      </c>
      <c r="YD71" s="16">
        <f t="shared" si="46"/>
        <v>0</v>
      </c>
      <c r="YX71" s="16">
        <f t="shared" si="47"/>
        <v>0</v>
      </c>
      <c r="ZR71" s="16">
        <f t="shared" si="48"/>
        <v>0</v>
      </c>
      <c r="ZX71" s="16">
        <f t="shared" si="49"/>
        <v>0</v>
      </c>
      <c r="AAT71" s="16">
        <f t="shared" si="50"/>
        <v>0</v>
      </c>
      <c r="ABQ71" s="16">
        <f t="shared" si="51"/>
        <v>0</v>
      </c>
      <c r="ABV71" s="16">
        <f t="shared" si="52"/>
        <v>0</v>
      </c>
      <c r="ACC71" s="16">
        <f t="shared" si="53"/>
        <v>0</v>
      </c>
      <c r="ACQ71" s="16">
        <f t="shared" si="54"/>
        <v>0</v>
      </c>
      <c r="ADA71" s="16">
        <f t="shared" si="55"/>
        <v>0</v>
      </c>
      <c r="ADM71" s="16">
        <f t="shared" si="56"/>
        <v>0</v>
      </c>
      <c r="AEI71" s="16">
        <f t="shared" si="57"/>
        <v>0</v>
      </c>
    </row>
    <row r="72" spans="2:815" x14ac:dyDescent="0.25">
      <c r="B72" s="2" t="s">
        <v>123</v>
      </c>
      <c r="C72" t="s">
        <v>124</v>
      </c>
      <c r="D72">
        <v>35</v>
      </c>
      <c r="E72" t="s">
        <v>8</v>
      </c>
      <c r="F72" t="s">
        <v>9</v>
      </c>
      <c r="G72" t="s">
        <v>15</v>
      </c>
      <c r="H72" t="s">
        <v>271</v>
      </c>
      <c r="I72" t="s">
        <v>243</v>
      </c>
      <c r="J72" t="s">
        <v>243</v>
      </c>
      <c r="K72" t="s">
        <v>1386</v>
      </c>
      <c r="L72" t="s">
        <v>1387</v>
      </c>
      <c r="M72">
        <v>50</v>
      </c>
      <c r="N72">
        <v>160</v>
      </c>
      <c r="O72" t="s">
        <v>1085</v>
      </c>
      <c r="R72" t="s">
        <v>1379</v>
      </c>
      <c r="S72" t="s">
        <v>1389</v>
      </c>
      <c r="W72" t="s">
        <v>1388</v>
      </c>
      <c r="BA72" s="16">
        <f t="shared" si="29"/>
        <v>0</v>
      </c>
      <c r="CB72" s="16">
        <f t="shared" si="30"/>
        <v>0</v>
      </c>
      <c r="DE72" s="16">
        <f t="shared" si="31"/>
        <v>0</v>
      </c>
      <c r="DS72" s="16">
        <f t="shared" si="32"/>
        <v>0</v>
      </c>
      <c r="EF72" s="16">
        <f t="shared" si="33"/>
        <v>0</v>
      </c>
      <c r="FI72" s="16">
        <f t="shared" si="34"/>
        <v>0</v>
      </c>
      <c r="HY72" s="16">
        <f t="shared" si="35"/>
        <v>0</v>
      </c>
      <c r="KM72" s="16">
        <f t="shared" si="36"/>
        <v>0</v>
      </c>
      <c r="MZ72" s="16">
        <f t="shared" si="37"/>
        <v>0</v>
      </c>
      <c r="OQ72" s="16">
        <f t="shared" si="38"/>
        <v>0</v>
      </c>
      <c r="OW72" s="33">
        <f t="shared" si="39"/>
        <v>0</v>
      </c>
      <c r="RD72" s="16">
        <f t="shared" si="40"/>
        <v>0</v>
      </c>
      <c r="RU72" s="16">
        <f t="shared" si="41"/>
        <v>0</v>
      </c>
      <c r="UE72" s="16">
        <f t="shared" si="42"/>
        <v>0</v>
      </c>
      <c r="VJ72" s="16">
        <f t="shared" si="43"/>
        <v>0</v>
      </c>
      <c r="WM72" s="16">
        <f t="shared" si="44"/>
        <v>0</v>
      </c>
      <c r="XH72" s="16">
        <f t="shared" si="45"/>
        <v>0</v>
      </c>
      <c r="YD72" s="16">
        <f t="shared" si="46"/>
        <v>0</v>
      </c>
      <c r="YX72" s="16">
        <f t="shared" si="47"/>
        <v>0</v>
      </c>
      <c r="ZR72" s="16">
        <f t="shared" si="48"/>
        <v>0</v>
      </c>
      <c r="ZX72" s="16">
        <f t="shared" si="49"/>
        <v>0</v>
      </c>
      <c r="AAT72" s="16">
        <f t="shared" si="50"/>
        <v>0</v>
      </c>
      <c r="ABQ72" s="16">
        <f t="shared" si="51"/>
        <v>0</v>
      </c>
      <c r="ABV72" s="16">
        <f t="shared" si="52"/>
        <v>0</v>
      </c>
      <c r="ACC72" s="16">
        <f t="shared" si="53"/>
        <v>0</v>
      </c>
      <c r="ACQ72" s="16">
        <f t="shared" si="54"/>
        <v>0</v>
      </c>
      <c r="ADA72" s="16">
        <f t="shared" si="55"/>
        <v>0</v>
      </c>
      <c r="ADM72" s="16">
        <f t="shared" si="56"/>
        <v>0</v>
      </c>
      <c r="AEI72" s="16">
        <f t="shared" si="57"/>
        <v>0</v>
      </c>
    </row>
    <row r="73" spans="2:815" x14ac:dyDescent="0.25">
      <c r="B73" s="2" t="s">
        <v>125</v>
      </c>
      <c r="C73" t="s">
        <v>329</v>
      </c>
      <c r="D73">
        <v>65</v>
      </c>
      <c r="E73" t="s">
        <v>8</v>
      </c>
      <c r="F73" t="s">
        <v>9</v>
      </c>
      <c r="G73" t="s">
        <v>9</v>
      </c>
      <c r="H73" t="s">
        <v>272</v>
      </c>
      <c r="I73" t="s">
        <v>243</v>
      </c>
      <c r="J73" t="s">
        <v>243</v>
      </c>
      <c r="K73" t="s">
        <v>1392</v>
      </c>
      <c r="L73" t="s">
        <v>310</v>
      </c>
      <c r="M73">
        <v>81</v>
      </c>
      <c r="N73">
        <v>161</v>
      </c>
      <c r="O73" t="s">
        <v>1075</v>
      </c>
      <c r="P73" s="11">
        <v>38657</v>
      </c>
      <c r="Q73" s="11">
        <v>38660</v>
      </c>
      <c r="R73" t="s">
        <v>1218</v>
      </c>
      <c r="S73" t="s">
        <v>1269</v>
      </c>
      <c r="T73" s="15" t="s">
        <v>1391</v>
      </c>
      <c r="U73" t="s">
        <v>1390</v>
      </c>
      <c r="W73" t="s">
        <v>1393</v>
      </c>
      <c r="BA73" s="16">
        <f t="shared" si="29"/>
        <v>0</v>
      </c>
      <c r="BB73">
        <v>102</v>
      </c>
      <c r="BD73">
        <v>54</v>
      </c>
      <c r="BG73">
        <v>39</v>
      </c>
      <c r="BJ73">
        <v>86</v>
      </c>
      <c r="BK73">
        <v>95</v>
      </c>
      <c r="BM73">
        <v>105</v>
      </c>
      <c r="BN73">
        <v>100</v>
      </c>
      <c r="BO73">
        <v>101</v>
      </c>
      <c r="BQ73">
        <v>104</v>
      </c>
      <c r="BR73">
        <v>102</v>
      </c>
      <c r="BS73">
        <v>107</v>
      </c>
      <c r="CB73" s="16">
        <f t="shared" si="30"/>
        <v>11</v>
      </c>
      <c r="CC73">
        <v>27.1</v>
      </c>
      <c r="CE73">
        <v>30.9</v>
      </c>
      <c r="CH73">
        <v>36.200000000000003</v>
      </c>
      <c r="CL73">
        <v>29.7</v>
      </c>
      <c r="CM73">
        <v>30.5</v>
      </c>
      <c r="CO73">
        <v>29.1</v>
      </c>
      <c r="CP73">
        <v>28.6</v>
      </c>
      <c r="CR73">
        <v>28.3</v>
      </c>
      <c r="CU73">
        <v>27.5</v>
      </c>
      <c r="CV73">
        <v>27.5</v>
      </c>
      <c r="DE73" s="16">
        <f t="shared" si="31"/>
        <v>10</v>
      </c>
      <c r="DS73" s="16">
        <f t="shared" si="32"/>
        <v>0</v>
      </c>
      <c r="DZ73" s="7">
        <v>0.54</v>
      </c>
      <c r="EA73" s="7">
        <v>0.57999999999999996</v>
      </c>
      <c r="EF73" s="16">
        <f t="shared" si="33"/>
        <v>2</v>
      </c>
      <c r="EG73">
        <v>15000</v>
      </c>
      <c r="EI73">
        <v>19700</v>
      </c>
      <c r="EN73">
        <v>15200</v>
      </c>
      <c r="ER73">
        <v>9600</v>
      </c>
      <c r="ET73">
        <v>9300</v>
      </c>
      <c r="EX73">
        <v>11500</v>
      </c>
      <c r="EY73">
        <v>13000</v>
      </c>
      <c r="EZ73">
        <v>12000</v>
      </c>
      <c r="FA73">
        <v>11700</v>
      </c>
      <c r="FB73">
        <v>12500</v>
      </c>
      <c r="FC73">
        <v>11000</v>
      </c>
      <c r="FI73" s="16">
        <f t="shared" si="34"/>
        <v>11</v>
      </c>
      <c r="FJ73">
        <v>30</v>
      </c>
      <c r="FN73">
        <v>167</v>
      </c>
      <c r="FR73">
        <v>1890</v>
      </c>
      <c r="FV73">
        <v>447</v>
      </c>
      <c r="FX73">
        <v>156</v>
      </c>
      <c r="GB73">
        <v>45</v>
      </c>
      <c r="GC73">
        <v>38</v>
      </c>
      <c r="GE73">
        <v>33</v>
      </c>
      <c r="GF73">
        <v>39</v>
      </c>
      <c r="GG73">
        <v>37</v>
      </c>
      <c r="GH73">
        <v>37</v>
      </c>
      <c r="GI73">
        <v>40</v>
      </c>
      <c r="HY73" s="16">
        <f t="shared" si="35"/>
        <v>12</v>
      </c>
      <c r="IG73">
        <v>2693</v>
      </c>
      <c r="IK73">
        <v>1402</v>
      </c>
      <c r="IM73">
        <v>922</v>
      </c>
      <c r="IQ73">
        <v>374</v>
      </c>
      <c r="IR73">
        <v>254</v>
      </c>
      <c r="IT73">
        <v>122</v>
      </c>
      <c r="IU73">
        <v>94</v>
      </c>
      <c r="IV73">
        <v>81</v>
      </c>
      <c r="IW73">
        <v>66</v>
      </c>
      <c r="IX73">
        <v>62</v>
      </c>
      <c r="KM73" s="16">
        <f t="shared" si="36"/>
        <v>10</v>
      </c>
      <c r="KS73">
        <v>67</v>
      </c>
      <c r="KW73">
        <v>69</v>
      </c>
      <c r="KY73">
        <v>125</v>
      </c>
      <c r="LC73">
        <v>182</v>
      </c>
      <c r="LD73">
        <v>274</v>
      </c>
      <c r="LF73">
        <v>211</v>
      </c>
      <c r="LG73">
        <v>247</v>
      </c>
      <c r="LH73">
        <v>325</v>
      </c>
      <c r="LI73">
        <v>516</v>
      </c>
      <c r="LJ73">
        <v>601</v>
      </c>
      <c r="MZ73" s="16">
        <f t="shared" si="37"/>
        <v>10</v>
      </c>
      <c r="NH73">
        <v>751</v>
      </c>
      <c r="OQ73" s="16">
        <f t="shared" si="38"/>
        <v>1</v>
      </c>
      <c r="OW73" s="33">
        <f t="shared" si="39"/>
        <v>0</v>
      </c>
      <c r="PA73" t="s">
        <v>1680</v>
      </c>
      <c r="PF73" t="s">
        <v>1681</v>
      </c>
      <c r="PJ73" t="s">
        <v>1682</v>
      </c>
      <c r="PL73" t="s">
        <v>1683</v>
      </c>
      <c r="PP73" t="s">
        <v>1684</v>
      </c>
      <c r="PQ73" t="s">
        <v>1685</v>
      </c>
      <c r="PS73">
        <v>29.24</v>
      </c>
      <c r="PT73" t="s">
        <v>1686</v>
      </c>
      <c r="PU73" t="s">
        <v>1687</v>
      </c>
      <c r="PV73" t="s">
        <v>1688</v>
      </c>
      <c r="PW73" t="s">
        <v>1689</v>
      </c>
      <c r="RD73" s="16">
        <f t="shared" si="40"/>
        <v>11</v>
      </c>
      <c r="RU73" s="16">
        <f t="shared" si="41"/>
        <v>0</v>
      </c>
      <c r="SG73">
        <v>96</v>
      </c>
      <c r="SI73">
        <v>125</v>
      </c>
      <c r="SM73">
        <v>182</v>
      </c>
      <c r="SN73">
        <v>175</v>
      </c>
      <c r="SP73">
        <v>150</v>
      </c>
      <c r="SQ73">
        <v>188</v>
      </c>
      <c r="SR73">
        <v>273</v>
      </c>
      <c r="SS73">
        <v>390</v>
      </c>
      <c r="ST73">
        <v>441</v>
      </c>
      <c r="UE73" s="16">
        <f t="shared" si="42"/>
        <v>9</v>
      </c>
      <c r="VJ73" s="16">
        <f t="shared" si="43"/>
        <v>0</v>
      </c>
      <c r="VK73" t="s">
        <v>1719</v>
      </c>
      <c r="VM73" t="s">
        <v>1720</v>
      </c>
      <c r="VQ73" t="s">
        <v>1721</v>
      </c>
      <c r="VU73" t="s">
        <v>1722</v>
      </c>
      <c r="VW73" t="s">
        <v>1723</v>
      </c>
      <c r="WA73" t="s">
        <v>1724</v>
      </c>
      <c r="WB73" t="s">
        <v>1725</v>
      </c>
      <c r="WC73" t="s">
        <v>1725</v>
      </c>
      <c r="WD73" t="s">
        <v>1724</v>
      </c>
      <c r="WE73" t="s">
        <v>1726</v>
      </c>
      <c r="WM73" s="16">
        <f t="shared" si="44"/>
        <v>10</v>
      </c>
      <c r="WZ73">
        <v>1</v>
      </c>
      <c r="XC73">
        <v>0.9</v>
      </c>
      <c r="XD73">
        <v>1</v>
      </c>
      <c r="XH73" s="16">
        <f t="shared" si="45"/>
        <v>3</v>
      </c>
      <c r="XJ73">
        <v>425</v>
      </c>
      <c r="XN73">
        <v>12</v>
      </c>
      <c r="YD73" s="16">
        <f t="shared" si="46"/>
        <v>2</v>
      </c>
      <c r="YX73" s="16">
        <f t="shared" si="47"/>
        <v>0</v>
      </c>
      <c r="YY73">
        <v>449.5</v>
      </c>
      <c r="ZA73">
        <v>906</v>
      </c>
      <c r="ZR73" s="16">
        <f t="shared" si="48"/>
        <v>2</v>
      </c>
      <c r="ZX73" s="16">
        <f t="shared" si="49"/>
        <v>0</v>
      </c>
      <c r="AAD73">
        <v>20.9</v>
      </c>
      <c r="AAN73">
        <v>11.5</v>
      </c>
      <c r="AAT73" s="16">
        <f t="shared" si="50"/>
        <v>2</v>
      </c>
      <c r="AAU73">
        <v>311</v>
      </c>
      <c r="AAW73">
        <v>252</v>
      </c>
      <c r="ABB73">
        <v>307</v>
      </c>
      <c r="ABC73">
        <v>248</v>
      </c>
      <c r="ABE73">
        <v>278</v>
      </c>
      <c r="ABI73">
        <v>317</v>
      </c>
      <c r="ABJ73">
        <v>320</v>
      </c>
      <c r="ABL73">
        <v>409</v>
      </c>
      <c r="ABM73">
        <v>477</v>
      </c>
      <c r="ABN73">
        <v>615</v>
      </c>
      <c r="ABQ73" s="16">
        <f t="shared" si="51"/>
        <v>1</v>
      </c>
      <c r="ABV73" s="16">
        <f t="shared" si="52"/>
        <v>0</v>
      </c>
      <c r="ACC73" s="16">
        <f t="shared" si="53"/>
        <v>0</v>
      </c>
      <c r="ACL73" t="s">
        <v>868</v>
      </c>
      <c r="ACQ73" s="16">
        <f t="shared" si="54"/>
        <v>1</v>
      </c>
      <c r="ADA73" s="16">
        <f t="shared" si="55"/>
        <v>0</v>
      </c>
      <c r="ADD73" t="s">
        <v>870</v>
      </c>
      <c r="ADM73" s="16">
        <f t="shared" si="56"/>
        <v>1</v>
      </c>
      <c r="ADS73">
        <v>80</v>
      </c>
      <c r="AEI73" s="16">
        <f t="shared" si="57"/>
        <v>1</v>
      </c>
    </row>
    <row r="74" spans="2:815" x14ac:dyDescent="0.25">
      <c r="B74" s="4" t="s">
        <v>126</v>
      </c>
      <c r="E74" t="s">
        <v>14</v>
      </c>
      <c r="F74" t="s">
        <v>9</v>
      </c>
      <c r="G74" t="s">
        <v>15</v>
      </c>
      <c r="I74" t="s">
        <v>243</v>
      </c>
      <c r="J74" t="s">
        <v>243</v>
      </c>
      <c r="K74" t="s">
        <v>1394</v>
      </c>
      <c r="L74" t="s">
        <v>310</v>
      </c>
      <c r="S74" t="s">
        <v>1225</v>
      </c>
      <c r="BA74" s="16">
        <f t="shared" si="29"/>
        <v>0</v>
      </c>
      <c r="CB74" s="16">
        <f t="shared" si="30"/>
        <v>0</v>
      </c>
      <c r="DE74" s="16">
        <f t="shared" si="31"/>
        <v>0</v>
      </c>
      <c r="DS74" s="16">
        <f t="shared" si="32"/>
        <v>0</v>
      </c>
      <c r="EF74" s="16">
        <f t="shared" si="33"/>
        <v>0</v>
      </c>
      <c r="FI74" s="16">
        <f t="shared" si="34"/>
        <v>0</v>
      </c>
      <c r="HY74" s="16">
        <f t="shared" si="35"/>
        <v>0</v>
      </c>
      <c r="KM74" s="16">
        <f t="shared" si="36"/>
        <v>0</v>
      </c>
      <c r="MZ74" s="16">
        <f t="shared" si="37"/>
        <v>0</v>
      </c>
      <c r="OQ74" s="16">
        <f t="shared" si="38"/>
        <v>0</v>
      </c>
      <c r="OW74" s="33">
        <f t="shared" si="39"/>
        <v>0</v>
      </c>
      <c r="RD74" s="16">
        <f t="shared" si="40"/>
        <v>0</v>
      </c>
      <c r="RU74" s="16">
        <f t="shared" si="41"/>
        <v>0</v>
      </c>
      <c r="UE74" s="16">
        <f t="shared" si="42"/>
        <v>0</v>
      </c>
      <c r="VJ74" s="16">
        <f t="shared" si="43"/>
        <v>0</v>
      </c>
      <c r="WM74" s="16">
        <f t="shared" si="44"/>
        <v>0</v>
      </c>
      <c r="XH74" s="16">
        <f t="shared" si="45"/>
        <v>0</v>
      </c>
      <c r="YD74" s="16">
        <f t="shared" si="46"/>
        <v>0</v>
      </c>
      <c r="YX74" s="16">
        <f t="shared" si="47"/>
        <v>0</v>
      </c>
      <c r="ZR74" s="16">
        <f t="shared" si="48"/>
        <v>0</v>
      </c>
      <c r="ZX74" s="16">
        <f t="shared" si="49"/>
        <v>0</v>
      </c>
      <c r="AAT74" s="16">
        <f t="shared" si="50"/>
        <v>0</v>
      </c>
      <c r="ABQ74" s="16">
        <f t="shared" si="51"/>
        <v>0</v>
      </c>
      <c r="ABV74" s="16">
        <f t="shared" si="52"/>
        <v>0</v>
      </c>
      <c r="ACC74" s="16">
        <f t="shared" si="53"/>
        <v>0</v>
      </c>
      <c r="ACQ74" s="16">
        <f t="shared" si="54"/>
        <v>0</v>
      </c>
      <c r="ADA74" s="16">
        <f t="shared" si="55"/>
        <v>0</v>
      </c>
      <c r="ADM74" s="16">
        <f t="shared" si="56"/>
        <v>0</v>
      </c>
      <c r="AEI74" s="16">
        <f t="shared" si="57"/>
        <v>0</v>
      </c>
    </row>
    <row r="75" spans="2:815" x14ac:dyDescent="0.25">
      <c r="B75" s="2" t="s">
        <v>127</v>
      </c>
      <c r="C75" t="s">
        <v>129</v>
      </c>
      <c r="D75">
        <v>51</v>
      </c>
      <c r="E75" t="s">
        <v>14</v>
      </c>
      <c r="F75" t="s">
        <v>9</v>
      </c>
      <c r="G75" t="s">
        <v>9</v>
      </c>
      <c r="H75" t="s">
        <v>273</v>
      </c>
      <c r="I75" t="s">
        <v>243</v>
      </c>
      <c r="K75" t="s">
        <v>1397</v>
      </c>
      <c r="L75" t="s">
        <v>319</v>
      </c>
      <c r="M75">
        <v>70</v>
      </c>
      <c r="N75">
        <v>170</v>
      </c>
      <c r="O75" t="s">
        <v>1036</v>
      </c>
      <c r="P75" s="11">
        <v>38282</v>
      </c>
      <c r="Q75" s="11">
        <v>38282</v>
      </c>
      <c r="R75" t="s">
        <v>1133</v>
      </c>
      <c r="S75" t="s">
        <v>1395</v>
      </c>
      <c r="T75" t="s">
        <v>1398</v>
      </c>
      <c r="V75" t="s">
        <v>1399</v>
      </c>
      <c r="W75" t="s">
        <v>1396</v>
      </c>
      <c r="BA75" s="16">
        <f t="shared" si="29"/>
        <v>0</v>
      </c>
      <c r="BM75" t="s">
        <v>886</v>
      </c>
      <c r="CB75" s="16">
        <f t="shared" si="30"/>
        <v>1</v>
      </c>
      <c r="DE75" s="16">
        <f t="shared" si="31"/>
        <v>0</v>
      </c>
      <c r="DS75" s="16">
        <f t="shared" si="32"/>
        <v>0</v>
      </c>
      <c r="EF75" s="16">
        <f t="shared" si="33"/>
        <v>0</v>
      </c>
      <c r="FI75" s="16">
        <f t="shared" si="34"/>
        <v>0</v>
      </c>
      <c r="FJ75">
        <v>11.5</v>
      </c>
      <c r="GF75">
        <v>61</v>
      </c>
      <c r="HY75" s="16">
        <f t="shared" si="35"/>
        <v>2</v>
      </c>
      <c r="HZ75">
        <v>42.7</v>
      </c>
      <c r="IU75">
        <v>206</v>
      </c>
      <c r="KM75" s="16">
        <f t="shared" si="36"/>
        <v>2</v>
      </c>
      <c r="KN75">
        <v>200</v>
      </c>
      <c r="LG75">
        <v>705</v>
      </c>
      <c r="MZ75" s="16">
        <f t="shared" si="37"/>
        <v>2</v>
      </c>
      <c r="OQ75" s="16">
        <f t="shared" si="38"/>
        <v>0</v>
      </c>
      <c r="OW75" s="33">
        <f t="shared" si="39"/>
        <v>0</v>
      </c>
      <c r="RD75" s="16">
        <f t="shared" si="40"/>
        <v>0</v>
      </c>
      <c r="RU75" s="16">
        <f t="shared" si="41"/>
        <v>0</v>
      </c>
      <c r="RV75">
        <v>87</v>
      </c>
      <c r="SQ75">
        <v>188</v>
      </c>
      <c r="UE75" s="16">
        <f t="shared" si="42"/>
        <v>2</v>
      </c>
      <c r="VJ75" s="16">
        <f t="shared" si="43"/>
        <v>0</v>
      </c>
      <c r="WM75" s="16">
        <f t="shared" si="44"/>
        <v>0</v>
      </c>
      <c r="WS75">
        <v>0.96</v>
      </c>
      <c r="XE75">
        <v>0.88</v>
      </c>
      <c r="XH75" s="16">
        <f t="shared" si="45"/>
        <v>2</v>
      </c>
      <c r="YD75" s="16">
        <f t="shared" si="46"/>
        <v>0</v>
      </c>
      <c r="YX75" s="16">
        <f t="shared" si="47"/>
        <v>0</v>
      </c>
      <c r="ZR75" s="16">
        <f t="shared" si="48"/>
        <v>0</v>
      </c>
      <c r="ZX75" s="16">
        <f t="shared" si="49"/>
        <v>0</v>
      </c>
      <c r="AAT75" s="16">
        <f t="shared" si="50"/>
        <v>0</v>
      </c>
      <c r="ABQ75" s="16">
        <f t="shared" si="51"/>
        <v>0</v>
      </c>
      <c r="ABV75" s="16">
        <f t="shared" si="52"/>
        <v>0</v>
      </c>
      <c r="ACC75" s="16">
        <f t="shared" si="53"/>
        <v>0</v>
      </c>
      <c r="ACQ75" s="16">
        <f t="shared" si="54"/>
        <v>0</v>
      </c>
      <c r="ADA75" s="16">
        <f t="shared" si="55"/>
        <v>0</v>
      </c>
      <c r="ADM75" s="16">
        <f t="shared" si="56"/>
        <v>0</v>
      </c>
      <c r="AEI75" s="16">
        <f t="shared" si="57"/>
        <v>0</v>
      </c>
    </row>
    <row r="76" spans="2:815" x14ac:dyDescent="0.25">
      <c r="B76" s="2" t="s">
        <v>128</v>
      </c>
      <c r="C76" t="s">
        <v>130</v>
      </c>
      <c r="D76">
        <v>72</v>
      </c>
      <c r="E76" t="s">
        <v>14</v>
      </c>
      <c r="F76" t="s">
        <v>9</v>
      </c>
      <c r="G76" t="s">
        <v>9</v>
      </c>
      <c r="H76" t="s">
        <v>274</v>
      </c>
      <c r="I76" t="s">
        <v>243</v>
      </c>
      <c r="K76" t="s">
        <v>256</v>
      </c>
      <c r="L76" t="s">
        <v>311</v>
      </c>
      <c r="M76">
        <v>68</v>
      </c>
      <c r="N76">
        <v>170</v>
      </c>
      <c r="O76" t="s">
        <v>1086</v>
      </c>
      <c r="P76" s="11">
        <v>38400</v>
      </c>
      <c r="Q76" s="11">
        <v>38404</v>
      </c>
      <c r="R76" t="s">
        <v>1375</v>
      </c>
      <c r="S76" t="s">
        <v>1400</v>
      </c>
      <c r="T76" t="s">
        <v>1401</v>
      </c>
      <c r="U76" t="s">
        <v>1402</v>
      </c>
      <c r="W76" t="s">
        <v>1403</v>
      </c>
      <c r="BA76" s="16">
        <f t="shared" si="29"/>
        <v>0</v>
      </c>
      <c r="CB76" s="16">
        <f t="shared" si="30"/>
        <v>0</v>
      </c>
      <c r="DE76" s="16">
        <f t="shared" si="31"/>
        <v>0</v>
      </c>
      <c r="DS76" s="16">
        <f t="shared" si="32"/>
        <v>0</v>
      </c>
      <c r="EF76" s="16">
        <f t="shared" si="33"/>
        <v>0</v>
      </c>
      <c r="ET76" t="s">
        <v>887</v>
      </c>
      <c r="FI76" s="16">
        <f t="shared" si="34"/>
        <v>1</v>
      </c>
      <c r="FJ76">
        <v>64</v>
      </c>
      <c r="FX76">
        <v>338</v>
      </c>
      <c r="GB76">
        <v>705</v>
      </c>
      <c r="HF76">
        <v>24</v>
      </c>
      <c r="HY76" s="16">
        <f t="shared" si="35"/>
        <v>4</v>
      </c>
      <c r="HZ76">
        <v>81</v>
      </c>
      <c r="IM76">
        <v>114</v>
      </c>
      <c r="IR76">
        <v>623</v>
      </c>
      <c r="JT76">
        <v>66</v>
      </c>
      <c r="KM76" s="16">
        <f t="shared" si="36"/>
        <v>4</v>
      </c>
      <c r="KN76">
        <v>109</v>
      </c>
      <c r="KY76">
        <v>492</v>
      </c>
      <c r="LC76">
        <v>1445</v>
      </c>
      <c r="MZ76" s="16">
        <f t="shared" si="37"/>
        <v>3</v>
      </c>
      <c r="OQ76" s="16">
        <f t="shared" si="38"/>
        <v>0</v>
      </c>
      <c r="OW76" s="33">
        <f t="shared" si="39"/>
        <v>0</v>
      </c>
      <c r="OX76">
        <v>52.6</v>
      </c>
      <c r="PL76">
        <v>28.2</v>
      </c>
      <c r="RD76" s="16">
        <f t="shared" si="40"/>
        <v>2</v>
      </c>
      <c r="RU76" s="16">
        <f t="shared" si="41"/>
        <v>0</v>
      </c>
      <c r="RV76">
        <v>79</v>
      </c>
      <c r="SI76">
        <v>201</v>
      </c>
      <c r="TF76">
        <v>532</v>
      </c>
      <c r="UE76" s="16">
        <f t="shared" si="42"/>
        <v>3</v>
      </c>
      <c r="VJ76" s="16">
        <f t="shared" si="43"/>
        <v>0</v>
      </c>
      <c r="WM76" s="16">
        <f t="shared" si="44"/>
        <v>0</v>
      </c>
      <c r="XH76" s="16">
        <f t="shared" si="45"/>
        <v>0</v>
      </c>
      <c r="YD76" s="16">
        <f t="shared" si="46"/>
        <v>0</v>
      </c>
      <c r="YX76" s="16">
        <f t="shared" si="47"/>
        <v>0</v>
      </c>
      <c r="ZR76" s="16">
        <f t="shared" si="48"/>
        <v>0</v>
      </c>
      <c r="ZX76" s="16">
        <f t="shared" si="49"/>
        <v>0</v>
      </c>
      <c r="AAT76" s="16">
        <f t="shared" si="50"/>
        <v>0</v>
      </c>
      <c r="ABQ76" s="16">
        <f t="shared" si="51"/>
        <v>0</v>
      </c>
      <c r="ABV76" s="16">
        <f t="shared" si="52"/>
        <v>0</v>
      </c>
      <c r="ACC76" s="16">
        <f t="shared" si="53"/>
        <v>0</v>
      </c>
      <c r="ACQ76" s="16">
        <f t="shared" si="54"/>
        <v>0</v>
      </c>
      <c r="ADA76" s="16">
        <f t="shared" si="55"/>
        <v>0</v>
      </c>
      <c r="ADM76" s="16">
        <f t="shared" si="56"/>
        <v>0</v>
      </c>
      <c r="AEI76" s="16">
        <f t="shared" si="57"/>
        <v>0</v>
      </c>
    </row>
    <row r="77" spans="2:815" x14ac:dyDescent="0.25">
      <c r="B77" s="2" t="s">
        <v>131</v>
      </c>
      <c r="C77" t="s">
        <v>132</v>
      </c>
      <c r="D77">
        <v>50</v>
      </c>
      <c r="E77" t="s">
        <v>14</v>
      </c>
      <c r="F77" t="s">
        <v>9</v>
      </c>
      <c r="G77" t="s">
        <v>9</v>
      </c>
      <c r="H77" t="s">
        <v>254</v>
      </c>
      <c r="I77" t="s">
        <v>243</v>
      </c>
      <c r="J77" t="s">
        <v>257</v>
      </c>
      <c r="K77" t="s">
        <v>1407</v>
      </c>
      <c r="L77" t="s">
        <v>306</v>
      </c>
      <c r="M77">
        <v>111</v>
      </c>
      <c r="N77">
        <v>172</v>
      </c>
      <c r="O77" t="s">
        <v>1087</v>
      </c>
      <c r="Q77" s="14">
        <v>38777</v>
      </c>
      <c r="R77" t="s">
        <v>1218</v>
      </c>
      <c r="S77" t="s">
        <v>1217</v>
      </c>
      <c r="T77" t="s">
        <v>1406</v>
      </c>
      <c r="U77" t="s">
        <v>1405</v>
      </c>
      <c r="V77" t="s">
        <v>306</v>
      </c>
      <c r="W77" t="s">
        <v>1404</v>
      </c>
      <c r="X77" t="s">
        <v>1408</v>
      </c>
      <c r="BA77" s="16">
        <f t="shared" si="29"/>
        <v>0</v>
      </c>
      <c r="CB77" s="16">
        <f t="shared" si="30"/>
        <v>0</v>
      </c>
      <c r="DE77" s="16">
        <f t="shared" si="31"/>
        <v>0</v>
      </c>
      <c r="DS77" s="16">
        <f t="shared" si="32"/>
        <v>0</v>
      </c>
      <c r="EF77" s="16">
        <f t="shared" si="33"/>
        <v>0</v>
      </c>
      <c r="FI77" s="16">
        <f t="shared" si="34"/>
        <v>0</v>
      </c>
      <c r="FJ77" t="s">
        <v>1962</v>
      </c>
      <c r="FN77">
        <v>126</v>
      </c>
      <c r="HY77" s="16">
        <f t="shared" si="35"/>
        <v>2</v>
      </c>
      <c r="HZ77">
        <v>594</v>
      </c>
      <c r="IC77">
        <v>516</v>
      </c>
      <c r="IY77">
        <v>78</v>
      </c>
      <c r="KM77" s="16">
        <f t="shared" si="36"/>
        <v>3</v>
      </c>
      <c r="KN77" t="s">
        <v>1985</v>
      </c>
      <c r="KP77" t="s">
        <v>1986</v>
      </c>
      <c r="LK77">
        <v>96</v>
      </c>
      <c r="MZ77" s="16">
        <f t="shared" si="37"/>
        <v>3</v>
      </c>
      <c r="OQ77" s="16">
        <f t="shared" si="38"/>
        <v>0</v>
      </c>
      <c r="OW77" s="33">
        <f t="shared" si="39"/>
        <v>0</v>
      </c>
      <c r="RD77" s="16">
        <f t="shared" si="40"/>
        <v>0</v>
      </c>
      <c r="RU77" s="16">
        <f t="shared" si="41"/>
        <v>0</v>
      </c>
      <c r="RV77" t="s">
        <v>893</v>
      </c>
      <c r="UE77" s="16">
        <f t="shared" si="42"/>
        <v>1</v>
      </c>
      <c r="VJ77" s="16">
        <f t="shared" si="43"/>
        <v>0</v>
      </c>
      <c r="WM77" s="16">
        <f t="shared" si="44"/>
        <v>0</v>
      </c>
      <c r="XH77" s="16">
        <f t="shared" si="45"/>
        <v>0</v>
      </c>
      <c r="YD77" s="16">
        <f t="shared" si="46"/>
        <v>0</v>
      </c>
      <c r="YX77" s="16">
        <f t="shared" si="47"/>
        <v>0</v>
      </c>
      <c r="ZA77" t="s">
        <v>890</v>
      </c>
      <c r="ZN77" t="s">
        <v>892</v>
      </c>
      <c r="ZR77" s="16">
        <f t="shared" si="48"/>
        <v>2</v>
      </c>
      <c r="ZX77" s="16">
        <f t="shared" si="49"/>
        <v>0</v>
      </c>
      <c r="AAT77" s="16">
        <f t="shared" si="50"/>
        <v>0</v>
      </c>
      <c r="ABQ77" s="16">
        <f t="shared" si="51"/>
        <v>0</v>
      </c>
      <c r="ABV77" s="16">
        <f t="shared" si="52"/>
        <v>0</v>
      </c>
      <c r="ACC77" s="16">
        <f t="shared" si="53"/>
        <v>0</v>
      </c>
      <c r="ACQ77" s="16">
        <f t="shared" si="54"/>
        <v>0</v>
      </c>
      <c r="ADA77" s="16">
        <f t="shared" si="55"/>
        <v>0</v>
      </c>
      <c r="ADM77" s="16">
        <f t="shared" si="56"/>
        <v>0</v>
      </c>
      <c r="AEI77" s="16">
        <f t="shared" si="57"/>
        <v>0</v>
      </c>
    </row>
    <row r="78" spans="2:815" x14ac:dyDescent="0.25">
      <c r="B78" s="3" t="s">
        <v>133</v>
      </c>
      <c r="D78">
        <v>55</v>
      </c>
      <c r="E78" t="s">
        <v>14</v>
      </c>
      <c r="F78" t="s">
        <v>9</v>
      </c>
      <c r="G78" t="s">
        <v>15</v>
      </c>
      <c r="K78" t="s">
        <v>1411</v>
      </c>
      <c r="L78" t="s">
        <v>1410</v>
      </c>
      <c r="W78" t="s">
        <v>1409</v>
      </c>
      <c r="BA78" s="16">
        <f t="shared" si="29"/>
        <v>0</v>
      </c>
      <c r="CB78" s="16">
        <f t="shared" si="30"/>
        <v>0</v>
      </c>
      <c r="DE78" s="16">
        <f t="shared" si="31"/>
        <v>0</v>
      </c>
      <c r="DS78" s="16">
        <f t="shared" si="32"/>
        <v>0</v>
      </c>
      <c r="EF78" s="16">
        <f t="shared" si="33"/>
        <v>0</v>
      </c>
      <c r="FI78" s="16">
        <f t="shared" si="34"/>
        <v>0</v>
      </c>
      <c r="HY78" s="16">
        <f t="shared" si="35"/>
        <v>0</v>
      </c>
      <c r="KM78" s="16">
        <f t="shared" si="36"/>
        <v>0</v>
      </c>
      <c r="MZ78" s="16">
        <f t="shared" si="37"/>
        <v>0</v>
      </c>
      <c r="OQ78" s="16">
        <f t="shared" si="38"/>
        <v>0</v>
      </c>
      <c r="OW78" s="33">
        <f t="shared" si="39"/>
        <v>0</v>
      </c>
      <c r="RD78" s="16">
        <f t="shared" si="40"/>
        <v>0</v>
      </c>
      <c r="RU78" s="16">
        <f t="shared" si="41"/>
        <v>0</v>
      </c>
      <c r="UE78" s="16">
        <f t="shared" si="42"/>
        <v>0</v>
      </c>
      <c r="VJ78" s="16">
        <f t="shared" si="43"/>
        <v>0</v>
      </c>
      <c r="WM78" s="16">
        <f t="shared" si="44"/>
        <v>0</v>
      </c>
      <c r="XH78" s="16">
        <f t="shared" si="45"/>
        <v>0</v>
      </c>
      <c r="YD78" s="16">
        <f t="shared" si="46"/>
        <v>0</v>
      </c>
      <c r="YX78" s="16">
        <f t="shared" si="47"/>
        <v>0</v>
      </c>
      <c r="ZR78" s="16">
        <f t="shared" si="48"/>
        <v>0</v>
      </c>
      <c r="ZX78" s="16">
        <f t="shared" si="49"/>
        <v>0</v>
      </c>
      <c r="AAT78" s="16">
        <f t="shared" si="50"/>
        <v>0</v>
      </c>
      <c r="ABQ78" s="16">
        <f t="shared" si="51"/>
        <v>0</v>
      </c>
      <c r="ABV78" s="16">
        <f t="shared" si="52"/>
        <v>0</v>
      </c>
      <c r="ACC78" s="16">
        <f t="shared" si="53"/>
        <v>0</v>
      </c>
      <c r="ACQ78" s="16">
        <f t="shared" si="54"/>
        <v>0</v>
      </c>
      <c r="ADA78" s="16">
        <f t="shared" si="55"/>
        <v>0</v>
      </c>
      <c r="ADM78" s="16">
        <f t="shared" si="56"/>
        <v>0</v>
      </c>
      <c r="AEI78" s="16">
        <f t="shared" si="57"/>
        <v>0</v>
      </c>
    </row>
    <row r="79" spans="2:815" x14ac:dyDescent="0.25">
      <c r="B79" s="2" t="s">
        <v>134</v>
      </c>
      <c r="C79" t="s">
        <v>135</v>
      </c>
      <c r="D79">
        <v>50</v>
      </c>
      <c r="E79" t="s">
        <v>8</v>
      </c>
      <c r="F79" t="s">
        <v>9</v>
      </c>
      <c r="G79" t="s">
        <v>9</v>
      </c>
      <c r="H79" t="s">
        <v>272</v>
      </c>
      <c r="I79" t="s">
        <v>243</v>
      </c>
      <c r="J79" t="s">
        <v>257</v>
      </c>
      <c r="K79" t="s">
        <v>256</v>
      </c>
      <c r="L79" t="s">
        <v>320</v>
      </c>
      <c r="M79">
        <v>61</v>
      </c>
      <c r="N79">
        <v>134</v>
      </c>
      <c r="O79">
        <v>34</v>
      </c>
      <c r="P79" s="11">
        <v>38953</v>
      </c>
      <c r="Q79" s="11">
        <v>38957</v>
      </c>
      <c r="R79" t="s">
        <v>1375</v>
      </c>
      <c r="S79" t="s">
        <v>1256</v>
      </c>
      <c r="T79" t="s">
        <v>1174</v>
      </c>
      <c r="U79" t="s">
        <v>1412</v>
      </c>
      <c r="BA79" s="16">
        <f t="shared" si="29"/>
        <v>0</v>
      </c>
      <c r="CB79" s="16">
        <f t="shared" si="30"/>
        <v>0</v>
      </c>
      <c r="DE79" s="16">
        <f t="shared" si="31"/>
        <v>0</v>
      </c>
      <c r="DS79" s="16">
        <f t="shared" si="32"/>
        <v>0</v>
      </c>
      <c r="EF79" s="16">
        <f t="shared" si="33"/>
        <v>0</v>
      </c>
      <c r="FI79" s="16">
        <f t="shared" si="34"/>
        <v>0</v>
      </c>
      <c r="FJ79">
        <v>3306</v>
      </c>
      <c r="HY79" s="16">
        <f t="shared" si="35"/>
        <v>1</v>
      </c>
      <c r="HZ79" t="s">
        <v>1975</v>
      </c>
      <c r="KM79" s="16">
        <f t="shared" si="36"/>
        <v>1</v>
      </c>
      <c r="KN79" t="s">
        <v>1987</v>
      </c>
      <c r="MZ79" s="16">
        <f t="shared" si="37"/>
        <v>1</v>
      </c>
      <c r="OQ79" s="16">
        <f t="shared" si="38"/>
        <v>0</v>
      </c>
      <c r="OW79" s="33">
        <f t="shared" si="39"/>
        <v>0</v>
      </c>
      <c r="RD79" s="16">
        <f t="shared" si="40"/>
        <v>0</v>
      </c>
      <c r="RU79" s="16">
        <f t="shared" si="41"/>
        <v>0</v>
      </c>
      <c r="RV79" t="s">
        <v>2006</v>
      </c>
      <c r="UE79" s="16">
        <f t="shared" si="42"/>
        <v>1</v>
      </c>
      <c r="VJ79" s="16">
        <f t="shared" si="43"/>
        <v>0</v>
      </c>
      <c r="WM79" s="16">
        <f t="shared" si="44"/>
        <v>0</v>
      </c>
      <c r="XH79" s="16">
        <f t="shared" si="45"/>
        <v>0</v>
      </c>
      <c r="YD79" s="16">
        <f t="shared" si="46"/>
        <v>0</v>
      </c>
      <c r="YX79" s="16">
        <f t="shared" si="47"/>
        <v>0</v>
      </c>
      <c r="ZR79" s="16">
        <f t="shared" si="48"/>
        <v>0</v>
      </c>
      <c r="ZX79" s="16">
        <f t="shared" si="49"/>
        <v>0</v>
      </c>
      <c r="AAT79" s="16">
        <f t="shared" si="50"/>
        <v>0</v>
      </c>
      <c r="ABQ79" s="16">
        <f t="shared" si="51"/>
        <v>0</v>
      </c>
      <c r="ABV79" s="16">
        <f t="shared" si="52"/>
        <v>0</v>
      </c>
      <c r="ACC79" s="16">
        <f t="shared" si="53"/>
        <v>0</v>
      </c>
      <c r="ACQ79" s="16">
        <f t="shared" si="54"/>
        <v>0</v>
      </c>
      <c r="ADA79" s="16">
        <f t="shared" si="55"/>
        <v>0</v>
      </c>
      <c r="ADM79" s="16">
        <f t="shared" si="56"/>
        <v>0</v>
      </c>
      <c r="AEI79" s="16">
        <f t="shared" si="57"/>
        <v>0</v>
      </c>
    </row>
    <row r="80" spans="2:815" x14ac:dyDescent="0.25">
      <c r="B80" s="3" t="s">
        <v>136</v>
      </c>
      <c r="C80" t="s">
        <v>137</v>
      </c>
      <c r="D80">
        <v>1</v>
      </c>
      <c r="E80" t="s">
        <v>14</v>
      </c>
      <c r="F80" t="s">
        <v>15</v>
      </c>
      <c r="G80" t="s">
        <v>15</v>
      </c>
      <c r="H80" t="s">
        <v>275</v>
      </c>
      <c r="I80" t="s">
        <v>243</v>
      </c>
      <c r="L80" t="s">
        <v>1413</v>
      </c>
      <c r="W80" t="s">
        <v>1414</v>
      </c>
      <c r="BA80" s="16">
        <f t="shared" si="29"/>
        <v>0</v>
      </c>
      <c r="CB80" s="16">
        <f t="shared" si="30"/>
        <v>0</v>
      </c>
      <c r="DE80" s="16">
        <f t="shared" si="31"/>
        <v>0</v>
      </c>
      <c r="DS80" s="16">
        <f t="shared" si="32"/>
        <v>0</v>
      </c>
      <c r="EF80" s="16">
        <f t="shared" si="33"/>
        <v>0</v>
      </c>
      <c r="FI80" s="16">
        <f t="shared" si="34"/>
        <v>0</v>
      </c>
      <c r="HY80" s="16">
        <f t="shared" si="35"/>
        <v>0</v>
      </c>
      <c r="KM80" s="16">
        <f t="shared" si="36"/>
        <v>0</v>
      </c>
      <c r="MZ80" s="16">
        <f t="shared" si="37"/>
        <v>0</v>
      </c>
      <c r="OQ80" s="16">
        <f t="shared" si="38"/>
        <v>0</v>
      </c>
      <c r="OW80" s="33">
        <f t="shared" si="39"/>
        <v>0</v>
      </c>
      <c r="RD80" s="16">
        <f t="shared" si="40"/>
        <v>0</v>
      </c>
      <c r="RU80" s="16">
        <f t="shared" si="41"/>
        <v>0</v>
      </c>
      <c r="UE80" s="16">
        <f t="shared" si="42"/>
        <v>0</v>
      </c>
      <c r="VJ80" s="16">
        <f t="shared" si="43"/>
        <v>0</v>
      </c>
      <c r="WM80" s="16">
        <f t="shared" si="44"/>
        <v>0</v>
      </c>
      <c r="XH80" s="16">
        <f t="shared" si="45"/>
        <v>0</v>
      </c>
      <c r="YD80" s="16">
        <f t="shared" si="46"/>
        <v>0</v>
      </c>
      <c r="YX80" s="16">
        <f t="shared" si="47"/>
        <v>0</v>
      </c>
      <c r="ZR80" s="16">
        <f t="shared" si="48"/>
        <v>0</v>
      </c>
      <c r="ZX80" s="16">
        <f t="shared" si="49"/>
        <v>0</v>
      </c>
      <c r="AAT80" s="16">
        <f t="shared" si="50"/>
        <v>0</v>
      </c>
      <c r="ABQ80" s="16">
        <f t="shared" si="51"/>
        <v>0</v>
      </c>
      <c r="ABV80" s="16">
        <f t="shared" si="52"/>
        <v>0</v>
      </c>
      <c r="ACC80" s="16">
        <f t="shared" si="53"/>
        <v>0</v>
      </c>
      <c r="ACQ80" s="16">
        <f t="shared" si="54"/>
        <v>0</v>
      </c>
      <c r="ADA80" s="16">
        <f t="shared" si="55"/>
        <v>0</v>
      </c>
      <c r="ADM80" s="16">
        <f t="shared" si="56"/>
        <v>0</v>
      </c>
      <c r="AEI80" s="16">
        <f t="shared" si="57"/>
        <v>0</v>
      </c>
    </row>
    <row r="81" spans="2:815" x14ac:dyDescent="0.25">
      <c r="B81" s="2" t="s">
        <v>138</v>
      </c>
      <c r="C81" t="s">
        <v>139</v>
      </c>
      <c r="D81">
        <v>36</v>
      </c>
      <c r="E81" t="s">
        <v>14</v>
      </c>
      <c r="F81" t="s">
        <v>15</v>
      </c>
      <c r="G81" t="s">
        <v>9</v>
      </c>
      <c r="H81" t="s">
        <v>253</v>
      </c>
      <c r="I81" t="s">
        <v>243</v>
      </c>
      <c r="J81" t="s">
        <v>257</v>
      </c>
      <c r="K81" t="s">
        <v>1415</v>
      </c>
      <c r="L81" t="s">
        <v>303</v>
      </c>
      <c r="M81">
        <v>75</v>
      </c>
      <c r="N81">
        <v>186</v>
      </c>
      <c r="O81" t="s">
        <v>1088</v>
      </c>
      <c r="P81" s="11">
        <v>38621</v>
      </c>
      <c r="Q81" s="11">
        <v>38636</v>
      </c>
      <c r="R81" t="s">
        <v>1528</v>
      </c>
      <c r="S81" t="s">
        <v>1418</v>
      </c>
      <c r="V81" t="s">
        <v>1416</v>
      </c>
      <c r="W81" t="s">
        <v>1417</v>
      </c>
      <c r="AA81">
        <v>519</v>
      </c>
      <c r="BA81" s="16">
        <f t="shared" si="29"/>
        <v>1</v>
      </c>
      <c r="BB81">
        <v>103</v>
      </c>
      <c r="CB81" s="16">
        <f t="shared" si="30"/>
        <v>1</v>
      </c>
      <c r="CC81">
        <v>34.1</v>
      </c>
      <c r="DE81" s="16">
        <f t="shared" si="31"/>
        <v>1</v>
      </c>
      <c r="DG81">
        <v>403</v>
      </c>
      <c r="DS81" s="16">
        <f t="shared" si="32"/>
        <v>1</v>
      </c>
      <c r="EF81" s="16">
        <f t="shared" si="33"/>
        <v>0</v>
      </c>
      <c r="EG81">
        <v>4800</v>
      </c>
      <c r="FI81" s="16">
        <f t="shared" si="34"/>
        <v>1</v>
      </c>
      <c r="FJ81" t="s">
        <v>1963</v>
      </c>
      <c r="FN81" t="s">
        <v>1964</v>
      </c>
      <c r="FR81" t="s">
        <v>1965</v>
      </c>
      <c r="FX81">
        <v>495</v>
      </c>
      <c r="HY81" s="16">
        <f t="shared" si="35"/>
        <v>4</v>
      </c>
      <c r="HZ81" t="s">
        <v>1976</v>
      </c>
      <c r="IC81" s="9" t="s">
        <v>1977</v>
      </c>
      <c r="ID81" s="9"/>
      <c r="IE81" s="9"/>
      <c r="IG81" t="s">
        <v>1978</v>
      </c>
      <c r="IM81">
        <v>483</v>
      </c>
      <c r="KM81" s="16">
        <f t="shared" si="36"/>
        <v>4</v>
      </c>
      <c r="KN81">
        <v>120</v>
      </c>
      <c r="KP81" t="s">
        <v>1988</v>
      </c>
      <c r="KS81" t="s">
        <v>1989</v>
      </c>
      <c r="KY81">
        <v>129</v>
      </c>
      <c r="MZ81" s="16">
        <f t="shared" si="37"/>
        <v>4</v>
      </c>
      <c r="ND81" t="s">
        <v>1995</v>
      </c>
      <c r="OQ81" s="16">
        <f t="shared" si="38"/>
        <v>1</v>
      </c>
      <c r="OW81" s="33">
        <f t="shared" si="39"/>
        <v>0</v>
      </c>
      <c r="RD81" s="16">
        <f t="shared" si="40"/>
        <v>0</v>
      </c>
      <c r="RU81" s="16">
        <f t="shared" si="41"/>
        <v>0</v>
      </c>
      <c r="RV81" t="s">
        <v>2007</v>
      </c>
      <c r="RY81" t="s">
        <v>2008</v>
      </c>
      <c r="SC81" t="s">
        <v>2009</v>
      </c>
      <c r="SI81" t="s">
        <v>2007</v>
      </c>
      <c r="UE81" s="16">
        <f t="shared" si="42"/>
        <v>4</v>
      </c>
      <c r="VJ81" s="16">
        <f t="shared" si="43"/>
        <v>0</v>
      </c>
      <c r="VK81">
        <v>78</v>
      </c>
      <c r="WM81" s="16">
        <f t="shared" si="44"/>
        <v>1</v>
      </c>
      <c r="WN81">
        <v>1.01</v>
      </c>
      <c r="XH81" s="16">
        <f t="shared" si="45"/>
        <v>1</v>
      </c>
      <c r="YD81" s="16">
        <f t="shared" si="46"/>
        <v>0</v>
      </c>
      <c r="YX81" s="16">
        <f t="shared" si="47"/>
        <v>0</v>
      </c>
      <c r="ZR81" s="16">
        <f t="shared" si="48"/>
        <v>0</v>
      </c>
      <c r="ZX81" s="16">
        <f t="shared" si="49"/>
        <v>0</v>
      </c>
      <c r="ZY81">
        <v>4.9000000000000004</v>
      </c>
      <c r="AAT81" s="16">
        <f t="shared" si="50"/>
        <v>1</v>
      </c>
      <c r="ABQ81" s="16">
        <f t="shared" si="51"/>
        <v>0</v>
      </c>
      <c r="ABV81" s="16">
        <f t="shared" si="52"/>
        <v>0</v>
      </c>
      <c r="ACC81" s="16">
        <f t="shared" si="53"/>
        <v>0</v>
      </c>
      <c r="ACQ81" s="16">
        <f t="shared" si="54"/>
        <v>0</v>
      </c>
      <c r="ADA81" s="16">
        <f t="shared" si="55"/>
        <v>0</v>
      </c>
      <c r="ADM81" s="16">
        <f t="shared" si="56"/>
        <v>0</v>
      </c>
      <c r="ADS81" t="s">
        <v>2024</v>
      </c>
      <c r="AEI81" s="16">
        <f t="shared" si="57"/>
        <v>1</v>
      </c>
    </row>
    <row r="82" spans="2:815" x14ac:dyDescent="0.25">
      <c r="B82" s="2" t="s">
        <v>140</v>
      </c>
      <c r="C82" t="s">
        <v>141</v>
      </c>
      <c r="D82">
        <v>23</v>
      </c>
      <c r="E82" t="s">
        <v>8</v>
      </c>
      <c r="F82" t="s">
        <v>15</v>
      </c>
      <c r="G82" t="s">
        <v>9</v>
      </c>
      <c r="H82" t="s">
        <v>276</v>
      </c>
      <c r="I82" t="s">
        <v>243</v>
      </c>
      <c r="K82" t="s">
        <v>1419</v>
      </c>
      <c r="L82" t="s">
        <v>310</v>
      </c>
      <c r="M82">
        <v>73</v>
      </c>
      <c r="N82">
        <v>170</v>
      </c>
      <c r="O82" t="s">
        <v>1080</v>
      </c>
      <c r="P82" s="11">
        <v>38629</v>
      </c>
      <c r="Q82" s="11">
        <v>38663</v>
      </c>
      <c r="R82" t="s">
        <v>1423</v>
      </c>
      <c r="S82" t="s">
        <v>1137</v>
      </c>
      <c r="U82" t="s">
        <v>1421</v>
      </c>
      <c r="V82" t="s">
        <v>1420</v>
      </c>
      <c r="W82" t="s">
        <v>1422</v>
      </c>
      <c r="BA82" s="16">
        <f t="shared" si="29"/>
        <v>0</v>
      </c>
      <c r="BB82">
        <v>50</v>
      </c>
      <c r="BR82">
        <v>25</v>
      </c>
      <c r="CB82" s="16">
        <f t="shared" si="30"/>
        <v>2</v>
      </c>
      <c r="DE82" s="16">
        <f t="shared" si="31"/>
        <v>0</v>
      </c>
      <c r="DS82" s="16">
        <f t="shared" si="32"/>
        <v>0</v>
      </c>
      <c r="EF82" s="16">
        <f t="shared" si="33"/>
        <v>0</v>
      </c>
      <c r="FI82" s="16">
        <f t="shared" si="34"/>
        <v>0</v>
      </c>
      <c r="HY82" s="16">
        <f t="shared" si="35"/>
        <v>0</v>
      </c>
      <c r="KM82" s="16">
        <f t="shared" si="36"/>
        <v>0</v>
      </c>
      <c r="LI82">
        <v>2.14</v>
      </c>
      <c r="MZ82" s="16">
        <f t="shared" si="37"/>
        <v>1</v>
      </c>
      <c r="OQ82" s="16">
        <f t="shared" si="38"/>
        <v>0</v>
      </c>
      <c r="OW82" s="33">
        <f t="shared" si="39"/>
        <v>0</v>
      </c>
      <c r="OX82">
        <v>345</v>
      </c>
      <c r="RD82" s="16">
        <f t="shared" si="40"/>
        <v>1</v>
      </c>
      <c r="RE82" t="s">
        <v>894</v>
      </c>
      <c r="RN82">
        <v>294</v>
      </c>
      <c r="RU82" s="16">
        <f t="shared" si="41"/>
        <v>2</v>
      </c>
      <c r="RV82" t="s">
        <v>895</v>
      </c>
      <c r="SS82">
        <v>3.28</v>
      </c>
      <c r="UE82" s="16">
        <f t="shared" si="42"/>
        <v>2</v>
      </c>
      <c r="VJ82" s="16">
        <f t="shared" si="43"/>
        <v>0</v>
      </c>
      <c r="VK82">
        <v>52</v>
      </c>
      <c r="WM82" s="16">
        <f t="shared" si="44"/>
        <v>1</v>
      </c>
      <c r="XH82" s="16">
        <f t="shared" si="45"/>
        <v>0</v>
      </c>
      <c r="YD82" s="16">
        <f t="shared" si="46"/>
        <v>0</v>
      </c>
      <c r="YX82" s="16">
        <f t="shared" si="47"/>
        <v>0</v>
      </c>
      <c r="ZR82" s="16">
        <f t="shared" si="48"/>
        <v>0</v>
      </c>
      <c r="ZX82" s="16">
        <f t="shared" si="49"/>
        <v>0</v>
      </c>
      <c r="ZY82">
        <v>2.7</v>
      </c>
      <c r="AAT82" s="16">
        <f t="shared" si="50"/>
        <v>1</v>
      </c>
      <c r="ABQ82" s="16">
        <f t="shared" si="51"/>
        <v>0</v>
      </c>
      <c r="ABV82" s="16">
        <f t="shared" si="52"/>
        <v>0</v>
      </c>
      <c r="ACC82" s="16">
        <f t="shared" si="53"/>
        <v>0</v>
      </c>
      <c r="ACH82">
        <v>32</v>
      </c>
      <c r="ACP82">
        <v>27</v>
      </c>
      <c r="ACQ82" s="16">
        <f t="shared" si="54"/>
        <v>2</v>
      </c>
      <c r="ADA82" s="16">
        <f t="shared" si="55"/>
        <v>0</v>
      </c>
      <c r="ADM82" s="16">
        <f t="shared" si="56"/>
        <v>0</v>
      </c>
      <c r="AEI82" s="16">
        <f t="shared" si="57"/>
        <v>0</v>
      </c>
    </row>
    <row r="83" spans="2:815" x14ac:dyDescent="0.25">
      <c r="B83" s="3" t="s">
        <v>142</v>
      </c>
      <c r="F83" t="s">
        <v>9</v>
      </c>
      <c r="G83" t="s">
        <v>15</v>
      </c>
      <c r="BA83" s="16">
        <f t="shared" si="29"/>
        <v>0</v>
      </c>
      <c r="CB83" s="16">
        <f t="shared" si="30"/>
        <v>0</v>
      </c>
      <c r="DE83" s="16">
        <f t="shared" si="31"/>
        <v>0</v>
      </c>
      <c r="DS83" s="16">
        <f t="shared" si="32"/>
        <v>0</v>
      </c>
      <c r="EF83" s="16">
        <f t="shared" si="33"/>
        <v>0</v>
      </c>
      <c r="FI83" s="16">
        <f t="shared" si="34"/>
        <v>0</v>
      </c>
      <c r="HY83" s="16">
        <f t="shared" si="35"/>
        <v>0</v>
      </c>
      <c r="KM83" s="16">
        <f t="shared" si="36"/>
        <v>0</v>
      </c>
      <c r="MZ83" s="16">
        <f t="shared" si="37"/>
        <v>0</v>
      </c>
      <c r="OQ83" s="16">
        <f t="shared" si="38"/>
        <v>0</v>
      </c>
      <c r="OW83" s="33">
        <f t="shared" si="39"/>
        <v>0</v>
      </c>
      <c r="RD83" s="16">
        <f t="shared" si="40"/>
        <v>0</v>
      </c>
      <c r="RU83" s="16">
        <f t="shared" si="41"/>
        <v>0</v>
      </c>
      <c r="UE83" s="16">
        <f t="shared" si="42"/>
        <v>0</v>
      </c>
      <c r="VJ83" s="16">
        <f t="shared" si="43"/>
        <v>0</v>
      </c>
      <c r="WM83" s="16">
        <f t="shared" si="44"/>
        <v>0</v>
      </c>
      <c r="XH83" s="16">
        <f t="shared" si="45"/>
        <v>0</v>
      </c>
      <c r="YD83" s="16">
        <f t="shared" si="46"/>
        <v>0</v>
      </c>
      <c r="YX83" s="16">
        <f t="shared" si="47"/>
        <v>0</v>
      </c>
      <c r="ZR83" s="16">
        <f t="shared" si="48"/>
        <v>0</v>
      </c>
      <c r="ZX83" s="16">
        <f t="shared" si="49"/>
        <v>0</v>
      </c>
      <c r="AAT83" s="16">
        <f t="shared" si="50"/>
        <v>0</v>
      </c>
      <c r="ABQ83" s="16">
        <f t="shared" si="51"/>
        <v>0</v>
      </c>
      <c r="ABV83" s="16">
        <f t="shared" si="52"/>
        <v>0</v>
      </c>
      <c r="ACC83" s="16">
        <f t="shared" si="53"/>
        <v>0</v>
      </c>
      <c r="ACQ83" s="16">
        <f t="shared" si="54"/>
        <v>0</v>
      </c>
      <c r="ADA83" s="16">
        <f t="shared" si="55"/>
        <v>0</v>
      </c>
      <c r="ADM83" s="16">
        <f t="shared" si="56"/>
        <v>0</v>
      </c>
      <c r="AEI83" s="16">
        <f t="shared" si="57"/>
        <v>0</v>
      </c>
    </row>
    <row r="84" spans="2:815" x14ac:dyDescent="0.25">
      <c r="B84" s="1" t="s">
        <v>143</v>
      </c>
      <c r="D84">
        <v>50</v>
      </c>
      <c r="E84" t="s">
        <v>8</v>
      </c>
      <c r="F84" t="s">
        <v>15</v>
      </c>
      <c r="G84" t="s">
        <v>15</v>
      </c>
      <c r="W84" t="s">
        <v>1424</v>
      </c>
      <c r="BA84" s="16">
        <f t="shared" si="29"/>
        <v>0</v>
      </c>
      <c r="CB84" s="16">
        <f t="shared" si="30"/>
        <v>0</v>
      </c>
      <c r="DE84" s="16">
        <f t="shared" si="31"/>
        <v>0</v>
      </c>
      <c r="DS84" s="16">
        <f t="shared" si="32"/>
        <v>0</v>
      </c>
      <c r="EF84" s="16">
        <f t="shared" si="33"/>
        <v>0</v>
      </c>
      <c r="FI84" s="16">
        <f t="shared" si="34"/>
        <v>0</v>
      </c>
      <c r="HY84" s="16">
        <f t="shared" si="35"/>
        <v>0</v>
      </c>
      <c r="KM84" s="16">
        <f t="shared" si="36"/>
        <v>0</v>
      </c>
      <c r="MZ84" s="16">
        <f t="shared" si="37"/>
        <v>0</v>
      </c>
      <c r="OQ84" s="16">
        <f t="shared" si="38"/>
        <v>0</v>
      </c>
      <c r="OW84" s="33">
        <f t="shared" si="39"/>
        <v>0</v>
      </c>
      <c r="RD84" s="16">
        <f t="shared" si="40"/>
        <v>0</v>
      </c>
      <c r="RU84" s="16">
        <f t="shared" si="41"/>
        <v>0</v>
      </c>
      <c r="UE84" s="16">
        <f t="shared" si="42"/>
        <v>0</v>
      </c>
      <c r="VJ84" s="16">
        <f t="shared" si="43"/>
        <v>0</v>
      </c>
      <c r="WM84" s="16">
        <f t="shared" si="44"/>
        <v>0</v>
      </c>
      <c r="XH84" s="16">
        <f t="shared" si="45"/>
        <v>0</v>
      </c>
      <c r="YD84" s="16">
        <f t="shared" si="46"/>
        <v>0</v>
      </c>
      <c r="YX84" s="16">
        <f t="shared" si="47"/>
        <v>0</v>
      </c>
      <c r="ZR84" s="16">
        <f t="shared" si="48"/>
        <v>0</v>
      </c>
      <c r="ZX84" s="16">
        <f t="shared" si="49"/>
        <v>0</v>
      </c>
      <c r="AAT84" s="16">
        <f t="shared" si="50"/>
        <v>0</v>
      </c>
      <c r="ABQ84" s="16">
        <f t="shared" si="51"/>
        <v>0</v>
      </c>
      <c r="ABV84" s="16">
        <f t="shared" si="52"/>
        <v>0</v>
      </c>
      <c r="ACC84" s="16">
        <f t="shared" si="53"/>
        <v>0</v>
      </c>
      <c r="ACQ84" s="16">
        <f t="shared" si="54"/>
        <v>0</v>
      </c>
      <c r="ADA84" s="16">
        <f t="shared" si="55"/>
        <v>0</v>
      </c>
      <c r="ADM84" s="16">
        <f t="shared" si="56"/>
        <v>0</v>
      </c>
      <c r="AEI84" s="16">
        <f t="shared" si="57"/>
        <v>0</v>
      </c>
    </row>
    <row r="85" spans="2:815" x14ac:dyDescent="0.25">
      <c r="B85" s="1" t="s">
        <v>144</v>
      </c>
      <c r="F85" t="s">
        <v>9</v>
      </c>
      <c r="G85" t="s">
        <v>15</v>
      </c>
      <c r="BA85" s="16">
        <f t="shared" si="29"/>
        <v>0</v>
      </c>
      <c r="CB85" s="16">
        <f t="shared" si="30"/>
        <v>0</v>
      </c>
      <c r="DE85" s="16">
        <f t="shared" si="31"/>
        <v>0</v>
      </c>
      <c r="DS85" s="16">
        <f t="shared" si="32"/>
        <v>0</v>
      </c>
      <c r="EF85" s="16">
        <f t="shared" si="33"/>
        <v>0</v>
      </c>
      <c r="FI85" s="16">
        <f t="shared" si="34"/>
        <v>0</v>
      </c>
      <c r="HY85" s="16">
        <f t="shared" si="35"/>
        <v>0</v>
      </c>
      <c r="KM85" s="16">
        <f t="shared" si="36"/>
        <v>0</v>
      </c>
      <c r="MZ85" s="16">
        <f t="shared" si="37"/>
        <v>0</v>
      </c>
      <c r="OQ85" s="16">
        <f t="shared" si="38"/>
        <v>0</v>
      </c>
      <c r="OW85" s="33">
        <f t="shared" si="39"/>
        <v>0</v>
      </c>
      <c r="RD85" s="16">
        <f t="shared" si="40"/>
        <v>0</v>
      </c>
      <c r="RU85" s="16">
        <f t="shared" si="41"/>
        <v>0</v>
      </c>
      <c r="UE85" s="16">
        <f t="shared" si="42"/>
        <v>0</v>
      </c>
      <c r="VJ85" s="16">
        <f t="shared" si="43"/>
        <v>0</v>
      </c>
      <c r="WM85" s="16">
        <f t="shared" si="44"/>
        <v>0</v>
      </c>
      <c r="XH85" s="16">
        <f t="shared" si="45"/>
        <v>0</v>
      </c>
      <c r="YD85" s="16">
        <f t="shared" si="46"/>
        <v>0</v>
      </c>
      <c r="YX85" s="16">
        <f t="shared" si="47"/>
        <v>0</v>
      </c>
      <c r="ZR85" s="16">
        <f t="shared" si="48"/>
        <v>0</v>
      </c>
      <c r="ZX85" s="16">
        <f t="shared" si="49"/>
        <v>0</v>
      </c>
      <c r="AAT85" s="16">
        <f t="shared" si="50"/>
        <v>0</v>
      </c>
      <c r="ABQ85" s="16">
        <f t="shared" si="51"/>
        <v>0</v>
      </c>
      <c r="ABV85" s="16">
        <f t="shared" si="52"/>
        <v>0</v>
      </c>
      <c r="ACC85" s="16">
        <f t="shared" si="53"/>
        <v>0</v>
      </c>
      <c r="ACQ85" s="16">
        <f t="shared" si="54"/>
        <v>0</v>
      </c>
      <c r="ADA85" s="16">
        <f t="shared" si="55"/>
        <v>0</v>
      </c>
      <c r="ADM85" s="16">
        <f t="shared" si="56"/>
        <v>0</v>
      </c>
      <c r="AEI85" s="16">
        <f t="shared" si="57"/>
        <v>0</v>
      </c>
    </row>
    <row r="86" spans="2:815" x14ac:dyDescent="0.25">
      <c r="B86" s="1" t="s">
        <v>145</v>
      </c>
      <c r="F86" t="s">
        <v>9</v>
      </c>
      <c r="G86" t="s">
        <v>15</v>
      </c>
      <c r="BA86" s="16">
        <f t="shared" si="29"/>
        <v>0</v>
      </c>
      <c r="CB86" s="16">
        <f t="shared" si="30"/>
        <v>0</v>
      </c>
      <c r="DE86" s="16">
        <f t="shared" si="31"/>
        <v>0</v>
      </c>
      <c r="DS86" s="16">
        <f t="shared" si="32"/>
        <v>0</v>
      </c>
      <c r="EF86" s="16">
        <f t="shared" si="33"/>
        <v>0</v>
      </c>
      <c r="FI86" s="16">
        <f t="shared" si="34"/>
        <v>0</v>
      </c>
      <c r="HY86" s="16">
        <f t="shared" si="35"/>
        <v>0</v>
      </c>
      <c r="KM86" s="16">
        <f t="shared" si="36"/>
        <v>0</v>
      </c>
      <c r="MZ86" s="16">
        <f t="shared" si="37"/>
        <v>0</v>
      </c>
      <c r="OQ86" s="16">
        <f t="shared" si="38"/>
        <v>0</v>
      </c>
      <c r="OW86" s="33">
        <f t="shared" si="39"/>
        <v>0</v>
      </c>
      <c r="RD86" s="16">
        <f t="shared" si="40"/>
        <v>0</v>
      </c>
      <c r="RU86" s="16">
        <f t="shared" si="41"/>
        <v>0</v>
      </c>
      <c r="UE86" s="16">
        <f t="shared" si="42"/>
        <v>0</v>
      </c>
      <c r="VJ86" s="16">
        <f t="shared" si="43"/>
        <v>0</v>
      </c>
      <c r="WM86" s="16">
        <f t="shared" si="44"/>
        <v>0</v>
      </c>
      <c r="XH86" s="16">
        <f t="shared" si="45"/>
        <v>0</v>
      </c>
      <c r="YD86" s="16">
        <f t="shared" si="46"/>
        <v>0</v>
      </c>
      <c r="YX86" s="16">
        <f t="shared" si="47"/>
        <v>0</v>
      </c>
      <c r="ZR86" s="16">
        <f t="shared" si="48"/>
        <v>0</v>
      </c>
      <c r="ZX86" s="16">
        <f t="shared" si="49"/>
        <v>0</v>
      </c>
      <c r="AAT86" s="16">
        <f t="shared" si="50"/>
        <v>0</v>
      </c>
      <c r="ABQ86" s="16">
        <f t="shared" si="51"/>
        <v>0</v>
      </c>
      <c r="ABV86" s="16">
        <f t="shared" si="52"/>
        <v>0</v>
      </c>
      <c r="ACC86" s="16">
        <f t="shared" si="53"/>
        <v>0</v>
      </c>
      <c r="ACQ86" s="16">
        <f t="shared" si="54"/>
        <v>0</v>
      </c>
      <c r="ADA86" s="16">
        <f t="shared" si="55"/>
        <v>0</v>
      </c>
      <c r="ADM86" s="16">
        <f t="shared" si="56"/>
        <v>0</v>
      </c>
      <c r="AEI86" s="16">
        <f t="shared" si="57"/>
        <v>0</v>
      </c>
    </row>
    <row r="87" spans="2:815" x14ac:dyDescent="0.25">
      <c r="B87" s="1" t="s">
        <v>146</v>
      </c>
      <c r="F87" t="s">
        <v>9</v>
      </c>
      <c r="G87" t="s">
        <v>15</v>
      </c>
      <c r="BA87" s="16">
        <f t="shared" si="29"/>
        <v>0</v>
      </c>
      <c r="CB87" s="16">
        <f t="shared" si="30"/>
        <v>0</v>
      </c>
      <c r="DE87" s="16">
        <f t="shared" si="31"/>
        <v>0</v>
      </c>
      <c r="DS87" s="16">
        <f t="shared" si="32"/>
        <v>0</v>
      </c>
      <c r="EF87" s="16">
        <f t="shared" si="33"/>
        <v>0</v>
      </c>
      <c r="FI87" s="16">
        <f t="shared" si="34"/>
        <v>0</v>
      </c>
      <c r="HY87" s="16">
        <f t="shared" si="35"/>
        <v>0</v>
      </c>
      <c r="KM87" s="16">
        <f t="shared" si="36"/>
        <v>0</v>
      </c>
      <c r="MZ87" s="16">
        <f t="shared" si="37"/>
        <v>0</v>
      </c>
      <c r="OQ87" s="16">
        <f t="shared" si="38"/>
        <v>0</v>
      </c>
      <c r="OW87" s="33">
        <f t="shared" si="39"/>
        <v>0</v>
      </c>
      <c r="RD87" s="16">
        <f t="shared" si="40"/>
        <v>0</v>
      </c>
      <c r="RU87" s="16">
        <f t="shared" si="41"/>
        <v>0</v>
      </c>
      <c r="UE87" s="16">
        <f t="shared" si="42"/>
        <v>0</v>
      </c>
      <c r="VJ87" s="16">
        <f t="shared" si="43"/>
        <v>0</v>
      </c>
      <c r="WM87" s="16">
        <f t="shared" si="44"/>
        <v>0</v>
      </c>
      <c r="XH87" s="16">
        <f t="shared" si="45"/>
        <v>0</v>
      </c>
      <c r="YD87" s="16">
        <f t="shared" si="46"/>
        <v>0</v>
      </c>
      <c r="YX87" s="16">
        <f t="shared" si="47"/>
        <v>0</v>
      </c>
      <c r="ZR87" s="16">
        <f t="shared" si="48"/>
        <v>0</v>
      </c>
      <c r="ZX87" s="16">
        <f t="shared" si="49"/>
        <v>0</v>
      </c>
      <c r="AAT87" s="16">
        <f t="shared" si="50"/>
        <v>0</v>
      </c>
      <c r="ABQ87" s="16">
        <f t="shared" si="51"/>
        <v>0</v>
      </c>
      <c r="ABV87" s="16">
        <f t="shared" si="52"/>
        <v>0</v>
      </c>
      <c r="ACC87" s="16">
        <f t="shared" si="53"/>
        <v>0</v>
      </c>
      <c r="ACQ87" s="16">
        <f t="shared" si="54"/>
        <v>0</v>
      </c>
      <c r="ADA87" s="16">
        <f t="shared" si="55"/>
        <v>0</v>
      </c>
      <c r="ADM87" s="16">
        <f t="shared" si="56"/>
        <v>0</v>
      </c>
      <c r="AEI87" s="16">
        <f t="shared" si="57"/>
        <v>0</v>
      </c>
    </row>
    <row r="88" spans="2:815" x14ac:dyDescent="0.25">
      <c r="B88" s="1" t="s">
        <v>147</v>
      </c>
      <c r="F88" t="s">
        <v>9</v>
      </c>
      <c r="G88" t="s">
        <v>15</v>
      </c>
      <c r="BA88" s="16">
        <f t="shared" si="29"/>
        <v>0</v>
      </c>
      <c r="CB88" s="16">
        <f t="shared" si="30"/>
        <v>0</v>
      </c>
      <c r="DE88" s="16">
        <f t="shared" si="31"/>
        <v>0</v>
      </c>
      <c r="DS88" s="16">
        <f t="shared" si="32"/>
        <v>0</v>
      </c>
      <c r="EF88" s="16">
        <f t="shared" si="33"/>
        <v>0</v>
      </c>
      <c r="FI88" s="16">
        <f t="shared" si="34"/>
        <v>0</v>
      </c>
      <c r="HY88" s="16">
        <f t="shared" si="35"/>
        <v>0</v>
      </c>
      <c r="KM88" s="16">
        <f t="shared" si="36"/>
        <v>0</v>
      </c>
      <c r="MZ88" s="16">
        <f t="shared" si="37"/>
        <v>0</v>
      </c>
      <c r="OQ88" s="16">
        <f t="shared" si="38"/>
        <v>0</v>
      </c>
      <c r="OW88" s="33">
        <f t="shared" si="39"/>
        <v>0</v>
      </c>
      <c r="RD88" s="16">
        <f t="shared" si="40"/>
        <v>0</v>
      </c>
      <c r="RU88" s="16">
        <f t="shared" si="41"/>
        <v>0</v>
      </c>
      <c r="UE88" s="16">
        <f t="shared" si="42"/>
        <v>0</v>
      </c>
      <c r="VJ88" s="16">
        <f t="shared" si="43"/>
        <v>0</v>
      </c>
      <c r="WM88" s="16">
        <f t="shared" si="44"/>
        <v>0</v>
      </c>
      <c r="XH88" s="16">
        <f t="shared" si="45"/>
        <v>0</v>
      </c>
      <c r="YD88" s="16">
        <f t="shared" si="46"/>
        <v>0</v>
      </c>
      <c r="YX88" s="16">
        <f t="shared" si="47"/>
        <v>0</v>
      </c>
      <c r="ZR88" s="16">
        <f t="shared" si="48"/>
        <v>0</v>
      </c>
      <c r="ZX88" s="16">
        <f t="shared" si="49"/>
        <v>0</v>
      </c>
      <c r="AAT88" s="16">
        <f t="shared" si="50"/>
        <v>0</v>
      </c>
      <c r="ABQ88" s="16">
        <f t="shared" si="51"/>
        <v>0</v>
      </c>
      <c r="ABV88" s="16">
        <f t="shared" si="52"/>
        <v>0</v>
      </c>
      <c r="ACC88" s="16">
        <f t="shared" si="53"/>
        <v>0</v>
      </c>
      <c r="ACQ88" s="16">
        <f t="shared" si="54"/>
        <v>0</v>
      </c>
      <c r="ADA88" s="16">
        <f t="shared" si="55"/>
        <v>0</v>
      </c>
      <c r="ADM88" s="16">
        <f t="shared" si="56"/>
        <v>0</v>
      </c>
      <c r="AEI88" s="16">
        <f t="shared" si="57"/>
        <v>0</v>
      </c>
    </row>
    <row r="89" spans="2:815" x14ac:dyDescent="0.25">
      <c r="B89" s="1" t="s">
        <v>148</v>
      </c>
      <c r="F89" t="s">
        <v>9</v>
      </c>
      <c r="G89" t="s">
        <v>15</v>
      </c>
      <c r="BA89" s="16">
        <f t="shared" si="29"/>
        <v>0</v>
      </c>
      <c r="CB89" s="16">
        <f t="shared" si="30"/>
        <v>0</v>
      </c>
      <c r="DE89" s="16">
        <f t="shared" si="31"/>
        <v>0</v>
      </c>
      <c r="DS89" s="16">
        <f t="shared" si="32"/>
        <v>0</v>
      </c>
      <c r="EF89" s="16">
        <f t="shared" si="33"/>
        <v>0</v>
      </c>
      <c r="FI89" s="16">
        <f t="shared" si="34"/>
        <v>0</v>
      </c>
      <c r="HY89" s="16">
        <f t="shared" si="35"/>
        <v>0</v>
      </c>
      <c r="KM89" s="16">
        <f t="shared" si="36"/>
        <v>0</v>
      </c>
      <c r="MZ89" s="16">
        <f t="shared" si="37"/>
        <v>0</v>
      </c>
      <c r="OQ89" s="16">
        <f t="shared" si="38"/>
        <v>0</v>
      </c>
      <c r="OW89" s="33">
        <f t="shared" si="39"/>
        <v>0</v>
      </c>
      <c r="RD89" s="16">
        <f t="shared" si="40"/>
        <v>0</v>
      </c>
      <c r="RU89" s="16">
        <f t="shared" si="41"/>
        <v>0</v>
      </c>
      <c r="UE89" s="16">
        <f t="shared" si="42"/>
        <v>0</v>
      </c>
      <c r="VJ89" s="16">
        <f t="shared" si="43"/>
        <v>0</v>
      </c>
      <c r="WM89" s="16">
        <f t="shared" si="44"/>
        <v>0</v>
      </c>
      <c r="XH89" s="16">
        <f t="shared" si="45"/>
        <v>0</v>
      </c>
      <c r="YD89" s="16">
        <f t="shared" si="46"/>
        <v>0</v>
      </c>
      <c r="YX89" s="16">
        <f t="shared" si="47"/>
        <v>0</v>
      </c>
      <c r="ZR89" s="16">
        <f t="shared" si="48"/>
        <v>0</v>
      </c>
      <c r="ZX89" s="16">
        <f t="shared" si="49"/>
        <v>0</v>
      </c>
      <c r="AAT89" s="16">
        <f t="shared" si="50"/>
        <v>0</v>
      </c>
      <c r="ABQ89" s="16">
        <f t="shared" si="51"/>
        <v>0</v>
      </c>
      <c r="ABV89" s="16">
        <f t="shared" si="52"/>
        <v>0</v>
      </c>
      <c r="ACC89" s="16">
        <f t="shared" si="53"/>
        <v>0</v>
      </c>
      <c r="ACQ89" s="16">
        <f t="shared" si="54"/>
        <v>0</v>
      </c>
      <c r="ADA89" s="16">
        <f t="shared" si="55"/>
        <v>0</v>
      </c>
      <c r="ADM89" s="16">
        <f t="shared" si="56"/>
        <v>0</v>
      </c>
      <c r="AEI89" s="16">
        <f t="shared" si="57"/>
        <v>0</v>
      </c>
    </row>
    <row r="90" spans="2:815" x14ac:dyDescent="0.25">
      <c r="B90" s="2" t="s">
        <v>149</v>
      </c>
      <c r="C90" t="s">
        <v>45</v>
      </c>
      <c r="D90">
        <v>47</v>
      </c>
      <c r="E90" t="s">
        <v>8</v>
      </c>
      <c r="F90" t="s">
        <v>15</v>
      </c>
      <c r="G90" t="s">
        <v>9</v>
      </c>
      <c r="H90" t="s">
        <v>277</v>
      </c>
      <c r="I90" t="s">
        <v>243</v>
      </c>
      <c r="J90" t="s">
        <v>257</v>
      </c>
      <c r="K90" t="s">
        <v>1425</v>
      </c>
      <c r="L90" t="s">
        <v>320</v>
      </c>
      <c r="M90">
        <v>51.6</v>
      </c>
      <c r="N90">
        <v>159</v>
      </c>
      <c r="O90" t="s">
        <v>1089</v>
      </c>
      <c r="P90" s="11">
        <v>38712</v>
      </c>
      <c r="Q90" s="11">
        <v>38729</v>
      </c>
      <c r="R90" t="s">
        <v>1529</v>
      </c>
      <c r="S90" t="s">
        <v>1430</v>
      </c>
      <c r="T90" t="s">
        <v>1427</v>
      </c>
      <c r="U90" t="s">
        <v>1428</v>
      </c>
      <c r="V90" t="s">
        <v>1426</v>
      </c>
      <c r="W90" t="s">
        <v>1429</v>
      </c>
      <c r="BA90" s="16">
        <f t="shared" si="29"/>
        <v>0</v>
      </c>
      <c r="BK90">
        <v>50</v>
      </c>
      <c r="BS90">
        <v>33</v>
      </c>
      <c r="CB90" s="16">
        <f t="shared" si="30"/>
        <v>2</v>
      </c>
      <c r="DE90" s="16">
        <f t="shared" si="31"/>
        <v>0</v>
      </c>
      <c r="DS90" s="16">
        <f t="shared" si="32"/>
        <v>0</v>
      </c>
      <c r="EF90" s="16">
        <f t="shared" si="33"/>
        <v>0</v>
      </c>
      <c r="FI90" s="16">
        <f t="shared" si="34"/>
        <v>0</v>
      </c>
      <c r="HY90" s="16">
        <f t="shared" si="35"/>
        <v>0</v>
      </c>
      <c r="KM90" s="16">
        <f t="shared" si="36"/>
        <v>0</v>
      </c>
      <c r="LH90" s="9"/>
      <c r="MZ90" s="16">
        <f t="shared" si="37"/>
        <v>0</v>
      </c>
      <c r="OQ90" s="16">
        <f t="shared" si="38"/>
        <v>0</v>
      </c>
      <c r="OW90" s="33">
        <f t="shared" si="39"/>
        <v>0</v>
      </c>
      <c r="OX90">
        <v>81</v>
      </c>
      <c r="PL90">
        <v>147</v>
      </c>
      <c r="PU90">
        <v>113</v>
      </c>
      <c r="RD90" s="16">
        <f t="shared" si="40"/>
        <v>3</v>
      </c>
      <c r="RE90" t="s">
        <v>897</v>
      </c>
      <c r="RM90">
        <v>148</v>
      </c>
      <c r="RU90" s="16">
        <f t="shared" si="41"/>
        <v>2</v>
      </c>
      <c r="RV90" t="s">
        <v>899</v>
      </c>
      <c r="SR90">
        <v>3.71</v>
      </c>
      <c r="UE90" s="16">
        <f t="shared" si="42"/>
        <v>2</v>
      </c>
      <c r="VJ90" s="16">
        <f t="shared" si="43"/>
        <v>0</v>
      </c>
      <c r="VK90">
        <v>47</v>
      </c>
      <c r="WM90" s="16">
        <f t="shared" si="44"/>
        <v>1</v>
      </c>
      <c r="XH90" s="16">
        <f t="shared" si="45"/>
        <v>0</v>
      </c>
      <c r="YD90" s="16">
        <f t="shared" si="46"/>
        <v>0</v>
      </c>
      <c r="YX90" s="16">
        <f t="shared" si="47"/>
        <v>0</v>
      </c>
      <c r="YY90">
        <v>51.9</v>
      </c>
      <c r="ZR90" s="16">
        <f t="shared" si="48"/>
        <v>1</v>
      </c>
      <c r="ZX90" s="16">
        <f t="shared" si="49"/>
        <v>0</v>
      </c>
      <c r="ZY90">
        <v>1.4</v>
      </c>
      <c r="AAT90" s="16">
        <f t="shared" si="50"/>
        <v>1</v>
      </c>
      <c r="ABQ90" s="16">
        <f t="shared" si="51"/>
        <v>0</v>
      </c>
      <c r="ABV90" s="16">
        <f t="shared" si="52"/>
        <v>0</v>
      </c>
      <c r="ACC90" s="16">
        <f t="shared" si="53"/>
        <v>0</v>
      </c>
      <c r="ACH90">
        <v>20</v>
      </c>
      <c r="ACO90">
        <v>29</v>
      </c>
      <c r="ACQ90" s="16">
        <f t="shared" si="54"/>
        <v>2</v>
      </c>
      <c r="ADA90" s="16">
        <f t="shared" si="55"/>
        <v>0</v>
      </c>
      <c r="ADM90" s="16">
        <f t="shared" si="56"/>
        <v>0</v>
      </c>
      <c r="AEI90" s="16">
        <f t="shared" si="57"/>
        <v>0</v>
      </c>
    </row>
    <row r="91" spans="2:815" x14ac:dyDescent="0.25">
      <c r="B91" s="2" t="s">
        <v>150</v>
      </c>
      <c r="D91">
        <v>39</v>
      </c>
      <c r="E91" t="s">
        <v>8</v>
      </c>
      <c r="F91" t="s">
        <v>9</v>
      </c>
      <c r="G91" t="s">
        <v>9</v>
      </c>
      <c r="I91" t="s">
        <v>243</v>
      </c>
      <c r="L91" t="s">
        <v>310</v>
      </c>
      <c r="S91" t="s">
        <v>1269</v>
      </c>
      <c r="V91" t="s">
        <v>1431</v>
      </c>
      <c r="W91" t="s">
        <v>1432</v>
      </c>
      <c r="BA91" s="16">
        <f t="shared" si="29"/>
        <v>0</v>
      </c>
      <c r="BB91">
        <v>29</v>
      </c>
      <c r="CB91" s="16">
        <f t="shared" si="30"/>
        <v>1</v>
      </c>
      <c r="DE91" s="16">
        <f t="shared" si="31"/>
        <v>0</v>
      </c>
      <c r="DS91" s="16">
        <f t="shared" si="32"/>
        <v>0</v>
      </c>
      <c r="EF91" s="16">
        <f t="shared" si="33"/>
        <v>0</v>
      </c>
      <c r="FI91" s="16">
        <f t="shared" si="34"/>
        <v>0</v>
      </c>
      <c r="FJ91">
        <v>1326</v>
      </c>
      <c r="HY91" s="16">
        <f t="shared" si="35"/>
        <v>1</v>
      </c>
      <c r="HZ91">
        <v>1827</v>
      </c>
      <c r="KM91" s="16">
        <f t="shared" si="36"/>
        <v>1</v>
      </c>
      <c r="KN91" t="s">
        <v>1990</v>
      </c>
      <c r="MZ91" s="16">
        <f t="shared" si="37"/>
        <v>1</v>
      </c>
      <c r="NA91">
        <v>1238</v>
      </c>
      <c r="OQ91" s="16">
        <f t="shared" si="38"/>
        <v>1</v>
      </c>
      <c r="OW91" s="33">
        <f t="shared" si="39"/>
        <v>0</v>
      </c>
      <c r="OX91">
        <v>313</v>
      </c>
      <c r="RD91" s="16">
        <f t="shared" si="40"/>
        <v>1</v>
      </c>
      <c r="RU91" s="16">
        <f t="shared" si="41"/>
        <v>0</v>
      </c>
      <c r="UE91" s="16">
        <f t="shared" si="42"/>
        <v>0</v>
      </c>
      <c r="VJ91" s="16">
        <f t="shared" si="43"/>
        <v>0</v>
      </c>
      <c r="WM91" s="16">
        <f t="shared" si="44"/>
        <v>0</v>
      </c>
      <c r="WN91">
        <v>2.0499999999999998</v>
      </c>
      <c r="XH91" s="16">
        <f t="shared" si="45"/>
        <v>1</v>
      </c>
      <c r="YD91" s="16">
        <f t="shared" si="46"/>
        <v>0</v>
      </c>
      <c r="YX91" s="16">
        <f t="shared" si="47"/>
        <v>0</v>
      </c>
      <c r="ZR91" s="16">
        <f t="shared" si="48"/>
        <v>0</v>
      </c>
      <c r="ZX91" s="16">
        <f t="shared" si="49"/>
        <v>0</v>
      </c>
      <c r="AAT91" s="16">
        <f t="shared" si="50"/>
        <v>0</v>
      </c>
      <c r="ABQ91" s="16">
        <f t="shared" si="51"/>
        <v>0</v>
      </c>
      <c r="ABV91" s="16">
        <f t="shared" si="52"/>
        <v>0</v>
      </c>
      <c r="ACC91" s="16">
        <f t="shared" si="53"/>
        <v>0</v>
      </c>
      <c r="ACQ91" s="16">
        <f t="shared" si="54"/>
        <v>0</v>
      </c>
      <c r="ADA91" s="16">
        <f t="shared" si="55"/>
        <v>0</v>
      </c>
      <c r="ADM91" s="16">
        <f t="shared" si="56"/>
        <v>0</v>
      </c>
      <c r="AEI91" s="16">
        <f t="shared" si="57"/>
        <v>0</v>
      </c>
    </row>
    <row r="92" spans="2:815" x14ac:dyDescent="0.25">
      <c r="B92" s="2" t="s">
        <v>151</v>
      </c>
      <c r="D92">
        <v>8</v>
      </c>
      <c r="E92" t="s">
        <v>14</v>
      </c>
      <c r="F92" t="s">
        <v>9</v>
      </c>
      <c r="G92" t="s">
        <v>15</v>
      </c>
      <c r="M92">
        <v>27</v>
      </c>
      <c r="N92">
        <v>138</v>
      </c>
      <c r="R92" t="s">
        <v>1133</v>
      </c>
      <c r="S92" t="s">
        <v>1418</v>
      </c>
      <c r="T92" t="s">
        <v>1433</v>
      </c>
      <c r="U92" t="s">
        <v>1434</v>
      </c>
      <c r="W92" t="s">
        <v>1435</v>
      </c>
      <c r="BA92" s="16">
        <f t="shared" si="29"/>
        <v>0</v>
      </c>
      <c r="CB92" s="16">
        <f t="shared" si="30"/>
        <v>0</v>
      </c>
      <c r="DE92" s="16">
        <f t="shared" si="31"/>
        <v>0</v>
      </c>
      <c r="DS92" s="16">
        <f t="shared" si="32"/>
        <v>0</v>
      </c>
      <c r="EF92" s="16">
        <f t="shared" si="33"/>
        <v>0</v>
      </c>
      <c r="FI92" s="16">
        <f t="shared" si="34"/>
        <v>0</v>
      </c>
      <c r="HY92" s="16">
        <f t="shared" si="35"/>
        <v>0</v>
      </c>
      <c r="KM92" s="16">
        <f t="shared" si="36"/>
        <v>0</v>
      </c>
      <c r="MZ92" s="16">
        <f t="shared" si="37"/>
        <v>0</v>
      </c>
      <c r="OQ92" s="16">
        <f t="shared" si="38"/>
        <v>0</v>
      </c>
      <c r="OW92" s="33">
        <f t="shared" si="39"/>
        <v>0</v>
      </c>
      <c r="RD92" s="16">
        <f t="shared" si="40"/>
        <v>0</v>
      </c>
      <c r="RU92" s="16">
        <f t="shared" si="41"/>
        <v>0</v>
      </c>
      <c r="UE92" s="16">
        <f t="shared" si="42"/>
        <v>0</v>
      </c>
      <c r="VJ92" s="16">
        <f t="shared" si="43"/>
        <v>0</v>
      </c>
      <c r="WM92" s="16">
        <f t="shared" si="44"/>
        <v>0</v>
      </c>
      <c r="XH92" s="16">
        <f t="shared" si="45"/>
        <v>0</v>
      </c>
      <c r="YD92" s="16">
        <f t="shared" si="46"/>
        <v>0</v>
      </c>
      <c r="YX92" s="16">
        <f t="shared" si="47"/>
        <v>0</v>
      </c>
      <c r="ZR92" s="16">
        <f t="shared" si="48"/>
        <v>0</v>
      </c>
      <c r="ZX92" s="16">
        <f t="shared" si="49"/>
        <v>0</v>
      </c>
      <c r="AAT92" s="16">
        <f t="shared" si="50"/>
        <v>0</v>
      </c>
      <c r="ABQ92" s="16">
        <f t="shared" si="51"/>
        <v>0</v>
      </c>
      <c r="ABV92" s="16">
        <f t="shared" si="52"/>
        <v>0</v>
      </c>
      <c r="ACC92" s="16">
        <f t="shared" si="53"/>
        <v>0</v>
      </c>
      <c r="ACQ92" s="16">
        <f t="shared" si="54"/>
        <v>0</v>
      </c>
      <c r="ADA92" s="16">
        <f t="shared" si="55"/>
        <v>0</v>
      </c>
      <c r="ADM92" s="16">
        <f t="shared" si="56"/>
        <v>0</v>
      </c>
      <c r="AEI92" s="16">
        <f t="shared" si="57"/>
        <v>0</v>
      </c>
    </row>
    <row r="93" spans="2:815" x14ac:dyDescent="0.25">
      <c r="B93" s="5"/>
      <c r="BA93" s="16">
        <f t="shared" si="29"/>
        <v>0</v>
      </c>
      <c r="CB93" s="16">
        <f t="shared" si="30"/>
        <v>0</v>
      </c>
      <c r="DE93" s="16">
        <f t="shared" si="31"/>
        <v>0</v>
      </c>
      <c r="DS93" s="16">
        <f t="shared" si="32"/>
        <v>0</v>
      </c>
      <c r="EF93" s="16">
        <f t="shared" si="33"/>
        <v>0</v>
      </c>
      <c r="FI93" s="16">
        <f t="shared" si="34"/>
        <v>0</v>
      </c>
      <c r="HY93" s="16">
        <f t="shared" si="35"/>
        <v>0</v>
      </c>
      <c r="KM93" s="16">
        <f t="shared" si="36"/>
        <v>0</v>
      </c>
      <c r="MZ93" s="16">
        <f t="shared" si="37"/>
        <v>0</v>
      </c>
      <c r="OQ93" s="16">
        <f t="shared" si="38"/>
        <v>0</v>
      </c>
      <c r="OW93" s="33">
        <f t="shared" si="39"/>
        <v>0</v>
      </c>
      <c r="RD93" s="16">
        <f t="shared" si="40"/>
        <v>0</v>
      </c>
      <c r="RU93" s="16">
        <f t="shared" si="41"/>
        <v>0</v>
      </c>
      <c r="UE93" s="16">
        <f t="shared" si="42"/>
        <v>0</v>
      </c>
      <c r="VJ93" s="16">
        <f t="shared" si="43"/>
        <v>0</v>
      </c>
      <c r="WM93" s="16">
        <f t="shared" si="44"/>
        <v>0</v>
      </c>
      <c r="XH93" s="16">
        <f t="shared" si="45"/>
        <v>0</v>
      </c>
      <c r="YD93" s="16">
        <f t="shared" si="46"/>
        <v>0</v>
      </c>
      <c r="YX93" s="16">
        <f t="shared" si="47"/>
        <v>0</v>
      </c>
      <c r="ZR93" s="16">
        <f t="shared" si="48"/>
        <v>0</v>
      </c>
      <c r="ZX93" s="16">
        <f t="shared" si="49"/>
        <v>0</v>
      </c>
      <c r="AAT93" s="16">
        <f t="shared" si="50"/>
        <v>0</v>
      </c>
      <c r="ABQ93" s="16">
        <f t="shared" si="51"/>
        <v>0</v>
      </c>
      <c r="ABV93" s="16">
        <f t="shared" si="52"/>
        <v>0</v>
      </c>
      <c r="ACC93" s="16">
        <f t="shared" si="53"/>
        <v>0</v>
      </c>
      <c r="ACQ93" s="16">
        <f t="shared" si="54"/>
        <v>0</v>
      </c>
      <c r="ADA93" s="16">
        <f t="shared" si="55"/>
        <v>0</v>
      </c>
      <c r="ADM93" s="16">
        <f t="shared" si="56"/>
        <v>0</v>
      </c>
      <c r="AEI93" s="16">
        <f t="shared" si="57"/>
        <v>0</v>
      </c>
    </row>
    <row r="94" spans="2:815" x14ac:dyDescent="0.25">
      <c r="B94" s="4" t="s">
        <v>321</v>
      </c>
      <c r="D94">
        <v>18</v>
      </c>
      <c r="E94" t="s">
        <v>14</v>
      </c>
      <c r="F94" t="s">
        <v>15</v>
      </c>
      <c r="G94" t="s">
        <v>9</v>
      </c>
      <c r="I94" t="s">
        <v>257</v>
      </c>
      <c r="L94" t="s">
        <v>310</v>
      </c>
      <c r="S94" t="s">
        <v>1436</v>
      </c>
      <c r="W94" s="15"/>
      <c r="BA94" s="16">
        <f t="shared" si="29"/>
        <v>0</v>
      </c>
      <c r="CB94" s="16">
        <f t="shared" si="30"/>
        <v>0</v>
      </c>
      <c r="DE94" s="16">
        <f t="shared" si="31"/>
        <v>0</v>
      </c>
      <c r="DS94" s="16">
        <f t="shared" si="32"/>
        <v>0</v>
      </c>
      <c r="EF94" s="16">
        <f t="shared" si="33"/>
        <v>0</v>
      </c>
      <c r="FI94" s="16">
        <f t="shared" si="34"/>
        <v>0</v>
      </c>
      <c r="FJ94">
        <v>1000</v>
      </c>
      <c r="GD94">
        <v>103</v>
      </c>
      <c r="HY94" s="16">
        <f t="shared" si="35"/>
        <v>2</v>
      </c>
      <c r="HZ94">
        <v>9000</v>
      </c>
      <c r="IS94">
        <v>175</v>
      </c>
      <c r="KM94" s="16">
        <f t="shared" si="36"/>
        <v>2</v>
      </c>
      <c r="MZ94" s="16">
        <f t="shared" si="37"/>
        <v>0</v>
      </c>
      <c r="OQ94" s="16">
        <f t="shared" si="38"/>
        <v>0</v>
      </c>
      <c r="OW94" s="33">
        <f t="shared" si="39"/>
        <v>0</v>
      </c>
      <c r="OX94" t="s">
        <v>1690</v>
      </c>
      <c r="PR94" t="s">
        <v>1674</v>
      </c>
      <c r="RD94" s="16">
        <f t="shared" si="40"/>
        <v>2</v>
      </c>
      <c r="RU94" s="16">
        <f t="shared" si="41"/>
        <v>0</v>
      </c>
      <c r="UE94" s="16">
        <f t="shared" si="42"/>
        <v>0</v>
      </c>
      <c r="VJ94" s="16">
        <f t="shared" si="43"/>
        <v>0</v>
      </c>
      <c r="WM94" s="16">
        <f t="shared" si="44"/>
        <v>0</v>
      </c>
      <c r="WN94">
        <v>1.9</v>
      </c>
      <c r="XA94">
        <v>0.93</v>
      </c>
      <c r="XH94" s="16">
        <f t="shared" si="45"/>
        <v>2</v>
      </c>
      <c r="YD94" s="16">
        <f t="shared" si="46"/>
        <v>0</v>
      </c>
      <c r="YX94" s="16">
        <f t="shared" si="47"/>
        <v>0</v>
      </c>
      <c r="ZR94" s="16">
        <f t="shared" si="48"/>
        <v>0</v>
      </c>
      <c r="ZX94" s="16">
        <f t="shared" si="49"/>
        <v>0</v>
      </c>
      <c r="AAT94" s="16">
        <f t="shared" si="50"/>
        <v>0</v>
      </c>
      <c r="ABQ94" s="16">
        <f t="shared" si="51"/>
        <v>0</v>
      </c>
      <c r="ABV94" s="16">
        <f t="shared" si="52"/>
        <v>0</v>
      </c>
      <c r="ACC94" s="16">
        <f t="shared" si="53"/>
        <v>0</v>
      </c>
      <c r="ACQ94" s="16">
        <f t="shared" si="54"/>
        <v>0</v>
      </c>
      <c r="ADA94" s="16">
        <f t="shared" si="55"/>
        <v>0</v>
      </c>
      <c r="ADM94" s="16">
        <f t="shared" si="56"/>
        <v>0</v>
      </c>
      <c r="AEI94" s="16">
        <f t="shared" si="57"/>
        <v>0</v>
      </c>
    </row>
    <row r="95" spans="2:815" x14ac:dyDescent="0.25">
      <c r="B95" s="2" t="s">
        <v>152</v>
      </c>
      <c r="C95" t="s">
        <v>141</v>
      </c>
      <c r="D95">
        <v>58</v>
      </c>
      <c r="E95" t="s">
        <v>8</v>
      </c>
      <c r="F95" t="s">
        <v>9</v>
      </c>
      <c r="G95" t="s">
        <v>9</v>
      </c>
      <c r="H95" t="s">
        <v>272</v>
      </c>
      <c r="I95" t="s">
        <v>243</v>
      </c>
      <c r="J95" t="s">
        <v>257</v>
      </c>
      <c r="K95" t="s">
        <v>278</v>
      </c>
      <c r="L95" t="s">
        <v>310</v>
      </c>
      <c r="M95">
        <v>80</v>
      </c>
      <c r="N95">
        <v>159</v>
      </c>
      <c r="O95" t="s">
        <v>1090</v>
      </c>
      <c r="P95" s="11">
        <v>39599</v>
      </c>
      <c r="Q95" s="11">
        <v>39601</v>
      </c>
      <c r="R95" t="s">
        <v>1286</v>
      </c>
      <c r="S95" t="s">
        <v>1269</v>
      </c>
      <c r="T95" t="s">
        <v>1438</v>
      </c>
      <c r="U95" t="s">
        <v>1439</v>
      </c>
      <c r="V95" t="s">
        <v>1440</v>
      </c>
      <c r="W95" s="15" t="s">
        <v>1437</v>
      </c>
      <c r="BA95" s="16">
        <f t="shared" si="29"/>
        <v>0</v>
      </c>
      <c r="BB95">
        <v>40</v>
      </c>
      <c r="BC95">
        <v>24</v>
      </c>
      <c r="CB95" s="16">
        <f t="shared" si="30"/>
        <v>2</v>
      </c>
      <c r="CC95" t="s">
        <v>1744</v>
      </c>
      <c r="CD95" t="s">
        <v>1743</v>
      </c>
      <c r="DE95" s="16">
        <f t="shared" si="31"/>
        <v>2</v>
      </c>
      <c r="DG95">
        <v>345</v>
      </c>
      <c r="DS95" s="16">
        <f t="shared" si="32"/>
        <v>1</v>
      </c>
      <c r="DT95">
        <v>31</v>
      </c>
      <c r="DW95">
        <v>25</v>
      </c>
      <c r="EF95" s="16">
        <f t="shared" si="33"/>
        <v>2</v>
      </c>
      <c r="EG95">
        <v>11780</v>
      </c>
      <c r="FI95" s="16">
        <f t="shared" si="34"/>
        <v>1</v>
      </c>
      <c r="FJ95">
        <v>2600</v>
      </c>
      <c r="FK95">
        <v>1364</v>
      </c>
      <c r="FL95">
        <v>2604</v>
      </c>
      <c r="HY95" s="16">
        <f t="shared" si="35"/>
        <v>3</v>
      </c>
      <c r="HZ95">
        <v>1400</v>
      </c>
      <c r="IA95">
        <v>762</v>
      </c>
      <c r="IB95">
        <v>1430</v>
      </c>
      <c r="KM95" s="16">
        <f t="shared" si="36"/>
        <v>3</v>
      </c>
      <c r="KN95">
        <v>64</v>
      </c>
      <c r="KO95">
        <v>61</v>
      </c>
      <c r="MZ95" s="16">
        <f t="shared" si="37"/>
        <v>2</v>
      </c>
      <c r="NA95">
        <v>3800</v>
      </c>
      <c r="NB95">
        <v>2133</v>
      </c>
      <c r="NC95">
        <v>3768</v>
      </c>
      <c r="OQ95" s="16">
        <f t="shared" si="38"/>
        <v>3</v>
      </c>
      <c r="OW95" s="33">
        <f t="shared" si="39"/>
        <v>0</v>
      </c>
      <c r="OX95" t="s">
        <v>1824</v>
      </c>
      <c r="OZ95" t="s">
        <v>1823</v>
      </c>
      <c r="RD95" s="16">
        <f t="shared" si="40"/>
        <v>2</v>
      </c>
      <c r="RU95" s="16">
        <f t="shared" si="41"/>
        <v>0</v>
      </c>
      <c r="RV95">
        <v>152</v>
      </c>
      <c r="RW95">
        <v>171</v>
      </c>
      <c r="UE95" s="16">
        <f t="shared" si="42"/>
        <v>2</v>
      </c>
      <c r="UF95">
        <v>4059</v>
      </c>
      <c r="UG95">
        <v>4098</v>
      </c>
      <c r="VJ95" s="16">
        <f t="shared" si="43"/>
        <v>2</v>
      </c>
      <c r="VK95">
        <v>66</v>
      </c>
      <c r="WM95" s="16">
        <f t="shared" si="44"/>
        <v>1</v>
      </c>
      <c r="WN95" t="s">
        <v>533</v>
      </c>
      <c r="WO95" t="s">
        <v>1026</v>
      </c>
      <c r="XH95" s="16">
        <f t="shared" si="45"/>
        <v>2</v>
      </c>
      <c r="XI95">
        <v>45</v>
      </c>
      <c r="YD95" s="16">
        <f t="shared" si="46"/>
        <v>1</v>
      </c>
      <c r="YE95">
        <v>6</v>
      </c>
      <c r="YX95" s="16">
        <f t="shared" si="47"/>
        <v>1</v>
      </c>
      <c r="YY95">
        <v>600</v>
      </c>
      <c r="ZR95" s="16">
        <f t="shared" si="48"/>
        <v>1</v>
      </c>
      <c r="ZX95" s="16">
        <f t="shared" si="49"/>
        <v>0</v>
      </c>
      <c r="AAT95" s="16">
        <f t="shared" si="50"/>
        <v>0</v>
      </c>
      <c r="AAU95">
        <v>152</v>
      </c>
      <c r="ABQ95" s="16">
        <f t="shared" si="51"/>
        <v>1</v>
      </c>
      <c r="ABV95" s="16">
        <f t="shared" si="52"/>
        <v>0</v>
      </c>
      <c r="ABW95" t="s">
        <v>903</v>
      </c>
      <c r="ACC95" s="16">
        <f t="shared" si="53"/>
        <v>1</v>
      </c>
      <c r="ACQ95" s="16">
        <f t="shared" si="54"/>
        <v>0</v>
      </c>
      <c r="ADA95" s="16">
        <f t="shared" si="55"/>
        <v>0</v>
      </c>
      <c r="ADM95" s="16">
        <f t="shared" si="56"/>
        <v>0</v>
      </c>
      <c r="AEI95" s="16">
        <f t="shared" si="57"/>
        <v>0</v>
      </c>
    </row>
    <row r="96" spans="2:815" x14ac:dyDescent="0.25">
      <c r="B96" s="2" t="s">
        <v>153</v>
      </c>
      <c r="C96" t="s">
        <v>154</v>
      </c>
      <c r="D96">
        <v>68</v>
      </c>
      <c r="E96" t="s">
        <v>8</v>
      </c>
      <c r="F96" t="s">
        <v>9</v>
      </c>
      <c r="G96" t="s">
        <v>9</v>
      </c>
      <c r="H96" t="s">
        <v>279</v>
      </c>
      <c r="I96" t="s">
        <v>243</v>
      </c>
      <c r="K96" t="s">
        <v>1441</v>
      </c>
      <c r="L96" t="s">
        <v>310</v>
      </c>
      <c r="M96">
        <v>46.8</v>
      </c>
      <c r="N96">
        <v>163</v>
      </c>
      <c r="O96" t="s">
        <v>1091</v>
      </c>
      <c r="P96" s="11">
        <v>39658</v>
      </c>
      <c r="Q96" s="11">
        <v>39659</v>
      </c>
      <c r="R96" t="s">
        <v>1171</v>
      </c>
      <c r="S96" t="s">
        <v>1269</v>
      </c>
      <c r="T96" t="s">
        <v>1442</v>
      </c>
      <c r="AA96">
        <v>6</v>
      </c>
      <c r="AB96">
        <v>105</v>
      </c>
      <c r="AD96">
        <v>45</v>
      </c>
      <c r="AE96">
        <v>31</v>
      </c>
      <c r="AF96">
        <v>115</v>
      </c>
      <c r="AG96">
        <v>123</v>
      </c>
      <c r="AH96">
        <v>141</v>
      </c>
      <c r="AI96">
        <v>147</v>
      </c>
      <c r="BA96" s="16">
        <f t="shared" si="29"/>
        <v>8</v>
      </c>
      <c r="BB96" t="s">
        <v>799</v>
      </c>
      <c r="BD96">
        <v>89</v>
      </c>
      <c r="BE96">
        <v>80</v>
      </c>
      <c r="BF96">
        <v>58</v>
      </c>
      <c r="BG96" t="s">
        <v>1764</v>
      </c>
      <c r="BH96">
        <v>10</v>
      </c>
      <c r="BI96">
        <v>13</v>
      </c>
      <c r="BJ96">
        <v>12</v>
      </c>
      <c r="CB96" s="16">
        <f t="shared" si="30"/>
        <v>8</v>
      </c>
      <c r="CC96">
        <v>30</v>
      </c>
      <c r="CE96">
        <v>37</v>
      </c>
      <c r="CF96">
        <v>36</v>
      </c>
      <c r="CG96">
        <v>63</v>
      </c>
      <c r="CH96">
        <v>137</v>
      </c>
      <c r="CI96">
        <v>82</v>
      </c>
      <c r="CJ96">
        <v>72</v>
      </c>
      <c r="CK96">
        <v>68</v>
      </c>
      <c r="CL96">
        <v>85</v>
      </c>
      <c r="DE96" s="16">
        <f t="shared" si="31"/>
        <v>9</v>
      </c>
      <c r="DH96">
        <v>480</v>
      </c>
      <c r="DJ96">
        <v>150</v>
      </c>
      <c r="DK96">
        <v>340</v>
      </c>
      <c r="DL96">
        <v>220</v>
      </c>
      <c r="DM96">
        <v>130</v>
      </c>
      <c r="DS96" s="16">
        <f t="shared" si="32"/>
        <v>5</v>
      </c>
      <c r="EF96" s="16">
        <f t="shared" si="33"/>
        <v>0</v>
      </c>
      <c r="EG96">
        <v>7330</v>
      </c>
      <c r="EI96">
        <v>5590</v>
      </c>
      <c r="EJ96">
        <v>7650</v>
      </c>
      <c r="EL96">
        <v>12100</v>
      </c>
      <c r="EN96">
        <v>12300</v>
      </c>
      <c r="EO96">
        <v>16400</v>
      </c>
      <c r="EP96">
        <v>16000</v>
      </c>
      <c r="EQ96">
        <v>22300</v>
      </c>
      <c r="ER96">
        <v>22500</v>
      </c>
      <c r="FI96" s="16">
        <f t="shared" si="34"/>
        <v>9</v>
      </c>
      <c r="FJ96">
        <v>74</v>
      </c>
      <c r="FN96">
        <v>16</v>
      </c>
      <c r="FQ96">
        <v>15</v>
      </c>
      <c r="FR96">
        <v>774</v>
      </c>
      <c r="FS96">
        <v>4458</v>
      </c>
      <c r="FT96">
        <v>5586</v>
      </c>
      <c r="FU96">
        <v>5945</v>
      </c>
      <c r="FV96">
        <v>5322</v>
      </c>
      <c r="HY96" s="16">
        <f t="shared" si="35"/>
        <v>8</v>
      </c>
      <c r="HZ96">
        <v>63</v>
      </c>
      <c r="IC96">
        <v>18</v>
      </c>
      <c r="IF96">
        <v>15</v>
      </c>
      <c r="IG96">
        <v>425</v>
      </c>
      <c r="IH96">
        <v>2027</v>
      </c>
      <c r="II96">
        <v>2384</v>
      </c>
      <c r="IJ96">
        <v>2524</v>
      </c>
      <c r="IK96">
        <v>2530</v>
      </c>
      <c r="KM96" s="16">
        <f t="shared" si="36"/>
        <v>8</v>
      </c>
      <c r="KN96">
        <v>11.8</v>
      </c>
      <c r="KP96">
        <v>26</v>
      </c>
      <c r="KR96">
        <v>24</v>
      </c>
      <c r="KS96">
        <v>23</v>
      </c>
      <c r="KT96">
        <v>32</v>
      </c>
      <c r="KU96">
        <v>36</v>
      </c>
      <c r="KV96">
        <v>42</v>
      </c>
      <c r="KW96">
        <v>43</v>
      </c>
      <c r="MZ96" s="16">
        <f t="shared" si="37"/>
        <v>8</v>
      </c>
      <c r="NA96">
        <v>203</v>
      </c>
      <c r="ND96">
        <v>150</v>
      </c>
      <c r="NG96">
        <v>110</v>
      </c>
      <c r="NH96">
        <v>1192</v>
      </c>
      <c r="NI96">
        <v>7142</v>
      </c>
      <c r="NJ96">
        <v>9091</v>
      </c>
      <c r="NK96">
        <v>9288</v>
      </c>
      <c r="NL96">
        <v>7839</v>
      </c>
      <c r="OQ96" s="16">
        <f t="shared" si="38"/>
        <v>8</v>
      </c>
      <c r="OW96" s="33">
        <f t="shared" si="39"/>
        <v>0</v>
      </c>
      <c r="OX96" t="s">
        <v>1691</v>
      </c>
      <c r="PA96" t="s">
        <v>1692</v>
      </c>
      <c r="PD96" t="s">
        <v>1693</v>
      </c>
      <c r="PF96" t="s">
        <v>1697</v>
      </c>
      <c r="PG96" t="s">
        <v>1833</v>
      </c>
      <c r="PH96" t="s">
        <v>1834</v>
      </c>
      <c r="PI96" t="s">
        <v>1835</v>
      </c>
      <c r="PJ96" t="s">
        <v>1694</v>
      </c>
      <c r="RD96" s="16">
        <f t="shared" si="40"/>
        <v>8</v>
      </c>
      <c r="RU96" s="16">
        <f t="shared" si="41"/>
        <v>0</v>
      </c>
      <c r="RV96">
        <v>278</v>
      </c>
      <c r="RY96">
        <v>76</v>
      </c>
      <c r="SB96">
        <v>73</v>
      </c>
      <c r="SC96">
        <v>77</v>
      </c>
      <c r="SD96">
        <v>184</v>
      </c>
      <c r="SE96">
        <v>198</v>
      </c>
      <c r="SF96">
        <v>224</v>
      </c>
      <c r="SG96">
        <v>277</v>
      </c>
      <c r="UE96" s="16">
        <f t="shared" si="42"/>
        <v>8</v>
      </c>
      <c r="VJ96" s="16">
        <f t="shared" si="43"/>
        <v>0</v>
      </c>
      <c r="VK96" t="s">
        <v>1727</v>
      </c>
      <c r="VM96" t="s">
        <v>1873</v>
      </c>
      <c r="VN96" t="s">
        <v>1872</v>
      </c>
      <c r="VP96" t="s">
        <v>1721</v>
      </c>
      <c r="VQ96" t="s">
        <v>1879</v>
      </c>
      <c r="VR96" t="s">
        <v>1877</v>
      </c>
      <c r="VS96" t="s">
        <v>1734</v>
      </c>
      <c r="VT96" t="s">
        <v>1878</v>
      </c>
      <c r="VU96" t="s">
        <v>1728</v>
      </c>
      <c r="WM96" s="16">
        <f t="shared" si="44"/>
        <v>9</v>
      </c>
      <c r="WN96">
        <v>0.85</v>
      </c>
      <c r="WP96" t="s">
        <v>567</v>
      </c>
      <c r="WQ96" t="s">
        <v>559</v>
      </c>
      <c r="WR96">
        <v>1.4</v>
      </c>
      <c r="WS96" t="s">
        <v>1897</v>
      </c>
      <c r="WT96" t="s">
        <v>576</v>
      </c>
      <c r="WU96" t="s">
        <v>1896</v>
      </c>
      <c r="WV96" t="s">
        <v>1674</v>
      </c>
      <c r="WW96">
        <v>5.4</v>
      </c>
      <c r="XH96" s="16">
        <f t="shared" si="45"/>
        <v>9</v>
      </c>
      <c r="XI96" t="s">
        <v>907</v>
      </c>
      <c r="XJ96" t="s">
        <v>908</v>
      </c>
      <c r="XM96">
        <v>8</v>
      </c>
      <c r="XN96" t="s">
        <v>907</v>
      </c>
      <c r="XO96">
        <v>9</v>
      </c>
      <c r="XP96">
        <v>11</v>
      </c>
      <c r="XQ96">
        <v>12</v>
      </c>
      <c r="XR96">
        <v>13</v>
      </c>
      <c r="YD96" s="16">
        <f t="shared" si="46"/>
        <v>8</v>
      </c>
      <c r="YE96">
        <v>19</v>
      </c>
      <c r="YG96">
        <v>12</v>
      </c>
      <c r="YJ96" t="s">
        <v>912</v>
      </c>
      <c r="YK96">
        <v>11</v>
      </c>
      <c r="YL96">
        <v>13</v>
      </c>
      <c r="YM96">
        <v>17</v>
      </c>
      <c r="YN96">
        <v>15</v>
      </c>
      <c r="YO96">
        <v>14</v>
      </c>
      <c r="YX96" s="16">
        <f t="shared" si="47"/>
        <v>8</v>
      </c>
      <c r="YY96">
        <v>173</v>
      </c>
      <c r="ZA96">
        <v>35</v>
      </c>
      <c r="ZB96">
        <v>120</v>
      </c>
      <c r="ZC96">
        <v>50</v>
      </c>
      <c r="ZD96">
        <v>43</v>
      </c>
      <c r="ZE96">
        <v>39</v>
      </c>
      <c r="ZF96">
        <v>41</v>
      </c>
      <c r="ZG96">
        <v>41</v>
      </c>
      <c r="ZR96" s="16">
        <f t="shared" si="48"/>
        <v>8</v>
      </c>
      <c r="ZX96" s="16">
        <f t="shared" si="49"/>
        <v>0</v>
      </c>
      <c r="ZY96">
        <v>0.46600000000000003</v>
      </c>
      <c r="ZZ96" s="9">
        <v>0.28000000000000003</v>
      </c>
      <c r="AAA96" s="9"/>
      <c r="AAB96" s="9"/>
      <c r="AAC96">
        <v>0.28000000000000003</v>
      </c>
      <c r="AAD96">
        <v>0.28999999999999998</v>
      </c>
      <c r="AAE96" t="s">
        <v>2028</v>
      </c>
      <c r="AAF96">
        <v>0.51</v>
      </c>
      <c r="AAG96">
        <v>30</v>
      </c>
      <c r="AAH96">
        <v>24</v>
      </c>
      <c r="AAT96" s="16">
        <f t="shared" si="50"/>
        <v>8</v>
      </c>
      <c r="AAU96" t="s">
        <v>915</v>
      </c>
      <c r="AAW96">
        <v>212</v>
      </c>
      <c r="ABQ96" s="16">
        <f t="shared" si="51"/>
        <v>1</v>
      </c>
      <c r="ABV96" s="16">
        <f t="shared" si="52"/>
        <v>0</v>
      </c>
      <c r="ABZ96" t="s">
        <v>1939</v>
      </c>
      <c r="ACA96">
        <v>62</v>
      </c>
      <c r="ACC96" s="16">
        <f t="shared" si="53"/>
        <v>2</v>
      </c>
      <c r="ACL96">
        <v>14</v>
      </c>
      <c r="ACM96">
        <v>16</v>
      </c>
      <c r="ACN96">
        <v>23</v>
      </c>
      <c r="ACQ96" s="16">
        <f t="shared" si="54"/>
        <v>3</v>
      </c>
      <c r="ADA96" s="16">
        <f t="shared" si="55"/>
        <v>0</v>
      </c>
      <c r="ADM96" s="16">
        <f t="shared" si="56"/>
        <v>0</v>
      </c>
      <c r="ADO96">
        <v>69</v>
      </c>
      <c r="ADR96">
        <v>36</v>
      </c>
      <c r="ADS96">
        <v>12</v>
      </c>
      <c r="ADT96">
        <v>20</v>
      </c>
      <c r="ADU96">
        <v>29</v>
      </c>
      <c r="ADV96">
        <v>91</v>
      </c>
      <c r="ADW96">
        <v>116</v>
      </c>
      <c r="AEI96" s="16">
        <f t="shared" si="57"/>
        <v>7</v>
      </c>
    </row>
    <row r="97" spans="1:815" x14ac:dyDescent="0.25">
      <c r="B97" s="2" t="s">
        <v>155</v>
      </c>
      <c r="C97" t="s">
        <v>156</v>
      </c>
      <c r="D97">
        <v>45</v>
      </c>
      <c r="E97" t="s">
        <v>8</v>
      </c>
      <c r="F97" t="s">
        <v>9</v>
      </c>
      <c r="G97" t="s">
        <v>15</v>
      </c>
      <c r="H97" t="s">
        <v>255</v>
      </c>
      <c r="I97" t="s">
        <v>243</v>
      </c>
      <c r="J97" t="s">
        <v>257</v>
      </c>
      <c r="K97" t="s">
        <v>1450</v>
      </c>
      <c r="L97" t="s">
        <v>1443</v>
      </c>
      <c r="M97">
        <v>60</v>
      </c>
      <c r="N97">
        <v>163</v>
      </c>
      <c r="O97" t="s">
        <v>1092</v>
      </c>
      <c r="Q97" t="s">
        <v>1445</v>
      </c>
      <c r="R97" t="s">
        <v>1446</v>
      </c>
      <c r="S97" t="s">
        <v>1444</v>
      </c>
      <c r="T97" t="s">
        <v>1447</v>
      </c>
      <c r="U97" t="s">
        <v>1448</v>
      </c>
      <c r="W97" t="s">
        <v>1449</v>
      </c>
      <c r="BA97" s="16">
        <f t="shared" si="29"/>
        <v>0</v>
      </c>
      <c r="CB97" s="16">
        <f t="shared" si="30"/>
        <v>0</v>
      </c>
      <c r="DE97" s="16">
        <f t="shared" si="31"/>
        <v>0</v>
      </c>
      <c r="DS97" s="16">
        <f t="shared" si="32"/>
        <v>0</v>
      </c>
      <c r="EF97" s="16">
        <f t="shared" si="33"/>
        <v>0</v>
      </c>
      <c r="FI97" s="16">
        <f t="shared" si="34"/>
        <v>0</v>
      </c>
      <c r="FJ97">
        <v>66</v>
      </c>
      <c r="HY97" s="16">
        <f t="shared" si="35"/>
        <v>1</v>
      </c>
      <c r="HZ97">
        <v>104</v>
      </c>
      <c r="KM97" s="16">
        <f t="shared" si="36"/>
        <v>1</v>
      </c>
      <c r="MZ97" s="16">
        <f t="shared" si="37"/>
        <v>0</v>
      </c>
      <c r="OQ97" s="16">
        <f t="shared" si="38"/>
        <v>0</v>
      </c>
      <c r="OW97" s="33">
        <f t="shared" si="39"/>
        <v>0</v>
      </c>
      <c r="RD97" s="16">
        <f t="shared" si="40"/>
        <v>0</v>
      </c>
      <c r="RU97" s="16">
        <f t="shared" si="41"/>
        <v>0</v>
      </c>
      <c r="UE97" s="16">
        <f t="shared" si="42"/>
        <v>0</v>
      </c>
      <c r="VJ97" s="16">
        <f t="shared" si="43"/>
        <v>0</v>
      </c>
      <c r="WM97" s="16">
        <f t="shared" si="44"/>
        <v>0</v>
      </c>
      <c r="XH97" s="16">
        <f t="shared" si="45"/>
        <v>0</v>
      </c>
      <c r="YD97" s="16">
        <f t="shared" si="46"/>
        <v>0</v>
      </c>
      <c r="YX97" s="16">
        <f t="shared" si="47"/>
        <v>0</v>
      </c>
      <c r="ZR97" s="16">
        <f t="shared" si="48"/>
        <v>0</v>
      </c>
      <c r="ZX97" s="16">
        <f t="shared" si="49"/>
        <v>0</v>
      </c>
      <c r="AAT97" s="16">
        <f t="shared" si="50"/>
        <v>0</v>
      </c>
      <c r="ABQ97" s="16">
        <f t="shared" si="51"/>
        <v>0</v>
      </c>
      <c r="ABV97" s="16">
        <f t="shared" si="52"/>
        <v>0</v>
      </c>
      <c r="ACC97" s="16">
        <f t="shared" si="53"/>
        <v>0</v>
      </c>
      <c r="ACQ97" s="16">
        <f t="shared" si="54"/>
        <v>0</v>
      </c>
      <c r="ADA97" s="16">
        <f t="shared" si="55"/>
        <v>0</v>
      </c>
      <c r="ADM97" s="16">
        <f t="shared" si="56"/>
        <v>0</v>
      </c>
      <c r="AEI97" s="16">
        <f t="shared" si="57"/>
        <v>0</v>
      </c>
    </row>
    <row r="98" spans="1:815" x14ac:dyDescent="0.25">
      <c r="B98" s="2" t="s">
        <v>157</v>
      </c>
      <c r="D98">
        <v>57</v>
      </c>
      <c r="E98" t="s">
        <v>14</v>
      </c>
      <c r="F98" t="s">
        <v>9</v>
      </c>
      <c r="G98" t="s">
        <v>9</v>
      </c>
      <c r="I98" t="s">
        <v>243</v>
      </c>
      <c r="J98" t="s">
        <v>257</v>
      </c>
      <c r="K98" t="s">
        <v>1455</v>
      </c>
      <c r="L98" t="s">
        <v>303</v>
      </c>
      <c r="P98" s="11">
        <v>39662</v>
      </c>
      <c r="Q98" s="11">
        <v>39665</v>
      </c>
      <c r="R98" t="s">
        <v>1218</v>
      </c>
      <c r="S98" t="s">
        <v>1137</v>
      </c>
      <c r="T98" t="s">
        <v>1453</v>
      </c>
      <c r="U98" t="s">
        <v>1454</v>
      </c>
      <c r="V98" t="s">
        <v>1451</v>
      </c>
      <c r="W98" t="s">
        <v>1452</v>
      </c>
      <c r="BA98" s="16">
        <f t="shared" si="29"/>
        <v>0</v>
      </c>
      <c r="CB98" s="16">
        <f t="shared" si="30"/>
        <v>0</v>
      </c>
      <c r="DE98" s="16">
        <f t="shared" si="31"/>
        <v>0</v>
      </c>
      <c r="DS98" s="16">
        <f t="shared" si="32"/>
        <v>0</v>
      </c>
      <c r="EF98" s="16">
        <f t="shared" si="33"/>
        <v>0</v>
      </c>
      <c r="EY98">
        <v>25000</v>
      </c>
      <c r="FI98" s="16">
        <f t="shared" si="34"/>
        <v>1</v>
      </c>
      <c r="FJ98">
        <v>63</v>
      </c>
      <c r="FR98">
        <v>60</v>
      </c>
      <c r="GB98">
        <v>21</v>
      </c>
      <c r="GH98">
        <v>13</v>
      </c>
      <c r="HY98" s="16">
        <f t="shared" si="35"/>
        <v>4</v>
      </c>
      <c r="HZ98">
        <v>113</v>
      </c>
      <c r="IG98">
        <v>130</v>
      </c>
      <c r="IQ98">
        <v>59</v>
      </c>
      <c r="IW98">
        <v>27</v>
      </c>
      <c r="KM98" s="16">
        <f t="shared" si="36"/>
        <v>4</v>
      </c>
      <c r="KN98">
        <v>207</v>
      </c>
      <c r="KS98">
        <v>317</v>
      </c>
      <c r="LC98">
        <v>257</v>
      </c>
      <c r="LI98">
        <v>141</v>
      </c>
      <c r="MZ98" s="16">
        <f t="shared" si="37"/>
        <v>4</v>
      </c>
      <c r="OQ98" s="16">
        <f t="shared" si="38"/>
        <v>0</v>
      </c>
      <c r="OW98" s="33">
        <f t="shared" si="39"/>
        <v>0</v>
      </c>
      <c r="PQ98">
        <v>17</v>
      </c>
      <c r="RD98" s="16">
        <f t="shared" si="40"/>
        <v>1</v>
      </c>
      <c r="RU98" s="16">
        <f t="shared" si="41"/>
        <v>0</v>
      </c>
      <c r="UE98" s="16">
        <f t="shared" si="42"/>
        <v>0</v>
      </c>
      <c r="VJ98" s="16">
        <f t="shared" si="43"/>
        <v>0</v>
      </c>
      <c r="VK98" t="s">
        <v>1729</v>
      </c>
      <c r="VQ98" t="s">
        <v>1730</v>
      </c>
      <c r="WA98" t="s">
        <v>1729</v>
      </c>
      <c r="WE98">
        <v>0.7</v>
      </c>
      <c r="WM98" s="16">
        <f t="shared" si="44"/>
        <v>4</v>
      </c>
      <c r="XH98" s="16">
        <f t="shared" si="45"/>
        <v>0</v>
      </c>
      <c r="YD98" s="16">
        <f t="shared" si="46"/>
        <v>0</v>
      </c>
      <c r="YX98" s="16">
        <f t="shared" si="47"/>
        <v>0</v>
      </c>
      <c r="ZR98" s="16">
        <f t="shared" si="48"/>
        <v>0</v>
      </c>
      <c r="ZX98" s="16">
        <f t="shared" si="49"/>
        <v>0</v>
      </c>
      <c r="AAT98" s="16">
        <f t="shared" si="50"/>
        <v>0</v>
      </c>
      <c r="ABQ98" s="16">
        <f t="shared" si="51"/>
        <v>0</v>
      </c>
      <c r="ABV98" s="16">
        <f t="shared" si="52"/>
        <v>0</v>
      </c>
      <c r="ACC98" s="16">
        <f t="shared" si="53"/>
        <v>0</v>
      </c>
      <c r="ACQ98" s="16">
        <f t="shared" si="54"/>
        <v>0</v>
      </c>
      <c r="ADA98" s="16">
        <f t="shared" si="55"/>
        <v>0</v>
      </c>
      <c r="ADD98">
        <v>200</v>
      </c>
      <c r="ADF98">
        <v>207</v>
      </c>
      <c r="ADG98">
        <v>186</v>
      </c>
      <c r="ADM98" s="16">
        <f t="shared" si="56"/>
        <v>3</v>
      </c>
      <c r="AEI98" s="16">
        <f t="shared" si="57"/>
        <v>0</v>
      </c>
    </row>
    <row r="99" spans="1:815" x14ac:dyDescent="0.25">
      <c r="B99" s="2" t="s">
        <v>158</v>
      </c>
      <c r="C99" t="s">
        <v>159</v>
      </c>
      <c r="D99">
        <v>92</v>
      </c>
      <c r="E99" t="s">
        <v>8</v>
      </c>
      <c r="F99" t="s">
        <v>9</v>
      </c>
      <c r="G99" t="s">
        <v>9</v>
      </c>
      <c r="H99" t="s">
        <v>280</v>
      </c>
      <c r="I99" t="s">
        <v>243</v>
      </c>
      <c r="J99" t="s">
        <v>257</v>
      </c>
      <c r="K99" t="s">
        <v>1459</v>
      </c>
      <c r="L99" t="s">
        <v>310</v>
      </c>
      <c r="R99" t="s">
        <v>1133</v>
      </c>
      <c r="S99" t="s">
        <v>1456</v>
      </c>
      <c r="T99" t="s">
        <v>1457</v>
      </c>
      <c r="U99" t="s">
        <v>1458</v>
      </c>
      <c r="Z99">
        <v>241</v>
      </c>
      <c r="AA99">
        <v>123</v>
      </c>
      <c r="AB99">
        <v>215</v>
      </c>
      <c r="AC99">
        <v>343</v>
      </c>
      <c r="AD99">
        <v>348</v>
      </c>
      <c r="AE99">
        <v>270</v>
      </c>
      <c r="AI99">
        <v>486</v>
      </c>
      <c r="AJ99">
        <v>534</v>
      </c>
      <c r="AK99">
        <v>409</v>
      </c>
      <c r="AL99">
        <v>439</v>
      </c>
      <c r="AM99">
        <v>346</v>
      </c>
      <c r="AN99">
        <v>216</v>
      </c>
      <c r="BA99" s="16">
        <f t="shared" si="29"/>
        <v>12</v>
      </c>
      <c r="CB99" s="16">
        <f t="shared" si="30"/>
        <v>0</v>
      </c>
      <c r="DE99" s="16">
        <f t="shared" si="31"/>
        <v>0</v>
      </c>
      <c r="DS99" s="16">
        <f t="shared" si="32"/>
        <v>0</v>
      </c>
      <c r="EF99" s="16">
        <f t="shared" si="33"/>
        <v>0</v>
      </c>
      <c r="EG99">
        <v>3880</v>
      </c>
      <c r="EI99">
        <v>8560</v>
      </c>
      <c r="EJ99">
        <v>4870</v>
      </c>
      <c r="EK99">
        <v>3960</v>
      </c>
      <c r="EL99">
        <v>4640</v>
      </c>
      <c r="EN99">
        <v>9530</v>
      </c>
      <c r="ER99">
        <v>8890</v>
      </c>
      <c r="ES99">
        <v>8450</v>
      </c>
      <c r="ET99">
        <v>6260</v>
      </c>
      <c r="EU99">
        <v>5320</v>
      </c>
      <c r="EV99">
        <v>5540</v>
      </c>
      <c r="EW99">
        <v>5030</v>
      </c>
      <c r="FI99" s="16">
        <f t="shared" si="34"/>
        <v>12</v>
      </c>
      <c r="FJ99">
        <v>20</v>
      </c>
      <c r="FN99">
        <v>13</v>
      </c>
      <c r="FO99">
        <v>21</v>
      </c>
      <c r="FP99">
        <v>30</v>
      </c>
      <c r="FQ99">
        <v>36</v>
      </c>
      <c r="FR99">
        <v>32</v>
      </c>
      <c r="FV99">
        <v>2195</v>
      </c>
      <c r="FW99">
        <v>1171</v>
      </c>
      <c r="FX99">
        <v>981</v>
      </c>
      <c r="FY99">
        <v>746</v>
      </c>
      <c r="FZ99">
        <v>490</v>
      </c>
      <c r="GA99">
        <v>288</v>
      </c>
      <c r="HY99" s="16">
        <f t="shared" si="35"/>
        <v>12</v>
      </c>
      <c r="HZ99">
        <v>12</v>
      </c>
      <c r="IC99">
        <v>10</v>
      </c>
      <c r="ID99" s="11"/>
      <c r="IE99" s="11"/>
      <c r="IF99">
        <v>15</v>
      </c>
      <c r="IG99">
        <v>17</v>
      </c>
      <c r="IK99">
        <v>1358</v>
      </c>
      <c r="IL99">
        <v>1165</v>
      </c>
      <c r="IM99">
        <v>1092</v>
      </c>
      <c r="IN99">
        <v>883</v>
      </c>
      <c r="IO99">
        <v>857</v>
      </c>
      <c r="IP99">
        <v>617</v>
      </c>
      <c r="KM99" s="16">
        <f t="shared" si="36"/>
        <v>10</v>
      </c>
      <c r="KN99" t="s">
        <v>923</v>
      </c>
      <c r="KP99" t="s">
        <v>923</v>
      </c>
      <c r="KR99" t="s">
        <v>923</v>
      </c>
      <c r="KS99" t="s">
        <v>923</v>
      </c>
      <c r="KW99">
        <v>97</v>
      </c>
      <c r="KX99">
        <v>82</v>
      </c>
      <c r="KY99">
        <v>78</v>
      </c>
      <c r="KZ99">
        <v>75</v>
      </c>
      <c r="LA99">
        <v>73</v>
      </c>
      <c r="LB99">
        <v>55</v>
      </c>
      <c r="MZ99" s="16">
        <f t="shared" si="37"/>
        <v>10</v>
      </c>
      <c r="NA99">
        <v>149</v>
      </c>
      <c r="ND99">
        <v>178</v>
      </c>
      <c r="NE99">
        <v>159</v>
      </c>
      <c r="NF99">
        <v>183</v>
      </c>
      <c r="NG99">
        <v>199</v>
      </c>
      <c r="NH99">
        <v>258</v>
      </c>
      <c r="NL99">
        <v>1539</v>
      </c>
      <c r="NM99">
        <v>685</v>
      </c>
      <c r="NN99">
        <v>572</v>
      </c>
      <c r="NO99">
        <v>479</v>
      </c>
      <c r="NP99">
        <v>375</v>
      </c>
      <c r="NQ99">
        <v>326</v>
      </c>
      <c r="OQ99" s="16">
        <f t="shared" si="38"/>
        <v>12</v>
      </c>
      <c r="OW99" s="33">
        <f t="shared" si="39"/>
        <v>0</v>
      </c>
      <c r="OX99" t="s">
        <v>1695</v>
      </c>
      <c r="PA99" t="s">
        <v>378</v>
      </c>
      <c r="PB99" t="s">
        <v>1707</v>
      </c>
      <c r="PC99" t="s">
        <v>1827</v>
      </c>
      <c r="PD99" t="s">
        <v>1692</v>
      </c>
      <c r="PF99" t="s">
        <v>1696</v>
      </c>
      <c r="PJ99" t="s">
        <v>1837</v>
      </c>
      <c r="PK99" t="s">
        <v>1697</v>
      </c>
      <c r="PL99" t="s">
        <v>1840</v>
      </c>
      <c r="PM99" t="s">
        <v>1837</v>
      </c>
      <c r="PN99" t="s">
        <v>1070</v>
      </c>
      <c r="PO99" t="s">
        <v>1697</v>
      </c>
      <c r="RD99" s="16">
        <f t="shared" si="40"/>
        <v>12</v>
      </c>
      <c r="RU99" s="16">
        <f t="shared" si="41"/>
        <v>0</v>
      </c>
      <c r="RV99">
        <v>47</v>
      </c>
      <c r="RY99">
        <v>59</v>
      </c>
      <c r="RZ99">
        <v>50</v>
      </c>
      <c r="SA99">
        <v>54</v>
      </c>
      <c r="SB99">
        <v>58</v>
      </c>
      <c r="SC99">
        <v>63</v>
      </c>
      <c r="SG99">
        <v>229</v>
      </c>
      <c r="SH99">
        <v>202</v>
      </c>
      <c r="SI99">
        <v>197</v>
      </c>
      <c r="SJ99">
        <v>185</v>
      </c>
      <c r="SK99">
        <v>182</v>
      </c>
      <c r="SL99">
        <v>155</v>
      </c>
      <c r="UE99" s="16">
        <f t="shared" si="42"/>
        <v>12</v>
      </c>
      <c r="UF99">
        <v>4338</v>
      </c>
      <c r="UH99">
        <v>5310</v>
      </c>
      <c r="UI99">
        <v>4307</v>
      </c>
      <c r="UJ99">
        <v>5466</v>
      </c>
      <c r="UK99">
        <v>5899</v>
      </c>
      <c r="UM99">
        <v>6377</v>
      </c>
      <c r="UO99">
        <v>6119</v>
      </c>
      <c r="UP99">
        <v>6016</v>
      </c>
      <c r="UQ99">
        <v>5958</v>
      </c>
      <c r="UR99">
        <v>6145</v>
      </c>
      <c r="VJ99" s="16">
        <f t="shared" si="43"/>
        <v>10</v>
      </c>
      <c r="VK99" t="s">
        <v>1731</v>
      </c>
      <c r="VM99" t="s">
        <v>1874</v>
      </c>
      <c r="VN99">
        <v>88</v>
      </c>
      <c r="VO99" t="s">
        <v>1718</v>
      </c>
      <c r="VP99" t="s">
        <v>1718</v>
      </c>
      <c r="VQ99" t="s">
        <v>1732</v>
      </c>
      <c r="VU99" t="s">
        <v>1868</v>
      </c>
      <c r="VV99" t="s">
        <v>1882</v>
      </c>
      <c r="VW99" t="s">
        <v>1882</v>
      </c>
      <c r="VX99" t="s">
        <v>1885</v>
      </c>
      <c r="VY99" t="s">
        <v>1886</v>
      </c>
      <c r="VZ99">
        <v>154</v>
      </c>
      <c r="WM99" s="16">
        <f t="shared" si="44"/>
        <v>12</v>
      </c>
      <c r="XH99" s="16">
        <f t="shared" si="45"/>
        <v>0</v>
      </c>
      <c r="XI99">
        <v>18</v>
      </c>
      <c r="XJ99">
        <v>12</v>
      </c>
      <c r="XK99">
        <v>19</v>
      </c>
      <c r="XL99">
        <v>27</v>
      </c>
      <c r="XM99">
        <v>31</v>
      </c>
      <c r="XN99">
        <v>26</v>
      </c>
      <c r="XR99">
        <v>13</v>
      </c>
      <c r="XS99">
        <v>13</v>
      </c>
      <c r="XT99">
        <v>13</v>
      </c>
      <c r="XU99">
        <v>14</v>
      </c>
      <c r="XV99">
        <v>12</v>
      </c>
      <c r="XW99">
        <v>7</v>
      </c>
      <c r="YD99" s="16">
        <f t="shared" si="46"/>
        <v>12</v>
      </c>
      <c r="YE99">
        <v>14</v>
      </c>
      <c r="YG99">
        <v>14</v>
      </c>
      <c r="YH99">
        <v>13</v>
      </c>
      <c r="YI99">
        <v>17</v>
      </c>
      <c r="YJ99">
        <v>16</v>
      </c>
      <c r="YK99">
        <v>14</v>
      </c>
      <c r="YO99">
        <v>13</v>
      </c>
      <c r="YP99">
        <v>19</v>
      </c>
      <c r="YQ99">
        <v>18</v>
      </c>
      <c r="YR99">
        <v>16</v>
      </c>
      <c r="YS99">
        <v>14</v>
      </c>
      <c r="YT99">
        <v>13</v>
      </c>
      <c r="YX99" s="16">
        <f t="shared" si="47"/>
        <v>12</v>
      </c>
      <c r="ZR99" s="16">
        <f t="shared" si="48"/>
        <v>0</v>
      </c>
      <c r="ZX99" s="16">
        <f t="shared" si="49"/>
        <v>0</v>
      </c>
      <c r="ZY99">
        <v>0.78</v>
      </c>
      <c r="ZZ99" t="s">
        <v>2029</v>
      </c>
      <c r="AAA99">
        <v>0.83</v>
      </c>
      <c r="AAB99">
        <v>0.68</v>
      </c>
      <c r="AAC99">
        <v>0.61</v>
      </c>
      <c r="AAD99">
        <v>0.68</v>
      </c>
      <c r="AAH99">
        <v>1.48</v>
      </c>
      <c r="AAI99">
        <v>1.81</v>
      </c>
      <c r="AAJ99">
        <v>1.89</v>
      </c>
      <c r="AAK99">
        <v>2.04</v>
      </c>
      <c r="AAL99">
        <v>1.98</v>
      </c>
      <c r="AAM99">
        <v>1.46</v>
      </c>
      <c r="AAT99" s="16">
        <f t="shared" si="50"/>
        <v>12</v>
      </c>
      <c r="AAU99" t="s">
        <v>928</v>
      </c>
      <c r="AAW99">
        <v>143</v>
      </c>
      <c r="AAX99">
        <v>116</v>
      </c>
      <c r="AAY99">
        <v>89</v>
      </c>
      <c r="AAZ99">
        <v>97</v>
      </c>
      <c r="ABB99">
        <v>118</v>
      </c>
      <c r="ABC99">
        <v>123</v>
      </c>
      <c r="ABD99">
        <v>101</v>
      </c>
      <c r="ABE99">
        <v>104</v>
      </c>
      <c r="ABF99">
        <v>101</v>
      </c>
      <c r="ABG99">
        <v>113</v>
      </c>
      <c r="ABH99">
        <v>129</v>
      </c>
      <c r="ABQ99" s="16">
        <f t="shared" si="51"/>
        <v>1</v>
      </c>
      <c r="ABV99" s="16">
        <f t="shared" si="52"/>
        <v>0</v>
      </c>
      <c r="ACC99" s="16">
        <f t="shared" si="53"/>
        <v>0</v>
      </c>
      <c r="ACQ99" s="16">
        <f t="shared" si="54"/>
        <v>0</v>
      </c>
      <c r="ADA99" s="16">
        <f t="shared" si="55"/>
        <v>0</v>
      </c>
      <c r="ADM99" s="16">
        <f t="shared" si="56"/>
        <v>0</v>
      </c>
      <c r="ADN99">
        <v>36</v>
      </c>
      <c r="ADO99">
        <v>36</v>
      </c>
      <c r="ADP99">
        <v>27</v>
      </c>
      <c r="ADQ99">
        <v>48</v>
      </c>
      <c r="ADR99">
        <v>48</v>
      </c>
      <c r="ADS99">
        <v>38</v>
      </c>
      <c r="ADW99">
        <v>80</v>
      </c>
      <c r="ADX99">
        <v>78</v>
      </c>
      <c r="ADY99">
        <v>62</v>
      </c>
      <c r="ADZ99">
        <v>57</v>
      </c>
      <c r="AEA99">
        <v>76</v>
      </c>
      <c r="AEB99">
        <v>100</v>
      </c>
      <c r="AEI99" s="16">
        <f t="shared" si="57"/>
        <v>12</v>
      </c>
    </row>
    <row r="100" spans="1:815" x14ac:dyDescent="0.25">
      <c r="A100" s="22"/>
      <c r="B100" s="2" t="s">
        <v>160</v>
      </c>
      <c r="C100" t="s">
        <v>161</v>
      </c>
      <c r="D100">
        <v>67</v>
      </c>
      <c r="E100" t="s">
        <v>14</v>
      </c>
      <c r="F100" t="s">
        <v>9</v>
      </c>
      <c r="G100" t="s">
        <v>15</v>
      </c>
      <c r="H100" t="s">
        <v>253</v>
      </c>
      <c r="I100" t="s">
        <v>243</v>
      </c>
      <c r="L100" t="s">
        <v>314</v>
      </c>
      <c r="W100" t="s">
        <v>1460</v>
      </c>
      <c r="BA100" s="16">
        <f t="shared" si="29"/>
        <v>0</v>
      </c>
      <c r="CB100" s="16">
        <f t="shared" si="30"/>
        <v>0</v>
      </c>
      <c r="DE100" s="16">
        <f t="shared" si="31"/>
        <v>0</v>
      </c>
      <c r="DS100" s="16">
        <f t="shared" si="32"/>
        <v>0</v>
      </c>
      <c r="EF100" s="16">
        <f t="shared" si="33"/>
        <v>0</v>
      </c>
      <c r="FI100" s="16">
        <f t="shared" si="34"/>
        <v>0</v>
      </c>
      <c r="HY100" s="16">
        <f t="shared" si="35"/>
        <v>0</v>
      </c>
      <c r="KM100" s="16">
        <f t="shared" si="36"/>
        <v>0</v>
      </c>
      <c r="MZ100" s="16">
        <f t="shared" si="37"/>
        <v>0</v>
      </c>
      <c r="OQ100" s="16">
        <f t="shared" si="38"/>
        <v>0</v>
      </c>
      <c r="OW100" s="33">
        <f t="shared" si="39"/>
        <v>0</v>
      </c>
      <c r="RD100" s="16">
        <f t="shared" si="40"/>
        <v>0</v>
      </c>
      <c r="RU100" s="16">
        <f t="shared" si="41"/>
        <v>0</v>
      </c>
      <c r="UE100" s="16">
        <f t="shared" si="42"/>
        <v>0</v>
      </c>
      <c r="VJ100" s="16">
        <f t="shared" si="43"/>
        <v>0</v>
      </c>
      <c r="WM100" s="16">
        <f t="shared" si="44"/>
        <v>0</v>
      </c>
      <c r="XH100" s="16">
        <f t="shared" si="45"/>
        <v>0</v>
      </c>
      <c r="YD100" s="16">
        <f t="shared" si="46"/>
        <v>0</v>
      </c>
      <c r="YX100" s="16">
        <f t="shared" si="47"/>
        <v>0</v>
      </c>
      <c r="ZR100" s="16">
        <f t="shared" si="48"/>
        <v>0</v>
      </c>
      <c r="ZX100" s="16">
        <f t="shared" si="49"/>
        <v>0</v>
      </c>
      <c r="AAT100" s="16">
        <f t="shared" si="50"/>
        <v>0</v>
      </c>
      <c r="ABQ100" s="16">
        <f t="shared" si="51"/>
        <v>0</v>
      </c>
      <c r="ABV100" s="16">
        <f t="shared" si="52"/>
        <v>0</v>
      </c>
      <c r="ACC100" s="16">
        <f t="shared" si="53"/>
        <v>0</v>
      </c>
      <c r="ACQ100" s="16">
        <f t="shared" si="54"/>
        <v>0</v>
      </c>
      <c r="ADA100" s="16">
        <f t="shared" si="55"/>
        <v>0</v>
      </c>
      <c r="ADM100" s="16">
        <f t="shared" si="56"/>
        <v>0</v>
      </c>
      <c r="AEI100" s="16">
        <f t="shared" si="57"/>
        <v>0</v>
      </c>
    </row>
    <row r="101" spans="1:815" x14ac:dyDescent="0.25">
      <c r="B101" s="3" t="s">
        <v>162</v>
      </c>
      <c r="D101">
        <v>48</v>
      </c>
      <c r="E101" t="s">
        <v>14</v>
      </c>
      <c r="F101" t="s">
        <v>9</v>
      </c>
      <c r="G101" t="s">
        <v>9</v>
      </c>
      <c r="H101" t="s">
        <v>252</v>
      </c>
      <c r="I101" t="s">
        <v>243</v>
      </c>
      <c r="J101" t="s">
        <v>257</v>
      </c>
      <c r="K101" t="s">
        <v>1463</v>
      </c>
      <c r="L101" t="s">
        <v>322</v>
      </c>
      <c r="R101" t="s">
        <v>1299</v>
      </c>
      <c r="U101" t="s">
        <v>1464</v>
      </c>
      <c r="V101" t="s">
        <v>1462</v>
      </c>
      <c r="W101" t="s">
        <v>1461</v>
      </c>
      <c r="BA101" s="16">
        <f t="shared" si="29"/>
        <v>0</v>
      </c>
      <c r="CB101" s="16">
        <f t="shared" si="30"/>
        <v>0</v>
      </c>
      <c r="DE101" s="16">
        <f t="shared" si="31"/>
        <v>0</v>
      </c>
      <c r="DS101" s="16">
        <f t="shared" si="32"/>
        <v>0</v>
      </c>
      <c r="EF101" s="16">
        <f t="shared" si="33"/>
        <v>0</v>
      </c>
      <c r="FI101" s="16">
        <f t="shared" si="34"/>
        <v>0</v>
      </c>
      <c r="HY101" s="16">
        <f t="shared" si="35"/>
        <v>0</v>
      </c>
      <c r="KM101" s="16">
        <f t="shared" si="36"/>
        <v>0</v>
      </c>
      <c r="MZ101" s="16">
        <f t="shared" si="37"/>
        <v>0</v>
      </c>
      <c r="OQ101" s="16">
        <f t="shared" si="38"/>
        <v>0</v>
      </c>
      <c r="OW101" s="33">
        <f t="shared" si="39"/>
        <v>0</v>
      </c>
      <c r="RD101" s="16">
        <f t="shared" si="40"/>
        <v>0</v>
      </c>
      <c r="RU101" s="16">
        <f t="shared" si="41"/>
        <v>0</v>
      </c>
      <c r="UE101" s="16">
        <f t="shared" si="42"/>
        <v>0</v>
      </c>
      <c r="VJ101" s="16">
        <f t="shared" si="43"/>
        <v>0</v>
      </c>
      <c r="WM101" s="16">
        <f t="shared" si="44"/>
        <v>0</v>
      </c>
      <c r="XH101" s="16">
        <f t="shared" si="45"/>
        <v>0</v>
      </c>
      <c r="YD101" s="16">
        <f t="shared" si="46"/>
        <v>0</v>
      </c>
      <c r="YX101" s="16">
        <f t="shared" si="47"/>
        <v>0</v>
      </c>
      <c r="ZR101" s="16">
        <f t="shared" si="48"/>
        <v>0</v>
      </c>
      <c r="ZX101" s="16">
        <f t="shared" si="49"/>
        <v>0</v>
      </c>
      <c r="AAT101" s="16">
        <f t="shared" si="50"/>
        <v>0</v>
      </c>
      <c r="ABQ101" s="16">
        <f t="shared" si="51"/>
        <v>0</v>
      </c>
      <c r="ABV101" s="16">
        <f t="shared" si="52"/>
        <v>0</v>
      </c>
      <c r="ACC101" s="16">
        <f t="shared" si="53"/>
        <v>0</v>
      </c>
      <c r="ACQ101" s="16">
        <f t="shared" si="54"/>
        <v>0</v>
      </c>
      <c r="ADA101" s="16">
        <f t="shared" si="55"/>
        <v>0</v>
      </c>
      <c r="ADM101" s="16">
        <f t="shared" si="56"/>
        <v>0</v>
      </c>
      <c r="AEI101" s="16">
        <f t="shared" si="57"/>
        <v>0</v>
      </c>
    </row>
    <row r="102" spans="1:815" x14ac:dyDescent="0.25">
      <c r="B102" s="2" t="s">
        <v>163</v>
      </c>
      <c r="D102">
        <v>69</v>
      </c>
      <c r="E102" t="s">
        <v>8</v>
      </c>
      <c r="F102" t="s">
        <v>9</v>
      </c>
      <c r="G102" t="s">
        <v>9</v>
      </c>
      <c r="I102" t="s">
        <v>243</v>
      </c>
      <c r="K102" t="s">
        <v>1472</v>
      </c>
      <c r="L102" t="s">
        <v>323</v>
      </c>
      <c r="M102">
        <v>66</v>
      </c>
      <c r="N102">
        <v>176</v>
      </c>
      <c r="O102" t="s">
        <v>1093</v>
      </c>
      <c r="P102" t="s">
        <v>1466</v>
      </c>
      <c r="Q102" t="s">
        <v>1467</v>
      </c>
      <c r="R102" t="s">
        <v>1299</v>
      </c>
      <c r="S102" t="s">
        <v>1468</v>
      </c>
      <c r="T102" t="s">
        <v>1470</v>
      </c>
      <c r="U102" t="s">
        <v>1471</v>
      </c>
      <c r="V102" t="s">
        <v>1469</v>
      </c>
      <c r="W102" t="s">
        <v>1465</v>
      </c>
      <c r="X102" t="s">
        <v>1473</v>
      </c>
      <c r="AA102">
        <v>13</v>
      </c>
      <c r="BA102" s="16">
        <f t="shared" si="29"/>
        <v>1</v>
      </c>
      <c r="CB102" s="16">
        <f t="shared" si="30"/>
        <v>0</v>
      </c>
      <c r="CC102">
        <v>43.3</v>
      </c>
      <c r="CE102">
        <v>32.200000000000003</v>
      </c>
      <c r="DE102" s="16">
        <f t="shared" si="31"/>
        <v>2</v>
      </c>
      <c r="DS102" s="16">
        <f t="shared" si="32"/>
        <v>0</v>
      </c>
      <c r="DT102" s="7">
        <v>0.82</v>
      </c>
      <c r="EF102" s="16">
        <f t="shared" si="33"/>
        <v>1</v>
      </c>
      <c r="EG102">
        <v>4510</v>
      </c>
      <c r="EH102">
        <v>4600</v>
      </c>
      <c r="EI102">
        <v>3560</v>
      </c>
      <c r="EJ102">
        <v>3620</v>
      </c>
      <c r="EL102">
        <v>8180</v>
      </c>
      <c r="EM102">
        <v>3270</v>
      </c>
      <c r="EN102">
        <v>3550</v>
      </c>
      <c r="FI102" s="16">
        <f t="shared" si="34"/>
        <v>7</v>
      </c>
      <c r="HY102" s="16">
        <f t="shared" si="35"/>
        <v>0</v>
      </c>
      <c r="IC102">
        <v>46</v>
      </c>
      <c r="KM102" s="16">
        <f t="shared" si="36"/>
        <v>1</v>
      </c>
      <c r="KP102">
        <v>213</v>
      </c>
      <c r="MZ102" s="16">
        <f t="shared" si="37"/>
        <v>1</v>
      </c>
      <c r="ND102">
        <v>446</v>
      </c>
      <c r="OQ102" s="16">
        <f t="shared" si="38"/>
        <v>1</v>
      </c>
      <c r="OW102" s="33">
        <f t="shared" si="39"/>
        <v>0</v>
      </c>
      <c r="RD102" s="16">
        <f t="shared" si="40"/>
        <v>0</v>
      </c>
      <c r="RU102" s="16">
        <f t="shared" si="41"/>
        <v>0</v>
      </c>
      <c r="RY102">
        <v>209</v>
      </c>
      <c r="UE102" s="16">
        <f t="shared" si="42"/>
        <v>1</v>
      </c>
      <c r="UH102">
        <v>3470</v>
      </c>
      <c r="VJ102" s="16">
        <f t="shared" si="43"/>
        <v>1</v>
      </c>
      <c r="VK102" t="s">
        <v>543</v>
      </c>
      <c r="VM102" t="s">
        <v>1733</v>
      </c>
      <c r="VP102" t="s">
        <v>1734</v>
      </c>
      <c r="VQ102" t="s">
        <v>1733</v>
      </c>
      <c r="WM102" s="16">
        <f t="shared" si="44"/>
        <v>4</v>
      </c>
      <c r="XH102" s="16">
        <f t="shared" si="45"/>
        <v>0</v>
      </c>
      <c r="YD102" s="16">
        <f t="shared" si="46"/>
        <v>0</v>
      </c>
      <c r="YX102" s="16">
        <f t="shared" si="47"/>
        <v>0</v>
      </c>
      <c r="YY102">
        <v>41</v>
      </c>
      <c r="ZA102">
        <v>32.1</v>
      </c>
      <c r="ZB102">
        <v>46.1</v>
      </c>
      <c r="ZC102">
        <v>85.1</v>
      </c>
      <c r="ZR102" s="16">
        <f t="shared" si="48"/>
        <v>4</v>
      </c>
      <c r="ZX102" s="16">
        <f t="shared" si="49"/>
        <v>0</v>
      </c>
      <c r="ZY102">
        <v>0.61</v>
      </c>
      <c r="ZZ102">
        <v>0.53</v>
      </c>
      <c r="AAT102" s="16">
        <f t="shared" si="50"/>
        <v>2</v>
      </c>
      <c r="AAU102">
        <v>67</v>
      </c>
      <c r="AAV102">
        <v>64</v>
      </c>
      <c r="AAW102">
        <v>87</v>
      </c>
      <c r="AAX102">
        <v>81</v>
      </c>
      <c r="AAZ102">
        <v>116</v>
      </c>
      <c r="ABA102">
        <v>118</v>
      </c>
      <c r="ABB102">
        <v>163</v>
      </c>
      <c r="ABQ102" s="16">
        <f t="shared" si="51"/>
        <v>1</v>
      </c>
      <c r="ABV102" s="16">
        <f t="shared" si="52"/>
        <v>0</v>
      </c>
      <c r="ACC102" s="16">
        <f t="shared" si="53"/>
        <v>0</v>
      </c>
      <c r="ACK102" s="7">
        <v>0.46</v>
      </c>
      <c r="ACQ102" s="16">
        <f t="shared" si="54"/>
        <v>1</v>
      </c>
      <c r="ADA102" s="16">
        <f t="shared" si="55"/>
        <v>0</v>
      </c>
      <c r="ADM102" s="16">
        <f t="shared" si="56"/>
        <v>0</v>
      </c>
      <c r="AEI102" s="16">
        <f t="shared" si="57"/>
        <v>0</v>
      </c>
    </row>
    <row r="103" spans="1:815" x14ac:dyDescent="0.25">
      <c r="B103" s="4" t="s">
        <v>164</v>
      </c>
      <c r="D103">
        <v>28</v>
      </c>
      <c r="E103" t="s">
        <v>8</v>
      </c>
      <c r="F103" t="s">
        <v>9</v>
      </c>
      <c r="G103" t="s">
        <v>15</v>
      </c>
      <c r="H103" t="s">
        <v>281</v>
      </c>
      <c r="I103" t="s">
        <v>243</v>
      </c>
      <c r="J103" t="s">
        <v>243</v>
      </c>
      <c r="K103" t="s">
        <v>1477</v>
      </c>
      <c r="L103" t="s">
        <v>1474</v>
      </c>
      <c r="R103" t="s">
        <v>1262</v>
      </c>
      <c r="S103" t="s">
        <v>1476</v>
      </c>
      <c r="V103" t="s">
        <v>1475</v>
      </c>
      <c r="BA103" s="16">
        <f t="shared" si="29"/>
        <v>0</v>
      </c>
      <c r="CB103" s="16">
        <f t="shared" si="30"/>
        <v>0</v>
      </c>
      <c r="DE103" s="16">
        <f t="shared" si="31"/>
        <v>0</v>
      </c>
      <c r="DS103" s="16">
        <f t="shared" si="32"/>
        <v>0</v>
      </c>
      <c r="EF103" s="16">
        <f t="shared" si="33"/>
        <v>0</v>
      </c>
      <c r="FI103" s="16">
        <f t="shared" si="34"/>
        <v>0</v>
      </c>
      <c r="HY103" s="16">
        <f t="shared" si="35"/>
        <v>0</v>
      </c>
      <c r="KM103" s="16">
        <f t="shared" si="36"/>
        <v>0</v>
      </c>
      <c r="MZ103" s="16">
        <f t="shared" si="37"/>
        <v>0</v>
      </c>
      <c r="OQ103" s="16">
        <f t="shared" si="38"/>
        <v>0</v>
      </c>
      <c r="OW103" s="33">
        <f t="shared" si="39"/>
        <v>0</v>
      </c>
      <c r="RD103" s="16">
        <f t="shared" si="40"/>
        <v>0</v>
      </c>
      <c r="RU103" s="16">
        <f t="shared" si="41"/>
        <v>0</v>
      </c>
      <c r="UE103" s="16">
        <f t="shared" si="42"/>
        <v>0</v>
      </c>
      <c r="VJ103" s="16">
        <f t="shared" si="43"/>
        <v>0</v>
      </c>
      <c r="WM103" s="16">
        <f t="shared" si="44"/>
        <v>0</v>
      </c>
      <c r="XH103" s="16">
        <f t="shared" si="45"/>
        <v>0</v>
      </c>
      <c r="YD103" s="16">
        <f t="shared" si="46"/>
        <v>0</v>
      </c>
      <c r="YX103" s="16">
        <f t="shared" si="47"/>
        <v>0</v>
      </c>
      <c r="ZR103" s="16">
        <f t="shared" si="48"/>
        <v>0</v>
      </c>
      <c r="ZX103" s="16">
        <f t="shared" si="49"/>
        <v>0</v>
      </c>
      <c r="AAT103" s="16">
        <f t="shared" si="50"/>
        <v>0</v>
      </c>
      <c r="ABQ103" s="16">
        <f t="shared" si="51"/>
        <v>0</v>
      </c>
      <c r="ABV103" s="16">
        <f t="shared" si="52"/>
        <v>0</v>
      </c>
      <c r="ACC103" s="16">
        <f t="shared" si="53"/>
        <v>0</v>
      </c>
      <c r="ACQ103" s="16">
        <f t="shared" si="54"/>
        <v>0</v>
      </c>
      <c r="ADA103" s="16">
        <f t="shared" si="55"/>
        <v>0</v>
      </c>
      <c r="ADM103" s="16">
        <f t="shared" si="56"/>
        <v>0</v>
      </c>
      <c r="AEI103" s="16">
        <f t="shared" si="57"/>
        <v>0</v>
      </c>
    </row>
    <row r="104" spans="1:815" x14ac:dyDescent="0.25">
      <c r="B104" s="1" t="s">
        <v>165</v>
      </c>
      <c r="F104" t="s">
        <v>15</v>
      </c>
      <c r="G104" t="s">
        <v>15</v>
      </c>
      <c r="BA104" s="16">
        <f t="shared" si="29"/>
        <v>0</v>
      </c>
      <c r="CB104" s="16">
        <f t="shared" si="30"/>
        <v>0</v>
      </c>
      <c r="DE104" s="16">
        <f t="shared" si="31"/>
        <v>0</v>
      </c>
      <c r="DS104" s="16">
        <f t="shared" si="32"/>
        <v>0</v>
      </c>
      <c r="EF104" s="16">
        <f t="shared" si="33"/>
        <v>0</v>
      </c>
      <c r="FI104" s="16">
        <f t="shared" si="34"/>
        <v>0</v>
      </c>
      <c r="HY104" s="16">
        <f t="shared" si="35"/>
        <v>0</v>
      </c>
      <c r="KM104" s="16">
        <f t="shared" si="36"/>
        <v>0</v>
      </c>
      <c r="MZ104" s="16">
        <f t="shared" si="37"/>
        <v>0</v>
      </c>
      <c r="OQ104" s="16">
        <f t="shared" si="38"/>
        <v>0</v>
      </c>
      <c r="OW104" s="33">
        <f t="shared" si="39"/>
        <v>0</v>
      </c>
      <c r="RD104" s="16">
        <f t="shared" si="40"/>
        <v>0</v>
      </c>
      <c r="RU104" s="16">
        <f t="shared" si="41"/>
        <v>0</v>
      </c>
      <c r="UE104" s="16">
        <f t="shared" si="42"/>
        <v>0</v>
      </c>
      <c r="VJ104" s="16">
        <f t="shared" si="43"/>
        <v>0</v>
      </c>
      <c r="WM104" s="16">
        <f t="shared" si="44"/>
        <v>0</v>
      </c>
      <c r="XH104" s="16">
        <f t="shared" si="45"/>
        <v>0</v>
      </c>
      <c r="YD104" s="16">
        <f t="shared" si="46"/>
        <v>0</v>
      </c>
      <c r="YX104" s="16">
        <f t="shared" si="47"/>
        <v>0</v>
      </c>
      <c r="ZR104" s="16">
        <f t="shared" si="48"/>
        <v>0</v>
      </c>
      <c r="ZX104" s="16">
        <f t="shared" si="49"/>
        <v>0</v>
      </c>
      <c r="AAT104" s="16">
        <f t="shared" si="50"/>
        <v>0</v>
      </c>
      <c r="ABQ104" s="16">
        <f t="shared" si="51"/>
        <v>0</v>
      </c>
      <c r="ABV104" s="16">
        <f t="shared" si="52"/>
        <v>0</v>
      </c>
      <c r="ACC104" s="16">
        <f t="shared" si="53"/>
        <v>0</v>
      </c>
      <c r="ACQ104" s="16">
        <f t="shared" si="54"/>
        <v>0</v>
      </c>
      <c r="ADA104" s="16">
        <f t="shared" si="55"/>
        <v>0</v>
      </c>
      <c r="ADM104" s="16">
        <f t="shared" si="56"/>
        <v>0</v>
      </c>
      <c r="AEI104" s="16">
        <f t="shared" si="57"/>
        <v>0</v>
      </c>
    </row>
    <row r="105" spans="1:815" x14ac:dyDescent="0.25">
      <c r="B105" s="2" t="s">
        <v>166</v>
      </c>
      <c r="D105">
        <v>24</v>
      </c>
      <c r="E105" t="s">
        <v>8</v>
      </c>
      <c r="F105" t="s">
        <v>9</v>
      </c>
      <c r="G105" t="s">
        <v>9</v>
      </c>
      <c r="H105" t="s">
        <v>282</v>
      </c>
      <c r="I105" t="s">
        <v>243</v>
      </c>
      <c r="K105" t="s">
        <v>270</v>
      </c>
      <c r="L105" t="s">
        <v>1479</v>
      </c>
      <c r="Q105" s="11">
        <v>40360</v>
      </c>
      <c r="R105" s="11" t="s">
        <v>1483</v>
      </c>
      <c r="S105" t="s">
        <v>1478</v>
      </c>
      <c r="U105" t="s">
        <v>1480</v>
      </c>
      <c r="V105" t="s">
        <v>1481</v>
      </c>
      <c r="W105" t="s">
        <v>1482</v>
      </c>
      <c r="X105" t="s">
        <v>1484</v>
      </c>
      <c r="Z105">
        <v>53</v>
      </c>
      <c r="AA105">
        <v>66</v>
      </c>
      <c r="AD105">
        <v>60</v>
      </c>
      <c r="BA105" s="16">
        <f t="shared" si="29"/>
        <v>3</v>
      </c>
      <c r="CB105" s="16">
        <f t="shared" si="30"/>
        <v>0</v>
      </c>
      <c r="DE105" s="16">
        <f t="shared" si="31"/>
        <v>0</v>
      </c>
      <c r="DS105" s="16">
        <f t="shared" si="32"/>
        <v>0</v>
      </c>
      <c r="EF105" s="16">
        <f t="shared" si="33"/>
        <v>0</v>
      </c>
      <c r="EG105">
        <v>10140</v>
      </c>
      <c r="EI105">
        <v>11620</v>
      </c>
      <c r="EL105">
        <v>8550</v>
      </c>
      <c r="FI105" s="16">
        <f t="shared" si="34"/>
        <v>3</v>
      </c>
      <c r="FJ105">
        <v>83</v>
      </c>
      <c r="FN105">
        <v>96</v>
      </c>
      <c r="FQ105">
        <v>84</v>
      </c>
      <c r="HY105" s="16">
        <f t="shared" si="35"/>
        <v>3</v>
      </c>
      <c r="HZ105">
        <v>189</v>
      </c>
      <c r="IC105">
        <v>178</v>
      </c>
      <c r="IF105">
        <v>138</v>
      </c>
      <c r="KM105" s="16">
        <f t="shared" si="36"/>
        <v>3</v>
      </c>
      <c r="KN105">
        <v>89</v>
      </c>
      <c r="KP105">
        <v>105</v>
      </c>
      <c r="KR105">
        <v>86</v>
      </c>
      <c r="MZ105" s="16">
        <f t="shared" si="37"/>
        <v>3</v>
      </c>
      <c r="NA105">
        <v>203</v>
      </c>
      <c r="ND105">
        <v>235</v>
      </c>
      <c r="NG105">
        <v>216</v>
      </c>
      <c r="OQ105" s="16">
        <f t="shared" si="38"/>
        <v>3</v>
      </c>
      <c r="OW105" s="33">
        <f t="shared" si="39"/>
        <v>0</v>
      </c>
      <c r="OX105" t="s">
        <v>1698</v>
      </c>
      <c r="PA105" s="9" t="s">
        <v>1699</v>
      </c>
      <c r="PB105" s="9"/>
      <c r="PC105" s="9"/>
      <c r="PD105">
        <v>187</v>
      </c>
      <c r="RD105" s="16">
        <f t="shared" si="40"/>
        <v>3</v>
      </c>
      <c r="RU105" s="16">
        <f t="shared" si="41"/>
        <v>0</v>
      </c>
      <c r="RV105">
        <v>106</v>
      </c>
      <c r="RY105">
        <v>106</v>
      </c>
      <c r="SB105">
        <v>94</v>
      </c>
      <c r="UE105" s="16">
        <f t="shared" si="42"/>
        <v>3</v>
      </c>
      <c r="VJ105" s="16">
        <f t="shared" si="43"/>
        <v>0</v>
      </c>
      <c r="VK105" t="s">
        <v>1735</v>
      </c>
      <c r="VM105" t="s">
        <v>1736</v>
      </c>
      <c r="VP105" t="s">
        <v>529</v>
      </c>
      <c r="WM105" s="16">
        <f t="shared" si="44"/>
        <v>3</v>
      </c>
      <c r="XH105" s="16">
        <f t="shared" si="45"/>
        <v>0</v>
      </c>
      <c r="YD105" s="16">
        <f t="shared" si="46"/>
        <v>0</v>
      </c>
      <c r="YX105" s="16">
        <f t="shared" si="47"/>
        <v>0</v>
      </c>
      <c r="YY105">
        <v>12.6</v>
      </c>
      <c r="ZA105">
        <v>13.7</v>
      </c>
      <c r="ZB105">
        <v>10.6</v>
      </c>
      <c r="ZR105" s="16">
        <f t="shared" si="48"/>
        <v>3</v>
      </c>
      <c r="ZX105" s="16">
        <f t="shared" si="49"/>
        <v>0</v>
      </c>
      <c r="ZY105">
        <v>0.21</v>
      </c>
      <c r="ZZ105">
        <v>0.26</v>
      </c>
      <c r="AAC105">
        <v>0.24</v>
      </c>
      <c r="AAT105" s="16">
        <f t="shared" si="50"/>
        <v>3</v>
      </c>
      <c r="AAU105">
        <v>182</v>
      </c>
      <c r="AAW105">
        <v>235</v>
      </c>
      <c r="AAZ105">
        <v>226</v>
      </c>
      <c r="ABQ105" s="16">
        <f t="shared" si="51"/>
        <v>1</v>
      </c>
      <c r="ABV105" s="16">
        <f t="shared" si="52"/>
        <v>0</v>
      </c>
      <c r="ABW105" t="s">
        <v>930</v>
      </c>
      <c r="ABX105">
        <v>32</v>
      </c>
      <c r="ABY105">
        <v>29</v>
      </c>
      <c r="ACC105" s="16">
        <f t="shared" si="53"/>
        <v>3</v>
      </c>
      <c r="ACH105" t="s">
        <v>2031</v>
      </c>
      <c r="ACQ105" s="16">
        <f t="shared" si="54"/>
        <v>1</v>
      </c>
      <c r="ADA105" s="16">
        <f t="shared" si="55"/>
        <v>0</v>
      </c>
      <c r="ADM105" s="16">
        <f t="shared" si="56"/>
        <v>0</v>
      </c>
      <c r="AEI105" s="16">
        <f t="shared" si="57"/>
        <v>0</v>
      </c>
    </row>
    <row r="106" spans="1:815" x14ac:dyDescent="0.25">
      <c r="B106" s="2" t="s">
        <v>167</v>
      </c>
      <c r="C106" t="s">
        <v>168</v>
      </c>
      <c r="D106">
        <v>56</v>
      </c>
      <c r="E106" t="s">
        <v>8</v>
      </c>
      <c r="F106" t="s">
        <v>9</v>
      </c>
      <c r="G106" t="s">
        <v>9</v>
      </c>
      <c r="H106" t="s">
        <v>253</v>
      </c>
      <c r="I106" t="s">
        <v>243</v>
      </c>
      <c r="J106" t="s">
        <v>243</v>
      </c>
      <c r="K106" t="s">
        <v>1486</v>
      </c>
      <c r="L106" t="s">
        <v>1487</v>
      </c>
      <c r="M106">
        <v>80</v>
      </c>
      <c r="N106">
        <v>164</v>
      </c>
      <c r="O106" t="s">
        <v>1094</v>
      </c>
      <c r="T106" t="s">
        <v>1488</v>
      </c>
      <c r="W106" t="s">
        <v>1485</v>
      </c>
      <c r="BA106" s="16">
        <f t="shared" si="29"/>
        <v>0</v>
      </c>
      <c r="BB106">
        <v>35</v>
      </c>
      <c r="CB106" s="16">
        <f t="shared" si="30"/>
        <v>1</v>
      </c>
      <c r="DE106" s="16">
        <f t="shared" si="31"/>
        <v>0</v>
      </c>
      <c r="DS106" s="16">
        <f t="shared" si="32"/>
        <v>0</v>
      </c>
      <c r="EF106" s="16">
        <f t="shared" si="33"/>
        <v>0</v>
      </c>
      <c r="FI106" s="16">
        <f t="shared" si="34"/>
        <v>0</v>
      </c>
      <c r="FJ106" s="12">
        <v>2215</v>
      </c>
      <c r="FK106" s="12"/>
      <c r="FL106" s="12"/>
      <c r="FM106" s="12"/>
      <c r="HY106" s="16">
        <f t="shared" si="35"/>
        <v>1</v>
      </c>
      <c r="HZ106">
        <v>1821</v>
      </c>
      <c r="IK106" t="s">
        <v>547</v>
      </c>
      <c r="KM106" s="16">
        <f t="shared" si="36"/>
        <v>2</v>
      </c>
      <c r="MZ106" s="16">
        <f t="shared" si="37"/>
        <v>0</v>
      </c>
      <c r="OQ106" s="16">
        <f t="shared" si="38"/>
        <v>0</v>
      </c>
      <c r="OW106" s="33">
        <f t="shared" si="39"/>
        <v>0</v>
      </c>
      <c r="OX106" t="s">
        <v>1700</v>
      </c>
      <c r="RD106" s="16">
        <f t="shared" si="40"/>
        <v>1</v>
      </c>
      <c r="RU106" s="16">
        <f t="shared" si="41"/>
        <v>0</v>
      </c>
      <c r="UE106" s="16">
        <f t="shared" si="42"/>
        <v>0</v>
      </c>
      <c r="VJ106" s="16">
        <f t="shared" si="43"/>
        <v>0</v>
      </c>
      <c r="VK106" t="s">
        <v>1737</v>
      </c>
      <c r="WM106" s="16">
        <f t="shared" si="44"/>
        <v>1</v>
      </c>
      <c r="XH106" s="16">
        <f t="shared" si="45"/>
        <v>0</v>
      </c>
      <c r="YD106" s="16">
        <f t="shared" si="46"/>
        <v>0</v>
      </c>
      <c r="YX106" s="16">
        <f t="shared" si="47"/>
        <v>0</v>
      </c>
      <c r="YY106">
        <v>200</v>
      </c>
      <c r="ZR106" s="16">
        <f t="shared" si="48"/>
        <v>1</v>
      </c>
      <c r="ZX106" s="16">
        <f t="shared" si="49"/>
        <v>0</v>
      </c>
      <c r="AAT106" s="16">
        <f t="shared" si="50"/>
        <v>0</v>
      </c>
      <c r="ABQ106" s="16">
        <f t="shared" si="51"/>
        <v>0</v>
      </c>
      <c r="ABV106" s="16">
        <f t="shared" si="52"/>
        <v>0</v>
      </c>
      <c r="ACC106" s="16">
        <f t="shared" si="53"/>
        <v>0</v>
      </c>
      <c r="ACQ106" s="16">
        <f t="shared" si="54"/>
        <v>0</v>
      </c>
      <c r="ADA106" s="16">
        <f t="shared" si="55"/>
        <v>0</v>
      </c>
      <c r="ADM106" s="16">
        <f t="shared" si="56"/>
        <v>0</v>
      </c>
      <c r="AEI106" s="16">
        <f t="shared" si="57"/>
        <v>0</v>
      </c>
    </row>
    <row r="107" spans="1:815" x14ac:dyDescent="0.25">
      <c r="B107" s="1" t="s">
        <v>169</v>
      </c>
      <c r="F107" t="s">
        <v>9</v>
      </c>
      <c r="G107" t="s">
        <v>15</v>
      </c>
      <c r="W107" t="s">
        <v>1489</v>
      </c>
      <c r="BA107" s="16">
        <f t="shared" si="29"/>
        <v>0</v>
      </c>
      <c r="CB107" s="16">
        <f t="shared" si="30"/>
        <v>0</v>
      </c>
      <c r="DE107" s="16">
        <f t="shared" si="31"/>
        <v>0</v>
      </c>
      <c r="DS107" s="16">
        <f t="shared" si="32"/>
        <v>0</v>
      </c>
      <c r="EF107" s="16">
        <f t="shared" si="33"/>
        <v>0</v>
      </c>
      <c r="FI107" s="16">
        <f t="shared" si="34"/>
        <v>0</v>
      </c>
      <c r="HY107" s="16">
        <f t="shared" si="35"/>
        <v>0</v>
      </c>
      <c r="KM107" s="16">
        <f t="shared" si="36"/>
        <v>0</v>
      </c>
      <c r="MZ107" s="16">
        <f t="shared" si="37"/>
        <v>0</v>
      </c>
      <c r="OQ107" s="16">
        <f t="shared" si="38"/>
        <v>0</v>
      </c>
      <c r="OW107" s="33">
        <f t="shared" si="39"/>
        <v>0</v>
      </c>
      <c r="RD107" s="16">
        <f t="shared" si="40"/>
        <v>0</v>
      </c>
      <c r="RU107" s="16">
        <f t="shared" si="41"/>
        <v>0</v>
      </c>
      <c r="UE107" s="16">
        <f t="shared" si="42"/>
        <v>0</v>
      </c>
      <c r="VJ107" s="16">
        <f t="shared" si="43"/>
        <v>0</v>
      </c>
      <c r="WM107" s="16">
        <f t="shared" si="44"/>
        <v>0</v>
      </c>
      <c r="XH107" s="16">
        <f t="shared" si="45"/>
        <v>0</v>
      </c>
      <c r="YD107" s="16">
        <f t="shared" si="46"/>
        <v>0</v>
      </c>
      <c r="YX107" s="16">
        <f t="shared" si="47"/>
        <v>0</v>
      </c>
      <c r="ZR107" s="16">
        <f t="shared" si="48"/>
        <v>0</v>
      </c>
      <c r="ZX107" s="16">
        <f t="shared" si="49"/>
        <v>0</v>
      </c>
      <c r="AAT107" s="16">
        <f t="shared" si="50"/>
        <v>0</v>
      </c>
      <c r="ABQ107" s="16">
        <f t="shared" si="51"/>
        <v>0</v>
      </c>
      <c r="ABV107" s="16">
        <f t="shared" si="52"/>
        <v>0</v>
      </c>
      <c r="ACC107" s="16">
        <f t="shared" si="53"/>
        <v>0</v>
      </c>
      <c r="ACQ107" s="16">
        <f t="shared" si="54"/>
        <v>0</v>
      </c>
      <c r="ADA107" s="16">
        <f t="shared" si="55"/>
        <v>0</v>
      </c>
      <c r="ADM107" s="16">
        <f t="shared" si="56"/>
        <v>0</v>
      </c>
      <c r="AEI107" s="16">
        <f t="shared" si="57"/>
        <v>0</v>
      </c>
    </row>
    <row r="108" spans="1:815" x14ac:dyDescent="0.25">
      <c r="B108" s="1" t="s">
        <v>170</v>
      </c>
      <c r="C108" t="s">
        <v>171</v>
      </c>
      <c r="D108">
        <v>13</v>
      </c>
      <c r="E108" t="s">
        <v>14</v>
      </c>
      <c r="F108" t="s">
        <v>9</v>
      </c>
      <c r="G108" t="s">
        <v>9</v>
      </c>
      <c r="M108">
        <v>60</v>
      </c>
      <c r="N108">
        <v>159</v>
      </c>
      <c r="T108" t="s">
        <v>1490</v>
      </c>
      <c r="BA108" s="16">
        <f t="shared" si="29"/>
        <v>0</v>
      </c>
      <c r="CB108" s="16">
        <f t="shared" si="30"/>
        <v>0</v>
      </c>
      <c r="DE108" s="16">
        <f t="shared" si="31"/>
        <v>0</v>
      </c>
      <c r="DG108">
        <v>372</v>
      </c>
      <c r="DS108" s="16">
        <f t="shared" si="32"/>
        <v>1</v>
      </c>
      <c r="EF108" s="16">
        <f t="shared" si="33"/>
        <v>0</v>
      </c>
      <c r="EG108">
        <v>5900</v>
      </c>
      <c r="FI108" s="16">
        <f t="shared" si="34"/>
        <v>1</v>
      </c>
      <c r="HY108" s="16">
        <f t="shared" si="35"/>
        <v>0</v>
      </c>
      <c r="KM108" s="16">
        <f t="shared" si="36"/>
        <v>0</v>
      </c>
      <c r="MZ108" s="16">
        <f t="shared" si="37"/>
        <v>0</v>
      </c>
      <c r="OQ108" s="16">
        <f t="shared" si="38"/>
        <v>0</v>
      </c>
      <c r="OW108" s="33">
        <f t="shared" si="39"/>
        <v>0</v>
      </c>
      <c r="RD108" s="16">
        <f t="shared" si="40"/>
        <v>0</v>
      </c>
      <c r="RU108" s="16">
        <f t="shared" si="41"/>
        <v>0</v>
      </c>
      <c r="UE108" s="16">
        <f t="shared" si="42"/>
        <v>0</v>
      </c>
      <c r="VJ108" s="16">
        <f t="shared" si="43"/>
        <v>0</v>
      </c>
      <c r="WM108" s="16">
        <f t="shared" si="44"/>
        <v>0</v>
      </c>
      <c r="XH108" s="16">
        <f t="shared" si="45"/>
        <v>0</v>
      </c>
      <c r="YD108" s="16">
        <f t="shared" si="46"/>
        <v>0</v>
      </c>
      <c r="YX108" s="16">
        <f t="shared" si="47"/>
        <v>0</v>
      </c>
      <c r="ZR108" s="16">
        <f t="shared" si="48"/>
        <v>0</v>
      </c>
      <c r="ZX108" s="16">
        <f t="shared" si="49"/>
        <v>0</v>
      </c>
      <c r="AAT108" s="16">
        <f t="shared" si="50"/>
        <v>0</v>
      </c>
      <c r="AAU108">
        <v>270</v>
      </c>
      <c r="ABQ108" s="16">
        <f t="shared" si="51"/>
        <v>1</v>
      </c>
      <c r="ABV108" s="16">
        <f t="shared" si="52"/>
        <v>0</v>
      </c>
      <c r="ACC108" s="16">
        <f t="shared" si="53"/>
        <v>0</v>
      </c>
      <c r="ACQ108" s="16">
        <f t="shared" si="54"/>
        <v>0</v>
      </c>
      <c r="ADA108" s="16">
        <f t="shared" si="55"/>
        <v>0</v>
      </c>
      <c r="ADM108" s="16">
        <f t="shared" si="56"/>
        <v>0</v>
      </c>
      <c r="AEI108" s="16">
        <f t="shared" si="57"/>
        <v>0</v>
      </c>
    </row>
    <row r="109" spans="1:815" x14ac:dyDescent="0.25">
      <c r="B109" s="3" t="s">
        <v>172</v>
      </c>
      <c r="D109">
        <v>57</v>
      </c>
      <c r="E109" t="s">
        <v>14</v>
      </c>
      <c r="F109" t="s">
        <v>9</v>
      </c>
      <c r="G109" t="s">
        <v>15</v>
      </c>
      <c r="I109" t="s">
        <v>243</v>
      </c>
      <c r="J109" t="s">
        <v>243</v>
      </c>
      <c r="L109" t="s">
        <v>310</v>
      </c>
      <c r="U109" t="s">
        <v>1491</v>
      </c>
      <c r="BA109" s="16">
        <f t="shared" si="29"/>
        <v>0</v>
      </c>
      <c r="CB109" s="16">
        <f t="shared" si="30"/>
        <v>0</v>
      </c>
      <c r="DE109" s="16">
        <f t="shared" si="31"/>
        <v>0</v>
      </c>
      <c r="DS109" s="16">
        <f t="shared" si="32"/>
        <v>0</v>
      </c>
      <c r="EF109" s="16">
        <f t="shared" si="33"/>
        <v>0</v>
      </c>
      <c r="FI109" s="16">
        <f t="shared" si="34"/>
        <v>0</v>
      </c>
      <c r="HY109" s="16">
        <f t="shared" si="35"/>
        <v>0</v>
      </c>
      <c r="KM109" s="16">
        <f t="shared" si="36"/>
        <v>0</v>
      </c>
      <c r="MZ109" s="16">
        <f t="shared" si="37"/>
        <v>0</v>
      </c>
      <c r="OQ109" s="16">
        <f t="shared" si="38"/>
        <v>0</v>
      </c>
      <c r="OW109" s="33">
        <f t="shared" si="39"/>
        <v>0</v>
      </c>
      <c r="RD109" s="16">
        <f t="shared" si="40"/>
        <v>0</v>
      </c>
      <c r="RU109" s="16">
        <f t="shared" si="41"/>
        <v>0</v>
      </c>
      <c r="UE109" s="16">
        <f t="shared" si="42"/>
        <v>0</v>
      </c>
      <c r="VJ109" s="16">
        <f t="shared" si="43"/>
        <v>0</v>
      </c>
      <c r="WM109" s="16">
        <f t="shared" si="44"/>
        <v>0</v>
      </c>
      <c r="XH109" s="16">
        <f t="shared" si="45"/>
        <v>0</v>
      </c>
      <c r="YD109" s="16">
        <f t="shared" si="46"/>
        <v>0</v>
      </c>
      <c r="YX109" s="16">
        <f t="shared" si="47"/>
        <v>0</v>
      </c>
      <c r="ZR109" s="16">
        <f t="shared" si="48"/>
        <v>0</v>
      </c>
      <c r="ZX109" s="16">
        <f t="shared" si="49"/>
        <v>0</v>
      </c>
      <c r="AAT109" s="16">
        <f t="shared" si="50"/>
        <v>0</v>
      </c>
      <c r="ABQ109" s="16">
        <f t="shared" si="51"/>
        <v>0</v>
      </c>
      <c r="ABV109" s="16">
        <f t="shared" si="52"/>
        <v>0</v>
      </c>
      <c r="ACC109" s="16">
        <f t="shared" si="53"/>
        <v>0</v>
      </c>
      <c r="ACQ109" s="16">
        <f t="shared" si="54"/>
        <v>0</v>
      </c>
      <c r="ADA109" s="16">
        <f t="shared" si="55"/>
        <v>0</v>
      </c>
      <c r="ADM109" s="16">
        <f t="shared" si="56"/>
        <v>0</v>
      </c>
      <c r="AEI109" s="16">
        <f t="shared" si="57"/>
        <v>0</v>
      </c>
    </row>
    <row r="110" spans="1:815" x14ac:dyDescent="0.25">
      <c r="B110" s="2" t="s">
        <v>173</v>
      </c>
      <c r="C110" t="s">
        <v>174</v>
      </c>
      <c r="D110">
        <v>17</v>
      </c>
      <c r="E110" t="s">
        <v>14</v>
      </c>
      <c r="F110" t="s">
        <v>9</v>
      </c>
      <c r="G110" t="s">
        <v>9</v>
      </c>
      <c r="H110" t="s">
        <v>283</v>
      </c>
      <c r="I110" t="s">
        <v>243</v>
      </c>
      <c r="J110" t="s">
        <v>257</v>
      </c>
      <c r="K110" t="s">
        <v>1497</v>
      </c>
      <c r="L110" t="s">
        <v>310</v>
      </c>
      <c r="P110" s="11">
        <v>41017</v>
      </c>
      <c r="Q110" t="s">
        <v>1494</v>
      </c>
      <c r="R110" t="s">
        <v>1133</v>
      </c>
      <c r="S110" t="s">
        <v>1250</v>
      </c>
      <c r="T110" t="s">
        <v>1495</v>
      </c>
      <c r="U110" t="s">
        <v>1496</v>
      </c>
      <c r="V110" t="s">
        <v>1492</v>
      </c>
      <c r="W110" t="s">
        <v>1493</v>
      </c>
      <c r="Z110">
        <v>527</v>
      </c>
      <c r="AA110">
        <v>711</v>
      </c>
      <c r="AD110">
        <v>499</v>
      </c>
      <c r="BA110" s="16">
        <f t="shared" si="29"/>
        <v>3</v>
      </c>
      <c r="BB110">
        <v>85</v>
      </c>
      <c r="BC110">
        <v>30</v>
      </c>
      <c r="BD110">
        <v>29</v>
      </c>
      <c r="BE110">
        <v>37</v>
      </c>
      <c r="BF110">
        <v>49</v>
      </c>
      <c r="CB110" s="16">
        <f t="shared" si="30"/>
        <v>5</v>
      </c>
      <c r="CE110">
        <v>28</v>
      </c>
      <c r="CF110">
        <v>32</v>
      </c>
      <c r="CG110">
        <v>35</v>
      </c>
      <c r="DE110" s="16">
        <f t="shared" si="31"/>
        <v>3</v>
      </c>
      <c r="DS110" s="16">
        <f t="shared" si="32"/>
        <v>0</v>
      </c>
      <c r="EF110" s="16">
        <f t="shared" si="33"/>
        <v>0</v>
      </c>
      <c r="EG110">
        <v>2100</v>
      </c>
      <c r="EH110">
        <v>8000</v>
      </c>
      <c r="EI110">
        <v>8500</v>
      </c>
      <c r="EJ110">
        <v>7500</v>
      </c>
      <c r="EL110">
        <v>8000</v>
      </c>
      <c r="EN110">
        <v>4600</v>
      </c>
      <c r="ET110">
        <v>3400</v>
      </c>
      <c r="FI110" s="16">
        <f t="shared" si="34"/>
        <v>7</v>
      </c>
      <c r="FJ110">
        <v>1639</v>
      </c>
      <c r="FK110">
        <v>1054</v>
      </c>
      <c r="FN110">
        <v>879</v>
      </c>
      <c r="FO110">
        <v>658</v>
      </c>
      <c r="FQ110">
        <v>511</v>
      </c>
      <c r="FR110">
        <v>241</v>
      </c>
      <c r="FX110">
        <v>78</v>
      </c>
      <c r="HY110" s="16">
        <f t="shared" si="35"/>
        <v>7</v>
      </c>
      <c r="HZ110">
        <v>1835</v>
      </c>
      <c r="IC110">
        <v>1893</v>
      </c>
      <c r="IF110">
        <v>1571</v>
      </c>
      <c r="IG110">
        <v>1362</v>
      </c>
      <c r="IM110">
        <v>847</v>
      </c>
      <c r="KM110" s="16">
        <f t="shared" si="36"/>
        <v>5</v>
      </c>
      <c r="KN110">
        <v>50</v>
      </c>
      <c r="KO110">
        <v>46</v>
      </c>
      <c r="KP110">
        <v>44</v>
      </c>
      <c r="KQ110">
        <v>50</v>
      </c>
      <c r="KR110">
        <v>55</v>
      </c>
      <c r="KS110">
        <v>78</v>
      </c>
      <c r="KY110">
        <v>86</v>
      </c>
      <c r="MZ110" s="16">
        <f t="shared" si="37"/>
        <v>7</v>
      </c>
      <c r="NA110">
        <v>785</v>
      </c>
      <c r="NB110">
        <v>485</v>
      </c>
      <c r="ND110">
        <v>421</v>
      </c>
      <c r="NE110">
        <v>403</v>
      </c>
      <c r="NG110">
        <v>337</v>
      </c>
      <c r="NH110">
        <v>271</v>
      </c>
      <c r="NN110">
        <v>240</v>
      </c>
      <c r="OQ110" s="16">
        <f t="shared" si="38"/>
        <v>7</v>
      </c>
      <c r="OW110" s="33">
        <f t="shared" si="39"/>
        <v>0</v>
      </c>
      <c r="OX110" t="s">
        <v>1695</v>
      </c>
      <c r="OZ110">
        <v>17</v>
      </c>
      <c r="PA110" t="s">
        <v>1695</v>
      </c>
      <c r="PB110">
        <v>17</v>
      </c>
      <c r="PC110" t="s">
        <v>1828</v>
      </c>
      <c r="PD110">
        <v>17</v>
      </c>
      <c r="PF110" t="s">
        <v>1692</v>
      </c>
      <c r="PL110" t="s">
        <v>1696</v>
      </c>
      <c r="RD110" s="16">
        <f t="shared" si="40"/>
        <v>8</v>
      </c>
      <c r="RE110" t="s">
        <v>1996</v>
      </c>
      <c r="RF110" t="s">
        <v>1843</v>
      </c>
      <c r="RH110" t="s">
        <v>1997</v>
      </c>
      <c r="RI110" t="s">
        <v>1845</v>
      </c>
      <c r="RJ110" t="s">
        <v>936</v>
      </c>
      <c r="RK110" t="s">
        <v>937</v>
      </c>
      <c r="RL110" t="s">
        <v>938</v>
      </c>
      <c r="RU110" s="16">
        <f t="shared" si="41"/>
        <v>7</v>
      </c>
      <c r="RV110">
        <v>52</v>
      </c>
      <c r="RW110">
        <v>58</v>
      </c>
      <c r="RY110">
        <v>52</v>
      </c>
      <c r="SB110">
        <v>57</v>
      </c>
      <c r="SC110">
        <v>63</v>
      </c>
      <c r="UE110" s="16">
        <f t="shared" si="42"/>
        <v>5</v>
      </c>
      <c r="UF110">
        <v>5741</v>
      </c>
      <c r="UG110">
        <v>5153</v>
      </c>
      <c r="UH110">
        <v>4925</v>
      </c>
      <c r="UI110">
        <v>4682</v>
      </c>
      <c r="UK110">
        <v>4014</v>
      </c>
      <c r="UL110">
        <v>5770</v>
      </c>
      <c r="UP110">
        <v>8244</v>
      </c>
      <c r="VJ110" s="16">
        <f t="shared" si="43"/>
        <v>7</v>
      </c>
      <c r="VK110" t="s">
        <v>1869</v>
      </c>
      <c r="VL110" t="s">
        <v>1736</v>
      </c>
      <c r="VM110" t="s">
        <v>543</v>
      </c>
      <c r="VN110" t="s">
        <v>1729</v>
      </c>
      <c r="VP110" t="s">
        <v>1729</v>
      </c>
      <c r="VQ110" t="s">
        <v>543</v>
      </c>
      <c r="VW110" t="s">
        <v>543</v>
      </c>
      <c r="WM110" s="16">
        <f t="shared" si="44"/>
        <v>7</v>
      </c>
      <c r="WN110" t="s">
        <v>1889</v>
      </c>
      <c r="WO110" t="s">
        <v>1888</v>
      </c>
      <c r="WP110" t="s">
        <v>1892</v>
      </c>
      <c r="WQ110" t="s">
        <v>1891</v>
      </c>
      <c r="WR110" t="s">
        <v>939</v>
      </c>
      <c r="WS110" t="s">
        <v>940</v>
      </c>
      <c r="WX110" t="s">
        <v>643</v>
      </c>
      <c r="XH110" s="16">
        <f t="shared" si="45"/>
        <v>7</v>
      </c>
      <c r="YD110" s="16">
        <f t="shared" si="46"/>
        <v>0</v>
      </c>
      <c r="YX110" s="16">
        <f t="shared" si="47"/>
        <v>0</v>
      </c>
      <c r="YY110">
        <v>12</v>
      </c>
      <c r="ZA110">
        <v>12</v>
      </c>
      <c r="ZR110" s="16">
        <f t="shared" si="48"/>
        <v>2</v>
      </c>
      <c r="ZX110" s="16">
        <f t="shared" si="49"/>
        <v>0</v>
      </c>
      <c r="ZY110">
        <v>0.51</v>
      </c>
      <c r="ZZ110">
        <v>0.38</v>
      </c>
      <c r="AAA110">
        <v>0.26600000000000001</v>
      </c>
      <c r="AAC110">
        <v>0.26600000000000001</v>
      </c>
      <c r="AAD110">
        <v>0.28999999999999998</v>
      </c>
      <c r="AAJ110">
        <v>0.28999999999999998</v>
      </c>
      <c r="AAT110" s="16">
        <f t="shared" si="50"/>
        <v>6</v>
      </c>
      <c r="AAU110" t="s">
        <v>941</v>
      </c>
      <c r="AAW110">
        <v>134</v>
      </c>
      <c r="AAX110">
        <v>178</v>
      </c>
      <c r="AAZ110">
        <v>188</v>
      </c>
      <c r="ABB110">
        <v>216</v>
      </c>
      <c r="ABE110">
        <v>217</v>
      </c>
      <c r="ABQ110" s="16">
        <f t="shared" si="51"/>
        <v>1</v>
      </c>
      <c r="ABV110" s="16">
        <f t="shared" si="52"/>
        <v>0</v>
      </c>
      <c r="ABW110" t="s">
        <v>942</v>
      </c>
      <c r="ACC110" s="16">
        <f t="shared" si="53"/>
        <v>1</v>
      </c>
      <c r="ACH110">
        <v>37.799999999999997</v>
      </c>
      <c r="ACI110" t="s">
        <v>1941</v>
      </c>
      <c r="ACJ110" t="s">
        <v>944</v>
      </c>
      <c r="ACK110" t="s">
        <v>945</v>
      </c>
      <c r="ACL110" t="s">
        <v>946</v>
      </c>
      <c r="ACQ110" s="16">
        <f t="shared" si="54"/>
        <v>5</v>
      </c>
      <c r="ADA110" s="16">
        <f t="shared" si="55"/>
        <v>0</v>
      </c>
      <c r="ADM110" s="16">
        <f t="shared" si="56"/>
        <v>0</v>
      </c>
      <c r="AEI110" s="16">
        <f t="shared" si="57"/>
        <v>0</v>
      </c>
    </row>
    <row r="111" spans="1:815" x14ac:dyDescent="0.25">
      <c r="B111" s="2" t="s">
        <v>175</v>
      </c>
      <c r="C111" t="s">
        <v>180</v>
      </c>
      <c r="D111">
        <v>50</v>
      </c>
      <c r="E111" t="s">
        <v>14</v>
      </c>
      <c r="F111" t="s">
        <v>9</v>
      </c>
      <c r="G111" t="s">
        <v>9</v>
      </c>
      <c r="H111" t="s">
        <v>284</v>
      </c>
      <c r="I111" t="s">
        <v>243</v>
      </c>
      <c r="J111" t="s">
        <v>257</v>
      </c>
      <c r="L111" t="s">
        <v>1502</v>
      </c>
      <c r="P111" s="11"/>
      <c r="Q111" s="11"/>
      <c r="R111" t="s">
        <v>1299</v>
      </c>
      <c r="S111" t="s">
        <v>1498</v>
      </c>
      <c r="T111" t="s">
        <v>1501</v>
      </c>
      <c r="U111" t="s">
        <v>1500</v>
      </c>
      <c r="W111" t="s">
        <v>1499</v>
      </c>
      <c r="BA111" s="16">
        <f t="shared" si="29"/>
        <v>0</v>
      </c>
      <c r="CB111" s="16">
        <f t="shared" si="30"/>
        <v>0</v>
      </c>
      <c r="DE111" s="16">
        <f t="shared" si="31"/>
        <v>0</v>
      </c>
      <c r="DS111" s="16">
        <f t="shared" si="32"/>
        <v>0</v>
      </c>
      <c r="EF111" s="16">
        <f t="shared" si="33"/>
        <v>0</v>
      </c>
      <c r="FI111" s="16">
        <f t="shared" si="34"/>
        <v>0</v>
      </c>
      <c r="FJ111">
        <v>6</v>
      </c>
      <c r="HI111">
        <v>12</v>
      </c>
      <c r="HJ111">
        <v>150</v>
      </c>
      <c r="HK111">
        <v>57</v>
      </c>
      <c r="HL111">
        <v>42</v>
      </c>
      <c r="HM111">
        <v>97</v>
      </c>
      <c r="HN111">
        <v>90</v>
      </c>
      <c r="HO111">
        <v>15</v>
      </c>
      <c r="HP111">
        <v>12</v>
      </c>
      <c r="HQ111">
        <v>18</v>
      </c>
      <c r="HR111">
        <v>8</v>
      </c>
      <c r="HY111" s="16">
        <f t="shared" si="35"/>
        <v>11</v>
      </c>
      <c r="HZ111">
        <v>4</v>
      </c>
      <c r="JW111">
        <v>9</v>
      </c>
      <c r="JX111">
        <v>276</v>
      </c>
      <c r="JY111">
        <v>124</v>
      </c>
      <c r="JZ111">
        <v>102</v>
      </c>
      <c r="KA111">
        <v>184</v>
      </c>
      <c r="KB111">
        <v>94</v>
      </c>
      <c r="KC111">
        <v>30</v>
      </c>
      <c r="KD111">
        <v>20</v>
      </c>
      <c r="KE111">
        <v>41</v>
      </c>
      <c r="KF111">
        <v>11</v>
      </c>
      <c r="KM111" s="16">
        <f t="shared" si="36"/>
        <v>11</v>
      </c>
      <c r="KN111">
        <v>14</v>
      </c>
      <c r="MI111">
        <v>12</v>
      </c>
      <c r="MJ111">
        <v>366</v>
      </c>
      <c r="MK111">
        <v>143</v>
      </c>
      <c r="ML111">
        <v>158</v>
      </c>
      <c r="MM111">
        <v>403</v>
      </c>
      <c r="MN111">
        <v>326</v>
      </c>
      <c r="MO111">
        <v>236</v>
      </c>
      <c r="MP111">
        <v>182</v>
      </c>
      <c r="MQ111">
        <v>172</v>
      </c>
      <c r="MR111">
        <v>129</v>
      </c>
      <c r="MZ111" s="16">
        <f t="shared" si="37"/>
        <v>11</v>
      </c>
      <c r="OQ111" s="16">
        <f t="shared" si="38"/>
        <v>0</v>
      </c>
      <c r="OW111" s="33">
        <f t="shared" si="39"/>
        <v>0</v>
      </c>
      <c r="OX111" t="s">
        <v>1696</v>
      </c>
      <c r="QP111" t="s">
        <v>378</v>
      </c>
      <c r="QQ111" t="s">
        <v>1701</v>
      </c>
      <c r="QR111" t="s">
        <v>1702</v>
      </c>
      <c r="QS111">
        <v>255</v>
      </c>
      <c r="QT111" t="s">
        <v>1703</v>
      </c>
      <c r="QU111" t="s">
        <v>1704</v>
      </c>
      <c r="QV111" t="s">
        <v>1705</v>
      </c>
      <c r="QW111" t="s">
        <v>1696</v>
      </c>
      <c r="QX111" t="s">
        <v>1695</v>
      </c>
      <c r="QY111">
        <v>1</v>
      </c>
      <c r="RD111" s="16">
        <f t="shared" si="40"/>
        <v>11</v>
      </c>
      <c r="RO111">
        <v>65</v>
      </c>
      <c r="RP111" t="s">
        <v>992</v>
      </c>
      <c r="RQ111" t="s">
        <v>993</v>
      </c>
      <c r="RR111" t="s">
        <v>994</v>
      </c>
      <c r="RS111">
        <v>7</v>
      </c>
      <c r="RU111" s="16">
        <f t="shared" si="41"/>
        <v>5</v>
      </c>
      <c r="TP111">
        <v>750</v>
      </c>
      <c r="TQ111">
        <v>645</v>
      </c>
      <c r="TR111">
        <v>728</v>
      </c>
      <c r="TS111">
        <v>1227</v>
      </c>
      <c r="TT111">
        <v>793</v>
      </c>
      <c r="TU111">
        <v>371</v>
      </c>
      <c r="TV111">
        <v>212</v>
      </c>
      <c r="TW111">
        <v>257</v>
      </c>
      <c r="TX111">
        <v>190</v>
      </c>
      <c r="UE111" s="16">
        <f t="shared" si="42"/>
        <v>9</v>
      </c>
      <c r="VD111">
        <v>2346</v>
      </c>
      <c r="VE111">
        <v>5884</v>
      </c>
      <c r="VF111">
        <v>6400</v>
      </c>
      <c r="VG111">
        <v>6918</v>
      </c>
      <c r="VH111">
        <v>6963</v>
      </c>
      <c r="VI111">
        <v>6572</v>
      </c>
      <c r="VJ111" s="16">
        <f t="shared" si="43"/>
        <v>6</v>
      </c>
      <c r="WM111" s="16">
        <f t="shared" si="44"/>
        <v>0</v>
      </c>
      <c r="XH111" s="16">
        <f t="shared" si="45"/>
        <v>0</v>
      </c>
      <c r="YD111" s="16">
        <f t="shared" si="46"/>
        <v>0</v>
      </c>
      <c r="YX111" s="16">
        <f t="shared" si="47"/>
        <v>0</v>
      </c>
      <c r="ZR111" s="16">
        <f t="shared" si="48"/>
        <v>0</v>
      </c>
      <c r="ZX111" s="16">
        <f t="shared" si="49"/>
        <v>0</v>
      </c>
      <c r="AAT111" s="16">
        <f t="shared" si="50"/>
        <v>0</v>
      </c>
      <c r="ABQ111" s="16">
        <f t="shared" si="51"/>
        <v>0</v>
      </c>
      <c r="ABV111" s="16">
        <f t="shared" si="52"/>
        <v>0</v>
      </c>
      <c r="ACC111" s="16">
        <f t="shared" si="53"/>
        <v>0</v>
      </c>
      <c r="ACQ111" s="16">
        <f t="shared" si="54"/>
        <v>0</v>
      </c>
      <c r="ADA111" s="16">
        <f t="shared" si="55"/>
        <v>0</v>
      </c>
      <c r="ADB111">
        <v>242</v>
      </c>
      <c r="ADH111">
        <v>209</v>
      </c>
      <c r="ADI111">
        <v>282</v>
      </c>
      <c r="ADJ111">
        <v>279</v>
      </c>
      <c r="ADK111">
        <v>274</v>
      </c>
      <c r="ADL111">
        <v>243</v>
      </c>
      <c r="ADM111" s="16">
        <f t="shared" si="56"/>
        <v>6</v>
      </c>
      <c r="ADN111">
        <v>182</v>
      </c>
      <c r="AED111">
        <v>179</v>
      </c>
      <c r="AEE111">
        <v>162</v>
      </c>
      <c r="AEF111">
        <v>173</v>
      </c>
      <c r="AEG111">
        <v>204</v>
      </c>
      <c r="AEH111">
        <v>140</v>
      </c>
      <c r="AEI111" s="16">
        <f t="shared" si="57"/>
        <v>6</v>
      </c>
    </row>
    <row r="112" spans="1:815" x14ac:dyDescent="0.25">
      <c r="B112" s="4" t="s">
        <v>176</v>
      </c>
      <c r="D112">
        <v>15</v>
      </c>
      <c r="E112" t="s">
        <v>8</v>
      </c>
      <c r="F112" t="s">
        <v>15</v>
      </c>
      <c r="G112" t="s">
        <v>9</v>
      </c>
      <c r="I112" t="s">
        <v>257</v>
      </c>
      <c r="J112" t="s">
        <v>257</v>
      </c>
      <c r="R112" t="s">
        <v>1133</v>
      </c>
      <c r="S112" t="s">
        <v>1503</v>
      </c>
      <c r="BA112" s="16">
        <f t="shared" si="29"/>
        <v>0</v>
      </c>
      <c r="CB112" s="16">
        <f t="shared" si="30"/>
        <v>0</v>
      </c>
      <c r="DE112" s="16">
        <f t="shared" si="31"/>
        <v>0</v>
      </c>
      <c r="DS112" s="16">
        <f t="shared" si="32"/>
        <v>0</v>
      </c>
      <c r="EF112" s="16">
        <f t="shared" si="33"/>
        <v>0</v>
      </c>
      <c r="FI112" s="16">
        <f t="shared" si="34"/>
        <v>0</v>
      </c>
      <c r="FJ112">
        <v>58</v>
      </c>
      <c r="HY112" s="16">
        <f t="shared" si="35"/>
        <v>1</v>
      </c>
      <c r="HZ112">
        <v>47</v>
      </c>
      <c r="KM112" s="16">
        <f t="shared" si="36"/>
        <v>1</v>
      </c>
      <c r="MZ112" s="16">
        <f t="shared" si="37"/>
        <v>0</v>
      </c>
      <c r="OQ112" s="16">
        <f t="shared" si="38"/>
        <v>0</v>
      </c>
      <c r="OW112" s="33">
        <f t="shared" si="39"/>
        <v>0</v>
      </c>
      <c r="RD112" s="16">
        <f t="shared" si="40"/>
        <v>0</v>
      </c>
      <c r="RU112" s="16">
        <f t="shared" si="41"/>
        <v>0</v>
      </c>
      <c r="UE112" s="16">
        <f t="shared" si="42"/>
        <v>0</v>
      </c>
      <c r="VJ112" s="16">
        <f t="shared" si="43"/>
        <v>0</v>
      </c>
      <c r="WM112" s="16">
        <f t="shared" si="44"/>
        <v>0</v>
      </c>
      <c r="XH112" s="16">
        <f t="shared" si="45"/>
        <v>0</v>
      </c>
      <c r="YD112" s="16">
        <f t="shared" si="46"/>
        <v>0</v>
      </c>
      <c r="YX112" s="16">
        <f t="shared" si="47"/>
        <v>0</v>
      </c>
      <c r="ZR112" s="16">
        <f t="shared" si="48"/>
        <v>0</v>
      </c>
      <c r="ZX112" s="16">
        <f t="shared" si="49"/>
        <v>0</v>
      </c>
      <c r="AAT112" s="16">
        <f t="shared" si="50"/>
        <v>0</v>
      </c>
      <c r="ABQ112" s="16">
        <f t="shared" si="51"/>
        <v>0</v>
      </c>
      <c r="ABV112" s="16">
        <f t="shared" si="52"/>
        <v>0</v>
      </c>
      <c r="ACC112" s="16">
        <f t="shared" si="53"/>
        <v>0</v>
      </c>
      <c r="ACQ112" s="16">
        <f t="shared" si="54"/>
        <v>0</v>
      </c>
      <c r="ADA112" s="16">
        <f t="shared" si="55"/>
        <v>0</v>
      </c>
      <c r="ADM112" s="16">
        <f t="shared" si="56"/>
        <v>0</v>
      </c>
      <c r="AEI112" s="16">
        <f t="shared" si="57"/>
        <v>0</v>
      </c>
    </row>
    <row r="113" spans="2:815" x14ac:dyDescent="0.25">
      <c r="B113" s="4" t="s">
        <v>177</v>
      </c>
      <c r="C113" t="s">
        <v>181</v>
      </c>
      <c r="D113">
        <v>38</v>
      </c>
      <c r="E113" t="s">
        <v>14</v>
      </c>
      <c r="F113" t="s">
        <v>9</v>
      </c>
      <c r="G113" t="s">
        <v>15</v>
      </c>
      <c r="H113" t="s">
        <v>255</v>
      </c>
      <c r="I113" t="s">
        <v>243</v>
      </c>
      <c r="J113" t="s">
        <v>243</v>
      </c>
      <c r="K113" t="s">
        <v>1505</v>
      </c>
      <c r="L113" t="s">
        <v>1507</v>
      </c>
      <c r="P113" s="11">
        <v>34510</v>
      </c>
      <c r="Q113" s="11">
        <v>34510</v>
      </c>
      <c r="R113" t="s">
        <v>1133</v>
      </c>
      <c r="S113" t="s">
        <v>1305</v>
      </c>
      <c r="U113" t="s">
        <v>1508</v>
      </c>
      <c r="V113" t="s">
        <v>1506</v>
      </c>
      <c r="W113" t="s">
        <v>1504</v>
      </c>
      <c r="BA113" s="16">
        <f t="shared" si="29"/>
        <v>0</v>
      </c>
      <c r="BB113">
        <v>25</v>
      </c>
      <c r="CB113" s="16">
        <f t="shared" si="30"/>
        <v>1</v>
      </c>
      <c r="DE113" s="16">
        <f t="shared" si="31"/>
        <v>0</v>
      </c>
      <c r="DS113" s="16">
        <f t="shared" si="32"/>
        <v>0</v>
      </c>
      <c r="EF113" s="16">
        <f t="shared" si="33"/>
        <v>0</v>
      </c>
      <c r="EG113">
        <v>6800</v>
      </c>
      <c r="FI113" s="16">
        <f t="shared" si="34"/>
        <v>1</v>
      </c>
      <c r="HY113" s="16">
        <f t="shared" si="35"/>
        <v>0</v>
      </c>
      <c r="KM113" s="16">
        <f t="shared" si="36"/>
        <v>0</v>
      </c>
      <c r="MZ113" s="16">
        <f t="shared" si="37"/>
        <v>0</v>
      </c>
      <c r="OQ113" s="16">
        <f t="shared" si="38"/>
        <v>0</v>
      </c>
      <c r="OW113" s="33">
        <f t="shared" si="39"/>
        <v>0</v>
      </c>
      <c r="RD113" s="16">
        <f t="shared" si="40"/>
        <v>0</v>
      </c>
      <c r="RU113" s="16">
        <f t="shared" si="41"/>
        <v>0</v>
      </c>
      <c r="UE113" s="16">
        <f t="shared" si="42"/>
        <v>0</v>
      </c>
      <c r="VJ113" s="16">
        <f t="shared" si="43"/>
        <v>0</v>
      </c>
      <c r="VK113" t="s">
        <v>551</v>
      </c>
      <c r="WM113" s="16">
        <f t="shared" si="44"/>
        <v>1</v>
      </c>
      <c r="XH113" s="16">
        <f t="shared" si="45"/>
        <v>0</v>
      </c>
      <c r="YD113" s="16">
        <f t="shared" si="46"/>
        <v>0</v>
      </c>
      <c r="YX113" s="16">
        <f t="shared" si="47"/>
        <v>0</v>
      </c>
      <c r="ZR113" s="16">
        <f t="shared" si="48"/>
        <v>0</v>
      </c>
      <c r="ZX113" s="16">
        <f t="shared" si="49"/>
        <v>0</v>
      </c>
      <c r="AAT113" s="16">
        <f t="shared" si="50"/>
        <v>0</v>
      </c>
      <c r="ABQ113" s="16">
        <f t="shared" si="51"/>
        <v>0</v>
      </c>
      <c r="ABV113" s="16">
        <f t="shared" si="52"/>
        <v>0</v>
      </c>
      <c r="ACC113" s="16">
        <f t="shared" si="53"/>
        <v>0</v>
      </c>
      <c r="ACQ113" s="16">
        <f t="shared" si="54"/>
        <v>0</v>
      </c>
      <c r="ADA113" s="16">
        <f t="shared" si="55"/>
        <v>0</v>
      </c>
      <c r="ADM113" s="16">
        <f t="shared" si="56"/>
        <v>0</v>
      </c>
      <c r="AEI113" s="16">
        <f t="shared" si="57"/>
        <v>0</v>
      </c>
    </row>
    <row r="114" spans="2:815" x14ac:dyDescent="0.25">
      <c r="B114" s="2" t="s">
        <v>178</v>
      </c>
      <c r="D114">
        <v>4</v>
      </c>
      <c r="E114" t="s">
        <v>14</v>
      </c>
      <c r="F114" t="s">
        <v>15</v>
      </c>
      <c r="G114" t="s">
        <v>15</v>
      </c>
      <c r="H114" t="s">
        <v>285</v>
      </c>
      <c r="I114" t="s">
        <v>243</v>
      </c>
      <c r="J114" t="s">
        <v>257</v>
      </c>
      <c r="K114" t="s">
        <v>1514</v>
      </c>
      <c r="L114" t="s">
        <v>1509</v>
      </c>
      <c r="M114">
        <v>15.5</v>
      </c>
      <c r="N114">
        <v>107</v>
      </c>
      <c r="P114" t="s">
        <v>1511</v>
      </c>
      <c r="Q114" s="13">
        <v>42239</v>
      </c>
      <c r="R114" t="s">
        <v>1218</v>
      </c>
      <c r="S114" t="s">
        <v>1418</v>
      </c>
      <c r="T114" t="s">
        <v>1512</v>
      </c>
      <c r="U114" t="s">
        <v>1513</v>
      </c>
      <c r="W114" t="s">
        <v>1510</v>
      </c>
      <c r="BA114" s="16">
        <f t="shared" si="29"/>
        <v>0</v>
      </c>
      <c r="CB114" s="16">
        <f t="shared" si="30"/>
        <v>0</v>
      </c>
      <c r="DE114" s="16">
        <f t="shared" si="31"/>
        <v>0</v>
      </c>
      <c r="DS114" s="16">
        <f t="shared" si="32"/>
        <v>0</v>
      </c>
      <c r="EF114" s="16">
        <f t="shared" si="33"/>
        <v>0</v>
      </c>
      <c r="FI114" s="16">
        <f t="shared" si="34"/>
        <v>0</v>
      </c>
      <c r="HY114" s="16">
        <f t="shared" si="35"/>
        <v>0</v>
      </c>
      <c r="KM114" s="16">
        <f t="shared" si="36"/>
        <v>0</v>
      </c>
      <c r="MZ114" s="16">
        <f t="shared" si="37"/>
        <v>0</v>
      </c>
      <c r="OQ114" s="16">
        <f t="shared" si="38"/>
        <v>0</v>
      </c>
      <c r="OW114" s="33">
        <f t="shared" si="39"/>
        <v>0</v>
      </c>
      <c r="RD114" s="16">
        <f t="shared" si="40"/>
        <v>0</v>
      </c>
      <c r="RU114" s="16">
        <f t="shared" si="41"/>
        <v>0</v>
      </c>
      <c r="UE114" s="16">
        <f t="shared" si="42"/>
        <v>0</v>
      </c>
      <c r="VJ114" s="16">
        <f t="shared" si="43"/>
        <v>0</v>
      </c>
      <c r="WM114" s="16">
        <f t="shared" si="44"/>
        <v>0</v>
      </c>
      <c r="XH114" s="16">
        <f t="shared" si="45"/>
        <v>0</v>
      </c>
      <c r="YD114" s="16">
        <f t="shared" si="46"/>
        <v>0</v>
      </c>
      <c r="YX114" s="16">
        <f t="shared" si="47"/>
        <v>0</v>
      </c>
      <c r="ZR114" s="16">
        <f t="shared" si="48"/>
        <v>0</v>
      </c>
      <c r="ZX114" s="16">
        <f t="shared" si="49"/>
        <v>0</v>
      </c>
      <c r="AAT114" s="16">
        <f t="shared" si="50"/>
        <v>0</v>
      </c>
      <c r="ABQ114" s="16">
        <f t="shared" si="51"/>
        <v>0</v>
      </c>
      <c r="ABV114" s="16">
        <f t="shared" si="52"/>
        <v>0</v>
      </c>
      <c r="ACC114" s="16">
        <f t="shared" si="53"/>
        <v>0</v>
      </c>
      <c r="ACQ114" s="16">
        <f t="shared" si="54"/>
        <v>0</v>
      </c>
      <c r="ADA114" s="16">
        <f t="shared" si="55"/>
        <v>0</v>
      </c>
      <c r="ADM114" s="16">
        <f t="shared" si="56"/>
        <v>0</v>
      </c>
      <c r="AEI114" s="16">
        <f t="shared" si="57"/>
        <v>0</v>
      </c>
    </row>
    <row r="115" spans="2:815" x14ac:dyDescent="0.25">
      <c r="B115" s="2" t="s">
        <v>179</v>
      </c>
      <c r="C115" t="s">
        <v>51</v>
      </c>
      <c r="D115">
        <v>4</v>
      </c>
      <c r="E115" t="s">
        <v>8</v>
      </c>
      <c r="F115" t="s">
        <v>9</v>
      </c>
      <c r="G115" t="s">
        <v>15</v>
      </c>
      <c r="H115" t="s">
        <v>286</v>
      </c>
      <c r="I115" t="s">
        <v>243</v>
      </c>
      <c r="J115" t="s">
        <v>243</v>
      </c>
      <c r="L115" t="s">
        <v>1518</v>
      </c>
      <c r="N115">
        <v>100</v>
      </c>
      <c r="P115" s="11">
        <v>34767</v>
      </c>
      <c r="Q115" s="11">
        <v>34768</v>
      </c>
      <c r="R115" t="s">
        <v>1171</v>
      </c>
      <c r="S115" t="s">
        <v>1517</v>
      </c>
      <c r="T115" t="s">
        <v>1515</v>
      </c>
      <c r="W115" t="s">
        <v>1516</v>
      </c>
      <c r="BA115" s="16">
        <f t="shared" si="29"/>
        <v>0</v>
      </c>
      <c r="CB115" s="16">
        <f t="shared" si="30"/>
        <v>0</v>
      </c>
      <c r="DE115" s="16">
        <f t="shared" si="31"/>
        <v>0</v>
      </c>
      <c r="DS115" s="16">
        <f t="shared" si="32"/>
        <v>0</v>
      </c>
      <c r="EF115" s="16">
        <f t="shared" si="33"/>
        <v>0</v>
      </c>
      <c r="FI115" s="16">
        <f t="shared" si="34"/>
        <v>0</v>
      </c>
      <c r="HY115" s="16">
        <f t="shared" si="35"/>
        <v>0</v>
      </c>
      <c r="KM115" s="16">
        <f t="shared" si="36"/>
        <v>0</v>
      </c>
      <c r="MZ115" s="16">
        <f t="shared" si="37"/>
        <v>0</v>
      </c>
      <c r="OQ115" s="16">
        <f t="shared" si="38"/>
        <v>0</v>
      </c>
      <c r="OW115" s="33">
        <f t="shared" si="39"/>
        <v>0</v>
      </c>
      <c r="RD115" s="16">
        <f t="shared" si="40"/>
        <v>0</v>
      </c>
      <c r="RU115" s="16">
        <f t="shared" si="41"/>
        <v>0</v>
      </c>
      <c r="UE115" s="16">
        <f t="shared" si="42"/>
        <v>0</v>
      </c>
      <c r="VJ115" s="16">
        <f t="shared" si="43"/>
        <v>0</v>
      </c>
      <c r="WM115" s="16">
        <f t="shared" si="44"/>
        <v>0</v>
      </c>
      <c r="XH115" s="16">
        <f t="shared" si="45"/>
        <v>0</v>
      </c>
      <c r="YD115" s="16">
        <f t="shared" si="46"/>
        <v>0</v>
      </c>
      <c r="YX115" s="16">
        <f t="shared" si="47"/>
        <v>0</v>
      </c>
      <c r="ZR115" s="16">
        <f t="shared" si="48"/>
        <v>0</v>
      </c>
      <c r="ZX115" s="16">
        <f t="shared" si="49"/>
        <v>0</v>
      </c>
      <c r="AAT115" s="16">
        <f t="shared" si="50"/>
        <v>0</v>
      </c>
      <c r="ABQ115" s="16">
        <f t="shared" si="51"/>
        <v>0</v>
      </c>
      <c r="ABV115" s="16">
        <f t="shared" si="52"/>
        <v>0</v>
      </c>
      <c r="ACC115" s="16">
        <f t="shared" si="53"/>
        <v>0</v>
      </c>
      <c r="ACQ115" s="16">
        <f t="shared" si="54"/>
        <v>0</v>
      </c>
      <c r="ADA115" s="16">
        <f t="shared" si="55"/>
        <v>0</v>
      </c>
      <c r="ADM115" s="16">
        <f t="shared" si="56"/>
        <v>0</v>
      </c>
      <c r="AEI115" s="16">
        <f t="shared" si="57"/>
        <v>0</v>
      </c>
    </row>
    <row r="116" spans="2:815" x14ac:dyDescent="0.25">
      <c r="B116" s="4" t="s">
        <v>182</v>
      </c>
      <c r="D116">
        <v>17</v>
      </c>
      <c r="E116" t="s">
        <v>14</v>
      </c>
      <c r="F116" t="s">
        <v>9</v>
      </c>
      <c r="G116" t="s">
        <v>15</v>
      </c>
      <c r="I116" t="s">
        <v>257</v>
      </c>
      <c r="J116" t="s">
        <v>257</v>
      </c>
      <c r="K116" t="s">
        <v>1521</v>
      </c>
      <c r="L116" t="s">
        <v>1519</v>
      </c>
      <c r="M116">
        <v>65</v>
      </c>
      <c r="N116">
        <v>172</v>
      </c>
      <c r="P116" s="11">
        <v>34917</v>
      </c>
      <c r="Q116" s="11">
        <v>34917</v>
      </c>
      <c r="R116" t="s">
        <v>1133</v>
      </c>
      <c r="S116" t="s">
        <v>1520</v>
      </c>
      <c r="BA116" s="16">
        <f t="shared" si="29"/>
        <v>0</v>
      </c>
      <c r="CB116" s="16">
        <f t="shared" si="30"/>
        <v>0</v>
      </c>
      <c r="DE116" s="16">
        <f t="shared" si="31"/>
        <v>0</v>
      </c>
      <c r="DS116" s="16">
        <f t="shared" si="32"/>
        <v>0</v>
      </c>
      <c r="EF116" s="16">
        <f t="shared" si="33"/>
        <v>0</v>
      </c>
      <c r="FI116" s="16">
        <f t="shared" si="34"/>
        <v>0</v>
      </c>
      <c r="HY116" s="16">
        <f t="shared" si="35"/>
        <v>0</v>
      </c>
      <c r="KM116" s="16">
        <f t="shared" si="36"/>
        <v>0</v>
      </c>
      <c r="MZ116" s="16">
        <f t="shared" si="37"/>
        <v>0</v>
      </c>
      <c r="OQ116" s="16">
        <f t="shared" si="38"/>
        <v>0</v>
      </c>
      <c r="OW116" s="33">
        <f t="shared" si="39"/>
        <v>0</v>
      </c>
      <c r="RD116" s="16">
        <f t="shared" si="40"/>
        <v>0</v>
      </c>
      <c r="RU116" s="16">
        <f t="shared" si="41"/>
        <v>0</v>
      </c>
      <c r="UE116" s="16">
        <f t="shared" si="42"/>
        <v>0</v>
      </c>
      <c r="VJ116" s="16">
        <f t="shared" si="43"/>
        <v>0</v>
      </c>
      <c r="WM116" s="16">
        <f t="shared" si="44"/>
        <v>0</v>
      </c>
      <c r="XH116" s="16">
        <f t="shared" si="45"/>
        <v>0</v>
      </c>
      <c r="YD116" s="16">
        <f t="shared" si="46"/>
        <v>0</v>
      </c>
      <c r="YX116" s="16">
        <f t="shared" si="47"/>
        <v>0</v>
      </c>
      <c r="ZR116" s="16">
        <f t="shared" si="48"/>
        <v>0</v>
      </c>
      <c r="ZX116" s="16">
        <f t="shared" si="49"/>
        <v>0</v>
      </c>
      <c r="AAT116" s="16">
        <f t="shared" si="50"/>
        <v>0</v>
      </c>
      <c r="ABQ116" s="16">
        <f t="shared" si="51"/>
        <v>0</v>
      </c>
      <c r="ABV116" s="16">
        <f t="shared" si="52"/>
        <v>0</v>
      </c>
      <c r="ACC116" s="16">
        <f t="shared" si="53"/>
        <v>0</v>
      </c>
      <c r="ACQ116" s="16">
        <f t="shared" si="54"/>
        <v>0</v>
      </c>
      <c r="ADA116" s="16">
        <f t="shared" si="55"/>
        <v>0</v>
      </c>
      <c r="ADM116" s="16">
        <f t="shared" si="56"/>
        <v>0</v>
      </c>
      <c r="AEI116" s="16">
        <f t="shared" si="57"/>
        <v>0</v>
      </c>
    </row>
    <row r="117" spans="2:815" x14ac:dyDescent="0.25">
      <c r="B117" s="3" t="s">
        <v>183</v>
      </c>
      <c r="C117" t="s">
        <v>184</v>
      </c>
      <c r="D117">
        <v>22</v>
      </c>
      <c r="E117" t="s">
        <v>8</v>
      </c>
      <c r="F117" t="s">
        <v>9</v>
      </c>
      <c r="G117" t="s">
        <v>9</v>
      </c>
      <c r="I117" t="s">
        <v>243</v>
      </c>
      <c r="J117" t="s">
        <v>257</v>
      </c>
      <c r="K117" t="s">
        <v>256</v>
      </c>
      <c r="L117" t="s">
        <v>311</v>
      </c>
      <c r="Q117" s="11">
        <v>34983</v>
      </c>
      <c r="T117" t="s">
        <v>1523</v>
      </c>
      <c r="V117" t="s">
        <v>1522</v>
      </c>
      <c r="W117" t="s">
        <v>1524</v>
      </c>
      <c r="BA117" s="16">
        <f t="shared" si="29"/>
        <v>0</v>
      </c>
      <c r="CB117" s="16">
        <f t="shared" si="30"/>
        <v>0</v>
      </c>
      <c r="DE117" s="16">
        <f t="shared" si="31"/>
        <v>0</v>
      </c>
      <c r="DS117" s="16">
        <f t="shared" si="32"/>
        <v>0</v>
      </c>
      <c r="EF117" s="16">
        <f t="shared" si="33"/>
        <v>0</v>
      </c>
      <c r="FI117" s="16">
        <f t="shared" si="34"/>
        <v>0</v>
      </c>
      <c r="FJ117">
        <v>26</v>
      </c>
      <c r="FN117">
        <v>310</v>
      </c>
      <c r="FO117">
        <v>420</v>
      </c>
      <c r="FQ117">
        <v>140</v>
      </c>
      <c r="FR117">
        <v>28</v>
      </c>
      <c r="HY117" s="16">
        <f t="shared" si="35"/>
        <v>5</v>
      </c>
      <c r="HZ117">
        <v>55</v>
      </c>
      <c r="IC117">
        <v>287</v>
      </c>
      <c r="ID117">
        <v>479</v>
      </c>
      <c r="IF117">
        <v>340</v>
      </c>
      <c r="IG117">
        <v>150</v>
      </c>
      <c r="KM117" s="16">
        <f t="shared" si="36"/>
        <v>5</v>
      </c>
      <c r="KP117">
        <v>111</v>
      </c>
      <c r="KS117">
        <v>55</v>
      </c>
      <c r="MZ117" s="16">
        <f t="shared" si="37"/>
        <v>2</v>
      </c>
      <c r="ND117">
        <v>805</v>
      </c>
      <c r="NG117">
        <v>1273</v>
      </c>
      <c r="NH117">
        <v>340</v>
      </c>
      <c r="OQ117" s="16">
        <f t="shared" si="38"/>
        <v>3</v>
      </c>
      <c r="OW117" s="33">
        <f t="shared" si="39"/>
        <v>0</v>
      </c>
      <c r="PA117" t="s">
        <v>607</v>
      </c>
      <c r="PD117" t="s">
        <v>933</v>
      </c>
      <c r="PF117" t="s">
        <v>607</v>
      </c>
      <c r="PO117" t="s">
        <v>636</v>
      </c>
      <c r="RD117" s="16">
        <f t="shared" si="40"/>
        <v>4</v>
      </c>
      <c r="RU117" s="16">
        <f t="shared" si="41"/>
        <v>0</v>
      </c>
      <c r="RY117">
        <v>160</v>
      </c>
      <c r="SB117">
        <v>200</v>
      </c>
      <c r="SC117">
        <v>155</v>
      </c>
      <c r="UE117" s="16">
        <f t="shared" si="42"/>
        <v>3</v>
      </c>
      <c r="US117" t="s">
        <v>1021</v>
      </c>
      <c r="VJ117" s="16">
        <f t="shared" si="43"/>
        <v>1</v>
      </c>
      <c r="WM117" s="16">
        <f t="shared" si="44"/>
        <v>0</v>
      </c>
      <c r="XH117" s="16">
        <f t="shared" si="45"/>
        <v>0</v>
      </c>
      <c r="YD117" s="16">
        <f t="shared" si="46"/>
        <v>0</v>
      </c>
      <c r="YX117" s="16">
        <f t="shared" si="47"/>
        <v>0</v>
      </c>
      <c r="ZR117" s="16">
        <f t="shared" si="48"/>
        <v>0</v>
      </c>
      <c r="ZX117" s="16">
        <f t="shared" si="49"/>
        <v>0</v>
      </c>
      <c r="AAT117" s="16">
        <f t="shared" si="50"/>
        <v>0</v>
      </c>
      <c r="ABQ117" s="16">
        <f t="shared" si="51"/>
        <v>0</v>
      </c>
      <c r="ABV117" s="16">
        <f t="shared" si="52"/>
        <v>0</v>
      </c>
      <c r="ACC117" s="16">
        <f t="shared" si="53"/>
        <v>0</v>
      </c>
      <c r="ACQ117" s="16">
        <f t="shared" si="54"/>
        <v>0</v>
      </c>
      <c r="ADA117" s="16">
        <f t="shared" si="55"/>
        <v>0</v>
      </c>
      <c r="ADM117" s="16">
        <f t="shared" si="56"/>
        <v>0</v>
      </c>
      <c r="AEI117" s="16">
        <f t="shared" si="57"/>
        <v>0</v>
      </c>
    </row>
    <row r="118" spans="2:815" x14ac:dyDescent="0.25">
      <c r="B118" s="2" t="s">
        <v>185</v>
      </c>
      <c r="C118" t="s">
        <v>186</v>
      </c>
      <c r="D118">
        <v>25</v>
      </c>
      <c r="E118" t="s">
        <v>8</v>
      </c>
      <c r="F118" t="s">
        <v>9</v>
      </c>
      <c r="G118" t="s">
        <v>9</v>
      </c>
      <c r="H118" t="s">
        <v>287</v>
      </c>
      <c r="I118" t="s">
        <v>243</v>
      </c>
      <c r="J118" t="s">
        <v>257</v>
      </c>
      <c r="K118" t="s">
        <v>1534</v>
      </c>
      <c r="L118" t="s">
        <v>310</v>
      </c>
      <c r="M118">
        <v>60</v>
      </c>
      <c r="N118">
        <v>165</v>
      </c>
      <c r="O118">
        <v>22</v>
      </c>
      <c r="P118" s="11">
        <v>34786</v>
      </c>
      <c r="Q118" s="11">
        <v>34788</v>
      </c>
      <c r="R118" t="s">
        <v>1299</v>
      </c>
      <c r="S118" t="s">
        <v>1530</v>
      </c>
      <c r="T118" t="s">
        <v>1531</v>
      </c>
      <c r="U118" t="s">
        <v>1533</v>
      </c>
      <c r="W118" t="s">
        <v>1532</v>
      </c>
      <c r="BA118" s="16">
        <f t="shared" si="29"/>
        <v>0</v>
      </c>
      <c r="BB118" t="s">
        <v>1760</v>
      </c>
      <c r="BC118">
        <v>19</v>
      </c>
      <c r="BL118">
        <v>94</v>
      </c>
      <c r="CB118" s="16">
        <f t="shared" si="30"/>
        <v>3</v>
      </c>
      <c r="CC118" t="s">
        <v>1020</v>
      </c>
      <c r="DE118" s="16">
        <f t="shared" si="31"/>
        <v>1</v>
      </c>
      <c r="DS118" s="16">
        <f t="shared" si="32"/>
        <v>0</v>
      </c>
      <c r="EF118" s="16">
        <f t="shared" si="33"/>
        <v>0</v>
      </c>
      <c r="FI118" s="16">
        <f t="shared" si="34"/>
        <v>0</v>
      </c>
      <c r="HY118" s="16">
        <f t="shared" si="35"/>
        <v>0</v>
      </c>
      <c r="KM118" s="16">
        <f t="shared" si="36"/>
        <v>0</v>
      </c>
      <c r="KN118">
        <v>65</v>
      </c>
      <c r="LB118">
        <v>99</v>
      </c>
      <c r="MZ118" s="16">
        <f t="shared" si="37"/>
        <v>2</v>
      </c>
      <c r="NA118">
        <v>6500</v>
      </c>
      <c r="OQ118" s="16">
        <f t="shared" si="38"/>
        <v>1</v>
      </c>
      <c r="OW118" s="33">
        <f t="shared" si="39"/>
        <v>0</v>
      </c>
      <c r="PO118">
        <v>19</v>
      </c>
      <c r="RD118" s="16">
        <f t="shared" si="40"/>
        <v>1</v>
      </c>
      <c r="RE118">
        <v>324</v>
      </c>
      <c r="RU118" s="16">
        <f t="shared" si="41"/>
        <v>1</v>
      </c>
      <c r="SL118">
        <v>158</v>
      </c>
      <c r="UE118" s="16">
        <f t="shared" si="42"/>
        <v>1</v>
      </c>
      <c r="VJ118" s="16">
        <f t="shared" si="43"/>
        <v>0</v>
      </c>
      <c r="WM118" s="16">
        <f t="shared" si="44"/>
        <v>0</v>
      </c>
      <c r="XH118" s="16">
        <f t="shared" si="45"/>
        <v>0</v>
      </c>
      <c r="YD118" s="16">
        <f t="shared" si="46"/>
        <v>0</v>
      </c>
      <c r="YX118" s="16">
        <f t="shared" si="47"/>
        <v>0</v>
      </c>
      <c r="ZR118" s="16">
        <f t="shared" si="48"/>
        <v>0</v>
      </c>
      <c r="ZX118" s="16">
        <f t="shared" si="49"/>
        <v>0</v>
      </c>
      <c r="AAT118" s="16">
        <f t="shared" si="50"/>
        <v>0</v>
      </c>
      <c r="ABH118" t="s">
        <v>1022</v>
      </c>
      <c r="ABQ118" s="16">
        <f t="shared" si="51"/>
        <v>0</v>
      </c>
      <c r="ABV118" s="16">
        <f t="shared" si="52"/>
        <v>0</v>
      </c>
      <c r="ACC118" s="16">
        <f t="shared" si="53"/>
        <v>0</v>
      </c>
      <c r="ACQ118" s="16">
        <f t="shared" si="54"/>
        <v>0</v>
      </c>
      <c r="ADA118" s="16">
        <f t="shared" si="55"/>
        <v>0</v>
      </c>
      <c r="ADM118" s="16">
        <f t="shared" si="56"/>
        <v>0</v>
      </c>
      <c r="AEI118" s="16">
        <f t="shared" si="57"/>
        <v>0</v>
      </c>
    </row>
    <row r="119" spans="2:815" x14ac:dyDescent="0.25">
      <c r="B119" s="3" t="s">
        <v>187</v>
      </c>
      <c r="C119" t="s">
        <v>188</v>
      </c>
      <c r="D119">
        <v>12</v>
      </c>
      <c r="E119" t="s">
        <v>8</v>
      </c>
      <c r="F119" t="s">
        <v>9</v>
      </c>
      <c r="G119" t="s">
        <v>9</v>
      </c>
      <c r="H119" t="s">
        <v>288</v>
      </c>
      <c r="I119" t="s">
        <v>243</v>
      </c>
      <c r="J119" t="s">
        <v>243</v>
      </c>
      <c r="K119" t="s">
        <v>1541</v>
      </c>
      <c r="L119" t="s">
        <v>1540</v>
      </c>
      <c r="P119" s="11">
        <v>35122</v>
      </c>
      <c r="Q119" s="11">
        <v>35125</v>
      </c>
      <c r="R119" t="s">
        <v>1542</v>
      </c>
      <c r="S119" t="s">
        <v>1538</v>
      </c>
      <c r="T119" t="s">
        <v>1535</v>
      </c>
      <c r="U119" t="s">
        <v>1536</v>
      </c>
      <c r="V119" t="s">
        <v>1539</v>
      </c>
      <c r="W119" t="s">
        <v>1537</v>
      </c>
      <c r="BA119" s="16">
        <f t="shared" si="29"/>
        <v>0</v>
      </c>
      <c r="BB119">
        <v>15</v>
      </c>
      <c r="CB119" s="16">
        <f t="shared" si="30"/>
        <v>1</v>
      </c>
      <c r="DE119" s="16">
        <f t="shared" si="31"/>
        <v>0</v>
      </c>
      <c r="DS119" s="16">
        <f t="shared" si="32"/>
        <v>0</v>
      </c>
      <c r="EF119" s="16">
        <f t="shared" si="33"/>
        <v>0</v>
      </c>
      <c r="FI119" s="16">
        <f t="shared" si="34"/>
        <v>0</v>
      </c>
      <c r="FJ119">
        <v>2706</v>
      </c>
      <c r="HY119" s="16">
        <f t="shared" si="35"/>
        <v>1</v>
      </c>
      <c r="HZ119">
        <v>4070</v>
      </c>
      <c r="KM119" s="16">
        <f t="shared" si="36"/>
        <v>1</v>
      </c>
      <c r="MZ119" s="16">
        <f t="shared" si="37"/>
        <v>0</v>
      </c>
      <c r="OQ119" s="16">
        <f t="shared" si="38"/>
        <v>0</v>
      </c>
      <c r="OW119" s="33">
        <f t="shared" si="39"/>
        <v>0</v>
      </c>
      <c r="OX119" t="s">
        <v>1706</v>
      </c>
      <c r="RD119" s="16">
        <f t="shared" si="40"/>
        <v>1</v>
      </c>
      <c r="RE119">
        <v>984</v>
      </c>
      <c r="RU119" s="16">
        <f t="shared" si="41"/>
        <v>1</v>
      </c>
      <c r="UE119" s="16">
        <f t="shared" si="42"/>
        <v>0</v>
      </c>
      <c r="VJ119" s="16">
        <f t="shared" si="43"/>
        <v>0</v>
      </c>
      <c r="WM119" s="16">
        <f t="shared" si="44"/>
        <v>0</v>
      </c>
      <c r="XH119" s="16">
        <f t="shared" si="45"/>
        <v>0</v>
      </c>
      <c r="YD119" s="16">
        <f t="shared" si="46"/>
        <v>0</v>
      </c>
      <c r="YX119" s="16">
        <f t="shared" si="47"/>
        <v>0</v>
      </c>
      <c r="ZR119" s="16">
        <f t="shared" si="48"/>
        <v>0</v>
      </c>
      <c r="ZX119" s="16">
        <f t="shared" si="49"/>
        <v>0</v>
      </c>
      <c r="AAT119" s="16">
        <f t="shared" si="50"/>
        <v>0</v>
      </c>
      <c r="ABQ119" s="16">
        <f t="shared" si="51"/>
        <v>0</v>
      </c>
      <c r="ABV119" s="16">
        <f t="shared" si="52"/>
        <v>0</v>
      </c>
      <c r="ABW119" t="s">
        <v>1023</v>
      </c>
      <c r="ACC119" s="16">
        <f t="shared" si="53"/>
        <v>1</v>
      </c>
      <c r="ACQ119" s="16">
        <f t="shared" si="54"/>
        <v>0</v>
      </c>
      <c r="ADA119" s="16">
        <f t="shared" si="55"/>
        <v>0</v>
      </c>
      <c r="ADM119" s="16">
        <f t="shared" si="56"/>
        <v>0</v>
      </c>
      <c r="AEI119" s="16">
        <f t="shared" si="57"/>
        <v>0</v>
      </c>
    </row>
    <row r="120" spans="2:815" x14ac:dyDescent="0.25">
      <c r="B120" s="2" t="s">
        <v>189</v>
      </c>
      <c r="C120" t="s">
        <v>190</v>
      </c>
      <c r="D120">
        <v>34</v>
      </c>
      <c r="E120" t="s">
        <v>8</v>
      </c>
      <c r="F120" t="s">
        <v>9</v>
      </c>
      <c r="G120" t="s">
        <v>9</v>
      </c>
      <c r="H120" t="s">
        <v>1545</v>
      </c>
      <c r="I120" t="s">
        <v>243</v>
      </c>
      <c r="J120" t="s">
        <v>243</v>
      </c>
      <c r="K120" t="s">
        <v>1547</v>
      </c>
      <c r="L120" t="s">
        <v>1544</v>
      </c>
      <c r="M120">
        <v>51</v>
      </c>
      <c r="N120">
        <v>164</v>
      </c>
      <c r="O120">
        <v>19</v>
      </c>
      <c r="R120" t="s">
        <v>1543</v>
      </c>
      <c r="T120" t="s">
        <v>1548</v>
      </c>
      <c r="U120" t="s">
        <v>1549</v>
      </c>
      <c r="V120" t="s">
        <v>1546</v>
      </c>
      <c r="W120" t="s">
        <v>1550</v>
      </c>
      <c r="BA120" s="16">
        <f t="shared" si="29"/>
        <v>0</v>
      </c>
      <c r="BD120">
        <v>67</v>
      </c>
      <c r="BF120">
        <v>82</v>
      </c>
      <c r="CB120" s="16">
        <f t="shared" si="30"/>
        <v>2</v>
      </c>
      <c r="CG120">
        <v>35</v>
      </c>
      <c r="DE120" s="16">
        <f t="shared" si="31"/>
        <v>1</v>
      </c>
      <c r="DS120" s="16">
        <f t="shared" si="32"/>
        <v>0</v>
      </c>
      <c r="DY120" s="7">
        <v>3.74</v>
      </c>
      <c r="EF120" s="16">
        <f t="shared" si="33"/>
        <v>1</v>
      </c>
      <c r="FI120" s="16">
        <f t="shared" si="34"/>
        <v>0</v>
      </c>
      <c r="FN120">
        <v>979</v>
      </c>
      <c r="FQ120">
        <v>272</v>
      </c>
      <c r="HY120" s="16">
        <f t="shared" si="35"/>
        <v>2</v>
      </c>
      <c r="IC120">
        <v>1496</v>
      </c>
      <c r="ID120">
        <v>1493</v>
      </c>
      <c r="IF120">
        <v>792</v>
      </c>
      <c r="KM120" s="16">
        <f t="shared" si="36"/>
        <v>3</v>
      </c>
      <c r="KP120">
        <v>201</v>
      </c>
      <c r="KR120">
        <v>180</v>
      </c>
      <c r="KS120">
        <v>177</v>
      </c>
      <c r="KY120">
        <v>246</v>
      </c>
      <c r="LG120">
        <v>41</v>
      </c>
      <c r="LH120">
        <v>70</v>
      </c>
      <c r="MZ120" s="16">
        <f t="shared" si="37"/>
        <v>6</v>
      </c>
      <c r="OQ120" s="16">
        <f t="shared" si="38"/>
        <v>0</v>
      </c>
      <c r="OW120" s="33">
        <f t="shared" si="39"/>
        <v>0</v>
      </c>
      <c r="RD120" s="16">
        <f t="shared" si="40"/>
        <v>0</v>
      </c>
      <c r="RU120" s="16">
        <f t="shared" si="41"/>
        <v>0</v>
      </c>
      <c r="RY120" t="s">
        <v>1027</v>
      </c>
      <c r="SB120">
        <v>311</v>
      </c>
      <c r="SC120">
        <v>288</v>
      </c>
      <c r="SI120">
        <v>381</v>
      </c>
      <c r="SQ120">
        <v>187</v>
      </c>
      <c r="SS120">
        <v>326</v>
      </c>
      <c r="UE120" s="16">
        <f t="shared" si="42"/>
        <v>6</v>
      </c>
      <c r="UK120">
        <v>2082</v>
      </c>
      <c r="VJ120" s="16">
        <f t="shared" si="43"/>
        <v>1</v>
      </c>
      <c r="WM120" s="16">
        <f t="shared" si="44"/>
        <v>0</v>
      </c>
      <c r="XH120" s="16">
        <f t="shared" si="45"/>
        <v>0</v>
      </c>
      <c r="XJ120" t="s">
        <v>1902</v>
      </c>
      <c r="XK120">
        <v>400</v>
      </c>
      <c r="XL120">
        <v>933</v>
      </c>
      <c r="XM120">
        <v>1434</v>
      </c>
      <c r="XN120">
        <v>1758</v>
      </c>
      <c r="XT120">
        <v>332</v>
      </c>
      <c r="XX120">
        <v>24</v>
      </c>
      <c r="XY120">
        <v>90</v>
      </c>
      <c r="XZ120">
        <v>99</v>
      </c>
      <c r="YD120" s="16">
        <f t="shared" si="46"/>
        <v>9</v>
      </c>
      <c r="YG120" t="s">
        <v>1030</v>
      </c>
      <c r="YJ120" t="s">
        <v>2013</v>
      </c>
      <c r="YK120" t="s">
        <v>1031</v>
      </c>
      <c r="YQ120" t="s">
        <v>1032</v>
      </c>
      <c r="YX120" s="16">
        <f t="shared" si="47"/>
        <v>4</v>
      </c>
      <c r="ZR120" s="16">
        <f t="shared" si="48"/>
        <v>0</v>
      </c>
      <c r="ZX120" s="16">
        <f t="shared" si="49"/>
        <v>0</v>
      </c>
      <c r="AAT120" s="16">
        <f t="shared" si="50"/>
        <v>0</v>
      </c>
      <c r="AAU120" t="s">
        <v>1035</v>
      </c>
      <c r="AAW120">
        <v>123</v>
      </c>
      <c r="AAX120">
        <v>107</v>
      </c>
      <c r="AAZ120">
        <v>107</v>
      </c>
      <c r="ABB120">
        <v>99</v>
      </c>
      <c r="ABE120">
        <v>156</v>
      </c>
      <c r="ABJ120">
        <v>239</v>
      </c>
      <c r="ABK120">
        <v>86</v>
      </c>
      <c r="ABL120">
        <v>61</v>
      </c>
      <c r="ABN120">
        <v>97</v>
      </c>
      <c r="ABQ120" s="16">
        <f t="shared" si="51"/>
        <v>1</v>
      </c>
      <c r="ABV120" s="16">
        <f t="shared" si="52"/>
        <v>0</v>
      </c>
      <c r="ACC120" s="16">
        <f t="shared" si="53"/>
        <v>0</v>
      </c>
      <c r="ACQ120" s="16">
        <f t="shared" si="54"/>
        <v>0</v>
      </c>
      <c r="ADA120" s="16">
        <f t="shared" si="55"/>
        <v>0</v>
      </c>
      <c r="ADM120" s="16">
        <f t="shared" si="56"/>
        <v>0</v>
      </c>
      <c r="AEI120" s="16">
        <f t="shared" si="57"/>
        <v>0</v>
      </c>
    </row>
    <row r="121" spans="2:815" x14ac:dyDescent="0.25">
      <c r="B121" s="3" t="s">
        <v>191</v>
      </c>
      <c r="C121" t="s">
        <v>121</v>
      </c>
      <c r="D121">
        <v>32</v>
      </c>
      <c r="E121" t="s">
        <v>14</v>
      </c>
      <c r="F121" t="s">
        <v>9</v>
      </c>
      <c r="G121" t="s">
        <v>9</v>
      </c>
      <c r="H121" t="s">
        <v>253</v>
      </c>
      <c r="I121" t="s">
        <v>243</v>
      </c>
      <c r="J121" t="s">
        <v>257</v>
      </c>
      <c r="K121" t="s">
        <v>256</v>
      </c>
      <c r="L121" t="s">
        <v>1551</v>
      </c>
      <c r="M121">
        <v>60</v>
      </c>
      <c r="N121">
        <v>170</v>
      </c>
      <c r="O121" t="s">
        <v>1095</v>
      </c>
      <c r="P121" s="11" t="s">
        <v>1553</v>
      </c>
      <c r="Q121" s="11" t="s">
        <v>1554</v>
      </c>
      <c r="R121" t="s">
        <v>1555</v>
      </c>
      <c r="S121" t="s">
        <v>1552</v>
      </c>
      <c r="T121" t="s">
        <v>1557</v>
      </c>
      <c r="U121" t="s">
        <v>274</v>
      </c>
      <c r="V121" t="s">
        <v>1558</v>
      </c>
      <c r="W121" t="s">
        <v>1556</v>
      </c>
      <c r="Z121">
        <v>17</v>
      </c>
      <c r="AD121">
        <v>17</v>
      </c>
      <c r="BA121" s="16">
        <f t="shared" si="29"/>
        <v>2</v>
      </c>
      <c r="BB121">
        <v>66</v>
      </c>
      <c r="BF121">
        <v>23</v>
      </c>
      <c r="CB121" s="16">
        <f t="shared" si="30"/>
        <v>2</v>
      </c>
      <c r="CC121">
        <v>31</v>
      </c>
      <c r="CG121">
        <v>40</v>
      </c>
      <c r="DE121" s="16">
        <f t="shared" si="31"/>
        <v>2</v>
      </c>
      <c r="DS121" s="16">
        <f t="shared" si="32"/>
        <v>0</v>
      </c>
      <c r="EF121" s="16">
        <f t="shared" si="33"/>
        <v>0</v>
      </c>
      <c r="FI121" s="16">
        <f t="shared" si="34"/>
        <v>0</v>
      </c>
      <c r="FJ121">
        <v>35</v>
      </c>
      <c r="FQ121">
        <v>19</v>
      </c>
      <c r="HY121" s="16">
        <f t="shared" si="35"/>
        <v>2</v>
      </c>
      <c r="HZ121">
        <v>51</v>
      </c>
      <c r="IF121">
        <v>16</v>
      </c>
      <c r="KM121" s="16">
        <f t="shared" si="36"/>
        <v>2</v>
      </c>
      <c r="KN121">
        <v>192</v>
      </c>
      <c r="KR121">
        <v>91</v>
      </c>
      <c r="MZ121" s="16">
        <f t="shared" si="37"/>
        <v>2</v>
      </c>
      <c r="NA121">
        <v>634</v>
      </c>
      <c r="NG121">
        <v>524</v>
      </c>
      <c r="OQ121" s="16">
        <f t="shared" si="38"/>
        <v>2</v>
      </c>
      <c r="OW121" s="33">
        <f t="shared" si="39"/>
        <v>0</v>
      </c>
      <c r="OX121" t="s">
        <v>1707</v>
      </c>
      <c r="PD121">
        <v>68</v>
      </c>
      <c r="RD121" s="16">
        <f t="shared" si="40"/>
        <v>2</v>
      </c>
      <c r="RU121" s="16">
        <f t="shared" si="41"/>
        <v>0</v>
      </c>
      <c r="RV121">
        <v>244</v>
      </c>
      <c r="SB121">
        <v>104</v>
      </c>
      <c r="UE121" s="16">
        <f t="shared" si="42"/>
        <v>2</v>
      </c>
      <c r="UF121">
        <v>2600</v>
      </c>
      <c r="UK121">
        <v>590</v>
      </c>
      <c r="VJ121" s="16">
        <f t="shared" si="43"/>
        <v>2</v>
      </c>
      <c r="VK121" t="s">
        <v>1729</v>
      </c>
      <c r="VP121">
        <v>44</v>
      </c>
      <c r="WM121" s="16">
        <f t="shared" si="44"/>
        <v>2</v>
      </c>
      <c r="XH121" s="16">
        <f t="shared" si="45"/>
        <v>0</v>
      </c>
      <c r="YD121" s="16">
        <f t="shared" si="46"/>
        <v>0</v>
      </c>
      <c r="YE121">
        <v>32</v>
      </c>
      <c r="YJ121">
        <v>19</v>
      </c>
      <c r="YX121" s="16">
        <f t="shared" si="47"/>
        <v>2</v>
      </c>
      <c r="YY121">
        <v>375</v>
      </c>
      <c r="ZB121">
        <v>242</v>
      </c>
      <c r="ZR121" s="16">
        <f t="shared" si="48"/>
        <v>2</v>
      </c>
      <c r="ZX121" s="16">
        <f t="shared" si="49"/>
        <v>0</v>
      </c>
      <c r="AAT121" s="16">
        <f t="shared" si="50"/>
        <v>0</v>
      </c>
      <c r="AAU121">
        <v>299</v>
      </c>
      <c r="AAZ121">
        <v>79</v>
      </c>
      <c r="ABQ121" s="16">
        <f t="shared" si="51"/>
        <v>1</v>
      </c>
      <c r="ABV121" s="16">
        <f t="shared" si="52"/>
        <v>0</v>
      </c>
      <c r="ACC121" s="16">
        <f t="shared" si="53"/>
        <v>0</v>
      </c>
      <c r="ACQ121" s="16">
        <f t="shared" si="54"/>
        <v>0</v>
      </c>
      <c r="ADA121" s="16">
        <f t="shared" si="55"/>
        <v>0</v>
      </c>
      <c r="ADB121">
        <v>126</v>
      </c>
      <c r="ADC121">
        <v>63</v>
      </c>
      <c r="ADM121" s="16">
        <f t="shared" si="56"/>
        <v>2</v>
      </c>
      <c r="ADN121">
        <v>148</v>
      </c>
      <c r="ADR121">
        <v>62</v>
      </c>
      <c r="AEI121" s="16">
        <f t="shared" si="57"/>
        <v>2</v>
      </c>
    </row>
    <row r="122" spans="2:815" x14ac:dyDescent="0.25">
      <c r="B122" s="3" t="s">
        <v>192</v>
      </c>
      <c r="C122" t="s">
        <v>193</v>
      </c>
      <c r="E122" t="s">
        <v>8</v>
      </c>
      <c r="F122" t="s">
        <v>9</v>
      </c>
      <c r="G122" t="s">
        <v>15</v>
      </c>
      <c r="H122" t="s">
        <v>288</v>
      </c>
      <c r="I122" t="s">
        <v>243</v>
      </c>
      <c r="J122" t="s">
        <v>243</v>
      </c>
      <c r="L122" t="s">
        <v>324</v>
      </c>
      <c r="M122">
        <v>18.7</v>
      </c>
      <c r="P122" s="11">
        <v>35123</v>
      </c>
      <c r="Q122" s="11">
        <v>35125</v>
      </c>
      <c r="R122" t="s">
        <v>1299</v>
      </c>
      <c r="S122" t="s">
        <v>1559</v>
      </c>
      <c r="BA122" s="16">
        <f t="shared" si="29"/>
        <v>0</v>
      </c>
      <c r="CB122" s="16">
        <f t="shared" si="30"/>
        <v>0</v>
      </c>
      <c r="DE122" s="16">
        <f t="shared" si="31"/>
        <v>0</v>
      </c>
      <c r="DS122" s="16">
        <f t="shared" si="32"/>
        <v>0</v>
      </c>
      <c r="EF122" s="16">
        <f t="shared" si="33"/>
        <v>0</v>
      </c>
      <c r="FI122" s="16">
        <f t="shared" si="34"/>
        <v>0</v>
      </c>
      <c r="HY122" s="16">
        <f t="shared" si="35"/>
        <v>0</v>
      </c>
      <c r="KM122" s="16">
        <f t="shared" si="36"/>
        <v>0</v>
      </c>
      <c r="MZ122" s="16">
        <f t="shared" si="37"/>
        <v>0</v>
      </c>
      <c r="OQ122" s="16">
        <f t="shared" si="38"/>
        <v>0</v>
      </c>
      <c r="OW122" s="33">
        <f t="shared" si="39"/>
        <v>0</v>
      </c>
      <c r="RD122" s="16">
        <f t="shared" si="40"/>
        <v>0</v>
      </c>
      <c r="RU122" s="16">
        <f t="shared" si="41"/>
        <v>0</v>
      </c>
      <c r="UE122" s="16">
        <f t="shared" si="42"/>
        <v>0</v>
      </c>
      <c r="VJ122" s="16">
        <f t="shared" si="43"/>
        <v>0</v>
      </c>
      <c r="WM122" s="16">
        <f t="shared" si="44"/>
        <v>0</v>
      </c>
      <c r="XH122" s="16">
        <f t="shared" si="45"/>
        <v>0</v>
      </c>
      <c r="YD122" s="16">
        <f t="shared" si="46"/>
        <v>0</v>
      </c>
      <c r="YX122" s="16">
        <f t="shared" si="47"/>
        <v>0</v>
      </c>
      <c r="ZR122" s="16">
        <f t="shared" si="48"/>
        <v>0</v>
      </c>
      <c r="ZX122" s="16">
        <f t="shared" si="49"/>
        <v>0</v>
      </c>
      <c r="AAT122" s="16">
        <f t="shared" si="50"/>
        <v>0</v>
      </c>
      <c r="ABQ122" s="16">
        <f t="shared" si="51"/>
        <v>0</v>
      </c>
      <c r="ABV122" s="16">
        <f t="shared" si="52"/>
        <v>0</v>
      </c>
      <c r="ACC122" s="16">
        <f t="shared" si="53"/>
        <v>0</v>
      </c>
      <c r="ACQ122" s="16">
        <f t="shared" si="54"/>
        <v>0</v>
      </c>
      <c r="ADA122" s="16">
        <f t="shared" si="55"/>
        <v>0</v>
      </c>
      <c r="ADM122" s="16">
        <f t="shared" si="56"/>
        <v>0</v>
      </c>
      <c r="AEI122" s="16">
        <f t="shared" si="57"/>
        <v>0</v>
      </c>
    </row>
    <row r="123" spans="2:815" x14ac:dyDescent="0.25">
      <c r="B123" s="2" t="s">
        <v>194</v>
      </c>
      <c r="C123" t="s">
        <v>195</v>
      </c>
      <c r="D123">
        <v>28</v>
      </c>
      <c r="E123" t="s">
        <v>8</v>
      </c>
      <c r="F123" t="s">
        <v>9</v>
      </c>
      <c r="G123" t="s">
        <v>9</v>
      </c>
      <c r="H123" t="s">
        <v>289</v>
      </c>
      <c r="I123" t="s">
        <v>243</v>
      </c>
      <c r="K123" t="s">
        <v>1563</v>
      </c>
      <c r="L123" t="s">
        <v>303</v>
      </c>
      <c r="P123" s="11">
        <v>35508</v>
      </c>
      <c r="Q123" s="11">
        <v>35513</v>
      </c>
      <c r="R123" t="s">
        <v>1262</v>
      </c>
      <c r="S123" t="s">
        <v>1219</v>
      </c>
      <c r="T123" t="s">
        <v>1561</v>
      </c>
      <c r="U123" t="s">
        <v>1562</v>
      </c>
      <c r="W123" t="s">
        <v>1560</v>
      </c>
      <c r="BA123" s="16">
        <f t="shared" si="29"/>
        <v>0</v>
      </c>
      <c r="CB123" s="16">
        <f t="shared" si="30"/>
        <v>0</v>
      </c>
      <c r="DE123" s="16">
        <f t="shared" si="31"/>
        <v>0</v>
      </c>
      <c r="DS123" s="16">
        <f t="shared" si="32"/>
        <v>0</v>
      </c>
      <c r="EF123" s="16">
        <f t="shared" si="33"/>
        <v>0</v>
      </c>
      <c r="FI123" s="16">
        <f t="shared" si="34"/>
        <v>0</v>
      </c>
      <c r="FJ123">
        <v>24</v>
      </c>
      <c r="GI123">
        <v>36</v>
      </c>
      <c r="HY123" s="16">
        <f t="shared" si="35"/>
        <v>2</v>
      </c>
      <c r="IC123">
        <v>36</v>
      </c>
      <c r="ID123">
        <v>102</v>
      </c>
      <c r="IX123">
        <v>78</v>
      </c>
      <c r="KM123" s="16">
        <f t="shared" si="36"/>
        <v>3</v>
      </c>
      <c r="MZ123" s="16">
        <f t="shared" si="37"/>
        <v>0</v>
      </c>
      <c r="OQ123" s="16">
        <f t="shared" si="38"/>
        <v>0</v>
      </c>
      <c r="OW123" s="33">
        <f t="shared" si="39"/>
        <v>0</v>
      </c>
      <c r="RD123" s="16">
        <f t="shared" si="40"/>
        <v>0</v>
      </c>
      <c r="RU123" s="16">
        <f t="shared" si="41"/>
        <v>0</v>
      </c>
      <c r="UE123" s="16">
        <f t="shared" si="42"/>
        <v>0</v>
      </c>
      <c r="VJ123" s="16">
        <f t="shared" si="43"/>
        <v>0</v>
      </c>
      <c r="WM123" s="16">
        <f t="shared" si="44"/>
        <v>0</v>
      </c>
      <c r="XH123" s="16">
        <f t="shared" si="45"/>
        <v>0</v>
      </c>
      <c r="YD123" s="16">
        <f t="shared" si="46"/>
        <v>0</v>
      </c>
      <c r="YX123" s="16">
        <f t="shared" si="47"/>
        <v>0</v>
      </c>
      <c r="ZR123" s="16">
        <f t="shared" si="48"/>
        <v>0</v>
      </c>
      <c r="ZX123" s="16">
        <f t="shared" si="49"/>
        <v>0</v>
      </c>
      <c r="AAT123" s="16">
        <f t="shared" si="50"/>
        <v>0</v>
      </c>
      <c r="ABQ123" s="16">
        <f t="shared" si="51"/>
        <v>0</v>
      </c>
      <c r="ABV123" s="16">
        <f t="shared" si="52"/>
        <v>0</v>
      </c>
      <c r="ACC123" s="16">
        <f t="shared" si="53"/>
        <v>0</v>
      </c>
      <c r="ACQ123" s="16">
        <f t="shared" si="54"/>
        <v>0</v>
      </c>
      <c r="ADA123" s="16">
        <f t="shared" si="55"/>
        <v>0</v>
      </c>
      <c r="ADM123" s="16">
        <f t="shared" si="56"/>
        <v>0</v>
      </c>
      <c r="AEI123" s="16">
        <f t="shared" si="57"/>
        <v>0</v>
      </c>
    </row>
    <row r="124" spans="2:815" x14ac:dyDescent="0.25">
      <c r="B124" s="3" t="s">
        <v>196</v>
      </c>
      <c r="E124" t="s">
        <v>14</v>
      </c>
      <c r="F124" t="s">
        <v>9</v>
      </c>
      <c r="G124" t="s">
        <v>9</v>
      </c>
      <c r="I124" t="s">
        <v>243</v>
      </c>
      <c r="J124" t="s">
        <v>257</v>
      </c>
      <c r="K124" t="s">
        <v>1567</v>
      </c>
      <c r="L124" t="s">
        <v>320</v>
      </c>
      <c r="T124" t="s">
        <v>1566</v>
      </c>
      <c r="V124" t="s">
        <v>1564</v>
      </c>
      <c r="W124" t="s">
        <v>1565</v>
      </c>
      <c r="BA124" s="16">
        <f t="shared" si="29"/>
        <v>0</v>
      </c>
      <c r="BB124">
        <v>11</v>
      </c>
      <c r="CB124" s="16">
        <f t="shared" si="30"/>
        <v>1</v>
      </c>
      <c r="DE124" s="16">
        <f t="shared" si="31"/>
        <v>0</v>
      </c>
      <c r="DS124" s="16">
        <f t="shared" si="32"/>
        <v>0</v>
      </c>
      <c r="EF124" s="16">
        <f t="shared" si="33"/>
        <v>0</v>
      </c>
      <c r="FI124" s="16">
        <f t="shared" si="34"/>
        <v>0</v>
      </c>
      <c r="HY124" s="16">
        <f t="shared" si="35"/>
        <v>0</v>
      </c>
      <c r="KM124" s="16">
        <f t="shared" si="36"/>
        <v>0</v>
      </c>
      <c r="MZ124" s="16">
        <f t="shared" si="37"/>
        <v>0</v>
      </c>
      <c r="OQ124" s="16">
        <f t="shared" si="38"/>
        <v>0</v>
      </c>
      <c r="OW124" s="33">
        <f t="shared" si="39"/>
        <v>0</v>
      </c>
      <c r="OX124">
        <v>68</v>
      </c>
      <c r="RD124" s="16">
        <f t="shared" si="40"/>
        <v>1</v>
      </c>
      <c r="RU124" s="16">
        <f t="shared" si="41"/>
        <v>0</v>
      </c>
      <c r="UE124" s="16">
        <f t="shared" si="42"/>
        <v>0</v>
      </c>
      <c r="VJ124" s="16">
        <f t="shared" si="43"/>
        <v>0</v>
      </c>
      <c r="WM124" s="16">
        <f t="shared" si="44"/>
        <v>0</v>
      </c>
      <c r="XH124" s="16">
        <f t="shared" si="45"/>
        <v>0</v>
      </c>
      <c r="YD124" s="16">
        <f t="shared" si="46"/>
        <v>0</v>
      </c>
      <c r="YX124" s="16">
        <f t="shared" si="47"/>
        <v>0</v>
      </c>
      <c r="ZR124" s="16">
        <f t="shared" si="48"/>
        <v>0</v>
      </c>
      <c r="ZX124" s="16">
        <f t="shared" si="49"/>
        <v>0</v>
      </c>
      <c r="AAT124" s="16">
        <f t="shared" si="50"/>
        <v>0</v>
      </c>
      <c r="ABQ124" s="16">
        <f t="shared" si="51"/>
        <v>0</v>
      </c>
      <c r="ABV124" s="16">
        <f t="shared" si="52"/>
        <v>0</v>
      </c>
      <c r="ACC124" s="16">
        <f t="shared" si="53"/>
        <v>0</v>
      </c>
      <c r="ACQ124" s="16">
        <f t="shared" si="54"/>
        <v>0</v>
      </c>
      <c r="ADA124" s="16">
        <f t="shared" si="55"/>
        <v>0</v>
      </c>
      <c r="ADM124" s="16">
        <f t="shared" si="56"/>
        <v>0</v>
      </c>
      <c r="AEI124" s="16">
        <f t="shared" si="57"/>
        <v>0</v>
      </c>
    </row>
    <row r="125" spans="2:815" x14ac:dyDescent="0.25">
      <c r="B125" s="2" t="s">
        <v>197</v>
      </c>
      <c r="C125" t="s">
        <v>198</v>
      </c>
      <c r="D125">
        <v>56</v>
      </c>
      <c r="E125" t="s">
        <v>14</v>
      </c>
      <c r="F125" t="s">
        <v>9</v>
      </c>
      <c r="G125" t="s">
        <v>9</v>
      </c>
      <c r="H125" t="s">
        <v>279</v>
      </c>
      <c r="K125" t="s">
        <v>290</v>
      </c>
      <c r="L125" t="s">
        <v>1569</v>
      </c>
      <c r="P125" s="11">
        <v>35705</v>
      </c>
      <c r="Q125" s="11">
        <v>35705</v>
      </c>
      <c r="R125" s="11" t="s">
        <v>1133</v>
      </c>
      <c r="S125" t="s">
        <v>1250</v>
      </c>
      <c r="T125" t="s">
        <v>1568</v>
      </c>
      <c r="W125" t="s">
        <v>1570</v>
      </c>
      <c r="BA125" s="16">
        <f t="shared" si="29"/>
        <v>0</v>
      </c>
      <c r="BX125">
        <v>63</v>
      </c>
      <c r="BZ125">
        <v>24</v>
      </c>
      <c r="CB125" s="16">
        <f t="shared" si="30"/>
        <v>2</v>
      </c>
      <c r="DA125">
        <v>30</v>
      </c>
      <c r="DC125">
        <v>62</v>
      </c>
      <c r="DE125" s="16">
        <f t="shared" si="31"/>
        <v>2</v>
      </c>
      <c r="DS125" s="16">
        <f t="shared" si="32"/>
        <v>0</v>
      </c>
      <c r="ED125" s="7">
        <v>0.67</v>
      </c>
      <c r="EE125">
        <v>74</v>
      </c>
      <c r="EF125" s="16">
        <f t="shared" si="33"/>
        <v>2</v>
      </c>
      <c r="FI125" s="16">
        <f t="shared" si="34"/>
        <v>0</v>
      </c>
      <c r="GX125">
        <v>2439</v>
      </c>
      <c r="HY125" s="16">
        <f t="shared" si="35"/>
        <v>1</v>
      </c>
      <c r="HZ125">
        <v>60</v>
      </c>
      <c r="JH125">
        <v>78</v>
      </c>
      <c r="JL125">
        <v>7320</v>
      </c>
      <c r="JM125">
        <v>5014</v>
      </c>
      <c r="KM125" s="16">
        <f t="shared" si="36"/>
        <v>4</v>
      </c>
      <c r="KN125">
        <v>72</v>
      </c>
      <c r="LX125">
        <v>78</v>
      </c>
      <c r="LY125">
        <v>96</v>
      </c>
      <c r="MZ125" s="16">
        <f t="shared" si="37"/>
        <v>3</v>
      </c>
      <c r="OE125">
        <v>498</v>
      </c>
      <c r="OH125">
        <v>24720</v>
      </c>
      <c r="OI125">
        <v>10440</v>
      </c>
      <c r="OQ125" s="16">
        <f t="shared" si="38"/>
        <v>3</v>
      </c>
      <c r="OW125" s="33">
        <f t="shared" si="39"/>
        <v>0</v>
      </c>
      <c r="QI125">
        <v>30</v>
      </c>
      <c r="RD125" s="16">
        <f t="shared" si="40"/>
        <v>1</v>
      </c>
      <c r="RU125" s="16">
        <f t="shared" si="41"/>
        <v>0</v>
      </c>
      <c r="TI125">
        <v>168</v>
      </c>
      <c r="UE125" s="16">
        <f t="shared" si="42"/>
        <v>1</v>
      </c>
      <c r="VJ125" s="16">
        <f t="shared" si="43"/>
        <v>0</v>
      </c>
      <c r="WH125" t="s">
        <v>1050</v>
      </c>
      <c r="WI125">
        <v>185</v>
      </c>
      <c r="WJ125">
        <v>120</v>
      </c>
      <c r="WM125" s="16">
        <f t="shared" si="44"/>
        <v>3</v>
      </c>
      <c r="XH125" s="16">
        <f t="shared" si="45"/>
        <v>0</v>
      </c>
      <c r="YD125" s="16">
        <f t="shared" si="46"/>
        <v>0</v>
      </c>
      <c r="YX125" s="16">
        <f t="shared" si="47"/>
        <v>0</v>
      </c>
      <c r="ZR125" s="16">
        <f t="shared" si="48"/>
        <v>0</v>
      </c>
      <c r="ZX125" s="16">
        <f t="shared" si="49"/>
        <v>0</v>
      </c>
      <c r="AAT125" s="16">
        <f t="shared" si="50"/>
        <v>0</v>
      </c>
      <c r="ABQ125" s="16">
        <f t="shared" si="51"/>
        <v>0</v>
      </c>
      <c r="ABV125" s="16">
        <f t="shared" si="52"/>
        <v>0</v>
      </c>
      <c r="ACC125" s="16">
        <f t="shared" si="53"/>
        <v>0</v>
      </c>
      <c r="ACQ125" s="16">
        <f t="shared" si="54"/>
        <v>0</v>
      </c>
      <c r="ADA125" s="16">
        <f t="shared" si="55"/>
        <v>0</v>
      </c>
      <c r="ADM125" s="16">
        <f t="shared" si="56"/>
        <v>0</v>
      </c>
      <c r="AEI125" s="16">
        <f t="shared" si="57"/>
        <v>0</v>
      </c>
    </row>
    <row r="126" spans="2:815" x14ac:dyDescent="0.25">
      <c r="B126" s="2" t="s">
        <v>199</v>
      </c>
      <c r="C126" t="s">
        <v>96</v>
      </c>
      <c r="D126">
        <v>74</v>
      </c>
      <c r="E126" t="s">
        <v>8</v>
      </c>
      <c r="F126" t="s">
        <v>15</v>
      </c>
      <c r="G126" t="s">
        <v>9</v>
      </c>
      <c r="H126" t="s">
        <v>279</v>
      </c>
      <c r="I126" t="s">
        <v>243</v>
      </c>
      <c r="J126" t="s">
        <v>257</v>
      </c>
      <c r="K126" t="s">
        <v>256</v>
      </c>
      <c r="L126" t="s">
        <v>303</v>
      </c>
      <c r="M126">
        <v>61</v>
      </c>
      <c r="N126">
        <v>155</v>
      </c>
      <c r="O126" t="s">
        <v>1079</v>
      </c>
      <c r="P126" s="11">
        <v>35496</v>
      </c>
      <c r="Q126" s="11">
        <v>35740</v>
      </c>
      <c r="R126" t="s">
        <v>1572</v>
      </c>
      <c r="S126" t="s">
        <v>1236</v>
      </c>
      <c r="T126" t="s">
        <v>1573</v>
      </c>
      <c r="W126" t="s">
        <v>1571</v>
      </c>
      <c r="BA126" s="16">
        <f t="shared" si="29"/>
        <v>0</v>
      </c>
      <c r="CB126" s="16">
        <f t="shared" si="30"/>
        <v>0</v>
      </c>
      <c r="DE126" s="16">
        <f t="shared" si="31"/>
        <v>0</v>
      </c>
      <c r="DS126" s="16">
        <f t="shared" si="32"/>
        <v>0</v>
      </c>
      <c r="EF126" s="16">
        <f t="shared" si="33"/>
        <v>0</v>
      </c>
      <c r="FI126" s="16">
        <f t="shared" si="34"/>
        <v>0</v>
      </c>
      <c r="FJ126">
        <v>27</v>
      </c>
      <c r="HH126">
        <v>9</v>
      </c>
      <c r="HY126" s="16">
        <f t="shared" si="35"/>
        <v>2</v>
      </c>
      <c r="HZ126">
        <v>78</v>
      </c>
      <c r="JV126">
        <v>14</v>
      </c>
      <c r="KM126" s="16">
        <f t="shared" si="36"/>
        <v>2</v>
      </c>
      <c r="KN126">
        <v>280</v>
      </c>
      <c r="MH126">
        <v>25</v>
      </c>
      <c r="MZ126" s="16">
        <f t="shared" si="37"/>
        <v>2</v>
      </c>
      <c r="OQ126" s="16">
        <f t="shared" si="38"/>
        <v>0</v>
      </c>
      <c r="OW126" s="33">
        <f t="shared" si="39"/>
        <v>0</v>
      </c>
      <c r="RD126" s="16">
        <f t="shared" si="40"/>
        <v>0</v>
      </c>
      <c r="RU126" s="16">
        <f t="shared" si="41"/>
        <v>0</v>
      </c>
      <c r="RV126">
        <v>239</v>
      </c>
      <c r="TO126">
        <v>109</v>
      </c>
      <c r="UE126" s="16">
        <f t="shared" si="42"/>
        <v>2</v>
      </c>
      <c r="VJ126" s="16">
        <f t="shared" si="43"/>
        <v>0</v>
      </c>
      <c r="WM126" s="16">
        <f t="shared" si="44"/>
        <v>0</v>
      </c>
      <c r="XH126" s="16">
        <f t="shared" si="45"/>
        <v>0</v>
      </c>
      <c r="YD126" s="16">
        <f t="shared" si="46"/>
        <v>0</v>
      </c>
      <c r="YX126" s="16">
        <f t="shared" si="47"/>
        <v>0</v>
      </c>
      <c r="ZR126" s="16">
        <f t="shared" si="48"/>
        <v>0</v>
      </c>
      <c r="ZX126" s="16">
        <f t="shared" si="49"/>
        <v>0</v>
      </c>
      <c r="AAT126" s="16">
        <f t="shared" si="50"/>
        <v>0</v>
      </c>
      <c r="ABQ126" s="16">
        <f t="shared" si="51"/>
        <v>0</v>
      </c>
      <c r="ABV126" s="16">
        <f t="shared" si="52"/>
        <v>0</v>
      </c>
      <c r="ACC126" s="16">
        <f t="shared" si="53"/>
        <v>0</v>
      </c>
      <c r="ACQ126" s="16">
        <f t="shared" si="54"/>
        <v>0</v>
      </c>
      <c r="ADA126" s="16">
        <f t="shared" si="55"/>
        <v>0</v>
      </c>
      <c r="ADM126" s="16">
        <f t="shared" si="56"/>
        <v>0</v>
      </c>
      <c r="AEI126" s="16">
        <f t="shared" si="57"/>
        <v>0</v>
      </c>
    </row>
    <row r="127" spans="2:815" x14ac:dyDescent="0.25">
      <c r="B127" s="2" t="s">
        <v>200</v>
      </c>
      <c r="D127">
        <v>11</v>
      </c>
      <c r="E127" t="s">
        <v>8</v>
      </c>
      <c r="F127" t="s">
        <v>9</v>
      </c>
      <c r="G127" t="s">
        <v>9</v>
      </c>
      <c r="I127" t="s">
        <v>257</v>
      </c>
      <c r="J127" t="s">
        <v>257</v>
      </c>
      <c r="K127" t="s">
        <v>258</v>
      </c>
      <c r="M127">
        <v>54</v>
      </c>
      <c r="N127">
        <v>160</v>
      </c>
      <c r="R127" t="s">
        <v>1133</v>
      </c>
      <c r="S127" t="s">
        <v>1250</v>
      </c>
      <c r="T127" t="s">
        <v>1574</v>
      </c>
      <c r="W127" t="s">
        <v>1575</v>
      </c>
      <c r="BA127" s="16">
        <f t="shared" si="29"/>
        <v>0</v>
      </c>
      <c r="CB127" s="16">
        <f t="shared" si="30"/>
        <v>0</v>
      </c>
      <c r="DE127" s="16">
        <f t="shared" si="31"/>
        <v>0</v>
      </c>
      <c r="DS127" s="16">
        <f t="shared" si="32"/>
        <v>0</v>
      </c>
      <c r="EF127" s="16">
        <f t="shared" si="33"/>
        <v>0</v>
      </c>
      <c r="EG127">
        <v>11700</v>
      </c>
      <c r="FI127" s="16">
        <f t="shared" si="34"/>
        <v>1</v>
      </c>
      <c r="FJ127" t="s">
        <v>1966</v>
      </c>
      <c r="FK127" t="s">
        <v>1967</v>
      </c>
      <c r="FL127" t="s">
        <v>1075</v>
      </c>
      <c r="HY127" s="16">
        <f t="shared" si="35"/>
        <v>3</v>
      </c>
      <c r="KM127" s="16">
        <f t="shared" si="36"/>
        <v>0</v>
      </c>
      <c r="MZ127" s="16">
        <f t="shared" si="37"/>
        <v>0</v>
      </c>
      <c r="OQ127" s="16">
        <f t="shared" si="38"/>
        <v>0</v>
      </c>
      <c r="OW127" s="33">
        <f t="shared" si="39"/>
        <v>0</v>
      </c>
      <c r="RD127" s="16">
        <f t="shared" si="40"/>
        <v>0</v>
      </c>
      <c r="RU127" s="16">
        <f t="shared" si="41"/>
        <v>0</v>
      </c>
      <c r="UE127" s="16">
        <f t="shared" si="42"/>
        <v>0</v>
      </c>
      <c r="VJ127" s="16">
        <f t="shared" si="43"/>
        <v>0</v>
      </c>
      <c r="WM127" s="16">
        <f t="shared" si="44"/>
        <v>0</v>
      </c>
      <c r="XH127" s="16">
        <f t="shared" si="45"/>
        <v>0</v>
      </c>
      <c r="YD127" s="16">
        <f t="shared" si="46"/>
        <v>0</v>
      </c>
      <c r="YX127" s="16">
        <f t="shared" si="47"/>
        <v>0</v>
      </c>
      <c r="YY127" t="s">
        <v>617</v>
      </c>
      <c r="ZR127" s="16">
        <f t="shared" si="48"/>
        <v>1</v>
      </c>
      <c r="ZX127" s="16">
        <f t="shared" si="49"/>
        <v>0</v>
      </c>
      <c r="AAT127" s="16">
        <f t="shared" si="50"/>
        <v>0</v>
      </c>
      <c r="AAU127">
        <v>301</v>
      </c>
      <c r="ABQ127" s="16">
        <f t="shared" si="51"/>
        <v>1</v>
      </c>
      <c r="ABV127" s="16">
        <f t="shared" si="52"/>
        <v>0</v>
      </c>
      <c r="ACC127" s="16">
        <f t="shared" si="53"/>
        <v>0</v>
      </c>
      <c r="ACQ127" s="16">
        <f t="shared" si="54"/>
        <v>0</v>
      </c>
      <c r="ADA127" s="16">
        <f t="shared" si="55"/>
        <v>0</v>
      </c>
      <c r="ADM127" s="16">
        <f t="shared" si="56"/>
        <v>0</v>
      </c>
      <c r="AEI127" s="16">
        <f t="shared" si="57"/>
        <v>0</v>
      </c>
    </row>
    <row r="128" spans="2:815" x14ac:dyDescent="0.25">
      <c r="B128" s="2" t="s">
        <v>201</v>
      </c>
      <c r="D128">
        <v>52</v>
      </c>
      <c r="E128" t="s">
        <v>14</v>
      </c>
      <c r="F128" t="s">
        <v>15</v>
      </c>
      <c r="G128" t="s">
        <v>15</v>
      </c>
      <c r="H128" t="s">
        <v>291</v>
      </c>
      <c r="I128" t="s">
        <v>243</v>
      </c>
      <c r="J128" t="s">
        <v>257</v>
      </c>
      <c r="K128" t="s">
        <v>256</v>
      </c>
      <c r="L128" t="s">
        <v>306</v>
      </c>
      <c r="M128">
        <v>60</v>
      </c>
      <c r="N128">
        <v>170</v>
      </c>
      <c r="O128" t="s">
        <v>1095</v>
      </c>
      <c r="R128" t="s">
        <v>1577</v>
      </c>
      <c r="S128" t="s">
        <v>1576</v>
      </c>
      <c r="T128" t="s">
        <v>1578</v>
      </c>
      <c r="BA128" s="16">
        <f t="shared" si="29"/>
        <v>0</v>
      </c>
      <c r="CB128" s="16">
        <f t="shared" si="30"/>
        <v>0</v>
      </c>
      <c r="DE128" s="16">
        <f t="shared" si="31"/>
        <v>0</v>
      </c>
      <c r="DS128" s="16">
        <f t="shared" si="32"/>
        <v>0</v>
      </c>
      <c r="EF128" s="16">
        <f t="shared" si="33"/>
        <v>0</v>
      </c>
      <c r="FI128" s="16">
        <f t="shared" si="34"/>
        <v>0</v>
      </c>
      <c r="HY128" s="16">
        <f t="shared" si="35"/>
        <v>0</v>
      </c>
      <c r="KM128" s="16">
        <f t="shared" si="36"/>
        <v>0</v>
      </c>
      <c r="MZ128" s="16">
        <f t="shared" si="37"/>
        <v>0</v>
      </c>
      <c r="OQ128" s="16">
        <f t="shared" si="38"/>
        <v>0</v>
      </c>
      <c r="OW128" s="33">
        <f t="shared" si="39"/>
        <v>0</v>
      </c>
      <c r="RD128" s="16">
        <f t="shared" si="40"/>
        <v>0</v>
      </c>
      <c r="RU128" s="16">
        <f t="shared" si="41"/>
        <v>0</v>
      </c>
      <c r="UE128" s="16">
        <f t="shared" si="42"/>
        <v>0</v>
      </c>
      <c r="VJ128" s="16">
        <f t="shared" si="43"/>
        <v>0</v>
      </c>
      <c r="WM128" s="16">
        <f t="shared" si="44"/>
        <v>0</v>
      </c>
      <c r="XH128" s="16">
        <f t="shared" si="45"/>
        <v>0</v>
      </c>
      <c r="YD128" s="16">
        <f t="shared" si="46"/>
        <v>0</v>
      </c>
      <c r="YX128" s="16">
        <f t="shared" si="47"/>
        <v>0</v>
      </c>
      <c r="ZR128" s="16">
        <f t="shared" si="48"/>
        <v>0</v>
      </c>
      <c r="ZX128" s="16">
        <f t="shared" si="49"/>
        <v>0</v>
      </c>
      <c r="AAT128" s="16">
        <f t="shared" si="50"/>
        <v>0</v>
      </c>
      <c r="ABQ128" s="16">
        <f t="shared" si="51"/>
        <v>0</v>
      </c>
      <c r="ABV128" s="16">
        <f t="shared" si="52"/>
        <v>0</v>
      </c>
      <c r="ACC128" s="16">
        <f t="shared" si="53"/>
        <v>0</v>
      </c>
      <c r="ACQ128" s="16">
        <f t="shared" si="54"/>
        <v>0</v>
      </c>
      <c r="ADA128" s="16">
        <f t="shared" si="55"/>
        <v>0</v>
      </c>
      <c r="ADM128" s="16">
        <f t="shared" si="56"/>
        <v>0</v>
      </c>
      <c r="AEI128" s="16">
        <f t="shared" si="57"/>
        <v>0</v>
      </c>
    </row>
    <row r="129" spans="1:815" x14ac:dyDescent="0.25">
      <c r="B129" s="4" t="s">
        <v>202</v>
      </c>
      <c r="C129" t="s">
        <v>141</v>
      </c>
      <c r="D129">
        <v>40</v>
      </c>
      <c r="E129" t="s">
        <v>14</v>
      </c>
      <c r="F129" t="s">
        <v>15</v>
      </c>
      <c r="G129" t="s">
        <v>9</v>
      </c>
      <c r="H129" t="s">
        <v>253</v>
      </c>
      <c r="I129" t="s">
        <v>243</v>
      </c>
      <c r="J129" t="s">
        <v>257</v>
      </c>
      <c r="L129" t="s">
        <v>306</v>
      </c>
      <c r="M129">
        <v>67</v>
      </c>
      <c r="N129">
        <v>186</v>
      </c>
      <c r="O129" t="s">
        <v>1096</v>
      </c>
      <c r="P129" s="11">
        <v>35844</v>
      </c>
      <c r="Q129" s="11">
        <v>35844</v>
      </c>
      <c r="R129" t="s">
        <v>1133</v>
      </c>
      <c r="S129" t="s">
        <v>1305</v>
      </c>
      <c r="T129" t="s">
        <v>1580</v>
      </c>
      <c r="W129" t="s">
        <v>1579</v>
      </c>
      <c r="Z129">
        <v>11</v>
      </c>
      <c r="AK129">
        <v>10</v>
      </c>
      <c r="AR129">
        <v>10</v>
      </c>
      <c r="AV129">
        <v>10</v>
      </c>
      <c r="AX129">
        <v>11</v>
      </c>
      <c r="BA129" s="16">
        <f t="shared" si="29"/>
        <v>5</v>
      </c>
      <c r="CB129" s="16">
        <f t="shared" si="30"/>
        <v>0</v>
      </c>
      <c r="DE129" s="16">
        <f t="shared" si="31"/>
        <v>0</v>
      </c>
      <c r="DS129" s="16">
        <f t="shared" si="32"/>
        <v>0</v>
      </c>
      <c r="EF129" s="16">
        <f t="shared" si="33"/>
        <v>0</v>
      </c>
      <c r="FI129" s="16">
        <f t="shared" si="34"/>
        <v>0</v>
      </c>
      <c r="FJ129">
        <v>34</v>
      </c>
      <c r="FX129">
        <v>14</v>
      </c>
      <c r="GH129">
        <v>9</v>
      </c>
      <c r="GO129">
        <v>11</v>
      </c>
      <c r="GT129">
        <v>10</v>
      </c>
      <c r="HY129" s="16">
        <f t="shared" si="35"/>
        <v>5</v>
      </c>
      <c r="HZ129">
        <v>144</v>
      </c>
      <c r="IM129">
        <v>46</v>
      </c>
      <c r="IW129">
        <v>17</v>
      </c>
      <c r="JD129">
        <v>13</v>
      </c>
      <c r="JI129">
        <v>13</v>
      </c>
      <c r="KM129" s="16">
        <f t="shared" si="36"/>
        <v>5</v>
      </c>
      <c r="KN129">
        <v>60</v>
      </c>
      <c r="KY129">
        <v>58</v>
      </c>
      <c r="LI129">
        <v>42</v>
      </c>
      <c r="LP129">
        <v>31</v>
      </c>
      <c r="LU129">
        <v>23</v>
      </c>
      <c r="MZ129" s="16">
        <f t="shared" si="37"/>
        <v>5</v>
      </c>
      <c r="NA129">
        <v>171</v>
      </c>
      <c r="NN129">
        <v>133</v>
      </c>
      <c r="NU129">
        <v>137</v>
      </c>
      <c r="OB129">
        <v>131</v>
      </c>
      <c r="OF129">
        <v>121</v>
      </c>
      <c r="OQ129" s="16">
        <f t="shared" si="38"/>
        <v>5</v>
      </c>
      <c r="OW129" s="33">
        <f t="shared" si="39"/>
        <v>0</v>
      </c>
      <c r="OX129" t="s">
        <v>1708</v>
      </c>
      <c r="PL129" t="s">
        <v>1709</v>
      </c>
      <c r="PV129" t="s">
        <v>1710</v>
      </c>
      <c r="QC129" t="s">
        <v>1711</v>
      </c>
      <c r="QG129" t="s">
        <v>1712</v>
      </c>
      <c r="RD129" s="16">
        <f t="shared" si="40"/>
        <v>5</v>
      </c>
      <c r="RU129" s="16">
        <f t="shared" si="41"/>
        <v>0</v>
      </c>
      <c r="RV129">
        <v>490</v>
      </c>
      <c r="SI129">
        <v>572</v>
      </c>
      <c r="SS129">
        <v>395</v>
      </c>
      <c r="SZ129">
        <v>312</v>
      </c>
      <c r="TE129">
        <v>262</v>
      </c>
      <c r="UE129" s="16">
        <f t="shared" si="42"/>
        <v>5</v>
      </c>
      <c r="VJ129" s="16">
        <f t="shared" si="43"/>
        <v>0</v>
      </c>
      <c r="VK129" t="s">
        <v>1738</v>
      </c>
      <c r="VW129" t="s">
        <v>1718</v>
      </c>
      <c r="WE129" t="s">
        <v>1718</v>
      </c>
      <c r="WG129" t="s">
        <v>1739</v>
      </c>
      <c r="WM129" s="16">
        <f t="shared" si="44"/>
        <v>4</v>
      </c>
      <c r="XH129" s="16">
        <f t="shared" si="45"/>
        <v>0</v>
      </c>
      <c r="YD129" s="16">
        <f t="shared" si="46"/>
        <v>0</v>
      </c>
      <c r="YX129" s="16">
        <f t="shared" si="47"/>
        <v>0</v>
      </c>
      <c r="ZR129" s="16">
        <f t="shared" si="48"/>
        <v>0</v>
      </c>
      <c r="ZX129" s="16">
        <f t="shared" si="49"/>
        <v>0</v>
      </c>
      <c r="ZY129">
        <v>0.56599999999999995</v>
      </c>
      <c r="AAJ129">
        <v>0.51</v>
      </c>
      <c r="AAP129">
        <v>0.51</v>
      </c>
      <c r="AAQ129">
        <v>35</v>
      </c>
      <c r="AAS129">
        <v>0.51</v>
      </c>
      <c r="AAT129" s="16">
        <f t="shared" si="50"/>
        <v>5</v>
      </c>
      <c r="ABQ129" s="16">
        <f t="shared" si="51"/>
        <v>0</v>
      </c>
      <c r="ABV129" s="16">
        <f t="shared" si="52"/>
        <v>0</v>
      </c>
      <c r="ACC129" s="16">
        <f t="shared" si="53"/>
        <v>0</v>
      </c>
      <c r="ACQ129" s="16">
        <f t="shared" si="54"/>
        <v>0</v>
      </c>
      <c r="ADA129" s="16">
        <f t="shared" si="55"/>
        <v>0</v>
      </c>
      <c r="ADM129" s="16">
        <f t="shared" si="56"/>
        <v>0</v>
      </c>
      <c r="AEI129" s="16">
        <f t="shared" si="57"/>
        <v>0</v>
      </c>
    </row>
    <row r="130" spans="1:815" x14ac:dyDescent="0.25">
      <c r="B130" s="2" t="s">
        <v>294</v>
      </c>
      <c r="D130" t="s">
        <v>203</v>
      </c>
      <c r="E130" t="s">
        <v>204</v>
      </c>
      <c r="F130" t="s">
        <v>205</v>
      </c>
      <c r="G130" t="s">
        <v>206</v>
      </c>
      <c r="H130" t="s">
        <v>292</v>
      </c>
      <c r="I130" t="s">
        <v>293</v>
      </c>
      <c r="J130" t="s">
        <v>295</v>
      </c>
      <c r="L130" t="s">
        <v>1581</v>
      </c>
      <c r="M130" t="s">
        <v>330</v>
      </c>
      <c r="N130" t="s">
        <v>331</v>
      </c>
      <c r="P130" t="s">
        <v>1582</v>
      </c>
      <c r="Q130" t="s">
        <v>1583</v>
      </c>
      <c r="R130" t="s">
        <v>1584</v>
      </c>
      <c r="S130" t="s">
        <v>1585</v>
      </c>
      <c r="BA130" s="16">
        <f t="shared" si="29"/>
        <v>0</v>
      </c>
      <c r="CB130" s="16">
        <f t="shared" si="30"/>
        <v>0</v>
      </c>
      <c r="DE130" s="16">
        <f t="shared" si="31"/>
        <v>0</v>
      </c>
      <c r="DS130" s="16">
        <f t="shared" si="32"/>
        <v>0</v>
      </c>
      <c r="EF130" s="16">
        <f t="shared" si="33"/>
        <v>0</v>
      </c>
      <c r="FI130" s="16">
        <f t="shared" si="34"/>
        <v>0</v>
      </c>
      <c r="FJ130">
        <v>47</v>
      </c>
      <c r="HY130" s="16">
        <f t="shared" si="35"/>
        <v>1</v>
      </c>
      <c r="HZ130">
        <v>82</v>
      </c>
      <c r="KM130" s="16">
        <f t="shared" si="36"/>
        <v>1</v>
      </c>
      <c r="KN130">
        <v>225</v>
      </c>
      <c r="MZ130" s="16">
        <f t="shared" si="37"/>
        <v>1</v>
      </c>
      <c r="NA130">
        <v>340</v>
      </c>
      <c r="OQ130" s="16">
        <f t="shared" si="38"/>
        <v>1</v>
      </c>
      <c r="OW130" s="33">
        <f t="shared" si="39"/>
        <v>0</v>
      </c>
      <c r="RD130" s="16">
        <f t="shared" si="40"/>
        <v>0</v>
      </c>
      <c r="RU130" s="16">
        <f t="shared" si="41"/>
        <v>0</v>
      </c>
      <c r="RV130">
        <v>486</v>
      </c>
      <c r="UE130" s="16">
        <f t="shared" si="42"/>
        <v>1</v>
      </c>
      <c r="VJ130" s="16">
        <f t="shared" si="43"/>
        <v>0</v>
      </c>
      <c r="WM130" s="16">
        <f t="shared" si="44"/>
        <v>0</v>
      </c>
      <c r="XH130" s="16">
        <f t="shared" si="45"/>
        <v>0</v>
      </c>
      <c r="YD130" s="16">
        <f t="shared" si="46"/>
        <v>0</v>
      </c>
      <c r="YX130" s="16">
        <f t="shared" si="47"/>
        <v>0</v>
      </c>
      <c r="ZR130" s="16">
        <f t="shared" si="48"/>
        <v>0</v>
      </c>
      <c r="ZX130" s="16">
        <f t="shared" si="49"/>
        <v>0</v>
      </c>
      <c r="AAT130" s="16">
        <f t="shared" si="50"/>
        <v>0</v>
      </c>
      <c r="ABQ130" s="16">
        <f t="shared" si="51"/>
        <v>0</v>
      </c>
      <c r="ABV130" s="16">
        <f t="shared" si="52"/>
        <v>0</v>
      </c>
      <c r="ACC130" s="16">
        <f t="shared" si="53"/>
        <v>0</v>
      </c>
      <c r="ACQ130" s="16">
        <f t="shared" si="54"/>
        <v>0</v>
      </c>
      <c r="ADA130" s="16">
        <f t="shared" si="55"/>
        <v>0</v>
      </c>
      <c r="ADM130" s="16">
        <f t="shared" si="56"/>
        <v>0</v>
      </c>
      <c r="AEI130" s="16">
        <f t="shared" si="57"/>
        <v>0</v>
      </c>
    </row>
    <row r="131" spans="1:815" x14ac:dyDescent="0.25">
      <c r="B131" s="2" t="s">
        <v>207</v>
      </c>
      <c r="D131">
        <v>3</v>
      </c>
      <c r="E131" t="s">
        <v>8</v>
      </c>
      <c r="F131" t="s">
        <v>9</v>
      </c>
      <c r="G131" t="s">
        <v>9</v>
      </c>
      <c r="I131" t="s">
        <v>243</v>
      </c>
      <c r="J131" t="s">
        <v>257</v>
      </c>
      <c r="K131" t="s">
        <v>296</v>
      </c>
      <c r="L131" t="s">
        <v>325</v>
      </c>
      <c r="P131" s="11">
        <v>35858</v>
      </c>
      <c r="Q131" s="11">
        <v>35858</v>
      </c>
      <c r="R131" t="s">
        <v>1133</v>
      </c>
      <c r="S131" t="s">
        <v>1586</v>
      </c>
      <c r="BA131" s="16">
        <f t="shared" ref="BA131:BA154" si="58">COUNTA(Z131:AZ131)</f>
        <v>0</v>
      </c>
      <c r="CB131" s="16">
        <f t="shared" ref="CB131:CB154" si="59">COUNTA(BB131:CA131)</f>
        <v>0</v>
      </c>
      <c r="DE131" s="16">
        <f t="shared" ref="DE131:DE154" si="60">COUNTA(CC131:DD131)</f>
        <v>0</v>
      </c>
      <c r="DS131" s="16">
        <f t="shared" ref="DS131:DS154" si="61">COUNTA(DG131:DR131)</f>
        <v>0</v>
      </c>
      <c r="EF131" s="16">
        <f t="shared" ref="EF131:EF154" si="62">COUNTA(DT131:EE131)</f>
        <v>0</v>
      </c>
      <c r="EG131">
        <v>17600</v>
      </c>
      <c r="FI131" s="16">
        <f t="shared" ref="FI131:FI154" si="63">COUNTA(EG131:FH131)</f>
        <v>1</v>
      </c>
      <c r="FJ131">
        <v>41</v>
      </c>
      <c r="FN131">
        <v>84</v>
      </c>
      <c r="FX131">
        <v>36</v>
      </c>
      <c r="HY131" s="16">
        <f t="shared" ref="HY131:HY154" si="64">COUNTA(FJ131:HX131)</f>
        <v>3</v>
      </c>
      <c r="HZ131">
        <v>23</v>
      </c>
      <c r="IC131">
        <v>55</v>
      </c>
      <c r="IM131">
        <v>32</v>
      </c>
      <c r="KM131" s="16">
        <f t="shared" ref="KM131:KM154" si="65">COUNTA(HZ131:KL131)</f>
        <v>3</v>
      </c>
      <c r="KN131">
        <v>12</v>
      </c>
      <c r="MZ131" s="16">
        <f t="shared" ref="MZ131:MZ154" si="66">COUNTA(KN131:MY131)</f>
        <v>1</v>
      </c>
      <c r="OQ131" s="16">
        <f t="shared" ref="OQ131:OQ154" si="67">COUNTA(NA131:OP131)</f>
        <v>0</v>
      </c>
      <c r="OW131" s="33">
        <f t="shared" ref="OW131:OW154" si="68">COUNTA(OR131:OV131)</f>
        <v>0</v>
      </c>
      <c r="OX131" t="s">
        <v>1674</v>
      </c>
      <c r="RD131" s="16">
        <f t="shared" ref="RD131:RD154" si="69">COUNTA(OX131:RC131)</f>
        <v>1</v>
      </c>
      <c r="RU131" s="16">
        <f t="shared" ref="RU131:RU154" si="70">COUNTA(RE131:RT131)</f>
        <v>0</v>
      </c>
      <c r="RV131">
        <v>191</v>
      </c>
      <c r="SB131">
        <v>154</v>
      </c>
      <c r="UE131" s="16">
        <f t="shared" ref="UE131:UE154" si="71">COUNTA(RV131:UD131)</f>
        <v>2</v>
      </c>
      <c r="VJ131" s="16">
        <f t="shared" ref="VJ131:VJ154" si="72">COUNTA(UF131:VI131)</f>
        <v>0</v>
      </c>
      <c r="VK131" t="s">
        <v>544</v>
      </c>
      <c r="WM131" s="16">
        <f t="shared" ref="WM131:WM154" si="73">COUNTA(VK131:WL131)</f>
        <v>1</v>
      </c>
      <c r="XH131" s="16">
        <f t="shared" ref="XH131:XH154" si="74">COUNTA(WN131:XG131)</f>
        <v>0</v>
      </c>
      <c r="XI131">
        <v>70</v>
      </c>
      <c r="YD131" s="16">
        <f t="shared" ref="YD131:YD154" si="75">COUNTA(XI131:YC131)</f>
        <v>1</v>
      </c>
      <c r="YE131">
        <v>55</v>
      </c>
      <c r="YX131" s="16">
        <f t="shared" ref="YX131:YX154" si="76">COUNTA(YE131:YW131)</f>
        <v>1</v>
      </c>
      <c r="YY131" t="s">
        <v>2027</v>
      </c>
      <c r="ZR131" s="16">
        <f t="shared" ref="ZR131:ZR154" si="77">COUNTA(YY131:ZQ131)</f>
        <v>1</v>
      </c>
      <c r="ZX131" s="16">
        <f t="shared" ref="ZX131:ZX154" si="78">COUNTA(ZS131:ZW131)</f>
        <v>0</v>
      </c>
      <c r="ZY131">
        <v>0.06</v>
      </c>
      <c r="AAT131" s="16">
        <f t="shared" ref="AAT131:AAT154" si="79">COUNTA(ZY131:AAS131)</f>
        <v>1</v>
      </c>
      <c r="AAU131">
        <v>495</v>
      </c>
      <c r="ABQ131" s="16">
        <f t="shared" ref="ABQ131:ABQ154" si="80">COUNTA(AAU131,ABP131)</f>
        <v>1</v>
      </c>
      <c r="ABV131" s="16">
        <f t="shared" ref="ABV131:ABV154" si="81">COUNTA(ABR131:ABU131)</f>
        <v>0</v>
      </c>
      <c r="ACC131" s="16">
        <f t="shared" ref="ACC131:ACC154" si="82">COUNTA(ABW131:ACB131)</f>
        <v>0</v>
      </c>
      <c r="ACQ131" s="16">
        <f t="shared" ref="ACQ131:ACQ154" si="83">COUNTA(ACH131:ACP131)</f>
        <v>0</v>
      </c>
      <c r="ADA131" s="16">
        <f t="shared" ref="ADA131:ADA154" si="84">COUNTA(ACV131:ACZ131)</f>
        <v>0</v>
      </c>
      <c r="ADM131" s="16">
        <f t="shared" ref="ADM131:ADM154" si="85">COUNTA(ADB131:ADL131)</f>
        <v>0</v>
      </c>
      <c r="ADN131">
        <v>134</v>
      </c>
      <c r="AEI131" s="16">
        <f t="shared" ref="AEI131:AEI154" si="86">COUNTA(ADN131:AEH131)</f>
        <v>1</v>
      </c>
    </row>
    <row r="132" spans="1:815" x14ac:dyDescent="0.25">
      <c r="B132" s="4" t="s">
        <v>208</v>
      </c>
      <c r="D132">
        <v>14</v>
      </c>
      <c r="E132" t="s">
        <v>8</v>
      </c>
      <c r="F132" t="s">
        <v>9</v>
      </c>
      <c r="G132" t="s">
        <v>15</v>
      </c>
      <c r="I132" t="s">
        <v>257</v>
      </c>
      <c r="J132" t="s">
        <v>257</v>
      </c>
      <c r="K132" t="s">
        <v>1588</v>
      </c>
      <c r="L132" t="s">
        <v>326</v>
      </c>
      <c r="S132" t="s">
        <v>1355</v>
      </c>
      <c r="V132" t="s">
        <v>1587</v>
      </c>
      <c r="BA132" s="16">
        <f t="shared" si="58"/>
        <v>0</v>
      </c>
      <c r="CB132" s="16">
        <f t="shared" si="59"/>
        <v>0</v>
      </c>
      <c r="DE132" s="16">
        <f t="shared" si="60"/>
        <v>0</v>
      </c>
      <c r="DS132" s="16">
        <f t="shared" si="61"/>
        <v>0</v>
      </c>
      <c r="EF132" s="16">
        <f t="shared" si="62"/>
        <v>0</v>
      </c>
      <c r="FI132" s="16">
        <f t="shared" si="63"/>
        <v>0</v>
      </c>
      <c r="HY132" s="16">
        <f t="shared" si="64"/>
        <v>0</v>
      </c>
      <c r="KM132" s="16">
        <f t="shared" si="65"/>
        <v>0</v>
      </c>
      <c r="MZ132" s="16">
        <f t="shared" si="66"/>
        <v>0</v>
      </c>
      <c r="OQ132" s="16">
        <f t="shared" si="67"/>
        <v>0</v>
      </c>
      <c r="OW132" s="33">
        <f t="shared" si="68"/>
        <v>0</v>
      </c>
      <c r="RD132" s="16">
        <f t="shared" si="69"/>
        <v>0</v>
      </c>
      <c r="RU132" s="16">
        <f t="shared" si="70"/>
        <v>0</v>
      </c>
      <c r="UE132" s="16">
        <f t="shared" si="71"/>
        <v>0</v>
      </c>
      <c r="VJ132" s="16">
        <f t="shared" si="72"/>
        <v>0</v>
      </c>
      <c r="WM132" s="16">
        <f t="shared" si="73"/>
        <v>0</v>
      </c>
      <c r="XH132" s="16">
        <f t="shared" si="74"/>
        <v>0</v>
      </c>
      <c r="YD132" s="16">
        <f t="shared" si="75"/>
        <v>0</v>
      </c>
      <c r="YX132" s="16">
        <f t="shared" si="76"/>
        <v>0</v>
      </c>
      <c r="ZR132" s="16">
        <f t="shared" si="77"/>
        <v>0</v>
      </c>
      <c r="ZX132" s="16">
        <f t="shared" si="78"/>
        <v>0</v>
      </c>
      <c r="AAT132" s="16">
        <f t="shared" si="79"/>
        <v>0</v>
      </c>
      <c r="ABQ132" s="16">
        <f t="shared" si="80"/>
        <v>0</v>
      </c>
      <c r="ABV132" s="16">
        <f t="shared" si="81"/>
        <v>0</v>
      </c>
      <c r="ACC132" s="16">
        <f t="shared" si="82"/>
        <v>0</v>
      </c>
      <c r="ACQ132" s="16">
        <f t="shared" si="83"/>
        <v>0</v>
      </c>
      <c r="ADA132" s="16">
        <f t="shared" si="84"/>
        <v>0</v>
      </c>
      <c r="ADM132" s="16">
        <f t="shared" si="85"/>
        <v>0</v>
      </c>
      <c r="AEI132" s="16">
        <f t="shared" si="86"/>
        <v>0</v>
      </c>
    </row>
    <row r="133" spans="1:815" x14ac:dyDescent="0.25">
      <c r="B133" s="2" t="s">
        <v>1589</v>
      </c>
      <c r="C133" t="s">
        <v>129</v>
      </c>
      <c r="D133">
        <v>1</v>
      </c>
      <c r="E133" t="s">
        <v>14</v>
      </c>
      <c r="F133" t="s">
        <v>9</v>
      </c>
      <c r="G133" t="s">
        <v>15</v>
      </c>
      <c r="H133" t="s">
        <v>249</v>
      </c>
      <c r="I133" t="s">
        <v>243</v>
      </c>
      <c r="J133" t="s">
        <v>257</v>
      </c>
      <c r="L133" t="s">
        <v>314</v>
      </c>
      <c r="M133">
        <v>13</v>
      </c>
      <c r="N133">
        <v>82</v>
      </c>
      <c r="P133" s="11" t="s">
        <v>1595</v>
      </c>
      <c r="Q133" s="11" t="s">
        <v>1594</v>
      </c>
      <c r="R133" s="11" t="s">
        <v>1596</v>
      </c>
      <c r="S133" t="s">
        <v>1593</v>
      </c>
      <c r="T133" t="s">
        <v>1590</v>
      </c>
      <c r="U133" t="s">
        <v>1592</v>
      </c>
      <c r="V133" t="s">
        <v>1591</v>
      </c>
      <c r="BA133" s="16">
        <f t="shared" si="58"/>
        <v>0</v>
      </c>
      <c r="CB133" s="16">
        <f t="shared" si="59"/>
        <v>0</v>
      </c>
      <c r="DE133" s="16">
        <f t="shared" si="60"/>
        <v>0</v>
      </c>
      <c r="DS133" s="16">
        <f t="shared" si="61"/>
        <v>0</v>
      </c>
      <c r="EF133" s="16">
        <f t="shared" si="62"/>
        <v>0</v>
      </c>
      <c r="FI133" s="16">
        <f t="shared" si="63"/>
        <v>0</v>
      </c>
      <c r="HY133" s="16">
        <f t="shared" si="64"/>
        <v>0</v>
      </c>
      <c r="KM133" s="16">
        <f t="shared" si="65"/>
        <v>0</v>
      </c>
      <c r="MZ133" s="16">
        <f t="shared" si="66"/>
        <v>0</v>
      </c>
      <c r="OQ133" s="16">
        <f t="shared" si="67"/>
        <v>0</v>
      </c>
      <c r="OW133" s="33">
        <f t="shared" si="68"/>
        <v>0</v>
      </c>
      <c r="RD133" s="16">
        <f t="shared" si="69"/>
        <v>0</v>
      </c>
      <c r="RU133" s="16">
        <f t="shared" si="70"/>
        <v>0</v>
      </c>
      <c r="UE133" s="16">
        <f t="shared" si="71"/>
        <v>0</v>
      </c>
      <c r="VJ133" s="16">
        <f t="shared" si="72"/>
        <v>0</v>
      </c>
      <c r="WM133" s="16">
        <f t="shared" si="73"/>
        <v>0</v>
      </c>
      <c r="XH133" s="16">
        <f t="shared" si="74"/>
        <v>0</v>
      </c>
      <c r="YD133" s="16">
        <f t="shared" si="75"/>
        <v>0</v>
      </c>
      <c r="YX133" s="16">
        <f t="shared" si="76"/>
        <v>0</v>
      </c>
      <c r="ZR133" s="16">
        <f t="shared" si="77"/>
        <v>0</v>
      </c>
      <c r="ZX133" s="16">
        <f t="shared" si="78"/>
        <v>0</v>
      </c>
      <c r="AAT133" s="16">
        <f t="shared" si="79"/>
        <v>0</v>
      </c>
      <c r="ABQ133" s="16">
        <f t="shared" si="80"/>
        <v>0</v>
      </c>
      <c r="ABV133" s="16">
        <f t="shared" si="81"/>
        <v>0</v>
      </c>
      <c r="ACC133" s="16">
        <f t="shared" si="82"/>
        <v>0</v>
      </c>
      <c r="ACQ133" s="16">
        <f t="shared" si="83"/>
        <v>0</v>
      </c>
      <c r="ADA133" s="16">
        <f t="shared" si="84"/>
        <v>0</v>
      </c>
      <c r="ADM133" s="16">
        <f t="shared" si="85"/>
        <v>0</v>
      </c>
      <c r="AEI133" s="16">
        <f t="shared" si="86"/>
        <v>0</v>
      </c>
    </row>
    <row r="134" spans="1:815" x14ac:dyDescent="0.25">
      <c r="A134" t="s">
        <v>2066</v>
      </c>
      <c r="B134" s="2" t="s">
        <v>209</v>
      </c>
      <c r="C134" t="s">
        <v>210</v>
      </c>
      <c r="D134">
        <v>88</v>
      </c>
      <c r="E134" t="s">
        <v>8</v>
      </c>
      <c r="F134" t="s">
        <v>9</v>
      </c>
      <c r="G134" t="s">
        <v>9</v>
      </c>
      <c r="H134" t="s">
        <v>253</v>
      </c>
      <c r="I134" t="s">
        <v>243</v>
      </c>
      <c r="J134" t="s">
        <v>257</v>
      </c>
      <c r="L134" t="s">
        <v>314</v>
      </c>
      <c r="M134">
        <v>55</v>
      </c>
      <c r="N134">
        <v>160</v>
      </c>
      <c r="O134" t="s">
        <v>1097</v>
      </c>
      <c r="P134" s="11" t="s">
        <v>1598</v>
      </c>
      <c r="Q134" s="11" t="s">
        <v>1599</v>
      </c>
      <c r="R134" t="s">
        <v>1600</v>
      </c>
      <c r="S134" t="s">
        <v>1601</v>
      </c>
      <c r="T134" t="s">
        <v>1597</v>
      </c>
      <c r="U134" t="s">
        <v>1602</v>
      </c>
      <c r="V134" t="s">
        <v>1462</v>
      </c>
      <c r="BA134" s="16">
        <f t="shared" si="58"/>
        <v>0</v>
      </c>
      <c r="CB134" s="16">
        <f t="shared" si="59"/>
        <v>0</v>
      </c>
      <c r="DE134" s="16">
        <f t="shared" si="60"/>
        <v>0</v>
      </c>
      <c r="DS134" s="16">
        <f t="shared" si="61"/>
        <v>0</v>
      </c>
      <c r="EF134" s="16">
        <f t="shared" si="62"/>
        <v>0</v>
      </c>
      <c r="EG134">
        <v>6000</v>
      </c>
      <c r="FB134">
        <v>11400</v>
      </c>
      <c r="FI134" s="16">
        <f t="shared" si="63"/>
        <v>2</v>
      </c>
      <c r="GC134">
        <v>28</v>
      </c>
      <c r="HY134" s="16">
        <f t="shared" si="64"/>
        <v>1</v>
      </c>
      <c r="KM134" s="16">
        <f t="shared" si="65"/>
        <v>0</v>
      </c>
      <c r="KY134">
        <v>27</v>
      </c>
      <c r="MZ134" s="16">
        <f t="shared" si="66"/>
        <v>1</v>
      </c>
      <c r="NN134">
        <v>249</v>
      </c>
      <c r="OQ134" s="16">
        <f t="shared" si="67"/>
        <v>1</v>
      </c>
      <c r="OW134" s="33">
        <f t="shared" si="68"/>
        <v>0</v>
      </c>
      <c r="RD134" s="16">
        <f t="shared" si="69"/>
        <v>0</v>
      </c>
      <c r="RU134" s="16">
        <f t="shared" si="70"/>
        <v>0</v>
      </c>
      <c r="UE134" s="16">
        <f t="shared" si="71"/>
        <v>0</v>
      </c>
      <c r="VJ134" s="16">
        <f t="shared" si="72"/>
        <v>0</v>
      </c>
      <c r="WM134" s="16">
        <f t="shared" si="73"/>
        <v>0</v>
      </c>
      <c r="XH134" s="16">
        <f t="shared" si="74"/>
        <v>0</v>
      </c>
      <c r="YD134" s="16">
        <f t="shared" si="75"/>
        <v>0</v>
      </c>
      <c r="YX134" s="16">
        <f t="shared" si="76"/>
        <v>0</v>
      </c>
      <c r="ZR134" s="16">
        <f t="shared" si="77"/>
        <v>0</v>
      </c>
      <c r="ZX134" s="16">
        <f t="shared" si="78"/>
        <v>0</v>
      </c>
      <c r="AAJ134">
        <v>0.42</v>
      </c>
      <c r="AAT134" s="16">
        <f t="shared" si="79"/>
        <v>1</v>
      </c>
      <c r="ABQ134" s="16">
        <f t="shared" si="80"/>
        <v>0</v>
      </c>
      <c r="ABV134" s="16">
        <f t="shared" si="81"/>
        <v>0</v>
      </c>
      <c r="ACC134" s="16">
        <f t="shared" si="82"/>
        <v>0</v>
      </c>
      <c r="ACQ134" s="16">
        <f t="shared" si="83"/>
        <v>0</v>
      </c>
      <c r="ADA134" s="16">
        <f t="shared" si="84"/>
        <v>0</v>
      </c>
      <c r="ADM134" s="16">
        <f t="shared" si="85"/>
        <v>0</v>
      </c>
      <c r="AEI134" s="16">
        <f t="shared" si="86"/>
        <v>0</v>
      </c>
    </row>
    <row r="135" spans="1:815" x14ac:dyDescent="0.25">
      <c r="A135" t="s">
        <v>2066</v>
      </c>
      <c r="B135" s="3" t="s">
        <v>211</v>
      </c>
      <c r="C135" t="s">
        <v>180</v>
      </c>
      <c r="D135">
        <v>38</v>
      </c>
      <c r="E135" t="s">
        <v>8</v>
      </c>
      <c r="F135" t="s">
        <v>9</v>
      </c>
      <c r="G135" t="s">
        <v>9</v>
      </c>
      <c r="H135" t="s">
        <v>297</v>
      </c>
      <c r="I135" t="s">
        <v>243</v>
      </c>
      <c r="J135" t="s">
        <v>257</v>
      </c>
      <c r="L135" t="s">
        <v>1605</v>
      </c>
      <c r="M135">
        <v>66</v>
      </c>
      <c r="N135">
        <v>162</v>
      </c>
      <c r="O135" t="s">
        <v>1098</v>
      </c>
      <c r="P135" s="11" t="s">
        <v>1607</v>
      </c>
      <c r="Q135" s="11" t="s">
        <v>1608</v>
      </c>
      <c r="R135" t="s">
        <v>1609</v>
      </c>
      <c r="S135" t="s">
        <v>1610</v>
      </c>
      <c r="T135" t="s">
        <v>1604</v>
      </c>
      <c r="U135" t="s">
        <v>1603</v>
      </c>
      <c r="W135" t="s">
        <v>1606</v>
      </c>
      <c r="BA135" s="16">
        <f t="shared" si="58"/>
        <v>0</v>
      </c>
      <c r="CB135" s="16">
        <f t="shared" si="59"/>
        <v>0</v>
      </c>
      <c r="DE135" s="16">
        <f t="shared" si="60"/>
        <v>0</v>
      </c>
      <c r="DS135" s="16">
        <f t="shared" si="61"/>
        <v>0</v>
      </c>
      <c r="EF135" s="16">
        <f t="shared" si="62"/>
        <v>0</v>
      </c>
      <c r="EG135">
        <v>7700</v>
      </c>
      <c r="FD135">
        <v>4300</v>
      </c>
      <c r="FI135" s="16">
        <f t="shared" si="63"/>
        <v>2</v>
      </c>
      <c r="GE135">
        <v>31</v>
      </c>
      <c r="HY135" s="16">
        <f t="shared" si="64"/>
        <v>1</v>
      </c>
      <c r="IT135">
        <v>30</v>
      </c>
      <c r="KM135" s="16">
        <f t="shared" si="65"/>
        <v>1</v>
      </c>
      <c r="LC135">
        <v>75</v>
      </c>
      <c r="MZ135" s="16">
        <f t="shared" si="66"/>
        <v>1</v>
      </c>
      <c r="NA135">
        <v>487</v>
      </c>
      <c r="OQ135" s="16">
        <f t="shared" si="67"/>
        <v>1</v>
      </c>
      <c r="OT135" s="32">
        <v>11</v>
      </c>
      <c r="OW135" s="33">
        <f t="shared" si="68"/>
        <v>1</v>
      </c>
      <c r="RD135" s="16">
        <f t="shared" si="69"/>
        <v>0</v>
      </c>
      <c r="RU135" s="16">
        <f t="shared" si="70"/>
        <v>0</v>
      </c>
      <c r="UE135" s="16">
        <f t="shared" si="71"/>
        <v>0</v>
      </c>
      <c r="VJ135" s="16">
        <f t="shared" si="72"/>
        <v>0</v>
      </c>
      <c r="WM135" s="16">
        <f t="shared" si="73"/>
        <v>0</v>
      </c>
      <c r="XH135" s="16">
        <f t="shared" si="74"/>
        <v>0</v>
      </c>
      <c r="YD135" s="16">
        <f t="shared" si="75"/>
        <v>0</v>
      </c>
      <c r="YX135" s="16">
        <f t="shared" si="76"/>
        <v>0</v>
      </c>
      <c r="ZR135" s="16">
        <f t="shared" si="77"/>
        <v>0</v>
      </c>
      <c r="ZX135" s="16">
        <f t="shared" si="78"/>
        <v>0</v>
      </c>
      <c r="AAT135" s="16">
        <f t="shared" si="79"/>
        <v>0</v>
      </c>
      <c r="ABQ135" s="16">
        <f t="shared" si="80"/>
        <v>0</v>
      </c>
      <c r="ABV135" s="16">
        <f t="shared" si="81"/>
        <v>0</v>
      </c>
      <c r="ACC135" s="16">
        <f t="shared" si="82"/>
        <v>0</v>
      </c>
      <c r="ACQ135" s="16">
        <f t="shared" si="83"/>
        <v>0</v>
      </c>
      <c r="ADA135" s="16">
        <f t="shared" si="84"/>
        <v>0</v>
      </c>
      <c r="ADM135" s="16">
        <f t="shared" si="85"/>
        <v>0</v>
      </c>
      <c r="AEI135" s="16">
        <f t="shared" si="86"/>
        <v>0</v>
      </c>
    </row>
    <row r="136" spans="1:815" x14ac:dyDescent="0.25">
      <c r="A136" t="s">
        <v>2062</v>
      </c>
      <c r="B136" s="3" t="s">
        <v>212</v>
      </c>
      <c r="C136" t="s">
        <v>213</v>
      </c>
      <c r="D136">
        <v>47</v>
      </c>
      <c r="E136" t="s">
        <v>14</v>
      </c>
      <c r="F136" t="s">
        <v>9</v>
      </c>
      <c r="G136" t="s">
        <v>9</v>
      </c>
      <c r="H136" t="s">
        <v>253</v>
      </c>
      <c r="I136" t="s">
        <v>243</v>
      </c>
      <c r="J136" t="s">
        <v>257</v>
      </c>
      <c r="L136" t="s">
        <v>1612</v>
      </c>
      <c r="M136">
        <v>84</v>
      </c>
      <c r="N136">
        <v>170</v>
      </c>
      <c r="O136" t="s">
        <v>1099</v>
      </c>
      <c r="T136" t="s">
        <v>1613</v>
      </c>
      <c r="V136" t="s">
        <v>1611</v>
      </c>
      <c r="W136" t="s">
        <v>1614</v>
      </c>
      <c r="BA136" s="16">
        <f t="shared" si="58"/>
        <v>0</v>
      </c>
      <c r="CB136" s="16">
        <f t="shared" si="59"/>
        <v>0</v>
      </c>
      <c r="DE136" s="16">
        <f t="shared" si="60"/>
        <v>0</v>
      </c>
      <c r="DS136" s="16">
        <f t="shared" si="61"/>
        <v>0</v>
      </c>
      <c r="EF136" s="16">
        <f t="shared" si="62"/>
        <v>0</v>
      </c>
      <c r="EG136">
        <v>6400</v>
      </c>
      <c r="EH136">
        <v>8700</v>
      </c>
      <c r="FI136" s="16">
        <f t="shared" si="63"/>
        <v>2</v>
      </c>
      <c r="FJ136">
        <v>16</v>
      </c>
      <c r="HY136" s="16">
        <f t="shared" si="64"/>
        <v>1</v>
      </c>
      <c r="HZ136">
        <v>26</v>
      </c>
      <c r="KM136" s="16">
        <f t="shared" si="65"/>
        <v>1</v>
      </c>
      <c r="KN136">
        <v>27</v>
      </c>
      <c r="MZ136" s="16">
        <f t="shared" si="66"/>
        <v>1</v>
      </c>
      <c r="NA136">
        <v>299</v>
      </c>
      <c r="OQ136" s="16">
        <f t="shared" si="67"/>
        <v>1</v>
      </c>
      <c r="OW136" s="33">
        <f t="shared" si="68"/>
        <v>0</v>
      </c>
      <c r="RD136" s="16">
        <f t="shared" si="69"/>
        <v>0</v>
      </c>
      <c r="RU136" s="16">
        <f t="shared" si="70"/>
        <v>0</v>
      </c>
      <c r="UE136" s="16">
        <f t="shared" si="71"/>
        <v>0</v>
      </c>
      <c r="VJ136" s="16">
        <f t="shared" si="72"/>
        <v>0</v>
      </c>
      <c r="WM136" s="16">
        <f t="shared" si="73"/>
        <v>0</v>
      </c>
      <c r="XH136" s="16">
        <f t="shared" si="74"/>
        <v>0</v>
      </c>
      <c r="YD136" s="16">
        <f t="shared" si="75"/>
        <v>0</v>
      </c>
      <c r="YX136" s="16">
        <f t="shared" si="76"/>
        <v>0</v>
      </c>
      <c r="ZR136" s="16">
        <f t="shared" si="77"/>
        <v>0</v>
      </c>
      <c r="ZX136" s="16">
        <f t="shared" si="78"/>
        <v>0</v>
      </c>
      <c r="AAT136" s="16">
        <f t="shared" si="79"/>
        <v>0</v>
      </c>
      <c r="ABQ136" s="16">
        <f t="shared" si="80"/>
        <v>0</v>
      </c>
      <c r="ABV136" s="16">
        <f t="shared" si="81"/>
        <v>0</v>
      </c>
      <c r="ACC136" s="16">
        <f t="shared" si="82"/>
        <v>0</v>
      </c>
      <c r="ACQ136" s="16">
        <f t="shared" si="83"/>
        <v>0</v>
      </c>
      <c r="ADA136" s="16">
        <f t="shared" si="84"/>
        <v>0</v>
      </c>
      <c r="ADM136" s="16">
        <f t="shared" si="85"/>
        <v>0</v>
      </c>
      <c r="AEI136" s="16">
        <f t="shared" si="86"/>
        <v>0</v>
      </c>
    </row>
    <row r="137" spans="1:815" x14ac:dyDescent="0.25">
      <c r="A137" t="s">
        <v>2066</v>
      </c>
      <c r="B137" s="2" t="s">
        <v>214</v>
      </c>
      <c r="C137" t="s">
        <v>215</v>
      </c>
      <c r="D137">
        <v>56</v>
      </c>
      <c r="E137" t="s">
        <v>14</v>
      </c>
      <c r="F137" t="s">
        <v>9</v>
      </c>
      <c r="G137" t="s">
        <v>9</v>
      </c>
      <c r="H137" t="s">
        <v>268</v>
      </c>
      <c r="I137" t="s">
        <v>243</v>
      </c>
      <c r="J137" t="s">
        <v>257</v>
      </c>
      <c r="L137" t="s">
        <v>314</v>
      </c>
      <c r="M137">
        <v>80</v>
      </c>
      <c r="N137">
        <v>172</v>
      </c>
      <c r="O137">
        <v>27</v>
      </c>
      <c r="Q137" s="11" t="s">
        <v>1618</v>
      </c>
      <c r="S137" t="s">
        <v>1620</v>
      </c>
      <c r="T137" t="s">
        <v>1615</v>
      </c>
      <c r="U137" t="s">
        <v>1619</v>
      </c>
      <c r="V137" t="s">
        <v>1616</v>
      </c>
      <c r="W137" t="s">
        <v>1617</v>
      </c>
      <c r="BA137" s="16">
        <f t="shared" si="58"/>
        <v>0</v>
      </c>
      <c r="CB137" s="16">
        <f t="shared" si="59"/>
        <v>0</v>
      </c>
      <c r="DE137" s="16">
        <f t="shared" si="60"/>
        <v>0</v>
      </c>
      <c r="DS137" s="16">
        <f t="shared" si="61"/>
        <v>0</v>
      </c>
      <c r="EF137" s="16">
        <f t="shared" si="62"/>
        <v>0</v>
      </c>
      <c r="FI137" s="16">
        <f t="shared" si="63"/>
        <v>0</v>
      </c>
      <c r="HY137" s="16">
        <f t="shared" si="64"/>
        <v>0</v>
      </c>
      <c r="KM137" s="16">
        <f t="shared" si="65"/>
        <v>0</v>
      </c>
      <c r="KN137" t="s">
        <v>1952</v>
      </c>
      <c r="MZ137" s="16">
        <f t="shared" si="66"/>
        <v>1</v>
      </c>
      <c r="OQ137" s="16">
        <f t="shared" si="67"/>
        <v>0</v>
      </c>
      <c r="OW137" s="33">
        <f t="shared" si="68"/>
        <v>0</v>
      </c>
      <c r="RD137" s="16">
        <f t="shared" si="69"/>
        <v>0</v>
      </c>
      <c r="RU137" s="16">
        <f t="shared" si="70"/>
        <v>0</v>
      </c>
      <c r="UE137" s="16">
        <f t="shared" si="71"/>
        <v>0</v>
      </c>
      <c r="VJ137" s="16">
        <f t="shared" si="72"/>
        <v>0</v>
      </c>
      <c r="WM137" s="16">
        <f t="shared" si="73"/>
        <v>0</v>
      </c>
      <c r="XH137" s="16">
        <f t="shared" si="74"/>
        <v>0</v>
      </c>
      <c r="YD137" s="16">
        <f t="shared" si="75"/>
        <v>0</v>
      </c>
      <c r="YX137" s="16">
        <f t="shared" si="76"/>
        <v>0</v>
      </c>
      <c r="ZR137" s="16">
        <f t="shared" si="77"/>
        <v>0</v>
      </c>
      <c r="ZX137" s="16">
        <f t="shared" si="78"/>
        <v>0</v>
      </c>
      <c r="AAT137" s="16">
        <f t="shared" si="79"/>
        <v>0</v>
      </c>
      <c r="ABQ137" s="16">
        <f t="shared" si="80"/>
        <v>0</v>
      </c>
      <c r="ABV137" s="16">
        <f t="shared" si="81"/>
        <v>0</v>
      </c>
      <c r="ACC137" s="16">
        <f t="shared" si="82"/>
        <v>0</v>
      </c>
      <c r="ACQ137" s="16">
        <f t="shared" si="83"/>
        <v>0</v>
      </c>
      <c r="ADA137" s="16">
        <f t="shared" si="84"/>
        <v>0</v>
      </c>
      <c r="ADM137" s="16">
        <f t="shared" si="85"/>
        <v>0</v>
      </c>
      <c r="AEI137" s="16">
        <f t="shared" si="86"/>
        <v>0</v>
      </c>
    </row>
    <row r="138" spans="1:815" x14ac:dyDescent="0.25">
      <c r="A138" t="s">
        <v>2066</v>
      </c>
      <c r="B138" s="2" t="s">
        <v>216</v>
      </c>
      <c r="C138" t="s">
        <v>217</v>
      </c>
      <c r="D138">
        <v>58</v>
      </c>
      <c r="E138" t="s">
        <v>8</v>
      </c>
      <c r="F138" t="s">
        <v>9</v>
      </c>
      <c r="G138" t="s">
        <v>9</v>
      </c>
      <c r="H138" t="s">
        <v>298</v>
      </c>
      <c r="I138" t="s">
        <v>243</v>
      </c>
      <c r="J138" t="s">
        <v>257</v>
      </c>
      <c r="L138" t="s">
        <v>314</v>
      </c>
      <c r="M138">
        <v>60</v>
      </c>
      <c r="N138">
        <v>163</v>
      </c>
      <c r="O138" t="s">
        <v>1092</v>
      </c>
      <c r="P138" t="s">
        <v>1624</v>
      </c>
      <c r="Q138" s="11" t="s">
        <v>1624</v>
      </c>
      <c r="R138" t="s">
        <v>1625</v>
      </c>
      <c r="S138" t="s">
        <v>1250</v>
      </c>
      <c r="T138" t="s">
        <v>1621</v>
      </c>
      <c r="V138" t="s">
        <v>1622</v>
      </c>
      <c r="W138" t="s">
        <v>1623</v>
      </c>
      <c r="BA138" s="16">
        <f t="shared" si="58"/>
        <v>0</v>
      </c>
      <c r="CB138" s="16">
        <f t="shared" si="59"/>
        <v>0</v>
      </c>
      <c r="DE138" s="16">
        <f t="shared" si="60"/>
        <v>0</v>
      </c>
      <c r="DS138" s="16">
        <f t="shared" si="61"/>
        <v>0</v>
      </c>
      <c r="EF138" s="16">
        <f t="shared" si="62"/>
        <v>0</v>
      </c>
      <c r="FI138" s="16">
        <f t="shared" si="63"/>
        <v>0</v>
      </c>
      <c r="HY138" s="16">
        <f t="shared" si="64"/>
        <v>0</v>
      </c>
      <c r="HZ138">
        <v>30</v>
      </c>
      <c r="KM138" s="16">
        <f t="shared" si="65"/>
        <v>1</v>
      </c>
      <c r="KN138">
        <v>72</v>
      </c>
      <c r="MZ138" s="16">
        <f t="shared" si="66"/>
        <v>1</v>
      </c>
      <c r="OQ138" s="16">
        <f t="shared" si="67"/>
        <v>0</v>
      </c>
      <c r="OW138" s="33">
        <f t="shared" si="68"/>
        <v>0</v>
      </c>
      <c r="RD138" s="16">
        <f t="shared" si="69"/>
        <v>0</v>
      </c>
      <c r="RU138" s="16">
        <f t="shared" si="70"/>
        <v>0</v>
      </c>
      <c r="UE138" s="16">
        <f t="shared" si="71"/>
        <v>0</v>
      </c>
      <c r="VJ138" s="16">
        <f t="shared" si="72"/>
        <v>0</v>
      </c>
      <c r="WM138" s="16">
        <f t="shared" si="73"/>
        <v>0</v>
      </c>
      <c r="XH138" s="16">
        <f t="shared" si="74"/>
        <v>0</v>
      </c>
      <c r="YD138" s="16">
        <f t="shared" si="75"/>
        <v>0</v>
      </c>
      <c r="YX138" s="16">
        <f t="shared" si="76"/>
        <v>0</v>
      </c>
      <c r="ZR138" s="16">
        <f t="shared" si="77"/>
        <v>0</v>
      </c>
      <c r="ZX138" s="16">
        <f t="shared" si="78"/>
        <v>0</v>
      </c>
      <c r="AAT138" s="16">
        <f t="shared" si="79"/>
        <v>0</v>
      </c>
      <c r="ABQ138" s="16">
        <f t="shared" si="80"/>
        <v>0</v>
      </c>
      <c r="ABV138" s="16">
        <f t="shared" si="81"/>
        <v>0</v>
      </c>
      <c r="ACC138" s="16">
        <f t="shared" si="82"/>
        <v>0</v>
      </c>
      <c r="ACQ138" s="16">
        <f t="shared" si="83"/>
        <v>0</v>
      </c>
      <c r="ADA138" s="16">
        <f t="shared" si="84"/>
        <v>0</v>
      </c>
      <c r="ADM138" s="16">
        <f t="shared" si="85"/>
        <v>0</v>
      </c>
      <c r="AEI138" s="16">
        <f t="shared" si="86"/>
        <v>0</v>
      </c>
    </row>
    <row r="139" spans="1:815" x14ac:dyDescent="0.25">
      <c r="A139" t="s">
        <v>2066</v>
      </c>
      <c r="B139" s="3" t="s">
        <v>218</v>
      </c>
      <c r="C139" t="s">
        <v>219</v>
      </c>
      <c r="D139">
        <v>15</v>
      </c>
      <c r="E139" t="s">
        <v>14</v>
      </c>
      <c r="F139" t="s">
        <v>9</v>
      </c>
      <c r="G139" t="s">
        <v>9</v>
      </c>
      <c r="H139" t="s">
        <v>253</v>
      </c>
      <c r="I139" t="s">
        <v>243</v>
      </c>
      <c r="J139" t="s">
        <v>257</v>
      </c>
      <c r="L139" t="s">
        <v>332</v>
      </c>
      <c r="T139" t="s">
        <v>1626</v>
      </c>
      <c r="V139" t="s">
        <v>1627</v>
      </c>
      <c r="W139" t="s">
        <v>1628</v>
      </c>
      <c r="BA139" s="16">
        <f t="shared" si="58"/>
        <v>0</v>
      </c>
      <c r="CB139" s="16">
        <f t="shared" si="59"/>
        <v>0</v>
      </c>
      <c r="DE139" s="16">
        <f t="shared" si="60"/>
        <v>0</v>
      </c>
      <c r="DS139" s="16">
        <f t="shared" si="61"/>
        <v>0</v>
      </c>
      <c r="EF139" s="16">
        <f t="shared" si="62"/>
        <v>0</v>
      </c>
      <c r="FE139">
        <v>14800</v>
      </c>
      <c r="FI139" s="16">
        <f t="shared" si="63"/>
        <v>1</v>
      </c>
      <c r="HY139" s="16">
        <f t="shared" si="64"/>
        <v>0</v>
      </c>
      <c r="HZ139">
        <v>37</v>
      </c>
      <c r="KM139" s="16">
        <f t="shared" si="65"/>
        <v>1</v>
      </c>
      <c r="MZ139" s="16">
        <f t="shared" si="66"/>
        <v>0</v>
      </c>
      <c r="NA139">
        <v>284</v>
      </c>
      <c r="OQ139" s="16">
        <f t="shared" si="67"/>
        <v>1</v>
      </c>
      <c r="OR139" s="32">
        <v>9</v>
      </c>
      <c r="OW139" s="33">
        <f t="shared" si="68"/>
        <v>1</v>
      </c>
      <c r="RD139" s="16">
        <f t="shared" si="69"/>
        <v>0</v>
      </c>
      <c r="RU139" s="16">
        <f t="shared" si="70"/>
        <v>0</v>
      </c>
      <c r="UE139" s="16">
        <f t="shared" si="71"/>
        <v>0</v>
      </c>
      <c r="VJ139" s="16">
        <f t="shared" si="72"/>
        <v>0</v>
      </c>
      <c r="WM139" s="16">
        <f t="shared" si="73"/>
        <v>0</v>
      </c>
      <c r="XH139" s="16">
        <f t="shared" si="74"/>
        <v>0</v>
      </c>
      <c r="YD139" s="16">
        <f t="shared" si="75"/>
        <v>0</v>
      </c>
      <c r="YX139" s="16">
        <f t="shared" si="76"/>
        <v>0</v>
      </c>
      <c r="ZR139" s="16">
        <f t="shared" si="77"/>
        <v>0</v>
      </c>
      <c r="ZX139" s="16">
        <f t="shared" si="78"/>
        <v>0</v>
      </c>
      <c r="AAT139" s="16">
        <f t="shared" si="79"/>
        <v>0</v>
      </c>
      <c r="ABQ139" s="16">
        <f t="shared" si="80"/>
        <v>0</v>
      </c>
      <c r="ABV139" s="16">
        <f t="shared" si="81"/>
        <v>0</v>
      </c>
      <c r="ACC139" s="16">
        <f t="shared" si="82"/>
        <v>0</v>
      </c>
      <c r="ACQ139" s="16">
        <f t="shared" si="83"/>
        <v>0</v>
      </c>
      <c r="ADA139" s="16">
        <f t="shared" si="84"/>
        <v>0</v>
      </c>
      <c r="ADM139" s="16">
        <f t="shared" si="85"/>
        <v>0</v>
      </c>
      <c r="AEI139" s="16">
        <f t="shared" si="86"/>
        <v>0</v>
      </c>
    </row>
    <row r="140" spans="1:815" x14ac:dyDescent="0.25">
      <c r="A140" t="s">
        <v>2066</v>
      </c>
      <c r="B140" s="2" t="s">
        <v>220</v>
      </c>
      <c r="C140" t="s">
        <v>221</v>
      </c>
      <c r="D140">
        <v>4</v>
      </c>
      <c r="E140" t="s">
        <v>8</v>
      </c>
      <c r="F140" t="s">
        <v>9</v>
      </c>
      <c r="G140" t="s">
        <v>9</v>
      </c>
      <c r="H140" t="s">
        <v>253</v>
      </c>
      <c r="I140" t="s">
        <v>243</v>
      </c>
      <c r="J140" t="s">
        <v>257</v>
      </c>
      <c r="L140" t="s">
        <v>333</v>
      </c>
      <c r="M140">
        <v>21</v>
      </c>
      <c r="N140">
        <v>110</v>
      </c>
      <c r="T140" t="s">
        <v>1630</v>
      </c>
      <c r="U140" t="s">
        <v>1631</v>
      </c>
      <c r="V140" t="s">
        <v>1632</v>
      </c>
      <c r="W140" t="s">
        <v>1633</v>
      </c>
      <c r="BA140" s="16">
        <f t="shared" si="58"/>
        <v>0</v>
      </c>
      <c r="CB140" s="16">
        <f t="shared" si="59"/>
        <v>0</v>
      </c>
      <c r="DE140" s="16">
        <f t="shared" si="60"/>
        <v>0</v>
      </c>
      <c r="DS140" s="16">
        <f t="shared" si="61"/>
        <v>0</v>
      </c>
      <c r="EF140" s="16">
        <f t="shared" si="62"/>
        <v>0</v>
      </c>
      <c r="FI140" s="16">
        <f t="shared" si="63"/>
        <v>0</v>
      </c>
      <c r="FJ140">
        <v>31</v>
      </c>
      <c r="HY140" s="16">
        <f t="shared" si="64"/>
        <v>1</v>
      </c>
      <c r="KM140" s="16">
        <f t="shared" si="65"/>
        <v>0</v>
      </c>
      <c r="MZ140" s="16">
        <f t="shared" si="66"/>
        <v>0</v>
      </c>
      <c r="NA140">
        <v>681</v>
      </c>
      <c r="OQ140" s="16">
        <f t="shared" si="67"/>
        <v>1</v>
      </c>
      <c r="OR140" s="32" t="s">
        <v>1063</v>
      </c>
      <c r="OW140" s="33">
        <f t="shared" si="68"/>
        <v>1</v>
      </c>
      <c r="RD140" s="16">
        <f t="shared" si="69"/>
        <v>0</v>
      </c>
      <c r="RU140" s="16">
        <f t="shared" si="70"/>
        <v>0</v>
      </c>
      <c r="UE140" s="16">
        <f t="shared" si="71"/>
        <v>0</v>
      </c>
      <c r="VJ140" s="16">
        <f t="shared" si="72"/>
        <v>0</v>
      </c>
      <c r="WM140" s="16">
        <f t="shared" si="73"/>
        <v>0</v>
      </c>
      <c r="XH140" s="16">
        <f t="shared" si="74"/>
        <v>0</v>
      </c>
      <c r="YD140" s="16">
        <f t="shared" si="75"/>
        <v>0</v>
      </c>
      <c r="YX140" s="16">
        <f t="shared" si="76"/>
        <v>0</v>
      </c>
      <c r="ZR140" s="16">
        <f t="shared" si="77"/>
        <v>0</v>
      </c>
      <c r="ZX140" s="16">
        <f t="shared" si="78"/>
        <v>0</v>
      </c>
      <c r="AAT140" s="16">
        <f t="shared" si="79"/>
        <v>0</v>
      </c>
      <c r="ABQ140" s="16">
        <f t="shared" si="80"/>
        <v>0</v>
      </c>
      <c r="ABV140" s="16">
        <f t="shared" si="81"/>
        <v>0</v>
      </c>
      <c r="ACC140" s="16">
        <f t="shared" si="82"/>
        <v>0</v>
      </c>
      <c r="ACQ140" s="16">
        <f t="shared" si="83"/>
        <v>0</v>
      </c>
      <c r="ADA140" s="16">
        <f t="shared" si="84"/>
        <v>0</v>
      </c>
      <c r="ADM140" s="16">
        <f t="shared" si="85"/>
        <v>0</v>
      </c>
      <c r="AEI140" s="16">
        <f t="shared" si="86"/>
        <v>0</v>
      </c>
    </row>
    <row r="141" spans="1:815" x14ac:dyDescent="0.25">
      <c r="B141" s="2" t="s">
        <v>222</v>
      </c>
      <c r="C141" t="s">
        <v>223</v>
      </c>
      <c r="D141">
        <v>15</v>
      </c>
      <c r="E141" t="s">
        <v>8</v>
      </c>
      <c r="F141" t="s">
        <v>15</v>
      </c>
      <c r="G141" t="s">
        <v>9</v>
      </c>
      <c r="H141" t="s">
        <v>298</v>
      </c>
      <c r="I141" t="s">
        <v>243</v>
      </c>
      <c r="J141" t="s">
        <v>257</v>
      </c>
      <c r="L141" t="s">
        <v>334</v>
      </c>
      <c r="M141">
        <v>54</v>
      </c>
      <c r="N141">
        <v>158</v>
      </c>
      <c r="P141" t="s">
        <v>1637</v>
      </c>
      <c r="Q141">
        <v>24.05</v>
      </c>
      <c r="R141" t="s">
        <v>1625</v>
      </c>
      <c r="S141" t="s">
        <v>1250</v>
      </c>
      <c r="T141" t="s">
        <v>1635</v>
      </c>
      <c r="U141" t="s">
        <v>1636</v>
      </c>
      <c r="W141" t="s">
        <v>1634</v>
      </c>
      <c r="BA141" s="16">
        <f t="shared" si="58"/>
        <v>0</v>
      </c>
      <c r="BB141" t="s">
        <v>1064</v>
      </c>
      <c r="CB141" s="16">
        <f t="shared" si="59"/>
        <v>1</v>
      </c>
      <c r="CC141" t="s">
        <v>1065</v>
      </c>
      <c r="DE141" s="16">
        <f t="shared" si="60"/>
        <v>1</v>
      </c>
      <c r="DS141" s="16">
        <f t="shared" si="61"/>
        <v>0</v>
      </c>
      <c r="EF141" s="16">
        <f t="shared" si="62"/>
        <v>0</v>
      </c>
      <c r="FI141" s="16">
        <f t="shared" si="63"/>
        <v>0</v>
      </c>
      <c r="HY141" s="16">
        <f t="shared" si="64"/>
        <v>0</v>
      </c>
      <c r="KM141" s="16">
        <f t="shared" si="65"/>
        <v>0</v>
      </c>
      <c r="KN141" t="s">
        <v>1953</v>
      </c>
      <c r="MZ141" s="16">
        <f t="shared" si="66"/>
        <v>1</v>
      </c>
      <c r="OQ141" s="16">
        <f t="shared" si="67"/>
        <v>0</v>
      </c>
      <c r="OW141" s="33">
        <f t="shared" si="68"/>
        <v>0</v>
      </c>
      <c r="RD141" s="16">
        <f t="shared" si="69"/>
        <v>0</v>
      </c>
      <c r="RU141" s="16">
        <f t="shared" si="70"/>
        <v>0</v>
      </c>
      <c r="UE141" s="16">
        <f t="shared" si="71"/>
        <v>0</v>
      </c>
      <c r="VJ141" s="16">
        <f t="shared" si="72"/>
        <v>0</v>
      </c>
      <c r="WM141" s="16">
        <f t="shared" si="73"/>
        <v>0</v>
      </c>
      <c r="WN141" t="s">
        <v>1066</v>
      </c>
      <c r="XH141" s="16">
        <f t="shared" si="74"/>
        <v>1</v>
      </c>
      <c r="XI141" t="s">
        <v>1067</v>
      </c>
      <c r="YD141" s="16">
        <f t="shared" si="75"/>
        <v>1</v>
      </c>
      <c r="YX141" s="16">
        <f t="shared" si="76"/>
        <v>0</v>
      </c>
      <c r="ZR141" s="16">
        <f t="shared" si="77"/>
        <v>0</v>
      </c>
      <c r="ZX141" s="16">
        <f t="shared" si="78"/>
        <v>0</v>
      </c>
      <c r="AAT141" s="16">
        <f t="shared" si="79"/>
        <v>0</v>
      </c>
      <c r="ABQ141" s="16">
        <f t="shared" si="80"/>
        <v>0</v>
      </c>
      <c r="ABV141" s="16">
        <f t="shared" si="81"/>
        <v>0</v>
      </c>
      <c r="ACC141" s="16">
        <f t="shared" si="82"/>
        <v>0</v>
      </c>
      <c r="ACQ141" s="16">
        <f t="shared" si="83"/>
        <v>0</v>
      </c>
      <c r="ADA141" s="16">
        <f t="shared" si="84"/>
        <v>0</v>
      </c>
      <c r="ADM141" s="16">
        <f t="shared" si="85"/>
        <v>0</v>
      </c>
      <c r="AEI141" s="16">
        <f t="shared" si="86"/>
        <v>0</v>
      </c>
    </row>
    <row r="142" spans="1:815" x14ac:dyDescent="0.25">
      <c r="A142" t="s">
        <v>2062</v>
      </c>
      <c r="B142" s="3" t="s">
        <v>224</v>
      </c>
      <c r="C142" t="s">
        <v>77</v>
      </c>
      <c r="D142">
        <v>26</v>
      </c>
      <c r="E142" t="s">
        <v>14</v>
      </c>
      <c r="F142" t="s">
        <v>9</v>
      </c>
      <c r="G142" t="s">
        <v>9</v>
      </c>
      <c r="H142" t="s">
        <v>253</v>
      </c>
      <c r="I142" t="s">
        <v>243</v>
      </c>
      <c r="J142" t="s">
        <v>243</v>
      </c>
      <c r="L142" t="s">
        <v>314</v>
      </c>
      <c r="M142">
        <v>80</v>
      </c>
      <c r="P142" t="s">
        <v>1640</v>
      </c>
      <c r="Q142" t="s">
        <v>1641</v>
      </c>
      <c r="R142" t="s">
        <v>1299</v>
      </c>
      <c r="T142" t="s">
        <v>1638</v>
      </c>
      <c r="V142" t="s">
        <v>1639</v>
      </c>
      <c r="W142" t="s">
        <v>1642</v>
      </c>
      <c r="BA142" s="16">
        <f t="shared" si="58"/>
        <v>0</v>
      </c>
      <c r="CB142" s="16">
        <f t="shared" si="59"/>
        <v>0</v>
      </c>
      <c r="DE142" s="16">
        <f t="shared" si="60"/>
        <v>0</v>
      </c>
      <c r="DS142" s="16">
        <f t="shared" si="61"/>
        <v>0</v>
      </c>
      <c r="EF142" s="16">
        <f t="shared" si="62"/>
        <v>0</v>
      </c>
      <c r="FI142" s="16">
        <f t="shared" si="63"/>
        <v>0</v>
      </c>
      <c r="FJ142">
        <v>740</v>
      </c>
      <c r="HY142" s="16">
        <f t="shared" si="64"/>
        <v>1</v>
      </c>
      <c r="HZ142">
        <v>1020</v>
      </c>
      <c r="KM142" s="16">
        <f t="shared" si="65"/>
        <v>1</v>
      </c>
      <c r="MZ142" s="16">
        <f t="shared" si="66"/>
        <v>0</v>
      </c>
      <c r="OQ142" s="16">
        <f t="shared" si="67"/>
        <v>0</v>
      </c>
      <c r="OW142" s="33">
        <f t="shared" si="68"/>
        <v>0</v>
      </c>
      <c r="RD142" s="16">
        <f t="shared" si="69"/>
        <v>0</v>
      </c>
      <c r="RU142" s="16">
        <f t="shared" si="70"/>
        <v>0</v>
      </c>
      <c r="UE142" s="16">
        <f t="shared" si="71"/>
        <v>0</v>
      </c>
      <c r="VJ142" s="16">
        <f t="shared" si="72"/>
        <v>0</v>
      </c>
      <c r="VK142" t="s">
        <v>1740</v>
      </c>
      <c r="WM142" s="16">
        <f t="shared" si="73"/>
        <v>1</v>
      </c>
      <c r="XH142" s="16">
        <f t="shared" si="74"/>
        <v>0</v>
      </c>
      <c r="YD142" s="16">
        <f t="shared" si="75"/>
        <v>0</v>
      </c>
      <c r="YX142" s="16">
        <f t="shared" si="76"/>
        <v>0</v>
      </c>
      <c r="ZR142" s="16">
        <f t="shared" si="77"/>
        <v>0</v>
      </c>
      <c r="ZX142" s="16">
        <f t="shared" si="78"/>
        <v>0</v>
      </c>
      <c r="ZY142">
        <v>2.36</v>
      </c>
      <c r="AAT142" s="16">
        <f t="shared" si="79"/>
        <v>1</v>
      </c>
      <c r="ABQ142" s="16">
        <f t="shared" si="80"/>
        <v>0</v>
      </c>
      <c r="ABV142" s="16">
        <f t="shared" si="81"/>
        <v>0</v>
      </c>
      <c r="ACC142" s="16">
        <f t="shared" si="82"/>
        <v>0</v>
      </c>
      <c r="ACQ142" s="16">
        <f t="shared" si="83"/>
        <v>0</v>
      </c>
      <c r="ADA142" s="16">
        <f t="shared" si="84"/>
        <v>0</v>
      </c>
      <c r="ADM142" s="16">
        <f t="shared" si="85"/>
        <v>0</v>
      </c>
      <c r="AEI142" s="16">
        <f t="shared" si="86"/>
        <v>0</v>
      </c>
    </row>
    <row r="143" spans="1:815" x14ac:dyDescent="0.25">
      <c r="A143" t="s">
        <v>2066</v>
      </c>
      <c r="B143" s="3" t="s">
        <v>225</v>
      </c>
      <c r="C143" t="s">
        <v>226</v>
      </c>
      <c r="D143">
        <v>2</v>
      </c>
      <c r="E143" t="s">
        <v>14</v>
      </c>
      <c r="F143" t="s">
        <v>15</v>
      </c>
      <c r="G143" t="s">
        <v>9</v>
      </c>
      <c r="H143" t="s">
        <v>252</v>
      </c>
      <c r="I143" t="s">
        <v>243</v>
      </c>
      <c r="J143" t="s">
        <v>257</v>
      </c>
      <c r="L143" t="s">
        <v>314</v>
      </c>
      <c r="M143">
        <v>12</v>
      </c>
      <c r="N143">
        <v>90</v>
      </c>
      <c r="V143" t="s">
        <v>1643</v>
      </c>
      <c r="W143" t="s">
        <v>1461</v>
      </c>
      <c r="BA143" s="16">
        <f t="shared" si="58"/>
        <v>0</v>
      </c>
      <c r="CB143" s="16">
        <f t="shared" si="59"/>
        <v>0</v>
      </c>
      <c r="DE143" s="16">
        <f t="shared" si="60"/>
        <v>0</v>
      </c>
      <c r="DS143" s="16">
        <f t="shared" si="61"/>
        <v>0</v>
      </c>
      <c r="EF143" s="16">
        <f t="shared" si="62"/>
        <v>0</v>
      </c>
      <c r="EG143">
        <v>16500</v>
      </c>
      <c r="FI143" s="16">
        <f t="shared" si="63"/>
        <v>1</v>
      </c>
      <c r="FJ143">
        <v>50</v>
      </c>
      <c r="HY143" s="16">
        <f t="shared" si="64"/>
        <v>1</v>
      </c>
      <c r="HZ143">
        <v>29</v>
      </c>
      <c r="KM143" s="16">
        <f t="shared" si="65"/>
        <v>1</v>
      </c>
      <c r="KN143">
        <v>18</v>
      </c>
      <c r="MZ143" s="16">
        <f t="shared" si="66"/>
        <v>1</v>
      </c>
      <c r="OQ143" s="16">
        <f t="shared" si="67"/>
        <v>0</v>
      </c>
      <c r="OR143" s="32">
        <v>29</v>
      </c>
      <c r="OW143" s="33">
        <f t="shared" si="68"/>
        <v>1</v>
      </c>
      <c r="RD143" s="16">
        <f t="shared" si="69"/>
        <v>0</v>
      </c>
      <c r="RU143" s="16">
        <f t="shared" si="70"/>
        <v>0</v>
      </c>
      <c r="UE143" s="16">
        <f t="shared" si="71"/>
        <v>0</v>
      </c>
      <c r="VJ143" s="16">
        <f t="shared" si="72"/>
        <v>0</v>
      </c>
      <c r="WM143" s="16">
        <f t="shared" si="73"/>
        <v>0</v>
      </c>
      <c r="XH143" s="16">
        <f t="shared" si="74"/>
        <v>0</v>
      </c>
      <c r="YD143" s="16">
        <f t="shared" si="75"/>
        <v>0</v>
      </c>
      <c r="YX143" s="16">
        <f t="shared" si="76"/>
        <v>0</v>
      </c>
      <c r="ZR143" s="16">
        <f t="shared" si="77"/>
        <v>0</v>
      </c>
      <c r="ZX143" s="16">
        <f t="shared" si="78"/>
        <v>0</v>
      </c>
      <c r="AAT143" s="16">
        <f t="shared" si="79"/>
        <v>0</v>
      </c>
      <c r="ABQ143" s="16">
        <f t="shared" si="80"/>
        <v>0</v>
      </c>
      <c r="ABV143" s="16">
        <f t="shared" si="81"/>
        <v>0</v>
      </c>
      <c r="ACC143" s="16">
        <f t="shared" si="82"/>
        <v>0</v>
      </c>
      <c r="ACQ143" s="16">
        <f t="shared" si="83"/>
        <v>0</v>
      </c>
      <c r="ADA143" s="16">
        <f t="shared" si="84"/>
        <v>0</v>
      </c>
      <c r="ADM143" s="16">
        <f t="shared" si="85"/>
        <v>0</v>
      </c>
      <c r="AEI143" s="16">
        <f t="shared" si="86"/>
        <v>0</v>
      </c>
    </row>
    <row r="144" spans="1:815" x14ac:dyDescent="0.25">
      <c r="A144" t="s">
        <v>2064</v>
      </c>
      <c r="B144" s="3" t="s">
        <v>227</v>
      </c>
      <c r="C144" t="s">
        <v>228</v>
      </c>
      <c r="D144">
        <v>34</v>
      </c>
      <c r="E144" t="s">
        <v>8</v>
      </c>
      <c r="F144" t="s">
        <v>9</v>
      </c>
      <c r="G144" t="s">
        <v>9</v>
      </c>
      <c r="H144" t="s">
        <v>245</v>
      </c>
      <c r="I144" t="s">
        <v>243</v>
      </c>
      <c r="J144" t="s">
        <v>257</v>
      </c>
      <c r="L144" t="s">
        <v>314</v>
      </c>
      <c r="V144" t="s">
        <v>1644</v>
      </c>
      <c r="W144" t="s">
        <v>1645</v>
      </c>
      <c r="BA144" s="16">
        <f t="shared" si="58"/>
        <v>0</v>
      </c>
      <c r="CB144" s="16">
        <f t="shared" si="59"/>
        <v>0</v>
      </c>
      <c r="DE144" s="16">
        <f t="shared" si="60"/>
        <v>0</v>
      </c>
      <c r="DS144" s="16">
        <f t="shared" si="61"/>
        <v>0</v>
      </c>
      <c r="EF144" s="16">
        <f t="shared" si="62"/>
        <v>0</v>
      </c>
      <c r="EG144">
        <v>10900</v>
      </c>
      <c r="FI144" s="16">
        <f t="shared" si="63"/>
        <v>1</v>
      </c>
      <c r="FJ144">
        <v>51</v>
      </c>
      <c r="HY144" s="16">
        <f t="shared" si="64"/>
        <v>1</v>
      </c>
      <c r="HZ144">
        <v>147</v>
      </c>
      <c r="KM144" s="16">
        <f t="shared" si="65"/>
        <v>1</v>
      </c>
      <c r="KN144">
        <v>133</v>
      </c>
      <c r="MZ144" s="16">
        <f t="shared" si="66"/>
        <v>1</v>
      </c>
      <c r="NA144">
        <v>131</v>
      </c>
      <c r="OQ144" s="16">
        <f t="shared" si="67"/>
        <v>1</v>
      </c>
      <c r="OR144" s="32">
        <v>15</v>
      </c>
      <c r="OW144" s="33">
        <f t="shared" si="68"/>
        <v>1</v>
      </c>
      <c r="RD144" s="16">
        <f t="shared" si="69"/>
        <v>0</v>
      </c>
      <c r="RU144" s="16">
        <f t="shared" si="70"/>
        <v>0</v>
      </c>
      <c r="UE144" s="16">
        <f t="shared" si="71"/>
        <v>0</v>
      </c>
      <c r="VJ144" s="16">
        <f t="shared" si="72"/>
        <v>0</v>
      </c>
      <c r="WM144" s="16">
        <f t="shared" si="73"/>
        <v>0</v>
      </c>
      <c r="XH144" s="16">
        <f t="shared" si="74"/>
        <v>0</v>
      </c>
      <c r="YD144" s="16">
        <f t="shared" si="75"/>
        <v>0</v>
      </c>
      <c r="YX144" s="16">
        <f t="shared" si="76"/>
        <v>0</v>
      </c>
      <c r="ZR144" s="16">
        <f t="shared" si="77"/>
        <v>0</v>
      </c>
      <c r="ZX144" s="16">
        <f t="shared" si="78"/>
        <v>0</v>
      </c>
      <c r="AAT144" s="16">
        <f t="shared" si="79"/>
        <v>0</v>
      </c>
      <c r="ABQ144" s="16">
        <f t="shared" si="80"/>
        <v>0</v>
      </c>
      <c r="ABV144" s="16">
        <f t="shared" si="81"/>
        <v>0</v>
      </c>
      <c r="ACC144" s="16">
        <f t="shared" si="82"/>
        <v>0</v>
      </c>
      <c r="ACQ144" s="16">
        <f t="shared" si="83"/>
        <v>0</v>
      </c>
      <c r="ADA144" s="16">
        <f t="shared" si="84"/>
        <v>0</v>
      </c>
      <c r="ADM144" s="16">
        <f t="shared" si="85"/>
        <v>0</v>
      </c>
      <c r="AEI144" s="16">
        <f t="shared" si="86"/>
        <v>0</v>
      </c>
    </row>
    <row r="145" spans="1:815" x14ac:dyDescent="0.25">
      <c r="A145" t="s">
        <v>2066</v>
      </c>
      <c r="B145" s="3" t="s">
        <v>229</v>
      </c>
      <c r="C145" t="s">
        <v>230</v>
      </c>
      <c r="D145">
        <v>21</v>
      </c>
      <c r="E145" t="s">
        <v>14</v>
      </c>
      <c r="F145" t="s">
        <v>9</v>
      </c>
      <c r="G145" t="s">
        <v>9</v>
      </c>
      <c r="H145" t="s">
        <v>253</v>
      </c>
      <c r="I145" t="s">
        <v>243</v>
      </c>
      <c r="J145" t="s">
        <v>257</v>
      </c>
      <c r="L145" t="s">
        <v>332</v>
      </c>
      <c r="M145">
        <v>71</v>
      </c>
      <c r="N145">
        <v>184</v>
      </c>
      <c r="O145">
        <v>21</v>
      </c>
      <c r="P145" t="s">
        <v>1648</v>
      </c>
      <c r="Q145" t="s">
        <v>1649</v>
      </c>
      <c r="R145" t="s">
        <v>1299</v>
      </c>
      <c r="T145" t="s">
        <v>1651</v>
      </c>
      <c r="U145" t="s">
        <v>1650</v>
      </c>
      <c r="V145" t="s">
        <v>1646</v>
      </c>
      <c r="W145" t="s">
        <v>1647</v>
      </c>
      <c r="BA145" s="16">
        <f t="shared" si="58"/>
        <v>0</v>
      </c>
      <c r="CB145" s="16">
        <f t="shared" si="59"/>
        <v>0</v>
      </c>
      <c r="DE145" s="16">
        <f t="shared" si="60"/>
        <v>0</v>
      </c>
      <c r="DS145" s="16">
        <f t="shared" si="61"/>
        <v>0</v>
      </c>
      <c r="EF145" s="16">
        <f t="shared" si="62"/>
        <v>0</v>
      </c>
      <c r="FI145" s="16">
        <f t="shared" si="63"/>
        <v>0</v>
      </c>
      <c r="FJ145">
        <v>18</v>
      </c>
      <c r="HY145" s="16">
        <f t="shared" si="64"/>
        <v>1</v>
      </c>
      <c r="HZ145">
        <v>24</v>
      </c>
      <c r="KM145" s="16">
        <f t="shared" si="65"/>
        <v>1</v>
      </c>
      <c r="KN145">
        <v>22</v>
      </c>
      <c r="MZ145" s="16">
        <f t="shared" si="66"/>
        <v>1</v>
      </c>
      <c r="OQ145" s="16">
        <f t="shared" si="67"/>
        <v>0</v>
      </c>
      <c r="OR145" s="32">
        <v>9</v>
      </c>
      <c r="OW145" s="33">
        <f t="shared" si="68"/>
        <v>1</v>
      </c>
      <c r="RD145" s="16">
        <f t="shared" si="69"/>
        <v>0</v>
      </c>
      <c r="RU145" s="16">
        <f t="shared" si="70"/>
        <v>0</v>
      </c>
      <c r="UE145" s="16">
        <f t="shared" si="71"/>
        <v>0</v>
      </c>
      <c r="VJ145" s="16">
        <f t="shared" si="72"/>
        <v>0</v>
      </c>
      <c r="WM145" s="16">
        <f t="shared" si="73"/>
        <v>0</v>
      </c>
      <c r="XH145" s="16">
        <f t="shared" si="74"/>
        <v>0</v>
      </c>
      <c r="YD145" s="16">
        <f t="shared" si="75"/>
        <v>0</v>
      </c>
      <c r="YX145" s="16">
        <f t="shared" si="76"/>
        <v>0</v>
      </c>
      <c r="ZR145" s="16">
        <f t="shared" si="77"/>
        <v>0</v>
      </c>
      <c r="ZX145" s="16">
        <f t="shared" si="78"/>
        <v>0</v>
      </c>
      <c r="AAT145" s="16">
        <f t="shared" si="79"/>
        <v>0</v>
      </c>
      <c r="ABQ145" s="16">
        <f t="shared" si="80"/>
        <v>0</v>
      </c>
      <c r="ABV145" s="16">
        <f t="shared" si="81"/>
        <v>0</v>
      </c>
      <c r="ACC145" s="16">
        <f t="shared" si="82"/>
        <v>0</v>
      </c>
      <c r="ACQ145" s="16">
        <f t="shared" si="83"/>
        <v>0</v>
      </c>
      <c r="ADA145" s="16">
        <f t="shared" si="84"/>
        <v>0</v>
      </c>
      <c r="ADM145" s="16">
        <f t="shared" si="85"/>
        <v>0</v>
      </c>
      <c r="AEI145" s="16">
        <f t="shared" si="86"/>
        <v>0</v>
      </c>
    </row>
    <row r="146" spans="1:815" x14ac:dyDescent="0.25">
      <c r="A146" t="s">
        <v>2066</v>
      </c>
      <c r="B146" s="2" t="s">
        <v>231</v>
      </c>
      <c r="C146" t="s">
        <v>7</v>
      </c>
      <c r="D146">
        <v>50</v>
      </c>
      <c r="E146" t="s">
        <v>8</v>
      </c>
      <c r="F146" t="s">
        <v>9</v>
      </c>
      <c r="G146" t="s">
        <v>9</v>
      </c>
      <c r="H146" t="s">
        <v>299</v>
      </c>
      <c r="I146" t="s">
        <v>243</v>
      </c>
      <c r="J146" t="s">
        <v>257</v>
      </c>
      <c r="L146" t="s">
        <v>1658</v>
      </c>
      <c r="M146">
        <v>80</v>
      </c>
      <c r="N146">
        <v>173</v>
      </c>
      <c r="O146" t="s">
        <v>1100</v>
      </c>
      <c r="P146" t="s">
        <v>1653</v>
      </c>
      <c r="Q146" t="s">
        <v>1654</v>
      </c>
      <c r="R146" t="s">
        <v>1299</v>
      </c>
      <c r="S146" t="s">
        <v>1655</v>
      </c>
      <c r="T146" t="s">
        <v>1629</v>
      </c>
      <c r="U146" t="s">
        <v>1656</v>
      </c>
      <c r="V146" t="s">
        <v>1652</v>
      </c>
      <c r="W146" t="s">
        <v>1657</v>
      </c>
      <c r="BA146" s="16">
        <f t="shared" si="58"/>
        <v>0</v>
      </c>
      <c r="CB146" s="16">
        <f t="shared" si="59"/>
        <v>0</v>
      </c>
      <c r="DE146" s="16">
        <f t="shared" si="60"/>
        <v>0</v>
      </c>
      <c r="DS146" s="16">
        <f t="shared" si="61"/>
        <v>0</v>
      </c>
      <c r="EF146" s="16">
        <f t="shared" si="62"/>
        <v>0</v>
      </c>
      <c r="EG146">
        <v>10100</v>
      </c>
      <c r="FI146" s="16">
        <f t="shared" si="63"/>
        <v>1</v>
      </c>
      <c r="FJ146">
        <v>1425</v>
      </c>
      <c r="HY146" s="16">
        <f t="shared" si="64"/>
        <v>1</v>
      </c>
      <c r="HZ146">
        <v>2888</v>
      </c>
      <c r="KM146" s="16">
        <f t="shared" si="65"/>
        <v>1</v>
      </c>
      <c r="KN146">
        <v>167</v>
      </c>
      <c r="MZ146" s="16">
        <f t="shared" si="66"/>
        <v>1</v>
      </c>
      <c r="NA146">
        <v>2013</v>
      </c>
      <c r="OQ146" s="16">
        <f t="shared" si="67"/>
        <v>1</v>
      </c>
      <c r="OW146" s="33">
        <f t="shared" si="68"/>
        <v>0</v>
      </c>
      <c r="RD146" s="16">
        <f t="shared" si="69"/>
        <v>0</v>
      </c>
      <c r="RU146" s="16">
        <f t="shared" si="70"/>
        <v>0</v>
      </c>
      <c r="UE146" s="16">
        <f t="shared" si="71"/>
        <v>0</v>
      </c>
      <c r="VJ146" s="16">
        <f t="shared" si="72"/>
        <v>0</v>
      </c>
      <c r="WM146" s="16">
        <f t="shared" si="73"/>
        <v>0</v>
      </c>
      <c r="XH146" s="16">
        <f t="shared" si="74"/>
        <v>0</v>
      </c>
      <c r="YD146" s="16">
        <f t="shared" si="75"/>
        <v>0</v>
      </c>
      <c r="YX146" s="16">
        <f t="shared" si="76"/>
        <v>0</v>
      </c>
      <c r="ZR146" s="16">
        <f t="shared" si="77"/>
        <v>0</v>
      </c>
      <c r="ZX146" s="16">
        <f t="shared" si="78"/>
        <v>0</v>
      </c>
      <c r="AAT146" s="16">
        <f t="shared" si="79"/>
        <v>0</v>
      </c>
      <c r="ABQ146" s="16">
        <f t="shared" si="80"/>
        <v>0</v>
      </c>
      <c r="ABV146" s="16">
        <f t="shared" si="81"/>
        <v>0</v>
      </c>
      <c r="ACC146" s="16">
        <f t="shared" si="82"/>
        <v>0</v>
      </c>
      <c r="ACQ146" s="16">
        <f t="shared" si="83"/>
        <v>0</v>
      </c>
      <c r="ADA146" s="16">
        <f t="shared" si="84"/>
        <v>0</v>
      </c>
      <c r="ADM146" s="16">
        <f t="shared" si="85"/>
        <v>0</v>
      </c>
      <c r="AEI146" s="16">
        <f t="shared" si="86"/>
        <v>0</v>
      </c>
    </row>
    <row r="147" spans="1:815" x14ac:dyDescent="0.25">
      <c r="A147" t="s">
        <v>2066</v>
      </c>
      <c r="B147" s="3" t="s">
        <v>232</v>
      </c>
      <c r="C147" t="s">
        <v>233</v>
      </c>
      <c r="D147">
        <v>84</v>
      </c>
      <c r="E147" t="s">
        <v>14</v>
      </c>
      <c r="F147" t="s">
        <v>9</v>
      </c>
      <c r="G147" t="s">
        <v>9</v>
      </c>
      <c r="H147" t="s">
        <v>253</v>
      </c>
      <c r="I147" t="s">
        <v>243</v>
      </c>
      <c r="J147" t="s">
        <v>257</v>
      </c>
      <c r="L147" t="s">
        <v>1659</v>
      </c>
      <c r="M147">
        <v>84</v>
      </c>
      <c r="N147">
        <v>178</v>
      </c>
      <c r="O147" t="s">
        <v>1101</v>
      </c>
      <c r="P147" t="s">
        <v>1661</v>
      </c>
      <c r="Q147" t="s">
        <v>1661</v>
      </c>
      <c r="R147" t="s">
        <v>1133</v>
      </c>
      <c r="T147" t="s">
        <v>1664</v>
      </c>
      <c r="U147" t="s">
        <v>1663</v>
      </c>
      <c r="V147" t="s">
        <v>1660</v>
      </c>
      <c r="W147" t="s">
        <v>1662</v>
      </c>
      <c r="BA147" s="16">
        <f t="shared" si="58"/>
        <v>0</v>
      </c>
      <c r="CB147" s="16">
        <f t="shared" si="59"/>
        <v>0</v>
      </c>
      <c r="DE147" s="16">
        <f t="shared" si="60"/>
        <v>0</v>
      </c>
      <c r="DS147" s="16">
        <f t="shared" si="61"/>
        <v>0</v>
      </c>
      <c r="EF147" s="16">
        <f t="shared" si="62"/>
        <v>0</v>
      </c>
      <c r="FI147" s="16">
        <f t="shared" si="63"/>
        <v>0</v>
      </c>
      <c r="FJ147">
        <v>21</v>
      </c>
      <c r="HY147" s="16">
        <f t="shared" si="64"/>
        <v>1</v>
      </c>
      <c r="IC147">
        <v>48</v>
      </c>
      <c r="KM147" s="16">
        <f t="shared" si="65"/>
        <v>1</v>
      </c>
      <c r="KP147">
        <v>53</v>
      </c>
      <c r="MZ147" s="16">
        <f t="shared" si="66"/>
        <v>1</v>
      </c>
      <c r="ND147">
        <v>226</v>
      </c>
      <c r="OQ147" s="16">
        <f t="shared" si="67"/>
        <v>1</v>
      </c>
      <c r="OW147" s="33">
        <f t="shared" si="68"/>
        <v>0</v>
      </c>
      <c r="RD147" s="16">
        <f t="shared" si="69"/>
        <v>0</v>
      </c>
      <c r="RU147" s="16">
        <f t="shared" si="70"/>
        <v>0</v>
      </c>
      <c r="UE147" s="16">
        <f t="shared" si="71"/>
        <v>0</v>
      </c>
      <c r="VJ147" s="16">
        <f t="shared" si="72"/>
        <v>0</v>
      </c>
      <c r="WM147" s="16">
        <f t="shared" si="73"/>
        <v>0</v>
      </c>
      <c r="XH147" s="16">
        <f t="shared" si="74"/>
        <v>0</v>
      </c>
      <c r="YD147" s="16">
        <f t="shared" si="75"/>
        <v>0</v>
      </c>
      <c r="YX147" s="16">
        <f t="shared" si="76"/>
        <v>0</v>
      </c>
      <c r="ZR147" s="16">
        <f t="shared" si="77"/>
        <v>0</v>
      </c>
      <c r="ZX147" s="16">
        <f t="shared" si="78"/>
        <v>0</v>
      </c>
      <c r="AAT147" s="16">
        <f t="shared" si="79"/>
        <v>0</v>
      </c>
      <c r="ABQ147" s="16">
        <f t="shared" si="80"/>
        <v>0</v>
      </c>
      <c r="ABV147" s="16">
        <f t="shared" si="81"/>
        <v>0</v>
      </c>
      <c r="ACC147" s="16">
        <f t="shared" si="82"/>
        <v>0</v>
      </c>
      <c r="ACQ147" s="16">
        <f t="shared" si="83"/>
        <v>0</v>
      </c>
      <c r="ADA147" s="16">
        <f t="shared" si="84"/>
        <v>0</v>
      </c>
      <c r="ADM147" s="16">
        <f t="shared" si="85"/>
        <v>0</v>
      </c>
      <c r="AEI147" s="16">
        <f t="shared" si="86"/>
        <v>0</v>
      </c>
    </row>
    <row r="148" spans="1:815" x14ac:dyDescent="0.25">
      <c r="A148" t="s">
        <v>2066</v>
      </c>
      <c r="B148" s="3" t="s">
        <v>234</v>
      </c>
      <c r="C148" t="s">
        <v>235</v>
      </c>
      <c r="D148">
        <v>54</v>
      </c>
      <c r="E148" t="s">
        <v>8</v>
      </c>
      <c r="F148" t="s">
        <v>9</v>
      </c>
      <c r="G148" t="s">
        <v>9</v>
      </c>
      <c r="H148" t="s">
        <v>253</v>
      </c>
      <c r="I148" t="s">
        <v>243</v>
      </c>
      <c r="J148" t="s">
        <v>257</v>
      </c>
      <c r="L148" t="s">
        <v>314</v>
      </c>
      <c r="M148">
        <v>52</v>
      </c>
      <c r="N148">
        <v>163</v>
      </c>
      <c r="O148" t="s">
        <v>1102</v>
      </c>
      <c r="P148" t="s">
        <v>1669</v>
      </c>
      <c r="Q148" t="s">
        <v>1670</v>
      </c>
      <c r="R148" t="s">
        <v>1171</v>
      </c>
      <c r="T148" t="s">
        <v>1667</v>
      </c>
      <c r="U148" t="s">
        <v>1668</v>
      </c>
      <c r="V148" t="s">
        <v>1665</v>
      </c>
      <c r="W148" t="s">
        <v>1666</v>
      </c>
      <c r="BA148" s="16">
        <f t="shared" si="58"/>
        <v>0</v>
      </c>
      <c r="CB148" s="16">
        <f t="shared" si="59"/>
        <v>0</v>
      </c>
      <c r="DE148" s="16">
        <f t="shared" si="60"/>
        <v>0</v>
      </c>
      <c r="DS148" s="16">
        <f t="shared" si="61"/>
        <v>0</v>
      </c>
      <c r="EF148" s="16">
        <f t="shared" si="62"/>
        <v>0</v>
      </c>
      <c r="EG148">
        <v>12700</v>
      </c>
      <c r="FI148" s="16">
        <f t="shared" si="63"/>
        <v>1</v>
      </c>
      <c r="GH148">
        <v>21</v>
      </c>
      <c r="HY148" s="16">
        <f t="shared" si="64"/>
        <v>1</v>
      </c>
      <c r="IW148">
        <v>27</v>
      </c>
      <c r="KM148" s="16">
        <f t="shared" si="65"/>
        <v>1</v>
      </c>
      <c r="LI148">
        <v>162</v>
      </c>
      <c r="MZ148" s="16">
        <f t="shared" si="66"/>
        <v>1</v>
      </c>
      <c r="NA148">
        <v>178</v>
      </c>
      <c r="OQ148" s="16">
        <f t="shared" si="67"/>
        <v>1</v>
      </c>
      <c r="OR148" s="32">
        <v>9</v>
      </c>
      <c r="OW148" s="33">
        <f t="shared" si="68"/>
        <v>1</v>
      </c>
      <c r="RD148" s="16">
        <f t="shared" si="69"/>
        <v>0</v>
      </c>
      <c r="RU148" s="16">
        <f t="shared" si="70"/>
        <v>0</v>
      </c>
      <c r="UE148" s="16">
        <f t="shared" si="71"/>
        <v>0</v>
      </c>
      <c r="VJ148" s="16">
        <f t="shared" si="72"/>
        <v>0</v>
      </c>
      <c r="WM148" s="16">
        <f t="shared" si="73"/>
        <v>0</v>
      </c>
      <c r="XH148" s="16">
        <f t="shared" si="74"/>
        <v>0</v>
      </c>
      <c r="YD148" s="16">
        <f t="shared" si="75"/>
        <v>0</v>
      </c>
      <c r="YX148" s="16">
        <f t="shared" si="76"/>
        <v>0</v>
      </c>
      <c r="ZR148" s="16">
        <f t="shared" si="77"/>
        <v>0</v>
      </c>
      <c r="ZX148" s="16">
        <f t="shared" si="78"/>
        <v>0</v>
      </c>
      <c r="AAT148" s="16">
        <f t="shared" si="79"/>
        <v>0</v>
      </c>
      <c r="ABQ148" s="16">
        <f t="shared" si="80"/>
        <v>0</v>
      </c>
      <c r="ABV148" s="16">
        <f t="shared" si="81"/>
        <v>0</v>
      </c>
      <c r="ACC148" s="16">
        <f t="shared" si="82"/>
        <v>0</v>
      </c>
      <c r="ACQ148" s="16">
        <f t="shared" si="83"/>
        <v>0</v>
      </c>
      <c r="ADA148" s="16">
        <f t="shared" si="84"/>
        <v>0</v>
      </c>
      <c r="ADM148" s="16">
        <f t="shared" si="85"/>
        <v>0</v>
      </c>
      <c r="AEI148" s="16">
        <f t="shared" si="86"/>
        <v>0</v>
      </c>
    </row>
    <row r="149" spans="1:815" x14ac:dyDescent="0.25">
      <c r="B149" s="3" t="s">
        <v>236</v>
      </c>
      <c r="C149" t="s">
        <v>237</v>
      </c>
      <c r="D149">
        <v>56</v>
      </c>
      <c r="E149" t="s">
        <v>14</v>
      </c>
      <c r="F149" t="s">
        <v>9</v>
      </c>
      <c r="G149" t="s">
        <v>15</v>
      </c>
      <c r="I149" t="s">
        <v>243</v>
      </c>
      <c r="J149" t="s">
        <v>257</v>
      </c>
      <c r="K149" t="s">
        <v>1394</v>
      </c>
      <c r="L149" t="s">
        <v>310</v>
      </c>
      <c r="T149" t="s">
        <v>1671</v>
      </c>
      <c r="V149" t="s">
        <v>1673</v>
      </c>
      <c r="W149" t="s">
        <v>1672</v>
      </c>
      <c r="BA149" s="16">
        <f t="shared" si="58"/>
        <v>0</v>
      </c>
      <c r="CB149" s="16">
        <f t="shared" si="59"/>
        <v>0</v>
      </c>
      <c r="DE149" s="16">
        <f t="shared" si="60"/>
        <v>0</v>
      </c>
      <c r="DS149" s="16">
        <f t="shared" si="61"/>
        <v>0</v>
      </c>
      <c r="EF149" s="16">
        <f t="shared" si="62"/>
        <v>0</v>
      </c>
      <c r="FI149" s="16">
        <f t="shared" si="63"/>
        <v>0</v>
      </c>
      <c r="HY149" s="16">
        <f t="shared" si="64"/>
        <v>0</v>
      </c>
      <c r="KM149" s="16">
        <f t="shared" si="65"/>
        <v>0</v>
      </c>
      <c r="MZ149" s="16">
        <f t="shared" si="66"/>
        <v>0</v>
      </c>
      <c r="OQ149" s="16">
        <f t="shared" si="67"/>
        <v>0</v>
      </c>
      <c r="OW149" s="33">
        <f t="shared" si="68"/>
        <v>0</v>
      </c>
      <c r="RD149" s="16">
        <f t="shared" si="69"/>
        <v>0</v>
      </c>
      <c r="RU149" s="16">
        <f t="shared" si="70"/>
        <v>0</v>
      </c>
      <c r="UE149" s="16">
        <f t="shared" si="71"/>
        <v>0</v>
      </c>
      <c r="VJ149" s="16">
        <f t="shared" si="72"/>
        <v>0</v>
      </c>
      <c r="WM149" s="16">
        <f t="shared" si="73"/>
        <v>0</v>
      </c>
      <c r="XH149" s="16">
        <f t="shared" si="74"/>
        <v>0</v>
      </c>
      <c r="YD149" s="16">
        <f t="shared" si="75"/>
        <v>0</v>
      </c>
      <c r="YX149" s="16">
        <f t="shared" si="76"/>
        <v>0</v>
      </c>
      <c r="ZR149" s="16">
        <f t="shared" si="77"/>
        <v>0</v>
      </c>
      <c r="ZX149" s="16">
        <f t="shared" si="78"/>
        <v>0</v>
      </c>
      <c r="AAT149" s="16">
        <f t="shared" si="79"/>
        <v>0</v>
      </c>
      <c r="ABQ149" s="16">
        <f t="shared" si="80"/>
        <v>0</v>
      </c>
      <c r="ABV149" s="16">
        <f t="shared" si="81"/>
        <v>0</v>
      </c>
      <c r="ACC149" s="16">
        <f t="shared" si="82"/>
        <v>0</v>
      </c>
      <c r="ACQ149" s="16">
        <f t="shared" si="83"/>
        <v>0</v>
      </c>
      <c r="ADA149" s="16">
        <f t="shared" si="84"/>
        <v>0</v>
      </c>
      <c r="ADM149" s="16">
        <f t="shared" si="85"/>
        <v>0</v>
      </c>
      <c r="AEI149" s="16">
        <f t="shared" si="86"/>
        <v>0</v>
      </c>
    </row>
    <row r="150" spans="1:815" x14ac:dyDescent="0.25">
      <c r="B150" s="3" t="s">
        <v>1322</v>
      </c>
      <c r="E150" t="s">
        <v>8</v>
      </c>
      <c r="J150" t="s">
        <v>243</v>
      </c>
      <c r="L150" t="s">
        <v>310</v>
      </c>
      <c r="R150" t="s">
        <v>1113</v>
      </c>
      <c r="S150" t="s">
        <v>1269</v>
      </c>
      <c r="BA150" s="16">
        <f t="shared" si="58"/>
        <v>0</v>
      </c>
      <c r="CB150" s="16">
        <f t="shared" si="59"/>
        <v>0</v>
      </c>
      <c r="DE150" s="16">
        <f t="shared" si="60"/>
        <v>0</v>
      </c>
      <c r="DS150" s="16">
        <f t="shared" si="61"/>
        <v>0</v>
      </c>
      <c r="EF150" s="16">
        <f t="shared" si="62"/>
        <v>0</v>
      </c>
      <c r="FI150" s="16">
        <f t="shared" si="63"/>
        <v>0</v>
      </c>
      <c r="HY150" s="16">
        <f t="shared" si="64"/>
        <v>0</v>
      </c>
      <c r="KM150" s="16">
        <f t="shared" si="65"/>
        <v>0</v>
      </c>
      <c r="MZ150" s="16">
        <f t="shared" si="66"/>
        <v>0</v>
      </c>
      <c r="OQ150" s="16">
        <f t="shared" si="67"/>
        <v>0</v>
      </c>
      <c r="OW150" s="33">
        <f t="shared" si="68"/>
        <v>0</v>
      </c>
      <c r="RD150" s="16">
        <f t="shared" si="69"/>
        <v>0</v>
      </c>
      <c r="RU150" s="16">
        <f t="shared" si="70"/>
        <v>0</v>
      </c>
      <c r="UE150" s="16">
        <f t="shared" si="71"/>
        <v>0</v>
      </c>
      <c r="VJ150" s="16">
        <f t="shared" si="72"/>
        <v>0</v>
      </c>
      <c r="WM150" s="16">
        <f t="shared" si="73"/>
        <v>0</v>
      </c>
      <c r="XH150" s="16">
        <f t="shared" si="74"/>
        <v>0</v>
      </c>
      <c r="YD150" s="16">
        <f t="shared" si="75"/>
        <v>0</v>
      </c>
      <c r="YX150" s="16">
        <f t="shared" si="76"/>
        <v>0</v>
      </c>
      <c r="ZR150" s="16">
        <f t="shared" si="77"/>
        <v>0</v>
      </c>
      <c r="ZX150" s="16">
        <f t="shared" si="78"/>
        <v>0</v>
      </c>
      <c r="AAT150" s="16">
        <f t="shared" si="79"/>
        <v>0</v>
      </c>
      <c r="ABQ150" s="16">
        <f t="shared" si="80"/>
        <v>0</v>
      </c>
      <c r="ABV150" s="16">
        <f t="shared" si="81"/>
        <v>0</v>
      </c>
      <c r="ACC150" s="16">
        <f t="shared" si="82"/>
        <v>0</v>
      </c>
      <c r="ACQ150" s="16">
        <f t="shared" si="83"/>
        <v>0</v>
      </c>
      <c r="ADA150" s="16">
        <f t="shared" si="84"/>
        <v>0</v>
      </c>
      <c r="ADM150" s="16">
        <f t="shared" si="85"/>
        <v>0</v>
      </c>
      <c r="AEI150" s="16">
        <f t="shared" si="86"/>
        <v>0</v>
      </c>
    </row>
    <row r="151" spans="1:815" x14ac:dyDescent="0.25">
      <c r="B151" s="3" t="s">
        <v>1323</v>
      </c>
      <c r="E151" t="s">
        <v>8</v>
      </c>
      <c r="L151" t="s">
        <v>310</v>
      </c>
      <c r="BA151" s="16">
        <f t="shared" si="58"/>
        <v>0</v>
      </c>
      <c r="CB151" s="16">
        <f t="shared" si="59"/>
        <v>0</v>
      </c>
      <c r="DE151" s="16">
        <f t="shared" si="60"/>
        <v>0</v>
      </c>
      <c r="DS151" s="16">
        <f t="shared" si="61"/>
        <v>0</v>
      </c>
      <c r="EF151" s="16">
        <f t="shared" si="62"/>
        <v>0</v>
      </c>
      <c r="FI151" s="16">
        <f t="shared" si="63"/>
        <v>0</v>
      </c>
      <c r="HY151" s="16">
        <f t="shared" si="64"/>
        <v>0</v>
      </c>
      <c r="KM151" s="16">
        <f t="shared" si="65"/>
        <v>0</v>
      </c>
      <c r="MZ151" s="16">
        <f t="shared" si="66"/>
        <v>0</v>
      </c>
      <c r="OQ151" s="16">
        <f t="shared" si="67"/>
        <v>0</v>
      </c>
      <c r="OW151" s="33">
        <f t="shared" si="68"/>
        <v>0</v>
      </c>
      <c r="RD151" s="16">
        <f t="shared" si="69"/>
        <v>0</v>
      </c>
      <c r="RU151" s="16">
        <f t="shared" si="70"/>
        <v>0</v>
      </c>
      <c r="UE151" s="16">
        <f t="shared" si="71"/>
        <v>0</v>
      </c>
      <c r="VJ151" s="16">
        <f t="shared" si="72"/>
        <v>0</v>
      </c>
      <c r="WM151" s="16">
        <f t="shared" si="73"/>
        <v>0</v>
      </c>
      <c r="XH151" s="16">
        <f t="shared" si="74"/>
        <v>0</v>
      </c>
      <c r="YD151" s="16">
        <f t="shared" si="75"/>
        <v>0</v>
      </c>
      <c r="YX151" s="16">
        <f t="shared" si="76"/>
        <v>0</v>
      </c>
      <c r="ZR151" s="16">
        <f t="shared" si="77"/>
        <v>0</v>
      </c>
      <c r="ZX151" s="16">
        <f t="shared" si="78"/>
        <v>0</v>
      </c>
      <c r="AAT151" s="16">
        <f t="shared" si="79"/>
        <v>0</v>
      </c>
      <c r="ABQ151" s="16">
        <f t="shared" si="80"/>
        <v>0</v>
      </c>
      <c r="ABV151" s="16">
        <f t="shared" si="81"/>
        <v>0</v>
      </c>
      <c r="ACC151" s="16">
        <f t="shared" si="82"/>
        <v>0</v>
      </c>
      <c r="ACQ151" s="16">
        <f t="shared" si="83"/>
        <v>0</v>
      </c>
      <c r="ADA151" s="16">
        <f t="shared" si="84"/>
        <v>0</v>
      </c>
      <c r="ADM151" s="16">
        <f t="shared" si="85"/>
        <v>0</v>
      </c>
      <c r="AEI151" s="16">
        <f t="shared" si="86"/>
        <v>0</v>
      </c>
    </row>
    <row r="152" spans="1:815" x14ac:dyDescent="0.25">
      <c r="B152" s="3" t="s">
        <v>1324</v>
      </c>
      <c r="E152" t="s">
        <v>8</v>
      </c>
      <c r="L152" t="s">
        <v>310</v>
      </c>
      <c r="BA152" s="16">
        <f t="shared" si="58"/>
        <v>0</v>
      </c>
      <c r="CB152" s="16">
        <f t="shared" si="59"/>
        <v>0</v>
      </c>
      <c r="DE152" s="16">
        <f t="shared" si="60"/>
        <v>0</v>
      </c>
      <c r="DS152" s="16">
        <f t="shared" si="61"/>
        <v>0</v>
      </c>
      <c r="EF152" s="16">
        <f t="shared" si="62"/>
        <v>0</v>
      </c>
      <c r="FI152" s="16">
        <f t="shared" si="63"/>
        <v>0</v>
      </c>
      <c r="HY152" s="16">
        <f t="shared" si="64"/>
        <v>0</v>
      </c>
      <c r="KM152" s="16">
        <f t="shared" si="65"/>
        <v>0</v>
      </c>
      <c r="MZ152" s="16">
        <f t="shared" si="66"/>
        <v>0</v>
      </c>
      <c r="OQ152" s="16">
        <f t="shared" si="67"/>
        <v>0</v>
      </c>
      <c r="OW152" s="33">
        <f t="shared" si="68"/>
        <v>0</v>
      </c>
      <c r="RD152" s="16">
        <f t="shared" si="69"/>
        <v>0</v>
      </c>
      <c r="RU152" s="16">
        <f t="shared" si="70"/>
        <v>0</v>
      </c>
      <c r="UE152" s="16">
        <f t="shared" si="71"/>
        <v>0</v>
      </c>
      <c r="VJ152" s="16">
        <f t="shared" si="72"/>
        <v>0</v>
      </c>
      <c r="WM152" s="16">
        <f t="shared" si="73"/>
        <v>0</v>
      </c>
      <c r="XH152" s="16">
        <f t="shared" si="74"/>
        <v>0</v>
      </c>
      <c r="YD152" s="16">
        <f t="shared" si="75"/>
        <v>0</v>
      </c>
      <c r="YX152" s="16">
        <f t="shared" si="76"/>
        <v>0</v>
      </c>
      <c r="ZR152" s="16">
        <f t="shared" si="77"/>
        <v>0</v>
      </c>
      <c r="ZX152" s="16">
        <f t="shared" si="78"/>
        <v>0</v>
      </c>
      <c r="AAT152" s="16">
        <f t="shared" si="79"/>
        <v>0</v>
      </c>
      <c r="ABQ152" s="16">
        <f t="shared" si="80"/>
        <v>0</v>
      </c>
      <c r="ABV152" s="16">
        <f t="shared" si="81"/>
        <v>0</v>
      </c>
      <c r="ACC152" s="16">
        <f t="shared" si="82"/>
        <v>0</v>
      </c>
      <c r="ACQ152" s="16">
        <f t="shared" si="83"/>
        <v>0</v>
      </c>
      <c r="ADA152" s="16">
        <f t="shared" si="84"/>
        <v>0</v>
      </c>
      <c r="ADM152" s="16">
        <f t="shared" si="85"/>
        <v>0</v>
      </c>
      <c r="AEI152" s="16">
        <f t="shared" si="86"/>
        <v>0</v>
      </c>
    </row>
    <row r="153" spans="1:815" x14ac:dyDescent="0.25">
      <c r="B153" s="3" t="s">
        <v>1325</v>
      </c>
      <c r="E153" t="s">
        <v>8</v>
      </c>
      <c r="L153" t="s">
        <v>310</v>
      </c>
      <c r="BA153" s="16">
        <f t="shared" si="58"/>
        <v>0</v>
      </c>
      <c r="CB153" s="16">
        <f t="shared" si="59"/>
        <v>0</v>
      </c>
      <c r="DE153" s="16">
        <f t="shared" si="60"/>
        <v>0</v>
      </c>
      <c r="DS153" s="16">
        <f t="shared" si="61"/>
        <v>0</v>
      </c>
      <c r="EF153" s="16">
        <f t="shared" si="62"/>
        <v>0</v>
      </c>
      <c r="FI153" s="16">
        <f t="shared" si="63"/>
        <v>0</v>
      </c>
      <c r="HY153" s="16">
        <f t="shared" si="64"/>
        <v>0</v>
      </c>
      <c r="KM153" s="16">
        <f t="shared" si="65"/>
        <v>0</v>
      </c>
      <c r="MZ153" s="16">
        <f t="shared" si="66"/>
        <v>0</v>
      </c>
      <c r="OQ153" s="16">
        <f t="shared" si="67"/>
        <v>0</v>
      </c>
      <c r="OW153" s="33">
        <f t="shared" si="68"/>
        <v>0</v>
      </c>
      <c r="RD153" s="16">
        <f t="shared" si="69"/>
        <v>0</v>
      </c>
      <c r="RU153" s="16">
        <f t="shared" si="70"/>
        <v>0</v>
      </c>
      <c r="UE153" s="16">
        <f t="shared" si="71"/>
        <v>0</v>
      </c>
      <c r="VJ153" s="16">
        <f t="shared" si="72"/>
        <v>0</v>
      </c>
      <c r="WM153" s="16">
        <f t="shared" si="73"/>
        <v>0</v>
      </c>
      <c r="XH153" s="16">
        <f t="shared" si="74"/>
        <v>0</v>
      </c>
      <c r="YD153" s="16">
        <f t="shared" si="75"/>
        <v>0</v>
      </c>
      <c r="YX153" s="16">
        <f t="shared" si="76"/>
        <v>0</v>
      </c>
      <c r="ZR153" s="16">
        <f t="shared" si="77"/>
        <v>0</v>
      </c>
      <c r="ZX153" s="16">
        <f t="shared" si="78"/>
        <v>0</v>
      </c>
      <c r="AAT153" s="16">
        <f t="shared" si="79"/>
        <v>0</v>
      </c>
      <c r="ABQ153" s="16">
        <f t="shared" si="80"/>
        <v>0</v>
      </c>
      <c r="ABV153" s="16">
        <f t="shared" si="81"/>
        <v>0</v>
      </c>
      <c r="ACC153" s="16">
        <f t="shared" si="82"/>
        <v>0</v>
      </c>
      <c r="ACQ153" s="16">
        <f t="shared" si="83"/>
        <v>0</v>
      </c>
      <c r="ADA153" s="16">
        <f t="shared" si="84"/>
        <v>0</v>
      </c>
      <c r="ADM153" s="16">
        <f t="shared" si="85"/>
        <v>0</v>
      </c>
      <c r="AEI153" s="16">
        <f t="shared" si="86"/>
        <v>0</v>
      </c>
    </row>
    <row r="154" spans="1:815" x14ac:dyDescent="0.25">
      <c r="B154" s="3" t="s">
        <v>1326</v>
      </c>
      <c r="E154" t="s">
        <v>14</v>
      </c>
      <c r="L154" t="s">
        <v>1327</v>
      </c>
      <c r="BA154" s="16">
        <f t="shared" si="58"/>
        <v>0</v>
      </c>
      <c r="CB154" s="16">
        <f t="shared" si="59"/>
        <v>0</v>
      </c>
      <c r="DE154" s="16">
        <f t="shared" si="60"/>
        <v>0</v>
      </c>
      <c r="DS154" s="16">
        <f t="shared" si="61"/>
        <v>0</v>
      </c>
      <c r="EF154" s="16">
        <f t="shared" si="62"/>
        <v>0</v>
      </c>
      <c r="FI154" s="16">
        <f t="shared" si="63"/>
        <v>0</v>
      </c>
      <c r="HY154" s="16">
        <f t="shared" si="64"/>
        <v>0</v>
      </c>
      <c r="KM154" s="16">
        <f t="shared" si="65"/>
        <v>0</v>
      </c>
      <c r="MZ154" s="16">
        <f t="shared" si="66"/>
        <v>0</v>
      </c>
      <c r="OQ154" s="16">
        <f t="shared" si="67"/>
        <v>0</v>
      </c>
      <c r="OW154" s="33">
        <f t="shared" si="68"/>
        <v>0</v>
      </c>
      <c r="RD154" s="16">
        <f t="shared" si="69"/>
        <v>0</v>
      </c>
      <c r="RU154" s="16">
        <f t="shared" si="70"/>
        <v>0</v>
      </c>
      <c r="UE154" s="16">
        <f t="shared" si="71"/>
        <v>0</v>
      </c>
      <c r="VJ154" s="16">
        <f t="shared" si="72"/>
        <v>0</v>
      </c>
      <c r="WM154" s="16">
        <f t="shared" si="73"/>
        <v>0</v>
      </c>
      <c r="XH154" s="16">
        <f t="shared" si="74"/>
        <v>0</v>
      </c>
      <c r="YD154" s="16">
        <f t="shared" si="75"/>
        <v>0</v>
      </c>
      <c r="YX154" s="16">
        <f t="shared" si="76"/>
        <v>0</v>
      </c>
      <c r="ZR154" s="16">
        <f t="shared" si="77"/>
        <v>0</v>
      </c>
      <c r="ZX154" s="16">
        <f t="shared" si="78"/>
        <v>0</v>
      </c>
      <c r="AAT154" s="16">
        <f t="shared" si="79"/>
        <v>0</v>
      </c>
      <c r="ABQ154" s="16">
        <f t="shared" si="80"/>
        <v>0</v>
      </c>
      <c r="ABV154" s="16">
        <f t="shared" si="81"/>
        <v>0</v>
      </c>
      <c r="ACC154" s="16">
        <f t="shared" si="82"/>
        <v>0</v>
      </c>
      <c r="ACQ154" s="16">
        <f t="shared" si="83"/>
        <v>0</v>
      </c>
      <c r="ADA154" s="16">
        <f t="shared" si="84"/>
        <v>0</v>
      </c>
      <c r="ADM154" s="16">
        <f t="shared" si="85"/>
        <v>0</v>
      </c>
      <c r="AEI154" s="16">
        <f t="shared" si="86"/>
        <v>0</v>
      </c>
    </row>
    <row r="155" spans="1:815" ht="45" x14ac:dyDescent="0.25">
      <c r="B155" s="17" t="s">
        <v>2061</v>
      </c>
      <c r="C155">
        <f t="shared" ref="C155:AH155" si="87">COUNTA(C2:C154)</f>
        <v>94</v>
      </c>
      <c r="D155">
        <f t="shared" si="87"/>
        <v>131</v>
      </c>
      <c r="E155">
        <f t="shared" si="87"/>
        <v>142</v>
      </c>
      <c r="F155">
        <f t="shared" si="87"/>
        <v>147</v>
      </c>
      <c r="G155">
        <f t="shared" si="87"/>
        <v>147</v>
      </c>
      <c r="H155">
        <f t="shared" si="87"/>
        <v>90</v>
      </c>
      <c r="I155">
        <f t="shared" si="87"/>
        <v>115</v>
      </c>
      <c r="J155">
        <f t="shared" si="87"/>
        <v>114</v>
      </c>
      <c r="K155">
        <f t="shared" si="87"/>
        <v>84</v>
      </c>
      <c r="L155">
        <f t="shared" si="87"/>
        <v>138</v>
      </c>
      <c r="M155">
        <f t="shared" si="87"/>
        <v>73</v>
      </c>
      <c r="N155">
        <f t="shared" si="87"/>
        <v>68</v>
      </c>
      <c r="O155">
        <f t="shared" si="87"/>
        <v>54</v>
      </c>
      <c r="P155">
        <f t="shared" si="87"/>
        <v>65</v>
      </c>
      <c r="Q155">
        <f t="shared" si="87"/>
        <v>75</v>
      </c>
      <c r="R155">
        <f t="shared" si="87"/>
        <v>88</v>
      </c>
      <c r="S155">
        <f t="shared" si="87"/>
        <v>105</v>
      </c>
      <c r="T155">
        <f t="shared" si="87"/>
        <v>80</v>
      </c>
      <c r="U155">
        <f t="shared" si="87"/>
        <v>71</v>
      </c>
      <c r="V155">
        <f t="shared" si="87"/>
        <v>60</v>
      </c>
      <c r="W155">
        <f t="shared" si="87"/>
        <v>103</v>
      </c>
      <c r="X155">
        <f t="shared" si="87"/>
        <v>4</v>
      </c>
      <c r="Y155">
        <f t="shared" si="87"/>
        <v>1</v>
      </c>
      <c r="Z155">
        <f t="shared" si="87"/>
        <v>13</v>
      </c>
      <c r="AA155">
        <f t="shared" si="87"/>
        <v>7</v>
      </c>
      <c r="AB155">
        <f t="shared" si="87"/>
        <v>2</v>
      </c>
      <c r="AC155">
        <f t="shared" si="87"/>
        <v>1</v>
      </c>
      <c r="AD155">
        <f t="shared" si="87"/>
        <v>8</v>
      </c>
      <c r="AE155">
        <f t="shared" si="87"/>
        <v>3</v>
      </c>
      <c r="AF155">
        <f t="shared" si="87"/>
        <v>1</v>
      </c>
      <c r="AG155">
        <f t="shared" si="87"/>
        <v>1</v>
      </c>
      <c r="AH155">
        <f t="shared" si="87"/>
        <v>1</v>
      </c>
      <c r="AI155">
        <f t="shared" ref="AI155:BN155" si="88">COUNTA(AI2:AI154)</f>
        <v>2</v>
      </c>
      <c r="AJ155">
        <f t="shared" si="88"/>
        <v>1</v>
      </c>
      <c r="AK155">
        <f t="shared" si="88"/>
        <v>2</v>
      </c>
      <c r="AL155">
        <f t="shared" si="88"/>
        <v>1</v>
      </c>
      <c r="AM155">
        <f t="shared" si="88"/>
        <v>1</v>
      </c>
      <c r="AN155">
        <f t="shared" si="88"/>
        <v>2</v>
      </c>
      <c r="AO155">
        <f t="shared" si="88"/>
        <v>0</v>
      </c>
      <c r="AP155">
        <f t="shared" si="88"/>
        <v>1</v>
      </c>
      <c r="AQ155">
        <f t="shared" si="88"/>
        <v>1</v>
      </c>
      <c r="AR155">
        <f t="shared" si="88"/>
        <v>3</v>
      </c>
      <c r="AS155">
        <f t="shared" si="88"/>
        <v>1</v>
      </c>
      <c r="AT155">
        <f t="shared" si="88"/>
        <v>1</v>
      </c>
      <c r="AU155">
        <f t="shared" si="88"/>
        <v>1</v>
      </c>
      <c r="AV155">
        <f t="shared" si="88"/>
        <v>2</v>
      </c>
      <c r="AW155">
        <f t="shared" si="88"/>
        <v>1</v>
      </c>
      <c r="AX155">
        <f t="shared" si="88"/>
        <v>1</v>
      </c>
      <c r="AY155">
        <f t="shared" si="88"/>
        <v>1</v>
      </c>
      <c r="AZ155">
        <f t="shared" si="88"/>
        <v>1</v>
      </c>
      <c r="BA155">
        <f>SUM(BA2:BA154)</f>
        <v>60</v>
      </c>
      <c r="BB155">
        <f t="shared" ref="BB155:CA155" si="89">COUNTA(BB2:BB154)</f>
        <v>28</v>
      </c>
      <c r="BC155">
        <f t="shared" si="89"/>
        <v>5</v>
      </c>
      <c r="BD155">
        <f t="shared" si="89"/>
        <v>5</v>
      </c>
      <c r="BE155">
        <f t="shared" si="89"/>
        <v>2</v>
      </c>
      <c r="BF155">
        <f t="shared" si="89"/>
        <v>7</v>
      </c>
      <c r="BG155">
        <f t="shared" si="89"/>
        <v>3</v>
      </c>
      <c r="BH155">
        <f t="shared" si="89"/>
        <v>1</v>
      </c>
      <c r="BI155">
        <f t="shared" si="89"/>
        <v>1</v>
      </c>
      <c r="BJ155">
        <f t="shared" si="89"/>
        <v>2</v>
      </c>
      <c r="BK155">
        <f t="shared" si="89"/>
        <v>4</v>
      </c>
      <c r="BL155">
        <f t="shared" si="89"/>
        <v>2</v>
      </c>
      <c r="BM155">
        <f t="shared" si="89"/>
        <v>3</v>
      </c>
      <c r="BN155">
        <f t="shared" si="89"/>
        <v>1</v>
      </c>
      <c r="BO155">
        <f t="shared" si="89"/>
        <v>1</v>
      </c>
      <c r="BP155">
        <f t="shared" si="89"/>
        <v>1</v>
      </c>
      <c r="BQ155">
        <f t="shared" si="89"/>
        <v>2</v>
      </c>
      <c r="BR155">
        <f t="shared" si="89"/>
        <v>3</v>
      </c>
      <c r="BS155">
        <f t="shared" si="89"/>
        <v>2</v>
      </c>
      <c r="BT155">
        <f t="shared" si="89"/>
        <v>1</v>
      </c>
      <c r="BU155">
        <f t="shared" si="89"/>
        <v>2</v>
      </c>
      <c r="BV155">
        <f t="shared" si="89"/>
        <v>1</v>
      </c>
      <c r="BW155">
        <f t="shared" si="89"/>
        <v>1</v>
      </c>
      <c r="BX155">
        <f t="shared" si="89"/>
        <v>1</v>
      </c>
      <c r="BY155">
        <f t="shared" si="89"/>
        <v>1</v>
      </c>
      <c r="BZ155">
        <f t="shared" si="89"/>
        <v>1</v>
      </c>
      <c r="CA155">
        <f t="shared" si="89"/>
        <v>1</v>
      </c>
      <c r="CB155">
        <f>SUM(CB2:CB154)</f>
        <v>82</v>
      </c>
      <c r="CC155">
        <f t="shared" ref="CC155:DD155" si="90">COUNTA(CC2:CC154)</f>
        <v>20</v>
      </c>
      <c r="CD155">
        <f t="shared" si="90"/>
        <v>2</v>
      </c>
      <c r="CE155">
        <f t="shared" si="90"/>
        <v>5</v>
      </c>
      <c r="CF155">
        <f t="shared" si="90"/>
        <v>2</v>
      </c>
      <c r="CG155">
        <f t="shared" si="90"/>
        <v>9</v>
      </c>
      <c r="CH155">
        <f t="shared" si="90"/>
        <v>3</v>
      </c>
      <c r="CI155">
        <f t="shared" si="90"/>
        <v>1</v>
      </c>
      <c r="CJ155">
        <f t="shared" si="90"/>
        <v>1</v>
      </c>
      <c r="CK155">
        <f t="shared" si="90"/>
        <v>1</v>
      </c>
      <c r="CL155">
        <f t="shared" si="90"/>
        <v>2</v>
      </c>
      <c r="CM155">
        <f t="shared" si="90"/>
        <v>3</v>
      </c>
      <c r="CN155">
        <f t="shared" si="90"/>
        <v>3</v>
      </c>
      <c r="CO155">
        <f t="shared" si="90"/>
        <v>3</v>
      </c>
      <c r="CP155">
        <f t="shared" si="90"/>
        <v>2</v>
      </c>
      <c r="CQ155">
        <f t="shared" si="90"/>
        <v>1</v>
      </c>
      <c r="CR155">
        <f t="shared" si="90"/>
        <v>1</v>
      </c>
      <c r="CS155">
        <f t="shared" si="90"/>
        <v>1</v>
      </c>
      <c r="CT155">
        <f t="shared" si="90"/>
        <v>1</v>
      </c>
      <c r="CU155">
        <f t="shared" si="90"/>
        <v>2</v>
      </c>
      <c r="CV155">
        <f t="shared" si="90"/>
        <v>2</v>
      </c>
      <c r="CW155">
        <f t="shared" si="90"/>
        <v>1</v>
      </c>
      <c r="CX155">
        <f t="shared" si="90"/>
        <v>1</v>
      </c>
      <c r="CY155">
        <f t="shared" si="90"/>
        <v>1</v>
      </c>
      <c r="CZ155">
        <f t="shared" si="90"/>
        <v>1</v>
      </c>
      <c r="DA155">
        <f t="shared" si="90"/>
        <v>2</v>
      </c>
      <c r="DB155">
        <f t="shared" si="90"/>
        <v>1</v>
      </c>
      <c r="DC155">
        <f t="shared" si="90"/>
        <v>1</v>
      </c>
      <c r="DD155">
        <f t="shared" si="90"/>
        <v>1</v>
      </c>
      <c r="DE155">
        <f>SUM(DE2:DE154)</f>
        <v>74</v>
      </c>
      <c r="DF155">
        <f t="shared" ref="DF155:DR155" si="91">COUNTA(DF2:DF154)</f>
        <v>1</v>
      </c>
      <c r="DG155">
        <f t="shared" si="91"/>
        <v>6</v>
      </c>
      <c r="DH155">
        <f t="shared" si="91"/>
        <v>2</v>
      </c>
      <c r="DI155">
        <f t="shared" si="91"/>
        <v>1</v>
      </c>
      <c r="DJ155">
        <f t="shared" si="91"/>
        <v>2</v>
      </c>
      <c r="DK155">
        <f t="shared" si="91"/>
        <v>1</v>
      </c>
      <c r="DL155">
        <f t="shared" si="91"/>
        <v>1</v>
      </c>
      <c r="DM155">
        <f t="shared" si="91"/>
        <v>1</v>
      </c>
      <c r="DN155">
        <f t="shared" si="91"/>
        <v>1</v>
      </c>
      <c r="DO155">
        <f t="shared" si="91"/>
        <v>1</v>
      </c>
      <c r="DP155">
        <f t="shared" si="91"/>
        <v>1</v>
      </c>
      <c r="DQ155">
        <f t="shared" si="91"/>
        <v>1</v>
      </c>
      <c r="DR155">
        <f t="shared" si="91"/>
        <v>1</v>
      </c>
      <c r="DS155">
        <f>SUM(DS2:DS154)</f>
        <v>19</v>
      </c>
      <c r="DT155">
        <f t="shared" ref="DT155:EE155" si="92">COUNTA(DT2:DT154)</f>
        <v>3</v>
      </c>
      <c r="DU155">
        <f t="shared" si="92"/>
        <v>0</v>
      </c>
      <c r="DV155">
        <f t="shared" si="92"/>
        <v>0</v>
      </c>
      <c r="DW155">
        <f t="shared" si="92"/>
        <v>2</v>
      </c>
      <c r="DX155">
        <f t="shared" si="92"/>
        <v>1</v>
      </c>
      <c r="DY155">
        <f t="shared" si="92"/>
        <v>1</v>
      </c>
      <c r="DZ155">
        <f t="shared" si="92"/>
        <v>1</v>
      </c>
      <c r="EA155">
        <f t="shared" si="92"/>
        <v>1</v>
      </c>
      <c r="EB155">
        <f t="shared" si="92"/>
        <v>1</v>
      </c>
      <c r="EC155">
        <f t="shared" si="92"/>
        <v>1</v>
      </c>
      <c r="ED155">
        <f t="shared" si="92"/>
        <v>1</v>
      </c>
      <c r="EE155">
        <f t="shared" si="92"/>
        <v>1</v>
      </c>
      <c r="EF155">
        <f>SUM(EF2:EF154)</f>
        <v>13</v>
      </c>
      <c r="EG155">
        <f t="shared" ref="EG155:FH155" si="93">COUNTA(EG2:EG154)</f>
        <v>32</v>
      </c>
      <c r="EH155">
        <f t="shared" si="93"/>
        <v>3</v>
      </c>
      <c r="EI155">
        <f t="shared" si="93"/>
        <v>12</v>
      </c>
      <c r="EJ155">
        <f t="shared" si="93"/>
        <v>4</v>
      </c>
      <c r="EK155">
        <f t="shared" si="93"/>
        <v>1</v>
      </c>
      <c r="EL155">
        <f t="shared" si="93"/>
        <v>9</v>
      </c>
      <c r="EM155">
        <f t="shared" si="93"/>
        <v>1</v>
      </c>
      <c r="EN155">
        <f t="shared" si="93"/>
        <v>7</v>
      </c>
      <c r="EO155">
        <f t="shared" si="93"/>
        <v>1</v>
      </c>
      <c r="EP155">
        <f t="shared" si="93"/>
        <v>1</v>
      </c>
      <c r="EQ155">
        <f t="shared" si="93"/>
        <v>1</v>
      </c>
      <c r="ER155">
        <f t="shared" si="93"/>
        <v>5</v>
      </c>
      <c r="ES155">
        <f t="shared" si="93"/>
        <v>1</v>
      </c>
      <c r="ET155">
        <f t="shared" si="93"/>
        <v>5</v>
      </c>
      <c r="EU155">
        <f t="shared" si="93"/>
        <v>1</v>
      </c>
      <c r="EV155">
        <f t="shared" si="93"/>
        <v>1</v>
      </c>
      <c r="EW155">
        <f t="shared" si="93"/>
        <v>3</v>
      </c>
      <c r="EX155">
        <f t="shared" si="93"/>
        <v>2</v>
      </c>
      <c r="EY155">
        <f t="shared" si="93"/>
        <v>2</v>
      </c>
      <c r="EZ155">
        <f t="shared" si="93"/>
        <v>1</v>
      </c>
      <c r="FA155">
        <f t="shared" si="93"/>
        <v>1</v>
      </c>
      <c r="FB155">
        <f t="shared" si="93"/>
        <v>3</v>
      </c>
      <c r="FC155">
        <f t="shared" si="93"/>
        <v>2</v>
      </c>
      <c r="FD155">
        <f t="shared" si="93"/>
        <v>1</v>
      </c>
      <c r="FE155">
        <f t="shared" si="93"/>
        <v>1</v>
      </c>
      <c r="FF155">
        <f t="shared" si="93"/>
        <v>0</v>
      </c>
      <c r="FG155">
        <f t="shared" si="93"/>
        <v>1</v>
      </c>
      <c r="FH155">
        <f t="shared" si="93"/>
        <v>1</v>
      </c>
      <c r="FI155">
        <f>SUM(FI2:FI154)</f>
        <v>103</v>
      </c>
      <c r="FJ155">
        <f t="shared" ref="FJ155:GO155" si="94">COUNTA(FJ2:FJ154)</f>
        <v>66</v>
      </c>
      <c r="FK155">
        <f t="shared" si="94"/>
        <v>7</v>
      </c>
      <c r="FL155">
        <f t="shared" si="94"/>
        <v>3</v>
      </c>
      <c r="FM155">
        <f t="shared" si="94"/>
        <v>0</v>
      </c>
      <c r="FN155">
        <f t="shared" si="94"/>
        <v>16</v>
      </c>
      <c r="FO155">
        <f t="shared" si="94"/>
        <v>3</v>
      </c>
      <c r="FP155">
        <f t="shared" si="94"/>
        <v>1</v>
      </c>
      <c r="FQ155">
        <f t="shared" si="94"/>
        <v>12</v>
      </c>
      <c r="FR155">
        <f t="shared" si="94"/>
        <v>8</v>
      </c>
      <c r="FS155">
        <f t="shared" si="94"/>
        <v>1</v>
      </c>
      <c r="FT155">
        <f t="shared" si="94"/>
        <v>1</v>
      </c>
      <c r="FU155">
        <f t="shared" si="94"/>
        <v>1</v>
      </c>
      <c r="FV155">
        <f t="shared" si="94"/>
        <v>7</v>
      </c>
      <c r="FW155">
        <f t="shared" si="94"/>
        <v>1</v>
      </c>
      <c r="FX155">
        <f t="shared" si="94"/>
        <v>7</v>
      </c>
      <c r="FY155">
        <f t="shared" si="94"/>
        <v>1</v>
      </c>
      <c r="FZ155">
        <f t="shared" si="94"/>
        <v>1</v>
      </c>
      <c r="GA155">
        <f t="shared" si="94"/>
        <v>5</v>
      </c>
      <c r="GB155">
        <f t="shared" si="94"/>
        <v>7</v>
      </c>
      <c r="GC155">
        <f t="shared" si="94"/>
        <v>4</v>
      </c>
      <c r="GD155">
        <f t="shared" si="94"/>
        <v>2</v>
      </c>
      <c r="GE155">
        <f t="shared" si="94"/>
        <v>3</v>
      </c>
      <c r="GF155">
        <f t="shared" si="94"/>
        <v>4</v>
      </c>
      <c r="GG155">
        <f t="shared" si="94"/>
        <v>2</v>
      </c>
      <c r="GH155">
        <f t="shared" si="94"/>
        <v>7</v>
      </c>
      <c r="GI155">
        <f t="shared" si="94"/>
        <v>5</v>
      </c>
      <c r="GJ155">
        <f t="shared" si="94"/>
        <v>1</v>
      </c>
      <c r="GK155">
        <f t="shared" si="94"/>
        <v>1</v>
      </c>
      <c r="GL155">
        <f t="shared" si="94"/>
        <v>2</v>
      </c>
      <c r="GM155">
        <f t="shared" si="94"/>
        <v>2</v>
      </c>
      <c r="GN155">
        <f t="shared" si="94"/>
        <v>1</v>
      </c>
      <c r="GO155">
        <f t="shared" si="94"/>
        <v>3</v>
      </c>
      <c r="GP155">
        <f t="shared" ref="GP155:HU155" si="95">COUNTA(GP2:GP154)</f>
        <v>1</v>
      </c>
      <c r="GQ155">
        <f t="shared" si="95"/>
        <v>1</v>
      </c>
      <c r="GR155">
        <f t="shared" si="95"/>
        <v>1</v>
      </c>
      <c r="GS155">
        <f t="shared" si="95"/>
        <v>1</v>
      </c>
      <c r="GT155">
        <f t="shared" si="95"/>
        <v>2</v>
      </c>
      <c r="GU155">
        <f t="shared" si="95"/>
        <v>1</v>
      </c>
      <c r="GV155">
        <f t="shared" si="95"/>
        <v>1</v>
      </c>
      <c r="GW155">
        <f t="shared" si="95"/>
        <v>2</v>
      </c>
      <c r="GX155">
        <f t="shared" si="95"/>
        <v>1</v>
      </c>
      <c r="GY155">
        <f t="shared" si="95"/>
        <v>1</v>
      </c>
      <c r="GZ155">
        <f t="shared" si="95"/>
        <v>1</v>
      </c>
      <c r="HA155">
        <f t="shared" si="95"/>
        <v>1</v>
      </c>
      <c r="HB155">
        <f t="shared" si="95"/>
        <v>1</v>
      </c>
      <c r="HC155">
        <f t="shared" si="95"/>
        <v>2</v>
      </c>
      <c r="HD155">
        <f t="shared" si="95"/>
        <v>1</v>
      </c>
      <c r="HE155">
        <f t="shared" si="95"/>
        <v>2</v>
      </c>
      <c r="HF155">
        <f t="shared" si="95"/>
        <v>1</v>
      </c>
      <c r="HG155">
        <f t="shared" si="95"/>
        <v>1</v>
      </c>
      <c r="HH155">
        <f t="shared" si="95"/>
        <v>1</v>
      </c>
      <c r="HI155">
        <f t="shared" si="95"/>
        <v>1</v>
      </c>
      <c r="HJ155">
        <f t="shared" si="95"/>
        <v>1</v>
      </c>
      <c r="HK155">
        <f t="shared" si="95"/>
        <v>1</v>
      </c>
      <c r="HL155">
        <f t="shared" si="95"/>
        <v>1</v>
      </c>
      <c r="HM155">
        <f t="shared" si="95"/>
        <v>1</v>
      </c>
      <c r="HN155">
        <f t="shared" si="95"/>
        <v>1</v>
      </c>
      <c r="HO155">
        <f t="shared" si="95"/>
        <v>1</v>
      </c>
      <c r="HP155">
        <f t="shared" si="95"/>
        <v>1</v>
      </c>
      <c r="HQ155">
        <f t="shared" si="95"/>
        <v>1</v>
      </c>
      <c r="HR155">
        <f t="shared" si="95"/>
        <v>1</v>
      </c>
      <c r="HS155">
        <f t="shared" si="95"/>
        <v>1</v>
      </c>
      <c r="HT155">
        <f t="shared" si="95"/>
        <v>1</v>
      </c>
      <c r="HU155">
        <f t="shared" si="95"/>
        <v>1</v>
      </c>
      <c r="HV155">
        <f t="shared" ref="HV155:JA155" si="96">COUNTA(HV2:HV154)</f>
        <v>1</v>
      </c>
      <c r="HW155">
        <f t="shared" si="96"/>
        <v>1</v>
      </c>
      <c r="HX155">
        <f t="shared" si="96"/>
        <v>1</v>
      </c>
      <c r="HY155">
        <f>SUM(HY2:HY154)</f>
        <v>224</v>
      </c>
      <c r="HZ155">
        <f t="shared" ref="HZ155:JE155" si="97">COUNTA(HZ2:HZ154)</f>
        <v>66</v>
      </c>
      <c r="IA155">
        <f t="shared" si="97"/>
        <v>3</v>
      </c>
      <c r="IB155">
        <f t="shared" si="97"/>
        <v>3</v>
      </c>
      <c r="IC155">
        <f t="shared" si="97"/>
        <v>18</v>
      </c>
      <c r="ID155">
        <f t="shared" si="97"/>
        <v>3</v>
      </c>
      <c r="IE155">
        <f t="shared" si="97"/>
        <v>0</v>
      </c>
      <c r="IF155">
        <f t="shared" si="97"/>
        <v>12</v>
      </c>
      <c r="IG155">
        <f t="shared" si="97"/>
        <v>8</v>
      </c>
      <c r="IH155">
        <f t="shared" si="97"/>
        <v>1</v>
      </c>
      <c r="II155">
        <f t="shared" si="97"/>
        <v>1</v>
      </c>
      <c r="IJ155">
        <f t="shared" si="97"/>
        <v>1</v>
      </c>
      <c r="IK155">
        <f t="shared" si="97"/>
        <v>8</v>
      </c>
      <c r="IL155">
        <f t="shared" si="97"/>
        <v>1</v>
      </c>
      <c r="IM155">
        <f t="shared" si="97"/>
        <v>8</v>
      </c>
      <c r="IN155">
        <f t="shared" si="97"/>
        <v>1</v>
      </c>
      <c r="IO155">
        <f t="shared" si="97"/>
        <v>1</v>
      </c>
      <c r="IP155">
        <f t="shared" si="97"/>
        <v>3</v>
      </c>
      <c r="IQ155">
        <f t="shared" si="97"/>
        <v>7</v>
      </c>
      <c r="IR155">
        <f t="shared" si="97"/>
        <v>4</v>
      </c>
      <c r="IS155">
        <f t="shared" si="97"/>
        <v>2</v>
      </c>
      <c r="IT155">
        <f t="shared" si="97"/>
        <v>3</v>
      </c>
      <c r="IU155">
        <f t="shared" si="97"/>
        <v>4</v>
      </c>
      <c r="IV155">
        <f t="shared" si="97"/>
        <v>2</v>
      </c>
      <c r="IW155">
        <f t="shared" si="97"/>
        <v>7</v>
      </c>
      <c r="IX155">
        <f t="shared" si="97"/>
        <v>5</v>
      </c>
      <c r="IY155">
        <f t="shared" si="97"/>
        <v>2</v>
      </c>
      <c r="IZ155">
        <f t="shared" si="97"/>
        <v>1</v>
      </c>
      <c r="JA155">
        <f t="shared" si="97"/>
        <v>2</v>
      </c>
      <c r="JB155">
        <f t="shared" si="97"/>
        <v>2</v>
      </c>
      <c r="JC155">
        <f t="shared" si="97"/>
        <v>1</v>
      </c>
      <c r="JD155">
        <f t="shared" si="97"/>
        <v>3</v>
      </c>
      <c r="JE155">
        <f t="shared" si="97"/>
        <v>1</v>
      </c>
      <c r="JF155">
        <f t="shared" ref="JF155:KK155" si="98">COUNTA(JF2:JF154)</f>
        <v>1</v>
      </c>
      <c r="JG155">
        <f t="shared" si="98"/>
        <v>1</v>
      </c>
      <c r="JH155">
        <f t="shared" si="98"/>
        <v>2</v>
      </c>
      <c r="JI155">
        <f t="shared" si="98"/>
        <v>2</v>
      </c>
      <c r="JJ155">
        <f t="shared" si="98"/>
        <v>1</v>
      </c>
      <c r="JK155">
        <f t="shared" si="98"/>
        <v>2</v>
      </c>
      <c r="JL155">
        <f t="shared" si="98"/>
        <v>3</v>
      </c>
      <c r="JM155">
        <f t="shared" si="98"/>
        <v>1</v>
      </c>
      <c r="JN155">
        <f t="shared" si="98"/>
        <v>1</v>
      </c>
      <c r="JO155">
        <f t="shared" si="98"/>
        <v>1</v>
      </c>
      <c r="JP155">
        <f t="shared" si="98"/>
        <v>1</v>
      </c>
      <c r="JQ155">
        <f t="shared" si="98"/>
        <v>1</v>
      </c>
      <c r="JR155">
        <f t="shared" si="98"/>
        <v>2</v>
      </c>
      <c r="JS155">
        <f t="shared" si="98"/>
        <v>2</v>
      </c>
      <c r="JT155">
        <f t="shared" si="98"/>
        <v>1</v>
      </c>
      <c r="JU155">
        <f t="shared" si="98"/>
        <v>1</v>
      </c>
      <c r="JV155">
        <f t="shared" si="98"/>
        <v>1</v>
      </c>
      <c r="JW155">
        <f t="shared" si="98"/>
        <v>1</v>
      </c>
      <c r="JX155">
        <f t="shared" si="98"/>
        <v>1</v>
      </c>
      <c r="JY155">
        <f t="shared" si="98"/>
        <v>1</v>
      </c>
      <c r="JZ155">
        <f t="shared" si="98"/>
        <v>1</v>
      </c>
      <c r="KA155">
        <f t="shared" si="98"/>
        <v>1</v>
      </c>
      <c r="KB155">
        <f t="shared" si="98"/>
        <v>1</v>
      </c>
      <c r="KC155">
        <f t="shared" si="98"/>
        <v>1</v>
      </c>
      <c r="KD155">
        <f t="shared" si="98"/>
        <v>1</v>
      </c>
      <c r="KE155">
        <f t="shared" si="98"/>
        <v>1</v>
      </c>
      <c r="KF155">
        <f t="shared" si="98"/>
        <v>1</v>
      </c>
      <c r="KG155">
        <f t="shared" si="98"/>
        <v>1</v>
      </c>
      <c r="KH155">
        <f t="shared" si="98"/>
        <v>1</v>
      </c>
      <c r="KI155">
        <f t="shared" si="98"/>
        <v>1</v>
      </c>
      <c r="KJ155">
        <f t="shared" si="98"/>
        <v>1</v>
      </c>
      <c r="KK155">
        <f t="shared" si="98"/>
        <v>1</v>
      </c>
      <c r="KL155">
        <f t="shared" ref="KL155:LQ155" si="99">COUNTA(KL2:KL154)</f>
        <v>1</v>
      </c>
      <c r="KM155">
        <f>SUM(KM2:KM154)</f>
        <v>224</v>
      </c>
      <c r="KN155">
        <f t="shared" ref="KN155:LS155" si="100">COUNTA(KN2:KN154)</f>
        <v>50</v>
      </c>
      <c r="KO155">
        <f t="shared" si="100"/>
        <v>5</v>
      </c>
      <c r="KP155">
        <f t="shared" si="100"/>
        <v>15</v>
      </c>
      <c r="KQ155">
        <f t="shared" si="100"/>
        <v>1</v>
      </c>
      <c r="KR155">
        <f t="shared" si="100"/>
        <v>11</v>
      </c>
      <c r="KS155">
        <f t="shared" si="100"/>
        <v>9</v>
      </c>
      <c r="KT155">
        <f t="shared" si="100"/>
        <v>1</v>
      </c>
      <c r="KU155">
        <f t="shared" si="100"/>
        <v>1</v>
      </c>
      <c r="KV155">
        <f t="shared" si="100"/>
        <v>1</v>
      </c>
      <c r="KW155">
        <f t="shared" si="100"/>
        <v>5</v>
      </c>
      <c r="KX155">
        <f t="shared" si="100"/>
        <v>1</v>
      </c>
      <c r="KY155">
        <f t="shared" si="100"/>
        <v>9</v>
      </c>
      <c r="KZ155">
        <f t="shared" si="100"/>
        <v>1</v>
      </c>
      <c r="LA155">
        <f t="shared" si="100"/>
        <v>1</v>
      </c>
      <c r="LB155">
        <f t="shared" si="100"/>
        <v>5</v>
      </c>
      <c r="LC155">
        <f t="shared" si="100"/>
        <v>7</v>
      </c>
      <c r="LD155">
        <f t="shared" si="100"/>
        <v>3</v>
      </c>
      <c r="LE155">
        <f t="shared" si="100"/>
        <v>1</v>
      </c>
      <c r="LF155">
        <f t="shared" si="100"/>
        <v>1</v>
      </c>
      <c r="LG155">
        <f t="shared" si="100"/>
        <v>5</v>
      </c>
      <c r="LH155">
        <f t="shared" si="100"/>
        <v>3</v>
      </c>
      <c r="LI155">
        <f t="shared" si="100"/>
        <v>8</v>
      </c>
      <c r="LJ155">
        <f t="shared" si="100"/>
        <v>3</v>
      </c>
      <c r="LK155">
        <f t="shared" si="100"/>
        <v>2</v>
      </c>
      <c r="LL155">
        <f t="shared" si="100"/>
        <v>1</v>
      </c>
      <c r="LM155">
        <f t="shared" si="100"/>
        <v>2</v>
      </c>
      <c r="LN155">
        <f t="shared" si="100"/>
        <v>2</v>
      </c>
      <c r="LO155">
        <f t="shared" si="100"/>
        <v>2</v>
      </c>
      <c r="LP155">
        <f t="shared" si="100"/>
        <v>3</v>
      </c>
      <c r="LQ155">
        <f t="shared" si="100"/>
        <v>1</v>
      </c>
      <c r="LR155">
        <f t="shared" si="100"/>
        <v>1</v>
      </c>
      <c r="LS155">
        <f t="shared" si="100"/>
        <v>1</v>
      </c>
      <c r="LT155">
        <f t="shared" ref="LT155:MY155" si="101">COUNTA(LT2:LT154)</f>
        <v>1</v>
      </c>
      <c r="LU155">
        <f t="shared" si="101"/>
        <v>2</v>
      </c>
      <c r="LV155">
        <f t="shared" si="101"/>
        <v>1</v>
      </c>
      <c r="LW155">
        <f t="shared" si="101"/>
        <v>1</v>
      </c>
      <c r="LX155">
        <f t="shared" si="101"/>
        <v>2</v>
      </c>
      <c r="LY155">
        <f t="shared" si="101"/>
        <v>1</v>
      </c>
      <c r="LZ155">
        <f t="shared" si="101"/>
        <v>2</v>
      </c>
      <c r="MA155">
        <f t="shared" si="101"/>
        <v>1</v>
      </c>
      <c r="MB155">
        <f t="shared" si="101"/>
        <v>1</v>
      </c>
      <c r="MC155">
        <f t="shared" si="101"/>
        <v>1</v>
      </c>
      <c r="MD155">
        <f t="shared" si="101"/>
        <v>2</v>
      </c>
      <c r="ME155">
        <f t="shared" si="101"/>
        <v>2</v>
      </c>
      <c r="MF155">
        <f t="shared" si="101"/>
        <v>1</v>
      </c>
      <c r="MG155">
        <f t="shared" si="101"/>
        <v>1</v>
      </c>
      <c r="MH155">
        <f t="shared" si="101"/>
        <v>1</v>
      </c>
      <c r="MI155">
        <f t="shared" si="101"/>
        <v>1</v>
      </c>
      <c r="MJ155">
        <f t="shared" si="101"/>
        <v>1</v>
      </c>
      <c r="MK155">
        <f t="shared" si="101"/>
        <v>1</v>
      </c>
      <c r="ML155">
        <f t="shared" si="101"/>
        <v>1</v>
      </c>
      <c r="MM155">
        <f t="shared" si="101"/>
        <v>1</v>
      </c>
      <c r="MN155">
        <f t="shared" si="101"/>
        <v>1</v>
      </c>
      <c r="MO155">
        <f t="shared" si="101"/>
        <v>1</v>
      </c>
      <c r="MP155">
        <f t="shared" si="101"/>
        <v>1</v>
      </c>
      <c r="MQ155">
        <f t="shared" si="101"/>
        <v>1</v>
      </c>
      <c r="MR155">
        <f t="shared" si="101"/>
        <v>1</v>
      </c>
      <c r="MS155">
        <f t="shared" si="101"/>
        <v>1</v>
      </c>
      <c r="MT155">
        <f t="shared" si="101"/>
        <v>1</v>
      </c>
      <c r="MU155">
        <f t="shared" si="101"/>
        <v>1</v>
      </c>
      <c r="MV155">
        <f t="shared" si="101"/>
        <v>1</v>
      </c>
      <c r="MW155">
        <f t="shared" si="101"/>
        <v>1</v>
      </c>
      <c r="MX155">
        <f t="shared" si="101"/>
        <v>1</v>
      </c>
      <c r="MY155">
        <f t="shared" si="101"/>
        <v>2</v>
      </c>
      <c r="MZ155">
        <f>SUM(MZ2:MZ154)</f>
        <v>200</v>
      </c>
      <c r="NA155">
        <f t="shared" ref="NA155:OP155" si="102">COUNTA(NA2:NA154)</f>
        <v>32</v>
      </c>
      <c r="NB155">
        <f t="shared" si="102"/>
        <v>4</v>
      </c>
      <c r="NC155">
        <f t="shared" si="102"/>
        <v>1</v>
      </c>
      <c r="ND155">
        <f t="shared" si="102"/>
        <v>13</v>
      </c>
      <c r="NE155">
        <f t="shared" si="102"/>
        <v>2</v>
      </c>
      <c r="NF155">
        <f t="shared" si="102"/>
        <v>1</v>
      </c>
      <c r="NG155">
        <f t="shared" si="102"/>
        <v>9</v>
      </c>
      <c r="NH155">
        <f t="shared" si="102"/>
        <v>6</v>
      </c>
      <c r="NI155">
        <f t="shared" si="102"/>
        <v>1</v>
      </c>
      <c r="NJ155">
        <f t="shared" si="102"/>
        <v>1</v>
      </c>
      <c r="NK155">
        <f t="shared" si="102"/>
        <v>1</v>
      </c>
      <c r="NL155">
        <f t="shared" si="102"/>
        <v>3</v>
      </c>
      <c r="NM155">
        <f t="shared" si="102"/>
        <v>1</v>
      </c>
      <c r="NN155">
        <f t="shared" si="102"/>
        <v>4</v>
      </c>
      <c r="NO155">
        <f t="shared" si="102"/>
        <v>1</v>
      </c>
      <c r="NP155">
        <f t="shared" si="102"/>
        <v>1</v>
      </c>
      <c r="NQ155">
        <f t="shared" si="102"/>
        <v>3</v>
      </c>
      <c r="NR155">
        <f t="shared" si="102"/>
        <v>1</v>
      </c>
      <c r="NS155">
        <f t="shared" si="102"/>
        <v>1</v>
      </c>
      <c r="NT155">
        <f t="shared" si="102"/>
        <v>1</v>
      </c>
      <c r="NU155">
        <f t="shared" si="102"/>
        <v>3</v>
      </c>
      <c r="NV155">
        <f t="shared" si="102"/>
        <v>1</v>
      </c>
      <c r="NW155">
        <f t="shared" si="102"/>
        <v>1</v>
      </c>
      <c r="NX155">
        <f t="shared" si="102"/>
        <v>1</v>
      </c>
      <c r="NY155">
        <f t="shared" si="102"/>
        <v>1</v>
      </c>
      <c r="NZ155">
        <f t="shared" si="102"/>
        <v>1</v>
      </c>
      <c r="OA155">
        <f t="shared" si="102"/>
        <v>1</v>
      </c>
      <c r="OB155">
        <f t="shared" si="102"/>
        <v>2</v>
      </c>
      <c r="OC155">
        <f t="shared" si="102"/>
        <v>1</v>
      </c>
      <c r="OD155">
        <f t="shared" si="102"/>
        <v>1</v>
      </c>
      <c r="OE155">
        <f t="shared" si="102"/>
        <v>1</v>
      </c>
      <c r="OF155">
        <f t="shared" si="102"/>
        <v>1</v>
      </c>
      <c r="OG155">
        <f t="shared" si="102"/>
        <v>1</v>
      </c>
      <c r="OH155">
        <f t="shared" si="102"/>
        <v>1</v>
      </c>
      <c r="OI155">
        <f t="shared" si="102"/>
        <v>1</v>
      </c>
      <c r="OJ155">
        <f t="shared" si="102"/>
        <v>1</v>
      </c>
      <c r="OK155">
        <f t="shared" si="102"/>
        <v>1</v>
      </c>
      <c r="OL155">
        <f t="shared" si="102"/>
        <v>1</v>
      </c>
      <c r="OM155">
        <f t="shared" si="102"/>
        <v>1</v>
      </c>
      <c r="ON155">
        <f t="shared" si="102"/>
        <v>1</v>
      </c>
      <c r="OO155">
        <f t="shared" si="102"/>
        <v>1</v>
      </c>
      <c r="OP155">
        <f t="shared" si="102"/>
        <v>1</v>
      </c>
      <c r="OQ155">
        <f>SUM(OQ2:OQ154)</f>
        <v>112</v>
      </c>
      <c r="OR155" s="32">
        <f>COUNTA(OR2:OR154)</f>
        <v>11</v>
      </c>
      <c r="OS155" s="32">
        <f>COUNTA(OS2:OS154)</f>
        <v>1</v>
      </c>
      <c r="OT155" s="32">
        <f>COUNTA(OT2:OT154)</f>
        <v>1</v>
      </c>
      <c r="OU155" s="32">
        <f>COUNTA(OU2:OU154)</f>
        <v>1</v>
      </c>
      <c r="OV155" s="32">
        <f>COUNTA(OV2:OV154)</f>
        <v>1</v>
      </c>
      <c r="OW155" s="32">
        <f>SUM(OW2:OW154)</f>
        <v>15</v>
      </c>
      <c r="OX155">
        <f t="shared" ref="OX155:QC155" si="103">COUNTA(OX2:OX154)</f>
        <v>35</v>
      </c>
      <c r="OY155">
        <f t="shared" si="103"/>
        <v>2</v>
      </c>
      <c r="OZ155">
        <f t="shared" si="103"/>
        <v>2</v>
      </c>
      <c r="PA155">
        <f t="shared" si="103"/>
        <v>9</v>
      </c>
      <c r="PB155">
        <f t="shared" si="103"/>
        <v>2</v>
      </c>
      <c r="PC155">
        <f t="shared" si="103"/>
        <v>2</v>
      </c>
      <c r="PD155">
        <f t="shared" si="103"/>
        <v>10</v>
      </c>
      <c r="PE155">
        <f t="shared" si="103"/>
        <v>0</v>
      </c>
      <c r="PF155">
        <f t="shared" si="103"/>
        <v>7</v>
      </c>
      <c r="PG155">
        <f t="shared" si="103"/>
        <v>1</v>
      </c>
      <c r="PH155">
        <f t="shared" si="103"/>
        <v>1</v>
      </c>
      <c r="PI155">
        <f t="shared" si="103"/>
        <v>1</v>
      </c>
      <c r="PJ155">
        <f t="shared" si="103"/>
        <v>5</v>
      </c>
      <c r="PK155">
        <f t="shared" si="103"/>
        <v>1</v>
      </c>
      <c r="PL155">
        <f t="shared" si="103"/>
        <v>7</v>
      </c>
      <c r="PM155">
        <f t="shared" si="103"/>
        <v>1</v>
      </c>
      <c r="PN155">
        <f t="shared" si="103"/>
        <v>1</v>
      </c>
      <c r="PO155">
        <f t="shared" si="103"/>
        <v>6</v>
      </c>
      <c r="PP155">
        <f t="shared" si="103"/>
        <v>2</v>
      </c>
      <c r="PQ155">
        <f t="shared" si="103"/>
        <v>3</v>
      </c>
      <c r="PR155">
        <f t="shared" si="103"/>
        <v>1</v>
      </c>
      <c r="PS155">
        <f t="shared" si="103"/>
        <v>1</v>
      </c>
      <c r="PT155">
        <f t="shared" si="103"/>
        <v>2</v>
      </c>
      <c r="PU155">
        <f t="shared" si="103"/>
        <v>3</v>
      </c>
      <c r="PV155">
        <f t="shared" si="103"/>
        <v>4</v>
      </c>
      <c r="PW155">
        <f t="shared" si="103"/>
        <v>2</v>
      </c>
      <c r="PX155">
        <f t="shared" si="103"/>
        <v>1</v>
      </c>
      <c r="PY155">
        <f t="shared" si="103"/>
        <v>0</v>
      </c>
      <c r="PZ155">
        <f t="shared" si="103"/>
        <v>2</v>
      </c>
      <c r="QA155">
        <f t="shared" si="103"/>
        <v>1</v>
      </c>
      <c r="QB155">
        <f t="shared" si="103"/>
        <v>1</v>
      </c>
      <c r="QC155">
        <f t="shared" si="103"/>
        <v>3</v>
      </c>
      <c r="QD155">
        <f t="shared" ref="QD155:RI155" si="104">COUNTA(QD2:QD154)</f>
        <v>1</v>
      </c>
      <c r="QE155">
        <f t="shared" si="104"/>
        <v>1</v>
      </c>
      <c r="QF155">
        <f t="shared" si="104"/>
        <v>1</v>
      </c>
      <c r="QG155">
        <f t="shared" si="104"/>
        <v>2</v>
      </c>
      <c r="QH155">
        <f t="shared" si="104"/>
        <v>1</v>
      </c>
      <c r="QI155">
        <f t="shared" si="104"/>
        <v>2</v>
      </c>
      <c r="QJ155">
        <f t="shared" si="104"/>
        <v>1</v>
      </c>
      <c r="QK155">
        <f t="shared" si="104"/>
        <v>1</v>
      </c>
      <c r="QL155">
        <f t="shared" si="104"/>
        <v>1</v>
      </c>
      <c r="QM155">
        <f t="shared" si="104"/>
        <v>2</v>
      </c>
      <c r="QN155">
        <f t="shared" si="104"/>
        <v>1</v>
      </c>
      <c r="QO155">
        <f t="shared" si="104"/>
        <v>1</v>
      </c>
      <c r="QP155">
        <f t="shared" si="104"/>
        <v>1</v>
      </c>
      <c r="QQ155">
        <f t="shared" si="104"/>
        <v>1</v>
      </c>
      <c r="QR155">
        <f t="shared" si="104"/>
        <v>1</v>
      </c>
      <c r="QS155">
        <f t="shared" si="104"/>
        <v>1</v>
      </c>
      <c r="QT155">
        <f t="shared" si="104"/>
        <v>1</v>
      </c>
      <c r="QU155">
        <f t="shared" si="104"/>
        <v>1</v>
      </c>
      <c r="QV155">
        <f t="shared" si="104"/>
        <v>1</v>
      </c>
      <c r="QW155">
        <f t="shared" si="104"/>
        <v>1</v>
      </c>
      <c r="QX155">
        <f t="shared" si="104"/>
        <v>1</v>
      </c>
      <c r="QY155">
        <f t="shared" si="104"/>
        <v>1</v>
      </c>
      <c r="QZ155">
        <f t="shared" si="104"/>
        <v>1</v>
      </c>
      <c r="RA155">
        <f t="shared" si="104"/>
        <v>1</v>
      </c>
      <c r="RB155">
        <f t="shared" si="104"/>
        <v>1</v>
      </c>
      <c r="RC155">
        <f t="shared" si="104"/>
        <v>1</v>
      </c>
      <c r="RD155">
        <f>SUM(RD2:RD154)</f>
        <v>148</v>
      </c>
      <c r="RE155">
        <f t="shared" ref="RE155:RT155" si="105">COUNTA(RE2:RE154)</f>
        <v>8</v>
      </c>
      <c r="RF155">
        <f t="shared" si="105"/>
        <v>2</v>
      </c>
      <c r="RG155">
        <f t="shared" si="105"/>
        <v>1</v>
      </c>
      <c r="RH155">
        <f t="shared" si="105"/>
        <v>2</v>
      </c>
      <c r="RI155">
        <f t="shared" si="105"/>
        <v>1</v>
      </c>
      <c r="RJ155">
        <f t="shared" si="105"/>
        <v>2</v>
      </c>
      <c r="RK155">
        <f t="shared" si="105"/>
        <v>1</v>
      </c>
      <c r="RL155">
        <f t="shared" si="105"/>
        <v>1</v>
      </c>
      <c r="RM155">
        <f t="shared" si="105"/>
        <v>1</v>
      </c>
      <c r="RN155">
        <f t="shared" si="105"/>
        <v>2</v>
      </c>
      <c r="RO155">
        <f t="shared" si="105"/>
        <v>1</v>
      </c>
      <c r="RP155">
        <f t="shared" si="105"/>
        <v>1</v>
      </c>
      <c r="RQ155">
        <f t="shared" si="105"/>
        <v>1</v>
      </c>
      <c r="RR155">
        <f t="shared" si="105"/>
        <v>1</v>
      </c>
      <c r="RS155">
        <f t="shared" si="105"/>
        <v>1</v>
      </c>
      <c r="RT155">
        <f t="shared" si="105"/>
        <v>1</v>
      </c>
      <c r="RU155">
        <f>SUM(RU2:RU154)</f>
        <v>27</v>
      </c>
      <c r="RV155">
        <f t="shared" ref="RV155:TA155" si="106">COUNTA(RV2:RV154)</f>
        <v>33</v>
      </c>
      <c r="RW155">
        <f t="shared" si="106"/>
        <v>3</v>
      </c>
      <c r="RX155">
        <f t="shared" si="106"/>
        <v>1</v>
      </c>
      <c r="RY155">
        <f t="shared" si="106"/>
        <v>13</v>
      </c>
      <c r="RZ155">
        <f t="shared" si="106"/>
        <v>1</v>
      </c>
      <c r="SA155">
        <f t="shared" si="106"/>
        <v>1</v>
      </c>
      <c r="SB155">
        <f t="shared" si="106"/>
        <v>12</v>
      </c>
      <c r="SC155">
        <f t="shared" si="106"/>
        <v>7</v>
      </c>
      <c r="SD155">
        <f t="shared" si="106"/>
        <v>1</v>
      </c>
      <c r="SE155">
        <f t="shared" si="106"/>
        <v>1</v>
      </c>
      <c r="SF155">
        <f t="shared" si="106"/>
        <v>1</v>
      </c>
      <c r="SG155">
        <f t="shared" si="106"/>
        <v>5</v>
      </c>
      <c r="SH155">
        <f t="shared" si="106"/>
        <v>1</v>
      </c>
      <c r="SI155">
        <f t="shared" si="106"/>
        <v>7</v>
      </c>
      <c r="SJ155">
        <f t="shared" si="106"/>
        <v>1</v>
      </c>
      <c r="SK155">
        <f t="shared" si="106"/>
        <v>1</v>
      </c>
      <c r="SL155">
        <f t="shared" si="106"/>
        <v>5</v>
      </c>
      <c r="SM155">
        <f t="shared" si="106"/>
        <v>5</v>
      </c>
      <c r="SN155">
        <f t="shared" si="106"/>
        <v>3</v>
      </c>
      <c r="SO155">
        <f t="shared" si="106"/>
        <v>1</v>
      </c>
      <c r="SP155">
        <f t="shared" si="106"/>
        <v>1</v>
      </c>
      <c r="SQ155">
        <f t="shared" si="106"/>
        <v>4</v>
      </c>
      <c r="SR155">
        <f t="shared" si="106"/>
        <v>3</v>
      </c>
      <c r="SS155">
        <f t="shared" si="106"/>
        <v>6</v>
      </c>
      <c r="ST155">
        <f t="shared" si="106"/>
        <v>2</v>
      </c>
      <c r="SU155">
        <f t="shared" si="106"/>
        <v>1</v>
      </c>
      <c r="SV155">
        <f t="shared" si="106"/>
        <v>1</v>
      </c>
      <c r="SW155">
        <f t="shared" si="106"/>
        <v>2</v>
      </c>
      <c r="SX155">
        <f t="shared" si="106"/>
        <v>2</v>
      </c>
      <c r="SY155">
        <f t="shared" si="106"/>
        <v>1</v>
      </c>
      <c r="SZ155">
        <f t="shared" si="106"/>
        <v>2</v>
      </c>
      <c r="TA155">
        <f t="shared" si="106"/>
        <v>0</v>
      </c>
      <c r="TB155">
        <f t="shared" ref="TB155:UG155" si="107">COUNTA(TB2:TB154)</f>
        <v>1</v>
      </c>
      <c r="TC155">
        <f t="shared" si="107"/>
        <v>1</v>
      </c>
      <c r="TD155">
        <f t="shared" si="107"/>
        <v>1</v>
      </c>
      <c r="TE155">
        <f t="shared" si="107"/>
        <v>2</v>
      </c>
      <c r="TF155">
        <f t="shared" si="107"/>
        <v>2</v>
      </c>
      <c r="TG155">
        <f t="shared" si="107"/>
        <v>0</v>
      </c>
      <c r="TH155">
        <f t="shared" si="107"/>
        <v>1</v>
      </c>
      <c r="TI155">
        <f t="shared" si="107"/>
        <v>2</v>
      </c>
      <c r="TJ155">
        <f t="shared" si="107"/>
        <v>1</v>
      </c>
      <c r="TK155">
        <f t="shared" si="107"/>
        <v>1</v>
      </c>
      <c r="TL155">
        <f t="shared" si="107"/>
        <v>1</v>
      </c>
      <c r="TM155">
        <f t="shared" si="107"/>
        <v>2</v>
      </c>
      <c r="TN155">
        <f t="shared" si="107"/>
        <v>1</v>
      </c>
      <c r="TO155">
        <f t="shared" si="107"/>
        <v>1</v>
      </c>
      <c r="TP155">
        <f t="shared" si="107"/>
        <v>1</v>
      </c>
      <c r="TQ155">
        <f t="shared" si="107"/>
        <v>1</v>
      </c>
      <c r="TR155">
        <f t="shared" si="107"/>
        <v>1</v>
      </c>
      <c r="TS155">
        <f t="shared" si="107"/>
        <v>1</v>
      </c>
      <c r="TT155">
        <f t="shared" si="107"/>
        <v>1</v>
      </c>
      <c r="TU155">
        <f t="shared" si="107"/>
        <v>1</v>
      </c>
      <c r="TV155">
        <f t="shared" si="107"/>
        <v>1</v>
      </c>
      <c r="TW155">
        <f t="shared" si="107"/>
        <v>1</v>
      </c>
      <c r="TX155">
        <f t="shared" si="107"/>
        <v>1</v>
      </c>
      <c r="TY155">
        <f t="shared" si="107"/>
        <v>1</v>
      </c>
      <c r="TZ155">
        <f t="shared" si="107"/>
        <v>1</v>
      </c>
      <c r="UA155">
        <f t="shared" si="107"/>
        <v>1</v>
      </c>
      <c r="UB155">
        <f t="shared" si="107"/>
        <v>1</v>
      </c>
      <c r="UC155">
        <f t="shared" si="107"/>
        <v>1</v>
      </c>
      <c r="UD155">
        <f t="shared" si="107"/>
        <v>1</v>
      </c>
      <c r="UE155">
        <f>SUM(UE2:UE154)</f>
        <v>160</v>
      </c>
      <c r="UF155">
        <f t="shared" ref="UF155:VI155" si="108">COUNTA(UF2:UF154)</f>
        <v>8</v>
      </c>
      <c r="UG155">
        <f t="shared" si="108"/>
        <v>3</v>
      </c>
      <c r="UH155">
        <f t="shared" si="108"/>
        <v>4</v>
      </c>
      <c r="UI155">
        <f t="shared" si="108"/>
        <v>2</v>
      </c>
      <c r="UJ155">
        <f t="shared" si="108"/>
        <v>1</v>
      </c>
      <c r="UK155">
        <f t="shared" si="108"/>
        <v>5</v>
      </c>
      <c r="UL155">
        <f t="shared" si="108"/>
        <v>1</v>
      </c>
      <c r="UM155">
        <f t="shared" si="108"/>
        <v>1</v>
      </c>
      <c r="UN155">
        <f t="shared" si="108"/>
        <v>0</v>
      </c>
      <c r="UO155">
        <f t="shared" si="108"/>
        <v>1</v>
      </c>
      <c r="UP155">
        <f t="shared" si="108"/>
        <v>2</v>
      </c>
      <c r="UQ155">
        <f t="shared" si="108"/>
        <v>1</v>
      </c>
      <c r="UR155">
        <f t="shared" si="108"/>
        <v>1</v>
      </c>
      <c r="US155">
        <f t="shared" si="108"/>
        <v>2</v>
      </c>
      <c r="UT155">
        <f t="shared" si="108"/>
        <v>0</v>
      </c>
      <c r="UU155">
        <f t="shared" si="108"/>
        <v>0</v>
      </c>
      <c r="UV155">
        <f t="shared" si="108"/>
        <v>1</v>
      </c>
      <c r="UW155">
        <f t="shared" si="108"/>
        <v>1</v>
      </c>
      <c r="UX155">
        <f t="shared" si="108"/>
        <v>1</v>
      </c>
      <c r="UY155">
        <f t="shared" si="108"/>
        <v>1</v>
      </c>
      <c r="UZ155">
        <f t="shared" si="108"/>
        <v>1</v>
      </c>
      <c r="VA155">
        <f t="shared" si="108"/>
        <v>1</v>
      </c>
      <c r="VB155">
        <f t="shared" si="108"/>
        <v>1</v>
      </c>
      <c r="VC155">
        <f t="shared" si="108"/>
        <v>1</v>
      </c>
      <c r="VD155">
        <f t="shared" si="108"/>
        <v>1</v>
      </c>
      <c r="VE155">
        <f t="shared" si="108"/>
        <v>1</v>
      </c>
      <c r="VF155">
        <f t="shared" si="108"/>
        <v>1</v>
      </c>
      <c r="VG155">
        <f t="shared" si="108"/>
        <v>1</v>
      </c>
      <c r="VH155">
        <f t="shared" si="108"/>
        <v>1</v>
      </c>
      <c r="VI155">
        <f t="shared" si="108"/>
        <v>1</v>
      </c>
      <c r="VJ155">
        <f>SUM(VJ2:VJ154)</f>
        <v>46</v>
      </c>
      <c r="VK155">
        <f t="shared" ref="VK155:WL155" si="109">COUNTA(VK2:VK154)</f>
        <v>46</v>
      </c>
      <c r="VL155">
        <f t="shared" si="109"/>
        <v>6</v>
      </c>
      <c r="VM155">
        <f t="shared" si="109"/>
        <v>8</v>
      </c>
      <c r="VN155">
        <f t="shared" si="109"/>
        <v>3</v>
      </c>
      <c r="VO155">
        <f t="shared" si="109"/>
        <v>1</v>
      </c>
      <c r="VP155">
        <f t="shared" si="109"/>
        <v>9</v>
      </c>
      <c r="VQ155">
        <f t="shared" si="109"/>
        <v>8</v>
      </c>
      <c r="VR155">
        <f t="shared" si="109"/>
        <v>1</v>
      </c>
      <c r="VS155">
        <f t="shared" si="109"/>
        <v>1</v>
      </c>
      <c r="VT155">
        <f t="shared" si="109"/>
        <v>1</v>
      </c>
      <c r="VU155">
        <f t="shared" si="109"/>
        <v>6</v>
      </c>
      <c r="VV155">
        <f t="shared" si="109"/>
        <v>1</v>
      </c>
      <c r="VW155">
        <f t="shared" si="109"/>
        <v>4</v>
      </c>
      <c r="VX155">
        <f t="shared" si="109"/>
        <v>1</v>
      </c>
      <c r="VY155">
        <f t="shared" si="109"/>
        <v>1</v>
      </c>
      <c r="VZ155">
        <f t="shared" si="109"/>
        <v>4</v>
      </c>
      <c r="WA155">
        <f t="shared" si="109"/>
        <v>4</v>
      </c>
      <c r="WB155">
        <f t="shared" si="109"/>
        <v>2</v>
      </c>
      <c r="WC155">
        <f t="shared" si="109"/>
        <v>2</v>
      </c>
      <c r="WD155">
        <f t="shared" si="109"/>
        <v>2</v>
      </c>
      <c r="WE155">
        <f t="shared" si="109"/>
        <v>4</v>
      </c>
      <c r="WF155">
        <f t="shared" si="109"/>
        <v>1</v>
      </c>
      <c r="WG155">
        <f t="shared" si="109"/>
        <v>1</v>
      </c>
      <c r="WH155">
        <f t="shared" si="109"/>
        <v>2</v>
      </c>
      <c r="WI155">
        <f t="shared" si="109"/>
        <v>1</v>
      </c>
      <c r="WJ155">
        <f t="shared" si="109"/>
        <v>1</v>
      </c>
      <c r="WK155">
        <f t="shared" si="109"/>
        <v>1</v>
      </c>
      <c r="WL155">
        <f t="shared" si="109"/>
        <v>1</v>
      </c>
      <c r="WM155">
        <f>SUM(WM2:WM154)</f>
        <v>123</v>
      </c>
      <c r="WN155">
        <f t="shared" ref="WN155:XG155" si="110">COUNTA(WN2:WN154)</f>
        <v>13</v>
      </c>
      <c r="WO155">
        <f t="shared" si="110"/>
        <v>2</v>
      </c>
      <c r="WP155">
        <f t="shared" si="110"/>
        <v>3</v>
      </c>
      <c r="WQ155">
        <f t="shared" si="110"/>
        <v>2</v>
      </c>
      <c r="WR155">
        <f t="shared" si="110"/>
        <v>6</v>
      </c>
      <c r="WS155">
        <f t="shared" si="110"/>
        <v>4</v>
      </c>
      <c r="WT155">
        <f t="shared" si="110"/>
        <v>1</v>
      </c>
      <c r="WU155">
        <f t="shared" si="110"/>
        <v>1</v>
      </c>
      <c r="WV155">
        <f t="shared" si="110"/>
        <v>1</v>
      </c>
      <c r="WW155">
        <f t="shared" si="110"/>
        <v>1</v>
      </c>
      <c r="WX155">
        <f t="shared" si="110"/>
        <v>2</v>
      </c>
      <c r="WY155">
        <f t="shared" si="110"/>
        <v>1</v>
      </c>
      <c r="WZ155">
        <f t="shared" si="110"/>
        <v>1</v>
      </c>
      <c r="XA155">
        <f t="shared" si="110"/>
        <v>1</v>
      </c>
      <c r="XB155">
        <f t="shared" si="110"/>
        <v>1</v>
      </c>
      <c r="XC155">
        <f t="shared" si="110"/>
        <v>2</v>
      </c>
      <c r="XD155">
        <f t="shared" si="110"/>
        <v>2</v>
      </c>
      <c r="XE155">
        <f t="shared" si="110"/>
        <v>1</v>
      </c>
      <c r="XF155">
        <f t="shared" si="110"/>
        <v>1</v>
      </c>
      <c r="XG155">
        <f t="shared" si="110"/>
        <v>0</v>
      </c>
      <c r="XH155">
        <f>SUM(XH2:XH154)</f>
        <v>46</v>
      </c>
      <c r="XI155">
        <f t="shared" ref="XI155:YC155" si="111">COUNTA(XI2:XI154)</f>
        <v>10</v>
      </c>
      <c r="XJ155">
        <f t="shared" si="111"/>
        <v>5</v>
      </c>
      <c r="XK155">
        <f t="shared" si="111"/>
        <v>3</v>
      </c>
      <c r="XL155">
        <f t="shared" si="111"/>
        <v>2</v>
      </c>
      <c r="XM155">
        <f t="shared" si="111"/>
        <v>4</v>
      </c>
      <c r="XN155">
        <f t="shared" si="111"/>
        <v>4</v>
      </c>
      <c r="XO155">
        <f t="shared" si="111"/>
        <v>1</v>
      </c>
      <c r="XP155">
        <f t="shared" si="111"/>
        <v>1</v>
      </c>
      <c r="XQ155">
        <f t="shared" si="111"/>
        <v>1</v>
      </c>
      <c r="XR155">
        <f t="shared" si="111"/>
        <v>2</v>
      </c>
      <c r="XS155">
        <f t="shared" si="111"/>
        <v>1</v>
      </c>
      <c r="XT155">
        <f t="shared" si="111"/>
        <v>2</v>
      </c>
      <c r="XU155">
        <f t="shared" si="111"/>
        <v>1</v>
      </c>
      <c r="XV155">
        <f t="shared" si="111"/>
        <v>1</v>
      </c>
      <c r="XW155">
        <f t="shared" si="111"/>
        <v>2</v>
      </c>
      <c r="XX155">
        <f t="shared" si="111"/>
        <v>1</v>
      </c>
      <c r="XY155">
        <f t="shared" si="111"/>
        <v>1</v>
      </c>
      <c r="XZ155">
        <f t="shared" si="111"/>
        <v>3</v>
      </c>
      <c r="YA155">
        <f t="shared" si="111"/>
        <v>1</v>
      </c>
      <c r="YB155">
        <f t="shared" si="111"/>
        <v>1</v>
      </c>
      <c r="YC155">
        <f t="shared" si="111"/>
        <v>1</v>
      </c>
      <c r="YD155">
        <f>SUM(YD2:YD154)</f>
        <v>48</v>
      </c>
      <c r="YE155">
        <f t="shared" ref="YE155:YW155" si="112">COUNTA(YE2:YE154)</f>
        <v>13</v>
      </c>
      <c r="YF155">
        <f t="shared" si="112"/>
        <v>1</v>
      </c>
      <c r="YG155">
        <f t="shared" si="112"/>
        <v>4</v>
      </c>
      <c r="YH155">
        <f t="shared" si="112"/>
        <v>2</v>
      </c>
      <c r="YI155">
        <f t="shared" si="112"/>
        <v>1</v>
      </c>
      <c r="YJ155">
        <f t="shared" si="112"/>
        <v>6</v>
      </c>
      <c r="YK155">
        <f t="shared" si="112"/>
        <v>3</v>
      </c>
      <c r="YL155">
        <f t="shared" si="112"/>
        <v>1</v>
      </c>
      <c r="YM155">
        <f t="shared" si="112"/>
        <v>1</v>
      </c>
      <c r="YN155">
        <f t="shared" si="112"/>
        <v>1</v>
      </c>
      <c r="YO155">
        <f t="shared" si="112"/>
        <v>2</v>
      </c>
      <c r="YP155">
        <f t="shared" si="112"/>
        <v>1</v>
      </c>
      <c r="YQ155">
        <f t="shared" si="112"/>
        <v>2</v>
      </c>
      <c r="YR155">
        <f t="shared" si="112"/>
        <v>1</v>
      </c>
      <c r="YS155">
        <f t="shared" si="112"/>
        <v>1</v>
      </c>
      <c r="YT155">
        <f t="shared" si="112"/>
        <v>3</v>
      </c>
      <c r="YU155">
        <f t="shared" si="112"/>
        <v>2</v>
      </c>
      <c r="YV155">
        <f t="shared" si="112"/>
        <v>1</v>
      </c>
      <c r="YW155">
        <f t="shared" si="112"/>
        <v>1</v>
      </c>
      <c r="YX155">
        <f>SUM(YX2:YX154)</f>
        <v>47</v>
      </c>
      <c r="YY155">
        <f t="shared" ref="YY155:ZQ155" si="113">COUNTA(YY2:YY154)</f>
        <v>25</v>
      </c>
      <c r="YZ155">
        <f t="shared" si="113"/>
        <v>1</v>
      </c>
      <c r="ZA155">
        <f t="shared" si="113"/>
        <v>7</v>
      </c>
      <c r="ZB155">
        <f t="shared" si="113"/>
        <v>7</v>
      </c>
      <c r="ZC155">
        <f t="shared" si="113"/>
        <v>2</v>
      </c>
      <c r="ZD155">
        <f t="shared" si="113"/>
        <v>1</v>
      </c>
      <c r="ZE155">
        <f t="shared" si="113"/>
        <v>1</v>
      </c>
      <c r="ZF155">
        <f t="shared" si="113"/>
        <v>1</v>
      </c>
      <c r="ZG155">
        <f t="shared" si="113"/>
        <v>3</v>
      </c>
      <c r="ZH155">
        <f t="shared" si="113"/>
        <v>1</v>
      </c>
      <c r="ZI155">
        <f t="shared" si="113"/>
        <v>3</v>
      </c>
      <c r="ZJ155">
        <f t="shared" si="113"/>
        <v>1</v>
      </c>
      <c r="ZK155">
        <f t="shared" si="113"/>
        <v>1</v>
      </c>
      <c r="ZL155">
        <f t="shared" si="113"/>
        <v>1</v>
      </c>
      <c r="ZM155">
        <f t="shared" si="113"/>
        <v>1</v>
      </c>
      <c r="ZN155">
        <f t="shared" si="113"/>
        <v>1</v>
      </c>
      <c r="ZO155">
        <f t="shared" si="113"/>
        <v>1</v>
      </c>
      <c r="ZP155">
        <f t="shared" si="113"/>
        <v>1</v>
      </c>
      <c r="ZQ155">
        <f t="shared" si="113"/>
        <v>1</v>
      </c>
      <c r="ZR155">
        <f>SUM(ZR2:ZR154)</f>
        <v>60</v>
      </c>
      <c r="ZS155">
        <f>COUNTA(ZS2:ZS154)</f>
        <v>1</v>
      </c>
      <c r="ZT155">
        <f>COUNTA(ZT2:ZT154)</f>
        <v>1</v>
      </c>
      <c r="ZU155">
        <f>COUNTA(ZU2:ZU154)</f>
        <v>1</v>
      </c>
      <c r="ZV155">
        <f>COUNTA(ZV2:ZV154)</f>
        <v>1</v>
      </c>
      <c r="ZW155">
        <f>COUNTA(ZW2:ZW154)</f>
        <v>2</v>
      </c>
      <c r="ZX155">
        <f>SUM(ZX2:ZX154)</f>
        <v>6</v>
      </c>
      <c r="ZY155">
        <f t="shared" ref="ZY155:AAS155" si="114">COUNTA(ZY2:ZY154)</f>
        <v>16</v>
      </c>
      <c r="ZZ155">
        <f t="shared" si="114"/>
        <v>5</v>
      </c>
      <c r="AAA155">
        <f t="shared" si="114"/>
        <v>2</v>
      </c>
      <c r="AAB155">
        <f t="shared" si="114"/>
        <v>1</v>
      </c>
      <c r="AAC155">
        <f t="shared" si="114"/>
        <v>7</v>
      </c>
      <c r="AAD155">
        <f t="shared" si="114"/>
        <v>6</v>
      </c>
      <c r="AAE155">
        <f t="shared" si="114"/>
        <v>1</v>
      </c>
      <c r="AAF155">
        <f t="shared" si="114"/>
        <v>1</v>
      </c>
      <c r="AAG155">
        <f t="shared" si="114"/>
        <v>1</v>
      </c>
      <c r="AAH155">
        <f t="shared" si="114"/>
        <v>3</v>
      </c>
      <c r="AAI155">
        <f t="shared" si="114"/>
        <v>1</v>
      </c>
      <c r="AAJ155">
        <f t="shared" si="114"/>
        <v>4</v>
      </c>
      <c r="AAK155">
        <f t="shared" si="114"/>
        <v>1</v>
      </c>
      <c r="AAL155">
        <f t="shared" si="114"/>
        <v>1</v>
      </c>
      <c r="AAM155">
        <f t="shared" si="114"/>
        <v>3</v>
      </c>
      <c r="AAN155">
        <f t="shared" si="114"/>
        <v>1</v>
      </c>
      <c r="AAO155">
        <f t="shared" si="114"/>
        <v>1</v>
      </c>
      <c r="AAP155">
        <f t="shared" si="114"/>
        <v>3</v>
      </c>
      <c r="AAQ155">
        <f t="shared" si="114"/>
        <v>1</v>
      </c>
      <c r="AAR155">
        <f t="shared" si="114"/>
        <v>1</v>
      </c>
      <c r="AAS155">
        <f t="shared" si="114"/>
        <v>1</v>
      </c>
      <c r="AAT155">
        <f>SUM(AAT2:AAT154)</f>
        <v>61</v>
      </c>
      <c r="AAU155">
        <f t="shared" ref="AAU155:ABP155" si="115">COUNTA(AAU2:AAU154)</f>
        <v>21</v>
      </c>
      <c r="AAV155">
        <f t="shared" si="115"/>
        <v>1</v>
      </c>
      <c r="AAW155">
        <f t="shared" si="115"/>
        <v>10</v>
      </c>
      <c r="AAX155">
        <f t="shared" si="115"/>
        <v>4</v>
      </c>
      <c r="AAY155">
        <f t="shared" si="115"/>
        <v>1</v>
      </c>
      <c r="AAZ155">
        <f t="shared" si="115"/>
        <v>9</v>
      </c>
      <c r="ABA155">
        <f t="shared" si="115"/>
        <v>1</v>
      </c>
      <c r="ABB155">
        <f t="shared" si="115"/>
        <v>7</v>
      </c>
      <c r="ABC155">
        <f t="shared" si="115"/>
        <v>3</v>
      </c>
      <c r="ABD155">
        <f t="shared" si="115"/>
        <v>1</v>
      </c>
      <c r="ABE155">
        <f t="shared" si="115"/>
        <v>4</v>
      </c>
      <c r="ABF155">
        <f t="shared" si="115"/>
        <v>1</v>
      </c>
      <c r="ABG155">
        <f t="shared" si="115"/>
        <v>1</v>
      </c>
      <c r="ABH155">
        <f t="shared" si="115"/>
        <v>4</v>
      </c>
      <c r="ABI155">
        <f t="shared" si="115"/>
        <v>2</v>
      </c>
      <c r="ABJ155">
        <f t="shared" si="115"/>
        <v>3</v>
      </c>
      <c r="ABK155">
        <f t="shared" si="115"/>
        <v>1</v>
      </c>
      <c r="ABL155">
        <f t="shared" si="115"/>
        <v>3</v>
      </c>
      <c r="ABM155">
        <f t="shared" si="115"/>
        <v>2</v>
      </c>
      <c r="ABN155">
        <f t="shared" si="115"/>
        <v>2</v>
      </c>
      <c r="ABO155">
        <f t="shared" si="115"/>
        <v>0</v>
      </c>
      <c r="ABP155">
        <f t="shared" si="115"/>
        <v>1</v>
      </c>
      <c r="ABQ155">
        <f>SUM(ABQ2:ABQ154)</f>
        <v>22</v>
      </c>
      <c r="ABR155">
        <f>COUNTA(ABR2:ABR154)</f>
        <v>4</v>
      </c>
      <c r="ABS155">
        <f>COUNTA(ABS2:ABS154)</f>
        <v>1</v>
      </c>
      <c r="ABT155">
        <f>COUNTA(ABT2:ABT154)</f>
        <v>1</v>
      </c>
      <c r="ABU155">
        <f>COUNTA(ABU2:ABU154)</f>
        <v>1</v>
      </c>
      <c r="ABV155">
        <f>SUM(ABV2:ABV154)</f>
        <v>7</v>
      </c>
      <c r="ABW155">
        <f t="shared" ref="ABW155:ACB155" si="116">COUNTA(ABW2:ABW154)</f>
        <v>5</v>
      </c>
      <c r="ABX155">
        <f t="shared" si="116"/>
        <v>1</v>
      </c>
      <c r="ABY155">
        <f t="shared" si="116"/>
        <v>1</v>
      </c>
      <c r="ABZ155">
        <f t="shared" si="116"/>
        <v>1</v>
      </c>
      <c r="ACA155">
        <f t="shared" si="116"/>
        <v>1</v>
      </c>
      <c r="ACB155">
        <f t="shared" si="116"/>
        <v>1</v>
      </c>
      <c r="ACC155">
        <f>SUM(ACC2:ACC154)</f>
        <v>10</v>
      </c>
      <c r="ACD155">
        <f t="shared" ref="ACD155:ACP155" si="117">COUNTA(ACD2:ACD154)</f>
        <v>1</v>
      </c>
      <c r="ACE155">
        <f t="shared" si="117"/>
        <v>1</v>
      </c>
      <c r="ACF155">
        <f t="shared" si="117"/>
        <v>1</v>
      </c>
      <c r="ACG155">
        <f t="shared" si="117"/>
        <v>1</v>
      </c>
      <c r="ACH155">
        <f t="shared" si="117"/>
        <v>7</v>
      </c>
      <c r="ACI155">
        <f t="shared" si="117"/>
        <v>1</v>
      </c>
      <c r="ACJ155">
        <f t="shared" si="117"/>
        <v>1</v>
      </c>
      <c r="ACK155">
        <f t="shared" si="117"/>
        <v>4</v>
      </c>
      <c r="ACL155">
        <f t="shared" si="117"/>
        <v>4</v>
      </c>
      <c r="ACM155">
        <f t="shared" si="117"/>
        <v>1</v>
      </c>
      <c r="ACN155">
        <f t="shared" si="117"/>
        <v>1</v>
      </c>
      <c r="ACO155">
        <f t="shared" si="117"/>
        <v>1</v>
      </c>
      <c r="ACP155">
        <f t="shared" si="117"/>
        <v>1</v>
      </c>
      <c r="ACQ155">
        <f>SUM(ACQ2:ACQ154)</f>
        <v>21</v>
      </c>
      <c r="ACR155">
        <f t="shared" ref="ACR155:ACZ155" si="118">COUNTA(ACR2:ACR154)</f>
        <v>2</v>
      </c>
      <c r="ACS155">
        <f t="shared" si="118"/>
        <v>2</v>
      </c>
      <c r="ACT155">
        <f t="shared" si="118"/>
        <v>2</v>
      </c>
      <c r="ACU155">
        <f t="shared" si="118"/>
        <v>2</v>
      </c>
      <c r="ACV155">
        <f t="shared" si="118"/>
        <v>2</v>
      </c>
      <c r="ACW155">
        <f t="shared" si="118"/>
        <v>1</v>
      </c>
      <c r="ACX155">
        <f t="shared" si="118"/>
        <v>1</v>
      </c>
      <c r="ACY155">
        <f t="shared" si="118"/>
        <v>1</v>
      </c>
      <c r="ACZ155">
        <f t="shared" si="118"/>
        <v>1</v>
      </c>
      <c r="ADA155">
        <f>SUM(ADA2:ADA154)</f>
        <v>6</v>
      </c>
      <c r="ADB155">
        <f t="shared" ref="ADB155:ADL155" si="119">COUNTA(ADB2:ADB154)</f>
        <v>3</v>
      </c>
      <c r="ADC155">
        <f t="shared" si="119"/>
        <v>2</v>
      </c>
      <c r="ADD155">
        <f t="shared" si="119"/>
        <v>2</v>
      </c>
      <c r="ADE155">
        <f t="shared" si="119"/>
        <v>1</v>
      </c>
      <c r="ADF155">
        <f t="shared" si="119"/>
        <v>1</v>
      </c>
      <c r="ADG155">
        <f t="shared" si="119"/>
        <v>1</v>
      </c>
      <c r="ADH155">
        <f t="shared" si="119"/>
        <v>1</v>
      </c>
      <c r="ADI155">
        <f t="shared" si="119"/>
        <v>1</v>
      </c>
      <c r="ADJ155">
        <f t="shared" si="119"/>
        <v>1</v>
      </c>
      <c r="ADK155">
        <f t="shared" si="119"/>
        <v>1</v>
      </c>
      <c r="ADL155">
        <f t="shared" si="119"/>
        <v>1</v>
      </c>
      <c r="ADM155">
        <f>SUM(ADM2:ADM154)</f>
        <v>15</v>
      </c>
      <c r="ADN155">
        <f t="shared" ref="ADN155:AEG155" si="120">COUNTA(ADN2:ADN154)</f>
        <v>5</v>
      </c>
      <c r="ADO155">
        <f t="shared" si="120"/>
        <v>2</v>
      </c>
      <c r="ADP155">
        <f t="shared" si="120"/>
        <v>1</v>
      </c>
      <c r="ADQ155">
        <f t="shared" si="120"/>
        <v>1</v>
      </c>
      <c r="ADR155">
        <f t="shared" si="120"/>
        <v>3</v>
      </c>
      <c r="ADS155">
        <f t="shared" si="120"/>
        <v>4</v>
      </c>
      <c r="ADT155">
        <f t="shared" si="120"/>
        <v>1</v>
      </c>
      <c r="ADU155">
        <f t="shared" si="120"/>
        <v>1</v>
      </c>
      <c r="ADV155">
        <f t="shared" si="120"/>
        <v>1</v>
      </c>
      <c r="ADW155">
        <f t="shared" si="120"/>
        <v>2</v>
      </c>
      <c r="ADX155">
        <f t="shared" si="120"/>
        <v>1</v>
      </c>
      <c r="ADY155">
        <f t="shared" si="120"/>
        <v>1</v>
      </c>
      <c r="ADZ155">
        <f t="shared" si="120"/>
        <v>1</v>
      </c>
      <c r="AEA155">
        <f t="shared" si="120"/>
        <v>1</v>
      </c>
      <c r="AEB155">
        <f t="shared" si="120"/>
        <v>2</v>
      </c>
      <c r="AEC155">
        <f t="shared" si="120"/>
        <v>1</v>
      </c>
      <c r="AED155">
        <f t="shared" si="120"/>
        <v>1</v>
      </c>
      <c r="AEE155">
        <f t="shared" si="120"/>
        <v>1</v>
      </c>
      <c r="AEF155">
        <f t="shared" si="120"/>
        <v>1</v>
      </c>
      <c r="AEG155">
        <f t="shared" si="120"/>
        <v>1</v>
      </c>
      <c r="AEH155">
        <f t="shared" ref="AEH155" si="121">COUNTA(AEH2:AEH154)</f>
        <v>1</v>
      </c>
      <c r="AEI155" s="16">
        <f>SUM(AEI2:AEI154)</f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3"/>
  <sheetViews>
    <sheetView topLeftCell="E1" workbookViewId="0">
      <selection activeCell="A2" sqref="A2"/>
    </sheetView>
  </sheetViews>
  <sheetFormatPr defaultColWidth="8.85546875" defaultRowHeight="15" x14ac:dyDescent="0.25"/>
  <cols>
    <col min="1" max="1" width="18.140625" bestFit="1" customWidth="1"/>
    <col min="2" max="2" width="13" customWidth="1"/>
    <col min="4" max="5" width="10.7109375" customWidth="1"/>
    <col min="8" max="10" width="10.7109375" customWidth="1"/>
    <col min="12" max="12" width="10.7109375" customWidth="1"/>
    <col min="14" max="15" width="10.7109375" customWidth="1"/>
    <col min="18" max="26" width="9.140625" customWidth="1"/>
    <col min="27" max="27" width="12.85546875" customWidth="1"/>
    <col min="28" max="28" width="11.5703125" customWidth="1"/>
  </cols>
  <sheetData>
    <row r="1" spans="1:28" x14ac:dyDescent="0.25">
      <c r="A1" t="s">
        <v>0</v>
      </c>
      <c r="B1" t="s">
        <v>2067</v>
      </c>
      <c r="C1" t="s">
        <v>389</v>
      </c>
      <c r="D1" t="s">
        <v>1752</v>
      </c>
      <c r="E1" t="s">
        <v>1751</v>
      </c>
      <c r="F1" t="s">
        <v>336</v>
      </c>
      <c r="G1" t="s">
        <v>838</v>
      </c>
      <c r="H1" t="s">
        <v>1753</v>
      </c>
      <c r="I1" t="s">
        <v>1754</v>
      </c>
      <c r="J1" t="s">
        <v>1755</v>
      </c>
      <c r="K1" t="s">
        <v>904</v>
      </c>
      <c r="L1" t="s">
        <v>1756</v>
      </c>
      <c r="M1" t="s">
        <v>390</v>
      </c>
      <c r="N1" t="s">
        <v>1757</v>
      </c>
      <c r="O1" t="s">
        <v>1758</v>
      </c>
      <c r="P1" t="s">
        <v>391</v>
      </c>
      <c r="Q1" t="s">
        <v>392</v>
      </c>
      <c r="R1" t="s">
        <v>393</v>
      </c>
      <c r="S1" t="s">
        <v>601</v>
      </c>
      <c r="T1" t="s">
        <v>620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1055</v>
      </c>
      <c r="AA1" t="s">
        <v>797</v>
      </c>
      <c r="AB1" t="s">
        <v>798</v>
      </c>
    </row>
    <row r="2" spans="1:28" x14ac:dyDescent="0.25">
      <c r="A2" t="s">
        <v>6</v>
      </c>
      <c r="B2">
        <v>124</v>
      </c>
      <c r="F2">
        <v>41</v>
      </c>
    </row>
    <row r="3" spans="1:28" x14ac:dyDescent="0.25">
      <c r="A3" t="s">
        <v>11</v>
      </c>
    </row>
    <row r="4" spans="1:28" x14ac:dyDescent="0.25">
      <c r="A4" t="s">
        <v>12</v>
      </c>
    </row>
    <row r="5" spans="1:28" x14ac:dyDescent="0.25">
      <c r="A5" t="s">
        <v>16</v>
      </c>
    </row>
    <row r="6" spans="1:28" x14ac:dyDescent="0.25">
      <c r="A6" t="s">
        <v>18</v>
      </c>
    </row>
    <row r="7" spans="1:28" x14ac:dyDescent="0.25">
      <c r="A7" t="s">
        <v>20</v>
      </c>
    </row>
    <row r="8" spans="1:28" x14ac:dyDescent="0.25">
      <c r="A8" t="s">
        <v>22</v>
      </c>
      <c r="T8">
        <v>20</v>
      </c>
      <c r="U8">
        <v>12</v>
      </c>
      <c r="V8">
        <v>8</v>
      </c>
      <c r="W8">
        <v>8</v>
      </c>
      <c r="X8">
        <v>8</v>
      </c>
      <c r="Y8">
        <v>9</v>
      </c>
    </row>
    <row r="9" spans="1:28" x14ac:dyDescent="0.25">
      <c r="A9" t="s">
        <v>24</v>
      </c>
    </row>
    <row r="10" spans="1:28" x14ac:dyDescent="0.25">
      <c r="A10" t="s">
        <v>26</v>
      </c>
    </row>
    <row r="11" spans="1:28" x14ac:dyDescent="0.25">
      <c r="A11" t="s">
        <v>28</v>
      </c>
    </row>
    <row r="12" spans="1:28" x14ac:dyDescent="0.25">
      <c r="A12" t="s">
        <v>30</v>
      </c>
    </row>
    <row r="13" spans="1:28" x14ac:dyDescent="0.25">
      <c r="A13" t="s">
        <v>32</v>
      </c>
    </row>
    <row r="14" spans="1:28" x14ac:dyDescent="0.25">
      <c r="A14" t="s">
        <v>34</v>
      </c>
    </row>
    <row r="15" spans="1:28" x14ac:dyDescent="0.25">
      <c r="A15" t="s">
        <v>36</v>
      </c>
    </row>
    <row r="16" spans="1:28" x14ac:dyDescent="0.25">
      <c r="A16" t="s">
        <v>37</v>
      </c>
    </row>
    <row r="17" spans="1:2" x14ac:dyDescent="0.25">
      <c r="A17" t="s">
        <v>40</v>
      </c>
    </row>
    <row r="18" spans="1:2" x14ac:dyDescent="0.25">
      <c r="A18" t="s">
        <v>42</v>
      </c>
    </row>
    <row r="19" spans="1:2" x14ac:dyDescent="0.25">
      <c r="A19" t="s">
        <v>43</v>
      </c>
    </row>
    <row r="20" spans="1:2" x14ac:dyDescent="0.25">
      <c r="A20" t="s">
        <v>44</v>
      </c>
    </row>
    <row r="21" spans="1:2" x14ac:dyDescent="0.25">
      <c r="A21" t="s">
        <v>46</v>
      </c>
    </row>
    <row r="22" spans="1:2" x14ac:dyDescent="0.25">
      <c r="A22" t="s">
        <v>48</v>
      </c>
    </row>
    <row r="23" spans="1:2" x14ac:dyDescent="0.25">
      <c r="A23" t="s">
        <v>50</v>
      </c>
    </row>
    <row r="24" spans="1:2" x14ac:dyDescent="0.25">
      <c r="A24" t="s">
        <v>52</v>
      </c>
    </row>
    <row r="25" spans="1:2" x14ac:dyDescent="0.25">
      <c r="A25" t="s">
        <v>53</v>
      </c>
    </row>
    <row r="26" spans="1:2" x14ac:dyDescent="0.25">
      <c r="A26" t="s">
        <v>55</v>
      </c>
    </row>
    <row r="27" spans="1:2" x14ac:dyDescent="0.25">
      <c r="A27" t="s">
        <v>57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62</v>
      </c>
      <c r="B30">
        <v>1.0900000000000001</v>
      </c>
    </row>
    <row r="31" spans="1:2" x14ac:dyDescent="0.25">
      <c r="A31" t="s">
        <v>64</v>
      </c>
    </row>
    <row r="32" spans="1:2" x14ac:dyDescent="0.25">
      <c r="A32" t="s">
        <v>65</v>
      </c>
      <c r="B32">
        <v>3000</v>
      </c>
    </row>
    <row r="33" spans="1:20" x14ac:dyDescent="0.25">
      <c r="A33" t="s">
        <v>66</v>
      </c>
      <c r="B33">
        <v>105</v>
      </c>
      <c r="S33">
        <v>56</v>
      </c>
      <c r="T33">
        <v>37</v>
      </c>
    </row>
    <row r="34" spans="1:20" x14ac:dyDescent="0.25">
      <c r="A34" t="s">
        <v>68</v>
      </c>
    </row>
    <row r="35" spans="1:20" x14ac:dyDescent="0.25">
      <c r="A35" t="s">
        <v>69</v>
      </c>
    </row>
    <row r="36" spans="1:20" x14ac:dyDescent="0.25">
      <c r="A36" t="s">
        <v>71</v>
      </c>
    </row>
    <row r="37" spans="1:20" x14ac:dyDescent="0.25">
      <c r="A37" t="s">
        <v>73</v>
      </c>
    </row>
    <row r="38" spans="1:20" x14ac:dyDescent="0.25">
      <c r="A38" t="s">
        <v>74</v>
      </c>
      <c r="R38" t="s">
        <v>554</v>
      </c>
    </row>
    <row r="39" spans="1:20" x14ac:dyDescent="0.25">
      <c r="A39" t="s">
        <v>76</v>
      </c>
    </row>
    <row r="40" spans="1:20" x14ac:dyDescent="0.25">
      <c r="A40" t="s">
        <v>78</v>
      </c>
    </row>
    <row r="41" spans="1:20" x14ac:dyDescent="0.25">
      <c r="A41" t="s">
        <v>80</v>
      </c>
    </row>
    <row r="42" spans="1:20" x14ac:dyDescent="0.25">
      <c r="A42" t="s">
        <v>82</v>
      </c>
    </row>
    <row r="43" spans="1:20" x14ac:dyDescent="0.25">
      <c r="A43" t="s">
        <v>84</v>
      </c>
    </row>
    <row r="44" spans="1:20" x14ac:dyDescent="0.25">
      <c r="A44" t="s">
        <v>85</v>
      </c>
    </row>
    <row r="45" spans="1:20" x14ac:dyDescent="0.25">
      <c r="A45" t="s">
        <v>87</v>
      </c>
    </row>
    <row r="46" spans="1:20" x14ac:dyDescent="0.25">
      <c r="A46" t="s">
        <v>89</v>
      </c>
      <c r="B46">
        <v>8000</v>
      </c>
    </row>
    <row r="47" spans="1:20" x14ac:dyDescent="0.25">
      <c r="A47" t="s">
        <v>91</v>
      </c>
    </row>
    <row r="48" spans="1:20" x14ac:dyDescent="0.25">
      <c r="A48" t="s">
        <v>92</v>
      </c>
    </row>
    <row r="49" spans="1:28" x14ac:dyDescent="0.25">
      <c r="A49" t="s">
        <v>93</v>
      </c>
      <c r="B49">
        <v>63</v>
      </c>
      <c r="C49">
        <v>42</v>
      </c>
    </row>
    <row r="50" spans="1:28" x14ac:dyDescent="0.25">
      <c r="A50" t="s">
        <v>95</v>
      </c>
      <c r="B50">
        <v>29</v>
      </c>
      <c r="AA50">
        <v>24</v>
      </c>
      <c r="AB50">
        <v>16</v>
      </c>
    </row>
    <row r="51" spans="1:28" x14ac:dyDescent="0.25">
      <c r="A51" t="s">
        <v>97</v>
      </c>
    </row>
    <row r="52" spans="1:28" x14ac:dyDescent="0.25">
      <c r="A52" t="s">
        <v>99</v>
      </c>
    </row>
    <row r="53" spans="1:28" x14ac:dyDescent="0.25">
      <c r="A53" t="s">
        <v>100</v>
      </c>
    </row>
    <row r="54" spans="1:28" x14ac:dyDescent="0.25">
      <c r="A54" t="s">
        <v>101</v>
      </c>
    </row>
    <row r="55" spans="1:28" x14ac:dyDescent="0.25">
      <c r="A55" t="s">
        <v>102</v>
      </c>
    </row>
    <row r="56" spans="1:28" x14ac:dyDescent="0.25">
      <c r="A56" t="s">
        <v>103</v>
      </c>
      <c r="F56" t="s">
        <v>1954</v>
      </c>
      <c r="G56">
        <v>16.440000000000001</v>
      </c>
    </row>
    <row r="57" spans="1:28" x14ac:dyDescent="0.25">
      <c r="A57" t="s">
        <v>105</v>
      </c>
    </row>
    <row r="58" spans="1:28" x14ac:dyDescent="0.25">
      <c r="A58" t="s">
        <v>106</v>
      </c>
    </row>
    <row r="59" spans="1:28" x14ac:dyDescent="0.25">
      <c r="A59" t="s">
        <v>107</v>
      </c>
    </row>
    <row r="60" spans="1:28" x14ac:dyDescent="0.25">
      <c r="A60" t="s">
        <v>108</v>
      </c>
    </row>
    <row r="61" spans="1:28" x14ac:dyDescent="0.25">
      <c r="A61" t="s">
        <v>109</v>
      </c>
    </row>
    <row r="62" spans="1:28" x14ac:dyDescent="0.25">
      <c r="A62" t="s">
        <v>110</v>
      </c>
    </row>
    <row r="63" spans="1:28" x14ac:dyDescent="0.25">
      <c r="A63" t="s">
        <v>111</v>
      </c>
    </row>
    <row r="64" spans="1:28" x14ac:dyDescent="0.25">
      <c r="A64" t="s">
        <v>112</v>
      </c>
    </row>
    <row r="65" spans="1:16" x14ac:dyDescent="0.25">
      <c r="A65" t="s">
        <v>113</v>
      </c>
    </row>
    <row r="66" spans="1:16" x14ac:dyDescent="0.25">
      <c r="A66" t="s">
        <v>115</v>
      </c>
    </row>
    <row r="67" spans="1:16" x14ac:dyDescent="0.25">
      <c r="A67" t="s">
        <v>116</v>
      </c>
    </row>
    <row r="68" spans="1:16" x14ac:dyDescent="0.25">
      <c r="A68" t="s">
        <v>117</v>
      </c>
    </row>
    <row r="69" spans="1:16" x14ac:dyDescent="0.25">
      <c r="A69" t="s">
        <v>119</v>
      </c>
      <c r="B69">
        <v>42</v>
      </c>
      <c r="F69">
        <v>36</v>
      </c>
      <c r="P69">
        <v>28</v>
      </c>
    </row>
    <row r="70" spans="1:16" x14ac:dyDescent="0.25">
      <c r="A70" t="s">
        <v>120</v>
      </c>
    </row>
    <row r="71" spans="1:16" x14ac:dyDescent="0.25">
      <c r="A71" t="s">
        <v>122</v>
      </c>
    </row>
    <row r="72" spans="1:16" x14ac:dyDescent="0.25">
      <c r="A72" t="s">
        <v>123</v>
      </c>
    </row>
    <row r="73" spans="1:16" x14ac:dyDescent="0.25">
      <c r="A73" t="s">
        <v>125</v>
      </c>
    </row>
    <row r="74" spans="1:16" x14ac:dyDescent="0.25">
      <c r="A74" t="s">
        <v>126</v>
      </c>
    </row>
    <row r="75" spans="1:16" x14ac:dyDescent="0.25">
      <c r="A75" t="s">
        <v>127</v>
      </c>
    </row>
    <row r="76" spans="1:16" x14ac:dyDescent="0.25">
      <c r="A76" t="s">
        <v>128</v>
      </c>
    </row>
    <row r="77" spans="1:16" x14ac:dyDescent="0.25">
      <c r="A77" t="s">
        <v>131</v>
      </c>
    </row>
    <row r="78" spans="1:16" x14ac:dyDescent="0.25">
      <c r="A78" t="s">
        <v>133</v>
      </c>
    </row>
    <row r="79" spans="1:16" x14ac:dyDescent="0.25">
      <c r="A79" t="s">
        <v>134</v>
      </c>
    </row>
    <row r="80" spans="1:16" x14ac:dyDescent="0.25">
      <c r="A80" t="s">
        <v>136</v>
      </c>
    </row>
    <row r="81" spans="1:11" x14ac:dyDescent="0.25">
      <c r="A81" t="s">
        <v>138</v>
      </c>
      <c r="C81">
        <v>519</v>
      </c>
    </row>
    <row r="82" spans="1:11" x14ac:dyDescent="0.25">
      <c r="A82" t="s">
        <v>140</v>
      </c>
    </row>
    <row r="83" spans="1:11" x14ac:dyDescent="0.25">
      <c r="A83" t="s">
        <v>142</v>
      </c>
    </row>
    <row r="84" spans="1:11" x14ac:dyDescent="0.25">
      <c r="A84" t="s">
        <v>143</v>
      </c>
    </row>
    <row r="85" spans="1:11" x14ac:dyDescent="0.25">
      <c r="A85" t="s">
        <v>144</v>
      </c>
    </row>
    <row r="86" spans="1:11" x14ac:dyDescent="0.25">
      <c r="A86" t="s">
        <v>145</v>
      </c>
    </row>
    <row r="87" spans="1:11" x14ac:dyDescent="0.25">
      <c r="A87" t="s">
        <v>146</v>
      </c>
    </row>
    <row r="88" spans="1:11" x14ac:dyDescent="0.25">
      <c r="A88" t="s">
        <v>147</v>
      </c>
    </row>
    <row r="89" spans="1:11" x14ac:dyDescent="0.25">
      <c r="A89" t="s">
        <v>148</v>
      </c>
    </row>
    <row r="90" spans="1:11" x14ac:dyDescent="0.25">
      <c r="A90" t="s">
        <v>149</v>
      </c>
    </row>
    <row r="91" spans="1:11" x14ac:dyDescent="0.25">
      <c r="A91" t="s">
        <v>150</v>
      </c>
    </row>
    <row r="92" spans="1:11" x14ac:dyDescent="0.25">
      <c r="A92" t="s">
        <v>151</v>
      </c>
    </row>
    <row r="93" spans="1:11" x14ac:dyDescent="0.25">
      <c r="A93" t="s">
        <v>321</v>
      </c>
    </row>
    <row r="94" spans="1:11" x14ac:dyDescent="0.25">
      <c r="A94" t="s">
        <v>152</v>
      </c>
    </row>
    <row r="95" spans="1:11" x14ac:dyDescent="0.25">
      <c r="A95" t="s">
        <v>153</v>
      </c>
      <c r="C95">
        <v>6</v>
      </c>
      <c r="D95">
        <v>105</v>
      </c>
      <c r="F95">
        <v>45</v>
      </c>
      <c r="G95">
        <v>31</v>
      </c>
      <c r="H95">
        <v>115</v>
      </c>
      <c r="I95">
        <v>123</v>
      </c>
      <c r="J95">
        <v>141</v>
      </c>
      <c r="K95">
        <v>147</v>
      </c>
    </row>
    <row r="96" spans="1:11" x14ac:dyDescent="0.25">
      <c r="A96" t="s">
        <v>155</v>
      </c>
    </row>
    <row r="97" spans="1:16" x14ac:dyDescent="0.25">
      <c r="A97" t="s">
        <v>157</v>
      </c>
    </row>
    <row r="98" spans="1:16" x14ac:dyDescent="0.25">
      <c r="A98" t="s">
        <v>158</v>
      </c>
      <c r="B98">
        <v>241</v>
      </c>
      <c r="C98">
        <v>123</v>
      </c>
      <c r="D98">
        <v>215</v>
      </c>
      <c r="E98">
        <v>343</v>
      </c>
      <c r="F98">
        <v>348</v>
      </c>
      <c r="G98">
        <v>270</v>
      </c>
      <c r="K98">
        <v>486</v>
      </c>
      <c r="L98">
        <v>534</v>
      </c>
      <c r="M98">
        <v>409</v>
      </c>
      <c r="N98">
        <v>439</v>
      </c>
      <c r="O98">
        <v>346</v>
      </c>
      <c r="P98">
        <v>216</v>
      </c>
    </row>
    <row r="99" spans="1:16" x14ac:dyDescent="0.25">
      <c r="A99" t="s">
        <v>160</v>
      </c>
    </row>
    <row r="100" spans="1:16" x14ac:dyDescent="0.25">
      <c r="A100" t="s">
        <v>162</v>
      </c>
    </row>
    <row r="101" spans="1:16" x14ac:dyDescent="0.25">
      <c r="A101" t="s">
        <v>163</v>
      </c>
      <c r="C101">
        <v>13</v>
      </c>
    </row>
    <row r="102" spans="1:16" x14ac:dyDescent="0.25">
      <c r="A102" t="s">
        <v>164</v>
      </c>
    </row>
    <row r="103" spans="1:16" x14ac:dyDescent="0.25">
      <c r="A103" t="s">
        <v>165</v>
      </c>
    </row>
    <row r="104" spans="1:16" x14ac:dyDescent="0.25">
      <c r="A104" t="s">
        <v>166</v>
      </c>
      <c r="B104">
        <v>53</v>
      </c>
      <c r="C104">
        <v>66</v>
      </c>
      <c r="F104">
        <v>60</v>
      </c>
    </row>
    <row r="105" spans="1:16" x14ac:dyDescent="0.25">
      <c r="A105" t="s">
        <v>167</v>
      </c>
    </row>
    <row r="106" spans="1:16" x14ac:dyDescent="0.25">
      <c r="A106" t="s">
        <v>169</v>
      </c>
    </row>
    <row r="107" spans="1:16" x14ac:dyDescent="0.25">
      <c r="A107" t="s">
        <v>170</v>
      </c>
    </row>
    <row r="108" spans="1:16" x14ac:dyDescent="0.25">
      <c r="A108" t="s">
        <v>172</v>
      </c>
    </row>
    <row r="109" spans="1:16" x14ac:dyDescent="0.25">
      <c r="A109" t="s">
        <v>173</v>
      </c>
      <c r="B109">
        <v>527</v>
      </c>
      <c r="C109">
        <v>711</v>
      </c>
      <c r="F109">
        <v>499</v>
      </c>
    </row>
    <row r="110" spans="1:16" x14ac:dyDescent="0.25">
      <c r="A110" t="s">
        <v>175</v>
      </c>
    </row>
    <row r="111" spans="1:16" x14ac:dyDescent="0.25">
      <c r="A111" t="s">
        <v>176</v>
      </c>
    </row>
    <row r="112" spans="1:16" x14ac:dyDescent="0.25">
      <c r="A112" t="s">
        <v>177</v>
      </c>
    </row>
    <row r="113" spans="1:26" x14ac:dyDescent="0.25">
      <c r="A113" t="s">
        <v>178</v>
      </c>
    </row>
    <row r="114" spans="1:26" x14ac:dyDescent="0.25">
      <c r="A114" t="s">
        <v>179</v>
      </c>
    </row>
    <row r="115" spans="1:26" x14ac:dyDescent="0.25">
      <c r="A115" t="s">
        <v>182</v>
      </c>
    </row>
    <row r="116" spans="1:26" x14ac:dyDescent="0.25">
      <c r="A116" t="s">
        <v>183</v>
      </c>
    </row>
    <row r="117" spans="1:26" x14ac:dyDescent="0.25">
      <c r="A117" t="s">
        <v>185</v>
      </c>
    </row>
    <row r="118" spans="1:26" x14ac:dyDescent="0.25">
      <c r="A118" t="s">
        <v>187</v>
      </c>
    </row>
    <row r="119" spans="1:26" x14ac:dyDescent="0.25">
      <c r="A119" t="s">
        <v>189</v>
      </c>
    </row>
    <row r="120" spans="1:26" x14ac:dyDescent="0.25">
      <c r="A120" t="s">
        <v>191</v>
      </c>
      <c r="B120">
        <v>17</v>
      </c>
      <c r="F120">
        <v>17</v>
      </c>
    </row>
    <row r="121" spans="1:26" x14ac:dyDescent="0.25">
      <c r="A121" t="s">
        <v>192</v>
      </c>
    </row>
    <row r="122" spans="1:26" x14ac:dyDescent="0.25">
      <c r="A122" t="s">
        <v>194</v>
      </c>
    </row>
    <row r="123" spans="1:26" x14ac:dyDescent="0.25">
      <c r="A123" t="s">
        <v>196</v>
      </c>
    </row>
    <row r="124" spans="1:26" x14ac:dyDescent="0.25">
      <c r="A124" t="s">
        <v>197</v>
      </c>
    </row>
    <row r="125" spans="1:26" x14ac:dyDescent="0.25">
      <c r="A125" t="s">
        <v>199</v>
      </c>
    </row>
    <row r="126" spans="1:26" x14ac:dyDescent="0.25">
      <c r="A126" t="s">
        <v>200</v>
      </c>
    </row>
    <row r="127" spans="1:26" x14ac:dyDescent="0.25">
      <c r="A127" t="s">
        <v>201</v>
      </c>
    </row>
    <row r="128" spans="1:26" x14ac:dyDescent="0.25">
      <c r="A128" t="s">
        <v>202</v>
      </c>
      <c r="B128">
        <v>11</v>
      </c>
      <c r="M128">
        <v>10</v>
      </c>
      <c r="T128">
        <v>10</v>
      </c>
      <c r="X128">
        <v>10</v>
      </c>
      <c r="Z128">
        <v>11</v>
      </c>
    </row>
    <row r="129" spans="1:1" x14ac:dyDescent="0.25">
      <c r="A129" t="s">
        <v>294</v>
      </c>
    </row>
    <row r="130" spans="1:1" x14ac:dyDescent="0.25">
      <c r="A130" t="s">
        <v>207</v>
      </c>
    </row>
    <row r="131" spans="1:1" x14ac:dyDescent="0.25">
      <c r="A131" t="s">
        <v>208</v>
      </c>
    </row>
    <row r="132" spans="1:1" x14ac:dyDescent="0.25">
      <c r="A132" t="s">
        <v>1589</v>
      </c>
    </row>
    <row r="133" spans="1:1" x14ac:dyDescent="0.25">
      <c r="A133" t="s">
        <v>209</v>
      </c>
    </row>
    <row r="134" spans="1:1" x14ac:dyDescent="0.25">
      <c r="A134" t="s">
        <v>211</v>
      </c>
    </row>
    <row r="135" spans="1:1" x14ac:dyDescent="0.25">
      <c r="A135" t="s">
        <v>212</v>
      </c>
    </row>
    <row r="136" spans="1:1" x14ac:dyDescent="0.25">
      <c r="A136" t="s">
        <v>214</v>
      </c>
    </row>
    <row r="137" spans="1:1" x14ac:dyDescent="0.25">
      <c r="A137" t="s">
        <v>216</v>
      </c>
    </row>
    <row r="138" spans="1:1" x14ac:dyDescent="0.25">
      <c r="A138" t="s">
        <v>218</v>
      </c>
    </row>
    <row r="139" spans="1:1" x14ac:dyDescent="0.25">
      <c r="A139" t="s">
        <v>220</v>
      </c>
    </row>
    <row r="140" spans="1:1" x14ac:dyDescent="0.25">
      <c r="A140" t="s">
        <v>222</v>
      </c>
    </row>
    <row r="141" spans="1:1" x14ac:dyDescent="0.25">
      <c r="A141" t="s">
        <v>224</v>
      </c>
    </row>
    <row r="142" spans="1:1" x14ac:dyDescent="0.25">
      <c r="A142" t="s">
        <v>225</v>
      </c>
    </row>
    <row r="143" spans="1:1" x14ac:dyDescent="0.25">
      <c r="A143" t="s">
        <v>227</v>
      </c>
    </row>
    <row r="144" spans="1:1" x14ac:dyDescent="0.25">
      <c r="A144" t="s">
        <v>229</v>
      </c>
    </row>
    <row r="145" spans="1:1" x14ac:dyDescent="0.25">
      <c r="A145" t="s">
        <v>231</v>
      </c>
    </row>
    <row r="146" spans="1:1" x14ac:dyDescent="0.25">
      <c r="A146" t="s">
        <v>232</v>
      </c>
    </row>
    <row r="147" spans="1:1" x14ac:dyDescent="0.25">
      <c r="A147" t="s">
        <v>234</v>
      </c>
    </row>
    <row r="148" spans="1:1" x14ac:dyDescent="0.25">
      <c r="A148" t="s">
        <v>236</v>
      </c>
    </row>
    <row r="149" spans="1:1" x14ac:dyDescent="0.25">
      <c r="A149" t="s">
        <v>1322</v>
      </c>
    </row>
    <row r="150" spans="1:1" x14ac:dyDescent="0.25">
      <c r="A150" t="s">
        <v>1323</v>
      </c>
    </row>
    <row r="151" spans="1:1" x14ac:dyDescent="0.25">
      <c r="A151" t="s">
        <v>1324</v>
      </c>
    </row>
    <row r="152" spans="1:1" x14ac:dyDescent="0.25">
      <c r="A152" t="s">
        <v>1325</v>
      </c>
    </row>
    <row r="153" spans="1:1" x14ac:dyDescent="0.25">
      <c r="A153" t="s">
        <v>1326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0"/>
  <sheetViews>
    <sheetView workbookViewId="0">
      <selection activeCell="A2" sqref="A2:A20"/>
    </sheetView>
  </sheetViews>
  <sheetFormatPr defaultColWidth="8.85546875" defaultRowHeight="15" x14ac:dyDescent="0.25"/>
  <cols>
    <col min="1" max="1" width="18.140625" bestFit="1" customWidth="1"/>
    <col min="2" max="2" width="17.28515625" bestFit="1" customWidth="1"/>
    <col min="3" max="3" width="92.85546875" bestFit="1" customWidth="1"/>
    <col min="4" max="4" width="30.42578125" bestFit="1" customWidth="1"/>
  </cols>
  <sheetData>
    <row r="1" spans="1:4" x14ac:dyDescent="0.25">
      <c r="A1" s="29" t="s">
        <v>0</v>
      </c>
      <c r="B1" s="29" t="s">
        <v>2080</v>
      </c>
      <c r="C1" s="29" t="s">
        <v>2081</v>
      </c>
      <c r="D1" s="29" t="s">
        <v>2118</v>
      </c>
    </row>
    <row r="2" spans="1:4" x14ac:dyDescent="0.25">
      <c r="A2" s="8" t="s">
        <v>6</v>
      </c>
      <c r="B2" s="8" t="s">
        <v>2068</v>
      </c>
      <c r="C2" s="8" t="s">
        <v>2069</v>
      </c>
      <c r="D2" s="8">
        <v>2</v>
      </c>
    </row>
    <row r="3" spans="1:4" x14ac:dyDescent="0.25">
      <c r="A3" s="8" t="s">
        <v>22</v>
      </c>
      <c r="B3" s="8" t="s">
        <v>2068</v>
      </c>
      <c r="C3" s="8" t="s">
        <v>2070</v>
      </c>
      <c r="D3" s="8">
        <v>4</v>
      </c>
    </row>
    <row r="4" spans="1:4" x14ac:dyDescent="0.25">
      <c r="A4" s="8" t="s">
        <v>62</v>
      </c>
      <c r="B4" s="8" t="s">
        <v>2068</v>
      </c>
      <c r="C4" s="8" t="s">
        <v>2067</v>
      </c>
      <c r="D4" s="8">
        <v>1</v>
      </c>
    </row>
    <row r="5" spans="1:4" x14ac:dyDescent="0.25">
      <c r="A5" s="8" t="s">
        <v>65</v>
      </c>
      <c r="B5" s="8" t="s">
        <v>2068</v>
      </c>
      <c r="C5" s="8" t="s">
        <v>2067</v>
      </c>
      <c r="D5" s="8">
        <v>1</v>
      </c>
    </row>
    <row r="6" spans="1:4" x14ac:dyDescent="0.25">
      <c r="A6" s="8" t="s">
        <v>66</v>
      </c>
      <c r="B6" s="8" t="s">
        <v>2068</v>
      </c>
      <c r="C6" s="8" t="s">
        <v>2071</v>
      </c>
      <c r="D6" s="8">
        <v>3</v>
      </c>
    </row>
    <row r="7" spans="1:4" x14ac:dyDescent="0.25">
      <c r="A7" s="8" t="s">
        <v>74</v>
      </c>
      <c r="B7" s="8" t="s">
        <v>2068</v>
      </c>
      <c r="C7" s="8" t="s">
        <v>393</v>
      </c>
      <c r="D7" s="8">
        <v>1</v>
      </c>
    </row>
    <row r="8" spans="1:4" x14ac:dyDescent="0.25">
      <c r="A8" s="8" t="s">
        <v>89</v>
      </c>
      <c r="B8" s="8" t="s">
        <v>2068</v>
      </c>
      <c r="C8" s="8" t="s">
        <v>2067</v>
      </c>
      <c r="D8" s="8">
        <v>1</v>
      </c>
    </row>
    <row r="9" spans="1:4" x14ac:dyDescent="0.25">
      <c r="A9" s="8" t="s">
        <v>93</v>
      </c>
      <c r="B9" s="8" t="s">
        <v>2068</v>
      </c>
      <c r="C9" s="8" t="s">
        <v>2072</v>
      </c>
      <c r="D9" s="8">
        <v>2</v>
      </c>
    </row>
    <row r="10" spans="1:4" x14ac:dyDescent="0.25">
      <c r="A10" s="8" t="s">
        <v>95</v>
      </c>
      <c r="B10" s="8" t="s">
        <v>2068</v>
      </c>
      <c r="C10" s="8" t="s">
        <v>2073</v>
      </c>
      <c r="D10" s="8">
        <v>3</v>
      </c>
    </row>
    <row r="11" spans="1:4" x14ac:dyDescent="0.25">
      <c r="A11" s="8" t="s">
        <v>103</v>
      </c>
      <c r="B11" s="8" t="s">
        <v>2068</v>
      </c>
      <c r="C11" s="8" t="s">
        <v>2074</v>
      </c>
      <c r="D11" s="8">
        <v>2</v>
      </c>
    </row>
    <row r="12" spans="1:4" x14ac:dyDescent="0.25">
      <c r="A12" s="8" t="s">
        <v>119</v>
      </c>
      <c r="B12" s="8" t="s">
        <v>2068</v>
      </c>
      <c r="C12" s="8" t="s">
        <v>2075</v>
      </c>
      <c r="D12" s="8">
        <v>3</v>
      </c>
    </row>
    <row r="13" spans="1:4" x14ac:dyDescent="0.25">
      <c r="A13" s="8" t="s">
        <v>138</v>
      </c>
      <c r="B13" s="8" t="s">
        <v>2068</v>
      </c>
      <c r="C13" s="8" t="s">
        <v>389</v>
      </c>
      <c r="D13" s="8">
        <v>1</v>
      </c>
    </row>
    <row r="14" spans="1:4" x14ac:dyDescent="0.25">
      <c r="A14" s="8" t="s">
        <v>153</v>
      </c>
      <c r="B14" s="8" t="s">
        <v>2068</v>
      </c>
      <c r="C14" s="8" t="s">
        <v>2076</v>
      </c>
      <c r="D14" s="8">
        <v>8</v>
      </c>
    </row>
    <row r="15" spans="1:4" x14ac:dyDescent="0.25">
      <c r="A15" s="8" t="s">
        <v>158</v>
      </c>
      <c r="B15" s="8" t="s">
        <v>2068</v>
      </c>
      <c r="C15" s="8" t="s">
        <v>2077</v>
      </c>
      <c r="D15" s="8">
        <v>12</v>
      </c>
    </row>
    <row r="16" spans="1:4" x14ac:dyDescent="0.25">
      <c r="A16" s="8" t="s">
        <v>163</v>
      </c>
      <c r="B16" s="8" t="s">
        <v>2068</v>
      </c>
      <c r="C16" s="8" t="s">
        <v>389</v>
      </c>
      <c r="D16" s="8">
        <v>1</v>
      </c>
    </row>
    <row r="17" spans="1:4" x14ac:dyDescent="0.25">
      <c r="A17" s="8" t="s">
        <v>166</v>
      </c>
      <c r="B17" s="8" t="s">
        <v>2068</v>
      </c>
      <c r="C17" s="8" t="s">
        <v>2078</v>
      </c>
      <c r="D17" s="8">
        <v>3</v>
      </c>
    </row>
    <row r="18" spans="1:4" x14ac:dyDescent="0.25">
      <c r="A18" s="8" t="s">
        <v>173</v>
      </c>
      <c r="B18" s="8" t="s">
        <v>2068</v>
      </c>
      <c r="C18" s="8" t="s">
        <v>2078</v>
      </c>
      <c r="D18" s="8">
        <v>3</v>
      </c>
    </row>
    <row r="19" spans="1:4" x14ac:dyDescent="0.25">
      <c r="A19" s="8" t="s">
        <v>191</v>
      </c>
      <c r="B19" s="8" t="s">
        <v>2068</v>
      </c>
      <c r="C19" s="8" t="s">
        <v>2069</v>
      </c>
      <c r="D19" s="8">
        <v>1</v>
      </c>
    </row>
    <row r="20" spans="1:4" x14ac:dyDescent="0.25">
      <c r="A20" s="8" t="s">
        <v>202</v>
      </c>
      <c r="B20" s="8" t="s">
        <v>2068</v>
      </c>
      <c r="C20" s="8" t="s">
        <v>2079</v>
      </c>
      <c r="D20" s="8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3"/>
  <sheetViews>
    <sheetView topLeftCell="L1" workbookViewId="0">
      <selection activeCell="AA1" sqref="AA1"/>
    </sheetView>
  </sheetViews>
  <sheetFormatPr defaultColWidth="8.85546875" defaultRowHeight="15" x14ac:dyDescent="0.25"/>
  <cols>
    <col min="1" max="1" width="18.140625" bestFit="1" customWidth="1"/>
    <col min="2" max="2" width="14.42578125" customWidth="1"/>
    <col min="3" max="3" width="13.5703125" customWidth="1"/>
    <col min="4" max="4" width="11.42578125" customWidth="1"/>
    <col min="5" max="5" width="13.5703125" customWidth="1"/>
    <col min="6" max="7" width="11" customWidth="1"/>
    <col min="8" max="9" width="13.5703125" customWidth="1"/>
    <col min="10" max="14" width="11" customWidth="1"/>
    <col min="15" max="21" width="12" customWidth="1"/>
    <col min="22" max="23" width="10.85546875" customWidth="1"/>
    <col min="24" max="24" width="12" customWidth="1"/>
    <col min="25" max="25" width="10.85546875" customWidth="1"/>
    <col min="26" max="26" width="12" customWidth="1"/>
    <col min="27" max="27" width="15.7109375" customWidth="1"/>
  </cols>
  <sheetData>
    <row r="1" spans="1:27" x14ac:dyDescent="0.25">
      <c r="A1" t="s">
        <v>0</v>
      </c>
      <c r="B1" t="s">
        <v>2082</v>
      </c>
      <c r="C1" t="s">
        <v>1759</v>
      </c>
      <c r="D1" t="s">
        <v>766</v>
      </c>
      <c r="E1" t="s">
        <v>1761</v>
      </c>
      <c r="F1" t="s">
        <v>339</v>
      </c>
      <c r="G1" t="s">
        <v>565</v>
      </c>
      <c r="H1" t="s">
        <v>1762</v>
      </c>
      <c r="I1" t="s">
        <v>1763</v>
      </c>
      <c r="J1" t="s">
        <v>860</v>
      </c>
      <c r="K1" t="s">
        <v>340</v>
      </c>
      <c r="L1" t="s">
        <v>846</v>
      </c>
      <c r="M1" t="s">
        <v>655</v>
      </c>
      <c r="N1" t="s">
        <v>872</v>
      </c>
      <c r="O1" t="s">
        <v>873</v>
      </c>
      <c r="P1" t="s">
        <v>588</v>
      </c>
      <c r="Q1" t="s">
        <v>603</v>
      </c>
      <c r="R1" t="s">
        <v>622</v>
      </c>
      <c r="S1" t="s">
        <v>874</v>
      </c>
      <c r="T1" t="s">
        <v>697</v>
      </c>
      <c r="U1" t="s">
        <v>629</v>
      </c>
      <c r="V1" t="s">
        <v>698</v>
      </c>
      <c r="W1" t="s">
        <v>699</v>
      </c>
      <c r="X1" t="s">
        <v>1037</v>
      </c>
      <c r="Y1" t="s">
        <v>700</v>
      </c>
      <c r="Z1" t="s">
        <v>1038</v>
      </c>
      <c r="AA1" t="s">
        <v>800</v>
      </c>
    </row>
    <row r="2" spans="1:27" x14ac:dyDescent="0.25">
      <c r="A2" t="s">
        <v>6</v>
      </c>
      <c r="B2">
        <v>5</v>
      </c>
      <c r="F2">
        <v>20</v>
      </c>
      <c r="K2">
        <v>75</v>
      </c>
      <c r="M2">
        <v>74</v>
      </c>
    </row>
    <row r="3" spans="1:27" x14ac:dyDescent="0.25">
      <c r="A3" t="s">
        <v>11</v>
      </c>
    </row>
    <row r="4" spans="1:27" x14ac:dyDescent="0.25">
      <c r="A4" t="s">
        <v>12</v>
      </c>
    </row>
    <row r="5" spans="1:27" x14ac:dyDescent="0.25">
      <c r="A5" t="s">
        <v>16</v>
      </c>
    </row>
    <row r="6" spans="1:27" x14ac:dyDescent="0.25">
      <c r="A6" t="s">
        <v>18</v>
      </c>
      <c r="B6">
        <v>7</v>
      </c>
    </row>
    <row r="7" spans="1:27" x14ac:dyDescent="0.25">
      <c r="A7" t="s">
        <v>20</v>
      </c>
      <c r="B7">
        <v>18</v>
      </c>
    </row>
    <row r="8" spans="1:27" x14ac:dyDescent="0.25">
      <c r="A8" t="s">
        <v>22</v>
      </c>
      <c r="B8">
        <v>100</v>
      </c>
      <c r="T8">
        <v>100</v>
      </c>
      <c r="U8">
        <v>100</v>
      </c>
      <c r="V8">
        <v>100</v>
      </c>
      <c r="W8">
        <v>100</v>
      </c>
      <c r="Y8">
        <v>100</v>
      </c>
    </row>
    <row r="9" spans="1:27" x14ac:dyDescent="0.25">
      <c r="A9" t="s">
        <v>24</v>
      </c>
    </row>
    <row r="10" spans="1:27" x14ac:dyDescent="0.25">
      <c r="A10" t="s">
        <v>26</v>
      </c>
    </row>
    <row r="11" spans="1:27" x14ac:dyDescent="0.25">
      <c r="A11" t="s">
        <v>28</v>
      </c>
    </row>
    <row r="12" spans="1:27" x14ac:dyDescent="0.25">
      <c r="A12" t="s">
        <v>30</v>
      </c>
    </row>
    <row r="13" spans="1:27" x14ac:dyDescent="0.25">
      <c r="A13" t="s">
        <v>32</v>
      </c>
      <c r="B13">
        <v>17</v>
      </c>
    </row>
    <row r="14" spans="1:27" x14ac:dyDescent="0.25">
      <c r="A14" t="s">
        <v>34</v>
      </c>
    </row>
    <row r="15" spans="1:27" x14ac:dyDescent="0.25">
      <c r="A15" t="s">
        <v>36</v>
      </c>
    </row>
    <row r="16" spans="1:27" x14ac:dyDescent="0.25">
      <c r="A16" t="s">
        <v>37</v>
      </c>
    </row>
    <row r="17" spans="1:3" x14ac:dyDescent="0.25">
      <c r="A17" t="s">
        <v>40</v>
      </c>
    </row>
    <row r="18" spans="1:3" x14ac:dyDescent="0.25">
      <c r="A18" t="s">
        <v>42</v>
      </c>
    </row>
    <row r="19" spans="1:3" x14ac:dyDescent="0.25">
      <c r="A19" t="s">
        <v>43</v>
      </c>
    </row>
    <row r="20" spans="1:3" x14ac:dyDescent="0.25">
      <c r="A20" t="s">
        <v>44</v>
      </c>
    </row>
    <row r="21" spans="1:3" x14ac:dyDescent="0.25">
      <c r="A21" t="s">
        <v>46</v>
      </c>
    </row>
    <row r="22" spans="1:3" x14ac:dyDescent="0.25">
      <c r="A22" t="s">
        <v>48</v>
      </c>
    </row>
    <row r="23" spans="1:3" x14ac:dyDescent="0.25">
      <c r="A23" t="s">
        <v>50</v>
      </c>
    </row>
    <row r="24" spans="1:3" x14ac:dyDescent="0.25">
      <c r="A24" t="s">
        <v>52</v>
      </c>
    </row>
    <row r="25" spans="1:3" x14ac:dyDescent="0.25">
      <c r="A25" t="s">
        <v>53</v>
      </c>
    </row>
    <row r="26" spans="1:3" x14ac:dyDescent="0.25">
      <c r="A26" t="s">
        <v>55</v>
      </c>
    </row>
    <row r="27" spans="1:3" x14ac:dyDescent="0.25">
      <c r="A27" t="s">
        <v>57</v>
      </c>
    </row>
    <row r="28" spans="1:3" x14ac:dyDescent="0.25">
      <c r="A28" t="s">
        <v>59</v>
      </c>
    </row>
    <row r="29" spans="1:3" x14ac:dyDescent="0.25">
      <c r="A29" t="s">
        <v>60</v>
      </c>
      <c r="B29">
        <v>114</v>
      </c>
    </row>
    <row r="30" spans="1:3" x14ac:dyDescent="0.25">
      <c r="A30" t="s">
        <v>62</v>
      </c>
      <c r="B30">
        <v>74</v>
      </c>
      <c r="C30">
        <v>110</v>
      </c>
    </row>
    <row r="31" spans="1:3" x14ac:dyDescent="0.25">
      <c r="A31" t="s">
        <v>64</v>
      </c>
    </row>
    <row r="32" spans="1:3" x14ac:dyDescent="0.25">
      <c r="A32" t="s">
        <v>65</v>
      </c>
    </row>
    <row r="33" spans="1:21" x14ac:dyDescent="0.25">
      <c r="A33" t="s">
        <v>66</v>
      </c>
      <c r="B33">
        <v>105</v>
      </c>
      <c r="F33">
        <v>73</v>
      </c>
      <c r="G33">
        <v>82</v>
      </c>
      <c r="P33">
        <v>23</v>
      </c>
      <c r="Q33">
        <v>64</v>
      </c>
      <c r="R33">
        <v>91</v>
      </c>
      <c r="U33">
        <v>93</v>
      </c>
    </row>
    <row r="34" spans="1:21" x14ac:dyDescent="0.25">
      <c r="A34" t="s">
        <v>68</v>
      </c>
    </row>
    <row r="35" spans="1:21" x14ac:dyDescent="0.25">
      <c r="A35" t="s">
        <v>69</v>
      </c>
    </row>
    <row r="36" spans="1:21" x14ac:dyDescent="0.25">
      <c r="A36" t="s">
        <v>71</v>
      </c>
    </row>
    <row r="37" spans="1:21" x14ac:dyDescent="0.25">
      <c r="A37" t="s">
        <v>73</v>
      </c>
    </row>
    <row r="38" spans="1:21" x14ac:dyDescent="0.25">
      <c r="A38" t="s">
        <v>74</v>
      </c>
    </row>
    <row r="39" spans="1:21" x14ac:dyDescent="0.25">
      <c r="A39" t="s">
        <v>76</v>
      </c>
    </row>
    <row r="40" spans="1:21" x14ac:dyDescent="0.25">
      <c r="A40" t="s">
        <v>78</v>
      </c>
    </row>
    <row r="41" spans="1:21" x14ac:dyDescent="0.25">
      <c r="A41" t="s">
        <v>80</v>
      </c>
      <c r="B41">
        <v>0.96</v>
      </c>
    </row>
    <row r="42" spans="1:21" x14ac:dyDescent="0.25">
      <c r="A42" t="s">
        <v>82</v>
      </c>
    </row>
    <row r="43" spans="1:21" x14ac:dyDescent="0.25">
      <c r="A43" t="s">
        <v>84</v>
      </c>
    </row>
    <row r="44" spans="1:21" x14ac:dyDescent="0.25">
      <c r="A44" t="s">
        <v>85</v>
      </c>
    </row>
    <row r="45" spans="1:21" x14ac:dyDescent="0.25">
      <c r="A45" t="s">
        <v>87</v>
      </c>
      <c r="D45">
        <v>70</v>
      </c>
      <c r="K45">
        <v>67</v>
      </c>
    </row>
    <row r="46" spans="1:21" x14ac:dyDescent="0.25">
      <c r="A46" t="s">
        <v>89</v>
      </c>
      <c r="B46">
        <v>13</v>
      </c>
      <c r="C46">
        <v>39</v>
      </c>
    </row>
    <row r="47" spans="1:21" x14ac:dyDescent="0.25">
      <c r="A47" t="s">
        <v>91</v>
      </c>
    </row>
    <row r="48" spans="1:21" x14ac:dyDescent="0.25">
      <c r="A48" t="s">
        <v>92</v>
      </c>
    </row>
    <row r="49" spans="1:27" x14ac:dyDescent="0.25">
      <c r="A49" t="s">
        <v>93</v>
      </c>
      <c r="B49">
        <v>100</v>
      </c>
    </row>
    <row r="50" spans="1:27" x14ac:dyDescent="0.25">
      <c r="A50" t="s">
        <v>95</v>
      </c>
      <c r="B50">
        <v>100</v>
      </c>
      <c r="AA50" t="s">
        <v>799</v>
      </c>
    </row>
    <row r="51" spans="1:27" x14ac:dyDescent="0.25">
      <c r="A51" t="s">
        <v>97</v>
      </c>
    </row>
    <row r="52" spans="1:27" x14ac:dyDescent="0.25">
      <c r="A52" t="s">
        <v>99</v>
      </c>
    </row>
    <row r="53" spans="1:27" x14ac:dyDescent="0.25">
      <c r="A53" t="s">
        <v>100</v>
      </c>
    </row>
    <row r="54" spans="1:27" x14ac:dyDescent="0.25">
      <c r="A54" t="s">
        <v>101</v>
      </c>
    </row>
    <row r="55" spans="1:27" x14ac:dyDescent="0.25">
      <c r="A55" t="s">
        <v>102</v>
      </c>
    </row>
    <row r="56" spans="1:27" x14ac:dyDescent="0.25">
      <c r="A56" t="s">
        <v>103</v>
      </c>
      <c r="B56">
        <v>1</v>
      </c>
    </row>
    <row r="57" spans="1:27" x14ac:dyDescent="0.25">
      <c r="A57" t="s">
        <v>105</v>
      </c>
    </row>
    <row r="58" spans="1:27" x14ac:dyDescent="0.25">
      <c r="A58" t="s">
        <v>106</v>
      </c>
    </row>
    <row r="59" spans="1:27" x14ac:dyDescent="0.25">
      <c r="A59" t="s">
        <v>107</v>
      </c>
    </row>
    <row r="60" spans="1:27" x14ac:dyDescent="0.25">
      <c r="A60" t="s">
        <v>108</v>
      </c>
    </row>
    <row r="61" spans="1:27" x14ac:dyDescent="0.25">
      <c r="A61" t="s">
        <v>109</v>
      </c>
    </row>
    <row r="62" spans="1:27" x14ac:dyDescent="0.25">
      <c r="A62" t="s">
        <v>110</v>
      </c>
    </row>
    <row r="63" spans="1:27" x14ac:dyDescent="0.25">
      <c r="A63" t="s">
        <v>111</v>
      </c>
    </row>
    <row r="64" spans="1:27" x14ac:dyDescent="0.25">
      <c r="A64" t="s">
        <v>112</v>
      </c>
    </row>
    <row r="65" spans="1:19" x14ac:dyDescent="0.25">
      <c r="A65" t="s">
        <v>113</v>
      </c>
    </row>
    <row r="66" spans="1:19" x14ac:dyDescent="0.25">
      <c r="A66" t="s">
        <v>115</v>
      </c>
    </row>
    <row r="67" spans="1:19" x14ac:dyDescent="0.25">
      <c r="A67" t="s">
        <v>116</v>
      </c>
    </row>
    <row r="68" spans="1:19" x14ac:dyDescent="0.25">
      <c r="A68" t="s">
        <v>117</v>
      </c>
    </row>
    <row r="69" spans="1:19" x14ac:dyDescent="0.25">
      <c r="A69" t="s">
        <v>119</v>
      </c>
      <c r="B69">
        <v>120</v>
      </c>
      <c r="F69">
        <v>118</v>
      </c>
      <c r="L69">
        <v>120</v>
      </c>
    </row>
    <row r="70" spans="1:19" x14ac:dyDescent="0.25">
      <c r="A70" t="s">
        <v>120</v>
      </c>
    </row>
    <row r="71" spans="1:19" x14ac:dyDescent="0.25">
      <c r="A71" t="s">
        <v>122</v>
      </c>
    </row>
    <row r="72" spans="1:19" x14ac:dyDescent="0.25">
      <c r="A72" t="s">
        <v>123</v>
      </c>
    </row>
    <row r="73" spans="1:19" x14ac:dyDescent="0.25">
      <c r="A73" t="s">
        <v>125</v>
      </c>
      <c r="B73">
        <v>102</v>
      </c>
      <c r="D73">
        <v>54</v>
      </c>
      <c r="G73">
        <v>39</v>
      </c>
      <c r="J73">
        <v>86</v>
      </c>
      <c r="K73">
        <v>95</v>
      </c>
      <c r="M73">
        <v>105</v>
      </c>
      <c r="N73">
        <v>100</v>
      </c>
      <c r="O73">
        <v>101</v>
      </c>
      <c r="Q73">
        <v>104</v>
      </c>
      <c r="R73">
        <v>102</v>
      </c>
      <c r="S73">
        <v>107</v>
      </c>
    </row>
    <row r="74" spans="1:19" x14ac:dyDescent="0.25">
      <c r="A74" t="s">
        <v>126</v>
      </c>
    </row>
    <row r="75" spans="1:19" x14ac:dyDescent="0.25">
      <c r="A75" t="s">
        <v>127</v>
      </c>
      <c r="M75">
        <v>130</v>
      </c>
    </row>
    <row r="76" spans="1:19" x14ac:dyDescent="0.25">
      <c r="A76" t="s">
        <v>128</v>
      </c>
    </row>
    <row r="77" spans="1:19" x14ac:dyDescent="0.25">
      <c r="A77" t="s">
        <v>131</v>
      </c>
    </row>
    <row r="78" spans="1:19" x14ac:dyDescent="0.25">
      <c r="A78" t="s">
        <v>133</v>
      </c>
    </row>
    <row r="79" spans="1:19" x14ac:dyDescent="0.25">
      <c r="A79" t="s">
        <v>134</v>
      </c>
    </row>
    <row r="80" spans="1:19" x14ac:dyDescent="0.25">
      <c r="A80" t="s">
        <v>136</v>
      </c>
    </row>
    <row r="81" spans="1:19" x14ac:dyDescent="0.25">
      <c r="A81" t="s">
        <v>138</v>
      </c>
      <c r="B81">
        <v>103</v>
      </c>
    </row>
    <row r="82" spans="1:19" x14ac:dyDescent="0.25">
      <c r="A82" t="s">
        <v>140</v>
      </c>
      <c r="B82">
        <v>50</v>
      </c>
      <c r="R82">
        <v>25</v>
      </c>
    </row>
    <row r="83" spans="1:19" x14ac:dyDescent="0.25">
      <c r="A83" t="s">
        <v>142</v>
      </c>
    </row>
    <row r="84" spans="1:19" x14ac:dyDescent="0.25">
      <c r="A84" t="s">
        <v>143</v>
      </c>
    </row>
    <row r="85" spans="1:19" x14ac:dyDescent="0.25">
      <c r="A85" t="s">
        <v>144</v>
      </c>
    </row>
    <row r="86" spans="1:19" x14ac:dyDescent="0.25">
      <c r="A86" t="s">
        <v>145</v>
      </c>
    </row>
    <row r="87" spans="1:19" x14ac:dyDescent="0.25">
      <c r="A87" t="s">
        <v>146</v>
      </c>
    </row>
    <row r="88" spans="1:19" x14ac:dyDescent="0.25">
      <c r="A88" t="s">
        <v>147</v>
      </c>
    </row>
    <row r="89" spans="1:19" x14ac:dyDescent="0.25">
      <c r="A89" t="s">
        <v>148</v>
      </c>
    </row>
    <row r="90" spans="1:19" x14ac:dyDescent="0.25">
      <c r="A90" t="s">
        <v>149</v>
      </c>
      <c r="K90">
        <v>50</v>
      </c>
      <c r="S90">
        <v>33</v>
      </c>
    </row>
    <row r="91" spans="1:19" x14ac:dyDescent="0.25">
      <c r="A91" t="s">
        <v>150</v>
      </c>
      <c r="B91">
        <v>29</v>
      </c>
    </row>
    <row r="92" spans="1:19" x14ac:dyDescent="0.25">
      <c r="A92" t="s">
        <v>151</v>
      </c>
    </row>
    <row r="93" spans="1:19" x14ac:dyDescent="0.25">
      <c r="A93" t="s">
        <v>321</v>
      </c>
    </row>
    <row r="94" spans="1:19" x14ac:dyDescent="0.25">
      <c r="A94" t="s">
        <v>152</v>
      </c>
      <c r="B94">
        <v>40</v>
      </c>
      <c r="C94">
        <v>24</v>
      </c>
    </row>
    <row r="95" spans="1:19" x14ac:dyDescent="0.25">
      <c r="A95" t="s">
        <v>153</v>
      </c>
      <c r="B95">
        <v>100</v>
      </c>
      <c r="D95">
        <v>89</v>
      </c>
      <c r="E95">
        <v>80</v>
      </c>
      <c r="F95">
        <v>58</v>
      </c>
      <c r="G95">
        <v>6</v>
      </c>
      <c r="H95">
        <v>10</v>
      </c>
      <c r="I95">
        <v>13</v>
      </c>
      <c r="J95">
        <v>12</v>
      </c>
    </row>
    <row r="96" spans="1:19" x14ac:dyDescent="0.25">
      <c r="A96" t="s">
        <v>155</v>
      </c>
    </row>
    <row r="97" spans="1:6" x14ac:dyDescent="0.25">
      <c r="A97" t="s">
        <v>157</v>
      </c>
    </row>
    <row r="98" spans="1:6" x14ac:dyDescent="0.25">
      <c r="A98" t="s">
        <v>158</v>
      </c>
    </row>
    <row r="99" spans="1:6" x14ac:dyDescent="0.25">
      <c r="A99" t="s">
        <v>160</v>
      </c>
    </row>
    <row r="100" spans="1:6" x14ac:dyDescent="0.25">
      <c r="A100" t="s">
        <v>162</v>
      </c>
    </row>
    <row r="101" spans="1:6" x14ac:dyDescent="0.25">
      <c r="A101" t="s">
        <v>163</v>
      </c>
    </row>
    <row r="102" spans="1:6" x14ac:dyDescent="0.25">
      <c r="A102" t="s">
        <v>164</v>
      </c>
    </row>
    <row r="103" spans="1:6" x14ac:dyDescent="0.25">
      <c r="A103" t="s">
        <v>165</v>
      </c>
    </row>
    <row r="104" spans="1:6" x14ac:dyDescent="0.25">
      <c r="A104" t="s">
        <v>166</v>
      </c>
    </row>
    <row r="105" spans="1:6" x14ac:dyDescent="0.25">
      <c r="A105" t="s">
        <v>167</v>
      </c>
      <c r="B105">
        <v>35</v>
      </c>
    </row>
    <row r="106" spans="1:6" x14ac:dyDescent="0.25">
      <c r="A106" t="s">
        <v>169</v>
      </c>
    </row>
    <row r="107" spans="1:6" x14ac:dyDescent="0.25">
      <c r="A107" t="s">
        <v>170</v>
      </c>
    </row>
    <row r="108" spans="1:6" x14ac:dyDescent="0.25">
      <c r="A108" t="s">
        <v>172</v>
      </c>
    </row>
    <row r="109" spans="1:6" x14ac:dyDescent="0.25">
      <c r="A109" t="s">
        <v>173</v>
      </c>
      <c r="B109">
        <v>85</v>
      </c>
      <c r="C109">
        <v>30</v>
      </c>
      <c r="D109">
        <v>29</v>
      </c>
      <c r="E109">
        <v>37</v>
      </c>
      <c r="F109">
        <v>49</v>
      </c>
    </row>
    <row r="110" spans="1:6" x14ac:dyDescent="0.25">
      <c r="A110" t="s">
        <v>175</v>
      </c>
    </row>
    <row r="111" spans="1:6" x14ac:dyDescent="0.25">
      <c r="A111" t="s">
        <v>176</v>
      </c>
    </row>
    <row r="112" spans="1:6" x14ac:dyDescent="0.25">
      <c r="A112" t="s">
        <v>177</v>
      </c>
      <c r="B112">
        <v>25</v>
      </c>
    </row>
    <row r="113" spans="1:26" x14ac:dyDescent="0.25">
      <c r="A113" t="s">
        <v>178</v>
      </c>
    </row>
    <row r="114" spans="1:26" x14ac:dyDescent="0.25">
      <c r="A114" t="s">
        <v>179</v>
      </c>
    </row>
    <row r="115" spans="1:26" x14ac:dyDescent="0.25">
      <c r="A115" t="s">
        <v>182</v>
      </c>
    </row>
    <row r="116" spans="1:26" x14ac:dyDescent="0.25">
      <c r="A116" t="s">
        <v>183</v>
      </c>
    </row>
    <row r="117" spans="1:26" x14ac:dyDescent="0.25">
      <c r="A117" t="s">
        <v>185</v>
      </c>
      <c r="B117">
        <v>11.5</v>
      </c>
      <c r="C117">
        <v>19</v>
      </c>
      <c r="L117">
        <v>94</v>
      </c>
    </row>
    <row r="118" spans="1:26" x14ac:dyDescent="0.25">
      <c r="A118" t="s">
        <v>187</v>
      </c>
      <c r="B118">
        <v>15</v>
      </c>
    </row>
    <row r="119" spans="1:26" x14ac:dyDescent="0.25">
      <c r="A119" t="s">
        <v>189</v>
      </c>
      <c r="D119">
        <v>67</v>
      </c>
      <c r="F119">
        <v>82</v>
      </c>
    </row>
    <row r="120" spans="1:26" x14ac:dyDescent="0.25">
      <c r="A120" t="s">
        <v>191</v>
      </c>
      <c r="B120">
        <v>66</v>
      </c>
      <c r="F120">
        <v>23</v>
      </c>
    </row>
    <row r="121" spans="1:26" x14ac:dyDescent="0.25">
      <c r="A121" t="s">
        <v>192</v>
      </c>
    </row>
    <row r="122" spans="1:26" x14ac:dyDescent="0.25">
      <c r="A122" t="s">
        <v>194</v>
      </c>
    </row>
    <row r="123" spans="1:26" x14ac:dyDescent="0.25">
      <c r="A123" t="s">
        <v>196</v>
      </c>
      <c r="B123">
        <v>11</v>
      </c>
    </row>
    <row r="124" spans="1:26" x14ac:dyDescent="0.25">
      <c r="A124" t="s">
        <v>197</v>
      </c>
      <c r="X124">
        <v>63</v>
      </c>
      <c r="Z124">
        <v>24</v>
      </c>
    </row>
    <row r="125" spans="1:26" x14ac:dyDescent="0.25">
      <c r="A125" t="s">
        <v>199</v>
      </c>
    </row>
    <row r="126" spans="1:26" x14ac:dyDescent="0.25">
      <c r="A126" t="s">
        <v>200</v>
      </c>
    </row>
    <row r="127" spans="1:26" x14ac:dyDescent="0.25">
      <c r="A127" t="s">
        <v>201</v>
      </c>
    </row>
    <row r="128" spans="1:26" x14ac:dyDescent="0.25">
      <c r="A128" t="s">
        <v>202</v>
      </c>
    </row>
    <row r="129" spans="1:2" x14ac:dyDescent="0.25">
      <c r="A129" t="s">
        <v>294</v>
      </c>
    </row>
    <row r="130" spans="1:2" x14ac:dyDescent="0.25">
      <c r="A130" t="s">
        <v>207</v>
      </c>
    </row>
    <row r="131" spans="1:2" x14ac:dyDescent="0.25">
      <c r="A131" t="s">
        <v>208</v>
      </c>
    </row>
    <row r="132" spans="1:2" x14ac:dyDescent="0.25">
      <c r="A132" t="s">
        <v>1589</v>
      </c>
    </row>
    <row r="133" spans="1:2" x14ac:dyDescent="0.25">
      <c r="A133" t="s">
        <v>209</v>
      </c>
    </row>
    <row r="134" spans="1:2" x14ac:dyDescent="0.25">
      <c r="A134" t="s">
        <v>211</v>
      </c>
    </row>
    <row r="135" spans="1:2" x14ac:dyDescent="0.25">
      <c r="A135" t="s">
        <v>212</v>
      </c>
    </row>
    <row r="136" spans="1:2" x14ac:dyDescent="0.25">
      <c r="A136" t="s">
        <v>214</v>
      </c>
    </row>
    <row r="137" spans="1:2" x14ac:dyDescent="0.25">
      <c r="A137" t="s">
        <v>216</v>
      </c>
    </row>
    <row r="138" spans="1:2" x14ac:dyDescent="0.25">
      <c r="A138" t="s">
        <v>218</v>
      </c>
    </row>
    <row r="139" spans="1:2" x14ac:dyDescent="0.25">
      <c r="A139" t="s">
        <v>220</v>
      </c>
    </row>
    <row r="140" spans="1:2" x14ac:dyDescent="0.25">
      <c r="A140" t="s">
        <v>222</v>
      </c>
      <c r="B140">
        <v>56.47</v>
      </c>
    </row>
    <row r="141" spans="1:2" x14ac:dyDescent="0.25">
      <c r="A141" t="s">
        <v>224</v>
      </c>
    </row>
    <row r="142" spans="1:2" x14ac:dyDescent="0.25">
      <c r="A142" t="s">
        <v>225</v>
      </c>
    </row>
    <row r="143" spans="1:2" x14ac:dyDescent="0.25">
      <c r="A143" t="s">
        <v>227</v>
      </c>
    </row>
    <row r="144" spans="1:2" x14ac:dyDescent="0.25">
      <c r="A144" t="s">
        <v>229</v>
      </c>
    </row>
    <row r="145" spans="1:1" x14ac:dyDescent="0.25">
      <c r="A145" t="s">
        <v>231</v>
      </c>
    </row>
    <row r="146" spans="1:1" x14ac:dyDescent="0.25">
      <c r="A146" t="s">
        <v>232</v>
      </c>
    </row>
    <row r="147" spans="1:1" x14ac:dyDescent="0.25">
      <c r="A147" t="s">
        <v>234</v>
      </c>
    </row>
    <row r="148" spans="1:1" x14ac:dyDescent="0.25">
      <c r="A148" t="s">
        <v>236</v>
      </c>
    </row>
    <row r="149" spans="1:1" x14ac:dyDescent="0.25">
      <c r="A149" t="s">
        <v>1322</v>
      </c>
    </row>
    <row r="150" spans="1:1" x14ac:dyDescent="0.25">
      <c r="A150" t="s">
        <v>1323</v>
      </c>
    </row>
    <row r="151" spans="1:1" x14ac:dyDescent="0.25">
      <c r="A151" t="s">
        <v>1324</v>
      </c>
    </row>
    <row r="152" spans="1:1" x14ac:dyDescent="0.25">
      <c r="A152" t="s">
        <v>1325</v>
      </c>
    </row>
    <row r="153" spans="1:1" x14ac:dyDescent="0.25">
      <c r="A153" t="s">
        <v>1326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34"/>
  <sheetViews>
    <sheetView workbookViewId="0">
      <selection sqref="A1:D1"/>
    </sheetView>
  </sheetViews>
  <sheetFormatPr defaultColWidth="8.85546875" defaultRowHeight="15" x14ac:dyDescent="0.25"/>
  <cols>
    <col min="1" max="1" width="18.140625" bestFit="1" customWidth="1"/>
    <col min="2" max="2" width="8.28515625" bestFit="1" customWidth="1"/>
    <col min="3" max="3" width="110" bestFit="1" customWidth="1"/>
    <col min="4" max="4" width="30.42578125" bestFit="1" customWidth="1"/>
  </cols>
  <sheetData>
    <row r="1" spans="1:4" x14ac:dyDescent="0.25">
      <c r="A1" s="29" t="s">
        <v>0</v>
      </c>
      <c r="B1" s="29" t="s">
        <v>2117</v>
      </c>
      <c r="C1" s="29" t="s">
        <v>2081</v>
      </c>
      <c r="D1" s="29" t="s">
        <v>2118</v>
      </c>
    </row>
    <row r="2" spans="1:4" x14ac:dyDescent="0.25">
      <c r="A2" s="8" t="s">
        <v>6</v>
      </c>
      <c r="B2" s="8" t="s">
        <v>2083</v>
      </c>
      <c r="C2" s="8" t="s">
        <v>2084</v>
      </c>
      <c r="D2" s="8">
        <v>4</v>
      </c>
    </row>
    <row r="3" spans="1:4" x14ac:dyDescent="0.25">
      <c r="A3" s="8" t="s">
        <v>18</v>
      </c>
      <c r="B3" s="8" t="s">
        <v>2083</v>
      </c>
      <c r="C3" s="8" t="s">
        <v>2082</v>
      </c>
      <c r="D3" s="8">
        <v>1</v>
      </c>
    </row>
    <row r="4" spans="1:4" x14ac:dyDescent="0.25">
      <c r="A4" s="8" t="s">
        <v>20</v>
      </c>
      <c r="B4" s="8" t="s">
        <v>2083</v>
      </c>
      <c r="C4" s="8" t="s">
        <v>2082</v>
      </c>
      <c r="D4" s="8">
        <v>1</v>
      </c>
    </row>
    <row r="5" spans="1:4" x14ac:dyDescent="0.25">
      <c r="A5" s="8" t="s">
        <v>22</v>
      </c>
      <c r="B5" s="8" t="s">
        <v>2083</v>
      </c>
      <c r="C5" s="8" t="s">
        <v>2085</v>
      </c>
      <c r="D5" s="8">
        <v>6</v>
      </c>
    </row>
    <row r="6" spans="1:4" x14ac:dyDescent="0.25">
      <c r="A6" s="8" t="s">
        <v>32</v>
      </c>
      <c r="B6" s="8" t="s">
        <v>2083</v>
      </c>
      <c r="C6" s="8" t="s">
        <v>2082</v>
      </c>
      <c r="D6" s="8">
        <v>1</v>
      </c>
    </row>
    <row r="7" spans="1:4" x14ac:dyDescent="0.25">
      <c r="A7" s="8" t="s">
        <v>60</v>
      </c>
      <c r="B7" s="8" t="s">
        <v>2083</v>
      </c>
      <c r="C7" s="8" t="s">
        <v>2082</v>
      </c>
      <c r="D7" s="8">
        <v>1</v>
      </c>
    </row>
    <row r="8" spans="1:4" x14ac:dyDescent="0.25">
      <c r="A8" s="8" t="s">
        <v>62</v>
      </c>
      <c r="B8" s="8" t="s">
        <v>2083</v>
      </c>
      <c r="C8" s="8" t="s">
        <v>2086</v>
      </c>
      <c r="D8" s="8">
        <v>2</v>
      </c>
    </row>
    <row r="9" spans="1:4" x14ac:dyDescent="0.25">
      <c r="A9" s="8" t="s">
        <v>66</v>
      </c>
      <c r="B9" s="8" t="s">
        <v>2083</v>
      </c>
      <c r="C9" s="8" t="s">
        <v>2087</v>
      </c>
      <c r="D9" s="8">
        <v>7</v>
      </c>
    </row>
    <row r="10" spans="1:4" x14ac:dyDescent="0.25">
      <c r="A10" s="8" t="s">
        <v>80</v>
      </c>
      <c r="B10" s="8" t="s">
        <v>2083</v>
      </c>
      <c r="C10" s="8" t="s">
        <v>2082</v>
      </c>
      <c r="D10" s="8">
        <v>1</v>
      </c>
    </row>
    <row r="11" spans="1:4" x14ac:dyDescent="0.25">
      <c r="A11" s="8" t="s">
        <v>87</v>
      </c>
      <c r="B11" s="8" t="s">
        <v>2083</v>
      </c>
      <c r="C11" s="8" t="s">
        <v>2088</v>
      </c>
      <c r="D11" s="8">
        <v>2</v>
      </c>
    </row>
    <row r="12" spans="1:4" x14ac:dyDescent="0.25">
      <c r="A12" s="8" t="s">
        <v>89</v>
      </c>
      <c r="B12" s="8" t="s">
        <v>2083</v>
      </c>
      <c r="C12" s="8" t="s">
        <v>2086</v>
      </c>
      <c r="D12" s="8">
        <v>2</v>
      </c>
    </row>
    <row r="13" spans="1:4" x14ac:dyDescent="0.25">
      <c r="A13" s="8" t="s">
        <v>93</v>
      </c>
      <c r="B13" s="8" t="s">
        <v>2083</v>
      </c>
      <c r="C13" s="8" t="s">
        <v>2082</v>
      </c>
      <c r="D13" s="8">
        <v>1</v>
      </c>
    </row>
    <row r="14" spans="1:4" x14ac:dyDescent="0.25">
      <c r="A14" s="8" t="s">
        <v>95</v>
      </c>
      <c r="B14" s="8" t="s">
        <v>2083</v>
      </c>
      <c r="C14" s="8" t="s">
        <v>2089</v>
      </c>
      <c r="D14" s="8">
        <v>2</v>
      </c>
    </row>
    <row r="15" spans="1:4" x14ac:dyDescent="0.25">
      <c r="A15" s="8" t="s">
        <v>103</v>
      </c>
      <c r="B15" s="8" t="s">
        <v>2083</v>
      </c>
      <c r="C15" s="8" t="s">
        <v>2082</v>
      </c>
      <c r="D15" s="8">
        <v>1</v>
      </c>
    </row>
    <row r="16" spans="1:4" x14ac:dyDescent="0.25">
      <c r="A16" s="8" t="s">
        <v>119</v>
      </c>
      <c r="B16" s="8" t="s">
        <v>2083</v>
      </c>
      <c r="C16" s="8" t="s">
        <v>2090</v>
      </c>
      <c r="D16" s="8">
        <v>3</v>
      </c>
    </row>
    <row r="17" spans="1:4" x14ac:dyDescent="0.25">
      <c r="A17" s="8" t="s">
        <v>125</v>
      </c>
      <c r="B17" s="8" t="s">
        <v>2083</v>
      </c>
      <c r="C17" s="8" t="s">
        <v>2091</v>
      </c>
      <c r="D17" s="8">
        <v>11</v>
      </c>
    </row>
    <row r="18" spans="1:4" x14ac:dyDescent="0.25">
      <c r="A18" s="8" t="s">
        <v>127</v>
      </c>
      <c r="B18" s="8" t="s">
        <v>2083</v>
      </c>
      <c r="C18" s="8" t="s">
        <v>655</v>
      </c>
      <c r="D18" s="8">
        <v>1</v>
      </c>
    </row>
    <row r="19" spans="1:4" x14ac:dyDescent="0.25">
      <c r="A19" s="8" t="s">
        <v>138</v>
      </c>
      <c r="B19" s="8" t="s">
        <v>2083</v>
      </c>
      <c r="C19" s="8" t="s">
        <v>2082</v>
      </c>
      <c r="D19" s="8">
        <v>1</v>
      </c>
    </row>
    <row r="20" spans="1:4" x14ac:dyDescent="0.25">
      <c r="A20" s="8" t="s">
        <v>140</v>
      </c>
      <c r="B20" s="8" t="s">
        <v>2083</v>
      </c>
      <c r="C20" s="8" t="s">
        <v>2092</v>
      </c>
      <c r="D20" s="8">
        <v>2</v>
      </c>
    </row>
    <row r="21" spans="1:4" x14ac:dyDescent="0.25">
      <c r="A21" s="8" t="s">
        <v>149</v>
      </c>
      <c r="B21" s="8" t="s">
        <v>2083</v>
      </c>
      <c r="C21" s="8" t="s">
        <v>2093</v>
      </c>
      <c r="D21" s="8">
        <v>2</v>
      </c>
    </row>
    <row r="22" spans="1:4" x14ac:dyDescent="0.25">
      <c r="A22" s="8" t="s">
        <v>150</v>
      </c>
      <c r="B22" s="8" t="s">
        <v>2083</v>
      </c>
      <c r="C22" s="8" t="s">
        <v>2082</v>
      </c>
      <c r="D22" s="8">
        <v>1</v>
      </c>
    </row>
    <row r="23" spans="1:4" x14ac:dyDescent="0.25">
      <c r="A23" s="8" t="s">
        <v>152</v>
      </c>
      <c r="B23" s="8" t="s">
        <v>2083</v>
      </c>
      <c r="C23" s="8" t="s">
        <v>2086</v>
      </c>
      <c r="D23" s="8">
        <v>2</v>
      </c>
    </row>
    <row r="24" spans="1:4" x14ac:dyDescent="0.25">
      <c r="A24" s="8" t="s">
        <v>153</v>
      </c>
      <c r="B24" s="8" t="s">
        <v>2083</v>
      </c>
      <c r="C24" s="8" t="s">
        <v>2094</v>
      </c>
      <c r="D24" s="8">
        <v>8</v>
      </c>
    </row>
    <row r="25" spans="1:4" x14ac:dyDescent="0.25">
      <c r="A25" s="8" t="s">
        <v>167</v>
      </c>
      <c r="B25" s="8" t="s">
        <v>2083</v>
      </c>
      <c r="C25" s="8" t="s">
        <v>2082</v>
      </c>
      <c r="D25" s="8">
        <v>1</v>
      </c>
    </row>
    <row r="26" spans="1:4" x14ac:dyDescent="0.25">
      <c r="A26" s="8" t="s">
        <v>173</v>
      </c>
      <c r="B26" s="8" t="s">
        <v>2083</v>
      </c>
      <c r="C26" s="8" t="s">
        <v>2095</v>
      </c>
      <c r="D26" s="8">
        <v>5</v>
      </c>
    </row>
    <row r="27" spans="1:4" x14ac:dyDescent="0.25">
      <c r="A27" s="8" t="s">
        <v>177</v>
      </c>
      <c r="B27" s="8" t="s">
        <v>2083</v>
      </c>
      <c r="C27" s="8" t="s">
        <v>2082</v>
      </c>
      <c r="D27" s="8">
        <v>1</v>
      </c>
    </row>
    <row r="28" spans="1:4" x14ac:dyDescent="0.25">
      <c r="A28" s="8" t="s">
        <v>185</v>
      </c>
      <c r="B28" s="8" t="s">
        <v>2083</v>
      </c>
      <c r="C28" s="8" t="s">
        <v>2096</v>
      </c>
      <c r="D28" s="8">
        <v>3</v>
      </c>
    </row>
    <row r="29" spans="1:4" x14ac:dyDescent="0.25">
      <c r="A29" s="8" t="s">
        <v>187</v>
      </c>
      <c r="B29" s="8" t="s">
        <v>2083</v>
      </c>
      <c r="C29" s="8" t="s">
        <v>2082</v>
      </c>
      <c r="D29" s="8">
        <v>1</v>
      </c>
    </row>
    <row r="30" spans="1:4" x14ac:dyDescent="0.25">
      <c r="A30" s="8" t="s">
        <v>189</v>
      </c>
      <c r="B30" s="8" t="s">
        <v>2083</v>
      </c>
      <c r="C30" s="8" t="s">
        <v>2097</v>
      </c>
      <c r="D30" s="8">
        <v>2</v>
      </c>
    </row>
    <row r="31" spans="1:4" x14ac:dyDescent="0.25">
      <c r="A31" s="8" t="s">
        <v>191</v>
      </c>
      <c r="B31" s="8" t="s">
        <v>2083</v>
      </c>
      <c r="C31" s="8" t="s">
        <v>2098</v>
      </c>
      <c r="D31" s="8">
        <v>2</v>
      </c>
    </row>
    <row r="32" spans="1:4" x14ac:dyDescent="0.25">
      <c r="A32" s="8" t="s">
        <v>196</v>
      </c>
      <c r="B32" s="8" t="s">
        <v>2083</v>
      </c>
      <c r="C32" s="8" t="s">
        <v>2082</v>
      </c>
      <c r="D32" s="8">
        <v>1</v>
      </c>
    </row>
    <row r="33" spans="1:4" x14ac:dyDescent="0.25">
      <c r="A33" s="8" t="s">
        <v>197</v>
      </c>
      <c r="B33" s="8" t="s">
        <v>2083</v>
      </c>
      <c r="C33" s="8" t="s">
        <v>2099</v>
      </c>
      <c r="D33" s="8">
        <v>2</v>
      </c>
    </row>
    <row r="34" spans="1:4" x14ac:dyDescent="0.25">
      <c r="A34" s="8" t="s">
        <v>222</v>
      </c>
      <c r="B34" s="8" t="s">
        <v>2083</v>
      </c>
      <c r="C34" s="8" t="s">
        <v>2082</v>
      </c>
      <c r="D34" s="8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workbookViewId="0">
      <selection sqref="A1:AC153"/>
    </sheetView>
  </sheetViews>
  <sheetFormatPr defaultRowHeight="15" x14ac:dyDescent="0.25"/>
  <cols>
    <col min="1" max="1" width="18.140625" bestFit="1" customWidth="1"/>
    <col min="2" max="2" width="13.85546875" customWidth="1"/>
    <col min="3" max="3" width="11.7109375" customWidth="1"/>
    <col min="5" max="5" width="11.7109375" customWidth="1"/>
    <col min="8" max="10" width="11.7109375" customWidth="1"/>
    <col min="16" max="28" width="10.140625" customWidth="1"/>
    <col min="29" max="29" width="13.85546875" customWidth="1"/>
  </cols>
  <sheetData>
    <row r="1" spans="1:29" x14ac:dyDescent="0.25">
      <c r="A1" t="s">
        <v>0</v>
      </c>
      <c r="B1" s="19" t="s">
        <v>344</v>
      </c>
      <c r="C1" s="19" t="s">
        <v>1742</v>
      </c>
      <c r="D1" s="19" t="s">
        <v>767</v>
      </c>
      <c r="E1" s="19" t="s">
        <v>1745</v>
      </c>
      <c r="F1" s="19" t="s">
        <v>342</v>
      </c>
      <c r="G1" s="19" t="s">
        <v>568</v>
      </c>
      <c r="H1" s="19" t="s">
        <v>1746</v>
      </c>
      <c r="I1" s="19" t="s">
        <v>1747</v>
      </c>
      <c r="J1" s="19" t="s">
        <v>1748</v>
      </c>
      <c r="K1" s="19" t="s">
        <v>861</v>
      </c>
      <c r="L1" s="19" t="s">
        <v>343</v>
      </c>
      <c r="M1" s="19" t="s">
        <v>418</v>
      </c>
      <c r="N1" s="19" t="s">
        <v>419</v>
      </c>
      <c r="O1" s="19" t="s">
        <v>420</v>
      </c>
      <c r="P1" s="19" t="s">
        <v>421</v>
      </c>
      <c r="Q1" s="19" t="s">
        <v>875</v>
      </c>
      <c r="R1" s="19" t="s">
        <v>589</v>
      </c>
      <c r="S1" s="19" t="s">
        <v>604</v>
      </c>
      <c r="T1" s="19" t="s">
        <v>625</v>
      </c>
      <c r="U1" s="19" t="s">
        <v>788</v>
      </c>
      <c r="V1" s="19" t="s">
        <v>690</v>
      </c>
      <c r="W1" s="19" t="s">
        <v>691</v>
      </c>
      <c r="X1" s="19" t="s">
        <v>692</v>
      </c>
      <c r="Y1" s="19" t="s">
        <v>693</v>
      </c>
      <c r="Z1" s="19" t="s">
        <v>701</v>
      </c>
      <c r="AA1" s="19" t="s">
        <v>694</v>
      </c>
      <c r="AB1" s="19" t="s">
        <v>1039</v>
      </c>
      <c r="AC1" s="19" t="s">
        <v>801</v>
      </c>
    </row>
    <row r="2" spans="1:29" x14ac:dyDescent="0.25">
      <c r="A2" t="s">
        <v>6</v>
      </c>
      <c r="B2" s="9">
        <v>180</v>
      </c>
      <c r="C2" s="9"/>
      <c r="D2" s="9"/>
      <c r="E2" s="9"/>
      <c r="F2" s="9">
        <v>61</v>
      </c>
      <c r="G2" s="9"/>
      <c r="H2" s="9"/>
      <c r="I2" s="9"/>
      <c r="J2" s="9"/>
      <c r="K2" s="9"/>
      <c r="L2" s="9" t="s">
        <v>346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25">
      <c r="A3" t="s">
        <v>11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t="s">
        <v>12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25">
      <c r="A5" t="s">
        <v>16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25">
      <c r="A6" t="s">
        <v>18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25">
      <c r="A7" t="s">
        <v>20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25">
      <c r="A8" t="s">
        <v>22</v>
      </c>
      <c r="B8" s="9">
        <v>25</v>
      </c>
      <c r="C8" s="9"/>
      <c r="D8" s="9"/>
      <c r="E8" s="9"/>
      <c r="F8" s="9"/>
      <c r="G8" s="9"/>
      <c r="H8" s="9"/>
      <c r="I8" s="9"/>
      <c r="J8" s="9"/>
      <c r="K8" s="9"/>
      <c r="L8" s="9"/>
      <c r="M8" s="9">
        <v>43</v>
      </c>
      <c r="N8" s="9">
        <v>37</v>
      </c>
      <c r="O8" s="9">
        <v>25</v>
      </c>
      <c r="P8" s="9">
        <v>26</v>
      </c>
      <c r="Q8" s="9"/>
      <c r="R8" s="9"/>
      <c r="S8" s="9"/>
      <c r="T8" s="9"/>
      <c r="U8" s="9"/>
      <c r="V8" s="9">
        <v>29</v>
      </c>
      <c r="W8" s="9">
        <v>26</v>
      </c>
      <c r="X8" s="9">
        <v>23</v>
      </c>
      <c r="Y8" s="9">
        <v>23</v>
      </c>
      <c r="Z8" s="9"/>
      <c r="AA8" s="9">
        <v>23</v>
      </c>
      <c r="AB8" s="9"/>
      <c r="AC8" s="9"/>
    </row>
    <row r="9" spans="1:29" x14ac:dyDescent="0.25">
      <c r="A9" t="s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25">
      <c r="A10" t="s">
        <v>26</v>
      </c>
      <c r="B10" s="9">
        <v>31</v>
      </c>
      <c r="C10" s="9"/>
      <c r="D10" s="9"/>
      <c r="E10" s="9"/>
      <c r="F10" s="9">
        <v>36</v>
      </c>
      <c r="G10" s="9"/>
      <c r="H10" s="9"/>
      <c r="I10" s="9"/>
      <c r="J10" s="9"/>
      <c r="K10" s="9"/>
      <c r="L10" s="9"/>
      <c r="M10" s="9">
        <v>30.9</v>
      </c>
      <c r="N10" s="9">
        <v>47.8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>
        <v>28</v>
      </c>
      <c r="AA10" s="9"/>
      <c r="AB10" s="9"/>
      <c r="AC10" s="9"/>
    </row>
    <row r="11" spans="1:29" x14ac:dyDescent="0.25">
      <c r="A11" t="s">
        <v>28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25">
      <c r="A12" t="s">
        <v>30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25">
      <c r="A13" t="s">
        <v>32</v>
      </c>
      <c r="B13" s="9" t="s">
        <v>503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25">
      <c r="A14" t="s">
        <v>34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25">
      <c r="A15" t="s">
        <v>36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25">
      <c r="A16" t="s">
        <v>37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25">
      <c r="A17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25">
      <c r="A18" t="s">
        <v>42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x14ac:dyDescent="0.25">
      <c r="A19" t="s">
        <v>43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25">
      <c r="A20" t="s">
        <v>44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25">
      <c r="A21" t="s">
        <v>46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25">
      <c r="A22" t="s">
        <v>48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25">
      <c r="A23" t="s">
        <v>50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25">
      <c r="A24" t="s">
        <v>52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25">
      <c r="A25" t="s">
        <v>53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x14ac:dyDescent="0.25">
      <c r="A26" t="s">
        <v>55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x14ac:dyDescent="0.25">
      <c r="A27" t="s">
        <v>57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25">
      <c r="A28" t="s">
        <v>59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25">
      <c r="A29" t="s">
        <v>60</v>
      </c>
      <c r="B29" s="9">
        <v>31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x14ac:dyDescent="0.25">
      <c r="A30" t="s">
        <v>62</v>
      </c>
      <c r="B30" s="9" t="s">
        <v>1741</v>
      </c>
      <c r="C30" s="9" t="s">
        <v>346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x14ac:dyDescent="0.25">
      <c r="A31" t="s">
        <v>64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x14ac:dyDescent="0.25">
      <c r="A32" t="s">
        <v>65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25">
      <c r="A33" t="s">
        <v>66</v>
      </c>
      <c r="B33" s="9">
        <v>28</v>
      </c>
      <c r="C33" s="9"/>
      <c r="D33" s="9"/>
      <c r="E33" s="9"/>
      <c r="F33" s="9">
        <v>26</v>
      </c>
      <c r="G33" s="9">
        <v>27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>
        <v>36</v>
      </c>
      <c r="S33" s="9">
        <v>27</v>
      </c>
      <c r="T33" s="9">
        <v>24</v>
      </c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25">
      <c r="A34" t="s">
        <v>68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25">
      <c r="A35" t="s">
        <v>69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25">
      <c r="A36" t="s">
        <v>71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25">
      <c r="A37" t="s">
        <v>73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25">
      <c r="A38" t="s">
        <v>74</v>
      </c>
      <c r="B38" s="9" t="s">
        <v>635</v>
      </c>
      <c r="C38" s="9"/>
      <c r="D38" s="9"/>
      <c r="E38" s="9"/>
      <c r="F38" s="9">
        <v>32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25">
      <c r="A39" t="s">
        <v>76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25">
      <c r="A40" t="s">
        <v>78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25">
      <c r="A41" t="s">
        <v>80</v>
      </c>
      <c r="B41" s="9">
        <v>32.799999999999997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25">
      <c r="A42" t="s">
        <v>82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25">
      <c r="A43" t="s">
        <v>84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25">
      <c r="A44" t="s">
        <v>85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25">
      <c r="A45" t="s">
        <v>87</v>
      </c>
      <c r="B45" s="9"/>
      <c r="C45" s="9"/>
      <c r="D45" s="9">
        <v>44.5</v>
      </c>
      <c r="E45" s="9"/>
      <c r="F45" s="9"/>
      <c r="G45" s="9"/>
      <c r="H45" s="9"/>
      <c r="I45" s="9"/>
      <c r="J45" s="9"/>
      <c r="K45" s="9"/>
      <c r="L45" s="9">
        <v>42.3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25">
      <c r="A46" t="s">
        <v>89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25">
      <c r="A47" t="s">
        <v>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25">
      <c r="A48" t="s">
        <v>92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25">
      <c r="A49" t="s">
        <v>93</v>
      </c>
      <c r="B49" s="9" t="s">
        <v>787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v>21</v>
      </c>
      <c r="V49" s="9"/>
      <c r="W49" s="9"/>
      <c r="X49" s="9"/>
      <c r="Y49" s="9"/>
      <c r="Z49" s="9"/>
      <c r="AA49" s="9"/>
      <c r="AB49" s="9"/>
      <c r="AC49" s="9"/>
    </row>
    <row r="50" spans="1:29" x14ac:dyDescent="0.25">
      <c r="A50" t="s">
        <v>95</v>
      </c>
      <c r="B50" s="9">
        <v>25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>
        <v>22</v>
      </c>
    </row>
    <row r="51" spans="1:29" x14ac:dyDescent="0.25">
      <c r="A51" t="s">
        <v>97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25">
      <c r="A52" t="s">
        <v>99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25">
      <c r="A53" t="s">
        <v>100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25">
      <c r="A54" t="s">
        <v>101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25">
      <c r="A55" t="s">
        <v>102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25">
      <c r="A56" t="s">
        <v>103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25">
      <c r="A57" t="s">
        <v>105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25">
      <c r="A58" t="s">
        <v>106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25">
      <c r="A59" t="s">
        <v>107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25">
      <c r="A60" t="s">
        <v>108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25">
      <c r="A61" t="s">
        <v>109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25">
      <c r="A62" t="s">
        <v>110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25">
      <c r="A63" t="s">
        <v>111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25">
      <c r="A64" t="s">
        <v>112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25">
      <c r="A65" t="s">
        <v>113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25">
      <c r="A66" t="s">
        <v>115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25">
      <c r="A67" t="s">
        <v>116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x14ac:dyDescent="0.25">
      <c r="A68" t="s">
        <v>117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x14ac:dyDescent="0.25">
      <c r="A69" t="s">
        <v>119</v>
      </c>
      <c r="B69" s="9">
        <v>29.06</v>
      </c>
      <c r="C69" s="9"/>
      <c r="D69" s="9"/>
      <c r="E69" s="9"/>
      <c r="F69" s="9">
        <v>28.35</v>
      </c>
      <c r="G69" s="9"/>
      <c r="H69" s="9"/>
      <c r="I69" s="9"/>
      <c r="J69" s="9"/>
      <c r="K69" s="9"/>
      <c r="L69" s="9"/>
      <c r="M69" s="9">
        <v>27.84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25">
      <c r="A70" t="s">
        <v>120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25">
      <c r="A71" t="s">
        <v>122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25">
      <c r="A72" t="s">
        <v>123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25">
      <c r="A73" t="s">
        <v>125</v>
      </c>
      <c r="B73" s="9">
        <v>27.1</v>
      </c>
      <c r="C73" s="9"/>
      <c r="D73" s="9">
        <v>30.9</v>
      </c>
      <c r="E73" s="9"/>
      <c r="F73" s="9"/>
      <c r="G73" s="9">
        <v>36.200000000000003</v>
      </c>
      <c r="H73" s="9"/>
      <c r="I73" s="9"/>
      <c r="J73" s="9"/>
      <c r="K73" s="9">
        <v>29.7</v>
      </c>
      <c r="L73" s="9">
        <v>30.5</v>
      </c>
      <c r="M73" s="9"/>
      <c r="N73" s="9">
        <v>29.1</v>
      </c>
      <c r="O73" s="9">
        <v>28.6</v>
      </c>
      <c r="P73" s="9"/>
      <c r="Q73" s="9">
        <v>28.3</v>
      </c>
      <c r="R73" s="9"/>
      <c r="S73" s="9"/>
      <c r="T73" s="9">
        <v>27.5</v>
      </c>
      <c r="U73" s="9">
        <v>27.5</v>
      </c>
      <c r="V73" s="9"/>
      <c r="W73" s="9"/>
      <c r="X73" s="9"/>
      <c r="Y73" s="9"/>
      <c r="Z73" s="9"/>
      <c r="AA73" s="9"/>
      <c r="AB73" s="9"/>
      <c r="AC73" s="9"/>
    </row>
    <row r="74" spans="1:29" x14ac:dyDescent="0.25">
      <c r="A74" t="s">
        <v>126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25">
      <c r="A75" t="s">
        <v>127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25">
      <c r="A76" t="s">
        <v>128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x14ac:dyDescent="0.25">
      <c r="A77" t="s">
        <v>131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25">
      <c r="A78" t="s">
        <v>133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25">
      <c r="A79" t="s">
        <v>134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25">
      <c r="A80" t="s">
        <v>136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25">
      <c r="A81" t="s">
        <v>138</v>
      </c>
      <c r="B81" s="9">
        <v>34.1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x14ac:dyDescent="0.25">
      <c r="A82" t="s">
        <v>140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25">
      <c r="A83" t="s">
        <v>142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25">
      <c r="A84" t="s">
        <v>143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x14ac:dyDescent="0.25">
      <c r="A85" t="s">
        <v>144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x14ac:dyDescent="0.25">
      <c r="A86" t="s">
        <v>145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x14ac:dyDescent="0.25">
      <c r="A87" t="s">
        <v>146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x14ac:dyDescent="0.25">
      <c r="A88" t="s">
        <v>147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25">
      <c r="A89" t="s">
        <v>148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25">
      <c r="A90" t="s">
        <v>149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25">
      <c r="A91" t="s">
        <v>150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25">
      <c r="A92" t="s">
        <v>151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25">
      <c r="A93" t="s">
        <v>321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25">
      <c r="A94" t="s">
        <v>152</v>
      </c>
      <c r="B94" s="9" t="s">
        <v>1744</v>
      </c>
      <c r="C94" s="9" t="s">
        <v>1743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25">
      <c r="A95" t="s">
        <v>153</v>
      </c>
      <c r="B95" s="9">
        <v>30</v>
      </c>
      <c r="C95" s="9"/>
      <c r="D95" s="9">
        <v>37</v>
      </c>
      <c r="E95" s="9">
        <v>36</v>
      </c>
      <c r="F95" s="9">
        <v>63</v>
      </c>
      <c r="G95" s="9">
        <v>137</v>
      </c>
      <c r="H95" s="9">
        <v>82</v>
      </c>
      <c r="I95" s="9">
        <v>72</v>
      </c>
      <c r="J95" s="9">
        <v>68</v>
      </c>
      <c r="K95" s="9">
        <v>85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25">
      <c r="A96" t="s">
        <v>155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25">
      <c r="A97" t="s">
        <v>157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25">
      <c r="A98" t="s">
        <v>158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25">
      <c r="A99" t="s">
        <v>160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25">
      <c r="A100" t="s">
        <v>162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25">
      <c r="A101" t="s">
        <v>163</v>
      </c>
      <c r="B101" s="9">
        <v>43.3</v>
      </c>
      <c r="C101" s="9"/>
      <c r="D101" s="9">
        <v>32.200000000000003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25">
      <c r="A102" t="s">
        <v>164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25">
      <c r="A103" t="s">
        <v>165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25">
      <c r="A104" t="s">
        <v>166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25">
      <c r="A105" t="s">
        <v>167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x14ac:dyDescent="0.25">
      <c r="A106" t="s">
        <v>169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25">
      <c r="A107" t="s">
        <v>170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25">
      <c r="A108" t="s">
        <v>172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25">
      <c r="A109" t="s">
        <v>173</v>
      </c>
      <c r="B109" s="9"/>
      <c r="C109" s="9"/>
      <c r="D109" s="9">
        <v>28</v>
      </c>
      <c r="E109" s="9">
        <v>32</v>
      </c>
      <c r="F109" s="9">
        <v>35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x14ac:dyDescent="0.25">
      <c r="A110" t="s">
        <v>175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x14ac:dyDescent="0.25">
      <c r="A111" t="s">
        <v>176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25">
      <c r="A112" t="s">
        <v>177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25">
      <c r="A113" t="s">
        <v>178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25">
      <c r="A114" t="s">
        <v>179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25">
      <c r="A115" t="s">
        <v>182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25">
      <c r="A116" t="s">
        <v>183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25">
      <c r="A117" t="s">
        <v>185</v>
      </c>
      <c r="B117" s="9" t="s">
        <v>1020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x14ac:dyDescent="0.25">
      <c r="A118" t="s">
        <v>187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x14ac:dyDescent="0.25">
      <c r="A119" t="s">
        <v>189</v>
      </c>
      <c r="B119" s="9"/>
      <c r="C119" s="9"/>
      <c r="D119" s="9"/>
      <c r="E119" s="9"/>
      <c r="F119" s="9">
        <v>35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25">
      <c r="A120" t="s">
        <v>191</v>
      </c>
      <c r="B120" s="9">
        <v>31</v>
      </c>
      <c r="C120" s="9"/>
      <c r="D120" s="9"/>
      <c r="E120" s="9"/>
      <c r="F120" s="9">
        <v>40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25">
      <c r="A121" t="s">
        <v>192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25">
      <c r="A122" t="s">
        <v>194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25">
      <c r="A123" t="s">
        <v>196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25">
      <c r="A124" t="s">
        <v>197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>
        <v>30</v>
      </c>
      <c r="AA124" s="9"/>
      <c r="AB124" s="9">
        <v>62</v>
      </c>
      <c r="AC124" s="9"/>
    </row>
    <row r="125" spans="1:29" x14ac:dyDescent="0.25">
      <c r="A125" t="s">
        <v>199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25">
      <c r="A126" t="s">
        <v>200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x14ac:dyDescent="0.25">
      <c r="A127" t="s">
        <v>201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25">
      <c r="A128" t="s">
        <v>202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25">
      <c r="A129" t="s">
        <v>294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x14ac:dyDescent="0.25">
      <c r="A130" t="s">
        <v>207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25">
      <c r="A131" t="s">
        <v>208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25">
      <c r="A132" t="s">
        <v>1589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25">
      <c r="A133" t="s">
        <v>209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25">
      <c r="A134" t="s">
        <v>211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25">
      <c r="A135" t="s">
        <v>212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25">
      <c r="A136" t="s">
        <v>214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25">
      <c r="A137" t="s">
        <v>216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25">
      <c r="A138" t="s">
        <v>218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25">
      <c r="A139" t="s">
        <v>220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25">
      <c r="A140" t="s">
        <v>222</v>
      </c>
      <c r="B140" s="9" t="s">
        <v>1065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25">
      <c r="A141" t="s">
        <v>224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25">
      <c r="A142" t="s">
        <v>225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25">
      <c r="A143" t="s">
        <v>227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25">
      <c r="A144" t="s">
        <v>229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x14ac:dyDescent="0.25">
      <c r="A145" t="s">
        <v>231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x14ac:dyDescent="0.25">
      <c r="A146" t="s">
        <v>232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25">
      <c r="A147" t="s">
        <v>234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25">
      <c r="A148" t="s">
        <v>236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x14ac:dyDescent="0.25">
      <c r="A149" t="s">
        <v>1322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x14ac:dyDescent="0.25">
      <c r="A150" t="s">
        <v>1323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x14ac:dyDescent="0.25">
      <c r="A151" t="s">
        <v>1324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25">
      <c r="A152" t="s">
        <v>1325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25">
      <c r="A153" t="s">
        <v>1326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5"/>
  <sheetViews>
    <sheetView workbookViewId="0">
      <selection sqref="A1:D1"/>
    </sheetView>
  </sheetViews>
  <sheetFormatPr defaultRowHeight="15" x14ac:dyDescent="0.25"/>
  <cols>
    <col min="1" max="1" width="18.140625" bestFit="1" customWidth="1"/>
    <col min="2" max="2" width="6.42578125" bestFit="1" customWidth="1"/>
    <col min="3" max="3" width="73.85546875" bestFit="1" customWidth="1"/>
    <col min="4" max="4" width="27.42578125" bestFit="1" customWidth="1"/>
  </cols>
  <sheetData>
    <row r="1" spans="1:4" x14ac:dyDescent="0.25">
      <c r="A1" s="29" t="s">
        <v>0</v>
      </c>
      <c r="B1" s="29" t="s">
        <v>2100</v>
      </c>
      <c r="C1" s="29" t="s">
        <v>2081</v>
      </c>
      <c r="D1" s="29" t="s">
        <v>2101</v>
      </c>
    </row>
    <row r="2" spans="1:4" x14ac:dyDescent="0.25">
      <c r="A2" s="8" t="s">
        <v>6</v>
      </c>
      <c r="B2" s="8" t="s">
        <v>2100</v>
      </c>
      <c r="C2" s="8" t="s">
        <v>2102</v>
      </c>
      <c r="D2" s="8">
        <v>3</v>
      </c>
    </row>
    <row r="3" spans="1:4" x14ac:dyDescent="0.25">
      <c r="A3" s="8" t="s">
        <v>22</v>
      </c>
      <c r="B3" s="8" t="s">
        <v>2100</v>
      </c>
      <c r="C3" s="8" t="s">
        <v>2103</v>
      </c>
      <c r="D3" s="8">
        <v>10</v>
      </c>
    </row>
    <row r="4" spans="1:4" x14ac:dyDescent="0.25">
      <c r="A4" s="8" t="s">
        <v>26</v>
      </c>
      <c r="B4" s="8" t="s">
        <v>2100</v>
      </c>
      <c r="C4" s="8" t="s">
        <v>2104</v>
      </c>
      <c r="D4" s="8">
        <v>5</v>
      </c>
    </row>
    <row r="5" spans="1:4" x14ac:dyDescent="0.25">
      <c r="A5" s="8" t="s">
        <v>32</v>
      </c>
      <c r="B5" s="8" t="s">
        <v>2100</v>
      </c>
      <c r="C5" s="8" t="s">
        <v>344</v>
      </c>
      <c r="D5" s="8">
        <v>1</v>
      </c>
    </row>
    <row r="6" spans="1:4" x14ac:dyDescent="0.25">
      <c r="A6" s="8" t="s">
        <v>60</v>
      </c>
      <c r="B6" s="8" t="s">
        <v>2100</v>
      </c>
      <c r="C6" s="8" t="s">
        <v>344</v>
      </c>
      <c r="D6" s="8">
        <v>1</v>
      </c>
    </row>
    <row r="7" spans="1:4" x14ac:dyDescent="0.25">
      <c r="A7" s="8" t="s">
        <v>62</v>
      </c>
      <c r="B7" s="8" t="s">
        <v>2100</v>
      </c>
      <c r="C7" s="8" t="s">
        <v>2105</v>
      </c>
      <c r="D7" s="8">
        <v>2</v>
      </c>
    </row>
    <row r="8" spans="1:4" x14ac:dyDescent="0.25">
      <c r="A8" s="8" t="s">
        <v>66</v>
      </c>
      <c r="B8" s="8" t="s">
        <v>2100</v>
      </c>
      <c r="C8" s="8" t="s">
        <v>2106</v>
      </c>
      <c r="D8" s="8">
        <v>6</v>
      </c>
    </row>
    <row r="9" spans="1:4" x14ac:dyDescent="0.25">
      <c r="A9" s="8" t="s">
        <v>74</v>
      </c>
      <c r="B9" s="8" t="s">
        <v>2100</v>
      </c>
      <c r="C9" s="8" t="s">
        <v>2107</v>
      </c>
      <c r="D9" s="8">
        <v>2</v>
      </c>
    </row>
    <row r="10" spans="1:4" x14ac:dyDescent="0.25">
      <c r="A10" s="8" t="s">
        <v>80</v>
      </c>
      <c r="B10" s="8" t="s">
        <v>2100</v>
      </c>
      <c r="C10" s="8" t="s">
        <v>344</v>
      </c>
      <c r="D10" s="8">
        <v>1</v>
      </c>
    </row>
    <row r="11" spans="1:4" x14ac:dyDescent="0.25">
      <c r="A11" s="8" t="s">
        <v>87</v>
      </c>
      <c r="B11" s="8" t="s">
        <v>2100</v>
      </c>
      <c r="C11" s="8" t="s">
        <v>2108</v>
      </c>
      <c r="D11" s="8">
        <v>2</v>
      </c>
    </row>
    <row r="12" spans="1:4" x14ac:dyDescent="0.25">
      <c r="A12" s="8" t="s">
        <v>93</v>
      </c>
      <c r="B12" s="8" t="s">
        <v>2100</v>
      </c>
      <c r="C12" s="8" t="s">
        <v>2109</v>
      </c>
      <c r="D12" s="8">
        <v>2</v>
      </c>
    </row>
    <row r="13" spans="1:4" x14ac:dyDescent="0.25">
      <c r="A13" s="8" t="s">
        <v>95</v>
      </c>
      <c r="B13" s="8" t="s">
        <v>2100</v>
      </c>
      <c r="C13" s="8" t="s">
        <v>2110</v>
      </c>
      <c r="D13" s="8">
        <v>2</v>
      </c>
    </row>
    <row r="14" spans="1:4" x14ac:dyDescent="0.25">
      <c r="A14" s="8" t="s">
        <v>119</v>
      </c>
      <c r="B14" s="8" t="s">
        <v>2100</v>
      </c>
      <c r="C14" s="8" t="s">
        <v>2111</v>
      </c>
      <c r="D14" s="8">
        <v>3</v>
      </c>
    </row>
    <row r="15" spans="1:4" x14ac:dyDescent="0.25">
      <c r="A15" s="8" t="s">
        <v>125</v>
      </c>
      <c r="B15" s="8" t="s">
        <v>2100</v>
      </c>
      <c r="C15" s="8" t="s">
        <v>2112</v>
      </c>
      <c r="D15" s="8">
        <v>10</v>
      </c>
    </row>
    <row r="16" spans="1:4" x14ac:dyDescent="0.25">
      <c r="A16" s="8" t="s">
        <v>138</v>
      </c>
      <c r="B16" s="8" t="s">
        <v>2100</v>
      </c>
      <c r="C16" s="8" t="s">
        <v>344</v>
      </c>
      <c r="D16" s="8">
        <v>1</v>
      </c>
    </row>
    <row r="17" spans="1:4" x14ac:dyDescent="0.25">
      <c r="A17" s="8" t="s">
        <v>152</v>
      </c>
      <c r="B17" s="8" t="s">
        <v>2100</v>
      </c>
      <c r="C17" s="8" t="s">
        <v>2105</v>
      </c>
      <c r="D17" s="8">
        <v>2</v>
      </c>
    </row>
    <row r="18" spans="1:4" x14ac:dyDescent="0.25">
      <c r="A18" s="8" t="s">
        <v>153</v>
      </c>
      <c r="B18" s="8" t="s">
        <v>2100</v>
      </c>
      <c r="C18" s="8" t="s">
        <v>2113</v>
      </c>
      <c r="D18" s="8">
        <v>9</v>
      </c>
    </row>
    <row r="19" spans="1:4" x14ac:dyDescent="0.25">
      <c r="A19" s="8" t="s">
        <v>163</v>
      </c>
      <c r="B19" s="8" t="s">
        <v>2100</v>
      </c>
      <c r="C19" s="8" t="s">
        <v>2114</v>
      </c>
      <c r="D19" s="8">
        <v>2</v>
      </c>
    </row>
    <row r="20" spans="1:4" x14ac:dyDescent="0.25">
      <c r="A20" s="8" t="s">
        <v>173</v>
      </c>
      <c r="B20" s="8" t="s">
        <v>2100</v>
      </c>
      <c r="C20" s="8" t="s">
        <v>2115</v>
      </c>
      <c r="D20" s="8">
        <v>3</v>
      </c>
    </row>
    <row r="21" spans="1:4" x14ac:dyDescent="0.25">
      <c r="A21" s="8" t="s">
        <v>185</v>
      </c>
      <c r="B21" s="8" t="s">
        <v>2100</v>
      </c>
      <c r="C21" s="8" t="s">
        <v>344</v>
      </c>
      <c r="D21" s="8">
        <v>1</v>
      </c>
    </row>
    <row r="22" spans="1:4" x14ac:dyDescent="0.25">
      <c r="A22" s="8" t="s">
        <v>189</v>
      </c>
      <c r="B22" s="8" t="s">
        <v>2100</v>
      </c>
      <c r="C22" s="8" t="s">
        <v>342</v>
      </c>
      <c r="D22" s="8">
        <v>1</v>
      </c>
    </row>
    <row r="23" spans="1:4" x14ac:dyDescent="0.25">
      <c r="A23" s="8" t="s">
        <v>191</v>
      </c>
      <c r="B23" s="8" t="s">
        <v>2100</v>
      </c>
      <c r="C23" s="8" t="s">
        <v>2107</v>
      </c>
      <c r="D23" s="8">
        <v>2</v>
      </c>
    </row>
    <row r="24" spans="1:4" x14ac:dyDescent="0.25">
      <c r="A24" s="8" t="s">
        <v>197</v>
      </c>
      <c r="B24" s="8" t="s">
        <v>2100</v>
      </c>
      <c r="C24" s="8" t="s">
        <v>2116</v>
      </c>
      <c r="D24" s="8">
        <v>2</v>
      </c>
    </row>
    <row r="25" spans="1:4" x14ac:dyDescent="0.25">
      <c r="A25" s="8" t="s">
        <v>222</v>
      </c>
      <c r="B25" s="8" t="s">
        <v>2100</v>
      </c>
      <c r="C25" s="8" t="s">
        <v>344</v>
      </c>
      <c r="D25" s="8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"/>
  <sheetViews>
    <sheetView workbookViewId="0">
      <selection activeCell="D15" sqref="D15"/>
    </sheetView>
  </sheetViews>
  <sheetFormatPr defaultRowHeight="15" x14ac:dyDescent="0.25"/>
  <cols>
    <col min="1" max="1" width="18.140625" bestFit="1" customWidth="1"/>
    <col min="3" max="3" width="22.28515625" customWidth="1"/>
    <col min="4" max="6" width="15.5703125" customWidth="1"/>
    <col min="7" max="8" width="18.140625" customWidth="1"/>
    <col min="9" max="11" width="15.5703125" customWidth="1"/>
    <col min="12" max="14" width="16.5703125" customWidth="1"/>
  </cols>
  <sheetData>
    <row r="1" spans="1:14" x14ac:dyDescent="0.25">
      <c r="A1" t="s">
        <v>0</v>
      </c>
      <c r="B1" t="s">
        <v>347</v>
      </c>
      <c r="C1" t="s">
        <v>2119</v>
      </c>
      <c r="D1" t="s">
        <v>768</v>
      </c>
      <c r="E1" t="s">
        <v>569</v>
      </c>
      <c r="F1" t="s">
        <v>570</v>
      </c>
      <c r="G1" t="s">
        <v>1749</v>
      </c>
      <c r="H1" t="s">
        <v>1750</v>
      </c>
      <c r="I1" t="s">
        <v>905</v>
      </c>
      <c r="J1" t="s">
        <v>710</v>
      </c>
      <c r="K1" t="s">
        <v>484</v>
      </c>
      <c r="L1" t="s">
        <v>592</v>
      </c>
      <c r="M1" t="s">
        <v>605</v>
      </c>
      <c r="N1" t="s">
        <v>624</v>
      </c>
    </row>
    <row r="2" spans="1:14" x14ac:dyDescent="0.25">
      <c r="A2" t="s">
        <v>6</v>
      </c>
      <c r="B2" t="s">
        <v>335</v>
      </c>
    </row>
    <row r="3" spans="1:14" x14ac:dyDescent="0.25">
      <c r="A3" t="s">
        <v>11</v>
      </c>
    </row>
    <row r="4" spans="1:14" x14ac:dyDescent="0.25">
      <c r="A4" t="s">
        <v>12</v>
      </c>
    </row>
    <row r="5" spans="1:14" x14ac:dyDescent="0.25">
      <c r="A5" t="s">
        <v>16</v>
      </c>
    </row>
    <row r="6" spans="1:14" x14ac:dyDescent="0.25">
      <c r="A6" t="s">
        <v>18</v>
      </c>
    </row>
    <row r="7" spans="1:14" x14ac:dyDescent="0.25">
      <c r="A7" t="s">
        <v>20</v>
      </c>
    </row>
    <row r="8" spans="1:14" x14ac:dyDescent="0.25">
      <c r="A8" t="s">
        <v>22</v>
      </c>
    </row>
    <row r="9" spans="1:14" x14ac:dyDescent="0.25">
      <c r="A9" t="s">
        <v>24</v>
      </c>
    </row>
    <row r="10" spans="1:14" x14ac:dyDescent="0.25">
      <c r="A10" t="s">
        <v>26</v>
      </c>
      <c r="J10">
        <v>240</v>
      </c>
      <c r="K10">
        <v>250</v>
      </c>
    </row>
    <row r="11" spans="1:14" x14ac:dyDescent="0.25">
      <c r="A11" t="s">
        <v>28</v>
      </c>
    </row>
    <row r="12" spans="1:14" x14ac:dyDescent="0.25">
      <c r="A12" t="s">
        <v>30</v>
      </c>
    </row>
    <row r="13" spans="1:14" x14ac:dyDescent="0.25">
      <c r="A13" t="s">
        <v>32</v>
      </c>
    </row>
    <row r="14" spans="1:14" x14ac:dyDescent="0.25">
      <c r="A14" t="s">
        <v>34</v>
      </c>
    </row>
    <row r="15" spans="1:14" x14ac:dyDescent="0.25">
      <c r="A15" t="s">
        <v>36</v>
      </c>
    </row>
    <row r="16" spans="1:14" x14ac:dyDescent="0.25">
      <c r="A16" t="s">
        <v>37</v>
      </c>
    </row>
    <row r="17" spans="1:3" x14ac:dyDescent="0.25">
      <c r="A17" t="s">
        <v>40</v>
      </c>
    </row>
    <row r="18" spans="1:3" x14ac:dyDescent="0.25">
      <c r="A18" t="s">
        <v>42</v>
      </c>
    </row>
    <row r="19" spans="1:3" x14ac:dyDescent="0.25">
      <c r="A19" t="s">
        <v>43</v>
      </c>
    </row>
    <row r="20" spans="1:3" x14ac:dyDescent="0.25">
      <c r="A20" t="s">
        <v>44</v>
      </c>
    </row>
    <row r="21" spans="1:3" x14ac:dyDescent="0.25">
      <c r="A21" t="s">
        <v>46</v>
      </c>
    </row>
    <row r="22" spans="1:3" x14ac:dyDescent="0.25">
      <c r="A22" t="s">
        <v>48</v>
      </c>
    </row>
    <row r="23" spans="1:3" x14ac:dyDescent="0.25">
      <c r="A23" t="s">
        <v>50</v>
      </c>
    </row>
    <row r="24" spans="1:3" x14ac:dyDescent="0.25">
      <c r="A24" t="s">
        <v>52</v>
      </c>
    </row>
    <row r="25" spans="1:3" x14ac:dyDescent="0.25">
      <c r="A25" t="s">
        <v>53</v>
      </c>
    </row>
    <row r="26" spans="1:3" x14ac:dyDescent="0.25">
      <c r="A26" t="s">
        <v>55</v>
      </c>
    </row>
    <row r="27" spans="1:3" x14ac:dyDescent="0.25">
      <c r="A27" t="s">
        <v>57</v>
      </c>
    </row>
    <row r="28" spans="1:3" x14ac:dyDescent="0.25">
      <c r="A28" t="s">
        <v>59</v>
      </c>
    </row>
    <row r="29" spans="1:3" x14ac:dyDescent="0.25">
      <c r="A29" t="s">
        <v>60</v>
      </c>
      <c r="C29">
        <v>441</v>
      </c>
    </row>
    <row r="30" spans="1:3" x14ac:dyDescent="0.25">
      <c r="A30" t="s">
        <v>62</v>
      </c>
    </row>
    <row r="31" spans="1:3" x14ac:dyDescent="0.25">
      <c r="A31" t="s">
        <v>64</v>
      </c>
    </row>
    <row r="32" spans="1:3" x14ac:dyDescent="0.25">
      <c r="A32" t="s">
        <v>65</v>
      </c>
    </row>
    <row r="33" spans="1:14" x14ac:dyDescent="0.25">
      <c r="A33" t="s">
        <v>66</v>
      </c>
      <c r="C33">
        <v>493</v>
      </c>
      <c r="E33">
        <v>325</v>
      </c>
      <c r="F33">
        <v>517</v>
      </c>
      <c r="L33">
        <v>604</v>
      </c>
      <c r="M33">
        <v>547</v>
      </c>
      <c r="N33">
        <v>524</v>
      </c>
    </row>
    <row r="34" spans="1:14" x14ac:dyDescent="0.25">
      <c r="A34" t="s">
        <v>68</v>
      </c>
    </row>
    <row r="35" spans="1:14" x14ac:dyDescent="0.25">
      <c r="A35" t="s">
        <v>69</v>
      </c>
    </row>
    <row r="36" spans="1:14" x14ac:dyDescent="0.25">
      <c r="A36" t="s">
        <v>71</v>
      </c>
    </row>
    <row r="37" spans="1:14" x14ac:dyDescent="0.25">
      <c r="A37" t="s">
        <v>73</v>
      </c>
    </row>
    <row r="38" spans="1:14" x14ac:dyDescent="0.25">
      <c r="A38" t="s">
        <v>74</v>
      </c>
    </row>
    <row r="39" spans="1:14" x14ac:dyDescent="0.25">
      <c r="A39" t="s">
        <v>76</v>
      </c>
    </row>
    <row r="40" spans="1:14" x14ac:dyDescent="0.25">
      <c r="A40" t="s">
        <v>78</v>
      </c>
    </row>
    <row r="41" spans="1:14" x14ac:dyDescent="0.25">
      <c r="A41" t="s">
        <v>80</v>
      </c>
    </row>
    <row r="42" spans="1:14" x14ac:dyDescent="0.25">
      <c r="A42" t="s">
        <v>82</v>
      </c>
    </row>
    <row r="43" spans="1:14" x14ac:dyDescent="0.25">
      <c r="A43" t="s">
        <v>84</v>
      </c>
    </row>
    <row r="44" spans="1:14" x14ac:dyDescent="0.25">
      <c r="A44" t="s">
        <v>85</v>
      </c>
    </row>
    <row r="45" spans="1:14" x14ac:dyDescent="0.25">
      <c r="A45" t="s">
        <v>87</v>
      </c>
      <c r="D45">
        <v>790</v>
      </c>
    </row>
    <row r="46" spans="1:14" x14ac:dyDescent="0.25">
      <c r="A46" t="s">
        <v>89</v>
      </c>
    </row>
    <row r="47" spans="1:14" x14ac:dyDescent="0.25">
      <c r="A47" t="s">
        <v>91</v>
      </c>
    </row>
    <row r="48" spans="1:14" x14ac:dyDescent="0.25">
      <c r="A48" t="s">
        <v>92</v>
      </c>
    </row>
    <row r="49" spans="1:3" x14ac:dyDescent="0.25">
      <c r="A49" t="s">
        <v>93</v>
      </c>
    </row>
    <row r="50" spans="1:3" x14ac:dyDescent="0.25">
      <c r="A50" t="s">
        <v>95</v>
      </c>
    </row>
    <row r="51" spans="1:3" x14ac:dyDescent="0.25">
      <c r="A51" t="s">
        <v>97</v>
      </c>
    </row>
    <row r="52" spans="1:3" x14ac:dyDescent="0.25">
      <c r="A52" t="s">
        <v>99</v>
      </c>
    </row>
    <row r="53" spans="1:3" x14ac:dyDescent="0.25">
      <c r="A53" t="s">
        <v>100</v>
      </c>
    </row>
    <row r="54" spans="1:3" x14ac:dyDescent="0.25">
      <c r="A54" t="s">
        <v>101</v>
      </c>
    </row>
    <row r="55" spans="1:3" x14ac:dyDescent="0.25">
      <c r="A55" t="s">
        <v>102</v>
      </c>
    </row>
    <row r="56" spans="1:3" x14ac:dyDescent="0.25">
      <c r="A56" t="s">
        <v>103</v>
      </c>
      <c r="C56">
        <v>472</v>
      </c>
    </row>
    <row r="57" spans="1:3" x14ac:dyDescent="0.25">
      <c r="A57" t="s">
        <v>105</v>
      </c>
    </row>
    <row r="58" spans="1:3" x14ac:dyDescent="0.25">
      <c r="A58" t="s">
        <v>106</v>
      </c>
    </row>
    <row r="59" spans="1:3" x14ac:dyDescent="0.25">
      <c r="A59" t="s">
        <v>107</v>
      </c>
    </row>
    <row r="60" spans="1:3" x14ac:dyDescent="0.25">
      <c r="A60" t="s">
        <v>108</v>
      </c>
    </row>
    <row r="61" spans="1:3" x14ac:dyDescent="0.25">
      <c r="A61" t="s">
        <v>109</v>
      </c>
    </row>
    <row r="62" spans="1:3" x14ac:dyDescent="0.25">
      <c r="A62" t="s">
        <v>110</v>
      </c>
    </row>
    <row r="63" spans="1:3" x14ac:dyDescent="0.25">
      <c r="A63" t="s">
        <v>111</v>
      </c>
    </row>
    <row r="64" spans="1:3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119</v>
      </c>
    </row>
    <row r="70" spans="1:1" x14ac:dyDescent="0.25">
      <c r="A70" t="s">
        <v>120</v>
      </c>
    </row>
    <row r="71" spans="1:1" x14ac:dyDescent="0.25">
      <c r="A71" t="s">
        <v>122</v>
      </c>
    </row>
    <row r="72" spans="1:1" x14ac:dyDescent="0.25">
      <c r="A72" t="s">
        <v>123</v>
      </c>
    </row>
    <row r="73" spans="1:1" x14ac:dyDescent="0.25">
      <c r="A73" t="s">
        <v>125</v>
      </c>
    </row>
    <row r="74" spans="1:1" x14ac:dyDescent="0.25">
      <c r="A74" t="s">
        <v>126</v>
      </c>
    </row>
    <row r="75" spans="1:1" x14ac:dyDescent="0.25">
      <c r="A75" t="s">
        <v>127</v>
      </c>
    </row>
    <row r="76" spans="1:1" x14ac:dyDescent="0.25">
      <c r="A76" t="s">
        <v>128</v>
      </c>
    </row>
    <row r="77" spans="1:1" x14ac:dyDescent="0.25">
      <c r="A77" t="s">
        <v>131</v>
      </c>
    </row>
    <row r="78" spans="1:1" x14ac:dyDescent="0.25">
      <c r="A78" t="s">
        <v>133</v>
      </c>
    </row>
    <row r="79" spans="1:1" x14ac:dyDescent="0.25">
      <c r="A79" t="s">
        <v>134</v>
      </c>
    </row>
    <row r="80" spans="1:1" x14ac:dyDescent="0.25">
      <c r="A80" t="s">
        <v>136</v>
      </c>
    </row>
    <row r="81" spans="1:9" x14ac:dyDescent="0.25">
      <c r="A81" t="s">
        <v>138</v>
      </c>
      <c r="C81">
        <v>403</v>
      </c>
    </row>
    <row r="82" spans="1:9" x14ac:dyDescent="0.25">
      <c r="A82" t="s">
        <v>140</v>
      </c>
    </row>
    <row r="83" spans="1:9" x14ac:dyDescent="0.25">
      <c r="A83" t="s">
        <v>142</v>
      </c>
    </row>
    <row r="84" spans="1:9" x14ac:dyDescent="0.25">
      <c r="A84" t="s">
        <v>143</v>
      </c>
    </row>
    <row r="85" spans="1:9" x14ac:dyDescent="0.25">
      <c r="A85" t="s">
        <v>144</v>
      </c>
    </row>
    <row r="86" spans="1:9" x14ac:dyDescent="0.25">
      <c r="A86" t="s">
        <v>145</v>
      </c>
    </row>
    <row r="87" spans="1:9" x14ac:dyDescent="0.25">
      <c r="A87" t="s">
        <v>146</v>
      </c>
    </row>
    <row r="88" spans="1:9" x14ac:dyDescent="0.25">
      <c r="A88" t="s">
        <v>147</v>
      </c>
    </row>
    <row r="89" spans="1:9" x14ac:dyDescent="0.25">
      <c r="A89" t="s">
        <v>148</v>
      </c>
    </row>
    <row r="90" spans="1:9" x14ac:dyDescent="0.25">
      <c r="A90" t="s">
        <v>149</v>
      </c>
    </row>
    <row r="91" spans="1:9" x14ac:dyDescent="0.25">
      <c r="A91" t="s">
        <v>150</v>
      </c>
    </row>
    <row r="92" spans="1:9" x14ac:dyDescent="0.25">
      <c r="A92" t="s">
        <v>151</v>
      </c>
    </row>
    <row r="93" spans="1:9" x14ac:dyDescent="0.25">
      <c r="A93" t="s">
        <v>321</v>
      </c>
    </row>
    <row r="94" spans="1:9" x14ac:dyDescent="0.25">
      <c r="A94" t="s">
        <v>152</v>
      </c>
      <c r="C94">
        <v>345</v>
      </c>
    </row>
    <row r="95" spans="1:9" x14ac:dyDescent="0.25">
      <c r="A95" t="s">
        <v>153</v>
      </c>
      <c r="D95">
        <v>480</v>
      </c>
      <c r="F95">
        <v>150</v>
      </c>
      <c r="G95">
        <v>340</v>
      </c>
      <c r="H95">
        <v>220</v>
      </c>
      <c r="I95">
        <v>130</v>
      </c>
    </row>
    <row r="96" spans="1:9" x14ac:dyDescent="0.25">
      <c r="A96" t="s">
        <v>155</v>
      </c>
    </row>
    <row r="97" spans="1:3" x14ac:dyDescent="0.25">
      <c r="A97" t="s">
        <v>157</v>
      </c>
    </row>
    <row r="98" spans="1:3" x14ac:dyDescent="0.25">
      <c r="A98" t="s">
        <v>158</v>
      </c>
    </row>
    <row r="99" spans="1:3" x14ac:dyDescent="0.25">
      <c r="A99" t="s">
        <v>160</v>
      </c>
    </row>
    <row r="100" spans="1:3" x14ac:dyDescent="0.25">
      <c r="A100" t="s">
        <v>162</v>
      </c>
    </row>
    <row r="101" spans="1:3" x14ac:dyDescent="0.25">
      <c r="A101" t="s">
        <v>163</v>
      </c>
    </row>
    <row r="102" spans="1:3" x14ac:dyDescent="0.25">
      <c r="A102" t="s">
        <v>164</v>
      </c>
    </row>
    <row r="103" spans="1:3" x14ac:dyDescent="0.25">
      <c r="A103" t="s">
        <v>165</v>
      </c>
    </row>
    <row r="104" spans="1:3" x14ac:dyDescent="0.25">
      <c r="A104" t="s">
        <v>166</v>
      </c>
    </row>
    <row r="105" spans="1:3" x14ac:dyDescent="0.25">
      <c r="A105" t="s">
        <v>167</v>
      </c>
    </row>
    <row r="106" spans="1:3" x14ac:dyDescent="0.25">
      <c r="A106" t="s">
        <v>169</v>
      </c>
    </row>
    <row r="107" spans="1:3" x14ac:dyDescent="0.25">
      <c r="A107" t="s">
        <v>170</v>
      </c>
      <c r="C107">
        <v>372</v>
      </c>
    </row>
    <row r="108" spans="1:3" x14ac:dyDescent="0.25">
      <c r="A108" t="s">
        <v>172</v>
      </c>
    </row>
    <row r="109" spans="1:3" x14ac:dyDescent="0.25">
      <c r="A109" t="s">
        <v>173</v>
      </c>
    </row>
    <row r="110" spans="1:3" x14ac:dyDescent="0.25">
      <c r="A110" t="s">
        <v>175</v>
      </c>
    </row>
    <row r="111" spans="1:3" x14ac:dyDescent="0.25">
      <c r="A111" t="s">
        <v>176</v>
      </c>
    </row>
    <row r="112" spans="1:3" x14ac:dyDescent="0.25">
      <c r="A112" t="s">
        <v>177</v>
      </c>
    </row>
    <row r="113" spans="1:1" x14ac:dyDescent="0.25">
      <c r="A113" t="s">
        <v>178</v>
      </c>
    </row>
    <row r="114" spans="1:1" x14ac:dyDescent="0.25">
      <c r="A114" t="s">
        <v>179</v>
      </c>
    </row>
    <row r="115" spans="1:1" x14ac:dyDescent="0.25">
      <c r="A115" t="s">
        <v>182</v>
      </c>
    </row>
    <row r="116" spans="1:1" x14ac:dyDescent="0.25">
      <c r="A116" t="s">
        <v>183</v>
      </c>
    </row>
    <row r="117" spans="1:1" x14ac:dyDescent="0.25">
      <c r="A117" t="s">
        <v>185</v>
      </c>
    </row>
    <row r="118" spans="1:1" x14ac:dyDescent="0.25">
      <c r="A118" t="s">
        <v>187</v>
      </c>
    </row>
    <row r="119" spans="1:1" x14ac:dyDescent="0.25">
      <c r="A119" t="s">
        <v>189</v>
      </c>
    </row>
    <row r="120" spans="1:1" x14ac:dyDescent="0.25">
      <c r="A120" t="s">
        <v>191</v>
      </c>
    </row>
    <row r="121" spans="1:1" x14ac:dyDescent="0.25">
      <c r="A121" t="s">
        <v>192</v>
      </c>
    </row>
    <row r="122" spans="1:1" x14ac:dyDescent="0.25">
      <c r="A122" t="s">
        <v>194</v>
      </c>
    </row>
    <row r="123" spans="1:1" x14ac:dyDescent="0.25">
      <c r="A123" t="s">
        <v>196</v>
      </c>
    </row>
    <row r="124" spans="1:1" x14ac:dyDescent="0.25">
      <c r="A124" t="s">
        <v>197</v>
      </c>
    </row>
    <row r="125" spans="1:1" x14ac:dyDescent="0.25">
      <c r="A125" t="s">
        <v>199</v>
      </c>
    </row>
    <row r="126" spans="1:1" x14ac:dyDescent="0.25">
      <c r="A126" t="s">
        <v>200</v>
      </c>
    </row>
    <row r="127" spans="1:1" x14ac:dyDescent="0.25">
      <c r="A127" t="s">
        <v>201</v>
      </c>
    </row>
    <row r="128" spans="1:1" x14ac:dyDescent="0.25">
      <c r="A128" t="s">
        <v>202</v>
      </c>
    </row>
    <row r="129" spans="1:1" x14ac:dyDescent="0.25">
      <c r="A129" t="s">
        <v>294</v>
      </c>
    </row>
    <row r="130" spans="1:1" x14ac:dyDescent="0.25">
      <c r="A130" t="s">
        <v>207</v>
      </c>
    </row>
    <row r="131" spans="1:1" x14ac:dyDescent="0.25">
      <c r="A131" t="s">
        <v>208</v>
      </c>
    </row>
    <row r="132" spans="1:1" x14ac:dyDescent="0.25">
      <c r="A132" t="s">
        <v>1589</v>
      </c>
    </row>
    <row r="133" spans="1:1" x14ac:dyDescent="0.25">
      <c r="A133" t="s">
        <v>209</v>
      </c>
    </row>
    <row r="134" spans="1:1" x14ac:dyDescent="0.25">
      <c r="A134" t="s">
        <v>211</v>
      </c>
    </row>
    <row r="135" spans="1:1" x14ac:dyDescent="0.25">
      <c r="A135" t="s">
        <v>212</v>
      </c>
    </row>
    <row r="136" spans="1:1" x14ac:dyDescent="0.25">
      <c r="A136" t="s">
        <v>214</v>
      </c>
    </row>
    <row r="137" spans="1:1" x14ac:dyDescent="0.25">
      <c r="A137" t="s">
        <v>216</v>
      </c>
    </row>
    <row r="138" spans="1:1" x14ac:dyDescent="0.25">
      <c r="A138" t="s">
        <v>218</v>
      </c>
    </row>
    <row r="139" spans="1:1" x14ac:dyDescent="0.25">
      <c r="A139" t="s">
        <v>220</v>
      </c>
    </row>
    <row r="140" spans="1:1" x14ac:dyDescent="0.25">
      <c r="A140" t="s">
        <v>222</v>
      </c>
    </row>
    <row r="141" spans="1:1" x14ac:dyDescent="0.25">
      <c r="A141" t="s">
        <v>224</v>
      </c>
    </row>
    <row r="142" spans="1:1" x14ac:dyDescent="0.25">
      <c r="A142" t="s">
        <v>225</v>
      </c>
    </row>
    <row r="143" spans="1:1" x14ac:dyDescent="0.25">
      <c r="A143" t="s">
        <v>227</v>
      </c>
    </row>
    <row r="144" spans="1:1" x14ac:dyDescent="0.25">
      <c r="A144" t="s">
        <v>229</v>
      </c>
    </row>
    <row r="145" spans="1:1" x14ac:dyDescent="0.25">
      <c r="A145" t="s">
        <v>231</v>
      </c>
    </row>
    <row r="146" spans="1:1" x14ac:dyDescent="0.25">
      <c r="A146" t="s">
        <v>232</v>
      </c>
    </row>
    <row r="147" spans="1:1" x14ac:dyDescent="0.25">
      <c r="A147" t="s">
        <v>234</v>
      </c>
    </row>
    <row r="148" spans="1:1" x14ac:dyDescent="0.25">
      <c r="A148" t="s">
        <v>236</v>
      </c>
    </row>
    <row r="149" spans="1:1" x14ac:dyDescent="0.25">
      <c r="A149" t="s">
        <v>1322</v>
      </c>
    </row>
    <row r="150" spans="1:1" x14ac:dyDescent="0.25">
      <c r="A150" t="s">
        <v>1323</v>
      </c>
    </row>
    <row r="151" spans="1:1" x14ac:dyDescent="0.25">
      <c r="A151" t="s">
        <v>1324</v>
      </c>
    </row>
    <row r="152" spans="1:1" x14ac:dyDescent="0.25">
      <c r="A152" t="s">
        <v>1325</v>
      </c>
    </row>
    <row r="153" spans="1:1" x14ac:dyDescent="0.25">
      <c r="A153" t="s">
        <v>1326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12"/>
  <sheetViews>
    <sheetView workbookViewId="0">
      <selection sqref="A1:D1"/>
    </sheetView>
  </sheetViews>
  <sheetFormatPr defaultRowHeight="15" x14ac:dyDescent="0.25"/>
  <cols>
    <col min="1" max="1" width="14.5703125" bestFit="1" customWidth="1"/>
    <col min="2" max="2" width="12.85546875" bestFit="1" customWidth="1"/>
    <col min="3" max="3" width="88.42578125" bestFit="1" customWidth="1"/>
    <col min="4" max="4" width="30.42578125" bestFit="1" customWidth="1"/>
  </cols>
  <sheetData>
    <row r="1" spans="1:4" x14ac:dyDescent="0.25">
      <c r="A1" s="29" t="s">
        <v>0</v>
      </c>
      <c r="B1" s="29" t="s">
        <v>2120</v>
      </c>
      <c r="C1" s="29" t="s">
        <v>2081</v>
      </c>
      <c r="D1" s="29" t="s">
        <v>2118</v>
      </c>
    </row>
    <row r="2" spans="1:4" x14ac:dyDescent="0.25">
      <c r="A2" s="8" t="s">
        <v>6</v>
      </c>
      <c r="B2" s="8" t="s">
        <v>2121</v>
      </c>
      <c r="C2" s="8" t="s">
        <v>347</v>
      </c>
      <c r="D2" s="8">
        <v>1</v>
      </c>
    </row>
    <row r="3" spans="1:4" ht="30" x14ac:dyDescent="0.25">
      <c r="A3" s="8" t="s">
        <v>26</v>
      </c>
      <c r="B3" s="23" t="s">
        <v>2122</v>
      </c>
      <c r="C3" s="8" t="s">
        <v>710</v>
      </c>
      <c r="D3" s="8">
        <v>1</v>
      </c>
    </row>
    <row r="4" spans="1:4" x14ac:dyDescent="0.25">
      <c r="A4" s="8" t="s">
        <v>26</v>
      </c>
      <c r="B4" s="8" t="s">
        <v>2121</v>
      </c>
      <c r="C4" s="8" t="s">
        <v>484</v>
      </c>
      <c r="D4" s="8">
        <v>1</v>
      </c>
    </row>
    <row r="5" spans="1:4" x14ac:dyDescent="0.25">
      <c r="A5" s="8" t="s">
        <v>60</v>
      </c>
      <c r="B5" s="8" t="s">
        <v>2121</v>
      </c>
      <c r="C5" s="8" t="s">
        <v>2119</v>
      </c>
      <c r="D5" s="8">
        <v>1</v>
      </c>
    </row>
    <row r="6" spans="1:4" x14ac:dyDescent="0.25">
      <c r="A6" s="8" t="s">
        <v>66</v>
      </c>
      <c r="B6" s="8" t="s">
        <v>2121</v>
      </c>
      <c r="C6" s="8" t="s">
        <v>2123</v>
      </c>
      <c r="D6" s="8">
        <v>6</v>
      </c>
    </row>
    <row r="7" spans="1:4" x14ac:dyDescent="0.25">
      <c r="A7" s="8" t="s">
        <v>87</v>
      </c>
      <c r="B7" s="8" t="s">
        <v>2121</v>
      </c>
      <c r="C7" s="8" t="s">
        <v>768</v>
      </c>
      <c r="D7" s="8">
        <v>1</v>
      </c>
    </row>
    <row r="8" spans="1:4" x14ac:dyDescent="0.25">
      <c r="A8" s="8" t="s">
        <v>103</v>
      </c>
      <c r="B8" s="8" t="s">
        <v>2121</v>
      </c>
      <c r="C8" s="8" t="s">
        <v>2119</v>
      </c>
      <c r="D8" s="8">
        <v>1</v>
      </c>
    </row>
    <row r="9" spans="1:4" x14ac:dyDescent="0.25">
      <c r="A9" s="8" t="s">
        <v>138</v>
      </c>
      <c r="B9" s="8" t="s">
        <v>2121</v>
      </c>
      <c r="C9" s="8" t="s">
        <v>2119</v>
      </c>
      <c r="D9" s="8">
        <v>1</v>
      </c>
    </row>
    <row r="10" spans="1:4" x14ac:dyDescent="0.25">
      <c r="A10" s="8" t="s">
        <v>152</v>
      </c>
      <c r="B10" s="8" t="s">
        <v>2121</v>
      </c>
      <c r="C10" s="8" t="s">
        <v>2119</v>
      </c>
      <c r="D10" s="8">
        <v>1</v>
      </c>
    </row>
    <row r="11" spans="1:4" x14ac:dyDescent="0.25">
      <c r="A11" s="8" t="s">
        <v>153</v>
      </c>
      <c r="B11" s="8" t="s">
        <v>2121</v>
      </c>
      <c r="C11" s="8" t="s">
        <v>2124</v>
      </c>
      <c r="D11" s="8">
        <v>5</v>
      </c>
    </row>
    <row r="12" spans="1:4" x14ac:dyDescent="0.25">
      <c r="A12" s="8" t="s">
        <v>170</v>
      </c>
      <c r="B12" s="8" t="s">
        <v>2121</v>
      </c>
      <c r="C12" s="8" t="s">
        <v>2119</v>
      </c>
      <c r="D12" s="8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workbookViewId="0">
      <selection activeCell="N32" sqref="N32"/>
    </sheetView>
  </sheetViews>
  <sheetFormatPr defaultRowHeight="15" x14ac:dyDescent="0.25"/>
  <cols>
    <col min="1" max="1" width="14.42578125" customWidth="1"/>
    <col min="2" max="2" width="11" bestFit="1" customWidth="1"/>
    <col min="3" max="4" width="11.140625" bestFit="1" customWidth="1"/>
    <col min="5" max="5" width="13.140625" bestFit="1" customWidth="1"/>
    <col min="6" max="7" width="10" customWidth="1"/>
    <col min="8" max="8" width="9.42578125" customWidth="1"/>
    <col min="9" max="9" width="10" customWidth="1"/>
    <col min="10" max="10" width="10.42578125" customWidth="1"/>
    <col min="11" max="11" width="11.140625" customWidth="1"/>
    <col min="12" max="13" width="11.42578125" customWidth="1"/>
  </cols>
  <sheetData>
    <row r="1" spans="1:13" x14ac:dyDescent="0.25">
      <c r="A1" t="s">
        <v>0</v>
      </c>
      <c r="B1" t="s">
        <v>348</v>
      </c>
      <c r="C1" t="s">
        <v>2125</v>
      </c>
      <c r="D1" t="s">
        <v>2126</v>
      </c>
      <c r="E1" t="s">
        <v>1765</v>
      </c>
      <c r="F1" t="s">
        <v>769</v>
      </c>
      <c r="G1" t="s">
        <v>1024</v>
      </c>
      <c r="H1" t="s">
        <v>862</v>
      </c>
      <c r="I1" t="s">
        <v>863</v>
      </c>
      <c r="J1" t="s">
        <v>702</v>
      </c>
      <c r="K1" t="s">
        <v>717</v>
      </c>
      <c r="L1" t="s">
        <v>1040</v>
      </c>
      <c r="M1" t="s">
        <v>1041</v>
      </c>
    </row>
    <row r="2" spans="1:13" x14ac:dyDescent="0.25">
      <c r="A2" t="s">
        <v>6</v>
      </c>
    </row>
    <row r="3" spans="1:13" x14ac:dyDescent="0.25">
      <c r="A3" t="s">
        <v>11</v>
      </c>
    </row>
    <row r="4" spans="1:13" x14ac:dyDescent="0.25">
      <c r="A4" t="s">
        <v>12</v>
      </c>
    </row>
    <row r="5" spans="1:13" x14ac:dyDescent="0.25">
      <c r="A5" t="s">
        <v>16</v>
      </c>
    </row>
    <row r="6" spans="1:13" x14ac:dyDescent="0.25">
      <c r="A6" t="s">
        <v>18</v>
      </c>
    </row>
    <row r="7" spans="1:13" x14ac:dyDescent="0.25">
      <c r="A7" t="s">
        <v>20</v>
      </c>
    </row>
    <row r="8" spans="1:13" x14ac:dyDescent="0.25">
      <c r="A8" t="s">
        <v>22</v>
      </c>
    </row>
    <row r="9" spans="1:13" x14ac:dyDescent="0.25">
      <c r="A9" t="s">
        <v>24</v>
      </c>
    </row>
    <row r="10" spans="1:13" x14ac:dyDescent="0.25">
      <c r="A10" t="s">
        <v>26</v>
      </c>
      <c r="J10">
        <v>0.25</v>
      </c>
    </row>
    <row r="11" spans="1:13" x14ac:dyDescent="0.25">
      <c r="A11" t="s">
        <v>28</v>
      </c>
    </row>
    <row r="12" spans="1:13" x14ac:dyDescent="0.25">
      <c r="A12" t="s">
        <v>30</v>
      </c>
    </row>
    <row r="13" spans="1:13" x14ac:dyDescent="0.25">
      <c r="A13" t="s">
        <v>32</v>
      </c>
    </row>
    <row r="14" spans="1:13" x14ac:dyDescent="0.25">
      <c r="A14" t="s">
        <v>34</v>
      </c>
    </row>
    <row r="15" spans="1:13" x14ac:dyDescent="0.25">
      <c r="A15" t="s">
        <v>36</v>
      </c>
    </row>
    <row r="16" spans="1:13" x14ac:dyDescent="0.25">
      <c r="A16" t="s">
        <v>37</v>
      </c>
    </row>
    <row r="17" spans="1:5" x14ac:dyDescent="0.25">
      <c r="A17" t="s">
        <v>40</v>
      </c>
    </row>
    <row r="18" spans="1:5" x14ac:dyDescent="0.25">
      <c r="A18" t="s">
        <v>42</v>
      </c>
    </row>
    <row r="19" spans="1:5" x14ac:dyDescent="0.25">
      <c r="A19" t="s">
        <v>43</v>
      </c>
    </row>
    <row r="20" spans="1:5" x14ac:dyDescent="0.25">
      <c r="A20" t="s">
        <v>44</v>
      </c>
    </row>
    <row r="21" spans="1:5" x14ac:dyDescent="0.25">
      <c r="A21" t="s">
        <v>46</v>
      </c>
    </row>
    <row r="22" spans="1:5" x14ac:dyDescent="0.25">
      <c r="A22" t="s">
        <v>48</v>
      </c>
    </row>
    <row r="23" spans="1:5" x14ac:dyDescent="0.25">
      <c r="A23" t="s">
        <v>50</v>
      </c>
    </row>
    <row r="24" spans="1:5" x14ac:dyDescent="0.25">
      <c r="A24" t="s">
        <v>52</v>
      </c>
    </row>
    <row r="25" spans="1:5" x14ac:dyDescent="0.25">
      <c r="A25" t="s">
        <v>53</v>
      </c>
    </row>
    <row r="26" spans="1:5" x14ac:dyDescent="0.25">
      <c r="A26" t="s">
        <v>55</v>
      </c>
    </row>
    <row r="27" spans="1:5" x14ac:dyDescent="0.25">
      <c r="A27" t="s">
        <v>57</v>
      </c>
    </row>
    <row r="28" spans="1:5" x14ac:dyDescent="0.25">
      <c r="A28" t="s">
        <v>59</v>
      </c>
    </row>
    <row r="29" spans="1:5" x14ac:dyDescent="0.25">
      <c r="A29" t="s">
        <v>60</v>
      </c>
    </row>
    <row r="30" spans="1:5" x14ac:dyDescent="0.25">
      <c r="A30" t="s">
        <v>62</v>
      </c>
      <c r="B30">
        <v>105</v>
      </c>
      <c r="E30">
        <v>139</v>
      </c>
    </row>
    <row r="31" spans="1:5" x14ac:dyDescent="0.25">
      <c r="A31" t="s">
        <v>64</v>
      </c>
    </row>
    <row r="32" spans="1:5" x14ac:dyDescent="0.25">
      <c r="A32" t="s">
        <v>65</v>
      </c>
    </row>
    <row r="33" spans="1:11" x14ac:dyDescent="0.25">
      <c r="A33" t="s">
        <v>66</v>
      </c>
      <c r="K33">
        <v>1.03</v>
      </c>
    </row>
    <row r="34" spans="1:11" x14ac:dyDescent="0.25">
      <c r="A34" t="s">
        <v>68</v>
      </c>
    </row>
    <row r="35" spans="1:11" x14ac:dyDescent="0.25">
      <c r="A35" t="s">
        <v>69</v>
      </c>
    </row>
    <row r="36" spans="1:11" x14ac:dyDescent="0.25">
      <c r="A36" t="s">
        <v>71</v>
      </c>
    </row>
    <row r="37" spans="1:11" x14ac:dyDescent="0.25">
      <c r="A37" t="s">
        <v>73</v>
      </c>
    </row>
    <row r="38" spans="1:11" x14ac:dyDescent="0.25">
      <c r="A38" t="s">
        <v>74</v>
      </c>
    </row>
    <row r="39" spans="1:11" x14ac:dyDescent="0.25">
      <c r="A39" t="s">
        <v>76</v>
      </c>
    </row>
    <row r="40" spans="1:11" x14ac:dyDescent="0.25">
      <c r="A40" t="s">
        <v>78</v>
      </c>
    </row>
    <row r="41" spans="1:11" x14ac:dyDescent="0.25">
      <c r="A41" t="s">
        <v>80</v>
      </c>
    </row>
    <row r="42" spans="1:11" x14ac:dyDescent="0.25">
      <c r="A42" t="s">
        <v>82</v>
      </c>
    </row>
    <row r="43" spans="1:11" x14ac:dyDescent="0.25">
      <c r="A43" t="s">
        <v>84</v>
      </c>
    </row>
    <row r="44" spans="1:11" x14ac:dyDescent="0.25">
      <c r="A44" t="s">
        <v>85</v>
      </c>
    </row>
    <row r="45" spans="1:11" x14ac:dyDescent="0.25">
      <c r="A45" t="s">
        <v>87</v>
      </c>
      <c r="F45">
        <v>1.08</v>
      </c>
    </row>
    <row r="46" spans="1:11" x14ac:dyDescent="0.25">
      <c r="A46" t="s">
        <v>89</v>
      </c>
    </row>
    <row r="47" spans="1:11" x14ac:dyDescent="0.25">
      <c r="A47" t="s">
        <v>91</v>
      </c>
    </row>
    <row r="48" spans="1:11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9" x14ac:dyDescent="0.25">
      <c r="A65" t="s">
        <v>113</v>
      </c>
    </row>
    <row r="66" spans="1:9" x14ac:dyDescent="0.25">
      <c r="A66" t="s">
        <v>115</v>
      </c>
    </row>
    <row r="67" spans="1:9" x14ac:dyDescent="0.25">
      <c r="A67" t="s">
        <v>116</v>
      </c>
    </row>
    <row r="68" spans="1:9" x14ac:dyDescent="0.25">
      <c r="A68" t="s">
        <v>117</v>
      </c>
    </row>
    <row r="69" spans="1:9" x14ac:dyDescent="0.25">
      <c r="A69" t="s">
        <v>119</v>
      </c>
    </row>
    <row r="70" spans="1:9" x14ac:dyDescent="0.25">
      <c r="A70" t="s">
        <v>120</v>
      </c>
    </row>
    <row r="71" spans="1:9" x14ac:dyDescent="0.25">
      <c r="A71" t="s">
        <v>122</v>
      </c>
    </row>
    <row r="72" spans="1:9" x14ac:dyDescent="0.25">
      <c r="A72" t="s">
        <v>123</v>
      </c>
    </row>
    <row r="73" spans="1:9" x14ac:dyDescent="0.25">
      <c r="A73" t="s">
        <v>125</v>
      </c>
      <c r="H73">
        <v>0.54</v>
      </c>
      <c r="I73">
        <v>0.57999999999999996</v>
      </c>
    </row>
    <row r="74" spans="1:9" x14ac:dyDescent="0.25">
      <c r="A74" t="s">
        <v>126</v>
      </c>
    </row>
    <row r="75" spans="1:9" x14ac:dyDescent="0.25">
      <c r="A75" t="s">
        <v>127</v>
      </c>
    </row>
    <row r="76" spans="1:9" x14ac:dyDescent="0.25">
      <c r="A76" t="s">
        <v>128</v>
      </c>
    </row>
    <row r="77" spans="1:9" x14ac:dyDescent="0.25">
      <c r="A77" t="s">
        <v>131</v>
      </c>
    </row>
    <row r="78" spans="1:9" x14ac:dyDescent="0.25">
      <c r="A78" t="s">
        <v>133</v>
      </c>
    </row>
    <row r="79" spans="1:9" x14ac:dyDescent="0.25">
      <c r="A79" t="s">
        <v>134</v>
      </c>
    </row>
    <row r="80" spans="1:9" x14ac:dyDescent="0.25">
      <c r="A80" t="s">
        <v>136</v>
      </c>
    </row>
    <row r="81" spans="1:5" x14ac:dyDescent="0.25">
      <c r="A81" t="s">
        <v>138</v>
      </c>
    </row>
    <row r="82" spans="1:5" x14ac:dyDescent="0.25">
      <c r="A82" t="s">
        <v>140</v>
      </c>
    </row>
    <row r="83" spans="1:5" x14ac:dyDescent="0.25">
      <c r="A83" t="s">
        <v>142</v>
      </c>
    </row>
    <row r="84" spans="1:5" x14ac:dyDescent="0.25">
      <c r="A84" t="s">
        <v>143</v>
      </c>
    </row>
    <row r="85" spans="1:5" x14ac:dyDescent="0.25">
      <c r="A85" t="s">
        <v>144</v>
      </c>
    </row>
    <row r="86" spans="1:5" x14ac:dyDescent="0.25">
      <c r="A86" t="s">
        <v>145</v>
      </c>
    </row>
    <row r="87" spans="1:5" x14ac:dyDescent="0.25">
      <c r="A87" t="s">
        <v>146</v>
      </c>
    </row>
    <row r="88" spans="1:5" x14ac:dyDescent="0.25">
      <c r="A88" t="s">
        <v>147</v>
      </c>
    </row>
    <row r="89" spans="1:5" x14ac:dyDescent="0.25">
      <c r="A89" t="s">
        <v>148</v>
      </c>
    </row>
    <row r="90" spans="1:5" x14ac:dyDescent="0.25">
      <c r="A90" t="s">
        <v>149</v>
      </c>
    </row>
    <row r="91" spans="1:5" x14ac:dyDescent="0.25">
      <c r="A91" t="s">
        <v>150</v>
      </c>
    </row>
    <row r="92" spans="1:5" x14ac:dyDescent="0.25">
      <c r="A92" t="s">
        <v>151</v>
      </c>
    </row>
    <row r="94" spans="1:5" x14ac:dyDescent="0.25">
      <c r="A94" t="s">
        <v>321</v>
      </c>
    </row>
    <row r="95" spans="1:5" x14ac:dyDescent="0.25">
      <c r="A95" t="s">
        <v>152</v>
      </c>
      <c r="B95">
        <v>31</v>
      </c>
      <c r="E95">
        <v>25</v>
      </c>
    </row>
    <row r="96" spans="1:5" x14ac:dyDescent="0.25">
      <c r="A96" t="s">
        <v>153</v>
      </c>
    </row>
    <row r="97" spans="1:2" x14ac:dyDescent="0.25">
      <c r="A97" t="s">
        <v>155</v>
      </c>
    </row>
    <row r="98" spans="1:2" x14ac:dyDescent="0.25">
      <c r="A98" t="s">
        <v>157</v>
      </c>
    </row>
    <row r="99" spans="1:2" x14ac:dyDescent="0.25">
      <c r="A99" t="s">
        <v>158</v>
      </c>
    </row>
    <row r="100" spans="1:2" x14ac:dyDescent="0.25">
      <c r="A100" t="s">
        <v>160</v>
      </c>
    </row>
    <row r="101" spans="1:2" x14ac:dyDescent="0.25">
      <c r="A101" t="s">
        <v>162</v>
      </c>
    </row>
    <row r="102" spans="1:2" x14ac:dyDescent="0.25">
      <c r="A102" t="s">
        <v>163</v>
      </c>
      <c r="B102">
        <v>0.82</v>
      </c>
    </row>
    <row r="103" spans="1:2" x14ac:dyDescent="0.25">
      <c r="A103" t="s">
        <v>164</v>
      </c>
    </row>
    <row r="104" spans="1:2" x14ac:dyDescent="0.25">
      <c r="A104" t="s">
        <v>165</v>
      </c>
    </row>
    <row r="105" spans="1:2" x14ac:dyDescent="0.25">
      <c r="A105" t="s">
        <v>166</v>
      </c>
    </row>
    <row r="106" spans="1:2" x14ac:dyDescent="0.25">
      <c r="A106" t="s">
        <v>167</v>
      </c>
    </row>
    <row r="107" spans="1:2" x14ac:dyDescent="0.25">
      <c r="A107" t="s">
        <v>169</v>
      </c>
    </row>
    <row r="108" spans="1:2" x14ac:dyDescent="0.25">
      <c r="A108" t="s">
        <v>170</v>
      </c>
    </row>
    <row r="109" spans="1:2" x14ac:dyDescent="0.25">
      <c r="A109" t="s">
        <v>172</v>
      </c>
    </row>
    <row r="110" spans="1:2" x14ac:dyDescent="0.25">
      <c r="A110" t="s">
        <v>173</v>
      </c>
    </row>
    <row r="111" spans="1:2" x14ac:dyDescent="0.25">
      <c r="A111" t="s">
        <v>175</v>
      </c>
    </row>
    <row r="112" spans="1:2" x14ac:dyDescent="0.25">
      <c r="A112" t="s">
        <v>176</v>
      </c>
    </row>
    <row r="113" spans="1:13" x14ac:dyDescent="0.25">
      <c r="A113" t="s">
        <v>177</v>
      </c>
    </row>
    <row r="114" spans="1:13" x14ac:dyDescent="0.25">
      <c r="A114" t="s">
        <v>178</v>
      </c>
    </row>
    <row r="115" spans="1:13" x14ac:dyDescent="0.25">
      <c r="A115" t="s">
        <v>179</v>
      </c>
    </row>
    <row r="116" spans="1:13" x14ac:dyDescent="0.25">
      <c r="A116" t="s">
        <v>182</v>
      </c>
    </row>
    <row r="117" spans="1:13" x14ac:dyDescent="0.25">
      <c r="A117" t="s">
        <v>183</v>
      </c>
    </row>
    <row r="118" spans="1:13" x14ac:dyDescent="0.25">
      <c r="A118" t="s">
        <v>185</v>
      </c>
    </row>
    <row r="119" spans="1:13" x14ac:dyDescent="0.25">
      <c r="A119" t="s">
        <v>187</v>
      </c>
    </row>
    <row r="120" spans="1:13" x14ac:dyDescent="0.25">
      <c r="A120" t="s">
        <v>189</v>
      </c>
      <c r="G120">
        <v>3.74</v>
      </c>
    </row>
    <row r="121" spans="1:13" x14ac:dyDescent="0.25">
      <c r="A121" t="s">
        <v>191</v>
      </c>
    </row>
    <row r="122" spans="1:13" x14ac:dyDescent="0.25">
      <c r="A122" t="s">
        <v>192</v>
      </c>
    </row>
    <row r="123" spans="1:13" x14ac:dyDescent="0.25">
      <c r="A123" t="s">
        <v>194</v>
      </c>
    </row>
    <row r="124" spans="1:13" x14ac:dyDescent="0.25">
      <c r="A124" t="s">
        <v>196</v>
      </c>
    </row>
    <row r="125" spans="1:13" x14ac:dyDescent="0.25">
      <c r="A125" t="s">
        <v>197</v>
      </c>
      <c r="L125">
        <v>0.67</v>
      </c>
      <c r="M125">
        <v>74</v>
      </c>
    </row>
    <row r="126" spans="1:13" x14ac:dyDescent="0.25">
      <c r="A126" t="s">
        <v>199</v>
      </c>
    </row>
    <row r="127" spans="1:13" x14ac:dyDescent="0.25">
      <c r="A127" t="s">
        <v>200</v>
      </c>
    </row>
    <row r="128" spans="1:13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294</v>
      </c>
    </row>
    <row r="131" spans="1:1" x14ac:dyDescent="0.25">
      <c r="A131" t="s">
        <v>207</v>
      </c>
    </row>
    <row r="132" spans="1:1" x14ac:dyDescent="0.25">
      <c r="A132" t="s">
        <v>208</v>
      </c>
    </row>
    <row r="133" spans="1:1" x14ac:dyDescent="0.25">
      <c r="A133" t="s">
        <v>1589</v>
      </c>
    </row>
    <row r="134" spans="1:1" x14ac:dyDescent="0.25">
      <c r="A134" t="s">
        <v>209</v>
      </c>
    </row>
    <row r="135" spans="1:1" x14ac:dyDescent="0.25">
      <c r="A135" t="s">
        <v>211</v>
      </c>
    </row>
    <row r="136" spans="1:1" x14ac:dyDescent="0.25">
      <c r="A136" t="s">
        <v>212</v>
      </c>
    </row>
    <row r="137" spans="1:1" x14ac:dyDescent="0.25">
      <c r="A137" t="s">
        <v>214</v>
      </c>
    </row>
    <row r="138" spans="1:1" x14ac:dyDescent="0.25">
      <c r="A138" t="s">
        <v>216</v>
      </c>
    </row>
    <row r="139" spans="1:1" x14ac:dyDescent="0.25">
      <c r="A139" t="s">
        <v>218</v>
      </c>
    </row>
    <row r="140" spans="1:1" x14ac:dyDescent="0.25">
      <c r="A140" t="s">
        <v>220</v>
      </c>
    </row>
    <row r="141" spans="1:1" x14ac:dyDescent="0.25">
      <c r="A141" t="s">
        <v>222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10"/>
  <sheetViews>
    <sheetView workbookViewId="0">
      <selection sqref="A1:D1"/>
    </sheetView>
  </sheetViews>
  <sheetFormatPr defaultRowHeight="15" x14ac:dyDescent="0.25"/>
  <cols>
    <col min="1" max="1" width="14.5703125" bestFit="1" customWidth="1"/>
    <col min="2" max="2" width="5.5703125" bestFit="1" customWidth="1"/>
    <col min="3" max="3" width="20.42578125" bestFit="1" customWidth="1"/>
    <col min="4" max="4" width="30.42578125" bestFit="1" customWidth="1"/>
  </cols>
  <sheetData>
    <row r="1" spans="1:4" x14ac:dyDescent="0.25">
      <c r="A1" s="29" t="s">
        <v>0</v>
      </c>
      <c r="B1" s="29" t="s">
        <v>2127</v>
      </c>
      <c r="C1" s="29" t="s">
        <v>2081</v>
      </c>
      <c r="D1" s="29" t="s">
        <v>2118</v>
      </c>
    </row>
    <row r="2" spans="1:4" x14ac:dyDescent="0.25">
      <c r="A2" s="8" t="s">
        <v>26</v>
      </c>
      <c r="B2" s="8" t="s">
        <v>2127</v>
      </c>
      <c r="C2" s="8" t="s">
        <v>702</v>
      </c>
      <c r="D2" s="8">
        <v>1</v>
      </c>
    </row>
    <row r="3" spans="1:4" x14ac:dyDescent="0.25">
      <c r="A3" s="8" t="s">
        <v>62</v>
      </c>
      <c r="B3" s="8" t="s">
        <v>2127</v>
      </c>
      <c r="C3" s="8" t="s">
        <v>2128</v>
      </c>
      <c r="D3" s="8">
        <v>2</v>
      </c>
    </row>
    <row r="4" spans="1:4" x14ac:dyDescent="0.25">
      <c r="A4" s="8" t="s">
        <v>66</v>
      </c>
      <c r="B4" s="8" t="s">
        <v>2127</v>
      </c>
      <c r="C4" s="8" t="s">
        <v>717</v>
      </c>
      <c r="D4" s="8">
        <v>1</v>
      </c>
    </row>
    <row r="5" spans="1:4" x14ac:dyDescent="0.25">
      <c r="A5" s="8" t="s">
        <v>87</v>
      </c>
      <c r="B5" s="8" t="s">
        <v>2127</v>
      </c>
      <c r="C5" s="8" t="s">
        <v>769</v>
      </c>
      <c r="D5" s="8">
        <v>1</v>
      </c>
    </row>
    <row r="6" spans="1:4" x14ac:dyDescent="0.25">
      <c r="A6" s="8" t="s">
        <v>125</v>
      </c>
      <c r="B6" s="8" t="s">
        <v>2127</v>
      </c>
      <c r="C6" s="8" t="s">
        <v>2129</v>
      </c>
      <c r="D6" s="8">
        <v>2</v>
      </c>
    </row>
    <row r="7" spans="1:4" x14ac:dyDescent="0.25">
      <c r="A7" s="8" t="s">
        <v>152</v>
      </c>
      <c r="B7" s="8" t="s">
        <v>2127</v>
      </c>
      <c r="C7" s="8" t="s">
        <v>2128</v>
      </c>
      <c r="D7" s="8">
        <v>2</v>
      </c>
    </row>
    <row r="8" spans="1:4" x14ac:dyDescent="0.25">
      <c r="A8" s="8" t="s">
        <v>163</v>
      </c>
      <c r="B8" s="8" t="s">
        <v>2127</v>
      </c>
      <c r="C8" s="8" t="s">
        <v>348</v>
      </c>
      <c r="D8" s="8">
        <v>1</v>
      </c>
    </row>
    <row r="9" spans="1:4" x14ac:dyDescent="0.25">
      <c r="A9" s="8" t="s">
        <v>189</v>
      </c>
      <c r="B9" s="8" t="s">
        <v>2127</v>
      </c>
      <c r="C9" s="8" t="s">
        <v>1024</v>
      </c>
      <c r="D9" s="8">
        <v>1</v>
      </c>
    </row>
    <row r="10" spans="1:4" x14ac:dyDescent="0.25">
      <c r="A10" s="8" t="s">
        <v>197</v>
      </c>
      <c r="B10" s="8" t="s">
        <v>2127</v>
      </c>
      <c r="C10" s="8" t="s">
        <v>2130</v>
      </c>
      <c r="D10" s="8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workbookViewId="0">
      <selection sqref="A1:AC153"/>
    </sheetView>
  </sheetViews>
  <sheetFormatPr defaultRowHeight="15" x14ac:dyDescent="0.25"/>
  <cols>
    <col min="1" max="1" width="18.140625" bestFit="1" customWidth="1"/>
    <col min="2" max="2" width="16.5703125" customWidth="1"/>
    <col min="3" max="3" width="18.7109375" customWidth="1"/>
    <col min="4" max="4" width="16.140625" customWidth="1"/>
    <col min="5" max="6" width="18.7109375" customWidth="1"/>
    <col min="7" max="7" width="16.140625" customWidth="1"/>
    <col min="8" max="8" width="18.7109375" customWidth="1"/>
    <col min="9" max="9" width="16.140625" customWidth="1"/>
    <col min="10" max="12" width="18.7109375" customWidth="1"/>
    <col min="13" max="13" width="16.140625" customWidth="1"/>
    <col min="14" max="14" width="18.7109375" customWidth="1"/>
    <col min="15" max="15" width="16.140625" customWidth="1"/>
    <col min="16" max="17" width="18.7109375" customWidth="1"/>
    <col min="18" max="20" width="16.140625" customWidth="1"/>
    <col min="21" max="29" width="17.140625" customWidth="1"/>
  </cols>
  <sheetData>
    <row r="1" spans="1:29" x14ac:dyDescent="0.25">
      <c r="A1" t="s">
        <v>0</v>
      </c>
      <c r="B1" t="s">
        <v>2131</v>
      </c>
      <c r="C1" t="s">
        <v>1766</v>
      </c>
      <c r="D1" t="s">
        <v>499</v>
      </c>
      <c r="E1" t="s">
        <v>1767</v>
      </c>
      <c r="F1" t="s">
        <v>1768</v>
      </c>
      <c r="G1" t="s">
        <v>560</v>
      </c>
      <c r="H1" t="s">
        <v>1769</v>
      </c>
      <c r="I1" t="s">
        <v>571</v>
      </c>
      <c r="J1" t="s">
        <v>1770</v>
      </c>
      <c r="K1" t="s">
        <v>1771</v>
      </c>
      <c r="L1" t="s">
        <v>1772</v>
      </c>
      <c r="M1" t="s">
        <v>352</v>
      </c>
      <c r="N1" t="s">
        <v>1773</v>
      </c>
      <c r="O1" t="s">
        <v>770</v>
      </c>
      <c r="P1" t="s">
        <v>1774</v>
      </c>
      <c r="Q1" t="s">
        <v>1775</v>
      </c>
      <c r="R1" t="s">
        <v>586</v>
      </c>
      <c r="S1" t="s">
        <v>789</v>
      </c>
      <c r="T1" t="s">
        <v>876</v>
      </c>
      <c r="U1" t="s">
        <v>877</v>
      </c>
      <c r="V1" t="s">
        <v>878</v>
      </c>
      <c r="W1" t="s">
        <v>611</v>
      </c>
      <c r="X1" t="s">
        <v>626</v>
      </c>
      <c r="Y1" t="s">
        <v>1060</v>
      </c>
      <c r="Z1" t="s">
        <v>1062</v>
      </c>
      <c r="AA1" t="s">
        <v>2132</v>
      </c>
      <c r="AB1" t="s">
        <v>790</v>
      </c>
      <c r="AC1" t="s">
        <v>724</v>
      </c>
    </row>
    <row r="2" spans="1:29" x14ac:dyDescent="0.25">
      <c r="A2" t="s">
        <v>6</v>
      </c>
    </row>
    <row r="3" spans="1:29" x14ac:dyDescent="0.25">
      <c r="A3" t="s">
        <v>11</v>
      </c>
    </row>
    <row r="4" spans="1:29" x14ac:dyDescent="0.25">
      <c r="A4" t="s">
        <v>12</v>
      </c>
      <c r="M4">
        <v>200</v>
      </c>
    </row>
    <row r="5" spans="1:29" x14ac:dyDescent="0.25">
      <c r="A5" t="s">
        <v>16</v>
      </c>
      <c r="D5">
        <v>11.64</v>
      </c>
    </row>
    <row r="6" spans="1:29" x14ac:dyDescent="0.25">
      <c r="A6" t="s">
        <v>18</v>
      </c>
    </row>
    <row r="7" spans="1:29" x14ac:dyDescent="0.25">
      <c r="A7" t="s">
        <v>20</v>
      </c>
    </row>
    <row r="8" spans="1:29" x14ac:dyDescent="0.25">
      <c r="A8" t="s">
        <v>22</v>
      </c>
    </row>
    <row r="9" spans="1:29" x14ac:dyDescent="0.25">
      <c r="A9" t="s">
        <v>24</v>
      </c>
    </row>
    <row r="10" spans="1:29" x14ac:dyDescent="0.25">
      <c r="A10" t="s">
        <v>26</v>
      </c>
    </row>
    <row r="11" spans="1:29" x14ac:dyDescent="0.25">
      <c r="A11" t="s">
        <v>28</v>
      </c>
      <c r="B11">
        <v>4000</v>
      </c>
    </row>
    <row r="12" spans="1:29" x14ac:dyDescent="0.25">
      <c r="A12" t="s">
        <v>30</v>
      </c>
      <c r="D12">
        <v>8900</v>
      </c>
      <c r="G12">
        <v>10600</v>
      </c>
    </row>
    <row r="13" spans="1:29" x14ac:dyDescent="0.25">
      <c r="A13" t="s">
        <v>32</v>
      </c>
      <c r="B13">
        <v>17700</v>
      </c>
    </row>
    <row r="14" spans="1:29" x14ac:dyDescent="0.25">
      <c r="A14" t="s">
        <v>34</v>
      </c>
    </row>
    <row r="15" spans="1:29" x14ac:dyDescent="0.25">
      <c r="A15" t="s">
        <v>36</v>
      </c>
    </row>
    <row r="16" spans="1:29" x14ac:dyDescent="0.25">
      <c r="A16" t="s">
        <v>37</v>
      </c>
    </row>
    <row r="17" spans="1:2" x14ac:dyDescent="0.25">
      <c r="A17" t="s">
        <v>40</v>
      </c>
    </row>
    <row r="18" spans="1:2" x14ac:dyDescent="0.25">
      <c r="A18" t="s">
        <v>42</v>
      </c>
    </row>
    <row r="19" spans="1:2" x14ac:dyDescent="0.25">
      <c r="A19" t="s">
        <v>43</v>
      </c>
    </row>
    <row r="20" spans="1:2" x14ac:dyDescent="0.25">
      <c r="A20" t="s">
        <v>44</v>
      </c>
    </row>
    <row r="21" spans="1:2" x14ac:dyDescent="0.25">
      <c r="A21" t="s">
        <v>46</v>
      </c>
    </row>
    <row r="22" spans="1:2" x14ac:dyDescent="0.25">
      <c r="A22" t="s">
        <v>48</v>
      </c>
    </row>
    <row r="23" spans="1:2" x14ac:dyDescent="0.25">
      <c r="A23" t="s">
        <v>50</v>
      </c>
      <c r="B23" t="s">
        <v>538</v>
      </c>
    </row>
    <row r="24" spans="1:2" x14ac:dyDescent="0.25">
      <c r="A24" t="s">
        <v>52</v>
      </c>
    </row>
    <row r="25" spans="1:2" x14ac:dyDescent="0.25">
      <c r="A25" t="s">
        <v>53</v>
      </c>
    </row>
    <row r="26" spans="1:2" x14ac:dyDescent="0.25">
      <c r="A26" t="s">
        <v>55</v>
      </c>
    </row>
    <row r="27" spans="1:2" x14ac:dyDescent="0.25">
      <c r="A27" t="s">
        <v>57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62</v>
      </c>
    </row>
    <row r="31" spans="1:2" x14ac:dyDescent="0.25">
      <c r="A31" t="s">
        <v>64</v>
      </c>
    </row>
    <row r="32" spans="1:2" x14ac:dyDescent="0.25">
      <c r="A32" t="s">
        <v>65</v>
      </c>
    </row>
    <row r="33" spans="1:29" x14ac:dyDescent="0.25">
      <c r="A33" t="s">
        <v>66</v>
      </c>
      <c r="B33">
        <v>7100</v>
      </c>
      <c r="G33">
        <v>10000</v>
      </c>
      <c r="I33">
        <v>16600</v>
      </c>
      <c r="M33">
        <v>11300</v>
      </c>
      <c r="R33">
        <v>10200</v>
      </c>
      <c r="W33">
        <v>11500</v>
      </c>
      <c r="X33">
        <v>13300</v>
      </c>
      <c r="AC33">
        <v>11000</v>
      </c>
    </row>
    <row r="34" spans="1:29" x14ac:dyDescent="0.25">
      <c r="A34" t="s">
        <v>68</v>
      </c>
    </row>
    <row r="35" spans="1:29" x14ac:dyDescent="0.25">
      <c r="A35" t="s">
        <v>69</v>
      </c>
    </row>
    <row r="36" spans="1:29" x14ac:dyDescent="0.25">
      <c r="A36" t="s">
        <v>71</v>
      </c>
    </row>
    <row r="37" spans="1:29" x14ac:dyDescent="0.25">
      <c r="A37" t="s">
        <v>73</v>
      </c>
    </row>
    <row r="38" spans="1:29" x14ac:dyDescent="0.25">
      <c r="A38" t="s">
        <v>74</v>
      </c>
      <c r="B38">
        <v>3500</v>
      </c>
      <c r="D38">
        <v>25000</v>
      </c>
    </row>
    <row r="39" spans="1:29" x14ac:dyDescent="0.25">
      <c r="A39" t="s">
        <v>76</v>
      </c>
    </row>
    <row r="40" spans="1:29" x14ac:dyDescent="0.25">
      <c r="A40" t="s">
        <v>78</v>
      </c>
    </row>
    <row r="41" spans="1:29" x14ac:dyDescent="0.25">
      <c r="A41" t="s">
        <v>80</v>
      </c>
      <c r="B41">
        <v>9400</v>
      </c>
      <c r="D41">
        <v>10000</v>
      </c>
    </row>
    <row r="42" spans="1:29" x14ac:dyDescent="0.25">
      <c r="A42" t="s">
        <v>82</v>
      </c>
      <c r="B42">
        <v>8300</v>
      </c>
    </row>
    <row r="43" spans="1:29" x14ac:dyDescent="0.25">
      <c r="A43" t="s">
        <v>84</v>
      </c>
    </row>
    <row r="44" spans="1:29" x14ac:dyDescent="0.25">
      <c r="A44" t="s">
        <v>85</v>
      </c>
      <c r="B44">
        <v>6900</v>
      </c>
    </row>
    <row r="45" spans="1:29" x14ac:dyDescent="0.25">
      <c r="A45" t="s">
        <v>87</v>
      </c>
      <c r="B45">
        <v>4200</v>
      </c>
      <c r="D45">
        <v>4000</v>
      </c>
      <c r="O45">
        <v>285000</v>
      </c>
    </row>
    <row r="46" spans="1:29" x14ac:dyDescent="0.25">
      <c r="A46" t="s">
        <v>89</v>
      </c>
    </row>
    <row r="47" spans="1:29" x14ac:dyDescent="0.25">
      <c r="A47" t="s">
        <v>91</v>
      </c>
    </row>
    <row r="48" spans="1:29" x14ac:dyDescent="0.25">
      <c r="A48" t="s">
        <v>92</v>
      </c>
    </row>
    <row r="49" spans="1:28" x14ac:dyDescent="0.25">
      <c r="A49" t="s">
        <v>93</v>
      </c>
      <c r="B49">
        <v>12600</v>
      </c>
      <c r="D49">
        <v>11500</v>
      </c>
      <c r="S49">
        <v>12410</v>
      </c>
      <c r="AB49">
        <v>12610</v>
      </c>
    </row>
    <row r="50" spans="1:28" x14ac:dyDescent="0.25">
      <c r="A50" t="s">
        <v>95</v>
      </c>
      <c r="B50">
        <v>14100</v>
      </c>
    </row>
    <row r="51" spans="1:28" x14ac:dyDescent="0.25">
      <c r="A51" t="s">
        <v>97</v>
      </c>
    </row>
    <row r="52" spans="1:28" x14ac:dyDescent="0.25">
      <c r="A52" t="s">
        <v>99</v>
      </c>
    </row>
    <row r="53" spans="1:28" x14ac:dyDescent="0.25">
      <c r="A53" t="s">
        <v>100</v>
      </c>
    </row>
    <row r="54" spans="1:28" x14ac:dyDescent="0.25">
      <c r="A54" t="s">
        <v>101</v>
      </c>
    </row>
    <row r="55" spans="1:28" x14ac:dyDescent="0.25">
      <c r="A55" t="s">
        <v>102</v>
      </c>
    </row>
    <row r="56" spans="1:28" x14ac:dyDescent="0.25">
      <c r="A56" t="s">
        <v>103</v>
      </c>
      <c r="B56">
        <v>16950</v>
      </c>
      <c r="G56">
        <v>9500</v>
      </c>
      <c r="I56">
        <v>16500</v>
      </c>
    </row>
    <row r="57" spans="1:28" x14ac:dyDescent="0.25">
      <c r="A57" t="s">
        <v>105</v>
      </c>
    </row>
    <row r="58" spans="1:28" x14ac:dyDescent="0.25">
      <c r="A58" t="s">
        <v>106</v>
      </c>
    </row>
    <row r="59" spans="1:28" x14ac:dyDescent="0.25">
      <c r="A59" t="s">
        <v>107</v>
      </c>
    </row>
    <row r="60" spans="1:28" x14ac:dyDescent="0.25">
      <c r="A60" t="s">
        <v>108</v>
      </c>
    </row>
    <row r="61" spans="1:28" x14ac:dyDescent="0.25">
      <c r="A61" t="s">
        <v>109</v>
      </c>
    </row>
    <row r="62" spans="1:28" x14ac:dyDescent="0.25">
      <c r="A62" t="s">
        <v>110</v>
      </c>
    </row>
    <row r="63" spans="1:28" x14ac:dyDescent="0.25">
      <c r="A63" t="s">
        <v>111</v>
      </c>
    </row>
    <row r="64" spans="1:28" x14ac:dyDescent="0.25">
      <c r="A64" t="s">
        <v>112</v>
      </c>
    </row>
    <row r="65" spans="1:24" x14ac:dyDescent="0.25">
      <c r="A65" t="s">
        <v>113</v>
      </c>
    </row>
    <row r="66" spans="1:24" x14ac:dyDescent="0.25">
      <c r="A66" t="s">
        <v>115</v>
      </c>
    </row>
    <row r="67" spans="1:24" x14ac:dyDescent="0.25">
      <c r="A67" t="s">
        <v>116</v>
      </c>
    </row>
    <row r="68" spans="1:24" x14ac:dyDescent="0.25">
      <c r="A68" t="s">
        <v>117</v>
      </c>
    </row>
    <row r="69" spans="1:24" x14ac:dyDescent="0.25">
      <c r="A69" t="s">
        <v>119</v>
      </c>
      <c r="B69">
        <v>6700</v>
      </c>
      <c r="G69">
        <v>4800</v>
      </c>
      <c r="R69">
        <v>7200</v>
      </c>
    </row>
    <row r="70" spans="1:24" x14ac:dyDescent="0.25">
      <c r="A70" t="s">
        <v>120</v>
      </c>
    </row>
    <row r="71" spans="1:24" x14ac:dyDescent="0.25">
      <c r="A71" t="s">
        <v>122</v>
      </c>
    </row>
    <row r="72" spans="1:24" x14ac:dyDescent="0.25">
      <c r="A72" t="s">
        <v>123</v>
      </c>
    </row>
    <row r="73" spans="1:24" x14ac:dyDescent="0.25">
      <c r="A73" t="s">
        <v>125</v>
      </c>
      <c r="B73">
        <v>15000</v>
      </c>
      <c r="D73">
        <v>19700</v>
      </c>
      <c r="I73">
        <v>15200</v>
      </c>
      <c r="M73">
        <v>9600</v>
      </c>
      <c r="O73">
        <v>9300</v>
      </c>
      <c r="S73">
        <v>11500</v>
      </c>
      <c r="T73">
        <v>13000</v>
      </c>
      <c r="U73">
        <v>12000</v>
      </c>
      <c r="V73">
        <v>11700</v>
      </c>
      <c r="W73">
        <v>12500</v>
      </c>
      <c r="X73">
        <v>11000</v>
      </c>
    </row>
    <row r="74" spans="1:24" x14ac:dyDescent="0.25">
      <c r="A74" t="s">
        <v>126</v>
      </c>
    </row>
    <row r="75" spans="1:24" x14ac:dyDescent="0.25">
      <c r="A75" t="s">
        <v>127</v>
      </c>
    </row>
    <row r="76" spans="1:24" x14ac:dyDescent="0.25">
      <c r="A76" t="s">
        <v>128</v>
      </c>
      <c r="O76" t="s">
        <v>887</v>
      </c>
    </row>
    <row r="77" spans="1:24" x14ac:dyDescent="0.25">
      <c r="A77" t="s">
        <v>131</v>
      </c>
    </row>
    <row r="78" spans="1:24" x14ac:dyDescent="0.25">
      <c r="A78" t="s">
        <v>133</v>
      </c>
    </row>
    <row r="79" spans="1:24" x14ac:dyDescent="0.25">
      <c r="A79" t="s">
        <v>134</v>
      </c>
    </row>
    <row r="80" spans="1:24" x14ac:dyDescent="0.25">
      <c r="A80" t="s">
        <v>136</v>
      </c>
    </row>
    <row r="81" spans="1:13" x14ac:dyDescent="0.25">
      <c r="A81" t="s">
        <v>138</v>
      </c>
      <c r="B81">
        <v>4800</v>
      </c>
    </row>
    <row r="82" spans="1:13" x14ac:dyDescent="0.25">
      <c r="A82" t="s">
        <v>140</v>
      </c>
    </row>
    <row r="83" spans="1:13" x14ac:dyDescent="0.25">
      <c r="A83" t="s">
        <v>142</v>
      </c>
    </row>
    <row r="84" spans="1:13" x14ac:dyDescent="0.25">
      <c r="A84" t="s">
        <v>143</v>
      </c>
    </row>
    <row r="85" spans="1:13" x14ac:dyDescent="0.25">
      <c r="A85" t="s">
        <v>144</v>
      </c>
    </row>
    <row r="86" spans="1:13" x14ac:dyDescent="0.25">
      <c r="A86" t="s">
        <v>145</v>
      </c>
    </row>
    <row r="87" spans="1:13" x14ac:dyDescent="0.25">
      <c r="A87" t="s">
        <v>146</v>
      </c>
    </row>
    <row r="88" spans="1:13" x14ac:dyDescent="0.25">
      <c r="A88" t="s">
        <v>147</v>
      </c>
    </row>
    <row r="89" spans="1:13" x14ac:dyDescent="0.25">
      <c r="A89" t="s">
        <v>148</v>
      </c>
    </row>
    <row r="90" spans="1:13" x14ac:dyDescent="0.25">
      <c r="A90" t="s">
        <v>149</v>
      </c>
    </row>
    <row r="91" spans="1:13" x14ac:dyDescent="0.25">
      <c r="A91" t="s">
        <v>150</v>
      </c>
    </row>
    <row r="92" spans="1:13" x14ac:dyDescent="0.25">
      <c r="A92" t="s">
        <v>151</v>
      </c>
    </row>
    <row r="93" spans="1:13" x14ac:dyDescent="0.25">
      <c r="A93" t="s">
        <v>321</v>
      </c>
    </row>
    <row r="94" spans="1:13" x14ac:dyDescent="0.25">
      <c r="A94" t="s">
        <v>152</v>
      </c>
      <c r="B94">
        <v>11780</v>
      </c>
    </row>
    <row r="95" spans="1:13" x14ac:dyDescent="0.25">
      <c r="A95" t="s">
        <v>153</v>
      </c>
      <c r="B95">
        <v>7330</v>
      </c>
      <c r="D95">
        <v>5590</v>
      </c>
      <c r="E95">
        <v>7650</v>
      </c>
      <c r="G95">
        <v>12100</v>
      </c>
      <c r="I95">
        <v>12300</v>
      </c>
      <c r="J95">
        <v>16400</v>
      </c>
      <c r="K95">
        <v>16000</v>
      </c>
      <c r="L95">
        <v>22300</v>
      </c>
      <c r="M95">
        <v>22500</v>
      </c>
    </row>
    <row r="96" spans="1:13" x14ac:dyDescent="0.25">
      <c r="A96" t="s">
        <v>155</v>
      </c>
    </row>
    <row r="97" spans="1:20" x14ac:dyDescent="0.25">
      <c r="A97" t="s">
        <v>157</v>
      </c>
      <c r="T97">
        <v>25000</v>
      </c>
    </row>
    <row r="98" spans="1:20" x14ac:dyDescent="0.25">
      <c r="A98" t="s">
        <v>158</v>
      </c>
      <c r="B98">
        <v>3880</v>
      </c>
      <c r="D98">
        <v>8560</v>
      </c>
      <c r="E98">
        <v>4870</v>
      </c>
      <c r="F98">
        <v>3960</v>
      </c>
      <c r="G98">
        <v>4640</v>
      </c>
      <c r="I98">
        <v>9530</v>
      </c>
      <c r="M98">
        <v>8890</v>
      </c>
      <c r="N98">
        <v>8450</v>
      </c>
      <c r="O98">
        <v>6260</v>
      </c>
      <c r="P98">
        <v>5320</v>
      </c>
      <c r="Q98">
        <v>5540</v>
      </c>
      <c r="R98">
        <v>5030</v>
      </c>
    </row>
    <row r="99" spans="1:20" x14ac:dyDescent="0.25">
      <c r="A99" t="s">
        <v>160</v>
      </c>
    </row>
    <row r="100" spans="1:20" x14ac:dyDescent="0.25">
      <c r="A100" t="s">
        <v>162</v>
      </c>
    </row>
    <row r="101" spans="1:20" x14ac:dyDescent="0.25">
      <c r="A101" t="s">
        <v>163</v>
      </c>
      <c r="B101">
        <v>4510</v>
      </c>
      <c r="C101">
        <v>4600</v>
      </c>
      <c r="D101">
        <v>3560</v>
      </c>
      <c r="E101">
        <v>3620</v>
      </c>
      <c r="G101">
        <v>8180</v>
      </c>
      <c r="H101">
        <v>3270</v>
      </c>
      <c r="I101">
        <v>3550</v>
      </c>
    </row>
    <row r="102" spans="1:20" x14ac:dyDescent="0.25">
      <c r="A102" t="s">
        <v>164</v>
      </c>
    </row>
    <row r="103" spans="1:20" x14ac:dyDescent="0.25">
      <c r="A103" t="s">
        <v>165</v>
      </c>
    </row>
    <row r="104" spans="1:20" x14ac:dyDescent="0.25">
      <c r="A104" t="s">
        <v>166</v>
      </c>
      <c r="B104">
        <v>10140</v>
      </c>
      <c r="D104">
        <v>11620</v>
      </c>
      <c r="G104">
        <v>8550</v>
      </c>
    </row>
    <row r="105" spans="1:20" x14ac:dyDescent="0.25">
      <c r="A105" t="s">
        <v>167</v>
      </c>
    </row>
    <row r="106" spans="1:20" x14ac:dyDescent="0.25">
      <c r="A106" t="s">
        <v>169</v>
      </c>
    </row>
    <row r="107" spans="1:20" x14ac:dyDescent="0.25">
      <c r="A107" t="s">
        <v>170</v>
      </c>
      <c r="B107">
        <v>5900</v>
      </c>
    </row>
    <row r="108" spans="1:20" x14ac:dyDescent="0.25">
      <c r="A108" t="s">
        <v>172</v>
      </c>
    </row>
    <row r="109" spans="1:20" x14ac:dyDescent="0.25">
      <c r="A109" t="s">
        <v>173</v>
      </c>
      <c r="B109">
        <v>2100</v>
      </c>
      <c r="C109">
        <v>8000</v>
      </c>
      <c r="D109">
        <v>8500</v>
      </c>
      <c r="E109">
        <v>7500</v>
      </c>
      <c r="G109">
        <v>8000</v>
      </c>
      <c r="I109">
        <v>4600</v>
      </c>
      <c r="O109">
        <v>3400</v>
      </c>
    </row>
    <row r="110" spans="1:20" x14ac:dyDescent="0.25">
      <c r="A110" t="s">
        <v>175</v>
      </c>
    </row>
    <row r="111" spans="1:20" x14ac:dyDescent="0.25">
      <c r="A111" t="s">
        <v>176</v>
      </c>
    </row>
    <row r="112" spans="1:20" x14ac:dyDescent="0.25">
      <c r="A112" t="s">
        <v>177</v>
      </c>
      <c r="B112">
        <v>6800</v>
      </c>
    </row>
    <row r="113" spans="1:2" x14ac:dyDescent="0.25">
      <c r="A113" t="s">
        <v>178</v>
      </c>
    </row>
    <row r="114" spans="1:2" x14ac:dyDescent="0.25">
      <c r="A114" t="s">
        <v>179</v>
      </c>
    </row>
    <row r="115" spans="1:2" x14ac:dyDescent="0.25">
      <c r="A115" t="s">
        <v>182</v>
      </c>
    </row>
    <row r="116" spans="1:2" x14ac:dyDescent="0.25">
      <c r="A116" t="s">
        <v>183</v>
      </c>
    </row>
    <row r="117" spans="1:2" x14ac:dyDescent="0.25">
      <c r="A117" t="s">
        <v>185</v>
      </c>
    </row>
    <row r="118" spans="1:2" x14ac:dyDescent="0.25">
      <c r="A118" t="s">
        <v>187</v>
      </c>
    </row>
    <row r="119" spans="1:2" x14ac:dyDescent="0.25">
      <c r="A119" t="s">
        <v>189</v>
      </c>
    </row>
    <row r="120" spans="1:2" x14ac:dyDescent="0.25">
      <c r="A120" t="s">
        <v>191</v>
      </c>
    </row>
    <row r="121" spans="1:2" x14ac:dyDescent="0.25">
      <c r="A121" t="s">
        <v>192</v>
      </c>
    </row>
    <row r="122" spans="1:2" x14ac:dyDescent="0.25">
      <c r="A122" t="s">
        <v>194</v>
      </c>
    </row>
    <row r="123" spans="1:2" x14ac:dyDescent="0.25">
      <c r="A123" t="s">
        <v>196</v>
      </c>
    </row>
    <row r="124" spans="1:2" x14ac:dyDescent="0.25">
      <c r="A124" t="s">
        <v>197</v>
      </c>
    </row>
    <row r="125" spans="1:2" x14ac:dyDescent="0.25">
      <c r="A125" t="s">
        <v>199</v>
      </c>
    </row>
    <row r="126" spans="1:2" x14ac:dyDescent="0.25">
      <c r="A126" t="s">
        <v>200</v>
      </c>
      <c r="B126">
        <v>11700</v>
      </c>
    </row>
    <row r="127" spans="1:2" x14ac:dyDescent="0.25">
      <c r="A127" t="s">
        <v>201</v>
      </c>
    </row>
    <row r="128" spans="1:2" x14ac:dyDescent="0.25">
      <c r="A128" t="s">
        <v>202</v>
      </c>
    </row>
    <row r="129" spans="1:26" x14ac:dyDescent="0.25">
      <c r="A129" t="s">
        <v>294</v>
      </c>
    </row>
    <row r="130" spans="1:26" x14ac:dyDescent="0.25">
      <c r="A130" t="s">
        <v>207</v>
      </c>
      <c r="B130">
        <v>17600</v>
      </c>
    </row>
    <row r="131" spans="1:26" x14ac:dyDescent="0.25">
      <c r="A131" t="s">
        <v>208</v>
      </c>
    </row>
    <row r="132" spans="1:26" x14ac:dyDescent="0.25">
      <c r="A132" t="s">
        <v>1589</v>
      </c>
    </row>
    <row r="133" spans="1:26" x14ac:dyDescent="0.25">
      <c r="A133" t="s">
        <v>209</v>
      </c>
      <c r="B133">
        <v>6000</v>
      </c>
      <c r="W133">
        <v>11400</v>
      </c>
    </row>
    <row r="134" spans="1:26" x14ac:dyDescent="0.25">
      <c r="A134" t="s">
        <v>211</v>
      </c>
      <c r="B134">
        <v>7700</v>
      </c>
      <c r="Y134">
        <v>4300</v>
      </c>
    </row>
    <row r="135" spans="1:26" x14ac:dyDescent="0.25">
      <c r="A135" t="s">
        <v>212</v>
      </c>
      <c r="B135">
        <v>6400</v>
      </c>
      <c r="C135">
        <v>8700</v>
      </c>
    </row>
    <row r="136" spans="1:26" x14ac:dyDescent="0.25">
      <c r="A136" t="s">
        <v>214</v>
      </c>
    </row>
    <row r="137" spans="1:26" x14ac:dyDescent="0.25">
      <c r="A137" t="s">
        <v>216</v>
      </c>
    </row>
    <row r="138" spans="1:26" x14ac:dyDescent="0.25">
      <c r="A138" t="s">
        <v>218</v>
      </c>
      <c r="Z138">
        <v>14800</v>
      </c>
    </row>
    <row r="139" spans="1:26" x14ac:dyDescent="0.25">
      <c r="A139" t="s">
        <v>220</v>
      </c>
    </row>
    <row r="140" spans="1:26" x14ac:dyDescent="0.25">
      <c r="A140" t="s">
        <v>222</v>
      </c>
    </row>
    <row r="141" spans="1:26" x14ac:dyDescent="0.25">
      <c r="A141" t="s">
        <v>224</v>
      </c>
    </row>
    <row r="142" spans="1:26" x14ac:dyDescent="0.25">
      <c r="A142" t="s">
        <v>225</v>
      </c>
      <c r="B142">
        <v>16500</v>
      </c>
    </row>
    <row r="143" spans="1:26" x14ac:dyDescent="0.25">
      <c r="A143" t="s">
        <v>227</v>
      </c>
      <c r="B143">
        <v>10900</v>
      </c>
    </row>
    <row r="144" spans="1:26" x14ac:dyDescent="0.25">
      <c r="A144" t="s">
        <v>229</v>
      </c>
    </row>
    <row r="145" spans="1:2" x14ac:dyDescent="0.25">
      <c r="A145" t="s">
        <v>231</v>
      </c>
      <c r="B145">
        <v>10100</v>
      </c>
    </row>
    <row r="146" spans="1:2" x14ac:dyDescent="0.25">
      <c r="A146" t="s">
        <v>232</v>
      </c>
    </row>
    <row r="147" spans="1:2" x14ac:dyDescent="0.25">
      <c r="A147" t="s">
        <v>234</v>
      </c>
      <c r="B147">
        <v>12700</v>
      </c>
    </row>
    <row r="148" spans="1:2" x14ac:dyDescent="0.25">
      <c r="A148" t="s">
        <v>236</v>
      </c>
    </row>
    <row r="149" spans="1:2" x14ac:dyDescent="0.25">
      <c r="A149" t="s">
        <v>1322</v>
      </c>
    </row>
    <row r="150" spans="1:2" x14ac:dyDescent="0.25">
      <c r="A150" t="s">
        <v>1323</v>
      </c>
    </row>
    <row r="151" spans="1:2" x14ac:dyDescent="0.25">
      <c r="A151" t="s">
        <v>1324</v>
      </c>
    </row>
    <row r="152" spans="1:2" x14ac:dyDescent="0.25">
      <c r="A152" t="s">
        <v>1325</v>
      </c>
    </row>
    <row r="153" spans="1:2" x14ac:dyDescent="0.25">
      <c r="A153" t="s">
        <v>1326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9"/>
  <sheetViews>
    <sheetView workbookViewId="0">
      <selection activeCell="C6" sqref="C6"/>
    </sheetView>
  </sheetViews>
  <sheetFormatPr defaultRowHeight="15" x14ac:dyDescent="0.25"/>
  <cols>
    <col min="1" max="1" width="14.5703125" bestFit="1" customWidth="1"/>
    <col min="2" max="2" width="13.42578125" bestFit="1" customWidth="1"/>
    <col min="3" max="3" width="117" customWidth="1"/>
    <col min="4" max="4" width="30.42578125" bestFit="1" customWidth="1"/>
  </cols>
  <sheetData>
    <row r="1" spans="1:4" x14ac:dyDescent="0.25">
      <c r="A1" s="29" t="s">
        <v>0</v>
      </c>
      <c r="B1" s="29" t="s">
        <v>2133</v>
      </c>
      <c r="C1" s="29" t="s">
        <v>2134</v>
      </c>
      <c r="D1" s="29" t="s">
        <v>2118</v>
      </c>
    </row>
    <row r="2" spans="1:4" ht="30" x14ac:dyDescent="0.25">
      <c r="A2" s="8" t="s">
        <v>158</v>
      </c>
      <c r="B2" s="8" t="s">
        <v>2133</v>
      </c>
      <c r="C2" s="23" t="s">
        <v>2147</v>
      </c>
      <c r="D2" s="8">
        <v>12</v>
      </c>
    </row>
    <row r="3" spans="1:4" ht="30" x14ac:dyDescent="0.25">
      <c r="A3" s="8" t="s">
        <v>125</v>
      </c>
      <c r="B3" s="8" t="s">
        <v>2133</v>
      </c>
      <c r="C3" s="23" t="s">
        <v>2148</v>
      </c>
      <c r="D3" s="8">
        <v>11</v>
      </c>
    </row>
    <row r="4" spans="1:4" ht="30" x14ac:dyDescent="0.25">
      <c r="A4" s="8" t="s">
        <v>153</v>
      </c>
      <c r="B4" s="8" t="s">
        <v>2133</v>
      </c>
      <c r="C4" s="23" t="s">
        <v>2149</v>
      </c>
      <c r="D4" s="8">
        <v>9</v>
      </c>
    </row>
    <row r="5" spans="1:4" ht="30" x14ac:dyDescent="0.25">
      <c r="A5" s="8" t="s">
        <v>66</v>
      </c>
      <c r="B5" s="8" t="s">
        <v>2133</v>
      </c>
      <c r="C5" s="23" t="s">
        <v>2150</v>
      </c>
      <c r="D5" s="8">
        <v>8</v>
      </c>
    </row>
    <row r="6" spans="1:4" x14ac:dyDescent="0.25">
      <c r="A6" s="8" t="s">
        <v>163</v>
      </c>
      <c r="B6" s="8" t="s">
        <v>2133</v>
      </c>
      <c r="C6" s="8" t="s">
        <v>2141</v>
      </c>
      <c r="D6" s="8">
        <v>7</v>
      </c>
    </row>
    <row r="7" spans="1:4" x14ac:dyDescent="0.25">
      <c r="A7" s="8" t="s">
        <v>173</v>
      </c>
      <c r="B7" s="8" t="s">
        <v>2133</v>
      </c>
      <c r="C7" s="8" t="s">
        <v>2143</v>
      </c>
      <c r="D7" s="8">
        <v>7</v>
      </c>
    </row>
    <row r="8" spans="1:4" x14ac:dyDescent="0.25">
      <c r="A8" s="8" t="s">
        <v>93</v>
      </c>
      <c r="B8" s="8" t="s">
        <v>2133</v>
      </c>
      <c r="C8" s="8" t="s">
        <v>2138</v>
      </c>
      <c r="D8" s="8">
        <v>4</v>
      </c>
    </row>
    <row r="9" spans="1:4" x14ac:dyDescent="0.25">
      <c r="A9" s="8" t="s">
        <v>87</v>
      </c>
      <c r="B9" s="8" t="s">
        <v>2133</v>
      </c>
      <c r="C9" s="8" t="s">
        <v>2137</v>
      </c>
      <c r="D9" s="8">
        <v>3</v>
      </c>
    </row>
    <row r="10" spans="1:4" x14ac:dyDescent="0.25">
      <c r="A10" s="8" t="s">
        <v>103</v>
      </c>
      <c r="B10" s="8" t="s">
        <v>2133</v>
      </c>
      <c r="C10" s="8" t="s">
        <v>2139</v>
      </c>
      <c r="D10" s="8">
        <v>3</v>
      </c>
    </row>
    <row r="11" spans="1:4" x14ac:dyDescent="0.25">
      <c r="A11" s="8" t="s">
        <v>119</v>
      </c>
      <c r="B11" s="8" t="s">
        <v>2133</v>
      </c>
      <c r="C11" s="8" t="s">
        <v>2140</v>
      </c>
      <c r="D11" s="8">
        <v>3</v>
      </c>
    </row>
    <row r="12" spans="1:4" x14ac:dyDescent="0.25">
      <c r="A12" s="8" t="s">
        <v>166</v>
      </c>
      <c r="B12" s="8" t="s">
        <v>2133</v>
      </c>
      <c r="C12" s="8" t="s">
        <v>2142</v>
      </c>
      <c r="D12" s="8">
        <v>3</v>
      </c>
    </row>
    <row r="13" spans="1:4" x14ac:dyDescent="0.25">
      <c r="A13" s="8" t="s">
        <v>30</v>
      </c>
      <c r="B13" s="8" t="s">
        <v>2133</v>
      </c>
      <c r="C13" s="8" t="s">
        <v>2135</v>
      </c>
      <c r="D13" s="8">
        <v>2</v>
      </c>
    </row>
    <row r="14" spans="1:4" x14ac:dyDescent="0.25">
      <c r="A14" s="8" t="s">
        <v>74</v>
      </c>
      <c r="B14" s="8" t="s">
        <v>2133</v>
      </c>
      <c r="C14" s="8" t="s">
        <v>2136</v>
      </c>
      <c r="D14" s="8">
        <v>2</v>
      </c>
    </row>
    <row r="15" spans="1:4" x14ac:dyDescent="0.25">
      <c r="A15" s="8" t="s">
        <v>80</v>
      </c>
      <c r="B15" s="8" t="s">
        <v>2133</v>
      </c>
      <c r="C15" s="8" t="s">
        <v>2136</v>
      </c>
      <c r="D15" s="8">
        <v>2</v>
      </c>
    </row>
    <row r="16" spans="1:4" x14ac:dyDescent="0.25">
      <c r="A16" s="8" t="s">
        <v>209</v>
      </c>
      <c r="B16" s="8" t="s">
        <v>2133</v>
      </c>
      <c r="C16" s="8" t="s">
        <v>2144</v>
      </c>
      <c r="D16" s="8">
        <v>2</v>
      </c>
    </row>
    <row r="17" spans="1:4" x14ac:dyDescent="0.25">
      <c r="A17" s="8" t="s">
        <v>211</v>
      </c>
      <c r="B17" s="8" t="s">
        <v>2133</v>
      </c>
      <c r="C17" s="8" t="s">
        <v>2145</v>
      </c>
      <c r="D17" s="8">
        <v>2</v>
      </c>
    </row>
    <row r="18" spans="1:4" x14ac:dyDescent="0.25">
      <c r="A18" s="8" t="s">
        <v>212</v>
      </c>
      <c r="B18" s="8" t="s">
        <v>2133</v>
      </c>
      <c r="C18" s="8" t="s">
        <v>2146</v>
      </c>
      <c r="D18" s="8">
        <v>2</v>
      </c>
    </row>
    <row r="19" spans="1:4" x14ac:dyDescent="0.25">
      <c r="A19" s="8" t="s">
        <v>12</v>
      </c>
      <c r="B19" s="8" t="s">
        <v>2133</v>
      </c>
      <c r="C19" s="8" t="s">
        <v>352</v>
      </c>
      <c r="D19" s="8">
        <v>1</v>
      </c>
    </row>
    <row r="20" spans="1:4" x14ac:dyDescent="0.25">
      <c r="A20" s="8" t="s">
        <v>16</v>
      </c>
      <c r="B20" s="8" t="s">
        <v>2133</v>
      </c>
      <c r="C20" s="8" t="s">
        <v>499</v>
      </c>
      <c r="D20" s="8">
        <v>1</v>
      </c>
    </row>
    <row r="21" spans="1:4" x14ac:dyDescent="0.25">
      <c r="A21" s="8" t="s">
        <v>28</v>
      </c>
      <c r="B21" s="8" t="s">
        <v>2133</v>
      </c>
      <c r="C21" s="8" t="s">
        <v>2131</v>
      </c>
      <c r="D21" s="8">
        <v>1</v>
      </c>
    </row>
    <row r="22" spans="1:4" x14ac:dyDescent="0.25">
      <c r="A22" s="8" t="s">
        <v>32</v>
      </c>
      <c r="B22" s="8" t="s">
        <v>2133</v>
      </c>
      <c r="C22" s="8" t="s">
        <v>2131</v>
      </c>
      <c r="D22" s="8">
        <v>1</v>
      </c>
    </row>
    <row r="23" spans="1:4" x14ac:dyDescent="0.25">
      <c r="A23" s="8" t="s">
        <v>50</v>
      </c>
      <c r="B23" s="8" t="s">
        <v>2133</v>
      </c>
      <c r="C23" s="8" t="s">
        <v>2131</v>
      </c>
      <c r="D23" s="8">
        <v>1</v>
      </c>
    </row>
    <row r="24" spans="1:4" x14ac:dyDescent="0.25">
      <c r="A24" s="8" t="s">
        <v>82</v>
      </c>
      <c r="B24" s="8" t="s">
        <v>2133</v>
      </c>
      <c r="C24" s="8" t="s">
        <v>2131</v>
      </c>
      <c r="D24" s="8">
        <v>1</v>
      </c>
    </row>
    <row r="25" spans="1:4" x14ac:dyDescent="0.25">
      <c r="A25" s="8" t="s">
        <v>85</v>
      </c>
      <c r="B25" s="8" t="s">
        <v>2133</v>
      </c>
      <c r="C25" s="8" t="s">
        <v>2131</v>
      </c>
      <c r="D25" s="8">
        <v>1</v>
      </c>
    </row>
    <row r="26" spans="1:4" x14ac:dyDescent="0.25">
      <c r="A26" s="8" t="s">
        <v>95</v>
      </c>
      <c r="B26" s="8" t="s">
        <v>2133</v>
      </c>
      <c r="C26" s="8" t="s">
        <v>2131</v>
      </c>
      <c r="D26" s="8">
        <v>1</v>
      </c>
    </row>
    <row r="27" spans="1:4" x14ac:dyDescent="0.25">
      <c r="A27" s="8" t="s">
        <v>128</v>
      </c>
      <c r="B27" s="8" t="s">
        <v>2133</v>
      </c>
      <c r="C27" s="8" t="s">
        <v>770</v>
      </c>
      <c r="D27" s="8">
        <v>1</v>
      </c>
    </row>
    <row r="28" spans="1:4" x14ac:dyDescent="0.25">
      <c r="A28" s="8" t="s">
        <v>138</v>
      </c>
      <c r="B28" s="8" t="s">
        <v>2133</v>
      </c>
      <c r="C28" s="8" t="s">
        <v>2131</v>
      </c>
      <c r="D28" s="8">
        <v>1</v>
      </c>
    </row>
    <row r="29" spans="1:4" x14ac:dyDescent="0.25">
      <c r="A29" s="8" t="s">
        <v>152</v>
      </c>
      <c r="B29" s="8" t="s">
        <v>2133</v>
      </c>
      <c r="C29" s="8" t="s">
        <v>2131</v>
      </c>
      <c r="D29" s="8">
        <v>1</v>
      </c>
    </row>
    <row r="30" spans="1:4" x14ac:dyDescent="0.25">
      <c r="A30" s="8" t="s">
        <v>157</v>
      </c>
      <c r="B30" s="8" t="s">
        <v>2133</v>
      </c>
      <c r="C30" s="8" t="s">
        <v>876</v>
      </c>
      <c r="D30" s="8">
        <v>1</v>
      </c>
    </row>
    <row r="31" spans="1:4" x14ac:dyDescent="0.25">
      <c r="A31" s="8" t="s">
        <v>170</v>
      </c>
      <c r="B31" s="8" t="s">
        <v>2133</v>
      </c>
      <c r="C31" s="8" t="s">
        <v>2131</v>
      </c>
      <c r="D31" s="8">
        <v>1</v>
      </c>
    </row>
    <row r="32" spans="1:4" x14ac:dyDescent="0.25">
      <c r="A32" s="8" t="s">
        <v>177</v>
      </c>
      <c r="B32" s="8" t="s">
        <v>2133</v>
      </c>
      <c r="C32" s="8" t="s">
        <v>2131</v>
      </c>
      <c r="D32" s="8">
        <v>1</v>
      </c>
    </row>
    <row r="33" spans="1:4" x14ac:dyDescent="0.25">
      <c r="A33" s="8" t="s">
        <v>200</v>
      </c>
      <c r="B33" s="8" t="s">
        <v>2133</v>
      </c>
      <c r="C33" s="8" t="s">
        <v>2131</v>
      </c>
      <c r="D33" s="8">
        <v>1</v>
      </c>
    </row>
    <row r="34" spans="1:4" x14ac:dyDescent="0.25">
      <c r="A34" s="8" t="s">
        <v>207</v>
      </c>
      <c r="B34" s="8" t="s">
        <v>2133</v>
      </c>
      <c r="C34" s="8" t="s">
        <v>2131</v>
      </c>
      <c r="D34" s="8">
        <v>1</v>
      </c>
    </row>
    <row r="35" spans="1:4" x14ac:dyDescent="0.25">
      <c r="A35" s="8" t="s">
        <v>218</v>
      </c>
      <c r="B35" s="8" t="s">
        <v>2133</v>
      </c>
      <c r="C35" s="8" t="s">
        <v>1062</v>
      </c>
      <c r="D35" s="8">
        <v>1</v>
      </c>
    </row>
    <row r="36" spans="1:4" x14ac:dyDescent="0.25">
      <c r="A36" s="8" t="s">
        <v>225</v>
      </c>
      <c r="B36" s="8" t="s">
        <v>2133</v>
      </c>
      <c r="C36" s="8" t="s">
        <v>2131</v>
      </c>
      <c r="D36" s="8">
        <v>1</v>
      </c>
    </row>
    <row r="37" spans="1:4" x14ac:dyDescent="0.25">
      <c r="A37" s="8" t="s">
        <v>227</v>
      </c>
      <c r="B37" s="8" t="s">
        <v>2133</v>
      </c>
      <c r="C37" s="8" t="s">
        <v>2131</v>
      </c>
      <c r="D37" s="8">
        <v>1</v>
      </c>
    </row>
    <row r="38" spans="1:4" x14ac:dyDescent="0.25">
      <c r="A38" s="8" t="s">
        <v>231</v>
      </c>
      <c r="B38" s="8" t="s">
        <v>2133</v>
      </c>
      <c r="C38" s="8" t="s">
        <v>2131</v>
      </c>
      <c r="D38" s="8">
        <v>1</v>
      </c>
    </row>
    <row r="39" spans="1:4" x14ac:dyDescent="0.25">
      <c r="A39" s="8" t="s">
        <v>234</v>
      </c>
      <c r="B39" s="8" t="s">
        <v>2133</v>
      </c>
      <c r="C39" s="8" t="s">
        <v>2131</v>
      </c>
      <c r="D39" s="8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3"/>
  <sheetViews>
    <sheetView topLeftCell="BD1" workbookViewId="0">
      <selection activeCell="BI8" sqref="BI8"/>
    </sheetView>
  </sheetViews>
  <sheetFormatPr defaultRowHeight="15" x14ac:dyDescent="0.25"/>
  <cols>
    <col min="1" max="1" width="25" bestFit="1" customWidth="1"/>
    <col min="2" max="2" width="10.28515625" customWidth="1"/>
    <col min="3" max="5" width="12.42578125" customWidth="1"/>
    <col min="6" max="6" width="9.85546875" customWidth="1"/>
    <col min="7" max="8" width="12.42578125" customWidth="1"/>
    <col min="9" max="10" width="9.85546875" customWidth="1"/>
    <col min="11" max="13" width="12.42578125" customWidth="1"/>
    <col min="14" max="14" width="9.85546875" customWidth="1"/>
    <col min="15" max="15" width="12.42578125" customWidth="1"/>
    <col min="16" max="16" width="9.85546875" customWidth="1"/>
    <col min="17" max="17" width="12.42578125" customWidth="1"/>
    <col min="18" max="18" width="11.7109375" customWidth="1"/>
    <col min="19" max="21" width="9.85546875" customWidth="1"/>
    <col min="22" max="41" width="10.85546875" customWidth="1"/>
    <col min="42" max="42" width="10.28515625" customWidth="1"/>
    <col min="43" max="47" width="10.85546875" customWidth="1"/>
    <col min="48" max="48" width="11" customWidth="1"/>
    <col min="49" max="51" width="10.85546875" customWidth="1"/>
    <col min="52" max="53" width="12.5703125" customWidth="1"/>
    <col min="54" max="56" width="13.5703125" customWidth="1"/>
    <col min="57" max="59" width="12.5703125" customWidth="1"/>
    <col min="60" max="60" width="13.5703125" customWidth="1"/>
    <col min="61" max="63" width="14.5703125" customWidth="1"/>
    <col min="64" max="65" width="13.5703125" customWidth="1"/>
    <col min="66" max="67" width="13.7109375" customWidth="1"/>
    <col min="68" max="68" width="19.85546875" customWidth="1"/>
  </cols>
  <sheetData>
    <row r="1" spans="1:68" x14ac:dyDescent="0.25">
      <c r="A1" t="s">
        <v>0</v>
      </c>
      <c r="B1" t="s">
        <v>2151</v>
      </c>
      <c r="C1" t="s">
        <v>1776</v>
      </c>
      <c r="D1" t="s">
        <v>1777</v>
      </c>
      <c r="E1" t="s">
        <v>1778</v>
      </c>
      <c r="F1" t="s">
        <v>656</v>
      </c>
      <c r="G1" t="s">
        <v>1781</v>
      </c>
      <c r="H1" t="s">
        <v>1782</v>
      </c>
      <c r="I1" t="s">
        <v>462</v>
      </c>
      <c r="J1" t="s">
        <v>839</v>
      </c>
      <c r="K1" t="s">
        <v>1783</v>
      </c>
      <c r="L1" t="s">
        <v>1784</v>
      </c>
      <c r="M1" t="s">
        <v>1785</v>
      </c>
      <c r="N1" t="s">
        <v>468</v>
      </c>
      <c r="O1" t="s">
        <v>1786</v>
      </c>
      <c r="P1" t="s">
        <v>864</v>
      </c>
      <c r="Q1" t="s">
        <v>1787</v>
      </c>
      <c r="R1" t="s">
        <v>2191</v>
      </c>
      <c r="S1" t="s">
        <v>473</v>
      </c>
      <c r="T1" t="s">
        <v>481</v>
      </c>
      <c r="U1" t="s">
        <v>422</v>
      </c>
      <c r="V1" t="s">
        <v>423</v>
      </c>
      <c r="W1" t="s">
        <v>505</v>
      </c>
      <c r="X1" t="s">
        <v>511</v>
      </c>
      <c r="Y1" t="s">
        <v>598</v>
      </c>
      <c r="Z1" t="s">
        <v>424</v>
      </c>
      <c r="AA1" t="s">
        <v>425</v>
      </c>
      <c r="AB1" t="s">
        <v>426</v>
      </c>
      <c r="AC1" t="s">
        <v>427</v>
      </c>
      <c r="AD1" t="s">
        <v>428</v>
      </c>
      <c r="AE1" t="s">
        <v>429</v>
      </c>
      <c r="AF1" t="s">
        <v>430</v>
      </c>
      <c r="AG1" t="s">
        <v>431</v>
      </c>
      <c r="AH1" t="s">
        <v>432</v>
      </c>
      <c r="AI1" t="s">
        <v>433</v>
      </c>
      <c r="AJ1" t="s">
        <v>512</v>
      </c>
      <c r="AK1" t="s">
        <v>487</v>
      </c>
      <c r="AL1" t="s">
        <v>495</v>
      </c>
      <c r="AM1" t="s">
        <v>434</v>
      </c>
      <c r="AN1" t="s">
        <v>435</v>
      </c>
      <c r="AO1" t="s">
        <v>438</v>
      </c>
      <c r="AP1" t="s">
        <v>1042</v>
      </c>
      <c r="AQ1" t="s">
        <v>738</v>
      </c>
      <c r="AR1" t="s">
        <v>436</v>
      </c>
      <c r="AS1" t="s">
        <v>742</v>
      </c>
      <c r="AT1" t="s">
        <v>750</v>
      </c>
      <c r="AU1" t="s">
        <v>437</v>
      </c>
      <c r="AV1" t="s">
        <v>2152</v>
      </c>
      <c r="AW1" t="s">
        <v>517</v>
      </c>
      <c r="AX1" t="s">
        <v>888</v>
      </c>
      <c r="AY1" t="s">
        <v>518</v>
      </c>
      <c r="AZ1" t="s">
        <v>1051</v>
      </c>
      <c r="BA1" t="s">
        <v>947</v>
      </c>
      <c r="BB1" t="s">
        <v>948</v>
      </c>
      <c r="BC1" t="s">
        <v>949</v>
      </c>
      <c r="BD1" t="s">
        <v>950</v>
      </c>
      <c r="BE1" t="s">
        <v>951</v>
      </c>
      <c r="BF1" t="s">
        <v>952</v>
      </c>
      <c r="BG1" t="s">
        <v>953</v>
      </c>
      <c r="BH1" t="s">
        <v>954</v>
      </c>
      <c r="BI1" t="s">
        <v>955</v>
      </c>
      <c r="BJ1" t="s">
        <v>956</v>
      </c>
      <c r="BK1" t="s">
        <v>802</v>
      </c>
      <c r="BL1" t="s">
        <v>803</v>
      </c>
      <c r="BM1" t="s">
        <v>804</v>
      </c>
      <c r="BN1" t="s">
        <v>2188</v>
      </c>
      <c r="BO1" t="s">
        <v>2189</v>
      </c>
      <c r="BP1" t="s">
        <v>2412</v>
      </c>
    </row>
    <row r="2" spans="1:68" x14ac:dyDescent="0.25">
      <c r="A2" t="s">
        <v>6</v>
      </c>
    </row>
    <row r="3" spans="1:68" x14ac:dyDescent="0.25">
      <c r="A3" t="s">
        <v>11</v>
      </c>
      <c r="B3">
        <v>13</v>
      </c>
    </row>
    <row r="4" spans="1:68" x14ac:dyDescent="0.25">
      <c r="A4" t="s">
        <v>12</v>
      </c>
      <c r="F4">
        <v>28</v>
      </c>
    </row>
    <row r="5" spans="1:68" x14ac:dyDescent="0.25">
      <c r="A5" t="s">
        <v>16</v>
      </c>
      <c r="B5">
        <v>15</v>
      </c>
    </row>
    <row r="6" spans="1:68" x14ac:dyDescent="0.25">
      <c r="A6" t="s">
        <v>18</v>
      </c>
    </row>
    <row r="7" spans="1:68" x14ac:dyDescent="0.25">
      <c r="A7" t="s">
        <v>20</v>
      </c>
      <c r="B7">
        <v>5300</v>
      </c>
      <c r="C7">
        <v>136</v>
      </c>
    </row>
    <row r="8" spans="1:68" x14ac:dyDescent="0.25">
      <c r="A8" t="s">
        <v>22</v>
      </c>
      <c r="B8">
        <v>14</v>
      </c>
      <c r="U8">
        <v>13</v>
      </c>
      <c r="V8">
        <v>26</v>
      </c>
      <c r="Z8">
        <v>42</v>
      </c>
      <c r="AA8">
        <v>88</v>
      </c>
      <c r="AB8">
        <v>104</v>
      </c>
      <c r="AC8">
        <v>125</v>
      </c>
      <c r="AD8">
        <v>105</v>
      </c>
      <c r="AE8">
        <v>70</v>
      </c>
      <c r="AF8">
        <v>51</v>
      </c>
      <c r="AG8">
        <v>41</v>
      </c>
      <c r="AH8">
        <v>36</v>
      </c>
      <c r="AI8">
        <v>21</v>
      </c>
      <c r="AM8">
        <v>17</v>
      </c>
      <c r="AN8">
        <v>14</v>
      </c>
      <c r="AO8">
        <v>12</v>
      </c>
      <c r="AR8">
        <v>13</v>
      </c>
      <c r="AU8">
        <v>13</v>
      </c>
      <c r="BP8">
        <v>125</v>
      </c>
    </row>
    <row r="9" spans="1:68" x14ac:dyDescent="0.25">
      <c r="A9" t="s">
        <v>24</v>
      </c>
      <c r="B9">
        <v>40</v>
      </c>
    </row>
    <row r="10" spans="1:68" x14ac:dyDescent="0.25">
      <c r="A10" t="s">
        <v>26</v>
      </c>
      <c r="B10" t="s">
        <v>457</v>
      </c>
      <c r="I10">
        <v>52</v>
      </c>
      <c r="N10">
        <v>4125</v>
      </c>
      <c r="S10">
        <v>2577</v>
      </c>
      <c r="T10">
        <v>1223</v>
      </c>
      <c r="AA10">
        <v>132</v>
      </c>
      <c r="AK10">
        <v>269</v>
      </c>
      <c r="AL10">
        <v>125</v>
      </c>
    </row>
    <row r="11" spans="1:68" x14ac:dyDescent="0.25">
      <c r="A11" t="s">
        <v>28</v>
      </c>
    </row>
    <row r="12" spans="1:68" x14ac:dyDescent="0.25">
      <c r="A12" t="s">
        <v>30</v>
      </c>
      <c r="N12">
        <v>25</v>
      </c>
    </row>
    <row r="13" spans="1:68" x14ac:dyDescent="0.25">
      <c r="A13" t="s">
        <v>32</v>
      </c>
      <c r="B13">
        <v>6600</v>
      </c>
      <c r="W13">
        <v>23</v>
      </c>
      <c r="AV13">
        <v>23</v>
      </c>
    </row>
    <row r="14" spans="1:68" x14ac:dyDescent="0.25">
      <c r="A14" t="s">
        <v>34</v>
      </c>
      <c r="B14">
        <v>9</v>
      </c>
      <c r="X14">
        <v>22</v>
      </c>
      <c r="AG14">
        <v>47</v>
      </c>
      <c r="AJ14">
        <v>18</v>
      </c>
      <c r="AW14">
        <v>13</v>
      </c>
      <c r="AY14">
        <v>17</v>
      </c>
    </row>
    <row r="15" spans="1:68" x14ac:dyDescent="0.25">
      <c r="A15" t="s">
        <v>36</v>
      </c>
    </row>
    <row r="16" spans="1:68" x14ac:dyDescent="0.25">
      <c r="A16" t="s">
        <v>37</v>
      </c>
      <c r="B16">
        <v>20</v>
      </c>
    </row>
    <row r="17" spans="1:30" x14ac:dyDescent="0.25">
      <c r="A17" t="s">
        <v>40</v>
      </c>
      <c r="B17">
        <v>75</v>
      </c>
    </row>
    <row r="18" spans="1:30" x14ac:dyDescent="0.25">
      <c r="A18" t="s">
        <v>42</v>
      </c>
    </row>
    <row r="19" spans="1:30" x14ac:dyDescent="0.25">
      <c r="A19" t="s">
        <v>43</v>
      </c>
    </row>
    <row r="20" spans="1:30" x14ac:dyDescent="0.25">
      <c r="A20" t="s">
        <v>44</v>
      </c>
      <c r="B20">
        <v>25</v>
      </c>
    </row>
    <row r="21" spans="1:30" x14ac:dyDescent="0.25">
      <c r="A21" t="s">
        <v>46</v>
      </c>
      <c r="B21">
        <v>20</v>
      </c>
      <c r="C21">
        <v>29</v>
      </c>
    </row>
    <row r="22" spans="1:30" x14ac:dyDescent="0.25">
      <c r="A22" t="s">
        <v>48</v>
      </c>
    </row>
    <row r="23" spans="1:30" x14ac:dyDescent="0.25">
      <c r="A23" t="s">
        <v>50</v>
      </c>
      <c r="B23" t="s">
        <v>539</v>
      </c>
      <c r="I23">
        <v>1.85</v>
      </c>
      <c r="AD23">
        <v>1.6</v>
      </c>
    </row>
    <row r="24" spans="1:30" x14ac:dyDescent="0.25">
      <c r="A24" t="s">
        <v>52</v>
      </c>
    </row>
    <row r="25" spans="1:30" x14ac:dyDescent="0.25">
      <c r="A25" t="s">
        <v>53</v>
      </c>
      <c r="B25">
        <v>302</v>
      </c>
    </row>
    <row r="26" spans="1:30" x14ac:dyDescent="0.25">
      <c r="A26" t="s">
        <v>55</v>
      </c>
    </row>
    <row r="27" spans="1:30" x14ac:dyDescent="0.25">
      <c r="A27" t="s">
        <v>57</v>
      </c>
    </row>
    <row r="28" spans="1:30" x14ac:dyDescent="0.25">
      <c r="A28" t="s">
        <v>59</v>
      </c>
    </row>
    <row r="29" spans="1:30" x14ac:dyDescent="0.25">
      <c r="A29" t="s">
        <v>60</v>
      </c>
      <c r="B29">
        <v>7</v>
      </c>
    </row>
    <row r="30" spans="1:30" x14ac:dyDescent="0.25">
      <c r="A30" t="s">
        <v>62</v>
      </c>
      <c r="B30" t="s">
        <v>1780</v>
      </c>
      <c r="C30" t="s">
        <v>1779</v>
      </c>
    </row>
    <row r="31" spans="1:30" x14ac:dyDescent="0.25">
      <c r="A31" t="s">
        <v>64</v>
      </c>
    </row>
    <row r="32" spans="1:30" x14ac:dyDescent="0.25">
      <c r="A32" t="s">
        <v>65</v>
      </c>
    </row>
    <row r="33" spans="1:49" x14ac:dyDescent="0.25">
      <c r="A33" t="s">
        <v>66</v>
      </c>
      <c r="B33">
        <v>19</v>
      </c>
      <c r="Y33">
        <v>127</v>
      </c>
      <c r="Z33">
        <v>66</v>
      </c>
    </row>
    <row r="34" spans="1:49" x14ac:dyDescent="0.25">
      <c r="A34" t="s">
        <v>68</v>
      </c>
      <c r="B34">
        <v>360</v>
      </c>
    </row>
    <row r="35" spans="1:49" x14ac:dyDescent="0.25">
      <c r="A35" t="s">
        <v>69</v>
      </c>
    </row>
    <row r="36" spans="1:49" x14ac:dyDescent="0.25">
      <c r="A36" t="s">
        <v>71</v>
      </c>
      <c r="B36">
        <v>1260</v>
      </c>
    </row>
    <row r="37" spans="1:49" x14ac:dyDescent="0.25">
      <c r="A37" t="s">
        <v>73</v>
      </c>
    </row>
    <row r="38" spans="1:49" x14ac:dyDescent="0.25">
      <c r="A38" t="s">
        <v>74</v>
      </c>
      <c r="F38" t="s">
        <v>2023</v>
      </c>
      <c r="I38" t="s">
        <v>2015</v>
      </c>
      <c r="S38" t="s">
        <v>1869</v>
      </c>
      <c r="Z38" t="s">
        <v>1078</v>
      </c>
    </row>
    <row r="39" spans="1:49" x14ac:dyDescent="0.25">
      <c r="A39" t="s">
        <v>76</v>
      </c>
      <c r="B39">
        <v>39</v>
      </c>
      <c r="N39">
        <v>25</v>
      </c>
    </row>
    <row r="40" spans="1:49" x14ac:dyDescent="0.25">
      <c r="A40" t="s">
        <v>78</v>
      </c>
      <c r="B40">
        <v>15</v>
      </c>
      <c r="AO40">
        <v>15</v>
      </c>
      <c r="AQ40">
        <v>18</v>
      </c>
      <c r="AS40">
        <v>506</v>
      </c>
      <c r="AT40">
        <v>4563</v>
      </c>
      <c r="AU40">
        <v>4396</v>
      </c>
      <c r="AW40">
        <v>1897</v>
      </c>
    </row>
    <row r="41" spans="1:49" x14ac:dyDescent="0.25">
      <c r="A41" t="s">
        <v>80</v>
      </c>
      <c r="B41">
        <v>1485</v>
      </c>
      <c r="F41">
        <v>1614</v>
      </c>
      <c r="N41">
        <v>1728</v>
      </c>
      <c r="T41">
        <v>912</v>
      </c>
    </row>
    <row r="42" spans="1:49" x14ac:dyDescent="0.25">
      <c r="A42" t="s">
        <v>82</v>
      </c>
      <c r="B42">
        <v>161</v>
      </c>
      <c r="AA42">
        <v>20.5</v>
      </c>
    </row>
    <row r="43" spans="1:49" x14ac:dyDescent="0.25">
      <c r="A43" t="s">
        <v>84</v>
      </c>
    </row>
    <row r="44" spans="1:49" x14ac:dyDescent="0.25">
      <c r="A44" t="s">
        <v>85</v>
      </c>
      <c r="B44">
        <v>258</v>
      </c>
      <c r="T44">
        <v>71</v>
      </c>
    </row>
    <row r="45" spans="1:49" x14ac:dyDescent="0.25">
      <c r="A45" t="s">
        <v>87</v>
      </c>
      <c r="B45" t="s">
        <v>1956</v>
      </c>
      <c r="F45" t="s">
        <v>1957</v>
      </c>
      <c r="S45" t="s">
        <v>1958</v>
      </c>
      <c r="U45" t="s">
        <v>1959</v>
      </c>
    </row>
    <row r="46" spans="1:49" x14ac:dyDescent="0.25">
      <c r="A46" t="s">
        <v>89</v>
      </c>
      <c r="B46">
        <v>10499</v>
      </c>
      <c r="C46">
        <v>7931</v>
      </c>
      <c r="D46">
        <v>3657</v>
      </c>
    </row>
    <row r="47" spans="1:49" x14ac:dyDescent="0.25">
      <c r="A47" t="s">
        <v>91</v>
      </c>
    </row>
    <row r="48" spans="1:49" x14ac:dyDescent="0.25">
      <c r="A48" t="s">
        <v>92</v>
      </c>
    </row>
    <row r="49" spans="1:67" x14ac:dyDescent="0.25">
      <c r="A49" t="s">
        <v>93</v>
      </c>
      <c r="B49">
        <v>22</v>
      </c>
      <c r="F49">
        <v>22</v>
      </c>
      <c r="T49">
        <v>36</v>
      </c>
      <c r="X49">
        <v>18</v>
      </c>
      <c r="AE49">
        <v>17</v>
      </c>
    </row>
    <row r="50" spans="1:67" x14ac:dyDescent="0.25">
      <c r="A50" t="s">
        <v>95</v>
      </c>
      <c r="B50">
        <v>38</v>
      </c>
      <c r="BK50">
        <v>64</v>
      </c>
      <c r="BL50">
        <v>53</v>
      </c>
      <c r="BM50">
        <v>54</v>
      </c>
      <c r="BN50">
        <v>57</v>
      </c>
      <c r="BO50">
        <v>57</v>
      </c>
    </row>
    <row r="51" spans="1:67" x14ac:dyDescent="0.25">
      <c r="A51" t="s">
        <v>97</v>
      </c>
    </row>
    <row r="52" spans="1:67" x14ac:dyDescent="0.25">
      <c r="A52" t="s">
        <v>99</v>
      </c>
    </row>
    <row r="53" spans="1:67" x14ac:dyDescent="0.25">
      <c r="A53" t="s">
        <v>100</v>
      </c>
    </row>
    <row r="54" spans="1:67" x14ac:dyDescent="0.25">
      <c r="A54" t="s">
        <v>101</v>
      </c>
    </row>
    <row r="55" spans="1:67" x14ac:dyDescent="0.25">
      <c r="A55" t="s">
        <v>102</v>
      </c>
    </row>
    <row r="56" spans="1:67" x14ac:dyDescent="0.25">
      <c r="A56" t="s">
        <v>103</v>
      </c>
      <c r="B56" t="s">
        <v>1960</v>
      </c>
      <c r="I56">
        <v>1423</v>
      </c>
      <c r="J56" t="s">
        <v>1961</v>
      </c>
    </row>
    <row r="57" spans="1:67" x14ac:dyDescent="0.25">
      <c r="A57" t="s">
        <v>105</v>
      </c>
    </row>
    <row r="58" spans="1:67" x14ac:dyDescent="0.25">
      <c r="A58" t="s">
        <v>106</v>
      </c>
    </row>
    <row r="59" spans="1:67" x14ac:dyDescent="0.25">
      <c r="A59" t="s">
        <v>107</v>
      </c>
    </row>
    <row r="60" spans="1:67" x14ac:dyDescent="0.25">
      <c r="A60" t="s">
        <v>108</v>
      </c>
    </row>
    <row r="61" spans="1:67" x14ac:dyDescent="0.25">
      <c r="A61" t="s">
        <v>109</v>
      </c>
    </row>
    <row r="62" spans="1:67" x14ac:dyDescent="0.25">
      <c r="A62" t="s">
        <v>110</v>
      </c>
    </row>
    <row r="63" spans="1:67" x14ac:dyDescent="0.25">
      <c r="A63" t="s">
        <v>111</v>
      </c>
    </row>
    <row r="64" spans="1:67" x14ac:dyDescent="0.25">
      <c r="A64" t="s">
        <v>112</v>
      </c>
    </row>
    <row r="65" spans="1:50" x14ac:dyDescent="0.25">
      <c r="A65" t="s">
        <v>113</v>
      </c>
    </row>
    <row r="66" spans="1:50" x14ac:dyDescent="0.25">
      <c r="A66" t="s">
        <v>115</v>
      </c>
    </row>
    <row r="67" spans="1:50" x14ac:dyDescent="0.25">
      <c r="A67" t="s">
        <v>116</v>
      </c>
    </row>
    <row r="68" spans="1:50" x14ac:dyDescent="0.25">
      <c r="A68" t="s">
        <v>117</v>
      </c>
    </row>
    <row r="69" spans="1:50" x14ac:dyDescent="0.25">
      <c r="A69" t="s">
        <v>119</v>
      </c>
      <c r="B69">
        <v>73</v>
      </c>
      <c r="F69">
        <v>81</v>
      </c>
      <c r="I69">
        <v>57</v>
      </c>
      <c r="S69">
        <v>15</v>
      </c>
    </row>
    <row r="70" spans="1:50" x14ac:dyDescent="0.25">
      <c r="A70" t="s">
        <v>120</v>
      </c>
      <c r="B70" t="s">
        <v>854</v>
      </c>
    </row>
    <row r="71" spans="1:50" x14ac:dyDescent="0.25">
      <c r="A71" t="s">
        <v>122</v>
      </c>
    </row>
    <row r="72" spans="1:50" x14ac:dyDescent="0.25">
      <c r="A72" t="s">
        <v>123</v>
      </c>
    </row>
    <row r="73" spans="1:50" x14ac:dyDescent="0.25">
      <c r="A73" t="s">
        <v>125</v>
      </c>
      <c r="B73">
        <v>30</v>
      </c>
      <c r="F73">
        <v>167</v>
      </c>
      <c r="J73">
        <v>1890</v>
      </c>
      <c r="N73">
        <v>447</v>
      </c>
      <c r="P73">
        <v>156</v>
      </c>
      <c r="T73">
        <v>45</v>
      </c>
      <c r="U73">
        <v>38</v>
      </c>
      <c r="W73">
        <v>33</v>
      </c>
      <c r="X73">
        <v>39</v>
      </c>
      <c r="Y73">
        <v>37</v>
      </c>
      <c r="Z73">
        <v>37</v>
      </c>
      <c r="AA73">
        <v>40</v>
      </c>
    </row>
    <row r="74" spans="1:50" x14ac:dyDescent="0.25">
      <c r="A74" t="s">
        <v>126</v>
      </c>
    </row>
    <row r="75" spans="1:50" x14ac:dyDescent="0.25">
      <c r="A75" t="s">
        <v>127</v>
      </c>
      <c r="B75">
        <v>11.5</v>
      </c>
      <c r="X75">
        <v>61</v>
      </c>
    </row>
    <row r="76" spans="1:50" x14ac:dyDescent="0.25">
      <c r="A76" t="s">
        <v>128</v>
      </c>
      <c r="B76">
        <v>64</v>
      </c>
      <c r="P76">
        <v>338</v>
      </c>
      <c r="T76">
        <v>705</v>
      </c>
      <c r="AX76">
        <v>24</v>
      </c>
    </row>
    <row r="77" spans="1:50" x14ac:dyDescent="0.25">
      <c r="A77" t="s">
        <v>131</v>
      </c>
      <c r="B77" t="s">
        <v>1962</v>
      </c>
      <c r="F77">
        <v>126</v>
      </c>
    </row>
    <row r="78" spans="1:50" x14ac:dyDescent="0.25">
      <c r="A78" t="s">
        <v>133</v>
      </c>
    </row>
    <row r="79" spans="1:50" x14ac:dyDescent="0.25">
      <c r="A79" t="s">
        <v>134</v>
      </c>
      <c r="B79">
        <v>3306</v>
      </c>
    </row>
    <row r="80" spans="1:50" x14ac:dyDescent="0.25">
      <c r="A80" t="s">
        <v>136</v>
      </c>
    </row>
    <row r="81" spans="1:22" x14ac:dyDescent="0.25">
      <c r="A81" t="s">
        <v>138</v>
      </c>
      <c r="B81" t="s">
        <v>1963</v>
      </c>
      <c r="F81" t="s">
        <v>1964</v>
      </c>
      <c r="J81" t="s">
        <v>1965</v>
      </c>
      <c r="P81">
        <v>495</v>
      </c>
    </row>
    <row r="82" spans="1:22" x14ac:dyDescent="0.25">
      <c r="A82" t="s">
        <v>140</v>
      </c>
    </row>
    <row r="83" spans="1:22" x14ac:dyDescent="0.25">
      <c r="A83" t="s">
        <v>142</v>
      </c>
    </row>
    <row r="84" spans="1:22" x14ac:dyDescent="0.25">
      <c r="A84" t="s">
        <v>143</v>
      </c>
    </row>
    <row r="85" spans="1:22" x14ac:dyDescent="0.25">
      <c r="A85" t="s">
        <v>144</v>
      </c>
    </row>
    <row r="86" spans="1:22" x14ac:dyDescent="0.25">
      <c r="A86" t="s">
        <v>145</v>
      </c>
    </row>
    <row r="87" spans="1:22" x14ac:dyDescent="0.25">
      <c r="A87" t="s">
        <v>146</v>
      </c>
    </row>
    <row r="88" spans="1:22" x14ac:dyDescent="0.25">
      <c r="A88" t="s">
        <v>147</v>
      </c>
    </row>
    <row r="89" spans="1:22" x14ac:dyDescent="0.25">
      <c r="A89" t="s">
        <v>148</v>
      </c>
    </row>
    <row r="90" spans="1:22" x14ac:dyDescent="0.25">
      <c r="A90" t="s">
        <v>149</v>
      </c>
    </row>
    <row r="91" spans="1:22" x14ac:dyDescent="0.25">
      <c r="A91" t="s">
        <v>150</v>
      </c>
      <c r="B91">
        <v>1326</v>
      </c>
    </row>
    <row r="92" spans="1:22" x14ac:dyDescent="0.25">
      <c r="A92" t="s">
        <v>151</v>
      </c>
    </row>
    <row r="93" spans="1:22" x14ac:dyDescent="0.25">
      <c r="A93" t="s">
        <v>321</v>
      </c>
      <c r="B93">
        <v>1000</v>
      </c>
      <c r="V93">
        <v>103</v>
      </c>
    </row>
    <row r="94" spans="1:22" x14ac:dyDescent="0.25">
      <c r="A94" t="s">
        <v>152</v>
      </c>
      <c r="B94">
        <v>2600</v>
      </c>
      <c r="C94">
        <v>1364</v>
      </c>
      <c r="D94">
        <v>2604</v>
      </c>
    </row>
    <row r="95" spans="1:22" x14ac:dyDescent="0.25">
      <c r="A95" t="s">
        <v>153</v>
      </c>
      <c r="B95">
        <v>74</v>
      </c>
      <c r="F95">
        <v>16</v>
      </c>
      <c r="I95">
        <v>15</v>
      </c>
      <c r="J95">
        <v>774</v>
      </c>
      <c r="K95">
        <v>4458</v>
      </c>
      <c r="L95">
        <v>5586</v>
      </c>
      <c r="M95">
        <v>5945</v>
      </c>
      <c r="N95">
        <v>5322</v>
      </c>
    </row>
    <row r="96" spans="1:22" x14ac:dyDescent="0.25">
      <c r="A96" t="s">
        <v>155</v>
      </c>
      <c r="B96">
        <v>66</v>
      </c>
    </row>
    <row r="97" spans="1:62" x14ac:dyDescent="0.25">
      <c r="A97" t="s">
        <v>157</v>
      </c>
      <c r="B97">
        <v>63</v>
      </c>
      <c r="J97">
        <v>60</v>
      </c>
      <c r="T97">
        <v>21</v>
      </c>
      <c r="Z97">
        <v>13</v>
      </c>
    </row>
    <row r="98" spans="1:62" x14ac:dyDescent="0.25">
      <c r="A98" t="s">
        <v>158</v>
      </c>
      <c r="B98">
        <v>20</v>
      </c>
      <c r="F98">
        <v>13</v>
      </c>
      <c r="G98">
        <v>21</v>
      </c>
      <c r="H98">
        <v>30</v>
      </c>
      <c r="I98">
        <v>36</v>
      </c>
      <c r="J98">
        <v>32</v>
      </c>
      <c r="N98">
        <v>2195</v>
      </c>
      <c r="O98">
        <v>1171</v>
      </c>
      <c r="P98">
        <v>981</v>
      </c>
      <c r="Q98">
        <v>746</v>
      </c>
      <c r="R98">
        <v>490</v>
      </c>
      <c r="S98">
        <v>288</v>
      </c>
    </row>
    <row r="99" spans="1:62" x14ac:dyDescent="0.25">
      <c r="A99" t="s">
        <v>160</v>
      </c>
    </row>
    <row r="100" spans="1:62" x14ac:dyDescent="0.25">
      <c r="A100" t="s">
        <v>162</v>
      </c>
    </row>
    <row r="101" spans="1:62" x14ac:dyDescent="0.25">
      <c r="A101" t="s">
        <v>163</v>
      </c>
    </row>
    <row r="102" spans="1:62" x14ac:dyDescent="0.25">
      <c r="A102" t="s">
        <v>164</v>
      </c>
    </row>
    <row r="103" spans="1:62" x14ac:dyDescent="0.25">
      <c r="A103" t="s">
        <v>165</v>
      </c>
    </row>
    <row r="104" spans="1:62" x14ac:dyDescent="0.25">
      <c r="A104" t="s">
        <v>166</v>
      </c>
      <c r="B104">
        <v>83</v>
      </c>
      <c r="F104">
        <v>96</v>
      </c>
      <c r="I104">
        <v>84</v>
      </c>
    </row>
    <row r="105" spans="1:62" x14ac:dyDescent="0.25">
      <c r="A105" t="s">
        <v>167</v>
      </c>
      <c r="B105">
        <v>2215</v>
      </c>
    </row>
    <row r="106" spans="1:62" x14ac:dyDescent="0.25">
      <c r="A106" t="s">
        <v>169</v>
      </c>
    </row>
    <row r="107" spans="1:62" x14ac:dyDescent="0.25">
      <c r="A107" t="s">
        <v>170</v>
      </c>
    </row>
    <row r="108" spans="1:62" x14ac:dyDescent="0.25">
      <c r="A108" t="s">
        <v>172</v>
      </c>
    </row>
    <row r="109" spans="1:62" x14ac:dyDescent="0.25">
      <c r="A109" t="s">
        <v>173</v>
      </c>
      <c r="B109">
        <v>1639</v>
      </c>
      <c r="C109">
        <v>1054</v>
      </c>
      <c r="F109">
        <v>879</v>
      </c>
      <c r="G109">
        <v>658</v>
      </c>
      <c r="I109">
        <v>511</v>
      </c>
      <c r="J109">
        <v>241</v>
      </c>
      <c r="P109">
        <v>78</v>
      </c>
    </row>
    <row r="110" spans="1:62" x14ac:dyDescent="0.25">
      <c r="A110" t="s">
        <v>175</v>
      </c>
      <c r="B110">
        <v>6</v>
      </c>
      <c r="BA110">
        <v>12</v>
      </c>
      <c r="BB110">
        <v>150</v>
      </c>
      <c r="BC110">
        <v>57</v>
      </c>
      <c r="BD110">
        <v>42</v>
      </c>
      <c r="BE110">
        <v>97</v>
      </c>
      <c r="BF110">
        <v>90</v>
      </c>
      <c r="BG110">
        <v>15</v>
      </c>
      <c r="BH110">
        <v>12</v>
      </c>
      <c r="BI110">
        <v>18</v>
      </c>
      <c r="BJ110">
        <v>8</v>
      </c>
    </row>
    <row r="111" spans="1:62" x14ac:dyDescent="0.25">
      <c r="A111" t="s">
        <v>176</v>
      </c>
      <c r="B111">
        <v>58</v>
      </c>
    </row>
    <row r="112" spans="1:62" x14ac:dyDescent="0.25">
      <c r="A112" t="s">
        <v>177</v>
      </c>
    </row>
    <row r="113" spans="1:52" x14ac:dyDescent="0.25">
      <c r="A113" t="s">
        <v>178</v>
      </c>
    </row>
    <row r="114" spans="1:52" x14ac:dyDescent="0.25">
      <c r="A114" t="s">
        <v>179</v>
      </c>
    </row>
    <row r="115" spans="1:52" x14ac:dyDescent="0.25">
      <c r="A115" t="s">
        <v>182</v>
      </c>
    </row>
    <row r="116" spans="1:52" x14ac:dyDescent="0.25">
      <c r="A116" t="s">
        <v>183</v>
      </c>
      <c r="B116">
        <v>26</v>
      </c>
      <c r="F116">
        <v>310</v>
      </c>
      <c r="G116">
        <v>420</v>
      </c>
      <c r="I116">
        <v>140</v>
      </c>
      <c r="J116">
        <v>28</v>
      </c>
    </row>
    <row r="117" spans="1:52" x14ac:dyDescent="0.25">
      <c r="A117" t="s">
        <v>185</v>
      </c>
    </row>
    <row r="118" spans="1:52" x14ac:dyDescent="0.25">
      <c r="A118" t="s">
        <v>187</v>
      </c>
      <c r="B118">
        <v>2706</v>
      </c>
    </row>
    <row r="119" spans="1:52" x14ac:dyDescent="0.25">
      <c r="A119" t="s">
        <v>189</v>
      </c>
      <c r="F119">
        <v>979</v>
      </c>
      <c r="I119">
        <v>272</v>
      </c>
    </row>
    <row r="120" spans="1:52" x14ac:dyDescent="0.25">
      <c r="A120" t="s">
        <v>191</v>
      </c>
      <c r="B120">
        <v>35</v>
      </c>
      <c r="I120">
        <v>19</v>
      </c>
    </row>
    <row r="121" spans="1:52" x14ac:dyDescent="0.25">
      <c r="A121" t="s">
        <v>192</v>
      </c>
    </row>
    <row r="122" spans="1:52" x14ac:dyDescent="0.25">
      <c r="A122" t="s">
        <v>194</v>
      </c>
      <c r="B122">
        <v>24</v>
      </c>
      <c r="AA122">
        <v>36</v>
      </c>
    </row>
    <row r="123" spans="1:52" x14ac:dyDescent="0.25">
      <c r="A123" t="s">
        <v>196</v>
      </c>
    </row>
    <row r="124" spans="1:52" x14ac:dyDescent="0.25">
      <c r="A124" t="s">
        <v>197</v>
      </c>
      <c r="AP124">
        <v>2439</v>
      </c>
    </row>
    <row r="125" spans="1:52" x14ac:dyDescent="0.25">
      <c r="A125" t="s">
        <v>199</v>
      </c>
      <c r="B125">
        <v>27</v>
      </c>
      <c r="AZ125">
        <v>9</v>
      </c>
    </row>
    <row r="126" spans="1:52" x14ac:dyDescent="0.25">
      <c r="A126" t="s">
        <v>200</v>
      </c>
      <c r="B126" t="s">
        <v>1966</v>
      </c>
      <c r="C126" t="s">
        <v>1967</v>
      </c>
      <c r="D126" t="s">
        <v>1075</v>
      </c>
    </row>
    <row r="127" spans="1:52" x14ac:dyDescent="0.25">
      <c r="A127" t="s">
        <v>201</v>
      </c>
    </row>
    <row r="128" spans="1:52" x14ac:dyDescent="0.25">
      <c r="A128" t="s">
        <v>202</v>
      </c>
      <c r="B128">
        <v>34</v>
      </c>
      <c r="P128">
        <v>14</v>
      </c>
      <c r="Z128">
        <v>9</v>
      </c>
      <c r="AG128">
        <v>11</v>
      </c>
      <c r="AL128">
        <v>10</v>
      </c>
    </row>
    <row r="129" spans="1:23" x14ac:dyDescent="0.25">
      <c r="A129" t="s">
        <v>294</v>
      </c>
      <c r="B129">
        <v>47</v>
      </c>
    </row>
    <row r="130" spans="1:23" x14ac:dyDescent="0.25">
      <c r="A130" t="s">
        <v>207</v>
      </c>
      <c r="B130">
        <v>41</v>
      </c>
      <c r="F130">
        <v>84</v>
      </c>
      <c r="P130">
        <v>36</v>
      </c>
    </row>
    <row r="131" spans="1:23" x14ac:dyDescent="0.25">
      <c r="A131" t="s">
        <v>208</v>
      </c>
    </row>
    <row r="132" spans="1:23" x14ac:dyDescent="0.25">
      <c r="A132" t="s">
        <v>1589</v>
      </c>
    </row>
    <row r="133" spans="1:23" x14ac:dyDescent="0.25">
      <c r="A133" t="s">
        <v>209</v>
      </c>
      <c r="U133">
        <v>28</v>
      </c>
    </row>
    <row r="134" spans="1:23" x14ac:dyDescent="0.25">
      <c r="A134" t="s">
        <v>211</v>
      </c>
      <c r="W134">
        <v>31</v>
      </c>
    </row>
    <row r="135" spans="1:23" x14ac:dyDescent="0.25">
      <c r="A135" t="s">
        <v>212</v>
      </c>
      <c r="B135">
        <v>16</v>
      </c>
    </row>
    <row r="136" spans="1:23" x14ac:dyDescent="0.25">
      <c r="A136" t="s">
        <v>214</v>
      </c>
    </row>
    <row r="137" spans="1:23" x14ac:dyDescent="0.25">
      <c r="A137" t="s">
        <v>216</v>
      </c>
    </row>
    <row r="138" spans="1:23" x14ac:dyDescent="0.25">
      <c r="A138" t="s">
        <v>218</v>
      </c>
    </row>
    <row r="139" spans="1:23" x14ac:dyDescent="0.25">
      <c r="A139" t="s">
        <v>220</v>
      </c>
      <c r="B139">
        <v>31</v>
      </c>
    </row>
    <row r="140" spans="1:23" x14ac:dyDescent="0.25">
      <c r="A140" t="s">
        <v>222</v>
      </c>
    </row>
    <row r="141" spans="1:23" x14ac:dyDescent="0.25">
      <c r="A141" t="s">
        <v>224</v>
      </c>
      <c r="B141">
        <v>740</v>
      </c>
    </row>
    <row r="142" spans="1:23" x14ac:dyDescent="0.25">
      <c r="A142" t="s">
        <v>225</v>
      </c>
      <c r="B142">
        <v>50</v>
      </c>
    </row>
    <row r="143" spans="1:23" x14ac:dyDescent="0.25">
      <c r="A143" t="s">
        <v>227</v>
      </c>
      <c r="B143">
        <v>51</v>
      </c>
    </row>
    <row r="144" spans="1:23" x14ac:dyDescent="0.25">
      <c r="A144" t="s">
        <v>229</v>
      </c>
      <c r="B144">
        <v>18</v>
      </c>
    </row>
    <row r="145" spans="1:26" x14ac:dyDescent="0.25">
      <c r="A145" t="s">
        <v>231</v>
      </c>
      <c r="B145">
        <v>1425</v>
      </c>
    </row>
    <row r="146" spans="1:26" x14ac:dyDescent="0.25">
      <c r="A146" t="s">
        <v>232</v>
      </c>
      <c r="B146">
        <v>21</v>
      </c>
    </row>
    <row r="147" spans="1:26" x14ac:dyDescent="0.25">
      <c r="A147" t="s">
        <v>234</v>
      </c>
      <c r="Z147">
        <v>21</v>
      </c>
    </row>
    <row r="148" spans="1:26" x14ac:dyDescent="0.25">
      <c r="A148" t="s">
        <v>236</v>
      </c>
    </row>
    <row r="149" spans="1:26" x14ac:dyDescent="0.25">
      <c r="A149" t="s">
        <v>1322</v>
      </c>
    </row>
    <row r="150" spans="1:26" x14ac:dyDescent="0.25">
      <c r="A150" t="s">
        <v>1323</v>
      </c>
    </row>
    <row r="151" spans="1:26" x14ac:dyDescent="0.25">
      <c r="A151" t="s">
        <v>1324</v>
      </c>
    </row>
    <row r="152" spans="1:26" x14ac:dyDescent="0.25">
      <c r="A152" t="s">
        <v>1325</v>
      </c>
    </row>
    <row r="153" spans="1:26" x14ac:dyDescent="0.25">
      <c r="A153" t="s">
        <v>1326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75"/>
  <sheetViews>
    <sheetView topLeftCell="A23" workbookViewId="0">
      <selection activeCell="C16" sqref="C16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127.140625" bestFit="1" customWidth="1"/>
    <col min="4" max="4" width="30.42578125" bestFit="1" customWidth="1"/>
  </cols>
  <sheetData>
    <row r="1" spans="1:4" x14ac:dyDescent="0.25">
      <c r="A1" s="29" t="s">
        <v>0</v>
      </c>
      <c r="B1" s="29" t="s">
        <v>2153</v>
      </c>
      <c r="C1" s="29" t="s">
        <v>2134</v>
      </c>
      <c r="D1" s="29" t="s">
        <v>2118</v>
      </c>
    </row>
    <row r="2" spans="1:4" x14ac:dyDescent="0.25">
      <c r="A2" s="8" t="s">
        <v>11</v>
      </c>
      <c r="B2" s="8" t="s">
        <v>2153</v>
      </c>
      <c r="C2" s="8" t="s">
        <v>2151</v>
      </c>
      <c r="D2" s="8">
        <v>1</v>
      </c>
    </row>
    <row r="3" spans="1:4" x14ac:dyDescent="0.25">
      <c r="A3" s="8" t="s">
        <v>12</v>
      </c>
      <c r="B3" s="8" t="s">
        <v>2153</v>
      </c>
      <c r="C3" s="8" t="s">
        <v>656</v>
      </c>
      <c r="D3" s="8">
        <v>1</v>
      </c>
    </row>
    <row r="4" spans="1:4" x14ac:dyDescent="0.25">
      <c r="A4" s="8" t="s">
        <v>16</v>
      </c>
      <c r="B4" s="8" t="s">
        <v>2153</v>
      </c>
      <c r="C4" s="8" t="s">
        <v>2151</v>
      </c>
      <c r="D4" s="8">
        <v>1</v>
      </c>
    </row>
    <row r="5" spans="1:4" x14ac:dyDescent="0.25">
      <c r="A5" s="8" t="s">
        <v>20</v>
      </c>
      <c r="B5" s="8" t="s">
        <v>2153</v>
      </c>
      <c r="C5" s="8" t="s">
        <v>2154</v>
      </c>
      <c r="D5" s="8">
        <v>2</v>
      </c>
    </row>
    <row r="6" spans="1:4" ht="45" x14ac:dyDescent="0.25">
      <c r="A6" s="8" t="s">
        <v>22</v>
      </c>
      <c r="B6" s="31" t="s">
        <v>2153</v>
      </c>
      <c r="C6" s="23" t="s">
        <v>2413</v>
      </c>
      <c r="D6" s="8">
        <v>19</v>
      </c>
    </row>
    <row r="7" spans="1:4" x14ac:dyDescent="0.25">
      <c r="A7" s="8" t="s">
        <v>24</v>
      </c>
      <c r="B7" s="8" t="s">
        <v>2153</v>
      </c>
      <c r="C7" s="8" t="s">
        <v>2151</v>
      </c>
      <c r="D7" s="8">
        <v>1</v>
      </c>
    </row>
    <row r="8" spans="1:4" x14ac:dyDescent="0.25">
      <c r="A8" s="8" t="s">
        <v>26</v>
      </c>
      <c r="B8" s="8" t="s">
        <v>2153</v>
      </c>
      <c r="C8" s="8" t="s">
        <v>2155</v>
      </c>
      <c r="D8" s="8">
        <v>8</v>
      </c>
    </row>
    <row r="9" spans="1:4" x14ac:dyDescent="0.25">
      <c r="A9" s="8" t="s">
        <v>30</v>
      </c>
      <c r="B9" s="8" t="s">
        <v>2153</v>
      </c>
      <c r="C9" s="8" t="s">
        <v>468</v>
      </c>
      <c r="D9" s="8">
        <v>1</v>
      </c>
    </row>
    <row r="10" spans="1:4" x14ac:dyDescent="0.25">
      <c r="A10" s="8" t="s">
        <v>32</v>
      </c>
      <c r="B10" s="8" t="s">
        <v>2153</v>
      </c>
      <c r="C10" s="8" t="s">
        <v>2414</v>
      </c>
      <c r="D10" s="8">
        <v>3</v>
      </c>
    </row>
    <row r="11" spans="1:4" x14ac:dyDescent="0.25">
      <c r="A11" s="8" t="s">
        <v>34</v>
      </c>
      <c r="B11" s="8" t="s">
        <v>2153</v>
      </c>
      <c r="C11" s="8" t="s">
        <v>2156</v>
      </c>
      <c r="D11" s="8">
        <v>6</v>
      </c>
    </row>
    <row r="12" spans="1:4" x14ac:dyDescent="0.25">
      <c r="A12" s="8" t="s">
        <v>37</v>
      </c>
      <c r="B12" s="8" t="s">
        <v>2153</v>
      </c>
      <c r="C12" s="8" t="s">
        <v>2151</v>
      </c>
      <c r="D12" s="8">
        <v>1</v>
      </c>
    </row>
    <row r="13" spans="1:4" x14ac:dyDescent="0.25">
      <c r="A13" s="8" t="s">
        <v>40</v>
      </c>
      <c r="B13" s="8" t="s">
        <v>2153</v>
      </c>
      <c r="C13" s="8" t="s">
        <v>2151</v>
      </c>
      <c r="D13" s="8">
        <v>1</v>
      </c>
    </row>
    <row r="14" spans="1:4" x14ac:dyDescent="0.25">
      <c r="A14" s="8" t="s">
        <v>44</v>
      </c>
      <c r="B14" s="8" t="s">
        <v>2153</v>
      </c>
      <c r="C14" s="8" t="s">
        <v>2151</v>
      </c>
      <c r="D14" s="8">
        <v>1</v>
      </c>
    </row>
    <row r="15" spans="1:4" x14ac:dyDescent="0.25">
      <c r="A15" s="8" t="s">
        <v>46</v>
      </c>
      <c r="B15" s="8" t="s">
        <v>2153</v>
      </c>
      <c r="C15" s="8" t="s">
        <v>2154</v>
      </c>
      <c r="D15" s="8">
        <v>2</v>
      </c>
    </row>
    <row r="16" spans="1:4" x14ac:dyDescent="0.25">
      <c r="A16" s="8" t="s">
        <v>50</v>
      </c>
      <c r="B16" s="8" t="s">
        <v>2153</v>
      </c>
      <c r="C16" s="8" t="s">
        <v>2157</v>
      </c>
      <c r="D16" s="8">
        <v>3</v>
      </c>
    </row>
    <row r="17" spans="1:4" x14ac:dyDescent="0.25">
      <c r="A17" s="8" t="s">
        <v>53</v>
      </c>
      <c r="B17" s="8" t="s">
        <v>2153</v>
      </c>
      <c r="C17" s="8" t="s">
        <v>2151</v>
      </c>
      <c r="D17" s="8">
        <v>1</v>
      </c>
    </row>
    <row r="18" spans="1:4" x14ac:dyDescent="0.25">
      <c r="A18" s="8" t="s">
        <v>60</v>
      </c>
      <c r="B18" s="8" t="s">
        <v>2153</v>
      </c>
      <c r="C18" s="8" t="s">
        <v>2151</v>
      </c>
      <c r="D18" s="8">
        <v>1</v>
      </c>
    </row>
    <row r="19" spans="1:4" x14ac:dyDescent="0.25">
      <c r="A19" s="8" t="s">
        <v>62</v>
      </c>
      <c r="B19" s="8" t="s">
        <v>2153</v>
      </c>
      <c r="C19" s="8" t="s">
        <v>2154</v>
      </c>
      <c r="D19" s="8">
        <v>2</v>
      </c>
    </row>
    <row r="20" spans="1:4" x14ac:dyDescent="0.25">
      <c r="A20" s="8" t="s">
        <v>66</v>
      </c>
      <c r="B20" s="8" t="s">
        <v>2153</v>
      </c>
      <c r="C20" s="8" t="s">
        <v>2158</v>
      </c>
      <c r="D20" s="8">
        <v>3</v>
      </c>
    </row>
    <row r="21" spans="1:4" x14ac:dyDescent="0.25">
      <c r="A21" s="8" t="s">
        <v>68</v>
      </c>
      <c r="B21" s="8" t="s">
        <v>2153</v>
      </c>
      <c r="C21" s="8" t="s">
        <v>2151</v>
      </c>
      <c r="D21" s="8">
        <v>1</v>
      </c>
    </row>
    <row r="22" spans="1:4" x14ac:dyDescent="0.25">
      <c r="A22" s="8" t="s">
        <v>71</v>
      </c>
      <c r="B22" s="8" t="s">
        <v>2153</v>
      </c>
      <c r="C22" s="8" t="s">
        <v>2151</v>
      </c>
      <c r="D22" s="8">
        <v>1</v>
      </c>
    </row>
    <row r="23" spans="1:4" x14ac:dyDescent="0.25">
      <c r="A23" s="8" t="s">
        <v>74</v>
      </c>
      <c r="B23" s="8" t="s">
        <v>2153</v>
      </c>
      <c r="C23" s="8" t="s">
        <v>2159</v>
      </c>
      <c r="D23" s="8">
        <v>4</v>
      </c>
    </row>
    <row r="24" spans="1:4" x14ac:dyDescent="0.25">
      <c r="A24" s="8" t="s">
        <v>76</v>
      </c>
      <c r="B24" s="8" t="s">
        <v>2153</v>
      </c>
      <c r="C24" s="8" t="s">
        <v>2160</v>
      </c>
      <c r="D24" s="8">
        <v>2</v>
      </c>
    </row>
    <row r="25" spans="1:4" x14ac:dyDescent="0.25">
      <c r="A25" s="8" t="s">
        <v>78</v>
      </c>
      <c r="B25" s="8" t="s">
        <v>2153</v>
      </c>
      <c r="C25" s="8" t="s">
        <v>2161</v>
      </c>
      <c r="D25" s="8">
        <v>7</v>
      </c>
    </row>
    <row r="26" spans="1:4" x14ac:dyDescent="0.25">
      <c r="A26" s="8" t="s">
        <v>80</v>
      </c>
      <c r="B26" s="8" t="s">
        <v>2153</v>
      </c>
      <c r="C26" s="8" t="s">
        <v>2162</v>
      </c>
      <c r="D26" s="8">
        <v>4</v>
      </c>
    </row>
    <row r="27" spans="1:4" x14ac:dyDescent="0.25">
      <c r="A27" s="8" t="s">
        <v>82</v>
      </c>
      <c r="B27" s="8" t="s">
        <v>2153</v>
      </c>
      <c r="C27" s="8" t="s">
        <v>2163</v>
      </c>
      <c r="D27" s="8">
        <v>2</v>
      </c>
    </row>
    <row r="28" spans="1:4" x14ac:dyDescent="0.25">
      <c r="A28" s="8" t="s">
        <v>85</v>
      </c>
      <c r="B28" s="8" t="s">
        <v>2153</v>
      </c>
      <c r="C28" s="8" t="s">
        <v>2164</v>
      </c>
      <c r="D28" s="8">
        <v>2</v>
      </c>
    </row>
    <row r="29" spans="1:4" x14ac:dyDescent="0.25">
      <c r="A29" s="8" t="s">
        <v>87</v>
      </c>
      <c r="B29" s="8" t="s">
        <v>2153</v>
      </c>
      <c r="C29" s="8" t="s">
        <v>2165</v>
      </c>
      <c r="D29" s="8">
        <v>4</v>
      </c>
    </row>
    <row r="30" spans="1:4" x14ac:dyDescent="0.25">
      <c r="A30" s="8" t="s">
        <v>89</v>
      </c>
      <c r="B30" s="8" t="s">
        <v>2153</v>
      </c>
      <c r="C30" s="8" t="s">
        <v>2166</v>
      </c>
      <c r="D30" s="8">
        <v>3</v>
      </c>
    </row>
    <row r="31" spans="1:4" x14ac:dyDescent="0.25">
      <c r="A31" s="8" t="s">
        <v>93</v>
      </c>
      <c r="B31" s="8" t="s">
        <v>2153</v>
      </c>
      <c r="C31" s="8" t="s">
        <v>2167</v>
      </c>
      <c r="D31" s="8">
        <v>5</v>
      </c>
    </row>
    <row r="32" spans="1:4" x14ac:dyDescent="0.25">
      <c r="A32" s="8" t="s">
        <v>95</v>
      </c>
      <c r="B32" s="8" t="s">
        <v>2153</v>
      </c>
      <c r="C32" s="8" t="s">
        <v>2190</v>
      </c>
      <c r="D32" s="8">
        <v>6</v>
      </c>
    </row>
    <row r="33" spans="1:4" x14ac:dyDescent="0.25">
      <c r="A33" s="30" t="s">
        <v>103</v>
      </c>
      <c r="B33" s="30" t="s">
        <v>2153</v>
      </c>
      <c r="C33" s="8" t="s">
        <v>2168</v>
      </c>
      <c r="D33" s="8">
        <v>3</v>
      </c>
    </row>
    <row r="34" spans="1:4" x14ac:dyDescent="0.25">
      <c r="A34" s="30" t="s">
        <v>119</v>
      </c>
      <c r="B34" s="30" t="s">
        <v>2153</v>
      </c>
      <c r="C34" s="8" t="s">
        <v>2169</v>
      </c>
      <c r="D34" s="8">
        <v>4</v>
      </c>
    </row>
    <row r="35" spans="1:4" x14ac:dyDescent="0.25">
      <c r="A35" s="30" t="s">
        <v>120</v>
      </c>
      <c r="B35" s="30" t="s">
        <v>2153</v>
      </c>
      <c r="C35" s="8" t="s">
        <v>2151</v>
      </c>
      <c r="D35" s="8">
        <v>1</v>
      </c>
    </row>
    <row r="36" spans="1:4" x14ac:dyDescent="0.25">
      <c r="A36" s="8" t="s">
        <v>125</v>
      </c>
      <c r="B36" s="8" t="s">
        <v>2153</v>
      </c>
      <c r="C36" s="8" t="s">
        <v>2170</v>
      </c>
      <c r="D36" s="8">
        <v>12</v>
      </c>
    </row>
    <row r="37" spans="1:4" x14ac:dyDescent="0.25">
      <c r="A37" s="8" t="s">
        <v>127</v>
      </c>
      <c r="B37" s="8" t="s">
        <v>2153</v>
      </c>
      <c r="C37" s="8" t="s">
        <v>2171</v>
      </c>
      <c r="D37" s="8">
        <v>2</v>
      </c>
    </row>
    <row r="38" spans="1:4" x14ac:dyDescent="0.25">
      <c r="A38" s="8" t="s">
        <v>128</v>
      </c>
      <c r="B38" s="8" t="s">
        <v>2153</v>
      </c>
      <c r="C38" s="8" t="s">
        <v>2172</v>
      </c>
      <c r="D38" s="8">
        <v>4</v>
      </c>
    </row>
    <row r="39" spans="1:4" x14ac:dyDescent="0.25">
      <c r="A39" s="8" t="s">
        <v>131</v>
      </c>
      <c r="B39" s="8" t="s">
        <v>2153</v>
      </c>
      <c r="C39" s="8" t="s">
        <v>2173</v>
      </c>
      <c r="D39" s="8">
        <v>2</v>
      </c>
    </row>
    <row r="40" spans="1:4" x14ac:dyDescent="0.25">
      <c r="A40" s="8" t="s">
        <v>134</v>
      </c>
      <c r="B40" s="8" t="s">
        <v>2153</v>
      </c>
      <c r="C40" s="8" t="s">
        <v>2151</v>
      </c>
      <c r="D40" s="8">
        <v>1</v>
      </c>
    </row>
    <row r="41" spans="1:4" x14ac:dyDescent="0.25">
      <c r="A41" s="8" t="s">
        <v>138</v>
      </c>
      <c r="B41" s="8" t="s">
        <v>2153</v>
      </c>
      <c r="C41" s="8" t="s">
        <v>2174</v>
      </c>
      <c r="D41" s="8">
        <v>4</v>
      </c>
    </row>
    <row r="42" spans="1:4" x14ac:dyDescent="0.25">
      <c r="A42" s="8" t="s">
        <v>150</v>
      </c>
      <c r="B42" s="8" t="s">
        <v>2153</v>
      </c>
      <c r="C42" s="8" t="s">
        <v>2151</v>
      </c>
      <c r="D42" s="8">
        <v>1</v>
      </c>
    </row>
    <row r="43" spans="1:4" x14ac:dyDescent="0.25">
      <c r="A43" s="8" t="s">
        <v>321</v>
      </c>
      <c r="B43" s="8" t="s">
        <v>2153</v>
      </c>
      <c r="C43" s="8" t="s">
        <v>2175</v>
      </c>
      <c r="D43" s="8">
        <v>2</v>
      </c>
    </row>
    <row r="44" spans="1:4" x14ac:dyDescent="0.25">
      <c r="A44" s="8" t="s">
        <v>152</v>
      </c>
      <c r="B44" s="8" t="s">
        <v>2153</v>
      </c>
      <c r="C44" s="8" t="s">
        <v>2166</v>
      </c>
      <c r="D44" s="8">
        <v>3</v>
      </c>
    </row>
    <row r="45" spans="1:4" x14ac:dyDescent="0.25">
      <c r="A45" s="8" t="s">
        <v>153</v>
      </c>
      <c r="B45" s="8" t="s">
        <v>2153</v>
      </c>
      <c r="C45" s="8" t="s">
        <v>2176</v>
      </c>
      <c r="D45" s="8">
        <v>8</v>
      </c>
    </row>
    <row r="46" spans="1:4" x14ac:dyDescent="0.25">
      <c r="A46" s="8" t="s">
        <v>155</v>
      </c>
      <c r="B46" s="8" t="s">
        <v>2153</v>
      </c>
      <c r="C46" s="8" t="s">
        <v>2151</v>
      </c>
      <c r="D46" s="8">
        <v>1</v>
      </c>
    </row>
    <row r="47" spans="1:4" x14ac:dyDescent="0.25">
      <c r="A47" s="8" t="s">
        <v>157</v>
      </c>
      <c r="B47" s="8" t="s">
        <v>2153</v>
      </c>
      <c r="C47" s="8" t="s">
        <v>2177</v>
      </c>
      <c r="D47" s="8">
        <v>4</v>
      </c>
    </row>
    <row r="48" spans="1:4" x14ac:dyDescent="0.25">
      <c r="A48" s="8" t="s">
        <v>158</v>
      </c>
      <c r="B48" s="8" t="s">
        <v>2153</v>
      </c>
      <c r="C48" s="8" t="s">
        <v>2192</v>
      </c>
      <c r="D48" s="8">
        <v>12</v>
      </c>
    </row>
    <row r="49" spans="1:4" x14ac:dyDescent="0.25">
      <c r="A49" s="8" t="s">
        <v>166</v>
      </c>
      <c r="B49" s="8" t="s">
        <v>2153</v>
      </c>
      <c r="C49" s="8" t="s">
        <v>2178</v>
      </c>
      <c r="D49" s="8">
        <v>3</v>
      </c>
    </row>
    <row r="50" spans="1:4" x14ac:dyDescent="0.25">
      <c r="A50" s="8" t="s">
        <v>167</v>
      </c>
      <c r="B50" s="8" t="s">
        <v>2153</v>
      </c>
      <c r="C50" s="8" t="s">
        <v>2151</v>
      </c>
      <c r="D50" s="8">
        <v>1</v>
      </c>
    </row>
    <row r="51" spans="1:4" x14ac:dyDescent="0.25">
      <c r="A51" s="30" t="s">
        <v>173</v>
      </c>
      <c r="B51" s="30" t="s">
        <v>2153</v>
      </c>
      <c r="C51" s="8" t="s">
        <v>2179</v>
      </c>
      <c r="D51" s="8">
        <v>7</v>
      </c>
    </row>
    <row r="52" spans="1:4" x14ac:dyDescent="0.25">
      <c r="A52" s="30" t="s">
        <v>175</v>
      </c>
      <c r="B52" s="30" t="s">
        <v>2153</v>
      </c>
      <c r="C52" s="8" t="s">
        <v>2180</v>
      </c>
      <c r="D52" s="8">
        <v>11</v>
      </c>
    </row>
    <row r="53" spans="1:4" x14ac:dyDescent="0.25">
      <c r="A53" s="8" t="s">
        <v>176</v>
      </c>
      <c r="B53" s="8" t="s">
        <v>2153</v>
      </c>
      <c r="C53" s="8" t="s">
        <v>2151</v>
      </c>
      <c r="D53" s="8">
        <v>1</v>
      </c>
    </row>
    <row r="54" spans="1:4" x14ac:dyDescent="0.25">
      <c r="A54" s="8" t="s">
        <v>183</v>
      </c>
      <c r="B54" s="8" t="s">
        <v>2153</v>
      </c>
      <c r="C54" s="8" t="s">
        <v>2181</v>
      </c>
      <c r="D54" s="8">
        <v>5</v>
      </c>
    </row>
    <row r="55" spans="1:4" x14ac:dyDescent="0.25">
      <c r="A55" s="8" t="s">
        <v>187</v>
      </c>
      <c r="B55" s="8" t="s">
        <v>2153</v>
      </c>
      <c r="C55" s="8" t="s">
        <v>2151</v>
      </c>
      <c r="D55" s="8">
        <v>1</v>
      </c>
    </row>
    <row r="56" spans="1:4" x14ac:dyDescent="0.25">
      <c r="A56" s="8" t="s">
        <v>189</v>
      </c>
      <c r="B56" s="8" t="s">
        <v>2153</v>
      </c>
      <c r="C56" s="8" t="s">
        <v>2182</v>
      </c>
      <c r="D56" s="8">
        <v>2</v>
      </c>
    </row>
    <row r="57" spans="1:4" x14ac:dyDescent="0.25">
      <c r="A57" s="8" t="s">
        <v>191</v>
      </c>
      <c r="B57" s="8" t="s">
        <v>2153</v>
      </c>
      <c r="C57" s="8" t="s">
        <v>2183</v>
      </c>
      <c r="D57" s="8">
        <v>2</v>
      </c>
    </row>
    <row r="58" spans="1:4" x14ac:dyDescent="0.25">
      <c r="A58" s="8" t="s">
        <v>194</v>
      </c>
      <c r="B58" s="8" t="s">
        <v>2153</v>
      </c>
      <c r="C58" s="8" t="s">
        <v>2163</v>
      </c>
      <c r="D58" s="8">
        <v>2</v>
      </c>
    </row>
    <row r="59" spans="1:4" x14ac:dyDescent="0.25">
      <c r="A59" s="8" t="s">
        <v>197</v>
      </c>
      <c r="B59" s="8" t="s">
        <v>2184</v>
      </c>
      <c r="C59" s="8" t="s">
        <v>1042</v>
      </c>
      <c r="D59" s="8">
        <v>1</v>
      </c>
    </row>
    <row r="60" spans="1:4" x14ac:dyDescent="0.25">
      <c r="A60" s="8" t="s">
        <v>199</v>
      </c>
      <c r="B60" s="8" t="s">
        <v>2153</v>
      </c>
      <c r="C60" s="8" t="s">
        <v>2185</v>
      </c>
      <c r="D60" s="8">
        <v>2</v>
      </c>
    </row>
    <row r="61" spans="1:4" x14ac:dyDescent="0.25">
      <c r="A61" s="8" t="s">
        <v>200</v>
      </c>
      <c r="B61" s="8" t="s">
        <v>2153</v>
      </c>
      <c r="C61" s="8" t="s">
        <v>2166</v>
      </c>
      <c r="D61" s="8">
        <v>3</v>
      </c>
    </row>
    <row r="62" spans="1:4" x14ac:dyDescent="0.25">
      <c r="A62" s="8" t="s">
        <v>202</v>
      </c>
      <c r="B62" s="8" t="s">
        <v>2153</v>
      </c>
      <c r="C62" s="8" t="s">
        <v>2186</v>
      </c>
      <c r="D62" s="8">
        <v>5</v>
      </c>
    </row>
    <row r="63" spans="1:4" x14ac:dyDescent="0.25">
      <c r="A63" s="8" t="s">
        <v>294</v>
      </c>
      <c r="B63" s="8" t="s">
        <v>2153</v>
      </c>
      <c r="C63" s="8" t="s">
        <v>2151</v>
      </c>
      <c r="D63" s="8">
        <v>1</v>
      </c>
    </row>
    <row r="64" spans="1:4" x14ac:dyDescent="0.25">
      <c r="A64" s="8" t="s">
        <v>207</v>
      </c>
      <c r="B64" s="8" t="s">
        <v>2153</v>
      </c>
      <c r="C64" s="8" t="s">
        <v>2187</v>
      </c>
      <c r="D64" s="8">
        <v>3</v>
      </c>
    </row>
    <row r="65" spans="1:4" x14ac:dyDescent="0.25">
      <c r="A65" s="8" t="s">
        <v>209</v>
      </c>
      <c r="B65" s="8" t="s">
        <v>2153</v>
      </c>
      <c r="C65" s="8" t="s">
        <v>422</v>
      </c>
      <c r="D65" s="8">
        <v>1</v>
      </c>
    </row>
    <row r="66" spans="1:4" x14ac:dyDescent="0.25">
      <c r="A66" s="8" t="s">
        <v>211</v>
      </c>
      <c r="B66" s="8" t="s">
        <v>2153</v>
      </c>
      <c r="C66" s="8" t="s">
        <v>505</v>
      </c>
      <c r="D66" s="8">
        <v>1</v>
      </c>
    </row>
    <row r="67" spans="1:4" x14ac:dyDescent="0.25">
      <c r="A67" s="8" t="s">
        <v>212</v>
      </c>
      <c r="B67" s="8" t="s">
        <v>2153</v>
      </c>
      <c r="C67" s="8" t="s">
        <v>2151</v>
      </c>
      <c r="D67" s="8">
        <v>1</v>
      </c>
    </row>
    <row r="68" spans="1:4" x14ac:dyDescent="0.25">
      <c r="A68" s="8" t="s">
        <v>220</v>
      </c>
      <c r="B68" s="8" t="s">
        <v>2153</v>
      </c>
      <c r="C68" s="8" t="s">
        <v>2151</v>
      </c>
      <c r="D68" s="8">
        <v>1</v>
      </c>
    </row>
    <row r="69" spans="1:4" x14ac:dyDescent="0.25">
      <c r="A69" s="8" t="s">
        <v>224</v>
      </c>
      <c r="B69" s="8" t="s">
        <v>2153</v>
      </c>
      <c r="C69" s="8" t="s">
        <v>2151</v>
      </c>
      <c r="D69" s="8">
        <v>1</v>
      </c>
    </row>
    <row r="70" spans="1:4" x14ac:dyDescent="0.25">
      <c r="A70" s="8" t="s">
        <v>225</v>
      </c>
      <c r="B70" s="8" t="s">
        <v>2153</v>
      </c>
      <c r="C70" s="8" t="s">
        <v>2151</v>
      </c>
      <c r="D70" s="8">
        <v>1</v>
      </c>
    </row>
    <row r="71" spans="1:4" x14ac:dyDescent="0.25">
      <c r="A71" s="8" t="s">
        <v>227</v>
      </c>
      <c r="B71" s="8" t="s">
        <v>2153</v>
      </c>
      <c r="C71" s="8" t="s">
        <v>2151</v>
      </c>
      <c r="D71" s="8">
        <v>1</v>
      </c>
    </row>
    <row r="72" spans="1:4" x14ac:dyDescent="0.25">
      <c r="A72" s="8" t="s">
        <v>229</v>
      </c>
      <c r="B72" s="8" t="s">
        <v>2153</v>
      </c>
      <c r="C72" s="8" t="s">
        <v>2151</v>
      </c>
      <c r="D72" s="8">
        <v>1</v>
      </c>
    </row>
    <row r="73" spans="1:4" x14ac:dyDescent="0.25">
      <c r="A73" s="8" t="s">
        <v>231</v>
      </c>
      <c r="B73" s="8" t="s">
        <v>2153</v>
      </c>
      <c r="C73" s="8" t="s">
        <v>2151</v>
      </c>
      <c r="D73" s="8">
        <v>1</v>
      </c>
    </row>
    <row r="74" spans="1:4" x14ac:dyDescent="0.25">
      <c r="A74" s="8" t="s">
        <v>232</v>
      </c>
      <c r="B74" s="8" t="s">
        <v>2153</v>
      </c>
      <c r="C74" s="8" t="s">
        <v>2151</v>
      </c>
      <c r="D74" s="8">
        <v>1</v>
      </c>
    </row>
    <row r="75" spans="1:4" x14ac:dyDescent="0.25">
      <c r="A75" s="8" t="s">
        <v>234</v>
      </c>
      <c r="B75" s="8" t="s">
        <v>2153</v>
      </c>
      <c r="C75" s="8" t="s">
        <v>424</v>
      </c>
      <c r="D75" s="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4"/>
  <sheetViews>
    <sheetView topLeftCell="AX1" workbookViewId="0">
      <selection activeCell="BC15" sqref="BC15"/>
    </sheetView>
  </sheetViews>
  <sheetFormatPr defaultRowHeight="15" x14ac:dyDescent="0.25"/>
  <cols>
    <col min="1" max="1" width="18.140625" bestFit="1" customWidth="1"/>
    <col min="2" max="2" width="14" customWidth="1"/>
    <col min="3" max="4" width="12.140625" customWidth="1"/>
    <col min="5" max="5" width="9.5703125" customWidth="1"/>
    <col min="6" max="6" width="12.140625" customWidth="1"/>
    <col min="7" max="7" width="11.85546875" customWidth="1"/>
    <col min="8" max="9" width="9.5703125" customWidth="1"/>
    <col min="10" max="12" width="12.140625" customWidth="1"/>
    <col min="13" max="13" width="9.5703125" customWidth="1"/>
    <col min="14" max="14" width="12.140625" customWidth="1"/>
    <col min="15" max="15" width="9.5703125" customWidth="1"/>
    <col min="16" max="17" width="12.140625" customWidth="1"/>
    <col min="18" max="20" width="9.5703125" customWidth="1"/>
    <col min="21" max="49" width="10.5703125" customWidth="1"/>
    <col min="50" max="51" width="12.28515625" customWidth="1"/>
    <col min="52" max="54" width="13.28515625" customWidth="1"/>
    <col min="55" max="55" width="12.28515625" customWidth="1"/>
    <col min="56" max="58" width="13.28515625" customWidth="1"/>
    <col min="59" max="61" width="14.28515625" customWidth="1"/>
    <col min="62" max="62" width="14.140625" customWidth="1"/>
    <col min="63" max="65" width="12.5703125" customWidth="1"/>
    <col min="66" max="66" width="19.85546875" customWidth="1"/>
  </cols>
  <sheetData>
    <row r="1" spans="1:66" x14ac:dyDescent="0.25">
      <c r="A1" t="s">
        <v>0</v>
      </c>
      <c r="B1" t="s">
        <v>2194</v>
      </c>
      <c r="C1" t="s">
        <v>1789</v>
      </c>
      <c r="D1" t="s">
        <v>1790</v>
      </c>
      <c r="E1" t="s">
        <v>637</v>
      </c>
      <c r="F1" t="s">
        <v>1794</v>
      </c>
      <c r="G1" t="s">
        <v>2195</v>
      </c>
      <c r="H1" t="s">
        <v>463</v>
      </c>
      <c r="I1" t="s">
        <v>840</v>
      </c>
      <c r="J1" t="s">
        <v>1796</v>
      </c>
      <c r="K1" t="s">
        <v>1797</v>
      </c>
      <c r="L1" t="s">
        <v>1798</v>
      </c>
      <c r="M1" t="s">
        <v>469</v>
      </c>
      <c r="N1" t="s">
        <v>1799</v>
      </c>
      <c r="O1" t="s">
        <v>771</v>
      </c>
      <c r="P1" t="s">
        <v>1800</v>
      </c>
      <c r="Q1" t="s">
        <v>1801</v>
      </c>
      <c r="R1" t="s">
        <v>474</v>
      </c>
      <c r="S1" t="s">
        <v>482</v>
      </c>
      <c r="T1" t="s">
        <v>439</v>
      </c>
      <c r="U1" t="s">
        <v>440</v>
      </c>
      <c r="V1" t="s">
        <v>506</v>
      </c>
      <c r="W1" t="s">
        <v>513</v>
      </c>
      <c r="X1" t="s">
        <v>599</v>
      </c>
      <c r="Y1" t="s">
        <v>441</v>
      </c>
      <c r="Z1" t="s">
        <v>442</v>
      </c>
      <c r="AA1" t="s">
        <v>443</v>
      </c>
      <c r="AB1" t="s">
        <v>444</v>
      </c>
      <c r="AC1" t="s">
        <v>445</v>
      </c>
      <c r="AD1" t="s">
        <v>446</v>
      </c>
      <c r="AE1" t="s">
        <v>447</v>
      </c>
      <c r="AF1" t="s">
        <v>448</v>
      </c>
      <c r="AG1" t="s">
        <v>449</v>
      </c>
      <c r="AH1" t="s">
        <v>450</v>
      </c>
      <c r="AI1" t="s">
        <v>514</v>
      </c>
      <c r="AJ1" t="s">
        <v>488</v>
      </c>
      <c r="AK1" t="s">
        <v>496</v>
      </c>
      <c r="AL1" t="s">
        <v>451</v>
      </c>
      <c r="AM1" t="s">
        <v>452</v>
      </c>
      <c r="AN1" t="s">
        <v>453</v>
      </c>
      <c r="AO1" t="s">
        <v>1043</v>
      </c>
      <c r="AP1" t="s">
        <v>739</v>
      </c>
      <c r="AQ1" t="s">
        <v>454</v>
      </c>
      <c r="AR1" t="s">
        <v>743</v>
      </c>
      <c r="AS1" t="s">
        <v>751</v>
      </c>
      <c r="AT1" t="s">
        <v>455</v>
      </c>
      <c r="AU1" t="s">
        <v>519</v>
      </c>
      <c r="AV1" t="s">
        <v>889</v>
      </c>
      <c r="AW1" t="s">
        <v>520</v>
      </c>
      <c r="AX1" t="s">
        <v>1052</v>
      </c>
      <c r="AY1" t="s">
        <v>957</v>
      </c>
      <c r="AZ1" t="s">
        <v>958</v>
      </c>
      <c r="BA1" t="s">
        <v>959</v>
      </c>
      <c r="BB1" t="s">
        <v>960</v>
      </c>
      <c r="BC1" t="s">
        <v>961</v>
      </c>
      <c r="BD1" t="s">
        <v>962</v>
      </c>
      <c r="BE1" t="s">
        <v>963</v>
      </c>
      <c r="BF1" t="s">
        <v>964</v>
      </c>
      <c r="BG1" t="s">
        <v>965</v>
      </c>
      <c r="BH1" t="s">
        <v>966</v>
      </c>
      <c r="BI1" t="s">
        <v>807</v>
      </c>
      <c r="BJ1" t="s">
        <v>808</v>
      </c>
      <c r="BK1" t="s">
        <v>2196</v>
      </c>
      <c r="BL1" t="s">
        <v>2197</v>
      </c>
      <c r="BM1" t="s">
        <v>2198</v>
      </c>
      <c r="BN1" t="s">
        <v>2193</v>
      </c>
    </row>
    <row r="2" spans="1:66" x14ac:dyDescent="0.25">
      <c r="A2" t="s">
        <v>6</v>
      </c>
    </row>
    <row r="3" spans="1:66" x14ac:dyDescent="0.25">
      <c r="A3" t="s">
        <v>11</v>
      </c>
      <c r="B3">
        <v>24</v>
      </c>
    </row>
    <row r="4" spans="1:66" x14ac:dyDescent="0.25">
      <c r="A4" t="s">
        <v>12</v>
      </c>
      <c r="E4">
        <v>32</v>
      </c>
    </row>
    <row r="5" spans="1:66" x14ac:dyDescent="0.25">
      <c r="A5" t="s">
        <v>16</v>
      </c>
      <c r="B5">
        <v>28</v>
      </c>
    </row>
    <row r="6" spans="1:66" x14ac:dyDescent="0.25">
      <c r="A6" t="s">
        <v>18</v>
      </c>
    </row>
    <row r="7" spans="1:66" x14ac:dyDescent="0.25">
      <c r="A7" t="s">
        <v>20</v>
      </c>
      <c r="B7">
        <v>849</v>
      </c>
    </row>
    <row r="8" spans="1:66" x14ac:dyDescent="0.25">
      <c r="A8" t="s">
        <v>22</v>
      </c>
      <c r="B8">
        <v>27</v>
      </c>
      <c r="T8">
        <v>36</v>
      </c>
      <c r="U8">
        <v>58</v>
      </c>
      <c r="Y8">
        <v>110</v>
      </c>
      <c r="Z8">
        <v>205</v>
      </c>
      <c r="AA8">
        <v>277</v>
      </c>
      <c r="AB8">
        <v>343</v>
      </c>
      <c r="AC8">
        <v>302</v>
      </c>
      <c r="AD8">
        <v>278</v>
      </c>
      <c r="AE8">
        <v>241</v>
      </c>
      <c r="AF8">
        <v>195</v>
      </c>
      <c r="AG8">
        <v>145</v>
      </c>
      <c r="AH8">
        <v>102</v>
      </c>
      <c r="AL8">
        <v>48</v>
      </c>
      <c r="AM8">
        <v>29</v>
      </c>
      <c r="AN8">
        <v>23</v>
      </c>
      <c r="AQ8">
        <v>22</v>
      </c>
      <c r="AT8">
        <v>21</v>
      </c>
      <c r="BN8">
        <v>343</v>
      </c>
    </row>
    <row r="9" spans="1:66" x14ac:dyDescent="0.25">
      <c r="A9" t="s">
        <v>24</v>
      </c>
      <c r="B9">
        <v>128</v>
      </c>
    </row>
    <row r="10" spans="1:66" x14ac:dyDescent="0.25">
      <c r="A10" t="s">
        <v>26</v>
      </c>
      <c r="B10">
        <v>24.6</v>
      </c>
      <c r="H10">
        <v>8.6</v>
      </c>
      <c r="M10">
        <v>4298</v>
      </c>
      <c r="R10">
        <v>3607</v>
      </c>
      <c r="S10">
        <v>2361</v>
      </c>
      <c r="Z10">
        <v>274</v>
      </c>
      <c r="AJ10">
        <v>186</v>
      </c>
      <c r="AK10">
        <v>76</v>
      </c>
    </row>
    <row r="11" spans="1:66" x14ac:dyDescent="0.25">
      <c r="A11" t="s">
        <v>28</v>
      </c>
    </row>
    <row r="12" spans="1:66" x14ac:dyDescent="0.25">
      <c r="A12" t="s">
        <v>30</v>
      </c>
      <c r="M12">
        <v>64</v>
      </c>
    </row>
    <row r="13" spans="1:66" x14ac:dyDescent="0.25">
      <c r="A13" t="s">
        <v>32</v>
      </c>
      <c r="B13">
        <v>6200</v>
      </c>
      <c r="V13">
        <v>281</v>
      </c>
    </row>
    <row r="14" spans="1:66" x14ac:dyDescent="0.25">
      <c r="A14" t="s">
        <v>34</v>
      </c>
      <c r="B14">
        <v>34</v>
      </c>
      <c r="W14">
        <v>49</v>
      </c>
      <c r="AF14">
        <v>190</v>
      </c>
      <c r="AI14">
        <v>111</v>
      </c>
      <c r="AU14">
        <v>30</v>
      </c>
      <c r="AW14">
        <v>50</v>
      </c>
    </row>
    <row r="15" spans="1:66" x14ac:dyDescent="0.25">
      <c r="A15" t="s">
        <v>36</v>
      </c>
    </row>
    <row r="16" spans="1:66" x14ac:dyDescent="0.25">
      <c r="A16" t="s">
        <v>37</v>
      </c>
      <c r="B16">
        <v>27</v>
      </c>
    </row>
    <row r="17" spans="1:29" x14ac:dyDescent="0.25">
      <c r="A17" t="s">
        <v>40</v>
      </c>
      <c r="B17">
        <v>193</v>
      </c>
    </row>
    <row r="18" spans="1:29" x14ac:dyDescent="0.25">
      <c r="A18" t="s">
        <v>42</v>
      </c>
    </row>
    <row r="19" spans="1:29" x14ac:dyDescent="0.25">
      <c r="A19" t="s">
        <v>43</v>
      </c>
    </row>
    <row r="20" spans="1:29" x14ac:dyDescent="0.25">
      <c r="A20" t="s">
        <v>44</v>
      </c>
      <c r="B20">
        <v>44</v>
      </c>
    </row>
    <row r="21" spans="1:29" x14ac:dyDescent="0.25">
      <c r="A21" t="s">
        <v>46</v>
      </c>
      <c r="B21" t="s">
        <v>714</v>
      </c>
    </row>
    <row r="22" spans="1:29" x14ac:dyDescent="0.25">
      <c r="A22" t="s">
        <v>48</v>
      </c>
    </row>
    <row r="23" spans="1:29" x14ac:dyDescent="0.25">
      <c r="A23" t="s">
        <v>50</v>
      </c>
      <c r="B23">
        <v>2.89</v>
      </c>
      <c r="H23">
        <v>2.83</v>
      </c>
      <c r="AC23">
        <v>4.2</v>
      </c>
    </row>
    <row r="24" spans="1:29" x14ac:dyDescent="0.25">
      <c r="A24" t="s">
        <v>52</v>
      </c>
    </row>
    <row r="25" spans="1:29" x14ac:dyDescent="0.25">
      <c r="A25" t="s">
        <v>53</v>
      </c>
      <c r="B25">
        <v>523</v>
      </c>
      <c r="S25">
        <v>77</v>
      </c>
    </row>
    <row r="26" spans="1:29" x14ac:dyDescent="0.25">
      <c r="A26" t="s">
        <v>55</v>
      </c>
    </row>
    <row r="27" spans="1:29" x14ac:dyDescent="0.25">
      <c r="A27" t="s">
        <v>57</v>
      </c>
    </row>
    <row r="28" spans="1:29" x14ac:dyDescent="0.25">
      <c r="A28" t="s">
        <v>59</v>
      </c>
      <c r="B28" t="s">
        <v>716</v>
      </c>
    </row>
    <row r="29" spans="1:29" x14ac:dyDescent="0.25">
      <c r="A29" t="s">
        <v>60</v>
      </c>
      <c r="B29">
        <v>8</v>
      </c>
    </row>
    <row r="30" spans="1:29" x14ac:dyDescent="0.25">
      <c r="A30" t="s">
        <v>62</v>
      </c>
      <c r="B30" t="s">
        <v>1792</v>
      </c>
      <c r="C30" t="s">
        <v>1793</v>
      </c>
      <c r="D30" t="s">
        <v>1791</v>
      </c>
    </row>
    <row r="31" spans="1:29" x14ac:dyDescent="0.25">
      <c r="A31" t="s">
        <v>64</v>
      </c>
    </row>
    <row r="32" spans="1:29" x14ac:dyDescent="0.25">
      <c r="A32" t="s">
        <v>65</v>
      </c>
    </row>
    <row r="33" spans="1:47" x14ac:dyDescent="0.25">
      <c r="A33" t="s">
        <v>66</v>
      </c>
      <c r="B33">
        <v>7</v>
      </c>
      <c r="X33">
        <v>138</v>
      </c>
      <c r="Y33">
        <v>110</v>
      </c>
    </row>
    <row r="34" spans="1:47" x14ac:dyDescent="0.25">
      <c r="A34" t="s">
        <v>68</v>
      </c>
      <c r="B34">
        <v>552</v>
      </c>
    </row>
    <row r="35" spans="1:47" x14ac:dyDescent="0.25">
      <c r="A35" t="s">
        <v>69</v>
      </c>
    </row>
    <row r="36" spans="1:47" x14ac:dyDescent="0.25">
      <c r="A36" t="s">
        <v>71</v>
      </c>
      <c r="B36">
        <v>1200</v>
      </c>
    </row>
    <row r="37" spans="1:47" x14ac:dyDescent="0.25">
      <c r="A37" t="s">
        <v>73</v>
      </c>
    </row>
    <row r="38" spans="1:47" x14ac:dyDescent="0.25">
      <c r="A38" t="s">
        <v>74</v>
      </c>
      <c r="B38" t="s">
        <v>1968</v>
      </c>
      <c r="E38">
        <v>129</v>
      </c>
      <c r="H38" t="s">
        <v>1969</v>
      </c>
      <c r="Y38" t="s">
        <v>1970</v>
      </c>
    </row>
    <row r="39" spans="1:47" x14ac:dyDescent="0.25">
      <c r="A39" t="s">
        <v>76</v>
      </c>
      <c r="B39">
        <v>53</v>
      </c>
      <c r="M39">
        <v>38</v>
      </c>
    </row>
    <row r="40" spans="1:47" x14ac:dyDescent="0.25">
      <c r="A40" t="s">
        <v>78</v>
      </c>
      <c r="B40">
        <v>12</v>
      </c>
      <c r="AM40">
        <v>21</v>
      </c>
      <c r="AN40">
        <v>12</v>
      </c>
      <c r="AP40">
        <v>14</v>
      </c>
      <c r="AR40">
        <v>390</v>
      </c>
      <c r="AS40">
        <v>3135</v>
      </c>
      <c r="AT40">
        <v>4112</v>
      </c>
      <c r="AU40">
        <v>2774</v>
      </c>
    </row>
    <row r="41" spans="1:47" x14ac:dyDescent="0.25">
      <c r="A41" t="s">
        <v>80</v>
      </c>
      <c r="B41">
        <v>2376</v>
      </c>
      <c r="E41">
        <v>2262</v>
      </c>
      <c r="M41">
        <v>1722</v>
      </c>
      <c r="S41">
        <v>1548</v>
      </c>
    </row>
    <row r="42" spans="1:47" x14ac:dyDescent="0.25">
      <c r="A42" t="s">
        <v>82</v>
      </c>
      <c r="B42">
        <v>920</v>
      </c>
      <c r="Z42">
        <v>45.8</v>
      </c>
    </row>
    <row r="43" spans="1:47" x14ac:dyDescent="0.25">
      <c r="A43" t="s">
        <v>84</v>
      </c>
    </row>
    <row r="44" spans="1:47" x14ac:dyDescent="0.25">
      <c r="A44" t="s">
        <v>85</v>
      </c>
      <c r="B44">
        <v>358</v>
      </c>
      <c r="S44">
        <v>45</v>
      </c>
    </row>
    <row r="45" spans="1:47" x14ac:dyDescent="0.25">
      <c r="A45" t="s">
        <v>87</v>
      </c>
      <c r="B45" t="s">
        <v>1971</v>
      </c>
      <c r="E45" t="s">
        <v>1972</v>
      </c>
      <c r="O45">
        <v>321</v>
      </c>
      <c r="T45" t="s">
        <v>1973</v>
      </c>
    </row>
    <row r="46" spans="1:47" x14ac:dyDescent="0.25">
      <c r="A46" t="s">
        <v>89</v>
      </c>
      <c r="B46">
        <v>11047</v>
      </c>
      <c r="C46">
        <v>8688</v>
      </c>
      <c r="D46">
        <v>4612</v>
      </c>
    </row>
    <row r="47" spans="1:47" x14ac:dyDescent="0.25">
      <c r="A47" t="s">
        <v>91</v>
      </c>
    </row>
    <row r="48" spans="1:47" x14ac:dyDescent="0.25">
      <c r="A48" t="s">
        <v>92</v>
      </c>
    </row>
    <row r="49" spans="1:65" x14ac:dyDescent="0.25">
      <c r="A49" t="s">
        <v>93</v>
      </c>
      <c r="B49">
        <v>23</v>
      </c>
      <c r="E49">
        <v>22</v>
      </c>
      <c r="S49">
        <v>58</v>
      </c>
      <c r="W49">
        <v>34</v>
      </c>
      <c r="AD49">
        <v>33</v>
      </c>
    </row>
    <row r="50" spans="1:65" x14ac:dyDescent="0.25">
      <c r="A50" t="s">
        <v>95</v>
      </c>
      <c r="B50">
        <v>51</v>
      </c>
      <c r="BI50">
        <v>73</v>
      </c>
      <c r="BJ50">
        <v>69</v>
      </c>
      <c r="BK50">
        <v>72</v>
      </c>
      <c r="BL50">
        <v>82</v>
      </c>
      <c r="BM50">
        <v>86</v>
      </c>
    </row>
    <row r="51" spans="1:65" x14ac:dyDescent="0.25">
      <c r="A51" t="s">
        <v>97</v>
      </c>
    </row>
    <row r="52" spans="1:65" x14ac:dyDescent="0.25">
      <c r="A52" t="s">
        <v>99</v>
      </c>
    </row>
    <row r="53" spans="1:65" x14ac:dyDescent="0.25">
      <c r="A53" t="s">
        <v>100</v>
      </c>
    </row>
    <row r="54" spans="1:65" x14ac:dyDescent="0.25">
      <c r="A54" t="s">
        <v>101</v>
      </c>
    </row>
    <row r="55" spans="1:65" x14ac:dyDescent="0.25">
      <c r="A55" t="s">
        <v>102</v>
      </c>
    </row>
    <row r="56" spans="1:65" x14ac:dyDescent="0.25">
      <c r="A56" t="s">
        <v>103</v>
      </c>
      <c r="B56">
        <v>27</v>
      </c>
      <c r="H56" t="s">
        <v>1974</v>
      </c>
      <c r="I56">
        <v>4365</v>
      </c>
    </row>
    <row r="57" spans="1:65" x14ac:dyDescent="0.25">
      <c r="A57" t="s">
        <v>105</v>
      </c>
    </row>
    <row r="58" spans="1:65" x14ac:dyDescent="0.25">
      <c r="A58" t="s">
        <v>106</v>
      </c>
    </row>
    <row r="59" spans="1:65" x14ac:dyDescent="0.25">
      <c r="A59" t="s">
        <v>107</v>
      </c>
    </row>
    <row r="60" spans="1:65" x14ac:dyDescent="0.25">
      <c r="A60" t="s">
        <v>108</v>
      </c>
    </row>
    <row r="61" spans="1:65" x14ac:dyDescent="0.25">
      <c r="A61" t="s">
        <v>109</v>
      </c>
    </row>
    <row r="62" spans="1:65" x14ac:dyDescent="0.25">
      <c r="A62" t="s">
        <v>110</v>
      </c>
    </row>
    <row r="63" spans="1:65" x14ac:dyDescent="0.25">
      <c r="A63" t="s">
        <v>111</v>
      </c>
    </row>
    <row r="64" spans="1:65" x14ac:dyDescent="0.25">
      <c r="A64" t="s">
        <v>112</v>
      </c>
    </row>
    <row r="65" spans="1:48" x14ac:dyDescent="0.25">
      <c r="A65" t="s">
        <v>113</v>
      </c>
    </row>
    <row r="66" spans="1:48" x14ac:dyDescent="0.25">
      <c r="A66" t="s">
        <v>115</v>
      </c>
    </row>
    <row r="67" spans="1:48" x14ac:dyDescent="0.25">
      <c r="A67" t="s">
        <v>116</v>
      </c>
    </row>
    <row r="68" spans="1:48" x14ac:dyDescent="0.25">
      <c r="A68" t="s">
        <v>117</v>
      </c>
    </row>
    <row r="69" spans="1:48" x14ac:dyDescent="0.25">
      <c r="A69" t="s">
        <v>119</v>
      </c>
      <c r="B69">
        <v>93</v>
      </c>
      <c r="E69">
        <v>117</v>
      </c>
      <c r="H69">
        <v>96</v>
      </c>
      <c r="R69">
        <v>61</v>
      </c>
    </row>
    <row r="70" spans="1:48" x14ac:dyDescent="0.25">
      <c r="A70" t="s">
        <v>120</v>
      </c>
      <c r="B70" t="s">
        <v>855</v>
      </c>
    </row>
    <row r="71" spans="1:48" x14ac:dyDescent="0.25">
      <c r="A71" t="s">
        <v>122</v>
      </c>
    </row>
    <row r="72" spans="1:48" x14ac:dyDescent="0.25">
      <c r="A72" t="s">
        <v>123</v>
      </c>
    </row>
    <row r="73" spans="1:48" x14ac:dyDescent="0.25">
      <c r="A73" t="s">
        <v>125</v>
      </c>
      <c r="I73">
        <v>2693</v>
      </c>
      <c r="M73">
        <v>1402</v>
      </c>
      <c r="O73">
        <v>922</v>
      </c>
      <c r="S73">
        <v>374</v>
      </c>
      <c r="T73">
        <v>254</v>
      </c>
      <c r="V73">
        <v>122</v>
      </c>
      <c r="W73">
        <v>94</v>
      </c>
      <c r="X73">
        <v>81</v>
      </c>
      <c r="Y73">
        <v>66</v>
      </c>
      <c r="Z73">
        <v>62</v>
      </c>
    </row>
    <row r="74" spans="1:48" x14ac:dyDescent="0.25">
      <c r="A74" t="s">
        <v>126</v>
      </c>
    </row>
    <row r="75" spans="1:48" x14ac:dyDescent="0.25">
      <c r="A75" t="s">
        <v>127</v>
      </c>
      <c r="B75">
        <v>42.7</v>
      </c>
      <c r="W75">
        <v>206</v>
      </c>
    </row>
    <row r="76" spans="1:48" x14ac:dyDescent="0.25">
      <c r="A76" t="s">
        <v>128</v>
      </c>
      <c r="B76">
        <v>81</v>
      </c>
      <c r="O76">
        <v>114</v>
      </c>
      <c r="T76">
        <v>623</v>
      </c>
      <c r="AV76">
        <v>66</v>
      </c>
    </row>
    <row r="77" spans="1:48" x14ac:dyDescent="0.25">
      <c r="A77" t="s">
        <v>131</v>
      </c>
      <c r="B77">
        <v>594</v>
      </c>
      <c r="E77">
        <v>516</v>
      </c>
      <c r="AA77">
        <v>78</v>
      </c>
    </row>
    <row r="78" spans="1:48" x14ac:dyDescent="0.25">
      <c r="A78" t="s">
        <v>133</v>
      </c>
    </row>
    <row r="79" spans="1:48" x14ac:dyDescent="0.25">
      <c r="A79" t="s">
        <v>134</v>
      </c>
      <c r="B79" t="s">
        <v>1975</v>
      </c>
    </row>
    <row r="80" spans="1:48" x14ac:dyDescent="0.25">
      <c r="A80" t="s">
        <v>136</v>
      </c>
    </row>
    <row r="81" spans="1:21" x14ac:dyDescent="0.25">
      <c r="A81" t="s">
        <v>138</v>
      </c>
      <c r="B81" t="s">
        <v>1976</v>
      </c>
      <c r="E81" t="s">
        <v>1977</v>
      </c>
      <c r="I81" t="s">
        <v>1978</v>
      </c>
      <c r="O81">
        <v>483</v>
      </c>
    </row>
    <row r="82" spans="1:21" x14ac:dyDescent="0.25">
      <c r="A82" t="s">
        <v>140</v>
      </c>
    </row>
    <row r="83" spans="1:21" x14ac:dyDescent="0.25">
      <c r="A83" t="s">
        <v>142</v>
      </c>
    </row>
    <row r="84" spans="1:21" x14ac:dyDescent="0.25">
      <c r="A84" t="s">
        <v>143</v>
      </c>
    </row>
    <row r="85" spans="1:21" x14ac:dyDescent="0.25">
      <c r="A85" t="s">
        <v>144</v>
      </c>
    </row>
    <row r="86" spans="1:21" x14ac:dyDescent="0.25">
      <c r="A86" t="s">
        <v>145</v>
      </c>
    </row>
    <row r="87" spans="1:21" x14ac:dyDescent="0.25">
      <c r="A87" t="s">
        <v>146</v>
      </c>
    </row>
    <row r="88" spans="1:21" x14ac:dyDescent="0.25">
      <c r="A88" t="s">
        <v>147</v>
      </c>
    </row>
    <row r="89" spans="1:21" x14ac:dyDescent="0.25">
      <c r="A89" t="s">
        <v>148</v>
      </c>
    </row>
    <row r="90" spans="1:21" x14ac:dyDescent="0.25">
      <c r="A90" t="s">
        <v>149</v>
      </c>
    </row>
    <row r="91" spans="1:21" x14ac:dyDescent="0.25">
      <c r="A91" t="s">
        <v>150</v>
      </c>
      <c r="B91">
        <v>1827</v>
      </c>
    </row>
    <row r="92" spans="1:21" x14ac:dyDescent="0.25">
      <c r="A92" t="s">
        <v>151</v>
      </c>
    </row>
    <row r="94" spans="1:21" x14ac:dyDescent="0.25">
      <c r="A94" t="s">
        <v>321</v>
      </c>
      <c r="B94">
        <v>9000</v>
      </c>
      <c r="U94">
        <v>175</v>
      </c>
    </row>
    <row r="95" spans="1:21" x14ac:dyDescent="0.25">
      <c r="A95" t="s">
        <v>152</v>
      </c>
      <c r="B95">
        <v>1400</v>
      </c>
      <c r="C95">
        <v>762</v>
      </c>
      <c r="D95">
        <v>1430</v>
      </c>
    </row>
    <row r="96" spans="1:21" x14ac:dyDescent="0.25">
      <c r="A96" t="s">
        <v>153</v>
      </c>
      <c r="B96">
        <v>63</v>
      </c>
      <c r="E96">
        <v>18</v>
      </c>
      <c r="H96">
        <v>15</v>
      </c>
      <c r="I96">
        <v>425</v>
      </c>
      <c r="J96">
        <v>2027</v>
      </c>
      <c r="K96">
        <v>2384</v>
      </c>
      <c r="L96">
        <v>2524</v>
      </c>
      <c r="M96">
        <v>2530</v>
      </c>
    </row>
    <row r="97" spans="1:60" x14ac:dyDescent="0.25">
      <c r="A97" t="s">
        <v>155</v>
      </c>
      <c r="B97">
        <v>104</v>
      </c>
    </row>
    <row r="98" spans="1:60" x14ac:dyDescent="0.25">
      <c r="A98" t="s">
        <v>157</v>
      </c>
      <c r="B98">
        <v>113</v>
      </c>
      <c r="I98">
        <v>130</v>
      </c>
      <c r="S98">
        <v>59</v>
      </c>
      <c r="Y98">
        <v>27</v>
      </c>
    </row>
    <row r="99" spans="1:60" x14ac:dyDescent="0.25">
      <c r="A99" t="s">
        <v>158</v>
      </c>
      <c r="B99">
        <v>12</v>
      </c>
      <c r="E99">
        <v>10</v>
      </c>
      <c r="H99">
        <v>15</v>
      </c>
      <c r="I99">
        <v>17</v>
      </c>
      <c r="M99">
        <v>1358</v>
      </c>
      <c r="N99">
        <v>1165</v>
      </c>
      <c r="O99">
        <v>1092</v>
      </c>
      <c r="P99">
        <v>883</v>
      </c>
      <c r="Q99">
        <v>857</v>
      </c>
      <c r="R99">
        <v>617</v>
      </c>
    </row>
    <row r="100" spans="1:60" x14ac:dyDescent="0.25">
      <c r="A100" t="s">
        <v>160</v>
      </c>
    </row>
    <row r="101" spans="1:60" x14ac:dyDescent="0.25">
      <c r="A101" t="s">
        <v>162</v>
      </c>
    </row>
    <row r="102" spans="1:60" x14ac:dyDescent="0.25">
      <c r="A102" t="s">
        <v>163</v>
      </c>
      <c r="E102">
        <v>46</v>
      </c>
    </row>
    <row r="103" spans="1:60" x14ac:dyDescent="0.25">
      <c r="A103" t="s">
        <v>164</v>
      </c>
    </row>
    <row r="104" spans="1:60" x14ac:dyDescent="0.25">
      <c r="A104" t="s">
        <v>165</v>
      </c>
    </row>
    <row r="105" spans="1:60" x14ac:dyDescent="0.25">
      <c r="A105" t="s">
        <v>166</v>
      </c>
      <c r="B105">
        <v>189</v>
      </c>
      <c r="E105">
        <v>178</v>
      </c>
      <c r="H105">
        <v>138</v>
      </c>
    </row>
    <row r="106" spans="1:60" x14ac:dyDescent="0.25">
      <c r="A106" t="s">
        <v>167</v>
      </c>
      <c r="B106">
        <v>1821</v>
      </c>
      <c r="M106" t="s">
        <v>547</v>
      </c>
    </row>
    <row r="107" spans="1:60" x14ac:dyDescent="0.25">
      <c r="A107" t="s">
        <v>169</v>
      </c>
    </row>
    <row r="108" spans="1:60" x14ac:dyDescent="0.25">
      <c r="A108" t="s">
        <v>170</v>
      </c>
    </row>
    <row r="109" spans="1:60" x14ac:dyDescent="0.25">
      <c r="A109" t="s">
        <v>172</v>
      </c>
    </row>
    <row r="110" spans="1:60" x14ac:dyDescent="0.25">
      <c r="A110" t="s">
        <v>173</v>
      </c>
      <c r="B110">
        <v>1835</v>
      </c>
      <c r="E110">
        <v>1893</v>
      </c>
      <c r="H110">
        <v>1571</v>
      </c>
      <c r="I110">
        <v>1362</v>
      </c>
      <c r="O110">
        <v>847</v>
      </c>
    </row>
    <row r="111" spans="1:60" x14ac:dyDescent="0.25">
      <c r="A111" t="s">
        <v>175</v>
      </c>
      <c r="B111">
        <v>4</v>
      </c>
      <c r="AY111">
        <v>9</v>
      </c>
      <c r="AZ111">
        <v>276</v>
      </c>
      <c r="BA111">
        <v>124</v>
      </c>
      <c r="BB111">
        <v>102</v>
      </c>
      <c r="BC111">
        <v>184</v>
      </c>
      <c r="BD111">
        <v>94</v>
      </c>
      <c r="BE111">
        <v>30</v>
      </c>
      <c r="BF111">
        <v>20</v>
      </c>
      <c r="BG111">
        <v>41</v>
      </c>
      <c r="BH111">
        <v>11</v>
      </c>
    </row>
    <row r="112" spans="1:60" x14ac:dyDescent="0.25">
      <c r="A112" t="s">
        <v>176</v>
      </c>
      <c r="B112">
        <v>47</v>
      </c>
    </row>
    <row r="113" spans="1:50" x14ac:dyDescent="0.25">
      <c r="A113" t="s">
        <v>177</v>
      </c>
    </row>
    <row r="114" spans="1:50" x14ac:dyDescent="0.25">
      <c r="A114" t="s">
        <v>178</v>
      </c>
    </row>
    <row r="115" spans="1:50" x14ac:dyDescent="0.25">
      <c r="A115" t="s">
        <v>179</v>
      </c>
    </row>
    <row r="116" spans="1:50" x14ac:dyDescent="0.25">
      <c r="A116" t="s">
        <v>182</v>
      </c>
    </row>
    <row r="117" spans="1:50" x14ac:dyDescent="0.25">
      <c r="A117" t="s">
        <v>183</v>
      </c>
      <c r="B117">
        <v>55</v>
      </c>
      <c r="E117">
        <v>287</v>
      </c>
      <c r="F117">
        <v>479</v>
      </c>
      <c r="H117">
        <v>340</v>
      </c>
      <c r="I117">
        <v>150</v>
      </c>
    </row>
    <row r="118" spans="1:50" x14ac:dyDescent="0.25">
      <c r="A118" t="s">
        <v>185</v>
      </c>
    </row>
    <row r="119" spans="1:50" x14ac:dyDescent="0.25">
      <c r="A119" t="s">
        <v>187</v>
      </c>
      <c r="B119">
        <v>4070</v>
      </c>
    </row>
    <row r="120" spans="1:50" x14ac:dyDescent="0.25">
      <c r="A120" t="s">
        <v>189</v>
      </c>
      <c r="E120">
        <v>1496</v>
      </c>
      <c r="F120">
        <v>1493</v>
      </c>
      <c r="H120">
        <v>792</v>
      </c>
    </row>
    <row r="121" spans="1:50" x14ac:dyDescent="0.25">
      <c r="A121" t="s">
        <v>191</v>
      </c>
      <c r="B121">
        <v>51</v>
      </c>
      <c r="H121">
        <v>16</v>
      </c>
    </row>
    <row r="122" spans="1:50" x14ac:dyDescent="0.25">
      <c r="A122" t="s">
        <v>192</v>
      </c>
    </row>
    <row r="123" spans="1:50" x14ac:dyDescent="0.25">
      <c r="A123" t="s">
        <v>194</v>
      </c>
      <c r="E123">
        <v>36</v>
      </c>
      <c r="F123">
        <v>102</v>
      </c>
      <c r="Z123">
        <v>78</v>
      </c>
    </row>
    <row r="124" spans="1:50" x14ac:dyDescent="0.25">
      <c r="A124" t="s">
        <v>196</v>
      </c>
    </row>
    <row r="125" spans="1:50" x14ac:dyDescent="0.25">
      <c r="A125" t="s">
        <v>197</v>
      </c>
      <c r="B125">
        <v>60</v>
      </c>
      <c r="AJ125">
        <v>78</v>
      </c>
      <c r="AN125">
        <v>7320</v>
      </c>
      <c r="AO125">
        <v>5014</v>
      </c>
    </row>
    <row r="126" spans="1:50" x14ac:dyDescent="0.25">
      <c r="A126" t="s">
        <v>199</v>
      </c>
      <c r="B126">
        <v>78</v>
      </c>
      <c r="AX126">
        <v>14</v>
      </c>
    </row>
    <row r="127" spans="1:50" x14ac:dyDescent="0.25">
      <c r="A127" t="s">
        <v>200</v>
      </c>
    </row>
    <row r="128" spans="1:50" x14ac:dyDescent="0.25">
      <c r="A128" t="s">
        <v>201</v>
      </c>
    </row>
    <row r="129" spans="1:37" x14ac:dyDescent="0.25">
      <c r="A129" t="s">
        <v>202</v>
      </c>
      <c r="B129">
        <v>144</v>
      </c>
      <c r="O129">
        <v>46</v>
      </c>
      <c r="Y129">
        <v>17</v>
      </c>
      <c r="AF129">
        <v>13</v>
      </c>
      <c r="AK129">
        <v>13</v>
      </c>
    </row>
    <row r="130" spans="1:37" x14ac:dyDescent="0.25">
      <c r="A130" t="s">
        <v>294</v>
      </c>
      <c r="B130">
        <v>82</v>
      </c>
    </row>
    <row r="131" spans="1:37" x14ac:dyDescent="0.25">
      <c r="A131" t="s">
        <v>207</v>
      </c>
      <c r="B131">
        <v>23</v>
      </c>
      <c r="E131">
        <v>55</v>
      </c>
      <c r="O131">
        <v>32</v>
      </c>
    </row>
    <row r="132" spans="1:37" x14ac:dyDescent="0.25">
      <c r="A132" t="s">
        <v>208</v>
      </c>
    </row>
    <row r="133" spans="1:37" x14ac:dyDescent="0.25">
      <c r="A133" t="s">
        <v>1589</v>
      </c>
    </row>
    <row r="134" spans="1:37" x14ac:dyDescent="0.25">
      <c r="A134" t="s">
        <v>209</v>
      </c>
    </row>
    <row r="135" spans="1:37" x14ac:dyDescent="0.25">
      <c r="A135" t="s">
        <v>211</v>
      </c>
      <c r="V135">
        <v>30</v>
      </c>
    </row>
    <row r="136" spans="1:37" x14ac:dyDescent="0.25">
      <c r="A136" t="s">
        <v>212</v>
      </c>
      <c r="B136">
        <v>26</v>
      </c>
    </row>
    <row r="137" spans="1:37" x14ac:dyDescent="0.25">
      <c r="A137" t="s">
        <v>214</v>
      </c>
    </row>
    <row r="138" spans="1:37" x14ac:dyDescent="0.25">
      <c r="A138" t="s">
        <v>216</v>
      </c>
      <c r="B138">
        <v>30</v>
      </c>
    </row>
    <row r="139" spans="1:37" x14ac:dyDescent="0.25">
      <c r="A139" t="s">
        <v>218</v>
      </c>
      <c r="B139">
        <v>37</v>
      </c>
    </row>
    <row r="140" spans="1:37" x14ac:dyDescent="0.25">
      <c r="A140" t="s">
        <v>220</v>
      </c>
    </row>
    <row r="141" spans="1:37" x14ac:dyDescent="0.25">
      <c r="A141" t="s">
        <v>222</v>
      </c>
    </row>
    <row r="142" spans="1:37" x14ac:dyDescent="0.25">
      <c r="A142" t="s">
        <v>224</v>
      </c>
      <c r="B142">
        <v>1020</v>
      </c>
    </row>
    <row r="143" spans="1:37" x14ac:dyDescent="0.25">
      <c r="A143" t="s">
        <v>225</v>
      </c>
      <c r="B143">
        <v>29</v>
      </c>
    </row>
    <row r="144" spans="1:37" x14ac:dyDescent="0.25">
      <c r="A144" t="s">
        <v>227</v>
      </c>
      <c r="B144">
        <v>147</v>
      </c>
    </row>
    <row r="145" spans="1:25" x14ac:dyDescent="0.25">
      <c r="A145" t="s">
        <v>229</v>
      </c>
      <c r="B145">
        <v>24</v>
      </c>
    </row>
    <row r="146" spans="1:25" x14ac:dyDescent="0.25">
      <c r="A146" t="s">
        <v>231</v>
      </c>
      <c r="B146">
        <v>2888</v>
      </c>
    </row>
    <row r="147" spans="1:25" x14ac:dyDescent="0.25">
      <c r="A147" t="s">
        <v>232</v>
      </c>
      <c r="E147">
        <v>48</v>
      </c>
    </row>
    <row r="148" spans="1:25" x14ac:dyDescent="0.25">
      <c r="A148" t="s">
        <v>234</v>
      </c>
      <c r="Y148">
        <v>27</v>
      </c>
    </row>
    <row r="149" spans="1:25" x14ac:dyDescent="0.25">
      <c r="A149" t="s">
        <v>236</v>
      </c>
    </row>
    <row r="150" spans="1:25" x14ac:dyDescent="0.25">
      <c r="A150" t="s">
        <v>1322</v>
      </c>
    </row>
    <row r="151" spans="1:25" x14ac:dyDescent="0.25">
      <c r="A151" t="s">
        <v>1323</v>
      </c>
    </row>
    <row r="152" spans="1:25" x14ac:dyDescent="0.25">
      <c r="A152" t="s">
        <v>1324</v>
      </c>
    </row>
    <row r="153" spans="1:25" x14ac:dyDescent="0.25">
      <c r="A153" t="s">
        <v>1325</v>
      </c>
    </row>
    <row r="154" spans="1:25" x14ac:dyDescent="0.25">
      <c r="A154" t="s">
        <v>1326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D76"/>
  <sheetViews>
    <sheetView workbookViewId="0">
      <selection sqref="A1:D1"/>
    </sheetView>
  </sheetViews>
  <sheetFormatPr defaultRowHeight="15" x14ac:dyDescent="0.25"/>
  <cols>
    <col min="1" max="1" width="18.140625" bestFit="1" customWidth="1"/>
    <col min="2" max="2" width="6.7109375" bestFit="1" customWidth="1"/>
    <col min="3" max="3" width="98" customWidth="1"/>
    <col min="4" max="4" width="30.42578125" bestFit="1" customWidth="1"/>
  </cols>
  <sheetData>
    <row r="1" spans="1:4" x14ac:dyDescent="0.25">
      <c r="A1" s="29" t="s">
        <v>0</v>
      </c>
      <c r="B1" s="29" t="s">
        <v>2199</v>
      </c>
      <c r="C1" s="29" t="s">
        <v>2134</v>
      </c>
      <c r="D1" s="29" t="s">
        <v>2118</v>
      </c>
    </row>
    <row r="2" spans="1:4" ht="30" x14ac:dyDescent="0.25">
      <c r="A2" s="8" t="s">
        <v>22</v>
      </c>
      <c r="B2" s="8" t="s">
        <v>2199</v>
      </c>
      <c r="C2" s="23" t="s">
        <v>2236</v>
      </c>
      <c r="D2" s="8">
        <v>19</v>
      </c>
    </row>
    <row r="3" spans="1:4" ht="30" x14ac:dyDescent="0.25">
      <c r="A3" s="8" t="s">
        <v>175</v>
      </c>
      <c r="B3" s="8" t="s">
        <v>2199</v>
      </c>
      <c r="C3" s="23" t="s">
        <v>2237</v>
      </c>
      <c r="D3" s="8">
        <v>11</v>
      </c>
    </row>
    <row r="4" spans="1:4" x14ac:dyDescent="0.25">
      <c r="A4" s="8" t="s">
        <v>125</v>
      </c>
      <c r="B4" s="8" t="s">
        <v>2199</v>
      </c>
      <c r="C4" s="8" t="s">
        <v>2217</v>
      </c>
      <c r="D4" s="8">
        <v>10</v>
      </c>
    </row>
    <row r="5" spans="1:4" x14ac:dyDescent="0.25">
      <c r="A5" s="8" t="s">
        <v>158</v>
      </c>
      <c r="B5" s="8" t="s">
        <v>2199</v>
      </c>
      <c r="C5" s="8" t="s">
        <v>2225</v>
      </c>
      <c r="D5" s="8">
        <v>10</v>
      </c>
    </row>
    <row r="6" spans="1:4" x14ac:dyDescent="0.25">
      <c r="A6" s="8" t="s">
        <v>26</v>
      </c>
      <c r="B6" s="8" t="s">
        <v>2199</v>
      </c>
      <c r="C6" s="8" t="s">
        <v>2200</v>
      </c>
      <c r="D6" s="8">
        <v>8</v>
      </c>
    </row>
    <row r="7" spans="1:4" x14ac:dyDescent="0.25">
      <c r="A7" s="8" t="s">
        <v>78</v>
      </c>
      <c r="B7" s="8" t="s">
        <v>2199</v>
      </c>
      <c r="C7" s="8" t="s">
        <v>2209</v>
      </c>
      <c r="D7" s="8">
        <v>8</v>
      </c>
    </row>
    <row r="8" spans="1:4" x14ac:dyDescent="0.25">
      <c r="A8" s="8" t="s">
        <v>153</v>
      </c>
      <c r="B8" s="8" t="s">
        <v>2199</v>
      </c>
      <c r="C8" s="8" t="s">
        <v>2223</v>
      </c>
      <c r="D8" s="8">
        <v>8</v>
      </c>
    </row>
    <row r="9" spans="1:4" x14ac:dyDescent="0.25">
      <c r="A9" s="8" t="s">
        <v>34</v>
      </c>
      <c r="B9" s="8" t="s">
        <v>2199</v>
      </c>
      <c r="C9" s="8" t="s">
        <v>2202</v>
      </c>
      <c r="D9" s="8">
        <v>6</v>
      </c>
    </row>
    <row r="10" spans="1:4" x14ac:dyDescent="0.25">
      <c r="A10" s="8" t="s">
        <v>95</v>
      </c>
      <c r="B10" s="8" t="s">
        <v>2199</v>
      </c>
      <c r="C10" s="8" t="s">
        <v>2214</v>
      </c>
      <c r="D10" s="8">
        <v>6</v>
      </c>
    </row>
    <row r="11" spans="1:4" x14ac:dyDescent="0.25">
      <c r="A11" s="8" t="s">
        <v>93</v>
      </c>
      <c r="B11" s="8" t="s">
        <v>2199</v>
      </c>
      <c r="C11" s="8" t="s">
        <v>2213</v>
      </c>
      <c r="D11" s="8">
        <v>5</v>
      </c>
    </row>
    <row r="12" spans="1:4" x14ac:dyDescent="0.25">
      <c r="A12" s="8" t="s">
        <v>173</v>
      </c>
      <c r="B12" s="8" t="s">
        <v>2199</v>
      </c>
      <c r="C12" s="8" t="s">
        <v>2227</v>
      </c>
      <c r="D12" s="8">
        <v>5</v>
      </c>
    </row>
    <row r="13" spans="1:4" x14ac:dyDescent="0.25">
      <c r="A13" s="8" t="s">
        <v>183</v>
      </c>
      <c r="B13" s="8" t="s">
        <v>2199</v>
      </c>
      <c r="C13" s="8" t="s">
        <v>2228</v>
      </c>
      <c r="D13" s="8">
        <v>5</v>
      </c>
    </row>
    <row r="14" spans="1:4" x14ac:dyDescent="0.25">
      <c r="A14" s="8" t="s">
        <v>202</v>
      </c>
      <c r="B14" s="8" t="s">
        <v>2199</v>
      </c>
      <c r="C14" s="8" t="s">
        <v>2234</v>
      </c>
      <c r="D14" s="8">
        <v>5</v>
      </c>
    </row>
    <row r="15" spans="1:4" x14ac:dyDescent="0.25">
      <c r="A15" s="8" t="s">
        <v>74</v>
      </c>
      <c r="B15" s="8" t="s">
        <v>2199</v>
      </c>
      <c r="C15" s="8" t="s">
        <v>2207</v>
      </c>
      <c r="D15" s="8">
        <v>4</v>
      </c>
    </row>
    <row r="16" spans="1:4" x14ac:dyDescent="0.25">
      <c r="A16" s="8" t="s">
        <v>80</v>
      </c>
      <c r="B16" s="8" t="s">
        <v>2199</v>
      </c>
      <c r="C16" s="8" t="s">
        <v>2210</v>
      </c>
      <c r="D16" s="8">
        <v>4</v>
      </c>
    </row>
    <row r="17" spans="1:4" x14ac:dyDescent="0.25">
      <c r="A17" s="8" t="s">
        <v>87</v>
      </c>
      <c r="B17" s="8" t="s">
        <v>2199</v>
      </c>
      <c r="C17" s="8" t="s">
        <v>2212</v>
      </c>
      <c r="D17" s="8">
        <v>4</v>
      </c>
    </row>
    <row r="18" spans="1:4" x14ac:dyDescent="0.25">
      <c r="A18" s="8" t="s">
        <v>119</v>
      </c>
      <c r="B18" s="8" t="s">
        <v>2199</v>
      </c>
      <c r="C18" s="8" t="s">
        <v>2216</v>
      </c>
      <c r="D18" s="8">
        <v>4</v>
      </c>
    </row>
    <row r="19" spans="1:4" x14ac:dyDescent="0.25">
      <c r="A19" s="8" t="s">
        <v>128</v>
      </c>
      <c r="B19" s="8" t="s">
        <v>2199</v>
      </c>
      <c r="C19" s="8" t="s">
        <v>2219</v>
      </c>
      <c r="D19" s="8">
        <v>4</v>
      </c>
    </row>
    <row r="20" spans="1:4" x14ac:dyDescent="0.25">
      <c r="A20" s="8" t="s">
        <v>138</v>
      </c>
      <c r="B20" s="8" t="s">
        <v>2199</v>
      </c>
      <c r="C20" s="8" t="s">
        <v>2221</v>
      </c>
      <c r="D20" s="8">
        <v>4</v>
      </c>
    </row>
    <row r="21" spans="1:4" x14ac:dyDescent="0.25">
      <c r="A21" s="8" t="s">
        <v>157</v>
      </c>
      <c r="B21" s="8" t="s">
        <v>2199</v>
      </c>
      <c r="C21" s="8" t="s">
        <v>2224</v>
      </c>
      <c r="D21" s="8">
        <v>4</v>
      </c>
    </row>
    <row r="22" spans="1:4" x14ac:dyDescent="0.25">
      <c r="A22" s="8" t="s">
        <v>197</v>
      </c>
      <c r="B22" s="8" t="s">
        <v>2199</v>
      </c>
      <c r="C22" s="8" t="s">
        <v>2232</v>
      </c>
      <c r="D22" s="8">
        <v>4</v>
      </c>
    </row>
    <row r="23" spans="1:4" x14ac:dyDescent="0.25">
      <c r="A23" s="8" t="s">
        <v>50</v>
      </c>
      <c r="B23" s="8" t="s">
        <v>2199</v>
      </c>
      <c r="C23" s="8" t="s">
        <v>2203</v>
      </c>
      <c r="D23" s="8">
        <v>3</v>
      </c>
    </row>
    <row r="24" spans="1:4" x14ac:dyDescent="0.25">
      <c r="A24" s="8" t="s">
        <v>62</v>
      </c>
      <c r="B24" s="8" t="s">
        <v>2199</v>
      </c>
      <c r="C24" s="8" t="s">
        <v>2205</v>
      </c>
      <c r="D24" s="8">
        <v>3</v>
      </c>
    </row>
    <row r="25" spans="1:4" x14ac:dyDescent="0.25">
      <c r="A25" s="8" t="s">
        <v>66</v>
      </c>
      <c r="B25" s="8" t="s">
        <v>2199</v>
      </c>
      <c r="C25" s="8" t="s">
        <v>2206</v>
      </c>
      <c r="D25" s="8">
        <v>3</v>
      </c>
    </row>
    <row r="26" spans="1:4" x14ac:dyDescent="0.25">
      <c r="A26" s="8" t="s">
        <v>89</v>
      </c>
      <c r="B26" s="8" t="s">
        <v>2199</v>
      </c>
      <c r="C26" s="8" t="s">
        <v>2205</v>
      </c>
      <c r="D26" s="8">
        <v>3</v>
      </c>
    </row>
    <row r="27" spans="1:4" x14ac:dyDescent="0.25">
      <c r="A27" s="8" t="s">
        <v>103</v>
      </c>
      <c r="B27" s="8" t="s">
        <v>2199</v>
      </c>
      <c r="C27" s="8" t="s">
        <v>2215</v>
      </c>
      <c r="D27" s="8">
        <v>3</v>
      </c>
    </row>
    <row r="28" spans="1:4" x14ac:dyDescent="0.25">
      <c r="A28" s="8" t="s">
        <v>131</v>
      </c>
      <c r="B28" s="8" t="s">
        <v>2199</v>
      </c>
      <c r="C28" s="8" t="s">
        <v>2220</v>
      </c>
      <c r="D28" s="8">
        <v>3</v>
      </c>
    </row>
    <row r="29" spans="1:4" x14ac:dyDescent="0.25">
      <c r="A29" s="8" t="s">
        <v>152</v>
      </c>
      <c r="B29" s="8" t="s">
        <v>2199</v>
      </c>
      <c r="C29" s="8" t="s">
        <v>2205</v>
      </c>
      <c r="D29" s="8">
        <v>3</v>
      </c>
    </row>
    <row r="30" spans="1:4" x14ac:dyDescent="0.25">
      <c r="A30" s="8" t="s">
        <v>166</v>
      </c>
      <c r="B30" s="8" t="s">
        <v>2199</v>
      </c>
      <c r="C30" s="8" t="s">
        <v>2226</v>
      </c>
      <c r="D30" s="8">
        <v>3</v>
      </c>
    </row>
    <row r="31" spans="1:4" x14ac:dyDescent="0.25">
      <c r="A31" s="8" t="s">
        <v>189</v>
      </c>
      <c r="B31" s="8" t="s">
        <v>2199</v>
      </c>
      <c r="C31" s="8" t="s">
        <v>2229</v>
      </c>
      <c r="D31" s="8">
        <v>3</v>
      </c>
    </row>
    <row r="32" spans="1:4" x14ac:dyDescent="0.25">
      <c r="A32" s="8" t="s">
        <v>194</v>
      </c>
      <c r="B32" s="8" t="s">
        <v>2199</v>
      </c>
      <c r="C32" s="8" t="s">
        <v>2231</v>
      </c>
      <c r="D32" s="8">
        <v>3</v>
      </c>
    </row>
    <row r="33" spans="1:4" x14ac:dyDescent="0.25">
      <c r="A33" s="8" t="s">
        <v>207</v>
      </c>
      <c r="B33" s="8" t="s">
        <v>2199</v>
      </c>
      <c r="C33" s="8" t="s">
        <v>2235</v>
      </c>
      <c r="D33" s="8">
        <v>3</v>
      </c>
    </row>
    <row r="34" spans="1:4" x14ac:dyDescent="0.25">
      <c r="A34" s="8" t="s">
        <v>32</v>
      </c>
      <c r="B34" s="8" t="s">
        <v>2199</v>
      </c>
      <c r="C34" s="8" t="s">
        <v>2201</v>
      </c>
      <c r="D34" s="8">
        <v>2</v>
      </c>
    </row>
    <row r="35" spans="1:4" x14ac:dyDescent="0.25">
      <c r="A35" s="8" t="s">
        <v>53</v>
      </c>
      <c r="B35" s="8" t="s">
        <v>2199</v>
      </c>
      <c r="C35" s="8" t="s">
        <v>2204</v>
      </c>
      <c r="D35" s="8">
        <v>2</v>
      </c>
    </row>
    <row r="36" spans="1:4" x14ac:dyDescent="0.25">
      <c r="A36" s="8" t="s">
        <v>76</v>
      </c>
      <c r="B36" s="8" t="s">
        <v>2199</v>
      </c>
      <c r="C36" s="8" t="s">
        <v>2208</v>
      </c>
      <c r="D36" s="8">
        <v>2</v>
      </c>
    </row>
    <row r="37" spans="1:4" x14ac:dyDescent="0.25">
      <c r="A37" s="8" t="s">
        <v>82</v>
      </c>
      <c r="B37" s="8" t="s">
        <v>2199</v>
      </c>
      <c r="C37" s="8" t="s">
        <v>2211</v>
      </c>
      <c r="D37" s="8">
        <v>2</v>
      </c>
    </row>
    <row r="38" spans="1:4" x14ac:dyDescent="0.25">
      <c r="A38" s="8" t="s">
        <v>85</v>
      </c>
      <c r="B38" s="8" t="s">
        <v>2199</v>
      </c>
      <c r="C38" s="8" t="s">
        <v>2204</v>
      </c>
      <c r="D38" s="8">
        <v>2</v>
      </c>
    </row>
    <row r="39" spans="1:4" x14ac:dyDescent="0.25">
      <c r="A39" s="8" t="s">
        <v>127</v>
      </c>
      <c r="B39" s="8" t="s">
        <v>2199</v>
      </c>
      <c r="C39" s="8" t="s">
        <v>2218</v>
      </c>
      <c r="D39" s="8">
        <v>2</v>
      </c>
    </row>
    <row r="40" spans="1:4" x14ac:dyDescent="0.25">
      <c r="A40" s="8" t="s">
        <v>321</v>
      </c>
      <c r="B40" s="8" t="s">
        <v>2199</v>
      </c>
      <c r="C40" s="8" t="s">
        <v>2222</v>
      </c>
      <c r="D40" s="8">
        <v>2</v>
      </c>
    </row>
    <row r="41" spans="1:4" x14ac:dyDescent="0.25">
      <c r="A41" s="8" t="s">
        <v>167</v>
      </c>
      <c r="B41" s="8" t="s">
        <v>2199</v>
      </c>
      <c r="C41" s="8" t="s">
        <v>2208</v>
      </c>
      <c r="D41" s="8">
        <v>2</v>
      </c>
    </row>
    <row r="42" spans="1:4" x14ac:dyDescent="0.25">
      <c r="A42" s="8" t="s">
        <v>191</v>
      </c>
      <c r="B42" s="8" t="s">
        <v>2199</v>
      </c>
      <c r="C42" s="8" t="s">
        <v>2230</v>
      </c>
      <c r="D42" s="8">
        <v>2</v>
      </c>
    </row>
    <row r="43" spans="1:4" x14ac:dyDescent="0.25">
      <c r="A43" s="8" t="s">
        <v>199</v>
      </c>
      <c r="B43" s="8" t="s">
        <v>2199</v>
      </c>
      <c r="C43" s="8" t="s">
        <v>2233</v>
      </c>
      <c r="D43" s="8">
        <v>2</v>
      </c>
    </row>
    <row r="44" spans="1:4" x14ac:dyDescent="0.25">
      <c r="A44" s="8" t="s">
        <v>11</v>
      </c>
      <c r="B44" s="8" t="s">
        <v>2199</v>
      </c>
      <c r="C44" s="8" t="s">
        <v>2194</v>
      </c>
      <c r="D44" s="8">
        <v>1</v>
      </c>
    </row>
    <row r="45" spans="1:4" x14ac:dyDescent="0.25">
      <c r="A45" s="8" t="s">
        <v>12</v>
      </c>
      <c r="B45" s="8" t="s">
        <v>2199</v>
      </c>
      <c r="C45" s="8" t="s">
        <v>637</v>
      </c>
      <c r="D45" s="8">
        <v>1</v>
      </c>
    </row>
    <row r="46" spans="1:4" x14ac:dyDescent="0.25">
      <c r="A46" s="8" t="s">
        <v>16</v>
      </c>
      <c r="B46" s="8" t="s">
        <v>2199</v>
      </c>
      <c r="C46" s="8" t="s">
        <v>2194</v>
      </c>
      <c r="D46" s="8">
        <v>1</v>
      </c>
    </row>
    <row r="47" spans="1:4" x14ac:dyDescent="0.25">
      <c r="A47" s="8" t="s">
        <v>20</v>
      </c>
      <c r="B47" s="8" t="s">
        <v>2199</v>
      </c>
      <c r="C47" s="8" t="s">
        <v>2194</v>
      </c>
      <c r="D47" s="8">
        <v>1</v>
      </c>
    </row>
    <row r="48" spans="1:4" x14ac:dyDescent="0.25">
      <c r="A48" s="8" t="s">
        <v>24</v>
      </c>
      <c r="B48" s="8" t="s">
        <v>2199</v>
      </c>
      <c r="C48" s="8" t="s">
        <v>2194</v>
      </c>
      <c r="D48" s="8">
        <v>1</v>
      </c>
    </row>
    <row r="49" spans="1:4" x14ac:dyDescent="0.25">
      <c r="A49" s="8" t="s">
        <v>30</v>
      </c>
      <c r="B49" s="8" t="s">
        <v>2199</v>
      </c>
      <c r="C49" s="8" t="s">
        <v>469</v>
      </c>
      <c r="D49" s="8">
        <v>1</v>
      </c>
    </row>
    <row r="50" spans="1:4" x14ac:dyDescent="0.25">
      <c r="A50" s="8" t="s">
        <v>37</v>
      </c>
      <c r="B50" s="8" t="s">
        <v>2199</v>
      </c>
      <c r="C50" s="8" t="s">
        <v>2194</v>
      </c>
      <c r="D50" s="8">
        <v>1</v>
      </c>
    </row>
    <row r="51" spans="1:4" x14ac:dyDescent="0.25">
      <c r="A51" s="8" t="s">
        <v>40</v>
      </c>
      <c r="B51" s="8" t="s">
        <v>2199</v>
      </c>
      <c r="C51" s="8" t="s">
        <v>2194</v>
      </c>
      <c r="D51" s="8">
        <v>1</v>
      </c>
    </row>
    <row r="52" spans="1:4" x14ac:dyDescent="0.25">
      <c r="A52" s="8" t="s">
        <v>44</v>
      </c>
      <c r="B52" s="8" t="s">
        <v>2199</v>
      </c>
      <c r="C52" s="8" t="s">
        <v>2194</v>
      </c>
      <c r="D52" s="8">
        <v>1</v>
      </c>
    </row>
    <row r="53" spans="1:4" x14ac:dyDescent="0.25">
      <c r="A53" s="8" t="s">
        <v>46</v>
      </c>
      <c r="B53" s="8" t="s">
        <v>2199</v>
      </c>
      <c r="C53" s="8" t="s">
        <v>2194</v>
      </c>
      <c r="D53" s="8">
        <v>1</v>
      </c>
    </row>
    <row r="54" spans="1:4" x14ac:dyDescent="0.25">
      <c r="A54" s="8" t="s">
        <v>59</v>
      </c>
      <c r="B54" s="8" t="s">
        <v>2199</v>
      </c>
      <c r="C54" s="8" t="s">
        <v>2194</v>
      </c>
      <c r="D54" s="8">
        <v>1</v>
      </c>
    </row>
    <row r="55" spans="1:4" x14ac:dyDescent="0.25">
      <c r="A55" s="8" t="s">
        <v>60</v>
      </c>
      <c r="B55" s="8" t="s">
        <v>2199</v>
      </c>
      <c r="C55" s="8" t="s">
        <v>2194</v>
      </c>
      <c r="D55" s="8">
        <v>1</v>
      </c>
    </row>
    <row r="56" spans="1:4" x14ac:dyDescent="0.25">
      <c r="A56" s="8" t="s">
        <v>68</v>
      </c>
      <c r="B56" s="8" t="s">
        <v>2199</v>
      </c>
      <c r="C56" s="8" t="s">
        <v>2194</v>
      </c>
      <c r="D56" s="8">
        <v>1</v>
      </c>
    </row>
    <row r="57" spans="1:4" x14ac:dyDescent="0.25">
      <c r="A57" s="8" t="s">
        <v>71</v>
      </c>
      <c r="B57" s="8" t="s">
        <v>2199</v>
      </c>
      <c r="C57" s="8" t="s">
        <v>2194</v>
      </c>
      <c r="D57" s="8">
        <v>1</v>
      </c>
    </row>
    <row r="58" spans="1:4" x14ac:dyDescent="0.25">
      <c r="A58" s="8" t="s">
        <v>120</v>
      </c>
      <c r="B58" s="8" t="s">
        <v>2199</v>
      </c>
      <c r="C58" s="8" t="s">
        <v>2194</v>
      </c>
      <c r="D58" s="8">
        <v>1</v>
      </c>
    </row>
    <row r="59" spans="1:4" x14ac:dyDescent="0.25">
      <c r="A59" s="8" t="s">
        <v>134</v>
      </c>
      <c r="B59" s="8" t="s">
        <v>2199</v>
      </c>
      <c r="C59" s="8" t="s">
        <v>2194</v>
      </c>
      <c r="D59" s="8">
        <v>1</v>
      </c>
    </row>
    <row r="60" spans="1:4" x14ac:dyDescent="0.25">
      <c r="A60" s="8" t="s">
        <v>150</v>
      </c>
      <c r="B60" s="8" t="s">
        <v>2199</v>
      </c>
      <c r="C60" s="8" t="s">
        <v>2194</v>
      </c>
      <c r="D60" s="8">
        <v>1</v>
      </c>
    </row>
    <row r="61" spans="1:4" x14ac:dyDescent="0.25">
      <c r="A61" s="8" t="s">
        <v>155</v>
      </c>
      <c r="B61" s="8" t="s">
        <v>2199</v>
      </c>
      <c r="C61" s="8" t="s">
        <v>2194</v>
      </c>
      <c r="D61" s="8">
        <v>1</v>
      </c>
    </row>
    <row r="62" spans="1:4" x14ac:dyDescent="0.25">
      <c r="A62" s="8" t="s">
        <v>163</v>
      </c>
      <c r="B62" s="8" t="s">
        <v>2199</v>
      </c>
      <c r="C62" s="8" t="s">
        <v>637</v>
      </c>
      <c r="D62" s="8">
        <v>1</v>
      </c>
    </row>
    <row r="63" spans="1:4" x14ac:dyDescent="0.25">
      <c r="A63" s="8" t="s">
        <v>176</v>
      </c>
      <c r="B63" s="8" t="s">
        <v>2199</v>
      </c>
      <c r="C63" s="8" t="s">
        <v>2194</v>
      </c>
      <c r="D63" s="8">
        <v>1</v>
      </c>
    </row>
    <row r="64" spans="1:4" x14ac:dyDescent="0.25">
      <c r="A64" s="8" t="s">
        <v>187</v>
      </c>
      <c r="B64" s="8" t="s">
        <v>2199</v>
      </c>
      <c r="C64" s="8" t="s">
        <v>2194</v>
      </c>
      <c r="D64" s="8">
        <v>1</v>
      </c>
    </row>
    <row r="65" spans="1:4" x14ac:dyDescent="0.25">
      <c r="A65" s="8" t="s">
        <v>294</v>
      </c>
      <c r="B65" s="8" t="s">
        <v>2199</v>
      </c>
      <c r="C65" s="8" t="s">
        <v>2194</v>
      </c>
      <c r="D65" s="8">
        <v>1</v>
      </c>
    </row>
    <row r="66" spans="1:4" x14ac:dyDescent="0.25">
      <c r="A66" s="8" t="s">
        <v>211</v>
      </c>
      <c r="B66" s="8" t="s">
        <v>2199</v>
      </c>
      <c r="C66" s="8" t="s">
        <v>506</v>
      </c>
      <c r="D66" s="8">
        <v>1</v>
      </c>
    </row>
    <row r="67" spans="1:4" x14ac:dyDescent="0.25">
      <c r="A67" s="8" t="s">
        <v>212</v>
      </c>
      <c r="B67" s="8" t="s">
        <v>2199</v>
      </c>
      <c r="C67" s="8" t="s">
        <v>2194</v>
      </c>
      <c r="D67" s="8">
        <v>1</v>
      </c>
    </row>
    <row r="68" spans="1:4" x14ac:dyDescent="0.25">
      <c r="A68" s="8" t="s">
        <v>216</v>
      </c>
      <c r="B68" s="8" t="s">
        <v>2199</v>
      </c>
      <c r="C68" s="8" t="s">
        <v>2194</v>
      </c>
      <c r="D68" s="8">
        <v>1</v>
      </c>
    </row>
    <row r="69" spans="1:4" x14ac:dyDescent="0.25">
      <c r="A69" s="8" t="s">
        <v>218</v>
      </c>
      <c r="B69" s="8" t="s">
        <v>2199</v>
      </c>
      <c r="C69" s="8" t="s">
        <v>2194</v>
      </c>
      <c r="D69" s="8">
        <v>1</v>
      </c>
    </row>
    <row r="70" spans="1:4" x14ac:dyDescent="0.25">
      <c r="A70" s="8" t="s">
        <v>224</v>
      </c>
      <c r="B70" s="8" t="s">
        <v>2199</v>
      </c>
      <c r="C70" s="8" t="s">
        <v>2194</v>
      </c>
      <c r="D70" s="8">
        <v>1</v>
      </c>
    </row>
    <row r="71" spans="1:4" x14ac:dyDescent="0.25">
      <c r="A71" s="8" t="s">
        <v>225</v>
      </c>
      <c r="B71" s="8" t="s">
        <v>2199</v>
      </c>
      <c r="C71" s="8" t="s">
        <v>2194</v>
      </c>
      <c r="D71" s="8">
        <v>1</v>
      </c>
    </row>
    <row r="72" spans="1:4" x14ac:dyDescent="0.25">
      <c r="A72" s="8" t="s">
        <v>227</v>
      </c>
      <c r="B72" s="8" t="s">
        <v>2199</v>
      </c>
      <c r="C72" s="8" t="s">
        <v>2194</v>
      </c>
      <c r="D72" s="8">
        <v>1</v>
      </c>
    </row>
    <row r="73" spans="1:4" x14ac:dyDescent="0.25">
      <c r="A73" s="8" t="s">
        <v>229</v>
      </c>
      <c r="B73" s="8" t="s">
        <v>2199</v>
      </c>
      <c r="C73" s="8" t="s">
        <v>2194</v>
      </c>
      <c r="D73" s="8">
        <v>1</v>
      </c>
    </row>
    <row r="74" spans="1:4" x14ac:dyDescent="0.25">
      <c r="A74" s="8" t="s">
        <v>231</v>
      </c>
      <c r="B74" s="8" t="s">
        <v>2199</v>
      </c>
      <c r="C74" s="8" t="s">
        <v>2194</v>
      </c>
      <c r="D74" s="8">
        <v>1</v>
      </c>
    </row>
    <row r="75" spans="1:4" x14ac:dyDescent="0.25">
      <c r="A75" s="8" t="s">
        <v>232</v>
      </c>
      <c r="B75" s="8" t="s">
        <v>2199</v>
      </c>
      <c r="C75" s="8" t="s">
        <v>637</v>
      </c>
      <c r="D75" s="8">
        <v>1</v>
      </c>
    </row>
    <row r="76" spans="1:4" x14ac:dyDescent="0.25">
      <c r="A76" s="8" t="s">
        <v>234</v>
      </c>
      <c r="B76" s="8" t="s">
        <v>2199</v>
      </c>
      <c r="C76" s="8" t="s">
        <v>441</v>
      </c>
      <c r="D76" s="8">
        <v>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4"/>
  <sheetViews>
    <sheetView topLeftCell="BA1" workbookViewId="0">
      <selection activeCell="BE17" sqref="BE17"/>
    </sheetView>
  </sheetViews>
  <sheetFormatPr defaultRowHeight="15" x14ac:dyDescent="0.25"/>
  <cols>
    <col min="1" max="1" width="18.140625" bestFit="1" customWidth="1"/>
    <col min="2" max="2" width="10.28515625" customWidth="1"/>
    <col min="3" max="3" width="12.42578125" customWidth="1"/>
    <col min="4" max="4" width="9.85546875" customWidth="1"/>
    <col min="5" max="5" width="12.42578125" customWidth="1"/>
    <col min="6" max="7" width="9.85546875" customWidth="1"/>
    <col min="8" max="10" width="12.42578125" customWidth="1"/>
    <col min="11" max="11" width="9.85546875" customWidth="1"/>
    <col min="12" max="12" width="12.42578125" customWidth="1"/>
    <col min="13" max="13" width="9.85546875" customWidth="1"/>
    <col min="14" max="15" width="12.42578125" customWidth="1"/>
    <col min="16" max="18" width="9.85546875" customWidth="1"/>
    <col min="19" max="47" width="10.85546875" customWidth="1"/>
    <col min="48" max="49" width="12.5703125" customWidth="1"/>
    <col min="50" max="52" width="13.5703125" customWidth="1"/>
    <col min="53" max="53" width="12.5703125" customWidth="1"/>
    <col min="54" max="56" width="13.5703125" customWidth="1"/>
    <col min="57" max="58" width="14.5703125" customWidth="1"/>
    <col min="59" max="59" width="10.42578125" customWidth="1"/>
    <col min="60" max="60" width="14.5703125" customWidth="1"/>
    <col min="61" max="64" width="13.5703125" customWidth="1"/>
    <col min="65" max="65" width="20.140625" customWidth="1"/>
  </cols>
  <sheetData>
    <row r="1" spans="1:65" x14ac:dyDescent="0.25">
      <c r="A1" t="s">
        <v>0</v>
      </c>
      <c r="B1" t="s">
        <v>2238</v>
      </c>
      <c r="C1" t="s">
        <v>1802</v>
      </c>
      <c r="D1" t="s">
        <v>638</v>
      </c>
      <c r="E1" t="s">
        <v>1804</v>
      </c>
      <c r="F1" t="s">
        <v>465</v>
      </c>
      <c r="G1" t="s">
        <v>841</v>
      </c>
      <c r="H1" t="s">
        <v>1805</v>
      </c>
      <c r="I1" t="s">
        <v>1806</v>
      </c>
      <c r="J1" t="s">
        <v>1807</v>
      </c>
      <c r="K1" t="s">
        <v>471</v>
      </c>
      <c r="L1" t="s">
        <v>1808</v>
      </c>
      <c r="M1" t="s">
        <v>772</v>
      </c>
      <c r="N1" t="s">
        <v>1809</v>
      </c>
      <c r="O1" t="s">
        <v>1810</v>
      </c>
      <c r="P1" t="s">
        <v>478</v>
      </c>
      <c r="Q1" t="s">
        <v>395</v>
      </c>
      <c r="R1" t="s">
        <v>396</v>
      </c>
      <c r="S1" t="s">
        <v>682</v>
      </c>
      <c r="T1" t="s">
        <v>879</v>
      </c>
      <c r="U1" t="s">
        <v>508</v>
      </c>
      <c r="V1" t="s">
        <v>405</v>
      </c>
      <c r="W1" t="s">
        <v>397</v>
      </c>
      <c r="X1" t="s">
        <v>398</v>
      </c>
      <c r="Y1" t="s">
        <v>399</v>
      </c>
      <c r="Z1" t="s">
        <v>400</v>
      </c>
      <c r="AA1" t="s">
        <v>401</v>
      </c>
      <c r="AB1" t="s">
        <v>403</v>
      </c>
      <c r="AC1" t="s">
        <v>402</v>
      </c>
      <c r="AD1" t="s">
        <v>509</v>
      </c>
      <c r="AE1" t="s">
        <v>683</v>
      </c>
      <c r="AF1" t="s">
        <v>684</v>
      </c>
      <c r="AG1" t="s">
        <v>510</v>
      </c>
      <c r="AH1" t="s">
        <v>492</v>
      </c>
      <c r="AI1" t="s">
        <v>404</v>
      </c>
      <c r="AJ1" t="s">
        <v>685</v>
      </c>
      <c r="AK1" t="s">
        <v>686</v>
      </c>
      <c r="AL1" t="s">
        <v>732</v>
      </c>
      <c r="AM1" t="s">
        <v>1044</v>
      </c>
      <c r="AN1" t="s">
        <v>406</v>
      </c>
      <c r="AO1" t="s">
        <v>687</v>
      </c>
      <c r="AP1" t="s">
        <v>744</v>
      </c>
      <c r="AQ1" t="s">
        <v>752</v>
      </c>
      <c r="AR1" t="s">
        <v>688</v>
      </c>
      <c r="AS1" t="s">
        <v>515</v>
      </c>
      <c r="AT1" t="s">
        <v>761</v>
      </c>
      <c r="AU1" t="s">
        <v>516</v>
      </c>
      <c r="AV1" t="s">
        <v>1053</v>
      </c>
      <c r="AW1" t="s">
        <v>967</v>
      </c>
      <c r="AX1" t="s">
        <v>968</v>
      </c>
      <c r="AY1" t="s">
        <v>969</v>
      </c>
      <c r="AZ1" t="s">
        <v>970</v>
      </c>
      <c r="BA1" t="s">
        <v>971</v>
      </c>
      <c r="BB1" t="s">
        <v>976</v>
      </c>
      <c r="BC1" t="s">
        <v>972</v>
      </c>
      <c r="BD1" t="s">
        <v>973</v>
      </c>
      <c r="BE1" t="s">
        <v>974</v>
      </c>
      <c r="BF1" t="s">
        <v>975</v>
      </c>
      <c r="BG1" t="s">
        <v>725</v>
      </c>
      <c r="BH1" t="s">
        <v>812</v>
      </c>
      <c r="BI1" t="s">
        <v>2239</v>
      </c>
      <c r="BJ1" t="s">
        <v>2240</v>
      </c>
      <c r="BK1" t="s">
        <v>2241</v>
      </c>
      <c r="BL1" t="s">
        <v>2242</v>
      </c>
      <c r="BM1" t="s">
        <v>2243</v>
      </c>
    </row>
    <row r="2" spans="1:65" x14ac:dyDescent="0.25">
      <c r="A2" t="s">
        <v>6</v>
      </c>
    </row>
    <row r="3" spans="1:65" x14ac:dyDescent="0.25">
      <c r="A3" t="s">
        <v>11</v>
      </c>
      <c r="B3">
        <v>49</v>
      </c>
    </row>
    <row r="4" spans="1:65" x14ac:dyDescent="0.25">
      <c r="A4" t="s">
        <v>12</v>
      </c>
    </row>
    <row r="5" spans="1:65" x14ac:dyDescent="0.25">
      <c r="A5" t="s">
        <v>16</v>
      </c>
      <c r="B5">
        <v>45</v>
      </c>
    </row>
    <row r="6" spans="1:65" x14ac:dyDescent="0.25">
      <c r="A6" t="s">
        <v>18</v>
      </c>
    </row>
    <row r="7" spans="1:65" x14ac:dyDescent="0.25">
      <c r="A7" t="s">
        <v>20</v>
      </c>
    </row>
    <row r="8" spans="1:65" x14ac:dyDescent="0.25">
      <c r="A8" t="s">
        <v>22</v>
      </c>
      <c r="D8">
        <v>42</v>
      </c>
      <c r="R8">
        <v>33</v>
      </c>
      <c r="S8">
        <v>38</v>
      </c>
      <c r="W8">
        <v>82</v>
      </c>
      <c r="X8">
        <v>174</v>
      </c>
      <c r="Y8">
        <v>216</v>
      </c>
      <c r="Z8">
        <v>242</v>
      </c>
      <c r="AA8">
        <v>221</v>
      </c>
      <c r="AB8">
        <v>215</v>
      </c>
      <c r="AC8">
        <v>216</v>
      </c>
      <c r="AD8">
        <v>191</v>
      </c>
      <c r="AE8">
        <v>192</v>
      </c>
      <c r="AF8">
        <v>168</v>
      </c>
      <c r="AJ8">
        <v>135</v>
      </c>
      <c r="AK8">
        <v>42</v>
      </c>
      <c r="AO8">
        <v>78</v>
      </c>
      <c r="AR8">
        <v>56</v>
      </c>
      <c r="BM8">
        <v>240</v>
      </c>
    </row>
    <row r="9" spans="1:65" x14ac:dyDescent="0.25">
      <c r="A9" t="s">
        <v>24</v>
      </c>
      <c r="B9">
        <v>35</v>
      </c>
      <c r="C9">
        <v>168</v>
      </c>
    </row>
    <row r="10" spans="1:65" x14ac:dyDescent="0.25">
      <c r="A10" t="s">
        <v>26</v>
      </c>
      <c r="B10" t="s">
        <v>459</v>
      </c>
      <c r="F10">
        <v>9.1199999999999992</v>
      </c>
      <c r="K10">
        <v>526</v>
      </c>
      <c r="P10">
        <v>399</v>
      </c>
      <c r="Q10">
        <v>362</v>
      </c>
      <c r="X10">
        <v>399</v>
      </c>
      <c r="AH10">
        <v>619</v>
      </c>
      <c r="AI10">
        <v>900</v>
      </c>
    </row>
    <row r="11" spans="1:65" x14ac:dyDescent="0.25">
      <c r="A11" t="s">
        <v>28</v>
      </c>
      <c r="B11">
        <v>240</v>
      </c>
    </row>
    <row r="12" spans="1:65" x14ac:dyDescent="0.25">
      <c r="A12" t="s">
        <v>30</v>
      </c>
      <c r="F12">
        <v>51</v>
      </c>
    </row>
    <row r="13" spans="1:65" x14ac:dyDescent="0.25">
      <c r="A13" t="s">
        <v>32</v>
      </c>
      <c r="B13">
        <v>35</v>
      </c>
    </row>
    <row r="14" spans="1:65" x14ac:dyDescent="0.25">
      <c r="A14" t="s">
        <v>34</v>
      </c>
      <c r="B14">
        <v>17</v>
      </c>
      <c r="U14">
        <v>20</v>
      </c>
      <c r="AD14">
        <v>57</v>
      </c>
      <c r="AG14">
        <v>45</v>
      </c>
      <c r="AS14">
        <v>20</v>
      </c>
      <c r="AU14">
        <v>30</v>
      </c>
    </row>
    <row r="15" spans="1:65" x14ac:dyDescent="0.25">
      <c r="A15" t="s">
        <v>36</v>
      </c>
    </row>
    <row r="16" spans="1:65" x14ac:dyDescent="0.25">
      <c r="A16" t="s">
        <v>37</v>
      </c>
    </row>
    <row r="17" spans="1:65" x14ac:dyDescent="0.25">
      <c r="A17" t="s">
        <v>40</v>
      </c>
      <c r="AN17">
        <v>158</v>
      </c>
    </row>
    <row r="18" spans="1:65" x14ac:dyDescent="0.25">
      <c r="A18" t="s">
        <v>42</v>
      </c>
    </row>
    <row r="19" spans="1:65" x14ac:dyDescent="0.25">
      <c r="A19" t="s">
        <v>43</v>
      </c>
    </row>
    <row r="20" spans="1:65" x14ac:dyDescent="0.25">
      <c r="A20" t="s">
        <v>44</v>
      </c>
      <c r="B20">
        <v>129</v>
      </c>
      <c r="BM20">
        <v>39</v>
      </c>
    </row>
    <row r="21" spans="1:65" x14ac:dyDescent="0.25">
      <c r="A21" t="s">
        <v>46</v>
      </c>
      <c r="B21">
        <v>41</v>
      </c>
      <c r="C21">
        <v>38</v>
      </c>
    </row>
    <row r="22" spans="1:65" x14ac:dyDescent="0.25">
      <c r="A22" t="s">
        <v>48</v>
      </c>
    </row>
    <row r="23" spans="1:65" x14ac:dyDescent="0.25">
      <c r="A23" t="s">
        <v>50</v>
      </c>
      <c r="F23">
        <v>7.24</v>
      </c>
      <c r="AA23">
        <v>13.9</v>
      </c>
    </row>
    <row r="24" spans="1:65" x14ac:dyDescent="0.25">
      <c r="A24" t="s">
        <v>52</v>
      </c>
    </row>
    <row r="25" spans="1:65" x14ac:dyDescent="0.25">
      <c r="A25" t="s">
        <v>53</v>
      </c>
      <c r="B25">
        <v>128</v>
      </c>
    </row>
    <row r="26" spans="1:65" x14ac:dyDescent="0.25">
      <c r="A26" t="s">
        <v>55</v>
      </c>
    </row>
    <row r="27" spans="1:65" x14ac:dyDescent="0.25">
      <c r="A27" t="s">
        <v>57</v>
      </c>
    </row>
    <row r="28" spans="1:65" x14ac:dyDescent="0.25">
      <c r="A28" t="s">
        <v>59</v>
      </c>
    </row>
    <row r="29" spans="1:65" x14ac:dyDescent="0.25">
      <c r="A29" t="s">
        <v>60</v>
      </c>
      <c r="B29">
        <v>5</v>
      </c>
    </row>
    <row r="30" spans="1:65" x14ac:dyDescent="0.25">
      <c r="A30" t="s">
        <v>62</v>
      </c>
      <c r="B30" t="s">
        <v>459</v>
      </c>
      <c r="C30" t="s">
        <v>1803</v>
      </c>
    </row>
    <row r="31" spans="1:65" x14ac:dyDescent="0.25">
      <c r="A31" t="s">
        <v>64</v>
      </c>
    </row>
    <row r="32" spans="1:65" x14ac:dyDescent="0.25">
      <c r="A32" t="s">
        <v>65</v>
      </c>
    </row>
    <row r="33" spans="1:59" x14ac:dyDescent="0.25">
      <c r="A33" t="s">
        <v>66</v>
      </c>
      <c r="B33">
        <v>17</v>
      </c>
      <c r="V33">
        <v>298</v>
      </c>
      <c r="W33">
        <v>269</v>
      </c>
      <c r="AC33">
        <v>153</v>
      </c>
    </row>
    <row r="34" spans="1:59" x14ac:dyDescent="0.25">
      <c r="A34" t="s">
        <v>68</v>
      </c>
      <c r="B34">
        <v>88</v>
      </c>
      <c r="BG34">
        <v>128</v>
      </c>
    </row>
    <row r="35" spans="1:59" x14ac:dyDescent="0.25">
      <c r="A35" t="s">
        <v>69</v>
      </c>
      <c r="B35">
        <v>176</v>
      </c>
    </row>
    <row r="36" spans="1:59" x14ac:dyDescent="0.25">
      <c r="A36" t="s">
        <v>71</v>
      </c>
      <c r="B36">
        <v>55</v>
      </c>
    </row>
    <row r="37" spans="1:59" x14ac:dyDescent="0.25">
      <c r="A37" t="s">
        <v>73</v>
      </c>
    </row>
    <row r="38" spans="1:59" x14ac:dyDescent="0.25">
      <c r="A38" t="s">
        <v>74</v>
      </c>
      <c r="B38">
        <v>69</v>
      </c>
      <c r="D38" t="s">
        <v>1979</v>
      </c>
      <c r="F38">
        <v>75</v>
      </c>
      <c r="P38" t="s">
        <v>1980</v>
      </c>
      <c r="W38" t="s">
        <v>1981</v>
      </c>
    </row>
    <row r="39" spans="1:59" x14ac:dyDescent="0.25">
      <c r="A39" t="s">
        <v>76</v>
      </c>
    </row>
    <row r="40" spans="1:59" x14ac:dyDescent="0.25">
      <c r="A40" t="s">
        <v>78</v>
      </c>
      <c r="AL40">
        <v>12</v>
      </c>
      <c r="AN40">
        <v>7</v>
      </c>
      <c r="AP40">
        <v>23</v>
      </c>
      <c r="AQ40">
        <v>47</v>
      </c>
      <c r="AR40">
        <v>55</v>
      </c>
      <c r="AS40">
        <v>82</v>
      </c>
      <c r="AT40">
        <v>148</v>
      </c>
    </row>
    <row r="41" spans="1:59" x14ac:dyDescent="0.25">
      <c r="A41" t="s">
        <v>80</v>
      </c>
      <c r="B41">
        <v>243</v>
      </c>
    </row>
    <row r="42" spans="1:59" x14ac:dyDescent="0.25">
      <c r="A42" t="s">
        <v>82</v>
      </c>
    </row>
    <row r="43" spans="1:59" x14ac:dyDescent="0.25">
      <c r="A43" t="s">
        <v>84</v>
      </c>
    </row>
    <row r="44" spans="1:59" x14ac:dyDescent="0.25">
      <c r="A44" t="s">
        <v>85</v>
      </c>
      <c r="B44">
        <v>90</v>
      </c>
      <c r="Q44">
        <v>21</v>
      </c>
    </row>
    <row r="45" spans="1:59" x14ac:dyDescent="0.25">
      <c r="A45" t="s">
        <v>87</v>
      </c>
      <c r="B45" t="s">
        <v>1982</v>
      </c>
      <c r="D45" t="s">
        <v>1982</v>
      </c>
      <c r="M45" t="s">
        <v>1983</v>
      </c>
      <c r="R45" t="s">
        <v>1984</v>
      </c>
    </row>
    <row r="46" spans="1:59" x14ac:dyDescent="0.25">
      <c r="A46" t="s">
        <v>89</v>
      </c>
    </row>
    <row r="47" spans="1:59" x14ac:dyDescent="0.25">
      <c r="A47" t="s">
        <v>91</v>
      </c>
    </row>
    <row r="48" spans="1:59" x14ac:dyDescent="0.25">
      <c r="A48" t="s">
        <v>92</v>
      </c>
    </row>
    <row r="49" spans="1:64" x14ac:dyDescent="0.25">
      <c r="A49" t="s">
        <v>93</v>
      </c>
      <c r="B49">
        <v>95</v>
      </c>
      <c r="D49">
        <v>90</v>
      </c>
      <c r="K49">
        <v>91</v>
      </c>
      <c r="Q49">
        <v>159</v>
      </c>
      <c r="U49">
        <v>136</v>
      </c>
      <c r="AB49">
        <v>116</v>
      </c>
    </row>
    <row r="50" spans="1:64" x14ac:dyDescent="0.25">
      <c r="A50" t="s">
        <v>95</v>
      </c>
      <c r="BH50">
        <v>224</v>
      </c>
      <c r="BI50">
        <v>231</v>
      </c>
      <c r="BJ50">
        <v>249</v>
      </c>
      <c r="BK50">
        <v>301</v>
      </c>
      <c r="BL50">
        <v>378</v>
      </c>
    </row>
    <row r="51" spans="1:64" x14ac:dyDescent="0.25">
      <c r="A51" t="s">
        <v>97</v>
      </c>
    </row>
    <row r="52" spans="1:64" x14ac:dyDescent="0.25">
      <c r="A52" t="s">
        <v>99</v>
      </c>
    </row>
    <row r="53" spans="1:64" x14ac:dyDescent="0.25">
      <c r="A53" t="s">
        <v>100</v>
      </c>
    </row>
    <row r="54" spans="1:64" x14ac:dyDescent="0.25">
      <c r="A54" t="s">
        <v>101</v>
      </c>
    </row>
    <row r="55" spans="1:64" x14ac:dyDescent="0.25">
      <c r="A55" t="s">
        <v>102</v>
      </c>
    </row>
    <row r="56" spans="1:64" x14ac:dyDescent="0.25">
      <c r="A56" t="s">
        <v>103</v>
      </c>
      <c r="G56">
        <v>138</v>
      </c>
    </row>
    <row r="57" spans="1:64" x14ac:dyDescent="0.25">
      <c r="A57" t="s">
        <v>105</v>
      </c>
    </row>
    <row r="58" spans="1:64" x14ac:dyDescent="0.25">
      <c r="A58" t="s">
        <v>106</v>
      </c>
    </row>
    <row r="59" spans="1:64" x14ac:dyDescent="0.25">
      <c r="A59" t="s">
        <v>107</v>
      </c>
    </row>
    <row r="60" spans="1:64" x14ac:dyDescent="0.25">
      <c r="A60" t="s">
        <v>108</v>
      </c>
    </row>
    <row r="61" spans="1:64" x14ac:dyDescent="0.25">
      <c r="A61" t="s">
        <v>109</v>
      </c>
    </row>
    <row r="62" spans="1:64" x14ac:dyDescent="0.25">
      <c r="A62" t="s">
        <v>110</v>
      </c>
    </row>
    <row r="63" spans="1:64" x14ac:dyDescent="0.25">
      <c r="A63" t="s">
        <v>111</v>
      </c>
    </row>
    <row r="64" spans="1:64" x14ac:dyDescent="0.25">
      <c r="A64" t="s">
        <v>112</v>
      </c>
    </row>
    <row r="65" spans="1:25" x14ac:dyDescent="0.25">
      <c r="A65" t="s">
        <v>113</v>
      </c>
    </row>
    <row r="66" spans="1:25" x14ac:dyDescent="0.25">
      <c r="A66" t="s">
        <v>115</v>
      </c>
    </row>
    <row r="67" spans="1:25" x14ac:dyDescent="0.25">
      <c r="A67" t="s">
        <v>116</v>
      </c>
    </row>
    <row r="68" spans="1:25" x14ac:dyDescent="0.25">
      <c r="A68" t="s">
        <v>117</v>
      </c>
    </row>
    <row r="69" spans="1:25" x14ac:dyDescent="0.25">
      <c r="A69" t="s">
        <v>119</v>
      </c>
      <c r="B69">
        <v>73</v>
      </c>
      <c r="D69">
        <v>96</v>
      </c>
      <c r="F69">
        <v>85</v>
      </c>
      <c r="P69">
        <v>79</v>
      </c>
    </row>
    <row r="70" spans="1:25" x14ac:dyDescent="0.25">
      <c r="A70" t="s">
        <v>120</v>
      </c>
    </row>
    <row r="71" spans="1:25" x14ac:dyDescent="0.25">
      <c r="A71" t="s">
        <v>122</v>
      </c>
    </row>
    <row r="72" spans="1:25" x14ac:dyDescent="0.25">
      <c r="A72" t="s">
        <v>123</v>
      </c>
    </row>
    <row r="73" spans="1:25" x14ac:dyDescent="0.25">
      <c r="A73" t="s">
        <v>125</v>
      </c>
      <c r="G73">
        <v>67</v>
      </c>
      <c r="K73">
        <v>69</v>
      </c>
      <c r="M73">
        <v>125</v>
      </c>
      <c r="Q73">
        <v>182</v>
      </c>
      <c r="R73">
        <v>274</v>
      </c>
      <c r="T73">
        <v>211</v>
      </c>
      <c r="U73">
        <v>247</v>
      </c>
      <c r="V73">
        <v>325</v>
      </c>
      <c r="W73">
        <v>516</v>
      </c>
      <c r="X73">
        <v>601</v>
      </c>
    </row>
    <row r="74" spans="1:25" x14ac:dyDescent="0.25">
      <c r="A74" t="s">
        <v>126</v>
      </c>
    </row>
    <row r="75" spans="1:25" x14ac:dyDescent="0.25">
      <c r="A75" t="s">
        <v>127</v>
      </c>
      <c r="B75">
        <v>200</v>
      </c>
      <c r="U75">
        <v>705</v>
      </c>
    </row>
    <row r="76" spans="1:25" x14ac:dyDescent="0.25">
      <c r="A76" t="s">
        <v>128</v>
      </c>
      <c r="B76">
        <v>109</v>
      </c>
      <c r="M76">
        <v>492</v>
      </c>
      <c r="Q76">
        <v>1445</v>
      </c>
    </row>
    <row r="77" spans="1:25" x14ac:dyDescent="0.25">
      <c r="A77" t="s">
        <v>131</v>
      </c>
      <c r="B77" t="s">
        <v>1985</v>
      </c>
      <c r="D77" t="s">
        <v>1986</v>
      </c>
      <c r="Y77">
        <v>96</v>
      </c>
    </row>
    <row r="78" spans="1:25" x14ac:dyDescent="0.25">
      <c r="A78" t="s">
        <v>133</v>
      </c>
    </row>
    <row r="79" spans="1:25" x14ac:dyDescent="0.25">
      <c r="A79" t="s">
        <v>134</v>
      </c>
      <c r="B79" t="s">
        <v>1987</v>
      </c>
    </row>
    <row r="80" spans="1:25" x14ac:dyDescent="0.25">
      <c r="A80" t="s">
        <v>136</v>
      </c>
    </row>
    <row r="81" spans="1:23" x14ac:dyDescent="0.25">
      <c r="A81" t="s">
        <v>138</v>
      </c>
      <c r="B81">
        <v>120</v>
      </c>
      <c r="D81" t="s">
        <v>1988</v>
      </c>
      <c r="G81" t="s">
        <v>1989</v>
      </c>
      <c r="M81">
        <v>129</v>
      </c>
    </row>
    <row r="82" spans="1:23" x14ac:dyDescent="0.25">
      <c r="A82" t="s">
        <v>140</v>
      </c>
      <c r="W82">
        <v>2.14</v>
      </c>
    </row>
    <row r="83" spans="1:23" x14ac:dyDescent="0.25">
      <c r="A83" t="s">
        <v>142</v>
      </c>
    </row>
    <row r="84" spans="1:23" x14ac:dyDescent="0.25">
      <c r="A84" t="s">
        <v>143</v>
      </c>
    </row>
    <row r="85" spans="1:23" x14ac:dyDescent="0.25">
      <c r="A85" t="s">
        <v>144</v>
      </c>
    </row>
    <row r="86" spans="1:23" x14ac:dyDescent="0.25">
      <c r="A86" t="s">
        <v>145</v>
      </c>
    </row>
    <row r="87" spans="1:23" x14ac:dyDescent="0.25">
      <c r="A87" t="s">
        <v>146</v>
      </c>
    </row>
    <row r="88" spans="1:23" x14ac:dyDescent="0.25">
      <c r="A88" t="s">
        <v>147</v>
      </c>
    </row>
    <row r="89" spans="1:23" x14ac:dyDescent="0.25">
      <c r="A89" t="s">
        <v>148</v>
      </c>
    </row>
    <row r="90" spans="1:23" x14ac:dyDescent="0.25">
      <c r="A90" t="s">
        <v>149</v>
      </c>
    </row>
    <row r="91" spans="1:23" x14ac:dyDescent="0.25">
      <c r="A91" t="s">
        <v>150</v>
      </c>
      <c r="B91" t="s">
        <v>1990</v>
      </c>
    </row>
    <row r="92" spans="1:23" x14ac:dyDescent="0.25">
      <c r="A92" t="s">
        <v>151</v>
      </c>
    </row>
    <row r="94" spans="1:23" x14ac:dyDescent="0.25">
      <c r="A94" t="s">
        <v>321</v>
      </c>
    </row>
    <row r="95" spans="1:23" x14ac:dyDescent="0.25">
      <c r="A95" t="s">
        <v>152</v>
      </c>
      <c r="B95">
        <v>64</v>
      </c>
      <c r="C95">
        <v>61</v>
      </c>
    </row>
    <row r="96" spans="1:23" x14ac:dyDescent="0.25">
      <c r="A96" t="s">
        <v>153</v>
      </c>
      <c r="B96">
        <v>11.8</v>
      </c>
      <c r="D96">
        <v>26</v>
      </c>
      <c r="F96">
        <v>24</v>
      </c>
      <c r="G96">
        <v>23</v>
      </c>
      <c r="H96">
        <v>32</v>
      </c>
      <c r="I96">
        <v>36</v>
      </c>
      <c r="J96">
        <v>42</v>
      </c>
      <c r="K96">
        <v>43</v>
      </c>
    </row>
    <row r="97" spans="1:58" x14ac:dyDescent="0.25">
      <c r="A97" t="s">
        <v>155</v>
      </c>
    </row>
    <row r="98" spans="1:58" x14ac:dyDescent="0.25">
      <c r="A98" t="s">
        <v>157</v>
      </c>
      <c r="B98">
        <v>207</v>
      </c>
      <c r="G98">
        <v>317</v>
      </c>
      <c r="Q98">
        <v>257</v>
      </c>
      <c r="W98">
        <v>141</v>
      </c>
    </row>
    <row r="99" spans="1:58" x14ac:dyDescent="0.25">
      <c r="A99" t="s">
        <v>158</v>
      </c>
      <c r="B99" t="s">
        <v>923</v>
      </c>
      <c r="D99" t="s">
        <v>923</v>
      </c>
      <c r="F99" t="s">
        <v>923</v>
      </c>
      <c r="G99" t="s">
        <v>923</v>
      </c>
      <c r="K99">
        <v>97</v>
      </c>
      <c r="L99">
        <v>82</v>
      </c>
      <c r="M99">
        <v>78</v>
      </c>
      <c r="N99">
        <v>75</v>
      </c>
      <c r="O99">
        <v>73</v>
      </c>
      <c r="P99">
        <v>55</v>
      </c>
    </row>
    <row r="100" spans="1:58" x14ac:dyDescent="0.25">
      <c r="A100" t="s">
        <v>160</v>
      </c>
    </row>
    <row r="101" spans="1:58" x14ac:dyDescent="0.25">
      <c r="A101" t="s">
        <v>162</v>
      </c>
    </row>
    <row r="102" spans="1:58" x14ac:dyDescent="0.25">
      <c r="A102" t="s">
        <v>163</v>
      </c>
      <c r="D102">
        <v>213</v>
      </c>
    </row>
    <row r="103" spans="1:58" x14ac:dyDescent="0.25">
      <c r="A103" t="s">
        <v>164</v>
      </c>
    </row>
    <row r="104" spans="1:58" x14ac:dyDescent="0.25">
      <c r="A104" t="s">
        <v>165</v>
      </c>
    </row>
    <row r="105" spans="1:58" x14ac:dyDescent="0.25">
      <c r="A105" t="s">
        <v>166</v>
      </c>
      <c r="B105">
        <v>89</v>
      </c>
      <c r="D105">
        <v>105</v>
      </c>
      <c r="F105">
        <v>86</v>
      </c>
    </row>
    <row r="106" spans="1:58" x14ac:dyDescent="0.25">
      <c r="A106" t="s">
        <v>167</v>
      </c>
    </row>
    <row r="107" spans="1:58" x14ac:dyDescent="0.25">
      <c r="A107" t="s">
        <v>169</v>
      </c>
    </row>
    <row r="108" spans="1:58" x14ac:dyDescent="0.25">
      <c r="A108" t="s">
        <v>170</v>
      </c>
    </row>
    <row r="109" spans="1:58" x14ac:dyDescent="0.25">
      <c r="A109" t="s">
        <v>172</v>
      </c>
    </row>
    <row r="110" spans="1:58" x14ac:dyDescent="0.25">
      <c r="A110" t="s">
        <v>173</v>
      </c>
      <c r="B110">
        <v>50</v>
      </c>
      <c r="C110">
        <v>46</v>
      </c>
      <c r="D110">
        <v>44</v>
      </c>
      <c r="E110">
        <v>50</v>
      </c>
      <c r="F110">
        <v>55</v>
      </c>
      <c r="G110">
        <v>78</v>
      </c>
      <c r="M110">
        <v>86</v>
      </c>
    </row>
    <row r="111" spans="1:58" x14ac:dyDescent="0.25">
      <c r="A111" t="s">
        <v>175</v>
      </c>
      <c r="B111">
        <v>14</v>
      </c>
      <c r="AW111">
        <v>12</v>
      </c>
      <c r="AX111">
        <v>366</v>
      </c>
      <c r="AY111">
        <v>143</v>
      </c>
      <c r="AZ111">
        <v>158</v>
      </c>
      <c r="BA111">
        <v>403</v>
      </c>
      <c r="BB111">
        <v>326</v>
      </c>
      <c r="BC111">
        <v>236</v>
      </c>
      <c r="BD111">
        <v>182</v>
      </c>
      <c r="BE111">
        <v>172</v>
      </c>
      <c r="BF111">
        <v>129</v>
      </c>
    </row>
    <row r="112" spans="1:58" x14ac:dyDescent="0.25">
      <c r="A112" t="s">
        <v>176</v>
      </c>
    </row>
    <row r="113" spans="1:48" x14ac:dyDescent="0.25">
      <c r="A113" t="s">
        <v>177</v>
      </c>
    </row>
    <row r="114" spans="1:48" x14ac:dyDescent="0.25">
      <c r="A114" t="s">
        <v>178</v>
      </c>
    </row>
    <row r="115" spans="1:48" x14ac:dyDescent="0.25">
      <c r="A115" t="s">
        <v>179</v>
      </c>
    </row>
    <row r="116" spans="1:48" x14ac:dyDescent="0.25">
      <c r="A116" t="s">
        <v>182</v>
      </c>
    </row>
    <row r="117" spans="1:48" x14ac:dyDescent="0.25">
      <c r="A117" t="s">
        <v>183</v>
      </c>
      <c r="D117">
        <v>111</v>
      </c>
      <c r="G117">
        <v>55</v>
      </c>
    </row>
    <row r="118" spans="1:48" x14ac:dyDescent="0.25">
      <c r="A118" t="s">
        <v>185</v>
      </c>
      <c r="B118">
        <v>65</v>
      </c>
      <c r="P118">
        <v>99</v>
      </c>
    </row>
    <row r="119" spans="1:48" x14ac:dyDescent="0.25">
      <c r="A119" t="s">
        <v>187</v>
      </c>
    </row>
    <row r="120" spans="1:48" x14ac:dyDescent="0.25">
      <c r="A120" t="s">
        <v>189</v>
      </c>
      <c r="D120">
        <v>201</v>
      </c>
      <c r="F120">
        <v>180</v>
      </c>
      <c r="G120">
        <v>177</v>
      </c>
      <c r="M120">
        <v>246</v>
      </c>
      <c r="U120">
        <v>41</v>
      </c>
      <c r="V120">
        <v>70</v>
      </c>
    </row>
    <row r="121" spans="1:48" x14ac:dyDescent="0.25">
      <c r="A121" t="s">
        <v>191</v>
      </c>
      <c r="B121">
        <v>192</v>
      </c>
      <c r="F121">
        <v>91</v>
      </c>
    </row>
    <row r="122" spans="1:48" x14ac:dyDescent="0.25">
      <c r="A122" t="s">
        <v>192</v>
      </c>
    </row>
    <row r="123" spans="1:48" x14ac:dyDescent="0.25">
      <c r="A123" t="s">
        <v>194</v>
      </c>
    </row>
    <row r="124" spans="1:48" x14ac:dyDescent="0.25">
      <c r="A124" t="s">
        <v>196</v>
      </c>
    </row>
    <row r="125" spans="1:48" x14ac:dyDescent="0.25">
      <c r="A125" t="s">
        <v>197</v>
      </c>
      <c r="B125">
        <v>72</v>
      </c>
      <c r="AL125">
        <v>78</v>
      </c>
      <c r="AM125">
        <v>96</v>
      </c>
    </row>
    <row r="126" spans="1:48" x14ac:dyDescent="0.25">
      <c r="A126" t="s">
        <v>199</v>
      </c>
      <c r="B126">
        <v>280</v>
      </c>
      <c r="AV126">
        <v>25</v>
      </c>
    </row>
    <row r="127" spans="1:48" x14ac:dyDescent="0.25">
      <c r="A127" t="s">
        <v>200</v>
      </c>
    </row>
    <row r="128" spans="1:48" x14ac:dyDescent="0.25">
      <c r="A128" t="s">
        <v>201</v>
      </c>
    </row>
    <row r="129" spans="1:35" x14ac:dyDescent="0.25">
      <c r="A129" t="s">
        <v>202</v>
      </c>
      <c r="B129">
        <v>60</v>
      </c>
      <c r="M129">
        <v>58</v>
      </c>
      <c r="W129">
        <v>42</v>
      </c>
      <c r="AD129">
        <v>31</v>
      </c>
      <c r="AI129">
        <v>23</v>
      </c>
    </row>
    <row r="130" spans="1:35" x14ac:dyDescent="0.25">
      <c r="A130" t="s">
        <v>294</v>
      </c>
      <c r="B130">
        <v>225</v>
      </c>
    </row>
    <row r="131" spans="1:35" x14ac:dyDescent="0.25">
      <c r="A131" t="s">
        <v>207</v>
      </c>
      <c r="B131">
        <v>12</v>
      </c>
    </row>
    <row r="132" spans="1:35" x14ac:dyDescent="0.25">
      <c r="A132" t="s">
        <v>208</v>
      </c>
    </row>
    <row r="133" spans="1:35" x14ac:dyDescent="0.25">
      <c r="A133" t="s">
        <v>1589</v>
      </c>
    </row>
    <row r="134" spans="1:35" x14ac:dyDescent="0.25">
      <c r="A134" t="s">
        <v>209</v>
      </c>
      <c r="M134">
        <v>27</v>
      </c>
    </row>
    <row r="135" spans="1:35" x14ac:dyDescent="0.25">
      <c r="A135" t="s">
        <v>211</v>
      </c>
      <c r="Q135">
        <v>75</v>
      </c>
    </row>
    <row r="136" spans="1:35" x14ac:dyDescent="0.25">
      <c r="A136" t="s">
        <v>212</v>
      </c>
      <c r="B136">
        <v>27</v>
      </c>
    </row>
    <row r="137" spans="1:35" x14ac:dyDescent="0.25">
      <c r="A137" t="s">
        <v>214</v>
      </c>
      <c r="B137" t="s">
        <v>1952</v>
      </c>
    </row>
    <row r="138" spans="1:35" x14ac:dyDescent="0.25">
      <c r="A138" t="s">
        <v>216</v>
      </c>
      <c r="B138">
        <v>72</v>
      </c>
    </row>
    <row r="139" spans="1:35" x14ac:dyDescent="0.25">
      <c r="A139" t="s">
        <v>218</v>
      </c>
    </row>
    <row r="140" spans="1:35" x14ac:dyDescent="0.25">
      <c r="A140" t="s">
        <v>220</v>
      </c>
    </row>
    <row r="141" spans="1:35" x14ac:dyDescent="0.25">
      <c r="A141" t="s">
        <v>222</v>
      </c>
      <c r="B141" t="s">
        <v>1953</v>
      </c>
    </row>
    <row r="142" spans="1:35" x14ac:dyDescent="0.25">
      <c r="A142" t="s">
        <v>224</v>
      </c>
    </row>
    <row r="143" spans="1:35" x14ac:dyDescent="0.25">
      <c r="A143" t="s">
        <v>225</v>
      </c>
      <c r="B143">
        <v>18</v>
      </c>
    </row>
    <row r="144" spans="1:35" x14ac:dyDescent="0.25">
      <c r="A144" t="s">
        <v>227</v>
      </c>
      <c r="B144">
        <v>133</v>
      </c>
    </row>
    <row r="145" spans="1:23" x14ac:dyDescent="0.25">
      <c r="A145" t="s">
        <v>229</v>
      </c>
      <c r="B145">
        <v>22</v>
      </c>
    </row>
    <row r="146" spans="1:23" x14ac:dyDescent="0.25">
      <c r="A146" t="s">
        <v>231</v>
      </c>
      <c r="B146">
        <v>167</v>
      </c>
    </row>
    <row r="147" spans="1:23" x14ac:dyDescent="0.25">
      <c r="A147" t="s">
        <v>232</v>
      </c>
      <c r="D147">
        <v>53</v>
      </c>
    </row>
    <row r="148" spans="1:23" x14ac:dyDescent="0.25">
      <c r="A148" t="s">
        <v>234</v>
      </c>
      <c r="W148">
        <v>162</v>
      </c>
    </row>
    <row r="149" spans="1:23" x14ac:dyDescent="0.25">
      <c r="A149" t="s">
        <v>236</v>
      </c>
    </row>
    <row r="150" spans="1:23" x14ac:dyDescent="0.25">
      <c r="A150" t="s">
        <v>1322</v>
      </c>
    </row>
    <row r="151" spans="1:23" x14ac:dyDescent="0.25">
      <c r="A151" t="s">
        <v>1323</v>
      </c>
    </row>
    <row r="152" spans="1:23" x14ac:dyDescent="0.25">
      <c r="A152" t="s">
        <v>1324</v>
      </c>
    </row>
    <row r="153" spans="1:23" x14ac:dyDescent="0.25">
      <c r="A153" t="s">
        <v>1325</v>
      </c>
    </row>
    <row r="154" spans="1:23" x14ac:dyDescent="0.25">
      <c r="A154" t="s">
        <v>1326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67"/>
  <sheetViews>
    <sheetView topLeftCell="A19" workbookViewId="0">
      <selection activeCell="H10" sqref="H10"/>
    </sheetView>
  </sheetViews>
  <sheetFormatPr defaultRowHeight="15" x14ac:dyDescent="0.25"/>
  <cols>
    <col min="1" max="1" width="18.140625" bestFit="1" customWidth="1"/>
    <col min="2" max="2" width="7.140625" bestFit="1" customWidth="1"/>
    <col min="3" max="3" width="124" customWidth="1"/>
    <col min="4" max="4" width="30.42578125" bestFit="1" customWidth="1"/>
  </cols>
  <sheetData>
    <row r="1" spans="1:4" x14ac:dyDescent="0.25">
      <c r="A1" s="29" t="s">
        <v>0</v>
      </c>
      <c r="B1" s="29" t="s">
        <v>2244</v>
      </c>
      <c r="C1" s="29" t="s">
        <v>2081</v>
      </c>
      <c r="D1" s="29" t="s">
        <v>2118</v>
      </c>
    </row>
    <row r="2" spans="1:4" x14ac:dyDescent="0.25">
      <c r="A2" s="8" t="s">
        <v>11</v>
      </c>
      <c r="B2" s="8" t="s">
        <v>2244</v>
      </c>
      <c r="C2" s="8" t="s">
        <v>2238</v>
      </c>
      <c r="D2" s="8">
        <v>1</v>
      </c>
    </row>
    <row r="3" spans="1:4" x14ac:dyDescent="0.25">
      <c r="A3" s="8" t="s">
        <v>16</v>
      </c>
      <c r="B3" s="8" t="s">
        <v>2244</v>
      </c>
      <c r="C3" s="8" t="s">
        <v>2238</v>
      </c>
      <c r="D3" s="8">
        <v>1</v>
      </c>
    </row>
    <row r="4" spans="1:4" ht="30" x14ac:dyDescent="0.25">
      <c r="A4" s="8" t="s">
        <v>22</v>
      </c>
      <c r="B4" s="8" t="s">
        <v>2244</v>
      </c>
      <c r="C4" s="23" t="s">
        <v>2277</v>
      </c>
      <c r="D4" s="8">
        <v>18</v>
      </c>
    </row>
    <row r="5" spans="1:4" x14ac:dyDescent="0.25">
      <c r="A5" s="8" t="s">
        <v>24</v>
      </c>
      <c r="B5" s="8" t="s">
        <v>2244</v>
      </c>
      <c r="C5" s="8" t="s">
        <v>2245</v>
      </c>
      <c r="D5" s="8">
        <v>2</v>
      </c>
    </row>
    <row r="6" spans="1:4" x14ac:dyDescent="0.25">
      <c r="A6" s="8" t="s">
        <v>26</v>
      </c>
      <c r="B6" s="8" t="s">
        <v>2244</v>
      </c>
      <c r="C6" s="8" t="s">
        <v>2246</v>
      </c>
      <c r="D6" s="8">
        <v>8</v>
      </c>
    </row>
    <row r="7" spans="1:4" x14ac:dyDescent="0.25">
      <c r="A7" s="8" t="s">
        <v>28</v>
      </c>
      <c r="B7" s="8" t="s">
        <v>2244</v>
      </c>
      <c r="C7" s="8" t="s">
        <v>2238</v>
      </c>
      <c r="D7" s="8">
        <v>1</v>
      </c>
    </row>
    <row r="8" spans="1:4" x14ac:dyDescent="0.25">
      <c r="A8" s="8" t="s">
        <v>30</v>
      </c>
      <c r="B8" s="8" t="s">
        <v>2244</v>
      </c>
      <c r="C8" s="8" t="s">
        <v>465</v>
      </c>
      <c r="D8" s="8">
        <v>1</v>
      </c>
    </row>
    <row r="9" spans="1:4" x14ac:dyDescent="0.25">
      <c r="A9" s="8" t="s">
        <v>32</v>
      </c>
      <c r="B9" s="8" t="s">
        <v>2244</v>
      </c>
      <c r="C9" s="8" t="s">
        <v>2238</v>
      </c>
      <c r="D9" s="8">
        <v>1</v>
      </c>
    </row>
    <row r="10" spans="1:4" x14ac:dyDescent="0.25">
      <c r="A10" s="8" t="s">
        <v>34</v>
      </c>
      <c r="B10" s="8" t="s">
        <v>2244</v>
      </c>
      <c r="C10" s="8" t="s">
        <v>2247</v>
      </c>
      <c r="D10" s="8">
        <v>6</v>
      </c>
    </row>
    <row r="11" spans="1:4" x14ac:dyDescent="0.25">
      <c r="A11" s="8" t="s">
        <v>40</v>
      </c>
      <c r="B11" s="8" t="s">
        <v>2244</v>
      </c>
      <c r="C11" s="8" t="s">
        <v>406</v>
      </c>
      <c r="D11" s="8">
        <v>1</v>
      </c>
    </row>
    <row r="12" spans="1:4" x14ac:dyDescent="0.25">
      <c r="A12" s="8" t="s">
        <v>44</v>
      </c>
      <c r="B12" s="8" t="s">
        <v>2244</v>
      </c>
      <c r="C12" s="8" t="s">
        <v>2248</v>
      </c>
      <c r="D12" s="8">
        <v>2</v>
      </c>
    </row>
    <row r="13" spans="1:4" x14ac:dyDescent="0.25">
      <c r="A13" s="8" t="s">
        <v>46</v>
      </c>
      <c r="B13" s="8" t="s">
        <v>2244</v>
      </c>
      <c r="C13" s="8" t="s">
        <v>2245</v>
      </c>
      <c r="D13" s="8">
        <v>2</v>
      </c>
    </row>
    <row r="14" spans="1:4" x14ac:dyDescent="0.25">
      <c r="A14" s="8" t="s">
        <v>50</v>
      </c>
      <c r="B14" s="8" t="s">
        <v>2244</v>
      </c>
      <c r="C14" s="8" t="s">
        <v>2249</v>
      </c>
      <c r="D14" s="8">
        <v>2</v>
      </c>
    </row>
    <row r="15" spans="1:4" x14ac:dyDescent="0.25">
      <c r="A15" s="8" t="s">
        <v>53</v>
      </c>
      <c r="B15" s="8" t="s">
        <v>2244</v>
      </c>
      <c r="C15" s="8" t="s">
        <v>2238</v>
      </c>
      <c r="D15" s="8">
        <v>1</v>
      </c>
    </row>
    <row r="16" spans="1:4" x14ac:dyDescent="0.25">
      <c r="A16" s="8" t="s">
        <v>60</v>
      </c>
      <c r="B16" s="8" t="s">
        <v>2244</v>
      </c>
      <c r="C16" s="8" t="s">
        <v>2238</v>
      </c>
      <c r="D16" s="8">
        <v>1</v>
      </c>
    </row>
    <row r="17" spans="1:4" x14ac:dyDescent="0.25">
      <c r="A17" s="8" t="s">
        <v>62</v>
      </c>
      <c r="B17" s="8" t="s">
        <v>2244</v>
      </c>
      <c r="C17" s="8" t="s">
        <v>2245</v>
      </c>
      <c r="D17" s="8">
        <v>2</v>
      </c>
    </row>
    <row r="18" spans="1:4" x14ac:dyDescent="0.25">
      <c r="A18" s="8" t="s">
        <v>66</v>
      </c>
      <c r="B18" s="8" t="s">
        <v>2244</v>
      </c>
      <c r="C18" s="8" t="s">
        <v>2250</v>
      </c>
      <c r="D18" s="8">
        <v>4</v>
      </c>
    </row>
    <row r="19" spans="1:4" x14ac:dyDescent="0.25">
      <c r="A19" s="8" t="s">
        <v>68</v>
      </c>
      <c r="B19" s="8" t="s">
        <v>2244</v>
      </c>
      <c r="C19" s="8" t="s">
        <v>2251</v>
      </c>
      <c r="D19" s="8">
        <v>2</v>
      </c>
    </row>
    <row r="20" spans="1:4" x14ac:dyDescent="0.25">
      <c r="A20" s="8" t="s">
        <v>69</v>
      </c>
      <c r="B20" s="8" t="s">
        <v>2244</v>
      </c>
      <c r="C20" s="8" t="s">
        <v>2238</v>
      </c>
      <c r="D20" s="8">
        <v>1</v>
      </c>
    </row>
    <row r="21" spans="1:4" x14ac:dyDescent="0.25">
      <c r="A21" s="8" t="s">
        <v>71</v>
      </c>
      <c r="B21" s="8" t="s">
        <v>2244</v>
      </c>
      <c r="C21" s="8" t="s">
        <v>2238</v>
      </c>
      <c r="D21" s="8">
        <v>1</v>
      </c>
    </row>
    <row r="22" spans="1:4" x14ac:dyDescent="0.25">
      <c r="A22" s="8" t="s">
        <v>74</v>
      </c>
      <c r="B22" s="8" t="s">
        <v>2244</v>
      </c>
      <c r="C22" s="8" t="s">
        <v>2252</v>
      </c>
      <c r="D22" s="8">
        <v>5</v>
      </c>
    </row>
    <row r="23" spans="1:4" x14ac:dyDescent="0.25">
      <c r="A23" s="8" t="s">
        <v>78</v>
      </c>
      <c r="B23" s="8" t="s">
        <v>2244</v>
      </c>
      <c r="C23" s="8" t="s">
        <v>2253</v>
      </c>
      <c r="D23" s="8">
        <v>7</v>
      </c>
    </row>
    <row r="24" spans="1:4" x14ac:dyDescent="0.25">
      <c r="A24" s="8" t="s">
        <v>80</v>
      </c>
      <c r="B24" s="8" t="s">
        <v>2244</v>
      </c>
      <c r="C24" s="8" t="s">
        <v>2238</v>
      </c>
      <c r="D24" s="8">
        <v>1</v>
      </c>
    </row>
    <row r="25" spans="1:4" x14ac:dyDescent="0.25">
      <c r="A25" s="8" t="s">
        <v>85</v>
      </c>
      <c r="B25" s="8" t="s">
        <v>2244</v>
      </c>
      <c r="C25" s="8" t="s">
        <v>2254</v>
      </c>
      <c r="D25" s="8">
        <v>2</v>
      </c>
    </row>
    <row r="26" spans="1:4" x14ac:dyDescent="0.25">
      <c r="A26" s="8" t="s">
        <v>87</v>
      </c>
      <c r="B26" s="8" t="s">
        <v>2244</v>
      </c>
      <c r="C26" s="8" t="s">
        <v>2255</v>
      </c>
      <c r="D26" s="8">
        <v>4</v>
      </c>
    </row>
    <row r="27" spans="1:4" x14ac:dyDescent="0.25">
      <c r="A27" s="8" t="s">
        <v>93</v>
      </c>
      <c r="B27" s="8" t="s">
        <v>2244</v>
      </c>
      <c r="C27" s="8" t="s">
        <v>2256</v>
      </c>
      <c r="D27" s="8">
        <v>6</v>
      </c>
    </row>
    <row r="28" spans="1:4" x14ac:dyDescent="0.25">
      <c r="A28" s="8" t="s">
        <v>95</v>
      </c>
      <c r="B28" s="8" t="s">
        <v>2244</v>
      </c>
      <c r="C28" s="8" t="s">
        <v>2257</v>
      </c>
      <c r="D28" s="8">
        <v>5</v>
      </c>
    </row>
    <row r="29" spans="1:4" x14ac:dyDescent="0.25">
      <c r="A29" s="8" t="s">
        <v>103</v>
      </c>
      <c r="B29" s="8" t="s">
        <v>2244</v>
      </c>
      <c r="C29" s="8" t="s">
        <v>841</v>
      </c>
      <c r="D29" s="8">
        <v>1</v>
      </c>
    </row>
    <row r="30" spans="1:4" x14ac:dyDescent="0.25">
      <c r="A30" s="8" t="s">
        <v>119</v>
      </c>
      <c r="B30" s="8" t="s">
        <v>2244</v>
      </c>
      <c r="C30" s="8" t="s">
        <v>2258</v>
      </c>
      <c r="D30" s="8">
        <v>4</v>
      </c>
    </row>
    <row r="31" spans="1:4" x14ac:dyDescent="0.25">
      <c r="A31" s="8" t="s">
        <v>125</v>
      </c>
      <c r="B31" s="8" t="s">
        <v>2244</v>
      </c>
      <c r="C31" s="8" t="s">
        <v>2259</v>
      </c>
      <c r="D31" s="8">
        <v>10</v>
      </c>
    </row>
    <row r="32" spans="1:4" x14ac:dyDescent="0.25">
      <c r="A32" s="8" t="s">
        <v>127</v>
      </c>
      <c r="B32" s="8" t="s">
        <v>2244</v>
      </c>
      <c r="C32" s="8" t="s">
        <v>2260</v>
      </c>
      <c r="D32" s="8">
        <v>2</v>
      </c>
    </row>
    <row r="33" spans="1:4" x14ac:dyDescent="0.25">
      <c r="A33" s="8" t="s">
        <v>128</v>
      </c>
      <c r="B33" s="8" t="s">
        <v>2244</v>
      </c>
      <c r="C33" s="8" t="s">
        <v>2261</v>
      </c>
      <c r="D33" s="8">
        <v>3</v>
      </c>
    </row>
    <row r="34" spans="1:4" x14ac:dyDescent="0.25">
      <c r="A34" s="8" t="s">
        <v>131</v>
      </c>
      <c r="B34" s="8" t="s">
        <v>2244</v>
      </c>
      <c r="C34" s="8" t="s">
        <v>2262</v>
      </c>
      <c r="D34" s="8">
        <v>3</v>
      </c>
    </row>
    <row r="35" spans="1:4" x14ac:dyDescent="0.25">
      <c r="A35" s="8" t="s">
        <v>134</v>
      </c>
      <c r="B35" s="8" t="s">
        <v>2244</v>
      </c>
      <c r="C35" s="8" t="s">
        <v>2238</v>
      </c>
      <c r="D35" s="8">
        <v>1</v>
      </c>
    </row>
    <row r="36" spans="1:4" x14ac:dyDescent="0.25">
      <c r="A36" s="8" t="s">
        <v>138</v>
      </c>
      <c r="B36" s="8" t="s">
        <v>2244</v>
      </c>
      <c r="C36" s="8" t="s">
        <v>2263</v>
      </c>
      <c r="D36" s="8">
        <v>4</v>
      </c>
    </row>
    <row r="37" spans="1:4" x14ac:dyDescent="0.25">
      <c r="A37" s="8" t="s">
        <v>140</v>
      </c>
      <c r="B37" s="8" t="s">
        <v>2244</v>
      </c>
      <c r="C37" s="8" t="s">
        <v>397</v>
      </c>
      <c r="D37" s="8">
        <v>1</v>
      </c>
    </row>
    <row r="38" spans="1:4" x14ac:dyDescent="0.25">
      <c r="A38" s="8" t="s">
        <v>150</v>
      </c>
      <c r="B38" s="8" t="s">
        <v>2244</v>
      </c>
      <c r="C38" s="8" t="s">
        <v>2238</v>
      </c>
      <c r="D38" s="8">
        <v>1</v>
      </c>
    </row>
    <row r="39" spans="1:4" x14ac:dyDescent="0.25">
      <c r="A39" s="8" t="s">
        <v>152</v>
      </c>
      <c r="B39" s="8" t="s">
        <v>2244</v>
      </c>
      <c r="C39" s="8" t="s">
        <v>2245</v>
      </c>
      <c r="D39" s="8">
        <v>2</v>
      </c>
    </row>
    <row r="40" spans="1:4" x14ac:dyDescent="0.25">
      <c r="A40" s="8" t="s">
        <v>153</v>
      </c>
      <c r="B40" s="8" t="s">
        <v>2244</v>
      </c>
      <c r="C40" s="8" t="s">
        <v>2264</v>
      </c>
      <c r="D40" s="8">
        <v>8</v>
      </c>
    </row>
    <row r="41" spans="1:4" x14ac:dyDescent="0.25">
      <c r="A41" s="8" t="s">
        <v>157</v>
      </c>
      <c r="B41" s="8" t="s">
        <v>2244</v>
      </c>
      <c r="C41" s="8" t="s">
        <v>2265</v>
      </c>
      <c r="D41" s="8">
        <v>4</v>
      </c>
    </row>
    <row r="42" spans="1:4" x14ac:dyDescent="0.25">
      <c r="A42" s="8" t="s">
        <v>158</v>
      </c>
      <c r="B42" s="8" t="s">
        <v>2244</v>
      </c>
      <c r="C42" s="8" t="s">
        <v>2266</v>
      </c>
      <c r="D42" s="8">
        <v>10</v>
      </c>
    </row>
    <row r="43" spans="1:4" x14ac:dyDescent="0.25">
      <c r="A43" s="8" t="s">
        <v>163</v>
      </c>
      <c r="B43" s="8" t="s">
        <v>2244</v>
      </c>
      <c r="C43" s="8" t="s">
        <v>638</v>
      </c>
      <c r="D43" s="8">
        <v>1</v>
      </c>
    </row>
    <row r="44" spans="1:4" x14ac:dyDescent="0.25">
      <c r="A44" s="8" t="s">
        <v>166</v>
      </c>
      <c r="B44" s="8" t="s">
        <v>2244</v>
      </c>
      <c r="C44" s="8" t="s">
        <v>2267</v>
      </c>
      <c r="D44" s="8">
        <v>3</v>
      </c>
    </row>
    <row r="45" spans="1:4" x14ac:dyDescent="0.25">
      <c r="A45" s="8" t="s">
        <v>173</v>
      </c>
      <c r="B45" s="8" t="s">
        <v>2244</v>
      </c>
      <c r="C45" s="8" t="s">
        <v>2268</v>
      </c>
      <c r="D45" s="8">
        <v>7</v>
      </c>
    </row>
    <row r="46" spans="1:4" x14ac:dyDescent="0.25">
      <c r="A46" s="8" t="s">
        <v>175</v>
      </c>
      <c r="B46" s="8" t="s">
        <v>2244</v>
      </c>
      <c r="C46" s="8" t="s">
        <v>2269</v>
      </c>
      <c r="D46" s="8">
        <v>11</v>
      </c>
    </row>
    <row r="47" spans="1:4" x14ac:dyDescent="0.25">
      <c r="A47" s="8" t="s">
        <v>183</v>
      </c>
      <c r="B47" s="8" t="s">
        <v>2244</v>
      </c>
      <c r="C47" s="8" t="s">
        <v>2270</v>
      </c>
      <c r="D47" s="8">
        <v>2</v>
      </c>
    </row>
    <row r="48" spans="1:4" x14ac:dyDescent="0.25">
      <c r="A48" s="8" t="s">
        <v>185</v>
      </c>
      <c r="B48" s="8" t="s">
        <v>2244</v>
      </c>
      <c r="C48" s="8" t="s">
        <v>2271</v>
      </c>
      <c r="D48" s="8">
        <v>2</v>
      </c>
    </row>
    <row r="49" spans="1:4" x14ac:dyDescent="0.25">
      <c r="A49" s="8" t="s">
        <v>189</v>
      </c>
      <c r="B49" s="8" t="s">
        <v>2244</v>
      </c>
      <c r="C49" s="8" t="s">
        <v>2272</v>
      </c>
      <c r="D49" s="8">
        <v>6</v>
      </c>
    </row>
    <row r="50" spans="1:4" x14ac:dyDescent="0.25">
      <c r="A50" s="8" t="s">
        <v>191</v>
      </c>
      <c r="B50" s="8" t="s">
        <v>2244</v>
      </c>
      <c r="C50" s="8" t="s">
        <v>2273</v>
      </c>
      <c r="D50" s="8">
        <v>2</v>
      </c>
    </row>
    <row r="51" spans="1:4" x14ac:dyDescent="0.25">
      <c r="A51" s="8" t="s">
        <v>197</v>
      </c>
      <c r="B51" s="8" t="s">
        <v>2244</v>
      </c>
      <c r="C51" s="8" t="s">
        <v>2274</v>
      </c>
      <c r="D51" s="8">
        <v>3</v>
      </c>
    </row>
    <row r="52" spans="1:4" x14ac:dyDescent="0.25">
      <c r="A52" s="8" t="s">
        <v>199</v>
      </c>
      <c r="B52" s="8" t="s">
        <v>2244</v>
      </c>
      <c r="C52" s="8" t="s">
        <v>2275</v>
      </c>
      <c r="D52" s="8">
        <v>2</v>
      </c>
    </row>
    <row r="53" spans="1:4" x14ac:dyDescent="0.25">
      <c r="A53" s="8" t="s">
        <v>202</v>
      </c>
      <c r="B53" s="8" t="s">
        <v>2244</v>
      </c>
      <c r="C53" s="8" t="s">
        <v>2276</v>
      </c>
      <c r="D53" s="8">
        <v>5</v>
      </c>
    </row>
    <row r="54" spans="1:4" x14ac:dyDescent="0.25">
      <c r="A54" s="8" t="s">
        <v>294</v>
      </c>
      <c r="B54" s="8" t="s">
        <v>2244</v>
      </c>
      <c r="C54" s="8" t="s">
        <v>2238</v>
      </c>
      <c r="D54" s="8">
        <v>1</v>
      </c>
    </row>
    <row r="55" spans="1:4" x14ac:dyDescent="0.25">
      <c r="A55" s="8" t="s">
        <v>207</v>
      </c>
      <c r="B55" s="8" t="s">
        <v>2244</v>
      </c>
      <c r="C55" s="8" t="s">
        <v>2238</v>
      </c>
      <c r="D55" s="8">
        <v>1</v>
      </c>
    </row>
    <row r="56" spans="1:4" x14ac:dyDescent="0.25">
      <c r="A56" s="8" t="s">
        <v>209</v>
      </c>
      <c r="B56" s="8" t="s">
        <v>2244</v>
      </c>
      <c r="C56" s="8" t="s">
        <v>772</v>
      </c>
      <c r="D56" s="8">
        <v>1</v>
      </c>
    </row>
    <row r="57" spans="1:4" x14ac:dyDescent="0.25">
      <c r="A57" s="8" t="s">
        <v>211</v>
      </c>
      <c r="B57" s="8" t="s">
        <v>2244</v>
      </c>
      <c r="C57" s="8" t="s">
        <v>395</v>
      </c>
      <c r="D57" s="8">
        <v>1</v>
      </c>
    </row>
    <row r="58" spans="1:4" x14ac:dyDescent="0.25">
      <c r="A58" s="8" t="s">
        <v>212</v>
      </c>
      <c r="B58" s="8" t="s">
        <v>2244</v>
      </c>
      <c r="C58" s="8" t="s">
        <v>2238</v>
      </c>
      <c r="D58" s="8">
        <v>1</v>
      </c>
    </row>
    <row r="59" spans="1:4" x14ac:dyDescent="0.25">
      <c r="A59" s="8" t="s">
        <v>214</v>
      </c>
      <c r="B59" s="8" t="s">
        <v>2244</v>
      </c>
      <c r="C59" s="8" t="s">
        <v>2238</v>
      </c>
      <c r="D59" s="8">
        <v>1</v>
      </c>
    </row>
    <row r="60" spans="1:4" x14ac:dyDescent="0.25">
      <c r="A60" s="8" t="s">
        <v>216</v>
      </c>
      <c r="B60" s="8" t="s">
        <v>2244</v>
      </c>
      <c r="C60" s="8" t="s">
        <v>2238</v>
      </c>
      <c r="D60" s="8">
        <v>1</v>
      </c>
    </row>
    <row r="61" spans="1:4" x14ac:dyDescent="0.25">
      <c r="A61" s="8" t="s">
        <v>222</v>
      </c>
      <c r="B61" s="8" t="s">
        <v>2244</v>
      </c>
      <c r="C61" s="8" t="s">
        <v>2238</v>
      </c>
      <c r="D61" s="8">
        <v>1</v>
      </c>
    </row>
    <row r="62" spans="1:4" x14ac:dyDescent="0.25">
      <c r="A62" s="8" t="s">
        <v>225</v>
      </c>
      <c r="B62" s="8" t="s">
        <v>2244</v>
      </c>
      <c r="C62" s="8" t="s">
        <v>2238</v>
      </c>
      <c r="D62" s="8">
        <v>1</v>
      </c>
    </row>
    <row r="63" spans="1:4" x14ac:dyDescent="0.25">
      <c r="A63" s="8" t="s">
        <v>227</v>
      </c>
      <c r="B63" s="8" t="s">
        <v>2244</v>
      </c>
      <c r="C63" s="8" t="s">
        <v>2238</v>
      </c>
      <c r="D63" s="8">
        <v>1</v>
      </c>
    </row>
    <row r="64" spans="1:4" x14ac:dyDescent="0.25">
      <c r="A64" s="8" t="s">
        <v>229</v>
      </c>
      <c r="B64" s="8" t="s">
        <v>2244</v>
      </c>
      <c r="C64" s="8" t="s">
        <v>2238</v>
      </c>
      <c r="D64" s="8">
        <v>1</v>
      </c>
    </row>
    <row r="65" spans="1:4" x14ac:dyDescent="0.25">
      <c r="A65" s="8" t="s">
        <v>231</v>
      </c>
      <c r="B65" s="8" t="s">
        <v>2244</v>
      </c>
      <c r="C65" s="8" t="s">
        <v>2238</v>
      </c>
      <c r="D65" s="8">
        <v>1</v>
      </c>
    </row>
    <row r="66" spans="1:4" x14ac:dyDescent="0.25">
      <c r="A66" s="8" t="s">
        <v>232</v>
      </c>
      <c r="B66" s="8" t="s">
        <v>2244</v>
      </c>
      <c r="C66" s="8" t="s">
        <v>638</v>
      </c>
      <c r="D66" s="8">
        <v>1</v>
      </c>
    </row>
    <row r="67" spans="1:4" x14ac:dyDescent="0.25">
      <c r="A67" s="8" t="s">
        <v>234</v>
      </c>
      <c r="B67" s="8" t="s">
        <v>2244</v>
      </c>
      <c r="C67" s="8" t="s">
        <v>397</v>
      </c>
      <c r="D67" s="8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4"/>
  <sheetViews>
    <sheetView workbookViewId="0">
      <selection activeCell="O30" sqref="O30"/>
    </sheetView>
  </sheetViews>
  <sheetFormatPr defaultRowHeight="15" x14ac:dyDescent="0.25"/>
  <cols>
    <col min="1" max="1" width="14.42578125" customWidth="1"/>
    <col min="2" max="2" width="13.85546875" customWidth="1"/>
    <col min="3" max="4" width="12" customWidth="1"/>
    <col min="5" max="5" width="9.42578125" customWidth="1"/>
    <col min="6" max="7" width="12" customWidth="1"/>
    <col min="8" max="9" width="9.42578125" customWidth="1"/>
    <col min="10" max="12" width="12" customWidth="1"/>
    <col min="13" max="13" width="9.42578125" customWidth="1"/>
    <col min="14" max="14" width="12" customWidth="1"/>
    <col min="15" max="15" width="9.42578125" customWidth="1"/>
    <col min="16" max="17" width="12" customWidth="1"/>
    <col min="18" max="19" width="9.42578125" customWidth="1"/>
    <col min="20" max="29" width="10.42578125" customWidth="1"/>
    <col min="30" max="31" width="9.28515625" customWidth="1"/>
    <col min="32" max="32" width="10.42578125" customWidth="1"/>
    <col min="33" max="33" width="10.140625" customWidth="1"/>
    <col min="34" max="40" width="10.42578125" customWidth="1"/>
    <col min="41" max="41" width="14.140625" customWidth="1"/>
    <col min="42" max="43" width="13.140625" customWidth="1"/>
  </cols>
  <sheetData>
    <row r="1" spans="1:43" x14ac:dyDescent="0.25">
      <c r="A1" t="s">
        <v>0</v>
      </c>
      <c r="B1" t="s">
        <v>2278</v>
      </c>
      <c r="C1" t="s">
        <v>1811</v>
      </c>
      <c r="D1" t="s">
        <v>1813</v>
      </c>
      <c r="E1" t="s">
        <v>639</v>
      </c>
      <c r="F1" t="s">
        <v>1814</v>
      </c>
      <c r="G1" t="s">
        <v>1815</v>
      </c>
      <c r="H1" t="s">
        <v>645</v>
      </c>
      <c r="I1" t="s">
        <v>842</v>
      </c>
      <c r="J1" t="s">
        <v>1816</v>
      </c>
      <c r="K1" t="s">
        <v>1817</v>
      </c>
      <c r="L1" t="s">
        <v>1818</v>
      </c>
      <c r="M1" t="s">
        <v>764</v>
      </c>
      <c r="N1" t="s">
        <v>1819</v>
      </c>
      <c r="O1" t="s">
        <v>924</v>
      </c>
      <c r="P1" t="s">
        <v>1820</v>
      </c>
      <c r="Q1" t="s">
        <v>1821</v>
      </c>
      <c r="R1" t="s">
        <v>648</v>
      </c>
      <c r="S1" t="s">
        <v>765</v>
      </c>
      <c r="T1" t="s">
        <v>507</v>
      </c>
      <c r="U1" t="s">
        <v>600</v>
      </c>
      <c r="V1" t="s">
        <v>407</v>
      </c>
      <c r="W1" t="s">
        <v>408</v>
      </c>
      <c r="X1" t="s">
        <v>409</v>
      </c>
      <c r="Y1" t="s">
        <v>410</v>
      </c>
      <c r="Z1" t="s">
        <v>411</v>
      </c>
      <c r="AA1" t="s">
        <v>412</v>
      </c>
      <c r="AB1" t="s">
        <v>413</v>
      </c>
      <c r="AC1" t="s">
        <v>414</v>
      </c>
      <c r="AD1" t="s">
        <v>415</v>
      </c>
      <c r="AE1" t="s">
        <v>416</v>
      </c>
      <c r="AF1" t="s">
        <v>1045</v>
      </c>
      <c r="AG1" t="s">
        <v>2279</v>
      </c>
      <c r="AH1" t="s">
        <v>417</v>
      </c>
      <c r="AI1" t="s">
        <v>1047</v>
      </c>
      <c r="AJ1" t="s">
        <v>1046</v>
      </c>
      <c r="AK1" t="s">
        <v>740</v>
      </c>
      <c r="AL1" t="s">
        <v>749</v>
      </c>
      <c r="AM1" t="s">
        <v>755</v>
      </c>
      <c r="AN1" t="s">
        <v>756</v>
      </c>
      <c r="AO1" t="s">
        <v>817</v>
      </c>
      <c r="AP1" t="s">
        <v>818</v>
      </c>
      <c r="AQ1" t="s">
        <v>819</v>
      </c>
    </row>
    <row r="2" spans="1:43" x14ac:dyDescent="0.25">
      <c r="A2" t="s">
        <v>6</v>
      </c>
    </row>
    <row r="3" spans="1:43" x14ac:dyDescent="0.25">
      <c r="A3" t="s">
        <v>11</v>
      </c>
      <c r="B3">
        <v>222</v>
      </c>
    </row>
    <row r="4" spans="1:43" x14ac:dyDescent="0.25">
      <c r="A4" t="s">
        <v>12</v>
      </c>
      <c r="E4">
        <v>249</v>
      </c>
    </row>
    <row r="5" spans="1:43" x14ac:dyDescent="0.25">
      <c r="A5" t="s">
        <v>16</v>
      </c>
      <c r="B5">
        <v>144</v>
      </c>
    </row>
    <row r="6" spans="1:43" x14ac:dyDescent="0.25">
      <c r="A6" t="s">
        <v>18</v>
      </c>
    </row>
    <row r="7" spans="1:43" x14ac:dyDescent="0.25">
      <c r="A7" t="s">
        <v>20</v>
      </c>
    </row>
    <row r="8" spans="1:43" x14ac:dyDescent="0.25">
      <c r="A8" t="s">
        <v>22</v>
      </c>
      <c r="B8">
        <v>166</v>
      </c>
      <c r="V8">
        <v>170</v>
      </c>
      <c r="W8">
        <v>222</v>
      </c>
      <c r="X8">
        <v>248</v>
      </c>
      <c r="Y8">
        <v>257</v>
      </c>
      <c r="Z8">
        <v>245</v>
      </c>
      <c r="AA8">
        <v>193</v>
      </c>
      <c r="AB8">
        <v>182</v>
      </c>
      <c r="AC8">
        <v>169</v>
      </c>
      <c r="AD8">
        <v>157</v>
      </c>
      <c r="AE8">
        <v>147</v>
      </c>
      <c r="AH8">
        <v>156</v>
      </c>
    </row>
    <row r="9" spans="1:43" x14ac:dyDescent="0.25">
      <c r="A9" t="s">
        <v>24</v>
      </c>
    </row>
    <row r="10" spans="1:43" x14ac:dyDescent="0.25">
      <c r="A10" t="s">
        <v>26</v>
      </c>
    </row>
    <row r="11" spans="1:43" x14ac:dyDescent="0.25">
      <c r="A11" t="s">
        <v>28</v>
      </c>
    </row>
    <row r="12" spans="1:43" x14ac:dyDescent="0.25">
      <c r="A12" t="s">
        <v>30</v>
      </c>
    </row>
    <row r="13" spans="1:43" x14ac:dyDescent="0.25">
      <c r="A13" t="s">
        <v>32</v>
      </c>
      <c r="B13">
        <v>14800</v>
      </c>
      <c r="T13">
        <v>2496</v>
      </c>
    </row>
    <row r="14" spans="1:43" x14ac:dyDescent="0.25">
      <c r="A14" t="s">
        <v>34</v>
      </c>
    </row>
    <row r="15" spans="1:43" x14ac:dyDescent="0.25">
      <c r="A15" t="s">
        <v>36</v>
      </c>
    </row>
    <row r="16" spans="1:43" x14ac:dyDescent="0.25">
      <c r="A16" t="s">
        <v>37</v>
      </c>
      <c r="B16">
        <v>248</v>
      </c>
    </row>
    <row r="17" spans="1:3" x14ac:dyDescent="0.25">
      <c r="A17" t="s">
        <v>40</v>
      </c>
    </row>
    <row r="18" spans="1:3" x14ac:dyDescent="0.25">
      <c r="A18" t="s">
        <v>42</v>
      </c>
    </row>
    <row r="19" spans="1:3" x14ac:dyDescent="0.25">
      <c r="A19" t="s">
        <v>43</v>
      </c>
    </row>
    <row r="20" spans="1:3" x14ac:dyDescent="0.25">
      <c r="A20" t="s">
        <v>44</v>
      </c>
    </row>
    <row r="21" spans="1:3" x14ac:dyDescent="0.25">
      <c r="A21" t="s">
        <v>46</v>
      </c>
    </row>
    <row r="22" spans="1:3" x14ac:dyDescent="0.25">
      <c r="A22" t="s">
        <v>48</v>
      </c>
    </row>
    <row r="23" spans="1:3" x14ac:dyDescent="0.25">
      <c r="A23" t="s">
        <v>50</v>
      </c>
    </row>
    <row r="24" spans="1:3" x14ac:dyDescent="0.25">
      <c r="A24" t="s">
        <v>52</v>
      </c>
    </row>
    <row r="25" spans="1:3" x14ac:dyDescent="0.25">
      <c r="A25" t="s">
        <v>53</v>
      </c>
      <c r="B25">
        <v>346</v>
      </c>
    </row>
    <row r="26" spans="1:3" x14ac:dyDescent="0.25">
      <c r="A26" t="s">
        <v>55</v>
      </c>
    </row>
    <row r="27" spans="1:3" x14ac:dyDescent="0.25">
      <c r="A27" t="s">
        <v>57</v>
      </c>
    </row>
    <row r="28" spans="1:3" x14ac:dyDescent="0.25">
      <c r="A28" t="s">
        <v>59</v>
      </c>
    </row>
    <row r="29" spans="1:3" x14ac:dyDescent="0.25">
      <c r="A29" t="s">
        <v>60</v>
      </c>
      <c r="B29">
        <v>153</v>
      </c>
    </row>
    <row r="30" spans="1:3" x14ac:dyDescent="0.25">
      <c r="A30" t="s">
        <v>62</v>
      </c>
      <c r="B30" t="s">
        <v>526</v>
      </c>
      <c r="C30" t="s">
        <v>1812</v>
      </c>
    </row>
    <row r="31" spans="1:3" x14ac:dyDescent="0.25">
      <c r="A31" t="s">
        <v>64</v>
      </c>
    </row>
    <row r="32" spans="1:3" x14ac:dyDescent="0.25">
      <c r="A32" t="s">
        <v>65</v>
      </c>
    </row>
    <row r="33" spans="1:40" x14ac:dyDescent="0.25">
      <c r="A33" t="s">
        <v>66</v>
      </c>
      <c r="B33">
        <v>193</v>
      </c>
      <c r="U33">
        <v>269</v>
      </c>
      <c r="V33">
        <v>188</v>
      </c>
    </row>
    <row r="34" spans="1:40" x14ac:dyDescent="0.25">
      <c r="A34" t="s">
        <v>68</v>
      </c>
    </row>
    <row r="35" spans="1:40" x14ac:dyDescent="0.25">
      <c r="A35" t="s">
        <v>69</v>
      </c>
    </row>
    <row r="36" spans="1:40" x14ac:dyDescent="0.25">
      <c r="A36" t="s">
        <v>71</v>
      </c>
    </row>
    <row r="37" spans="1:40" x14ac:dyDescent="0.25">
      <c r="A37" t="s">
        <v>73</v>
      </c>
      <c r="B37">
        <v>233</v>
      </c>
      <c r="C37">
        <v>377</v>
      </c>
    </row>
    <row r="38" spans="1:40" x14ac:dyDescent="0.25">
      <c r="A38" t="s">
        <v>74</v>
      </c>
      <c r="B38" t="s">
        <v>1991</v>
      </c>
      <c r="E38" t="s">
        <v>1992</v>
      </c>
      <c r="H38" t="s">
        <v>1993</v>
      </c>
      <c r="R38" t="s">
        <v>1994</v>
      </c>
    </row>
    <row r="39" spans="1:40" x14ac:dyDescent="0.25">
      <c r="A39" t="s">
        <v>76</v>
      </c>
    </row>
    <row r="40" spans="1:40" x14ac:dyDescent="0.25">
      <c r="A40" t="s">
        <v>78</v>
      </c>
      <c r="AK40">
        <v>110</v>
      </c>
      <c r="AL40">
        <v>6331</v>
      </c>
      <c r="AM40">
        <v>6436</v>
      </c>
      <c r="AN40">
        <v>3313</v>
      </c>
    </row>
    <row r="41" spans="1:40" x14ac:dyDescent="0.25">
      <c r="A41" t="s">
        <v>80</v>
      </c>
      <c r="E41">
        <v>414</v>
      </c>
      <c r="M41">
        <v>288</v>
      </c>
      <c r="S41">
        <v>258</v>
      </c>
    </row>
    <row r="42" spans="1:40" x14ac:dyDescent="0.25">
      <c r="A42" t="s">
        <v>82</v>
      </c>
      <c r="B42">
        <v>255</v>
      </c>
    </row>
    <row r="43" spans="1:40" x14ac:dyDescent="0.25">
      <c r="A43" t="s">
        <v>84</v>
      </c>
    </row>
    <row r="44" spans="1:40" x14ac:dyDescent="0.25">
      <c r="A44" t="s">
        <v>85</v>
      </c>
    </row>
    <row r="45" spans="1:40" x14ac:dyDescent="0.25">
      <c r="A45" t="s">
        <v>87</v>
      </c>
    </row>
    <row r="46" spans="1:40" x14ac:dyDescent="0.25">
      <c r="A46" t="s">
        <v>89</v>
      </c>
    </row>
    <row r="47" spans="1:40" x14ac:dyDescent="0.25">
      <c r="A47" t="s">
        <v>91</v>
      </c>
    </row>
    <row r="48" spans="1:40" x14ac:dyDescent="0.25">
      <c r="A48" t="s">
        <v>92</v>
      </c>
    </row>
    <row r="49" spans="1:43" x14ac:dyDescent="0.25">
      <c r="A49" t="s">
        <v>93</v>
      </c>
      <c r="B49">
        <v>236</v>
      </c>
      <c r="E49">
        <v>235</v>
      </c>
    </row>
    <row r="50" spans="1:43" x14ac:dyDescent="0.25">
      <c r="A50" t="s">
        <v>95</v>
      </c>
      <c r="B50">
        <v>196</v>
      </c>
      <c r="AO50">
        <v>195</v>
      </c>
      <c r="AP50">
        <v>267</v>
      </c>
      <c r="AQ50">
        <v>252</v>
      </c>
    </row>
    <row r="51" spans="1:43" x14ac:dyDescent="0.25">
      <c r="A51" t="s">
        <v>97</v>
      </c>
    </row>
    <row r="52" spans="1:43" x14ac:dyDescent="0.25">
      <c r="A52" t="s">
        <v>99</v>
      </c>
    </row>
    <row r="53" spans="1:43" x14ac:dyDescent="0.25">
      <c r="A53" t="s">
        <v>100</v>
      </c>
    </row>
    <row r="54" spans="1:43" x14ac:dyDescent="0.25">
      <c r="A54" t="s">
        <v>101</v>
      </c>
    </row>
    <row r="55" spans="1:43" x14ac:dyDescent="0.25">
      <c r="A55" t="s">
        <v>102</v>
      </c>
    </row>
    <row r="56" spans="1:43" x14ac:dyDescent="0.25">
      <c r="A56" t="s">
        <v>103</v>
      </c>
      <c r="H56">
        <v>2790</v>
      </c>
      <c r="I56">
        <v>8397</v>
      </c>
    </row>
    <row r="57" spans="1:43" x14ac:dyDescent="0.25">
      <c r="A57" t="s">
        <v>105</v>
      </c>
    </row>
    <row r="58" spans="1:43" x14ac:dyDescent="0.25">
      <c r="A58" t="s">
        <v>106</v>
      </c>
    </row>
    <row r="59" spans="1:43" x14ac:dyDescent="0.25">
      <c r="A59" t="s">
        <v>107</v>
      </c>
    </row>
    <row r="60" spans="1:43" x14ac:dyDescent="0.25">
      <c r="A60" t="s">
        <v>108</v>
      </c>
    </row>
    <row r="61" spans="1:43" x14ac:dyDescent="0.25">
      <c r="A61" t="s">
        <v>109</v>
      </c>
    </row>
    <row r="62" spans="1:43" x14ac:dyDescent="0.25">
      <c r="A62" t="s">
        <v>110</v>
      </c>
    </row>
    <row r="63" spans="1:43" x14ac:dyDescent="0.25">
      <c r="A63" t="s">
        <v>111</v>
      </c>
    </row>
    <row r="64" spans="1:43" x14ac:dyDescent="0.25">
      <c r="A64" t="s">
        <v>112</v>
      </c>
    </row>
    <row r="65" spans="1:18" x14ac:dyDescent="0.25">
      <c r="A65" t="s">
        <v>113</v>
      </c>
    </row>
    <row r="66" spans="1:18" x14ac:dyDescent="0.25">
      <c r="A66" t="s">
        <v>115</v>
      </c>
    </row>
    <row r="67" spans="1:18" x14ac:dyDescent="0.25">
      <c r="A67" t="s">
        <v>116</v>
      </c>
    </row>
    <row r="68" spans="1:18" x14ac:dyDescent="0.25">
      <c r="A68" t="s">
        <v>117</v>
      </c>
    </row>
    <row r="69" spans="1:18" x14ac:dyDescent="0.25">
      <c r="A69" t="s">
        <v>119</v>
      </c>
      <c r="B69">
        <v>274</v>
      </c>
      <c r="E69">
        <v>263</v>
      </c>
      <c r="H69">
        <v>224</v>
      </c>
      <c r="R69">
        <v>199</v>
      </c>
    </row>
    <row r="70" spans="1:18" x14ac:dyDescent="0.25">
      <c r="A70" t="s">
        <v>120</v>
      </c>
    </row>
    <row r="71" spans="1:18" x14ac:dyDescent="0.25">
      <c r="A71" t="s">
        <v>122</v>
      </c>
    </row>
    <row r="72" spans="1:18" x14ac:dyDescent="0.25">
      <c r="A72" t="s">
        <v>123</v>
      </c>
    </row>
    <row r="73" spans="1:18" x14ac:dyDescent="0.25">
      <c r="A73" t="s">
        <v>125</v>
      </c>
      <c r="I73">
        <v>751</v>
      </c>
    </row>
    <row r="74" spans="1:18" x14ac:dyDescent="0.25">
      <c r="A74" t="s">
        <v>126</v>
      </c>
    </row>
    <row r="75" spans="1:18" x14ac:dyDescent="0.25">
      <c r="A75" t="s">
        <v>127</v>
      </c>
    </row>
    <row r="76" spans="1:18" x14ac:dyDescent="0.25">
      <c r="A76" t="s">
        <v>128</v>
      </c>
    </row>
    <row r="77" spans="1:18" x14ac:dyDescent="0.25">
      <c r="A77" t="s">
        <v>131</v>
      </c>
    </row>
    <row r="78" spans="1:18" x14ac:dyDescent="0.25">
      <c r="A78" t="s">
        <v>133</v>
      </c>
    </row>
    <row r="79" spans="1:18" x14ac:dyDescent="0.25">
      <c r="A79" t="s">
        <v>134</v>
      </c>
    </row>
    <row r="80" spans="1:18" x14ac:dyDescent="0.25">
      <c r="A80" t="s">
        <v>136</v>
      </c>
    </row>
    <row r="81" spans="1:13" x14ac:dyDescent="0.25">
      <c r="A81" t="s">
        <v>138</v>
      </c>
      <c r="E81" t="s">
        <v>1995</v>
      </c>
    </row>
    <row r="82" spans="1:13" x14ac:dyDescent="0.25">
      <c r="A82" t="s">
        <v>140</v>
      </c>
    </row>
    <row r="83" spans="1:13" x14ac:dyDescent="0.25">
      <c r="A83" t="s">
        <v>142</v>
      </c>
    </row>
    <row r="84" spans="1:13" x14ac:dyDescent="0.25">
      <c r="A84" t="s">
        <v>143</v>
      </c>
    </row>
    <row r="85" spans="1:13" x14ac:dyDescent="0.25">
      <c r="A85" t="s">
        <v>144</v>
      </c>
    </row>
    <row r="86" spans="1:13" x14ac:dyDescent="0.25">
      <c r="A86" t="s">
        <v>145</v>
      </c>
    </row>
    <row r="87" spans="1:13" x14ac:dyDescent="0.25">
      <c r="A87" t="s">
        <v>146</v>
      </c>
    </row>
    <row r="88" spans="1:13" x14ac:dyDescent="0.25">
      <c r="A88" t="s">
        <v>147</v>
      </c>
    </row>
    <row r="89" spans="1:13" x14ac:dyDescent="0.25">
      <c r="A89" t="s">
        <v>148</v>
      </c>
    </row>
    <row r="90" spans="1:13" x14ac:dyDescent="0.25">
      <c r="A90" t="s">
        <v>149</v>
      </c>
    </row>
    <row r="91" spans="1:13" x14ac:dyDescent="0.25">
      <c r="A91" t="s">
        <v>150</v>
      </c>
      <c r="B91">
        <v>1238</v>
      </c>
    </row>
    <row r="92" spans="1:13" x14ac:dyDescent="0.25">
      <c r="A92" t="s">
        <v>151</v>
      </c>
    </row>
    <row r="94" spans="1:13" x14ac:dyDescent="0.25">
      <c r="A94" t="s">
        <v>321</v>
      </c>
    </row>
    <row r="95" spans="1:13" x14ac:dyDescent="0.25">
      <c r="A95" t="s">
        <v>152</v>
      </c>
      <c r="B95">
        <v>3800</v>
      </c>
      <c r="C95">
        <v>2133</v>
      </c>
      <c r="D95">
        <v>3768</v>
      </c>
    </row>
    <row r="96" spans="1:13" x14ac:dyDescent="0.25">
      <c r="A96" t="s">
        <v>153</v>
      </c>
      <c r="B96">
        <v>203</v>
      </c>
      <c r="E96">
        <v>150</v>
      </c>
      <c r="H96">
        <v>110</v>
      </c>
      <c r="I96">
        <v>1192</v>
      </c>
      <c r="J96">
        <v>7142</v>
      </c>
      <c r="K96">
        <v>9091</v>
      </c>
      <c r="L96">
        <v>9288</v>
      </c>
      <c r="M96">
        <v>7839</v>
      </c>
    </row>
    <row r="97" spans="1:18" x14ac:dyDescent="0.25">
      <c r="A97" t="s">
        <v>155</v>
      </c>
    </row>
    <row r="98" spans="1:18" x14ac:dyDescent="0.25">
      <c r="A98" t="s">
        <v>157</v>
      </c>
    </row>
    <row r="99" spans="1:18" x14ac:dyDescent="0.25">
      <c r="A99" t="s">
        <v>158</v>
      </c>
      <c r="B99">
        <v>149</v>
      </c>
      <c r="E99">
        <v>178</v>
      </c>
      <c r="F99">
        <v>159</v>
      </c>
      <c r="G99">
        <v>183</v>
      </c>
      <c r="H99">
        <v>199</v>
      </c>
      <c r="I99">
        <v>258</v>
      </c>
      <c r="M99">
        <v>1539</v>
      </c>
      <c r="N99">
        <v>685</v>
      </c>
      <c r="O99">
        <v>572</v>
      </c>
      <c r="P99">
        <v>479</v>
      </c>
      <c r="Q99">
        <v>375</v>
      </c>
      <c r="R99">
        <v>326</v>
      </c>
    </row>
    <row r="100" spans="1:18" x14ac:dyDescent="0.25">
      <c r="A100" t="s">
        <v>160</v>
      </c>
    </row>
    <row r="101" spans="1:18" x14ac:dyDescent="0.25">
      <c r="A101" t="s">
        <v>162</v>
      </c>
    </row>
    <row r="102" spans="1:18" x14ac:dyDescent="0.25">
      <c r="A102" t="s">
        <v>163</v>
      </c>
      <c r="E102">
        <v>446</v>
      </c>
    </row>
    <row r="103" spans="1:18" x14ac:dyDescent="0.25">
      <c r="A103" t="s">
        <v>164</v>
      </c>
    </row>
    <row r="104" spans="1:18" x14ac:dyDescent="0.25">
      <c r="A104" t="s">
        <v>165</v>
      </c>
    </row>
    <row r="105" spans="1:18" x14ac:dyDescent="0.25">
      <c r="A105" t="s">
        <v>166</v>
      </c>
      <c r="B105">
        <v>203</v>
      </c>
      <c r="E105">
        <v>235</v>
      </c>
      <c r="H105">
        <v>216</v>
      </c>
    </row>
    <row r="106" spans="1:18" x14ac:dyDescent="0.25">
      <c r="A106" t="s">
        <v>167</v>
      </c>
    </row>
    <row r="107" spans="1:18" x14ac:dyDescent="0.25">
      <c r="A107" t="s">
        <v>169</v>
      </c>
    </row>
    <row r="108" spans="1:18" x14ac:dyDescent="0.25">
      <c r="A108" t="s">
        <v>170</v>
      </c>
    </row>
    <row r="109" spans="1:18" x14ac:dyDescent="0.25">
      <c r="A109" t="s">
        <v>172</v>
      </c>
    </row>
    <row r="110" spans="1:18" x14ac:dyDescent="0.25">
      <c r="A110" t="s">
        <v>173</v>
      </c>
      <c r="B110">
        <v>785</v>
      </c>
      <c r="C110">
        <v>485</v>
      </c>
      <c r="E110">
        <v>421</v>
      </c>
      <c r="F110">
        <v>403</v>
      </c>
      <c r="H110">
        <v>337</v>
      </c>
      <c r="I110">
        <v>271</v>
      </c>
      <c r="O110">
        <v>240</v>
      </c>
    </row>
    <row r="111" spans="1:18" x14ac:dyDescent="0.25">
      <c r="A111" t="s">
        <v>175</v>
      </c>
    </row>
    <row r="112" spans="1:18" x14ac:dyDescent="0.25">
      <c r="A112" t="s">
        <v>176</v>
      </c>
    </row>
    <row r="113" spans="1:36" x14ac:dyDescent="0.25">
      <c r="A113" t="s">
        <v>177</v>
      </c>
    </row>
    <row r="114" spans="1:36" x14ac:dyDescent="0.25">
      <c r="A114" t="s">
        <v>178</v>
      </c>
    </row>
    <row r="115" spans="1:36" x14ac:dyDescent="0.25">
      <c r="A115" t="s">
        <v>179</v>
      </c>
    </row>
    <row r="116" spans="1:36" x14ac:dyDescent="0.25">
      <c r="A116" t="s">
        <v>182</v>
      </c>
    </row>
    <row r="117" spans="1:36" x14ac:dyDescent="0.25">
      <c r="A117" t="s">
        <v>183</v>
      </c>
      <c r="E117">
        <v>805</v>
      </c>
      <c r="H117">
        <v>1273</v>
      </c>
      <c r="I117">
        <v>340</v>
      </c>
    </row>
    <row r="118" spans="1:36" x14ac:dyDescent="0.25">
      <c r="A118" t="s">
        <v>185</v>
      </c>
      <c r="B118">
        <v>6500</v>
      </c>
    </row>
    <row r="119" spans="1:36" x14ac:dyDescent="0.25">
      <c r="A119" t="s">
        <v>187</v>
      </c>
    </row>
    <row r="120" spans="1:36" x14ac:dyDescent="0.25">
      <c r="A120" t="s">
        <v>189</v>
      </c>
    </row>
    <row r="121" spans="1:36" x14ac:dyDescent="0.25">
      <c r="A121" t="s">
        <v>191</v>
      </c>
      <c r="B121">
        <v>634</v>
      </c>
      <c r="H121">
        <v>524</v>
      </c>
    </row>
    <row r="122" spans="1:36" x14ac:dyDescent="0.25">
      <c r="A122" t="s">
        <v>192</v>
      </c>
    </row>
    <row r="123" spans="1:36" x14ac:dyDescent="0.25">
      <c r="A123" t="s">
        <v>194</v>
      </c>
    </row>
    <row r="124" spans="1:36" x14ac:dyDescent="0.25">
      <c r="A124" t="s">
        <v>196</v>
      </c>
    </row>
    <row r="125" spans="1:36" x14ac:dyDescent="0.25">
      <c r="A125" t="s">
        <v>197</v>
      </c>
      <c r="AF125">
        <v>498</v>
      </c>
      <c r="AI125">
        <v>24720</v>
      </c>
      <c r="AJ125">
        <v>10440</v>
      </c>
    </row>
    <row r="126" spans="1:36" x14ac:dyDescent="0.25">
      <c r="A126" t="s">
        <v>199</v>
      </c>
    </row>
    <row r="127" spans="1:36" x14ac:dyDescent="0.25">
      <c r="A127" t="s">
        <v>200</v>
      </c>
    </row>
    <row r="128" spans="1:36" x14ac:dyDescent="0.25">
      <c r="A128" t="s">
        <v>201</v>
      </c>
    </row>
    <row r="129" spans="1:33" x14ac:dyDescent="0.25">
      <c r="A129" t="s">
        <v>202</v>
      </c>
      <c r="B129">
        <v>171</v>
      </c>
      <c r="O129">
        <v>133</v>
      </c>
      <c r="V129">
        <v>137</v>
      </c>
      <c r="AC129">
        <v>131</v>
      </c>
      <c r="AG129">
        <v>121</v>
      </c>
    </row>
    <row r="130" spans="1:33" x14ac:dyDescent="0.25">
      <c r="A130" t="s">
        <v>294</v>
      </c>
      <c r="B130">
        <v>340</v>
      </c>
    </row>
    <row r="131" spans="1:33" x14ac:dyDescent="0.25">
      <c r="A131" t="s">
        <v>207</v>
      </c>
    </row>
    <row r="132" spans="1:33" x14ac:dyDescent="0.25">
      <c r="A132" t="s">
        <v>208</v>
      </c>
    </row>
    <row r="133" spans="1:33" x14ac:dyDescent="0.25">
      <c r="A133" t="s">
        <v>1589</v>
      </c>
    </row>
    <row r="134" spans="1:33" x14ac:dyDescent="0.25">
      <c r="A134" t="s">
        <v>209</v>
      </c>
      <c r="O134">
        <v>249</v>
      </c>
    </row>
    <row r="135" spans="1:33" x14ac:dyDescent="0.25">
      <c r="A135" t="s">
        <v>211</v>
      </c>
      <c r="B135">
        <v>487</v>
      </c>
    </row>
    <row r="136" spans="1:33" x14ac:dyDescent="0.25">
      <c r="A136" t="s">
        <v>212</v>
      </c>
      <c r="B136">
        <v>299</v>
      </c>
    </row>
    <row r="137" spans="1:33" x14ac:dyDescent="0.25">
      <c r="A137" t="s">
        <v>214</v>
      </c>
    </row>
    <row r="138" spans="1:33" x14ac:dyDescent="0.25">
      <c r="A138" t="s">
        <v>216</v>
      </c>
    </row>
    <row r="139" spans="1:33" x14ac:dyDescent="0.25">
      <c r="A139" t="s">
        <v>218</v>
      </c>
      <c r="B139">
        <v>284</v>
      </c>
    </row>
    <row r="140" spans="1:33" x14ac:dyDescent="0.25">
      <c r="A140" t="s">
        <v>220</v>
      </c>
      <c r="B140">
        <v>681</v>
      </c>
    </row>
    <row r="141" spans="1:33" x14ac:dyDescent="0.25">
      <c r="A141" t="s">
        <v>222</v>
      </c>
    </row>
    <row r="142" spans="1:33" x14ac:dyDescent="0.25">
      <c r="A142" t="s">
        <v>224</v>
      </c>
    </row>
    <row r="143" spans="1:33" x14ac:dyDescent="0.25">
      <c r="A143" t="s">
        <v>225</v>
      </c>
    </row>
    <row r="144" spans="1:33" x14ac:dyDescent="0.25">
      <c r="A144" t="s">
        <v>227</v>
      </c>
      <c r="B144">
        <v>131</v>
      </c>
    </row>
    <row r="145" spans="1:5" x14ac:dyDescent="0.25">
      <c r="A145" t="s">
        <v>229</v>
      </c>
    </row>
    <row r="146" spans="1:5" x14ac:dyDescent="0.25">
      <c r="A146" t="s">
        <v>231</v>
      </c>
      <c r="B146">
        <v>2013</v>
      </c>
    </row>
    <row r="147" spans="1:5" x14ac:dyDescent="0.25">
      <c r="A147" t="s">
        <v>232</v>
      </c>
      <c r="E147">
        <v>226</v>
      </c>
    </row>
    <row r="148" spans="1:5" x14ac:dyDescent="0.25">
      <c r="A148" t="s">
        <v>234</v>
      </c>
      <c r="B148">
        <v>178</v>
      </c>
    </row>
    <row r="149" spans="1:5" x14ac:dyDescent="0.25">
      <c r="A149" t="s">
        <v>236</v>
      </c>
    </row>
    <row r="150" spans="1:5" x14ac:dyDescent="0.25">
      <c r="A150" t="s">
        <v>1322</v>
      </c>
    </row>
    <row r="151" spans="1:5" x14ac:dyDescent="0.25">
      <c r="A151" t="s">
        <v>1323</v>
      </c>
    </row>
    <row r="152" spans="1:5" x14ac:dyDescent="0.25">
      <c r="A152" t="s">
        <v>1324</v>
      </c>
    </row>
    <row r="153" spans="1:5" x14ac:dyDescent="0.25">
      <c r="A153" t="s">
        <v>1325</v>
      </c>
    </row>
    <row r="154" spans="1:5" x14ac:dyDescent="0.25">
      <c r="A154" t="s">
        <v>1326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D44"/>
  <sheetViews>
    <sheetView workbookViewId="0">
      <selection activeCell="H11" sqref="H11"/>
    </sheetView>
  </sheetViews>
  <sheetFormatPr defaultRowHeight="15" x14ac:dyDescent="0.25"/>
  <cols>
    <col min="1" max="1" width="18.140625" bestFit="1" customWidth="1"/>
    <col min="2" max="2" width="6.7109375" bestFit="1" customWidth="1"/>
    <col min="3" max="3" width="108.85546875" bestFit="1" customWidth="1"/>
    <col min="4" max="4" width="30.42578125" bestFit="1" customWidth="1"/>
  </cols>
  <sheetData>
    <row r="1" spans="1:4" ht="15.75" x14ac:dyDescent="0.25">
      <c r="A1" s="34" t="s">
        <v>0</v>
      </c>
      <c r="B1" s="34" t="s">
        <v>2280</v>
      </c>
      <c r="C1" s="34" t="s">
        <v>2081</v>
      </c>
      <c r="D1" s="34" t="s">
        <v>2118</v>
      </c>
    </row>
    <row r="2" spans="1:4" x14ac:dyDescent="0.25">
      <c r="A2" s="8" t="s">
        <v>22</v>
      </c>
      <c r="B2" s="8" t="s">
        <v>2280</v>
      </c>
      <c r="C2" s="8" t="s">
        <v>2281</v>
      </c>
      <c r="D2" s="8">
        <v>12</v>
      </c>
    </row>
    <row r="3" spans="1:4" x14ac:dyDescent="0.25">
      <c r="A3" s="8" t="s">
        <v>158</v>
      </c>
      <c r="B3" s="8" t="s">
        <v>2280</v>
      </c>
      <c r="C3" s="8" t="s">
        <v>2293</v>
      </c>
      <c r="D3" s="8">
        <v>12</v>
      </c>
    </row>
    <row r="4" spans="1:4" x14ac:dyDescent="0.25">
      <c r="A4" s="8" t="s">
        <v>153</v>
      </c>
      <c r="B4" s="8" t="s">
        <v>2280</v>
      </c>
      <c r="C4" s="8" t="s">
        <v>2292</v>
      </c>
      <c r="D4" s="8">
        <v>8</v>
      </c>
    </row>
    <row r="5" spans="1:4" x14ac:dyDescent="0.25">
      <c r="A5" s="8" t="s">
        <v>173</v>
      </c>
      <c r="B5" s="8" t="s">
        <v>2280</v>
      </c>
      <c r="C5" s="8" t="s">
        <v>2295</v>
      </c>
      <c r="D5" s="8">
        <v>7</v>
      </c>
    </row>
    <row r="6" spans="1:4" x14ac:dyDescent="0.25">
      <c r="A6" s="8" t="s">
        <v>202</v>
      </c>
      <c r="B6" s="8" t="s">
        <v>2280</v>
      </c>
      <c r="C6" s="8" t="s">
        <v>2299</v>
      </c>
      <c r="D6" s="8">
        <v>5</v>
      </c>
    </row>
    <row r="7" spans="1:4" x14ac:dyDescent="0.25">
      <c r="A7" s="8" t="s">
        <v>74</v>
      </c>
      <c r="B7" s="8" t="s">
        <v>2280</v>
      </c>
      <c r="C7" s="8" t="s">
        <v>2285</v>
      </c>
      <c r="D7" s="8">
        <v>4</v>
      </c>
    </row>
    <row r="8" spans="1:4" x14ac:dyDescent="0.25">
      <c r="A8" s="8" t="s">
        <v>78</v>
      </c>
      <c r="B8" s="8" t="s">
        <v>2280</v>
      </c>
      <c r="C8" s="8" t="s">
        <v>2286</v>
      </c>
      <c r="D8" s="8">
        <v>4</v>
      </c>
    </row>
    <row r="9" spans="1:4" x14ac:dyDescent="0.25">
      <c r="A9" s="8" t="s">
        <v>95</v>
      </c>
      <c r="B9" s="8" t="s">
        <v>2280</v>
      </c>
      <c r="C9" s="8" t="s">
        <v>2289</v>
      </c>
      <c r="D9" s="8">
        <v>4</v>
      </c>
    </row>
    <row r="10" spans="1:4" x14ac:dyDescent="0.25">
      <c r="A10" s="8" t="s">
        <v>119</v>
      </c>
      <c r="B10" s="8" t="s">
        <v>2280</v>
      </c>
      <c r="C10" s="8" t="s">
        <v>2285</v>
      </c>
      <c r="D10" s="8">
        <v>4</v>
      </c>
    </row>
    <row r="11" spans="1:4" x14ac:dyDescent="0.25">
      <c r="A11" s="8" t="s">
        <v>66</v>
      </c>
      <c r="B11" s="8" t="s">
        <v>2280</v>
      </c>
      <c r="C11" s="8" t="s">
        <v>2284</v>
      </c>
      <c r="D11" s="8">
        <v>3</v>
      </c>
    </row>
    <row r="12" spans="1:4" x14ac:dyDescent="0.25">
      <c r="A12" s="8" t="s">
        <v>80</v>
      </c>
      <c r="B12" s="8" t="s">
        <v>2280</v>
      </c>
      <c r="C12" s="8" t="s">
        <v>2287</v>
      </c>
      <c r="D12" s="8">
        <v>3</v>
      </c>
    </row>
    <row r="13" spans="1:4" x14ac:dyDescent="0.25">
      <c r="A13" s="8" t="s">
        <v>152</v>
      </c>
      <c r="B13" s="8" t="s">
        <v>2280</v>
      </c>
      <c r="C13" s="8" t="s">
        <v>2291</v>
      </c>
      <c r="D13" s="8">
        <v>3</v>
      </c>
    </row>
    <row r="14" spans="1:4" x14ac:dyDescent="0.25">
      <c r="A14" s="8" t="s">
        <v>166</v>
      </c>
      <c r="B14" s="8" t="s">
        <v>2280</v>
      </c>
      <c r="C14" s="8" t="s">
        <v>2294</v>
      </c>
      <c r="D14" s="8">
        <v>3</v>
      </c>
    </row>
    <row r="15" spans="1:4" x14ac:dyDescent="0.25">
      <c r="A15" s="8" t="s">
        <v>183</v>
      </c>
      <c r="B15" s="8" t="s">
        <v>2280</v>
      </c>
      <c r="C15" s="8" t="s">
        <v>2296</v>
      </c>
      <c r="D15" s="8">
        <v>3</v>
      </c>
    </row>
    <row r="16" spans="1:4" x14ac:dyDescent="0.25">
      <c r="A16" s="8" t="s">
        <v>197</v>
      </c>
      <c r="B16" s="8" t="s">
        <v>2280</v>
      </c>
      <c r="C16" s="8" t="s">
        <v>2298</v>
      </c>
      <c r="D16" s="8">
        <v>3</v>
      </c>
    </row>
    <row r="17" spans="1:4" x14ac:dyDescent="0.25">
      <c r="A17" s="8" t="s">
        <v>32</v>
      </c>
      <c r="B17" s="8" t="s">
        <v>2280</v>
      </c>
      <c r="C17" s="8" t="s">
        <v>2282</v>
      </c>
      <c r="D17" s="8">
        <v>2</v>
      </c>
    </row>
    <row r="18" spans="1:4" x14ac:dyDescent="0.25">
      <c r="A18" s="8" t="s">
        <v>62</v>
      </c>
      <c r="B18" s="8" t="s">
        <v>2280</v>
      </c>
      <c r="C18" s="8" t="s">
        <v>2283</v>
      </c>
      <c r="D18" s="8">
        <v>2</v>
      </c>
    </row>
    <row r="19" spans="1:4" x14ac:dyDescent="0.25">
      <c r="A19" s="8" t="s">
        <v>73</v>
      </c>
      <c r="B19" s="8" t="s">
        <v>2280</v>
      </c>
      <c r="C19" s="8" t="s">
        <v>2283</v>
      </c>
      <c r="D19" s="8">
        <v>2</v>
      </c>
    </row>
    <row r="20" spans="1:4" x14ac:dyDescent="0.25">
      <c r="A20" s="8" t="s">
        <v>93</v>
      </c>
      <c r="B20" s="8" t="s">
        <v>2280</v>
      </c>
      <c r="C20" s="8" t="s">
        <v>2288</v>
      </c>
      <c r="D20" s="8">
        <v>2</v>
      </c>
    </row>
    <row r="21" spans="1:4" x14ac:dyDescent="0.25">
      <c r="A21" s="8" t="s">
        <v>103</v>
      </c>
      <c r="B21" s="8" t="s">
        <v>2280</v>
      </c>
      <c r="C21" s="8" t="s">
        <v>2290</v>
      </c>
      <c r="D21" s="8">
        <v>2</v>
      </c>
    </row>
    <row r="22" spans="1:4" x14ac:dyDescent="0.25">
      <c r="A22" s="8" t="s">
        <v>191</v>
      </c>
      <c r="B22" s="8" t="s">
        <v>2280</v>
      </c>
      <c r="C22" s="8" t="s">
        <v>2297</v>
      </c>
      <c r="D22" s="8">
        <v>2</v>
      </c>
    </row>
    <row r="23" spans="1:4" x14ac:dyDescent="0.25">
      <c r="A23" s="8" t="s">
        <v>11</v>
      </c>
      <c r="B23" s="8" t="s">
        <v>2280</v>
      </c>
      <c r="C23" s="8" t="s">
        <v>2278</v>
      </c>
      <c r="D23" s="8">
        <v>1</v>
      </c>
    </row>
    <row r="24" spans="1:4" x14ac:dyDescent="0.25">
      <c r="A24" s="8" t="s">
        <v>12</v>
      </c>
      <c r="B24" s="8" t="s">
        <v>2280</v>
      </c>
      <c r="C24" s="8" t="s">
        <v>639</v>
      </c>
      <c r="D24" s="8">
        <v>1</v>
      </c>
    </row>
    <row r="25" spans="1:4" x14ac:dyDescent="0.25">
      <c r="A25" s="8" t="s">
        <v>16</v>
      </c>
      <c r="B25" s="8" t="s">
        <v>2280</v>
      </c>
      <c r="C25" s="8" t="s">
        <v>2278</v>
      </c>
      <c r="D25" s="8">
        <v>1</v>
      </c>
    </row>
    <row r="26" spans="1:4" x14ac:dyDescent="0.25">
      <c r="A26" s="8" t="s">
        <v>37</v>
      </c>
      <c r="B26" s="8" t="s">
        <v>2280</v>
      </c>
      <c r="C26" s="8" t="s">
        <v>2278</v>
      </c>
      <c r="D26" s="8">
        <v>1</v>
      </c>
    </row>
    <row r="27" spans="1:4" x14ac:dyDescent="0.25">
      <c r="A27" s="8" t="s">
        <v>53</v>
      </c>
      <c r="B27" s="8" t="s">
        <v>2280</v>
      </c>
      <c r="C27" s="8" t="s">
        <v>2278</v>
      </c>
      <c r="D27" s="8">
        <v>1</v>
      </c>
    </row>
    <row r="28" spans="1:4" x14ac:dyDescent="0.25">
      <c r="A28" s="8" t="s">
        <v>60</v>
      </c>
      <c r="B28" s="8" t="s">
        <v>2280</v>
      </c>
      <c r="C28" s="8" t="s">
        <v>2278</v>
      </c>
      <c r="D28" s="8">
        <v>1</v>
      </c>
    </row>
    <row r="29" spans="1:4" x14ac:dyDescent="0.25">
      <c r="A29" s="8" t="s">
        <v>82</v>
      </c>
      <c r="B29" s="8" t="s">
        <v>2280</v>
      </c>
      <c r="C29" s="8" t="s">
        <v>2278</v>
      </c>
      <c r="D29" s="8">
        <v>1</v>
      </c>
    </row>
    <row r="30" spans="1:4" x14ac:dyDescent="0.25">
      <c r="A30" s="8" t="s">
        <v>125</v>
      </c>
      <c r="B30" s="8" t="s">
        <v>2280</v>
      </c>
      <c r="C30" s="8" t="s">
        <v>842</v>
      </c>
      <c r="D30" s="8">
        <v>1</v>
      </c>
    </row>
    <row r="31" spans="1:4" x14ac:dyDescent="0.25">
      <c r="A31" s="8" t="s">
        <v>138</v>
      </c>
      <c r="B31" s="8" t="s">
        <v>2280</v>
      </c>
      <c r="C31" s="8" t="s">
        <v>639</v>
      </c>
      <c r="D31" s="8">
        <v>1</v>
      </c>
    </row>
    <row r="32" spans="1:4" x14ac:dyDescent="0.25">
      <c r="A32" s="8" t="s">
        <v>150</v>
      </c>
      <c r="B32" s="8" t="s">
        <v>2280</v>
      </c>
      <c r="C32" s="8" t="s">
        <v>2278</v>
      </c>
      <c r="D32" s="8">
        <v>1</v>
      </c>
    </row>
    <row r="33" spans="1:4" x14ac:dyDescent="0.25">
      <c r="A33" s="8" t="s">
        <v>163</v>
      </c>
      <c r="B33" s="8" t="s">
        <v>2280</v>
      </c>
      <c r="C33" s="8" t="s">
        <v>639</v>
      </c>
      <c r="D33" s="8">
        <v>1</v>
      </c>
    </row>
    <row r="34" spans="1:4" x14ac:dyDescent="0.25">
      <c r="A34" s="8" t="s">
        <v>185</v>
      </c>
      <c r="B34" s="8" t="s">
        <v>2280</v>
      </c>
      <c r="C34" s="8" t="s">
        <v>2278</v>
      </c>
      <c r="D34" s="8">
        <v>1</v>
      </c>
    </row>
    <row r="35" spans="1:4" x14ac:dyDescent="0.25">
      <c r="A35" s="8" t="s">
        <v>294</v>
      </c>
      <c r="B35" s="8" t="s">
        <v>2280</v>
      </c>
      <c r="C35" s="8" t="s">
        <v>2278</v>
      </c>
      <c r="D35" s="8">
        <v>1</v>
      </c>
    </row>
    <row r="36" spans="1:4" x14ac:dyDescent="0.25">
      <c r="A36" s="8" t="s">
        <v>209</v>
      </c>
      <c r="B36" s="8" t="s">
        <v>2280</v>
      </c>
      <c r="C36" s="8" t="s">
        <v>924</v>
      </c>
      <c r="D36" s="8">
        <v>1</v>
      </c>
    </row>
    <row r="37" spans="1:4" x14ac:dyDescent="0.25">
      <c r="A37" s="8" t="s">
        <v>211</v>
      </c>
      <c r="B37" s="8" t="s">
        <v>2280</v>
      </c>
      <c r="C37" s="8" t="s">
        <v>2278</v>
      </c>
      <c r="D37" s="8">
        <v>1</v>
      </c>
    </row>
    <row r="38" spans="1:4" x14ac:dyDescent="0.25">
      <c r="A38" s="8" t="s">
        <v>212</v>
      </c>
      <c r="B38" s="8" t="s">
        <v>2280</v>
      </c>
      <c r="C38" s="8" t="s">
        <v>2278</v>
      </c>
      <c r="D38" s="8">
        <v>1</v>
      </c>
    </row>
    <row r="39" spans="1:4" x14ac:dyDescent="0.25">
      <c r="A39" s="8" t="s">
        <v>218</v>
      </c>
      <c r="B39" s="8" t="s">
        <v>2280</v>
      </c>
      <c r="C39" s="8" t="s">
        <v>2278</v>
      </c>
      <c r="D39" s="8">
        <v>1</v>
      </c>
    </row>
    <row r="40" spans="1:4" x14ac:dyDescent="0.25">
      <c r="A40" s="8" t="s">
        <v>220</v>
      </c>
      <c r="B40" s="8" t="s">
        <v>2280</v>
      </c>
      <c r="C40" s="8" t="s">
        <v>2278</v>
      </c>
      <c r="D40" s="8">
        <v>1</v>
      </c>
    </row>
    <row r="41" spans="1:4" x14ac:dyDescent="0.25">
      <c r="A41" s="8" t="s">
        <v>227</v>
      </c>
      <c r="B41" s="8" t="s">
        <v>2280</v>
      </c>
      <c r="C41" s="8" t="s">
        <v>2278</v>
      </c>
      <c r="D41" s="8">
        <v>1</v>
      </c>
    </row>
    <row r="42" spans="1:4" x14ac:dyDescent="0.25">
      <c r="A42" s="8" t="s">
        <v>231</v>
      </c>
      <c r="B42" s="8" t="s">
        <v>2280</v>
      </c>
      <c r="C42" s="8" t="s">
        <v>2278</v>
      </c>
      <c r="D42" s="8">
        <v>1</v>
      </c>
    </row>
    <row r="43" spans="1:4" x14ac:dyDescent="0.25">
      <c r="A43" s="8" t="s">
        <v>232</v>
      </c>
      <c r="B43" s="8" t="s">
        <v>2280</v>
      </c>
      <c r="C43" s="8" t="s">
        <v>639</v>
      </c>
      <c r="D43" s="8">
        <v>1</v>
      </c>
    </row>
    <row r="44" spans="1:4" x14ac:dyDescent="0.25">
      <c r="A44" s="8" t="s">
        <v>234</v>
      </c>
      <c r="B44" s="8" t="s">
        <v>2280</v>
      </c>
      <c r="C44" s="8" t="s">
        <v>2278</v>
      </c>
      <c r="D44" s="8">
        <v>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54"/>
  <sheetViews>
    <sheetView topLeftCell="AT1" workbookViewId="0">
      <selection activeCell="BE29" sqref="BE29"/>
    </sheetView>
  </sheetViews>
  <sheetFormatPr defaultRowHeight="15" x14ac:dyDescent="0.25"/>
  <cols>
    <col min="1" max="1" width="18.140625" bestFit="1" customWidth="1"/>
    <col min="2" max="2" width="25.42578125" customWidth="1"/>
    <col min="3" max="3" width="13.5703125" customWidth="1"/>
    <col min="4" max="4" width="16.140625" customWidth="1"/>
    <col min="5" max="5" width="14.5703125" customWidth="1"/>
    <col min="6" max="7" width="16.140625" customWidth="1"/>
    <col min="8" max="8" width="14.140625" customWidth="1"/>
    <col min="9" max="9" width="16.140625" customWidth="1"/>
    <col min="10" max="10" width="14.140625" customWidth="1"/>
    <col min="11" max="12" width="16.7109375" customWidth="1"/>
    <col min="13" max="13" width="16.140625" customWidth="1"/>
    <col min="14" max="14" width="14.140625" customWidth="1"/>
    <col min="15" max="15" width="16.7109375" customWidth="1"/>
    <col min="16" max="16" width="14.140625" customWidth="1"/>
    <col min="17" max="17" width="16.140625" customWidth="1"/>
    <col min="18" max="18" width="16.7109375" customWidth="1"/>
    <col min="19" max="19" width="13.5703125" customWidth="1"/>
    <col min="20" max="21" width="14.140625" customWidth="1"/>
    <col min="22" max="23" width="15.140625" customWidth="1"/>
    <col min="24" max="34" width="14.5703125" customWidth="1"/>
    <col min="35" max="35" width="13.42578125" customWidth="1"/>
    <col min="36" max="37" width="15.140625" customWidth="1"/>
    <col min="38" max="38" width="14.5703125" customWidth="1"/>
    <col min="39" max="42" width="15.140625" customWidth="1"/>
    <col min="43" max="43" width="14.5703125" customWidth="1"/>
    <col min="44" max="44" width="15.140625" customWidth="1"/>
    <col min="45" max="45" width="14.5703125" customWidth="1"/>
    <col min="46" max="46" width="11.5703125" customWidth="1"/>
    <col min="47" max="49" width="12.5703125" customWidth="1"/>
    <col min="50" max="50" width="11.5703125" customWidth="1"/>
    <col min="51" max="53" width="12.5703125" customWidth="1"/>
    <col min="54" max="55" width="13.5703125" customWidth="1"/>
    <col min="56" max="56" width="14.140625" customWidth="1"/>
    <col min="57" max="59" width="17.28515625" customWidth="1"/>
  </cols>
  <sheetData>
    <row r="1" spans="1:59" x14ac:dyDescent="0.25">
      <c r="A1" t="s">
        <v>0</v>
      </c>
      <c r="B1" t="s">
        <v>2301</v>
      </c>
      <c r="C1" t="s">
        <v>372</v>
      </c>
      <c r="D1" t="s">
        <v>1822</v>
      </c>
      <c r="E1" t="s">
        <v>2300</v>
      </c>
      <c r="F1" t="s">
        <v>1825</v>
      </c>
      <c r="G1" t="s">
        <v>1826</v>
      </c>
      <c r="H1" t="s">
        <v>490</v>
      </c>
      <c r="I1" t="s">
        <v>1829</v>
      </c>
      <c r="J1" t="s">
        <v>564</v>
      </c>
      <c r="K1" t="s">
        <v>1830</v>
      </c>
      <c r="L1" t="s">
        <v>1831</v>
      </c>
      <c r="M1" t="s">
        <v>1832</v>
      </c>
      <c r="N1" t="s">
        <v>541</v>
      </c>
      <c r="O1" t="s">
        <v>1836</v>
      </c>
      <c r="P1" t="s">
        <v>773</v>
      </c>
      <c r="Q1" t="s">
        <v>1838</v>
      </c>
      <c r="R1" t="s">
        <v>1839</v>
      </c>
      <c r="S1" t="s">
        <v>703</v>
      </c>
      <c r="T1" t="s">
        <v>483</v>
      </c>
      <c r="U1" t="s">
        <v>774</v>
      </c>
      <c r="V1" t="s">
        <v>901</v>
      </c>
      <c r="W1" t="s">
        <v>880</v>
      </c>
      <c r="X1" t="s">
        <v>379</v>
      </c>
      <c r="Y1" t="s">
        <v>373</v>
      </c>
      <c r="Z1" t="s">
        <v>619</v>
      </c>
      <c r="AA1" t="s">
        <v>380</v>
      </c>
      <c r="AB1" t="s">
        <v>374</v>
      </c>
      <c r="AC1" t="s">
        <v>375</v>
      </c>
      <c r="AD1" t="s">
        <v>376</v>
      </c>
      <c r="AE1" t="s">
        <v>667</v>
      </c>
      <c r="AF1" t="s">
        <v>381</v>
      </c>
      <c r="AG1" t="s">
        <v>377</v>
      </c>
      <c r="AH1" t="s">
        <v>668</v>
      </c>
      <c r="AI1" t="s">
        <v>669</v>
      </c>
      <c r="AJ1" t="s">
        <v>489</v>
      </c>
      <c r="AK1" t="s">
        <v>494</v>
      </c>
      <c r="AL1" t="s">
        <v>670</v>
      </c>
      <c r="AM1" t="s">
        <v>733</v>
      </c>
      <c r="AN1" t="s">
        <v>741</v>
      </c>
      <c r="AO1" t="s">
        <v>745</v>
      </c>
      <c r="AP1" t="s">
        <v>748</v>
      </c>
      <c r="AQ1" t="s">
        <v>498</v>
      </c>
      <c r="AR1" t="s">
        <v>757</v>
      </c>
      <c r="AS1" t="s">
        <v>762</v>
      </c>
      <c r="AT1" t="s">
        <v>2302</v>
      </c>
      <c r="AU1" t="s">
        <v>2303</v>
      </c>
      <c r="AV1" t="s">
        <v>2304</v>
      </c>
      <c r="AW1" t="s">
        <v>2305</v>
      </c>
      <c r="AX1" t="s">
        <v>2306</v>
      </c>
      <c r="AY1" t="s">
        <v>2307</v>
      </c>
      <c r="AZ1" t="s">
        <v>2308</v>
      </c>
      <c r="BA1" t="s">
        <v>2309</v>
      </c>
      <c r="BB1" t="s">
        <v>2310</v>
      </c>
      <c r="BC1" t="s">
        <v>2311</v>
      </c>
      <c r="BD1" t="s">
        <v>726</v>
      </c>
      <c r="BE1" t="s">
        <v>822</v>
      </c>
      <c r="BF1" t="s">
        <v>823</v>
      </c>
      <c r="BG1" t="s">
        <v>824</v>
      </c>
    </row>
    <row r="2" spans="1:59" x14ac:dyDescent="0.25">
      <c r="A2" t="s">
        <v>6</v>
      </c>
    </row>
    <row r="3" spans="1:59" x14ac:dyDescent="0.25">
      <c r="A3" t="s">
        <v>11</v>
      </c>
    </row>
    <row r="4" spans="1:59" x14ac:dyDescent="0.25">
      <c r="A4" t="s">
        <v>12</v>
      </c>
    </row>
    <row r="5" spans="1:59" x14ac:dyDescent="0.25">
      <c r="A5" t="s">
        <v>16</v>
      </c>
    </row>
    <row r="6" spans="1:59" x14ac:dyDescent="0.25">
      <c r="A6" t="s">
        <v>18</v>
      </c>
    </row>
    <row r="7" spans="1:59" x14ac:dyDescent="0.25">
      <c r="A7" t="s">
        <v>20</v>
      </c>
      <c r="B7">
        <v>100</v>
      </c>
    </row>
    <row r="8" spans="1:59" x14ac:dyDescent="0.25">
      <c r="A8" t="s">
        <v>22</v>
      </c>
      <c r="C8">
        <v>7.14</v>
      </c>
      <c r="E8">
        <v>7.14</v>
      </c>
      <c r="AA8">
        <v>12.41</v>
      </c>
      <c r="AB8">
        <v>11.9</v>
      </c>
      <c r="AD8">
        <v>9.86</v>
      </c>
      <c r="AE8">
        <v>9.35</v>
      </c>
      <c r="AF8">
        <v>10.3</v>
      </c>
      <c r="AG8">
        <v>7.65</v>
      </c>
      <c r="AH8">
        <v>9.18</v>
      </c>
      <c r="AI8">
        <v>8.16</v>
      </c>
      <c r="AL8">
        <v>7.14</v>
      </c>
      <c r="AQ8">
        <v>8.67</v>
      </c>
    </row>
    <row r="9" spans="1:59" x14ac:dyDescent="0.25">
      <c r="A9" t="s">
        <v>24</v>
      </c>
    </row>
    <row r="10" spans="1:59" x14ac:dyDescent="0.25">
      <c r="A10" t="s">
        <v>26</v>
      </c>
      <c r="N10">
        <v>311.8</v>
      </c>
      <c r="S10">
        <v>356.1</v>
      </c>
      <c r="T10">
        <v>356.2</v>
      </c>
      <c r="AG10">
        <v>427</v>
      </c>
      <c r="AJ10">
        <v>427</v>
      </c>
      <c r="AK10">
        <v>210</v>
      </c>
    </row>
    <row r="11" spans="1:59" x14ac:dyDescent="0.25">
      <c r="A11" t="s">
        <v>28</v>
      </c>
    </row>
    <row r="12" spans="1:59" x14ac:dyDescent="0.25">
      <c r="A12" t="s">
        <v>30</v>
      </c>
    </row>
    <row r="13" spans="1:59" x14ac:dyDescent="0.25">
      <c r="A13" t="s">
        <v>32</v>
      </c>
      <c r="B13" t="s">
        <v>378</v>
      </c>
    </row>
    <row r="14" spans="1:59" x14ac:dyDescent="0.25">
      <c r="A14" t="s">
        <v>34</v>
      </c>
    </row>
    <row r="15" spans="1:59" x14ac:dyDescent="0.25">
      <c r="A15" t="s">
        <v>36</v>
      </c>
    </row>
    <row r="16" spans="1:59" x14ac:dyDescent="0.25">
      <c r="A16" t="s">
        <v>37</v>
      </c>
    </row>
    <row r="17" spans="1:30" x14ac:dyDescent="0.25">
      <c r="A17" t="s">
        <v>40</v>
      </c>
    </row>
    <row r="18" spans="1:30" x14ac:dyDescent="0.25">
      <c r="A18" t="s">
        <v>42</v>
      </c>
    </row>
    <row r="19" spans="1:30" x14ac:dyDescent="0.25">
      <c r="A19" t="s">
        <v>43</v>
      </c>
    </row>
    <row r="20" spans="1:30" x14ac:dyDescent="0.25">
      <c r="A20" t="s">
        <v>44</v>
      </c>
    </row>
    <row r="21" spans="1:30" x14ac:dyDescent="0.25">
      <c r="A21" t="s">
        <v>46</v>
      </c>
    </row>
    <row r="22" spans="1:30" x14ac:dyDescent="0.25">
      <c r="A22" t="s">
        <v>48</v>
      </c>
    </row>
    <row r="23" spans="1:30" x14ac:dyDescent="0.25">
      <c r="A23" t="s">
        <v>50</v>
      </c>
      <c r="B23" t="s">
        <v>540</v>
      </c>
      <c r="H23">
        <v>96.5</v>
      </c>
      <c r="AD23">
        <v>28.6</v>
      </c>
    </row>
    <row r="24" spans="1:30" x14ac:dyDescent="0.25">
      <c r="A24" t="s">
        <v>52</v>
      </c>
    </row>
    <row r="25" spans="1:30" x14ac:dyDescent="0.25">
      <c r="A25" t="s">
        <v>53</v>
      </c>
      <c r="B25" t="s">
        <v>542</v>
      </c>
    </row>
    <row r="26" spans="1:30" x14ac:dyDescent="0.25">
      <c r="A26" t="s">
        <v>55</v>
      </c>
    </row>
    <row r="27" spans="1:30" x14ac:dyDescent="0.25">
      <c r="A27" t="s">
        <v>57</v>
      </c>
    </row>
    <row r="28" spans="1:30" x14ac:dyDescent="0.25">
      <c r="A28" t="s">
        <v>59</v>
      </c>
      <c r="B28">
        <v>102</v>
      </c>
    </row>
    <row r="29" spans="1:30" x14ac:dyDescent="0.25">
      <c r="A29" t="s">
        <v>60</v>
      </c>
      <c r="B29" t="s">
        <v>1674</v>
      </c>
    </row>
    <row r="30" spans="1:30" x14ac:dyDescent="0.25">
      <c r="A30" t="s">
        <v>62</v>
      </c>
      <c r="B30">
        <v>135</v>
      </c>
    </row>
    <row r="31" spans="1:30" x14ac:dyDescent="0.25">
      <c r="A31" t="s">
        <v>64</v>
      </c>
    </row>
    <row r="32" spans="1:30" x14ac:dyDescent="0.25">
      <c r="A32" t="s">
        <v>65</v>
      </c>
    </row>
    <row r="33" spans="1:56" x14ac:dyDescent="0.25">
      <c r="A33" t="s">
        <v>66</v>
      </c>
      <c r="B33" t="s">
        <v>1674</v>
      </c>
      <c r="C33" t="s">
        <v>553</v>
      </c>
      <c r="H33" t="s">
        <v>378</v>
      </c>
      <c r="J33" t="s">
        <v>1675</v>
      </c>
      <c r="Y33" t="s">
        <v>1674</v>
      </c>
      <c r="Z33" t="s">
        <v>353</v>
      </c>
    </row>
    <row r="34" spans="1:56" x14ac:dyDescent="0.25">
      <c r="A34" t="s">
        <v>68</v>
      </c>
      <c r="B34" t="s">
        <v>1676</v>
      </c>
      <c r="BD34">
        <v>151</v>
      </c>
    </row>
    <row r="35" spans="1:56" x14ac:dyDescent="0.25">
      <c r="A35" t="s">
        <v>69</v>
      </c>
    </row>
    <row r="36" spans="1:56" x14ac:dyDescent="0.25">
      <c r="A36" t="s">
        <v>71</v>
      </c>
      <c r="B36">
        <v>617</v>
      </c>
    </row>
    <row r="37" spans="1:56" x14ac:dyDescent="0.25">
      <c r="A37" t="s">
        <v>73</v>
      </c>
    </row>
    <row r="38" spans="1:56" x14ac:dyDescent="0.25">
      <c r="A38" t="s">
        <v>74</v>
      </c>
      <c r="E38">
        <v>10.6</v>
      </c>
      <c r="H38" t="s">
        <v>640</v>
      </c>
      <c r="Z38" t="s">
        <v>355</v>
      </c>
    </row>
    <row r="39" spans="1:56" x14ac:dyDescent="0.25">
      <c r="A39" t="s">
        <v>76</v>
      </c>
    </row>
    <row r="40" spans="1:56" x14ac:dyDescent="0.25">
      <c r="A40" t="s">
        <v>78</v>
      </c>
      <c r="B40" t="s">
        <v>1677</v>
      </c>
      <c r="AM40">
        <v>6.97</v>
      </c>
      <c r="AN40">
        <v>8.84</v>
      </c>
      <c r="AO40">
        <v>63.58</v>
      </c>
      <c r="AP40">
        <v>176.97</v>
      </c>
      <c r="AQ40" t="s">
        <v>754</v>
      </c>
      <c r="AR40" t="s">
        <v>758</v>
      </c>
      <c r="AS40" t="s">
        <v>763</v>
      </c>
    </row>
    <row r="41" spans="1:56" x14ac:dyDescent="0.25">
      <c r="A41" t="s">
        <v>80</v>
      </c>
      <c r="B41">
        <v>208</v>
      </c>
      <c r="E41">
        <v>22.7</v>
      </c>
      <c r="N41">
        <v>154</v>
      </c>
      <c r="S41">
        <v>115</v>
      </c>
    </row>
    <row r="42" spans="1:56" x14ac:dyDescent="0.25">
      <c r="A42" t="s">
        <v>82</v>
      </c>
      <c r="B42">
        <v>33.200000000000003</v>
      </c>
      <c r="X42">
        <v>14.8</v>
      </c>
    </row>
    <row r="43" spans="1:56" x14ac:dyDescent="0.25">
      <c r="A43" t="s">
        <v>84</v>
      </c>
    </row>
    <row r="44" spans="1:56" x14ac:dyDescent="0.25">
      <c r="A44" t="s">
        <v>85</v>
      </c>
      <c r="B44">
        <v>11.9</v>
      </c>
    </row>
    <row r="45" spans="1:56" x14ac:dyDescent="0.25">
      <c r="A45" t="s">
        <v>87</v>
      </c>
      <c r="B45">
        <v>11.5</v>
      </c>
      <c r="P45">
        <v>9</v>
      </c>
      <c r="U45">
        <v>11</v>
      </c>
    </row>
    <row r="46" spans="1:56" x14ac:dyDescent="0.25">
      <c r="A46" t="s">
        <v>89</v>
      </c>
    </row>
    <row r="47" spans="1:56" x14ac:dyDescent="0.25">
      <c r="A47" t="s">
        <v>91</v>
      </c>
    </row>
    <row r="48" spans="1:56" x14ac:dyDescent="0.25">
      <c r="A48" t="s">
        <v>92</v>
      </c>
    </row>
    <row r="49" spans="1:59" x14ac:dyDescent="0.25">
      <c r="A49" t="s">
        <v>93</v>
      </c>
    </row>
    <row r="50" spans="1:59" x14ac:dyDescent="0.25">
      <c r="A50" t="s">
        <v>95</v>
      </c>
      <c r="BE50" t="s">
        <v>1713</v>
      </c>
      <c r="BF50" t="s">
        <v>1714</v>
      </c>
      <c r="BG50" t="s">
        <v>1715</v>
      </c>
    </row>
    <row r="51" spans="1:59" x14ac:dyDescent="0.25">
      <c r="A51" t="s">
        <v>97</v>
      </c>
    </row>
    <row r="52" spans="1:59" x14ac:dyDescent="0.25">
      <c r="A52" t="s">
        <v>99</v>
      </c>
    </row>
    <row r="53" spans="1:59" x14ac:dyDescent="0.25">
      <c r="A53" t="s">
        <v>100</v>
      </c>
    </row>
    <row r="54" spans="1:59" x14ac:dyDescent="0.25">
      <c r="A54" t="s">
        <v>101</v>
      </c>
    </row>
    <row r="55" spans="1:59" x14ac:dyDescent="0.25">
      <c r="A55" t="s">
        <v>102</v>
      </c>
    </row>
    <row r="56" spans="1:59" x14ac:dyDescent="0.25">
      <c r="A56" t="s">
        <v>103</v>
      </c>
      <c r="B56">
        <v>8</v>
      </c>
      <c r="J56">
        <v>8.3000000000000007</v>
      </c>
    </row>
    <row r="57" spans="1:59" x14ac:dyDescent="0.25">
      <c r="A57" t="s">
        <v>105</v>
      </c>
    </row>
    <row r="58" spans="1:59" x14ac:dyDescent="0.25">
      <c r="A58" t="s">
        <v>106</v>
      </c>
    </row>
    <row r="59" spans="1:59" x14ac:dyDescent="0.25">
      <c r="A59" t="s">
        <v>107</v>
      </c>
    </row>
    <row r="60" spans="1:59" x14ac:dyDescent="0.25">
      <c r="A60" t="s">
        <v>108</v>
      </c>
    </row>
    <row r="61" spans="1:59" x14ac:dyDescent="0.25">
      <c r="A61" t="s">
        <v>109</v>
      </c>
    </row>
    <row r="62" spans="1:59" x14ac:dyDescent="0.25">
      <c r="A62" t="s">
        <v>110</v>
      </c>
    </row>
    <row r="63" spans="1:59" x14ac:dyDescent="0.25">
      <c r="A63" t="s">
        <v>111</v>
      </c>
    </row>
    <row r="64" spans="1:59" x14ac:dyDescent="0.25">
      <c r="A64" t="s">
        <v>112</v>
      </c>
    </row>
    <row r="65" spans="1:27" x14ac:dyDescent="0.25">
      <c r="A65" t="s">
        <v>113</v>
      </c>
    </row>
    <row r="66" spans="1:27" x14ac:dyDescent="0.25">
      <c r="A66" t="s">
        <v>115</v>
      </c>
    </row>
    <row r="67" spans="1:27" x14ac:dyDescent="0.25">
      <c r="A67" t="s">
        <v>116</v>
      </c>
    </row>
    <row r="68" spans="1:27" x14ac:dyDescent="0.25">
      <c r="A68" t="s">
        <v>117</v>
      </c>
    </row>
    <row r="69" spans="1:27" x14ac:dyDescent="0.25">
      <c r="A69" t="s">
        <v>119</v>
      </c>
      <c r="B69" t="s">
        <v>1677</v>
      </c>
      <c r="H69" t="s">
        <v>1678</v>
      </c>
      <c r="S69" t="s">
        <v>1679</v>
      </c>
    </row>
    <row r="70" spans="1:27" x14ac:dyDescent="0.25">
      <c r="A70" t="s">
        <v>120</v>
      </c>
      <c r="B70">
        <v>425</v>
      </c>
    </row>
    <row r="71" spans="1:27" x14ac:dyDescent="0.25">
      <c r="A71" t="s">
        <v>122</v>
      </c>
    </row>
    <row r="72" spans="1:27" x14ac:dyDescent="0.25">
      <c r="A72" t="s">
        <v>123</v>
      </c>
    </row>
    <row r="73" spans="1:27" x14ac:dyDescent="0.25">
      <c r="A73" t="s">
        <v>125</v>
      </c>
      <c r="E73" t="s">
        <v>1680</v>
      </c>
      <c r="J73" t="s">
        <v>1681</v>
      </c>
      <c r="N73" t="s">
        <v>1682</v>
      </c>
      <c r="P73" t="s">
        <v>1683</v>
      </c>
      <c r="T73" t="s">
        <v>1684</v>
      </c>
      <c r="U73" t="s">
        <v>1685</v>
      </c>
      <c r="W73">
        <v>29.24</v>
      </c>
      <c r="X73" t="s">
        <v>1686</v>
      </c>
      <c r="Y73" t="s">
        <v>1687</v>
      </c>
      <c r="Z73" t="s">
        <v>1688</v>
      </c>
      <c r="AA73" t="s">
        <v>1689</v>
      </c>
    </row>
    <row r="74" spans="1:27" x14ac:dyDescent="0.25">
      <c r="A74" t="s">
        <v>126</v>
      </c>
    </row>
    <row r="75" spans="1:27" x14ac:dyDescent="0.25">
      <c r="A75" t="s">
        <v>127</v>
      </c>
    </row>
    <row r="76" spans="1:27" x14ac:dyDescent="0.25">
      <c r="A76" t="s">
        <v>128</v>
      </c>
      <c r="B76">
        <v>52.6</v>
      </c>
      <c r="P76">
        <v>28.2</v>
      </c>
    </row>
    <row r="77" spans="1:27" x14ac:dyDescent="0.25">
      <c r="A77" t="s">
        <v>131</v>
      </c>
    </row>
    <row r="78" spans="1:27" x14ac:dyDescent="0.25">
      <c r="A78" t="s">
        <v>133</v>
      </c>
    </row>
    <row r="79" spans="1:27" x14ac:dyDescent="0.25">
      <c r="A79" t="s">
        <v>134</v>
      </c>
    </row>
    <row r="80" spans="1:27" x14ac:dyDescent="0.25">
      <c r="A80" t="s">
        <v>136</v>
      </c>
    </row>
    <row r="81" spans="1:25" x14ac:dyDescent="0.25">
      <c r="A81" t="s">
        <v>138</v>
      </c>
    </row>
    <row r="82" spans="1:25" x14ac:dyDescent="0.25">
      <c r="A82" t="s">
        <v>140</v>
      </c>
      <c r="B82">
        <v>345</v>
      </c>
    </row>
    <row r="83" spans="1:25" x14ac:dyDescent="0.25">
      <c r="A83" t="s">
        <v>142</v>
      </c>
    </row>
    <row r="84" spans="1:25" x14ac:dyDescent="0.25">
      <c r="A84" t="s">
        <v>143</v>
      </c>
    </row>
    <row r="85" spans="1:25" x14ac:dyDescent="0.25">
      <c r="A85" t="s">
        <v>144</v>
      </c>
    </row>
    <row r="86" spans="1:25" x14ac:dyDescent="0.25">
      <c r="A86" t="s">
        <v>145</v>
      </c>
    </row>
    <row r="87" spans="1:25" x14ac:dyDescent="0.25">
      <c r="A87" t="s">
        <v>146</v>
      </c>
    </row>
    <row r="88" spans="1:25" x14ac:dyDescent="0.25">
      <c r="A88" t="s">
        <v>147</v>
      </c>
    </row>
    <row r="89" spans="1:25" x14ac:dyDescent="0.25">
      <c r="A89" t="s">
        <v>148</v>
      </c>
    </row>
    <row r="90" spans="1:25" x14ac:dyDescent="0.25">
      <c r="A90" t="s">
        <v>149</v>
      </c>
      <c r="B90">
        <v>81</v>
      </c>
      <c r="P90">
        <v>147</v>
      </c>
      <c r="Y90">
        <v>113</v>
      </c>
    </row>
    <row r="91" spans="1:25" x14ac:dyDescent="0.25">
      <c r="A91" t="s">
        <v>150</v>
      </c>
      <c r="B91">
        <v>313</v>
      </c>
    </row>
    <row r="92" spans="1:25" x14ac:dyDescent="0.25">
      <c r="A92" t="s">
        <v>151</v>
      </c>
    </row>
    <row r="94" spans="1:25" x14ac:dyDescent="0.25">
      <c r="A94" t="s">
        <v>321</v>
      </c>
      <c r="B94" t="s">
        <v>1690</v>
      </c>
      <c r="V94" t="s">
        <v>1674</v>
      </c>
    </row>
    <row r="95" spans="1:25" x14ac:dyDescent="0.25">
      <c r="A95" t="s">
        <v>152</v>
      </c>
      <c r="B95" t="s">
        <v>1824</v>
      </c>
      <c r="D95" t="s">
        <v>1823</v>
      </c>
    </row>
    <row r="96" spans="1:25" x14ac:dyDescent="0.25">
      <c r="A96" t="s">
        <v>153</v>
      </c>
      <c r="B96" t="s">
        <v>1691</v>
      </c>
      <c r="E96" t="s">
        <v>1692</v>
      </c>
      <c r="H96" t="s">
        <v>1693</v>
      </c>
      <c r="J96" t="s">
        <v>1697</v>
      </c>
      <c r="K96" t="s">
        <v>1833</v>
      </c>
      <c r="L96" t="s">
        <v>1834</v>
      </c>
      <c r="M96" t="s">
        <v>1835</v>
      </c>
      <c r="N96" t="s">
        <v>1694</v>
      </c>
    </row>
    <row r="97" spans="1:55" x14ac:dyDescent="0.25">
      <c r="A97" t="s">
        <v>155</v>
      </c>
    </row>
    <row r="98" spans="1:55" x14ac:dyDescent="0.25">
      <c r="A98" t="s">
        <v>157</v>
      </c>
      <c r="U98">
        <v>17</v>
      </c>
    </row>
    <row r="99" spans="1:55" x14ac:dyDescent="0.25">
      <c r="A99" t="s">
        <v>158</v>
      </c>
      <c r="B99" t="s">
        <v>1695</v>
      </c>
      <c r="E99" t="s">
        <v>378</v>
      </c>
      <c r="F99" t="s">
        <v>1707</v>
      </c>
      <c r="G99" t="s">
        <v>1827</v>
      </c>
      <c r="H99" t="s">
        <v>1692</v>
      </c>
      <c r="J99" t="s">
        <v>1696</v>
      </c>
      <c r="N99" t="s">
        <v>1837</v>
      </c>
      <c r="O99" t="s">
        <v>1697</v>
      </c>
      <c r="P99" t="s">
        <v>1840</v>
      </c>
      <c r="Q99" t="s">
        <v>1837</v>
      </c>
      <c r="R99" t="s">
        <v>1070</v>
      </c>
      <c r="S99" t="s">
        <v>1697</v>
      </c>
    </row>
    <row r="100" spans="1:55" x14ac:dyDescent="0.25">
      <c r="A100" t="s">
        <v>160</v>
      </c>
    </row>
    <row r="101" spans="1:55" x14ac:dyDescent="0.25">
      <c r="A101" t="s">
        <v>162</v>
      </c>
    </row>
    <row r="102" spans="1:55" x14ac:dyDescent="0.25">
      <c r="A102" t="s">
        <v>163</v>
      </c>
    </row>
    <row r="103" spans="1:55" x14ac:dyDescent="0.25">
      <c r="A103" t="s">
        <v>164</v>
      </c>
    </row>
    <row r="104" spans="1:55" x14ac:dyDescent="0.25">
      <c r="A104" t="s">
        <v>165</v>
      </c>
    </row>
    <row r="105" spans="1:55" x14ac:dyDescent="0.25">
      <c r="A105" t="s">
        <v>166</v>
      </c>
      <c r="B105" t="s">
        <v>1698</v>
      </c>
      <c r="E105" t="s">
        <v>1699</v>
      </c>
      <c r="H105">
        <v>187</v>
      </c>
    </row>
    <row r="106" spans="1:55" x14ac:dyDescent="0.25">
      <c r="A106" t="s">
        <v>167</v>
      </c>
      <c r="B106" t="s">
        <v>1700</v>
      </c>
    </row>
    <row r="107" spans="1:55" x14ac:dyDescent="0.25">
      <c r="A107" t="s">
        <v>169</v>
      </c>
    </row>
    <row r="108" spans="1:55" x14ac:dyDescent="0.25">
      <c r="A108" t="s">
        <v>170</v>
      </c>
    </row>
    <row r="109" spans="1:55" x14ac:dyDescent="0.25">
      <c r="A109" t="s">
        <v>172</v>
      </c>
    </row>
    <row r="110" spans="1:55" x14ac:dyDescent="0.25">
      <c r="A110" t="s">
        <v>173</v>
      </c>
      <c r="B110" t="s">
        <v>1695</v>
      </c>
      <c r="D110">
        <v>17</v>
      </c>
      <c r="E110" t="s">
        <v>1695</v>
      </c>
      <c r="F110">
        <v>17</v>
      </c>
      <c r="G110" t="s">
        <v>1828</v>
      </c>
      <c r="H110">
        <v>17</v>
      </c>
      <c r="J110" t="s">
        <v>1692</v>
      </c>
      <c r="P110" t="s">
        <v>1696</v>
      </c>
    </row>
    <row r="111" spans="1:55" x14ac:dyDescent="0.25">
      <c r="A111" t="s">
        <v>175</v>
      </c>
      <c r="B111" t="s">
        <v>1696</v>
      </c>
      <c r="AT111" t="s">
        <v>378</v>
      </c>
      <c r="AU111" t="s">
        <v>1701</v>
      </c>
      <c r="AV111" t="s">
        <v>1702</v>
      </c>
      <c r="AW111">
        <v>255</v>
      </c>
      <c r="AX111" t="s">
        <v>1703</v>
      </c>
      <c r="AY111" t="s">
        <v>1704</v>
      </c>
      <c r="AZ111" t="s">
        <v>1705</v>
      </c>
      <c r="BA111" t="s">
        <v>1696</v>
      </c>
      <c r="BB111" t="s">
        <v>1695</v>
      </c>
      <c r="BC111">
        <v>1</v>
      </c>
    </row>
    <row r="112" spans="1:55" x14ac:dyDescent="0.25">
      <c r="A112" t="s">
        <v>176</v>
      </c>
    </row>
    <row r="113" spans="1:39" x14ac:dyDescent="0.25">
      <c r="A113" t="s">
        <v>177</v>
      </c>
    </row>
    <row r="114" spans="1:39" x14ac:dyDescent="0.25">
      <c r="A114" t="s">
        <v>178</v>
      </c>
    </row>
    <row r="115" spans="1:39" x14ac:dyDescent="0.25">
      <c r="A115" t="s">
        <v>179</v>
      </c>
    </row>
    <row r="116" spans="1:39" x14ac:dyDescent="0.25">
      <c r="A116" t="s">
        <v>182</v>
      </c>
    </row>
    <row r="117" spans="1:39" x14ac:dyDescent="0.25">
      <c r="A117" t="s">
        <v>183</v>
      </c>
      <c r="E117" t="s">
        <v>607</v>
      </c>
      <c r="H117" t="s">
        <v>933</v>
      </c>
      <c r="J117" t="s">
        <v>607</v>
      </c>
      <c r="S117" t="s">
        <v>636</v>
      </c>
    </row>
    <row r="118" spans="1:39" x14ac:dyDescent="0.25">
      <c r="A118" t="s">
        <v>185</v>
      </c>
      <c r="S118">
        <v>19</v>
      </c>
    </row>
    <row r="119" spans="1:39" x14ac:dyDescent="0.25">
      <c r="A119" t="s">
        <v>187</v>
      </c>
      <c r="B119" t="s">
        <v>1706</v>
      </c>
    </row>
    <row r="120" spans="1:39" x14ac:dyDescent="0.25">
      <c r="A120" t="s">
        <v>189</v>
      </c>
    </row>
    <row r="121" spans="1:39" x14ac:dyDescent="0.25">
      <c r="A121" t="s">
        <v>191</v>
      </c>
      <c r="B121" t="s">
        <v>1707</v>
      </c>
      <c r="H121">
        <v>68</v>
      </c>
    </row>
    <row r="122" spans="1:39" x14ac:dyDescent="0.25">
      <c r="A122" t="s">
        <v>192</v>
      </c>
    </row>
    <row r="123" spans="1:39" x14ac:dyDescent="0.25">
      <c r="A123" t="s">
        <v>194</v>
      </c>
    </row>
    <row r="124" spans="1:39" x14ac:dyDescent="0.25">
      <c r="A124" t="s">
        <v>196</v>
      </c>
      <c r="B124">
        <v>68</v>
      </c>
    </row>
    <row r="125" spans="1:39" x14ac:dyDescent="0.25">
      <c r="A125" t="s">
        <v>197</v>
      </c>
      <c r="AM125">
        <v>30</v>
      </c>
    </row>
    <row r="126" spans="1:39" x14ac:dyDescent="0.25">
      <c r="A126" t="s">
        <v>199</v>
      </c>
    </row>
    <row r="127" spans="1:39" x14ac:dyDescent="0.25">
      <c r="A127" t="s">
        <v>200</v>
      </c>
    </row>
    <row r="128" spans="1:39" x14ac:dyDescent="0.25">
      <c r="A128" t="s">
        <v>201</v>
      </c>
    </row>
    <row r="129" spans="1:37" x14ac:dyDescent="0.25">
      <c r="A129" t="s">
        <v>202</v>
      </c>
      <c r="B129" t="s">
        <v>1708</v>
      </c>
      <c r="P129" t="s">
        <v>1709</v>
      </c>
      <c r="Z129" t="s">
        <v>1710</v>
      </c>
      <c r="AG129" t="s">
        <v>1711</v>
      </c>
      <c r="AK129" t="s">
        <v>1712</v>
      </c>
    </row>
    <row r="130" spans="1:37" x14ac:dyDescent="0.25">
      <c r="A130" t="s">
        <v>294</v>
      </c>
    </row>
    <row r="131" spans="1:37" x14ac:dyDescent="0.25">
      <c r="A131" t="s">
        <v>207</v>
      </c>
      <c r="B131" t="s">
        <v>1674</v>
      </c>
    </row>
    <row r="132" spans="1:37" x14ac:dyDescent="0.25">
      <c r="A132" t="s">
        <v>208</v>
      </c>
    </row>
    <row r="133" spans="1:37" x14ac:dyDescent="0.25">
      <c r="A133" t="s">
        <v>1589</v>
      </c>
    </row>
    <row r="134" spans="1:37" x14ac:dyDescent="0.25">
      <c r="A134" t="s">
        <v>209</v>
      </c>
    </row>
    <row r="135" spans="1:37" x14ac:dyDescent="0.25">
      <c r="A135" t="s">
        <v>211</v>
      </c>
    </row>
    <row r="136" spans="1:37" x14ac:dyDescent="0.25">
      <c r="A136" t="s">
        <v>212</v>
      </c>
    </row>
    <row r="137" spans="1:37" x14ac:dyDescent="0.25">
      <c r="A137" t="s">
        <v>214</v>
      </c>
    </row>
    <row r="138" spans="1:37" x14ac:dyDescent="0.25">
      <c r="A138" t="s">
        <v>216</v>
      </c>
    </row>
    <row r="139" spans="1:37" x14ac:dyDescent="0.25">
      <c r="A139" t="s">
        <v>218</v>
      </c>
    </row>
    <row r="140" spans="1:37" x14ac:dyDescent="0.25">
      <c r="A140" t="s">
        <v>220</v>
      </c>
    </row>
    <row r="141" spans="1:37" x14ac:dyDescent="0.25">
      <c r="A141" t="s">
        <v>222</v>
      </c>
    </row>
    <row r="142" spans="1:37" x14ac:dyDescent="0.25">
      <c r="A142" t="s">
        <v>224</v>
      </c>
    </row>
    <row r="143" spans="1:37" x14ac:dyDescent="0.25">
      <c r="A143" t="s">
        <v>225</v>
      </c>
    </row>
    <row r="144" spans="1:37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D65"/>
  <sheetViews>
    <sheetView workbookViewId="0">
      <selection activeCell="H11" sqref="H11"/>
    </sheetView>
  </sheetViews>
  <sheetFormatPr defaultRowHeight="15" x14ac:dyDescent="0.25"/>
  <cols>
    <col min="1" max="1" width="18.140625" bestFit="1" customWidth="1"/>
    <col min="2" max="2" width="10.85546875" bestFit="1" customWidth="1"/>
    <col min="3" max="3" width="95.42578125" customWidth="1"/>
    <col min="4" max="4" width="30.42578125" bestFit="1" customWidth="1"/>
  </cols>
  <sheetData>
    <row r="1" spans="1:4" ht="15.75" x14ac:dyDescent="0.25">
      <c r="A1" s="34" t="s">
        <v>0</v>
      </c>
      <c r="B1" s="34" t="s">
        <v>2312</v>
      </c>
      <c r="C1" s="34" t="s">
        <v>2134</v>
      </c>
      <c r="D1" s="34" t="s">
        <v>2118</v>
      </c>
    </row>
    <row r="2" spans="1:4" ht="30" x14ac:dyDescent="0.25">
      <c r="A2" s="8" t="s">
        <v>22</v>
      </c>
      <c r="B2" s="8" t="s">
        <v>2312</v>
      </c>
      <c r="C2" s="23" t="s">
        <v>2342</v>
      </c>
      <c r="D2" s="8">
        <v>12</v>
      </c>
    </row>
    <row r="3" spans="1:4" ht="30" x14ac:dyDescent="0.25">
      <c r="A3" s="8" t="s">
        <v>175</v>
      </c>
      <c r="B3" s="8" t="s">
        <v>2312</v>
      </c>
      <c r="C3" s="23" t="s">
        <v>2343</v>
      </c>
      <c r="D3" s="8">
        <v>11</v>
      </c>
    </row>
    <row r="4" spans="1:4" x14ac:dyDescent="0.25">
      <c r="A4" s="8" t="s">
        <v>125</v>
      </c>
      <c r="B4" s="8" t="s">
        <v>2313</v>
      </c>
      <c r="C4" s="8" t="s">
        <v>2329</v>
      </c>
      <c r="D4" s="8">
        <v>6</v>
      </c>
    </row>
    <row r="5" spans="1:4" x14ac:dyDescent="0.25">
      <c r="A5" s="8" t="s">
        <v>158</v>
      </c>
      <c r="B5" s="8" t="s">
        <v>2312</v>
      </c>
      <c r="C5" s="8" t="s">
        <v>2334</v>
      </c>
      <c r="D5" s="8">
        <v>6</v>
      </c>
    </row>
    <row r="6" spans="1:4" x14ac:dyDescent="0.25">
      <c r="A6" s="8" t="s">
        <v>158</v>
      </c>
      <c r="B6" s="8" t="s">
        <v>2313</v>
      </c>
      <c r="C6" s="8" t="s">
        <v>2335</v>
      </c>
      <c r="D6" s="8">
        <v>6</v>
      </c>
    </row>
    <row r="7" spans="1:4" x14ac:dyDescent="0.25">
      <c r="A7" s="8" t="s">
        <v>78</v>
      </c>
      <c r="B7" s="8" t="s">
        <v>2313</v>
      </c>
      <c r="C7" s="8" t="s">
        <v>2322</v>
      </c>
      <c r="D7" s="8">
        <v>5</v>
      </c>
    </row>
    <row r="8" spans="1:4" x14ac:dyDescent="0.25">
      <c r="A8" s="8" t="s">
        <v>125</v>
      </c>
      <c r="B8" s="8" t="s">
        <v>2312</v>
      </c>
      <c r="C8" s="8" t="s">
        <v>2328</v>
      </c>
      <c r="D8" s="8">
        <v>5</v>
      </c>
    </row>
    <row r="9" spans="1:4" x14ac:dyDescent="0.25">
      <c r="A9" s="8" t="s">
        <v>153</v>
      </c>
      <c r="B9" s="8" t="s">
        <v>2313</v>
      </c>
      <c r="C9" s="8" t="s">
        <v>2333</v>
      </c>
      <c r="D9" s="8">
        <v>5</v>
      </c>
    </row>
    <row r="10" spans="1:4" x14ac:dyDescent="0.25">
      <c r="A10" s="8" t="s">
        <v>173</v>
      </c>
      <c r="B10" s="8" t="s">
        <v>2312</v>
      </c>
      <c r="C10" s="8" t="s">
        <v>2337</v>
      </c>
      <c r="D10" s="8">
        <v>5</v>
      </c>
    </row>
    <row r="11" spans="1:4" x14ac:dyDescent="0.25">
      <c r="A11" s="8" t="s">
        <v>26</v>
      </c>
      <c r="B11" s="8" t="s">
        <v>2313</v>
      </c>
      <c r="C11" s="8" t="s">
        <v>2314</v>
      </c>
      <c r="D11" s="8">
        <v>4</v>
      </c>
    </row>
    <row r="12" spans="1:4" x14ac:dyDescent="0.25">
      <c r="A12" s="8" t="s">
        <v>66</v>
      </c>
      <c r="B12" s="8" t="s">
        <v>2312</v>
      </c>
      <c r="C12" s="8" t="s">
        <v>2317</v>
      </c>
      <c r="D12" s="8">
        <v>4</v>
      </c>
    </row>
    <row r="13" spans="1:4" x14ac:dyDescent="0.25">
      <c r="A13" s="8" t="s">
        <v>78</v>
      </c>
      <c r="B13" s="8" t="s">
        <v>2312</v>
      </c>
      <c r="C13" s="8" t="s">
        <v>2321</v>
      </c>
      <c r="D13" s="8">
        <v>3</v>
      </c>
    </row>
    <row r="14" spans="1:4" x14ac:dyDescent="0.25">
      <c r="A14" s="8" t="s">
        <v>80</v>
      </c>
      <c r="B14" s="8" t="s">
        <v>2312</v>
      </c>
      <c r="C14" s="8" t="s">
        <v>2323</v>
      </c>
      <c r="D14" s="8">
        <v>3</v>
      </c>
    </row>
    <row r="15" spans="1:4" x14ac:dyDescent="0.25">
      <c r="A15" s="8" t="s">
        <v>95</v>
      </c>
      <c r="B15" s="8" t="s">
        <v>2312</v>
      </c>
      <c r="C15" s="8" t="s">
        <v>2326</v>
      </c>
      <c r="D15" s="8">
        <v>3</v>
      </c>
    </row>
    <row r="16" spans="1:4" x14ac:dyDescent="0.25">
      <c r="A16" s="8" t="s">
        <v>153</v>
      </c>
      <c r="B16" s="8" t="s">
        <v>2312</v>
      </c>
      <c r="C16" s="8" t="s">
        <v>2332</v>
      </c>
      <c r="D16" s="8">
        <v>3</v>
      </c>
    </row>
    <row r="17" spans="1:4" x14ac:dyDescent="0.25">
      <c r="A17" s="8" t="s">
        <v>173</v>
      </c>
      <c r="B17" s="8" t="s">
        <v>2313</v>
      </c>
      <c r="C17" s="8" t="s">
        <v>2338</v>
      </c>
      <c r="D17" s="8">
        <v>3</v>
      </c>
    </row>
    <row r="18" spans="1:4" x14ac:dyDescent="0.25">
      <c r="A18" s="8" t="s">
        <v>202</v>
      </c>
      <c r="B18" s="8" t="s">
        <v>2312</v>
      </c>
      <c r="C18" s="8" t="s">
        <v>2340</v>
      </c>
      <c r="D18" s="8">
        <v>3</v>
      </c>
    </row>
    <row r="19" spans="1:4" x14ac:dyDescent="0.25">
      <c r="A19" s="8" t="s">
        <v>26</v>
      </c>
      <c r="B19" s="8" t="s">
        <v>2312</v>
      </c>
      <c r="C19" s="8" t="s">
        <v>2315</v>
      </c>
      <c r="D19" s="8">
        <v>2</v>
      </c>
    </row>
    <row r="20" spans="1:4" x14ac:dyDescent="0.25">
      <c r="A20" s="8" t="s">
        <v>50</v>
      </c>
      <c r="B20" s="8" t="s">
        <v>2312</v>
      </c>
      <c r="C20" s="8" t="s">
        <v>2316</v>
      </c>
      <c r="D20" s="8">
        <v>2</v>
      </c>
    </row>
    <row r="21" spans="1:4" x14ac:dyDescent="0.25">
      <c r="A21" s="8" t="s">
        <v>66</v>
      </c>
      <c r="B21" s="8" t="s">
        <v>2313</v>
      </c>
      <c r="C21" s="8" t="s">
        <v>2318</v>
      </c>
      <c r="D21" s="8">
        <v>2</v>
      </c>
    </row>
    <row r="22" spans="1:4" x14ac:dyDescent="0.25">
      <c r="A22" s="8" t="s">
        <v>68</v>
      </c>
      <c r="B22" s="8" t="s">
        <v>2312</v>
      </c>
      <c r="C22" s="8" t="s">
        <v>2319</v>
      </c>
      <c r="D22" s="8">
        <v>2</v>
      </c>
    </row>
    <row r="23" spans="1:4" x14ac:dyDescent="0.25">
      <c r="A23" s="8" t="s">
        <v>74</v>
      </c>
      <c r="B23" s="8" t="s">
        <v>2312</v>
      </c>
      <c r="C23" s="8" t="s">
        <v>2320</v>
      </c>
      <c r="D23" s="8">
        <v>2</v>
      </c>
    </row>
    <row r="24" spans="1:4" x14ac:dyDescent="0.25">
      <c r="A24" s="8" t="s">
        <v>82</v>
      </c>
      <c r="B24" s="8" t="s">
        <v>2312</v>
      </c>
      <c r="C24" s="8" t="s">
        <v>2324</v>
      </c>
      <c r="D24" s="8">
        <v>2</v>
      </c>
    </row>
    <row r="25" spans="1:4" x14ac:dyDescent="0.25">
      <c r="A25" s="8" t="s">
        <v>87</v>
      </c>
      <c r="B25" s="8" t="s">
        <v>2313</v>
      </c>
      <c r="C25" s="8" t="s">
        <v>2325</v>
      </c>
      <c r="D25" s="8">
        <v>2</v>
      </c>
    </row>
    <row r="26" spans="1:4" x14ac:dyDescent="0.25">
      <c r="A26" s="8" t="s">
        <v>119</v>
      </c>
      <c r="B26" s="8" t="s">
        <v>2312</v>
      </c>
      <c r="C26" s="8" t="s">
        <v>2327</v>
      </c>
      <c r="D26" s="8">
        <v>2</v>
      </c>
    </row>
    <row r="27" spans="1:4" x14ac:dyDescent="0.25">
      <c r="A27" s="8" t="s">
        <v>149</v>
      </c>
      <c r="B27" s="8" t="s">
        <v>2312</v>
      </c>
      <c r="C27" s="8" t="s">
        <v>2330</v>
      </c>
      <c r="D27" s="8">
        <v>2</v>
      </c>
    </row>
    <row r="28" spans="1:4" x14ac:dyDescent="0.25">
      <c r="A28" s="8" t="s">
        <v>152</v>
      </c>
      <c r="B28" s="8" t="s">
        <v>2312</v>
      </c>
      <c r="C28" s="8" t="s">
        <v>2331</v>
      </c>
      <c r="D28" s="8">
        <v>2</v>
      </c>
    </row>
    <row r="29" spans="1:4" x14ac:dyDescent="0.25">
      <c r="A29" s="8" t="s">
        <v>166</v>
      </c>
      <c r="B29" s="8" t="s">
        <v>2312</v>
      </c>
      <c r="C29" s="8" t="s">
        <v>2336</v>
      </c>
      <c r="D29" s="8">
        <v>2</v>
      </c>
    </row>
    <row r="30" spans="1:4" x14ac:dyDescent="0.25">
      <c r="A30" s="8" t="s">
        <v>183</v>
      </c>
      <c r="B30" s="8" t="s">
        <v>2312</v>
      </c>
      <c r="C30" s="8" t="s">
        <v>2339</v>
      </c>
      <c r="D30" s="8">
        <v>2</v>
      </c>
    </row>
    <row r="31" spans="1:4" x14ac:dyDescent="0.25">
      <c r="A31" s="8" t="s">
        <v>183</v>
      </c>
      <c r="B31" s="8" t="s">
        <v>2313</v>
      </c>
      <c r="C31" s="8" t="s">
        <v>2318</v>
      </c>
      <c r="D31" s="8">
        <v>2</v>
      </c>
    </row>
    <row r="32" spans="1:4" x14ac:dyDescent="0.25">
      <c r="A32" s="8" t="s">
        <v>202</v>
      </c>
      <c r="B32" s="8" t="s">
        <v>2313</v>
      </c>
      <c r="C32" s="8" t="s">
        <v>2341</v>
      </c>
      <c r="D32" s="8">
        <v>2</v>
      </c>
    </row>
    <row r="33" spans="1:4" x14ac:dyDescent="0.25">
      <c r="A33" s="8" t="s">
        <v>20</v>
      </c>
      <c r="B33" s="8" t="s">
        <v>2312</v>
      </c>
      <c r="C33" s="8" t="s">
        <v>2301</v>
      </c>
      <c r="D33" s="8">
        <v>1</v>
      </c>
    </row>
    <row r="34" spans="1:4" x14ac:dyDescent="0.25">
      <c r="A34" s="8" t="s">
        <v>32</v>
      </c>
      <c r="B34" s="8" t="s">
        <v>2312</v>
      </c>
      <c r="C34" s="8" t="s">
        <v>2301</v>
      </c>
      <c r="D34" s="8">
        <v>1</v>
      </c>
    </row>
    <row r="35" spans="1:4" x14ac:dyDescent="0.25">
      <c r="A35" s="8" t="s">
        <v>50</v>
      </c>
      <c r="B35" s="8" t="s">
        <v>2313</v>
      </c>
      <c r="C35" s="8" t="s">
        <v>490</v>
      </c>
      <c r="D35" s="8">
        <v>1</v>
      </c>
    </row>
    <row r="36" spans="1:4" x14ac:dyDescent="0.25">
      <c r="A36" s="8" t="s">
        <v>53</v>
      </c>
      <c r="B36" s="8" t="s">
        <v>2312</v>
      </c>
      <c r="C36" s="8" t="s">
        <v>2301</v>
      </c>
      <c r="D36" s="8">
        <v>1</v>
      </c>
    </row>
    <row r="37" spans="1:4" x14ac:dyDescent="0.25">
      <c r="A37" s="8" t="s">
        <v>59</v>
      </c>
      <c r="B37" s="8" t="s">
        <v>2312</v>
      </c>
      <c r="C37" s="8" t="s">
        <v>2301</v>
      </c>
      <c r="D37" s="8">
        <v>1</v>
      </c>
    </row>
    <row r="38" spans="1:4" x14ac:dyDescent="0.25">
      <c r="A38" s="8" t="s">
        <v>60</v>
      </c>
      <c r="B38" s="8" t="s">
        <v>2312</v>
      </c>
      <c r="C38" s="8" t="s">
        <v>2301</v>
      </c>
      <c r="D38" s="8">
        <v>1</v>
      </c>
    </row>
    <row r="39" spans="1:4" x14ac:dyDescent="0.25">
      <c r="A39" s="8" t="s">
        <v>62</v>
      </c>
      <c r="B39" s="8" t="s">
        <v>2312</v>
      </c>
      <c r="C39" s="8" t="s">
        <v>2301</v>
      </c>
      <c r="D39" s="8">
        <v>1</v>
      </c>
    </row>
    <row r="40" spans="1:4" x14ac:dyDescent="0.25">
      <c r="A40" s="8" t="s">
        <v>71</v>
      </c>
      <c r="B40" s="8" t="s">
        <v>2312</v>
      </c>
      <c r="C40" s="8" t="s">
        <v>2301</v>
      </c>
      <c r="D40" s="8">
        <v>1</v>
      </c>
    </row>
    <row r="41" spans="1:4" x14ac:dyDescent="0.25">
      <c r="A41" s="8" t="s">
        <v>74</v>
      </c>
      <c r="B41" s="8" t="s">
        <v>2313</v>
      </c>
      <c r="C41" s="8" t="s">
        <v>490</v>
      </c>
      <c r="D41" s="8">
        <v>1</v>
      </c>
    </row>
    <row r="42" spans="1:4" x14ac:dyDescent="0.25">
      <c r="A42" s="8" t="s">
        <v>80</v>
      </c>
      <c r="B42" s="8" t="s">
        <v>2313</v>
      </c>
      <c r="C42" s="8" t="s">
        <v>541</v>
      </c>
      <c r="D42" s="8">
        <v>1</v>
      </c>
    </row>
    <row r="43" spans="1:4" x14ac:dyDescent="0.25">
      <c r="A43" s="8" t="s">
        <v>85</v>
      </c>
      <c r="B43" s="8" t="s">
        <v>2312</v>
      </c>
      <c r="C43" s="8" t="s">
        <v>2301</v>
      </c>
      <c r="D43" s="8">
        <v>1</v>
      </c>
    </row>
    <row r="44" spans="1:4" x14ac:dyDescent="0.25">
      <c r="A44" s="8" t="s">
        <v>87</v>
      </c>
      <c r="B44" s="8" t="s">
        <v>2312</v>
      </c>
      <c r="C44" s="8" t="s">
        <v>2301</v>
      </c>
      <c r="D44" s="8">
        <v>1</v>
      </c>
    </row>
    <row r="45" spans="1:4" x14ac:dyDescent="0.25">
      <c r="A45" s="8" t="s">
        <v>103</v>
      </c>
      <c r="B45" s="8" t="s">
        <v>2312</v>
      </c>
      <c r="C45" s="8" t="s">
        <v>2301</v>
      </c>
      <c r="D45" s="8">
        <v>1</v>
      </c>
    </row>
    <row r="46" spans="1:4" x14ac:dyDescent="0.25">
      <c r="A46" s="8" t="s">
        <v>103</v>
      </c>
      <c r="B46" s="8" t="s">
        <v>2313</v>
      </c>
      <c r="C46" s="8" t="s">
        <v>564</v>
      </c>
      <c r="D46" s="8">
        <v>1</v>
      </c>
    </row>
    <row r="47" spans="1:4" x14ac:dyDescent="0.25">
      <c r="A47" s="8" t="s">
        <v>119</v>
      </c>
      <c r="B47" s="8" t="s">
        <v>2313</v>
      </c>
      <c r="C47" s="8" t="s">
        <v>490</v>
      </c>
      <c r="D47" s="8">
        <v>1</v>
      </c>
    </row>
    <row r="48" spans="1:4" x14ac:dyDescent="0.25">
      <c r="A48" s="8" t="s">
        <v>120</v>
      </c>
      <c r="B48" s="8" t="s">
        <v>2312</v>
      </c>
      <c r="C48" s="8" t="s">
        <v>2301</v>
      </c>
      <c r="D48" s="8">
        <v>1</v>
      </c>
    </row>
    <row r="49" spans="1:4" x14ac:dyDescent="0.25">
      <c r="A49" s="8" t="s">
        <v>128</v>
      </c>
      <c r="B49" s="8" t="s">
        <v>2312</v>
      </c>
      <c r="C49" s="8" t="s">
        <v>2301</v>
      </c>
      <c r="D49" s="8">
        <v>1</v>
      </c>
    </row>
    <row r="50" spans="1:4" x14ac:dyDescent="0.25">
      <c r="A50" s="8" t="s">
        <v>128</v>
      </c>
      <c r="B50" s="8" t="s">
        <v>2313</v>
      </c>
      <c r="C50" s="8" t="s">
        <v>773</v>
      </c>
      <c r="D50" s="8">
        <v>1</v>
      </c>
    </row>
    <row r="51" spans="1:4" x14ac:dyDescent="0.25">
      <c r="A51" s="8" t="s">
        <v>140</v>
      </c>
      <c r="B51" s="8" t="s">
        <v>2312</v>
      </c>
      <c r="C51" s="8" t="s">
        <v>2301</v>
      </c>
      <c r="D51" s="8">
        <v>1</v>
      </c>
    </row>
    <row r="52" spans="1:4" x14ac:dyDescent="0.25">
      <c r="A52" s="8" t="s">
        <v>149</v>
      </c>
      <c r="B52" s="8" t="s">
        <v>2313</v>
      </c>
      <c r="C52" s="8" t="s">
        <v>773</v>
      </c>
      <c r="D52" s="8">
        <v>1</v>
      </c>
    </row>
    <row r="53" spans="1:4" x14ac:dyDescent="0.25">
      <c r="A53" s="8" t="s">
        <v>150</v>
      </c>
      <c r="B53" s="8" t="s">
        <v>2312</v>
      </c>
      <c r="C53" s="8" t="s">
        <v>2301</v>
      </c>
      <c r="D53" s="8">
        <v>1</v>
      </c>
    </row>
    <row r="54" spans="1:4" x14ac:dyDescent="0.25">
      <c r="A54" s="8" t="s">
        <v>321</v>
      </c>
      <c r="B54" s="8" t="s">
        <v>2312</v>
      </c>
      <c r="C54" s="8" t="s">
        <v>2301</v>
      </c>
      <c r="D54" s="8">
        <v>1</v>
      </c>
    </row>
    <row r="55" spans="1:4" x14ac:dyDescent="0.25">
      <c r="A55" s="8" t="s">
        <v>321</v>
      </c>
      <c r="B55" s="8" t="s">
        <v>2313</v>
      </c>
      <c r="C55" s="8" t="s">
        <v>901</v>
      </c>
      <c r="D55" s="8">
        <v>1</v>
      </c>
    </row>
    <row r="56" spans="1:4" x14ac:dyDescent="0.25">
      <c r="A56" s="8" t="s">
        <v>157</v>
      </c>
      <c r="B56" s="8" t="s">
        <v>2313</v>
      </c>
      <c r="C56" s="8" t="s">
        <v>774</v>
      </c>
      <c r="D56" s="8">
        <v>1</v>
      </c>
    </row>
    <row r="57" spans="1:4" x14ac:dyDescent="0.25">
      <c r="A57" s="8" t="s">
        <v>166</v>
      </c>
      <c r="B57" s="8" t="s">
        <v>2313</v>
      </c>
      <c r="C57" s="8" t="s">
        <v>490</v>
      </c>
      <c r="D57" s="8">
        <v>1</v>
      </c>
    </row>
    <row r="58" spans="1:4" x14ac:dyDescent="0.25">
      <c r="A58" s="8" t="s">
        <v>167</v>
      </c>
      <c r="B58" s="8" t="s">
        <v>2312</v>
      </c>
      <c r="C58" s="8" t="s">
        <v>2301</v>
      </c>
      <c r="D58" s="8">
        <v>1</v>
      </c>
    </row>
    <row r="59" spans="1:4" x14ac:dyDescent="0.25">
      <c r="A59" s="8" t="s">
        <v>185</v>
      </c>
      <c r="B59" s="8" t="s">
        <v>2312</v>
      </c>
      <c r="C59" s="8" t="s">
        <v>703</v>
      </c>
      <c r="D59" s="8">
        <v>1</v>
      </c>
    </row>
    <row r="60" spans="1:4" x14ac:dyDescent="0.25">
      <c r="A60" s="8" t="s">
        <v>187</v>
      </c>
      <c r="B60" s="8" t="s">
        <v>2312</v>
      </c>
      <c r="C60" s="8" t="s">
        <v>2301</v>
      </c>
      <c r="D60" s="8">
        <v>1</v>
      </c>
    </row>
    <row r="61" spans="1:4" x14ac:dyDescent="0.25">
      <c r="A61" s="8" t="s">
        <v>191</v>
      </c>
      <c r="B61" s="8" t="s">
        <v>2312</v>
      </c>
      <c r="C61" s="8" t="s">
        <v>2301</v>
      </c>
      <c r="D61" s="8">
        <v>1</v>
      </c>
    </row>
    <row r="62" spans="1:4" x14ac:dyDescent="0.25">
      <c r="A62" s="8" t="s">
        <v>191</v>
      </c>
      <c r="B62" s="8" t="s">
        <v>2313</v>
      </c>
      <c r="C62" s="8" t="s">
        <v>490</v>
      </c>
      <c r="D62" s="8">
        <v>1</v>
      </c>
    </row>
    <row r="63" spans="1:4" x14ac:dyDescent="0.25">
      <c r="A63" s="8" t="s">
        <v>196</v>
      </c>
      <c r="B63" s="8" t="s">
        <v>2312</v>
      </c>
      <c r="C63" s="8" t="s">
        <v>2301</v>
      </c>
      <c r="D63" s="8">
        <v>1</v>
      </c>
    </row>
    <row r="64" spans="1:4" x14ac:dyDescent="0.25">
      <c r="A64" s="8" t="s">
        <v>197</v>
      </c>
      <c r="B64" s="8" t="s">
        <v>2313</v>
      </c>
      <c r="C64" s="8" t="s">
        <v>733</v>
      </c>
      <c r="D64" s="8">
        <v>1</v>
      </c>
    </row>
    <row r="65" spans="1:4" x14ac:dyDescent="0.25">
      <c r="A65" s="8" t="s">
        <v>207</v>
      </c>
      <c r="B65" s="8" t="s">
        <v>2312</v>
      </c>
      <c r="C65" s="8" t="s">
        <v>2301</v>
      </c>
      <c r="D65" s="8">
        <v>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4"/>
  <sheetViews>
    <sheetView topLeftCell="A121" workbookViewId="0">
      <selection sqref="A1:A154"/>
    </sheetView>
  </sheetViews>
  <sheetFormatPr defaultRowHeight="15" x14ac:dyDescent="0.25"/>
  <cols>
    <col min="1" max="1" width="18.140625" bestFit="1" customWidth="1"/>
    <col min="2" max="2" width="11.28515625" customWidth="1"/>
    <col min="3" max="4" width="13.42578125" customWidth="1"/>
    <col min="5" max="5" width="10.85546875" customWidth="1"/>
    <col min="6" max="6" width="13.42578125" customWidth="1"/>
    <col min="7" max="9" width="10.85546875" customWidth="1"/>
    <col min="10" max="11" width="11.85546875" customWidth="1"/>
    <col min="12" max="12" width="13.5703125" customWidth="1"/>
    <col min="13" max="14" width="14.5703125" customWidth="1"/>
    <col min="15" max="16" width="15.5703125" customWidth="1"/>
    <col min="17" max="17" width="15.7109375" customWidth="1"/>
  </cols>
  <sheetData>
    <row r="1" spans="1:17" x14ac:dyDescent="0.25">
      <c r="A1" t="s">
        <v>0</v>
      </c>
      <c r="B1" t="s">
        <v>2344</v>
      </c>
      <c r="C1" t="s">
        <v>1841</v>
      </c>
      <c r="D1" t="s">
        <v>1842</v>
      </c>
      <c r="E1" t="s">
        <v>727</v>
      </c>
      <c r="F1" t="s">
        <v>1844</v>
      </c>
      <c r="G1" t="s">
        <v>642</v>
      </c>
      <c r="H1" t="s">
        <v>934</v>
      </c>
      <c r="I1" t="s">
        <v>935</v>
      </c>
      <c r="J1" t="s">
        <v>898</v>
      </c>
      <c r="K1" t="s">
        <v>652</v>
      </c>
      <c r="L1" t="s">
        <v>987</v>
      </c>
      <c r="M1" t="s">
        <v>988</v>
      </c>
      <c r="N1" t="s">
        <v>989</v>
      </c>
      <c r="O1" t="s">
        <v>990</v>
      </c>
      <c r="P1" t="s">
        <v>991</v>
      </c>
      <c r="Q1" t="s">
        <v>527</v>
      </c>
    </row>
    <row r="2" spans="1:17" x14ac:dyDescent="0.25">
      <c r="A2" t="s">
        <v>6</v>
      </c>
    </row>
    <row r="3" spans="1:17" x14ac:dyDescent="0.25">
      <c r="A3" t="s">
        <v>11</v>
      </c>
    </row>
    <row r="4" spans="1:17" x14ac:dyDescent="0.25">
      <c r="A4" t="s">
        <v>12</v>
      </c>
    </row>
    <row r="5" spans="1:17" x14ac:dyDescent="0.25">
      <c r="A5" t="s">
        <v>16</v>
      </c>
    </row>
    <row r="6" spans="1:17" x14ac:dyDescent="0.25">
      <c r="A6" t="s">
        <v>18</v>
      </c>
    </row>
    <row r="7" spans="1:17" x14ac:dyDescent="0.25">
      <c r="A7" t="s">
        <v>20</v>
      </c>
      <c r="B7">
        <v>128</v>
      </c>
    </row>
    <row r="8" spans="1:17" x14ac:dyDescent="0.25">
      <c r="A8" t="s">
        <v>22</v>
      </c>
    </row>
    <row r="9" spans="1:17" x14ac:dyDescent="0.25">
      <c r="A9" t="s">
        <v>24</v>
      </c>
    </row>
    <row r="10" spans="1:17" x14ac:dyDescent="0.25">
      <c r="A10" t="s">
        <v>26</v>
      </c>
    </row>
    <row r="11" spans="1:17" x14ac:dyDescent="0.25">
      <c r="A11" t="s">
        <v>28</v>
      </c>
    </row>
    <row r="12" spans="1:17" x14ac:dyDescent="0.25">
      <c r="A12" t="s">
        <v>30</v>
      </c>
    </row>
    <row r="13" spans="1:17" x14ac:dyDescent="0.25">
      <c r="A13" t="s">
        <v>32</v>
      </c>
    </row>
    <row r="14" spans="1:17" x14ac:dyDescent="0.25">
      <c r="A14" t="s">
        <v>34</v>
      </c>
    </row>
    <row r="15" spans="1:17" x14ac:dyDescent="0.25">
      <c r="A15" t="s">
        <v>36</v>
      </c>
    </row>
    <row r="16" spans="1:17" x14ac:dyDescent="0.25">
      <c r="A16" t="s">
        <v>37</v>
      </c>
    </row>
    <row r="17" spans="1:17" x14ac:dyDescent="0.25">
      <c r="A17" t="s">
        <v>40</v>
      </c>
    </row>
    <row r="18" spans="1:17" x14ac:dyDescent="0.25">
      <c r="A18" t="s">
        <v>42</v>
      </c>
    </row>
    <row r="19" spans="1:17" x14ac:dyDescent="0.25">
      <c r="A19" t="s">
        <v>43</v>
      </c>
    </row>
    <row r="20" spans="1:17" x14ac:dyDescent="0.25">
      <c r="A20" t="s">
        <v>44</v>
      </c>
      <c r="B20" t="s">
        <v>526</v>
      </c>
      <c r="Q20" t="s">
        <v>528</v>
      </c>
    </row>
    <row r="21" spans="1:17" x14ac:dyDescent="0.25">
      <c r="A21" t="s">
        <v>46</v>
      </c>
    </row>
    <row r="22" spans="1:17" x14ac:dyDescent="0.25">
      <c r="A22" t="s">
        <v>48</v>
      </c>
    </row>
    <row r="23" spans="1:17" x14ac:dyDescent="0.25">
      <c r="A23" t="s">
        <v>50</v>
      </c>
    </row>
    <row r="24" spans="1:17" x14ac:dyDescent="0.25">
      <c r="A24" t="s">
        <v>52</v>
      </c>
    </row>
    <row r="25" spans="1:17" x14ac:dyDescent="0.25">
      <c r="A25" t="s">
        <v>53</v>
      </c>
    </row>
    <row r="26" spans="1:17" x14ac:dyDescent="0.25">
      <c r="A26" t="s">
        <v>55</v>
      </c>
    </row>
    <row r="27" spans="1:17" x14ac:dyDescent="0.25">
      <c r="A27" t="s">
        <v>57</v>
      </c>
    </row>
    <row r="28" spans="1:17" x14ac:dyDescent="0.25">
      <c r="A28" t="s">
        <v>59</v>
      </c>
    </row>
    <row r="29" spans="1:17" x14ac:dyDescent="0.25">
      <c r="A29" t="s">
        <v>60</v>
      </c>
    </row>
    <row r="30" spans="1:17" x14ac:dyDescent="0.25">
      <c r="A30" t="s">
        <v>62</v>
      </c>
      <c r="B30">
        <v>1833</v>
      </c>
      <c r="C30">
        <v>1950</v>
      </c>
      <c r="D30">
        <v>481</v>
      </c>
    </row>
    <row r="31" spans="1:17" x14ac:dyDescent="0.25">
      <c r="A31" t="s">
        <v>64</v>
      </c>
    </row>
    <row r="32" spans="1:17" x14ac:dyDescent="0.25">
      <c r="A32" t="s">
        <v>65</v>
      </c>
    </row>
    <row r="33" spans="1:11" x14ac:dyDescent="0.25">
      <c r="A33" t="s">
        <v>66</v>
      </c>
    </row>
    <row r="34" spans="1:11" x14ac:dyDescent="0.25">
      <c r="A34" t="s">
        <v>68</v>
      </c>
    </row>
    <row r="35" spans="1:11" x14ac:dyDescent="0.25">
      <c r="A35" t="s">
        <v>69</v>
      </c>
    </row>
    <row r="36" spans="1:11" x14ac:dyDescent="0.25">
      <c r="A36" t="s">
        <v>71</v>
      </c>
    </row>
    <row r="37" spans="1:11" x14ac:dyDescent="0.25">
      <c r="A37" t="s">
        <v>73</v>
      </c>
    </row>
    <row r="38" spans="1:11" x14ac:dyDescent="0.25">
      <c r="A38" t="s">
        <v>74</v>
      </c>
      <c r="E38" t="s">
        <v>728</v>
      </c>
      <c r="G38">
        <v>258</v>
      </c>
      <c r="K38" t="s">
        <v>653</v>
      </c>
    </row>
    <row r="39" spans="1:11" x14ac:dyDescent="0.25">
      <c r="A39" t="s">
        <v>76</v>
      </c>
    </row>
    <row r="40" spans="1:11" x14ac:dyDescent="0.25">
      <c r="A40" t="s">
        <v>78</v>
      </c>
    </row>
    <row r="41" spans="1:11" x14ac:dyDescent="0.25">
      <c r="A41" t="s">
        <v>80</v>
      </c>
    </row>
    <row r="42" spans="1:11" x14ac:dyDescent="0.25">
      <c r="A42" t="s">
        <v>82</v>
      </c>
    </row>
    <row r="43" spans="1:11" x14ac:dyDescent="0.25">
      <c r="A43" t="s">
        <v>84</v>
      </c>
    </row>
    <row r="44" spans="1:11" x14ac:dyDescent="0.25">
      <c r="A44" t="s">
        <v>85</v>
      </c>
    </row>
    <row r="45" spans="1:11" x14ac:dyDescent="0.25">
      <c r="A45" t="s">
        <v>87</v>
      </c>
    </row>
    <row r="46" spans="1:11" x14ac:dyDescent="0.25">
      <c r="A46" t="s">
        <v>89</v>
      </c>
    </row>
    <row r="47" spans="1:11" x14ac:dyDescent="0.25">
      <c r="A47" t="s">
        <v>91</v>
      </c>
    </row>
    <row r="48" spans="1:11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119</v>
      </c>
    </row>
    <row r="70" spans="1:1" x14ac:dyDescent="0.25">
      <c r="A70" t="s">
        <v>120</v>
      </c>
    </row>
    <row r="71" spans="1:1" x14ac:dyDescent="0.25">
      <c r="A71" t="s">
        <v>122</v>
      </c>
    </row>
    <row r="72" spans="1:1" x14ac:dyDescent="0.25">
      <c r="A72" t="s">
        <v>123</v>
      </c>
    </row>
    <row r="73" spans="1:1" x14ac:dyDescent="0.25">
      <c r="A73" t="s">
        <v>125</v>
      </c>
    </row>
    <row r="74" spans="1:1" x14ac:dyDescent="0.25">
      <c r="A74" t="s">
        <v>126</v>
      </c>
    </row>
    <row r="75" spans="1:1" x14ac:dyDescent="0.25">
      <c r="A75" t="s">
        <v>127</v>
      </c>
    </row>
    <row r="76" spans="1:1" x14ac:dyDescent="0.25">
      <c r="A76" t="s">
        <v>128</v>
      </c>
    </row>
    <row r="77" spans="1:1" x14ac:dyDescent="0.25">
      <c r="A77" t="s">
        <v>131</v>
      </c>
    </row>
    <row r="78" spans="1:1" x14ac:dyDescent="0.25">
      <c r="A78" t="s">
        <v>133</v>
      </c>
    </row>
    <row r="79" spans="1:1" x14ac:dyDescent="0.25">
      <c r="A79" t="s">
        <v>134</v>
      </c>
    </row>
    <row r="80" spans="1:1" x14ac:dyDescent="0.25">
      <c r="A80" t="s">
        <v>136</v>
      </c>
    </row>
    <row r="81" spans="1:11" x14ac:dyDescent="0.25">
      <c r="A81" t="s">
        <v>138</v>
      </c>
    </row>
    <row r="82" spans="1:11" x14ac:dyDescent="0.25">
      <c r="A82" t="s">
        <v>140</v>
      </c>
      <c r="B82" t="s">
        <v>894</v>
      </c>
      <c r="K82">
        <v>294</v>
      </c>
    </row>
    <row r="83" spans="1:11" x14ac:dyDescent="0.25">
      <c r="A83" t="s">
        <v>142</v>
      </c>
    </row>
    <row r="84" spans="1:11" x14ac:dyDescent="0.25">
      <c r="A84" t="s">
        <v>143</v>
      </c>
    </row>
    <row r="85" spans="1:11" x14ac:dyDescent="0.25">
      <c r="A85" t="s">
        <v>144</v>
      </c>
    </row>
    <row r="86" spans="1:11" x14ac:dyDescent="0.25">
      <c r="A86" t="s">
        <v>145</v>
      </c>
    </row>
    <row r="87" spans="1:11" x14ac:dyDescent="0.25">
      <c r="A87" t="s">
        <v>146</v>
      </c>
    </row>
    <row r="88" spans="1:11" x14ac:dyDescent="0.25">
      <c r="A88" t="s">
        <v>147</v>
      </c>
    </row>
    <row r="89" spans="1:11" x14ac:dyDescent="0.25">
      <c r="A89" t="s">
        <v>148</v>
      </c>
    </row>
    <row r="90" spans="1:11" x14ac:dyDescent="0.25">
      <c r="A90" t="s">
        <v>149</v>
      </c>
      <c r="B90" t="s">
        <v>897</v>
      </c>
      <c r="J90">
        <v>148</v>
      </c>
    </row>
    <row r="91" spans="1:11" x14ac:dyDescent="0.25">
      <c r="A91" t="s">
        <v>150</v>
      </c>
    </row>
    <row r="92" spans="1:11" x14ac:dyDescent="0.25">
      <c r="A92" t="s">
        <v>151</v>
      </c>
    </row>
    <row r="94" spans="1:11" x14ac:dyDescent="0.25">
      <c r="A94" t="s">
        <v>321</v>
      </c>
    </row>
    <row r="95" spans="1:11" x14ac:dyDescent="0.25">
      <c r="A95" t="s">
        <v>152</v>
      </c>
    </row>
    <row r="96" spans="1:11" x14ac:dyDescent="0.25">
      <c r="A96" t="s">
        <v>153</v>
      </c>
    </row>
    <row r="97" spans="1:16" x14ac:dyDescent="0.25">
      <c r="A97" t="s">
        <v>155</v>
      </c>
    </row>
    <row r="98" spans="1:16" x14ac:dyDescent="0.25">
      <c r="A98" t="s">
        <v>157</v>
      </c>
    </row>
    <row r="99" spans="1:16" x14ac:dyDescent="0.25">
      <c r="A99" t="s">
        <v>158</v>
      </c>
    </row>
    <row r="100" spans="1:16" x14ac:dyDescent="0.25">
      <c r="A100" t="s">
        <v>160</v>
      </c>
    </row>
    <row r="101" spans="1:16" x14ac:dyDescent="0.25">
      <c r="A101" t="s">
        <v>162</v>
      </c>
    </row>
    <row r="102" spans="1:16" x14ac:dyDescent="0.25">
      <c r="A102" t="s">
        <v>163</v>
      </c>
    </row>
    <row r="103" spans="1:16" x14ac:dyDescent="0.25">
      <c r="A103" t="s">
        <v>164</v>
      </c>
    </row>
    <row r="104" spans="1:16" x14ac:dyDescent="0.25">
      <c r="A104" t="s">
        <v>165</v>
      </c>
    </row>
    <row r="105" spans="1:16" x14ac:dyDescent="0.25">
      <c r="A105" t="s">
        <v>166</v>
      </c>
    </row>
    <row r="106" spans="1:16" x14ac:dyDescent="0.25">
      <c r="A106" t="s">
        <v>167</v>
      </c>
    </row>
    <row r="107" spans="1:16" x14ac:dyDescent="0.25">
      <c r="A107" t="s">
        <v>169</v>
      </c>
    </row>
    <row r="108" spans="1:16" x14ac:dyDescent="0.25">
      <c r="A108" t="s">
        <v>170</v>
      </c>
    </row>
    <row r="109" spans="1:16" x14ac:dyDescent="0.25">
      <c r="A109" t="s">
        <v>172</v>
      </c>
    </row>
    <row r="110" spans="1:16" x14ac:dyDescent="0.25">
      <c r="A110" t="s">
        <v>173</v>
      </c>
      <c r="B110" t="s">
        <v>1996</v>
      </c>
      <c r="C110" t="s">
        <v>1843</v>
      </c>
      <c r="E110" t="s">
        <v>1997</v>
      </c>
      <c r="F110" t="s">
        <v>1845</v>
      </c>
      <c r="G110" t="s">
        <v>936</v>
      </c>
      <c r="H110" t="s">
        <v>937</v>
      </c>
      <c r="I110" t="s">
        <v>938</v>
      </c>
    </row>
    <row r="111" spans="1:16" x14ac:dyDescent="0.25">
      <c r="A111" t="s">
        <v>175</v>
      </c>
      <c r="L111">
        <v>65</v>
      </c>
      <c r="M111" t="s">
        <v>992</v>
      </c>
      <c r="N111" t="s">
        <v>993</v>
      </c>
      <c r="O111" t="s">
        <v>994</v>
      </c>
      <c r="P111">
        <v>7</v>
      </c>
    </row>
    <row r="112" spans="1:16" x14ac:dyDescent="0.25">
      <c r="A112" t="s">
        <v>176</v>
      </c>
    </row>
    <row r="113" spans="1:2" x14ac:dyDescent="0.25">
      <c r="A113" t="s">
        <v>177</v>
      </c>
    </row>
    <row r="114" spans="1:2" x14ac:dyDescent="0.25">
      <c r="A114" t="s">
        <v>178</v>
      </c>
    </row>
    <row r="115" spans="1:2" x14ac:dyDescent="0.25">
      <c r="A115" t="s">
        <v>179</v>
      </c>
    </row>
    <row r="116" spans="1:2" x14ac:dyDescent="0.25">
      <c r="A116" t="s">
        <v>182</v>
      </c>
    </row>
    <row r="117" spans="1:2" x14ac:dyDescent="0.25">
      <c r="A117" t="s">
        <v>183</v>
      </c>
    </row>
    <row r="118" spans="1:2" x14ac:dyDescent="0.25">
      <c r="A118" t="s">
        <v>185</v>
      </c>
      <c r="B118">
        <v>324</v>
      </c>
    </row>
    <row r="119" spans="1:2" x14ac:dyDescent="0.25">
      <c r="A119" t="s">
        <v>187</v>
      </c>
      <c r="B119">
        <v>984</v>
      </c>
    </row>
    <row r="120" spans="1:2" x14ac:dyDescent="0.25">
      <c r="A120" t="s">
        <v>189</v>
      </c>
    </row>
    <row r="121" spans="1:2" x14ac:dyDescent="0.25">
      <c r="A121" t="s">
        <v>191</v>
      </c>
    </row>
    <row r="122" spans="1:2" x14ac:dyDescent="0.25">
      <c r="A122" t="s">
        <v>192</v>
      </c>
    </row>
    <row r="123" spans="1:2" x14ac:dyDescent="0.25">
      <c r="A123" t="s">
        <v>194</v>
      </c>
    </row>
    <row r="124" spans="1:2" x14ac:dyDescent="0.25">
      <c r="A124" t="s">
        <v>196</v>
      </c>
    </row>
    <row r="125" spans="1:2" x14ac:dyDescent="0.25">
      <c r="A125" t="s">
        <v>197</v>
      </c>
    </row>
    <row r="126" spans="1:2" x14ac:dyDescent="0.25">
      <c r="A126" t="s">
        <v>199</v>
      </c>
    </row>
    <row r="127" spans="1:2" x14ac:dyDescent="0.25">
      <c r="A127" t="s">
        <v>200</v>
      </c>
    </row>
    <row r="128" spans="1:2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294</v>
      </c>
    </row>
    <row r="131" spans="1:1" x14ac:dyDescent="0.25">
      <c r="A131" t="s">
        <v>207</v>
      </c>
    </row>
    <row r="132" spans="1:1" x14ac:dyDescent="0.25">
      <c r="A132" t="s">
        <v>208</v>
      </c>
    </row>
    <row r="133" spans="1:1" x14ac:dyDescent="0.25">
      <c r="A133" t="s">
        <v>1589</v>
      </c>
    </row>
    <row r="134" spans="1:1" x14ac:dyDescent="0.25">
      <c r="A134" t="s">
        <v>209</v>
      </c>
    </row>
    <row r="135" spans="1:1" x14ac:dyDescent="0.25">
      <c r="A135" t="s">
        <v>211</v>
      </c>
    </row>
    <row r="136" spans="1:1" x14ac:dyDescent="0.25">
      <c r="A136" t="s">
        <v>212</v>
      </c>
    </row>
    <row r="137" spans="1:1" x14ac:dyDescent="0.25">
      <c r="A137" t="s">
        <v>214</v>
      </c>
    </row>
    <row r="138" spans="1:1" x14ac:dyDescent="0.25">
      <c r="A138" t="s">
        <v>216</v>
      </c>
    </row>
    <row r="139" spans="1:1" x14ac:dyDescent="0.25">
      <c r="A139" t="s">
        <v>218</v>
      </c>
    </row>
    <row r="140" spans="1:1" x14ac:dyDescent="0.25">
      <c r="A140" t="s">
        <v>220</v>
      </c>
    </row>
    <row r="141" spans="1:1" x14ac:dyDescent="0.25">
      <c r="A141" t="s">
        <v>222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D11"/>
  <sheetViews>
    <sheetView workbookViewId="0">
      <selection activeCell="I34" sqref="I34"/>
    </sheetView>
  </sheetViews>
  <sheetFormatPr defaultRowHeight="15" x14ac:dyDescent="0.25"/>
  <cols>
    <col min="1" max="1" width="14.5703125" bestFit="1" customWidth="1"/>
    <col min="2" max="2" width="8.140625" bestFit="1" customWidth="1"/>
    <col min="3" max="3" width="70.140625" bestFit="1" customWidth="1"/>
    <col min="4" max="4" width="30.42578125" bestFit="1" customWidth="1"/>
  </cols>
  <sheetData>
    <row r="1" spans="1:4" x14ac:dyDescent="0.25">
      <c r="A1" s="8" t="s">
        <v>0</v>
      </c>
      <c r="B1" s="8" t="s">
        <v>2345</v>
      </c>
      <c r="C1" s="8" t="s">
        <v>2081</v>
      </c>
      <c r="D1" s="8" t="s">
        <v>2118</v>
      </c>
    </row>
    <row r="2" spans="1:4" x14ac:dyDescent="0.25">
      <c r="A2" s="8" t="s">
        <v>20</v>
      </c>
      <c r="B2" s="8" t="s">
        <v>2345</v>
      </c>
      <c r="C2" s="8" t="s">
        <v>2344</v>
      </c>
      <c r="D2" s="8">
        <v>1</v>
      </c>
    </row>
    <row r="3" spans="1:4" x14ac:dyDescent="0.25">
      <c r="A3" s="8" t="s">
        <v>44</v>
      </c>
      <c r="B3" s="8" t="s">
        <v>2345</v>
      </c>
      <c r="C3" s="8" t="s">
        <v>2346</v>
      </c>
      <c r="D3" s="8">
        <v>2</v>
      </c>
    </row>
    <row r="4" spans="1:4" x14ac:dyDescent="0.25">
      <c r="A4" s="8" t="s">
        <v>62</v>
      </c>
      <c r="B4" s="8" t="s">
        <v>2345</v>
      </c>
      <c r="C4" s="8" t="s">
        <v>2347</v>
      </c>
      <c r="D4" s="8">
        <v>3</v>
      </c>
    </row>
    <row r="5" spans="1:4" x14ac:dyDescent="0.25">
      <c r="A5" s="8" t="s">
        <v>74</v>
      </c>
      <c r="B5" s="8" t="s">
        <v>2345</v>
      </c>
      <c r="C5" s="8" t="s">
        <v>2348</v>
      </c>
      <c r="D5" s="8">
        <v>3</v>
      </c>
    </row>
    <row r="6" spans="1:4" x14ac:dyDescent="0.25">
      <c r="A6" s="8" t="s">
        <v>140</v>
      </c>
      <c r="B6" s="8" t="s">
        <v>2345</v>
      </c>
      <c r="C6" s="8" t="s">
        <v>2349</v>
      </c>
      <c r="D6" s="8">
        <v>2</v>
      </c>
    </row>
    <row r="7" spans="1:4" x14ac:dyDescent="0.25">
      <c r="A7" s="8" t="s">
        <v>149</v>
      </c>
      <c r="B7" s="8" t="s">
        <v>2345</v>
      </c>
      <c r="C7" s="8" t="s">
        <v>2350</v>
      </c>
      <c r="D7" s="8">
        <v>2</v>
      </c>
    </row>
    <row r="8" spans="1:4" x14ac:dyDescent="0.25">
      <c r="A8" s="8" t="s">
        <v>173</v>
      </c>
      <c r="B8" s="8" t="s">
        <v>2345</v>
      </c>
      <c r="C8" s="8" t="s">
        <v>2351</v>
      </c>
      <c r="D8" s="8">
        <v>7</v>
      </c>
    </row>
    <row r="9" spans="1:4" x14ac:dyDescent="0.25">
      <c r="A9" s="8" t="s">
        <v>175</v>
      </c>
      <c r="B9" s="8" t="s">
        <v>2345</v>
      </c>
      <c r="C9" s="8" t="s">
        <v>2352</v>
      </c>
      <c r="D9" s="8">
        <v>5</v>
      </c>
    </row>
    <row r="10" spans="1:4" x14ac:dyDescent="0.25">
      <c r="A10" s="8" t="s">
        <v>185</v>
      </c>
      <c r="B10" s="8" t="s">
        <v>2345</v>
      </c>
      <c r="C10" s="8" t="s">
        <v>2344</v>
      </c>
      <c r="D10" s="8">
        <v>1</v>
      </c>
    </row>
    <row r="11" spans="1:4" x14ac:dyDescent="0.25">
      <c r="A11" s="8" t="s">
        <v>187</v>
      </c>
      <c r="B11" s="8" t="s">
        <v>2345</v>
      </c>
      <c r="C11" s="8" t="s">
        <v>2344</v>
      </c>
      <c r="D11" s="8">
        <v>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54"/>
  <sheetViews>
    <sheetView topLeftCell="A121" workbookViewId="0">
      <selection sqref="A1:A154"/>
    </sheetView>
  </sheetViews>
  <sheetFormatPr defaultRowHeight="15" x14ac:dyDescent="0.25"/>
  <cols>
    <col min="1" max="1" width="14.42578125" customWidth="1"/>
    <col min="3" max="4" width="11" customWidth="1"/>
    <col min="6" max="7" width="11" customWidth="1"/>
    <col min="10" max="12" width="11" customWidth="1"/>
    <col min="14" max="14" width="11" customWidth="1"/>
    <col min="16" max="17" width="11" customWidth="1"/>
    <col min="21" max="46" width="9.42578125" customWidth="1"/>
    <col min="47" max="47" width="11.140625" customWidth="1"/>
    <col min="48" max="50" width="12.140625" customWidth="1"/>
    <col min="51" max="51" width="11.140625" customWidth="1"/>
    <col min="52" max="54" width="12.140625" customWidth="1"/>
    <col min="55" max="57" width="13.140625" customWidth="1"/>
    <col min="58" max="61" width="12.140625" customWidth="1"/>
    <col min="62" max="62" width="18.42578125" customWidth="1"/>
  </cols>
  <sheetData>
    <row r="1" spans="1:62" x14ac:dyDescent="0.25">
      <c r="A1" s="24" t="s">
        <v>0</v>
      </c>
      <c r="B1" t="s">
        <v>2353</v>
      </c>
      <c r="C1" t="s">
        <v>1846</v>
      </c>
      <c r="D1" t="s">
        <v>2354</v>
      </c>
      <c r="E1" t="s">
        <v>359</v>
      </c>
      <c r="F1" t="s">
        <v>1851</v>
      </c>
      <c r="G1" t="s">
        <v>2355</v>
      </c>
      <c r="H1" t="s">
        <v>464</v>
      </c>
      <c r="I1" t="s">
        <v>2356</v>
      </c>
      <c r="J1" t="s">
        <v>1853</v>
      </c>
      <c r="K1" t="s">
        <v>1854</v>
      </c>
      <c r="L1" t="s">
        <v>2357</v>
      </c>
      <c r="M1" t="s">
        <v>470</v>
      </c>
      <c r="N1" t="s">
        <v>1856</v>
      </c>
      <c r="O1" t="s">
        <v>2358</v>
      </c>
      <c r="P1" t="s">
        <v>1857</v>
      </c>
      <c r="Q1" t="s">
        <v>2359</v>
      </c>
      <c r="R1" t="s">
        <v>477</v>
      </c>
      <c r="S1" t="s">
        <v>360</v>
      </c>
      <c r="T1" t="s">
        <v>361</v>
      </c>
      <c r="U1" t="s">
        <v>658</v>
      </c>
      <c r="V1" t="s">
        <v>2360</v>
      </c>
      <c r="W1" t="s">
        <v>2361</v>
      </c>
      <c r="X1" t="s">
        <v>362</v>
      </c>
      <c r="Y1" t="s">
        <v>621</v>
      </c>
      <c r="Z1" t="s">
        <v>363</v>
      </c>
      <c r="AA1" t="s">
        <v>364</v>
      </c>
      <c r="AB1" t="s">
        <v>365</v>
      </c>
      <c r="AC1" t="s">
        <v>366</v>
      </c>
      <c r="AD1" t="s">
        <v>367</v>
      </c>
      <c r="AE1" t="s">
        <v>368</v>
      </c>
      <c r="AF1" t="s">
        <v>659</v>
      </c>
      <c r="AG1" t="s">
        <v>369</v>
      </c>
      <c r="AH1" t="s">
        <v>660</v>
      </c>
      <c r="AI1" t="s">
        <v>2362</v>
      </c>
      <c r="AJ1" t="s">
        <v>491</v>
      </c>
      <c r="AK1" t="s">
        <v>370</v>
      </c>
      <c r="AL1" t="s">
        <v>662</v>
      </c>
      <c r="AM1" t="s">
        <v>371</v>
      </c>
      <c r="AN1" t="s">
        <v>663</v>
      </c>
      <c r="AO1" t="s">
        <v>2363</v>
      </c>
      <c r="AP1" t="s">
        <v>2364</v>
      </c>
      <c r="AQ1" t="s">
        <v>2365</v>
      </c>
      <c r="AR1" t="s">
        <v>2366</v>
      </c>
      <c r="AS1" t="s">
        <v>665</v>
      </c>
      <c r="AT1" t="s">
        <v>2367</v>
      </c>
      <c r="AU1" t="s">
        <v>1054</v>
      </c>
      <c r="AV1" t="s">
        <v>2368</v>
      </c>
      <c r="AW1" t="s">
        <v>2369</v>
      </c>
      <c r="AX1" t="s">
        <v>2370</v>
      </c>
      <c r="AY1" t="s">
        <v>998</v>
      </c>
      <c r="AZ1" t="s">
        <v>999</v>
      </c>
      <c r="BA1" t="s">
        <v>1000</v>
      </c>
      <c r="BB1" t="s">
        <v>2371</v>
      </c>
      <c r="BC1" t="s">
        <v>2372</v>
      </c>
      <c r="BD1" t="s">
        <v>2373</v>
      </c>
      <c r="BE1" t="s">
        <v>2374</v>
      </c>
      <c r="BF1" t="s">
        <v>2375</v>
      </c>
      <c r="BG1" t="s">
        <v>2376</v>
      </c>
      <c r="BH1" t="s">
        <v>2377</v>
      </c>
      <c r="BI1" t="s">
        <v>2378</v>
      </c>
      <c r="BJ1" t="s">
        <v>2410</v>
      </c>
    </row>
    <row r="2" spans="1:62" x14ac:dyDescent="0.25">
      <c r="A2" s="26" t="s">
        <v>6</v>
      </c>
    </row>
    <row r="3" spans="1:62" x14ac:dyDescent="0.25">
      <c r="A3" s="28" t="s">
        <v>11</v>
      </c>
    </row>
    <row r="4" spans="1:62" x14ac:dyDescent="0.25">
      <c r="A4" s="26" t="s">
        <v>12</v>
      </c>
    </row>
    <row r="5" spans="1:62" x14ac:dyDescent="0.25">
      <c r="A5" s="28" t="s">
        <v>16</v>
      </c>
    </row>
    <row r="6" spans="1:62" x14ac:dyDescent="0.25">
      <c r="A6" s="26" t="s">
        <v>18</v>
      </c>
    </row>
    <row r="7" spans="1:62" x14ac:dyDescent="0.25">
      <c r="A7" s="28" t="s">
        <v>20</v>
      </c>
    </row>
    <row r="8" spans="1:62" x14ac:dyDescent="0.25">
      <c r="A8" s="26" t="s">
        <v>22</v>
      </c>
      <c r="B8">
        <v>203</v>
      </c>
      <c r="E8">
        <v>203</v>
      </c>
      <c r="T8">
        <v>164</v>
      </c>
      <c r="U8">
        <v>156</v>
      </c>
      <c r="Y8">
        <v>152</v>
      </c>
      <c r="AA8">
        <v>188</v>
      </c>
      <c r="AB8">
        <v>206</v>
      </c>
      <c r="AC8">
        <v>198</v>
      </c>
      <c r="AD8">
        <v>185</v>
      </c>
      <c r="AE8">
        <v>199</v>
      </c>
      <c r="AF8">
        <v>241</v>
      </c>
      <c r="AH8">
        <v>221</v>
      </c>
      <c r="AI8">
        <v>212</v>
      </c>
      <c r="AL8">
        <v>198</v>
      </c>
      <c r="AN8">
        <v>184</v>
      </c>
      <c r="AQ8">
        <v>174</v>
      </c>
      <c r="AS8">
        <v>159</v>
      </c>
      <c r="BJ8">
        <v>240</v>
      </c>
    </row>
    <row r="9" spans="1:62" x14ac:dyDescent="0.25">
      <c r="A9" s="28" t="s">
        <v>24</v>
      </c>
      <c r="B9">
        <v>446</v>
      </c>
    </row>
    <row r="10" spans="1:62" x14ac:dyDescent="0.25">
      <c r="A10" s="26" t="s">
        <v>26</v>
      </c>
      <c r="B10" t="s">
        <v>458</v>
      </c>
      <c r="H10">
        <v>4.9400000000000004</v>
      </c>
      <c r="M10">
        <v>144</v>
      </c>
      <c r="R10">
        <v>135</v>
      </c>
      <c r="S10">
        <v>129</v>
      </c>
      <c r="Z10">
        <v>211</v>
      </c>
      <c r="AJ10">
        <v>437</v>
      </c>
      <c r="AK10">
        <v>440</v>
      </c>
    </row>
    <row r="11" spans="1:62" x14ac:dyDescent="0.25">
      <c r="A11" s="28" t="s">
        <v>28</v>
      </c>
    </row>
    <row r="12" spans="1:62" x14ac:dyDescent="0.25">
      <c r="A12" s="26" t="s">
        <v>30</v>
      </c>
    </row>
    <row r="13" spans="1:62" x14ac:dyDescent="0.25">
      <c r="A13" s="28" t="s">
        <v>32</v>
      </c>
    </row>
    <row r="14" spans="1:62" x14ac:dyDescent="0.25">
      <c r="A14" s="26" t="s">
        <v>34</v>
      </c>
    </row>
    <row r="15" spans="1:62" x14ac:dyDescent="0.25">
      <c r="A15" s="28" t="s">
        <v>36</v>
      </c>
    </row>
    <row r="16" spans="1:62" x14ac:dyDescent="0.25">
      <c r="A16" s="26" t="s">
        <v>37</v>
      </c>
    </row>
    <row r="17" spans="1:29" x14ac:dyDescent="0.25">
      <c r="A17" s="28" t="s">
        <v>40</v>
      </c>
    </row>
    <row r="18" spans="1:29" x14ac:dyDescent="0.25">
      <c r="A18" s="26" t="s">
        <v>42</v>
      </c>
    </row>
    <row r="19" spans="1:29" x14ac:dyDescent="0.25">
      <c r="A19" s="28" t="s">
        <v>43</v>
      </c>
    </row>
    <row r="20" spans="1:29" x14ac:dyDescent="0.25">
      <c r="A20" s="26" t="s">
        <v>44</v>
      </c>
    </row>
    <row r="21" spans="1:29" x14ac:dyDescent="0.25">
      <c r="A21" s="28" t="s">
        <v>46</v>
      </c>
    </row>
    <row r="22" spans="1:29" x14ac:dyDescent="0.25">
      <c r="A22" s="26" t="s">
        <v>48</v>
      </c>
    </row>
    <row r="23" spans="1:29" x14ac:dyDescent="0.25">
      <c r="A23" s="28" t="s">
        <v>50</v>
      </c>
      <c r="H23">
        <v>10.9</v>
      </c>
      <c r="AC23">
        <v>21.4</v>
      </c>
    </row>
    <row r="24" spans="1:29" x14ac:dyDescent="0.25">
      <c r="A24" s="26" t="s">
        <v>52</v>
      </c>
    </row>
    <row r="25" spans="1:29" x14ac:dyDescent="0.25">
      <c r="A25" s="28" t="s">
        <v>53</v>
      </c>
      <c r="B25">
        <v>328</v>
      </c>
    </row>
    <row r="26" spans="1:29" x14ac:dyDescent="0.25">
      <c r="A26" s="26" t="s">
        <v>55</v>
      </c>
    </row>
    <row r="27" spans="1:29" x14ac:dyDescent="0.25">
      <c r="A27" s="28" t="s">
        <v>57</v>
      </c>
    </row>
    <row r="28" spans="1:29" x14ac:dyDescent="0.25">
      <c r="A28" s="26" t="s">
        <v>59</v>
      </c>
    </row>
    <row r="29" spans="1:29" x14ac:dyDescent="0.25">
      <c r="A29" s="28" t="s">
        <v>60</v>
      </c>
    </row>
    <row r="30" spans="1:29" x14ac:dyDescent="0.25">
      <c r="A30" s="26" t="s">
        <v>62</v>
      </c>
      <c r="B30" t="s">
        <v>1850</v>
      </c>
      <c r="C30" t="s">
        <v>1848</v>
      </c>
      <c r="D30" t="s">
        <v>1849</v>
      </c>
    </row>
    <row r="31" spans="1:29" x14ac:dyDescent="0.25">
      <c r="A31" s="28" t="s">
        <v>64</v>
      </c>
    </row>
    <row r="32" spans="1:29" x14ac:dyDescent="0.25">
      <c r="A32" s="26" t="s">
        <v>65</v>
      </c>
    </row>
    <row r="33" spans="1:46" x14ac:dyDescent="0.25">
      <c r="A33" s="28" t="s">
        <v>66</v>
      </c>
      <c r="B33">
        <v>75</v>
      </c>
      <c r="X33">
        <v>111</v>
      </c>
      <c r="Y33">
        <v>106</v>
      </c>
    </row>
    <row r="34" spans="1:46" x14ac:dyDescent="0.25">
      <c r="A34" s="26" t="s">
        <v>68</v>
      </c>
      <c r="B34">
        <v>808</v>
      </c>
    </row>
    <row r="35" spans="1:46" x14ac:dyDescent="0.25">
      <c r="A35" s="28" t="s">
        <v>69</v>
      </c>
    </row>
    <row r="36" spans="1:46" x14ac:dyDescent="0.25">
      <c r="A36" s="26" t="s">
        <v>71</v>
      </c>
    </row>
    <row r="37" spans="1:46" x14ac:dyDescent="0.25">
      <c r="A37" s="28" t="s">
        <v>73</v>
      </c>
    </row>
    <row r="38" spans="1:46" x14ac:dyDescent="0.25">
      <c r="A38" s="26" t="s">
        <v>74</v>
      </c>
      <c r="B38" t="s">
        <v>1966</v>
      </c>
      <c r="E38" t="s">
        <v>1998</v>
      </c>
      <c r="H38">
        <v>54</v>
      </c>
      <c r="R38" t="s">
        <v>1999</v>
      </c>
    </row>
    <row r="39" spans="1:46" x14ac:dyDescent="0.25">
      <c r="A39" s="28" t="s">
        <v>76</v>
      </c>
    </row>
    <row r="40" spans="1:46" x14ac:dyDescent="0.25">
      <c r="A40" s="26" t="s">
        <v>78</v>
      </c>
      <c r="B40">
        <v>60</v>
      </c>
      <c r="AO40">
        <v>60</v>
      </c>
      <c r="AP40">
        <v>31</v>
      </c>
      <c r="AR40">
        <v>131</v>
      </c>
      <c r="AS40">
        <v>163</v>
      </c>
      <c r="AT40">
        <v>153</v>
      </c>
    </row>
    <row r="41" spans="1:46" x14ac:dyDescent="0.25">
      <c r="A41" s="28" t="s">
        <v>80</v>
      </c>
      <c r="B41" t="s">
        <v>2000</v>
      </c>
      <c r="E41">
        <v>219</v>
      </c>
      <c r="M41" t="s">
        <v>2001</v>
      </c>
      <c r="S41" t="s">
        <v>2002</v>
      </c>
    </row>
    <row r="42" spans="1:46" x14ac:dyDescent="0.25">
      <c r="A42" s="26" t="s">
        <v>82</v>
      </c>
    </row>
    <row r="43" spans="1:46" x14ac:dyDescent="0.25">
      <c r="A43" s="28" t="s">
        <v>84</v>
      </c>
    </row>
    <row r="44" spans="1:46" x14ac:dyDescent="0.25">
      <c r="A44" s="26" t="s">
        <v>85</v>
      </c>
      <c r="B44">
        <v>83</v>
      </c>
      <c r="S44">
        <v>60</v>
      </c>
    </row>
    <row r="45" spans="1:46" x14ac:dyDescent="0.25">
      <c r="A45" s="28" t="s">
        <v>87</v>
      </c>
      <c r="B45" t="s">
        <v>2003</v>
      </c>
      <c r="E45">
        <v>189</v>
      </c>
      <c r="O45" t="s">
        <v>2004</v>
      </c>
      <c r="T45">
        <v>294</v>
      </c>
    </row>
    <row r="46" spans="1:46" x14ac:dyDescent="0.25">
      <c r="A46" s="26" t="s">
        <v>89</v>
      </c>
    </row>
    <row r="47" spans="1:46" x14ac:dyDescent="0.25">
      <c r="A47" s="28" t="s">
        <v>91</v>
      </c>
    </row>
    <row r="48" spans="1:46" x14ac:dyDescent="0.25">
      <c r="A48" s="26" t="s">
        <v>92</v>
      </c>
    </row>
    <row r="49" spans="1:61" x14ac:dyDescent="0.25">
      <c r="A49" s="28" t="s">
        <v>93</v>
      </c>
      <c r="B49">
        <v>93</v>
      </c>
      <c r="E49">
        <v>84</v>
      </c>
      <c r="S49">
        <v>94</v>
      </c>
      <c r="W49">
        <v>89</v>
      </c>
      <c r="AD49">
        <v>98</v>
      </c>
    </row>
    <row r="50" spans="1:61" x14ac:dyDescent="0.25">
      <c r="A50" s="26" t="s">
        <v>95</v>
      </c>
      <c r="B50">
        <v>139</v>
      </c>
      <c r="BE50">
        <v>159</v>
      </c>
      <c r="BF50">
        <v>142</v>
      </c>
      <c r="BG50">
        <v>138</v>
      </c>
      <c r="BH50">
        <v>137</v>
      </c>
      <c r="BI50">
        <v>131</v>
      </c>
    </row>
    <row r="51" spans="1:61" x14ac:dyDescent="0.25">
      <c r="A51" s="28" t="s">
        <v>97</v>
      </c>
    </row>
    <row r="52" spans="1:61" x14ac:dyDescent="0.25">
      <c r="A52" s="26" t="s">
        <v>99</v>
      </c>
    </row>
    <row r="53" spans="1:61" x14ac:dyDescent="0.25">
      <c r="A53" s="28" t="s">
        <v>100</v>
      </c>
    </row>
    <row r="54" spans="1:61" x14ac:dyDescent="0.25">
      <c r="A54" s="26" t="s">
        <v>101</v>
      </c>
    </row>
    <row r="55" spans="1:61" x14ac:dyDescent="0.25">
      <c r="A55" s="28" t="s">
        <v>102</v>
      </c>
    </row>
    <row r="56" spans="1:61" x14ac:dyDescent="0.25">
      <c r="A56" s="26" t="s">
        <v>103</v>
      </c>
      <c r="B56">
        <v>90</v>
      </c>
      <c r="I56" t="s">
        <v>2005</v>
      </c>
    </row>
    <row r="57" spans="1:61" x14ac:dyDescent="0.25">
      <c r="A57" s="28" t="s">
        <v>105</v>
      </c>
    </row>
    <row r="58" spans="1:61" x14ac:dyDescent="0.25">
      <c r="A58" s="26" t="s">
        <v>106</v>
      </c>
    </row>
    <row r="59" spans="1:61" x14ac:dyDescent="0.25">
      <c r="A59" s="28" t="s">
        <v>107</v>
      </c>
    </row>
    <row r="60" spans="1:61" x14ac:dyDescent="0.25">
      <c r="A60" s="26" t="s">
        <v>108</v>
      </c>
    </row>
    <row r="61" spans="1:61" x14ac:dyDescent="0.25">
      <c r="A61" s="28" t="s">
        <v>109</v>
      </c>
    </row>
    <row r="62" spans="1:61" x14ac:dyDescent="0.25">
      <c r="A62" s="26" t="s">
        <v>110</v>
      </c>
    </row>
    <row r="63" spans="1:61" x14ac:dyDescent="0.25">
      <c r="A63" s="28" t="s">
        <v>111</v>
      </c>
    </row>
    <row r="64" spans="1:61" x14ac:dyDescent="0.25">
      <c r="A64" s="26" t="s">
        <v>112</v>
      </c>
    </row>
    <row r="65" spans="1:38" x14ac:dyDescent="0.25">
      <c r="A65" s="28" t="s">
        <v>113</v>
      </c>
    </row>
    <row r="66" spans="1:38" x14ac:dyDescent="0.25">
      <c r="A66" s="26" t="s">
        <v>115</v>
      </c>
    </row>
    <row r="67" spans="1:38" x14ac:dyDescent="0.25">
      <c r="A67" s="28" t="s">
        <v>116</v>
      </c>
    </row>
    <row r="68" spans="1:38" x14ac:dyDescent="0.25">
      <c r="A68" s="26" t="s">
        <v>117</v>
      </c>
    </row>
    <row r="69" spans="1:38" x14ac:dyDescent="0.25">
      <c r="A69" s="28" t="s">
        <v>119</v>
      </c>
      <c r="B69">
        <v>101</v>
      </c>
      <c r="H69">
        <v>109</v>
      </c>
      <c r="R69">
        <v>101</v>
      </c>
    </row>
    <row r="70" spans="1:38" x14ac:dyDescent="0.25">
      <c r="A70" s="26" t="s">
        <v>120</v>
      </c>
    </row>
    <row r="71" spans="1:38" x14ac:dyDescent="0.25">
      <c r="A71" s="28" t="s">
        <v>122</v>
      </c>
    </row>
    <row r="72" spans="1:38" x14ac:dyDescent="0.25">
      <c r="A72" s="26" t="s">
        <v>123</v>
      </c>
    </row>
    <row r="73" spans="1:38" x14ac:dyDescent="0.25">
      <c r="A73" s="28" t="s">
        <v>125</v>
      </c>
      <c r="M73">
        <v>96</v>
      </c>
      <c r="O73">
        <v>125</v>
      </c>
      <c r="S73">
        <v>182</v>
      </c>
      <c r="T73">
        <v>175</v>
      </c>
      <c r="V73">
        <v>150</v>
      </c>
      <c r="W73">
        <v>188</v>
      </c>
      <c r="X73">
        <v>273</v>
      </c>
      <c r="Y73">
        <v>390</v>
      </c>
      <c r="Z73">
        <v>441</v>
      </c>
    </row>
    <row r="74" spans="1:38" x14ac:dyDescent="0.25">
      <c r="A74" s="26" t="s">
        <v>126</v>
      </c>
    </row>
    <row r="75" spans="1:38" x14ac:dyDescent="0.25">
      <c r="A75" s="28" t="s">
        <v>127</v>
      </c>
      <c r="B75">
        <v>87</v>
      </c>
      <c r="W75">
        <v>188</v>
      </c>
    </row>
    <row r="76" spans="1:38" x14ac:dyDescent="0.25">
      <c r="A76" s="26" t="s">
        <v>128</v>
      </c>
      <c r="B76">
        <v>79</v>
      </c>
      <c r="O76">
        <v>201</v>
      </c>
      <c r="AL76">
        <v>532</v>
      </c>
    </row>
    <row r="77" spans="1:38" x14ac:dyDescent="0.25">
      <c r="A77" s="28" t="s">
        <v>131</v>
      </c>
      <c r="B77" t="s">
        <v>893</v>
      </c>
    </row>
    <row r="78" spans="1:38" x14ac:dyDescent="0.25">
      <c r="A78" s="26" t="s">
        <v>133</v>
      </c>
    </row>
    <row r="79" spans="1:38" x14ac:dyDescent="0.25">
      <c r="A79" s="28" t="s">
        <v>134</v>
      </c>
      <c r="B79" t="s">
        <v>2006</v>
      </c>
    </row>
    <row r="80" spans="1:38" x14ac:dyDescent="0.25">
      <c r="A80" s="26" t="s">
        <v>136</v>
      </c>
    </row>
    <row r="81" spans="1:25" x14ac:dyDescent="0.25">
      <c r="A81" s="28" t="s">
        <v>138</v>
      </c>
      <c r="B81" t="s">
        <v>2007</v>
      </c>
      <c r="E81" t="s">
        <v>2008</v>
      </c>
      <c r="I81" t="s">
        <v>2009</v>
      </c>
      <c r="O81" t="s">
        <v>2007</v>
      </c>
    </row>
    <row r="82" spans="1:25" x14ac:dyDescent="0.25">
      <c r="A82" s="26" t="s">
        <v>140</v>
      </c>
      <c r="B82" t="s">
        <v>895</v>
      </c>
      <c r="Y82">
        <v>3.28</v>
      </c>
    </row>
    <row r="83" spans="1:25" x14ac:dyDescent="0.25">
      <c r="A83" s="28" t="s">
        <v>142</v>
      </c>
    </row>
    <row r="84" spans="1:25" x14ac:dyDescent="0.25">
      <c r="A84" s="26" t="s">
        <v>143</v>
      </c>
    </row>
    <row r="85" spans="1:25" x14ac:dyDescent="0.25">
      <c r="A85" s="28" t="s">
        <v>144</v>
      </c>
    </row>
    <row r="86" spans="1:25" x14ac:dyDescent="0.25">
      <c r="A86" s="26" t="s">
        <v>145</v>
      </c>
    </row>
    <row r="87" spans="1:25" x14ac:dyDescent="0.25">
      <c r="A87" s="28" t="s">
        <v>146</v>
      </c>
    </row>
    <row r="88" spans="1:25" x14ac:dyDescent="0.25">
      <c r="A88" s="26" t="s">
        <v>147</v>
      </c>
    </row>
    <row r="89" spans="1:25" x14ac:dyDescent="0.25">
      <c r="A89" s="28" t="s">
        <v>148</v>
      </c>
    </row>
    <row r="90" spans="1:25" x14ac:dyDescent="0.25">
      <c r="A90" s="26" t="s">
        <v>149</v>
      </c>
      <c r="B90" t="s">
        <v>899</v>
      </c>
      <c r="X90">
        <v>3.71</v>
      </c>
    </row>
    <row r="91" spans="1:25" x14ac:dyDescent="0.25">
      <c r="A91" s="28" t="s">
        <v>150</v>
      </c>
    </row>
    <row r="92" spans="1:25" x14ac:dyDescent="0.25">
      <c r="A92" s="26" t="s">
        <v>151</v>
      </c>
    </row>
    <row r="93" spans="1:25" x14ac:dyDescent="0.25">
      <c r="A93" s="28"/>
    </row>
    <row r="94" spans="1:25" x14ac:dyDescent="0.25">
      <c r="A94" s="26" t="s">
        <v>321</v>
      </c>
    </row>
    <row r="95" spans="1:25" x14ac:dyDescent="0.25">
      <c r="A95" s="28" t="s">
        <v>152</v>
      </c>
      <c r="B95">
        <v>152</v>
      </c>
      <c r="C95">
        <v>171</v>
      </c>
    </row>
    <row r="96" spans="1:25" x14ac:dyDescent="0.25">
      <c r="A96" s="26" t="s">
        <v>153</v>
      </c>
      <c r="B96">
        <v>278</v>
      </c>
      <c r="E96">
        <v>76</v>
      </c>
      <c r="H96">
        <v>73</v>
      </c>
      <c r="I96">
        <v>77</v>
      </c>
      <c r="J96">
        <v>184</v>
      </c>
      <c r="K96">
        <v>198</v>
      </c>
      <c r="L96">
        <v>224</v>
      </c>
      <c r="M96">
        <v>277</v>
      </c>
    </row>
    <row r="97" spans="1:56" x14ac:dyDescent="0.25">
      <c r="A97" s="28" t="s">
        <v>155</v>
      </c>
    </row>
    <row r="98" spans="1:56" x14ac:dyDescent="0.25">
      <c r="A98" s="26" t="s">
        <v>157</v>
      </c>
    </row>
    <row r="99" spans="1:56" x14ac:dyDescent="0.25">
      <c r="A99" s="28" t="s">
        <v>158</v>
      </c>
      <c r="B99">
        <v>47</v>
      </c>
      <c r="E99">
        <v>59</v>
      </c>
      <c r="F99">
        <v>50</v>
      </c>
      <c r="G99">
        <v>54</v>
      </c>
      <c r="H99">
        <v>58</v>
      </c>
      <c r="I99">
        <v>63</v>
      </c>
      <c r="M99">
        <v>229</v>
      </c>
      <c r="N99">
        <v>202</v>
      </c>
      <c r="O99">
        <v>197</v>
      </c>
      <c r="P99">
        <v>185</v>
      </c>
      <c r="Q99">
        <v>182</v>
      </c>
      <c r="R99">
        <v>155</v>
      </c>
    </row>
    <row r="100" spans="1:56" x14ac:dyDescent="0.25">
      <c r="A100" s="26" t="s">
        <v>160</v>
      </c>
    </row>
    <row r="101" spans="1:56" x14ac:dyDescent="0.25">
      <c r="A101" s="28" t="s">
        <v>162</v>
      </c>
    </row>
    <row r="102" spans="1:56" x14ac:dyDescent="0.25">
      <c r="A102" s="26" t="s">
        <v>163</v>
      </c>
      <c r="E102">
        <v>209</v>
      </c>
    </row>
    <row r="103" spans="1:56" x14ac:dyDescent="0.25">
      <c r="A103" s="28" t="s">
        <v>164</v>
      </c>
    </row>
    <row r="104" spans="1:56" x14ac:dyDescent="0.25">
      <c r="A104" s="26" t="s">
        <v>165</v>
      </c>
    </row>
    <row r="105" spans="1:56" x14ac:dyDescent="0.25">
      <c r="A105" s="28" t="s">
        <v>166</v>
      </c>
      <c r="B105">
        <v>106</v>
      </c>
      <c r="E105">
        <v>106</v>
      </c>
      <c r="H105">
        <v>94</v>
      </c>
    </row>
    <row r="106" spans="1:56" x14ac:dyDescent="0.25">
      <c r="A106" s="26" t="s">
        <v>167</v>
      </c>
    </row>
    <row r="107" spans="1:56" x14ac:dyDescent="0.25">
      <c r="A107" s="28" t="s">
        <v>169</v>
      </c>
    </row>
    <row r="108" spans="1:56" x14ac:dyDescent="0.25">
      <c r="A108" s="26" t="s">
        <v>170</v>
      </c>
    </row>
    <row r="109" spans="1:56" x14ac:dyDescent="0.25">
      <c r="A109" s="28" t="s">
        <v>172</v>
      </c>
    </row>
    <row r="110" spans="1:56" x14ac:dyDescent="0.25">
      <c r="A110" s="26" t="s">
        <v>173</v>
      </c>
      <c r="B110">
        <v>52</v>
      </c>
      <c r="C110">
        <v>58</v>
      </c>
      <c r="E110">
        <v>52</v>
      </c>
      <c r="H110">
        <v>57</v>
      </c>
      <c r="I110">
        <v>63</v>
      </c>
    </row>
    <row r="111" spans="1:56" x14ac:dyDescent="0.25">
      <c r="A111" s="28" t="s">
        <v>175</v>
      </c>
      <c r="AV111">
        <v>750</v>
      </c>
      <c r="AW111">
        <v>645</v>
      </c>
      <c r="AX111">
        <v>728</v>
      </c>
      <c r="AY111">
        <v>1227</v>
      </c>
      <c r="AZ111">
        <v>793</v>
      </c>
      <c r="BA111">
        <v>371</v>
      </c>
      <c r="BB111">
        <v>212</v>
      </c>
      <c r="BC111">
        <v>257</v>
      </c>
      <c r="BD111">
        <v>190</v>
      </c>
    </row>
    <row r="112" spans="1:56" x14ac:dyDescent="0.25">
      <c r="A112" s="26" t="s">
        <v>176</v>
      </c>
    </row>
    <row r="113" spans="1:47" x14ac:dyDescent="0.25">
      <c r="A113" s="28" t="s">
        <v>177</v>
      </c>
    </row>
    <row r="114" spans="1:47" x14ac:dyDescent="0.25">
      <c r="A114" s="26" t="s">
        <v>178</v>
      </c>
    </row>
    <row r="115" spans="1:47" x14ac:dyDescent="0.25">
      <c r="A115" s="28" t="s">
        <v>179</v>
      </c>
    </row>
    <row r="116" spans="1:47" x14ac:dyDescent="0.25">
      <c r="A116" s="26" t="s">
        <v>182</v>
      </c>
    </row>
    <row r="117" spans="1:47" x14ac:dyDescent="0.25">
      <c r="A117" s="28" t="s">
        <v>183</v>
      </c>
      <c r="E117">
        <v>160</v>
      </c>
      <c r="H117">
        <v>200</v>
      </c>
      <c r="I117">
        <v>155</v>
      </c>
    </row>
    <row r="118" spans="1:47" x14ac:dyDescent="0.25">
      <c r="A118" s="26" t="s">
        <v>185</v>
      </c>
      <c r="R118">
        <v>158</v>
      </c>
    </row>
    <row r="119" spans="1:47" x14ac:dyDescent="0.25">
      <c r="A119" s="28" t="s">
        <v>187</v>
      </c>
    </row>
    <row r="120" spans="1:47" x14ac:dyDescent="0.25">
      <c r="A120" s="26" t="s">
        <v>189</v>
      </c>
      <c r="E120" t="s">
        <v>1027</v>
      </c>
      <c r="H120">
        <v>311</v>
      </c>
      <c r="I120">
        <v>288</v>
      </c>
      <c r="O120">
        <v>381</v>
      </c>
      <c r="W120">
        <v>187</v>
      </c>
      <c r="Y120">
        <v>326</v>
      </c>
    </row>
    <row r="121" spans="1:47" x14ac:dyDescent="0.25">
      <c r="A121" s="28" t="s">
        <v>191</v>
      </c>
      <c r="B121">
        <v>244</v>
      </c>
      <c r="H121">
        <v>104</v>
      </c>
    </row>
    <row r="122" spans="1:47" x14ac:dyDescent="0.25">
      <c r="A122" s="26" t="s">
        <v>192</v>
      </c>
    </row>
    <row r="123" spans="1:47" x14ac:dyDescent="0.25">
      <c r="A123" s="28" t="s">
        <v>194</v>
      </c>
    </row>
    <row r="124" spans="1:47" x14ac:dyDescent="0.25">
      <c r="A124" s="26" t="s">
        <v>196</v>
      </c>
    </row>
    <row r="125" spans="1:47" x14ac:dyDescent="0.25">
      <c r="A125" s="28" t="s">
        <v>197</v>
      </c>
      <c r="AO125">
        <v>168</v>
      </c>
    </row>
    <row r="126" spans="1:47" x14ac:dyDescent="0.25">
      <c r="A126" s="26" t="s">
        <v>199</v>
      </c>
      <c r="B126">
        <v>239</v>
      </c>
      <c r="AU126">
        <v>109</v>
      </c>
    </row>
    <row r="127" spans="1:47" x14ac:dyDescent="0.25">
      <c r="A127" s="28" t="s">
        <v>200</v>
      </c>
    </row>
    <row r="128" spans="1:47" x14ac:dyDescent="0.25">
      <c r="A128" s="26" t="s">
        <v>201</v>
      </c>
    </row>
    <row r="129" spans="1:37" x14ac:dyDescent="0.25">
      <c r="A129" s="28" t="s">
        <v>202</v>
      </c>
      <c r="B129">
        <v>490</v>
      </c>
      <c r="O129">
        <v>572</v>
      </c>
      <c r="Y129">
        <v>395</v>
      </c>
      <c r="AF129">
        <v>312</v>
      </c>
      <c r="AK129">
        <v>262</v>
      </c>
    </row>
    <row r="130" spans="1:37" x14ac:dyDescent="0.25">
      <c r="A130" s="26" t="s">
        <v>294</v>
      </c>
      <c r="B130">
        <v>486</v>
      </c>
    </row>
    <row r="131" spans="1:37" x14ac:dyDescent="0.25">
      <c r="A131" s="28" t="s">
        <v>207</v>
      </c>
      <c r="B131">
        <v>191</v>
      </c>
      <c r="H131">
        <v>154</v>
      </c>
    </row>
    <row r="132" spans="1:37" x14ac:dyDescent="0.25">
      <c r="A132" s="26" t="s">
        <v>208</v>
      </c>
    </row>
    <row r="133" spans="1:37" x14ac:dyDescent="0.25">
      <c r="A133" s="28" t="s">
        <v>1589</v>
      </c>
    </row>
    <row r="134" spans="1:37" x14ac:dyDescent="0.25">
      <c r="A134" s="26" t="s">
        <v>209</v>
      </c>
    </row>
    <row r="135" spans="1:37" x14ac:dyDescent="0.25">
      <c r="A135" s="28" t="s">
        <v>211</v>
      </c>
    </row>
    <row r="136" spans="1:37" x14ac:dyDescent="0.25">
      <c r="A136" s="26" t="s">
        <v>212</v>
      </c>
    </row>
    <row r="137" spans="1:37" x14ac:dyDescent="0.25">
      <c r="A137" s="28" t="s">
        <v>214</v>
      </c>
    </row>
    <row r="138" spans="1:37" x14ac:dyDescent="0.25">
      <c r="A138" s="26" t="s">
        <v>216</v>
      </c>
    </row>
    <row r="139" spans="1:37" x14ac:dyDescent="0.25">
      <c r="A139" s="28" t="s">
        <v>218</v>
      </c>
    </row>
    <row r="140" spans="1:37" x14ac:dyDescent="0.25">
      <c r="A140" s="26" t="s">
        <v>220</v>
      </c>
    </row>
    <row r="141" spans="1:37" x14ac:dyDescent="0.25">
      <c r="A141" s="28" t="s">
        <v>222</v>
      </c>
    </row>
    <row r="142" spans="1:37" x14ac:dyDescent="0.25">
      <c r="A142" s="26" t="s">
        <v>224</v>
      </c>
    </row>
    <row r="143" spans="1:37" x14ac:dyDescent="0.25">
      <c r="A143" s="28" t="s">
        <v>225</v>
      </c>
    </row>
    <row r="144" spans="1:37" x14ac:dyDescent="0.25">
      <c r="A144" s="26" t="s">
        <v>227</v>
      </c>
    </row>
    <row r="145" spans="1:1" x14ac:dyDescent="0.25">
      <c r="A145" s="28" t="s">
        <v>229</v>
      </c>
    </row>
    <row r="146" spans="1:1" x14ac:dyDescent="0.25">
      <c r="A146" s="26" t="s">
        <v>231</v>
      </c>
    </row>
    <row r="147" spans="1:1" x14ac:dyDescent="0.25">
      <c r="A147" s="28" t="s">
        <v>232</v>
      </c>
    </row>
    <row r="148" spans="1:1" x14ac:dyDescent="0.25">
      <c r="A148" s="26" t="s">
        <v>234</v>
      </c>
    </row>
    <row r="149" spans="1:1" x14ac:dyDescent="0.25">
      <c r="A149" s="28" t="s">
        <v>236</v>
      </c>
    </row>
    <row r="150" spans="1:1" x14ac:dyDescent="0.25">
      <c r="A150" s="26" t="s">
        <v>1322</v>
      </c>
    </row>
    <row r="151" spans="1:1" x14ac:dyDescent="0.25">
      <c r="A151" s="28" t="s">
        <v>1323</v>
      </c>
    </row>
    <row r="152" spans="1:1" x14ac:dyDescent="0.25">
      <c r="A152" s="26" t="s">
        <v>1324</v>
      </c>
    </row>
    <row r="153" spans="1:1" x14ac:dyDescent="0.25">
      <c r="A153" s="28" t="s">
        <v>1325</v>
      </c>
    </row>
    <row r="154" spans="1:1" x14ac:dyDescent="0.25">
      <c r="A154" s="26" t="s">
        <v>1326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D42"/>
  <sheetViews>
    <sheetView workbookViewId="0">
      <selection activeCell="F3" sqref="F3"/>
    </sheetView>
  </sheetViews>
  <sheetFormatPr defaultRowHeight="15" x14ac:dyDescent="0.25"/>
  <cols>
    <col min="1" max="1" width="18.140625" bestFit="1" customWidth="1"/>
    <col min="2" max="2" width="8.2851562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34" t="s">
        <v>0</v>
      </c>
      <c r="B1" s="34" t="s">
        <v>2379</v>
      </c>
      <c r="C1" s="34" t="s">
        <v>2134</v>
      </c>
      <c r="D1" s="34" t="s">
        <v>2118</v>
      </c>
    </row>
    <row r="2" spans="1:4" ht="30" x14ac:dyDescent="0.25">
      <c r="A2" s="8" t="s">
        <v>22</v>
      </c>
      <c r="B2" s="8" t="s">
        <v>2379</v>
      </c>
      <c r="C2" s="23" t="s">
        <v>2411</v>
      </c>
      <c r="D2" s="8">
        <v>18</v>
      </c>
    </row>
    <row r="3" spans="1:4" x14ac:dyDescent="0.25">
      <c r="A3" s="8" t="s">
        <v>24</v>
      </c>
      <c r="B3" s="8" t="s">
        <v>2379</v>
      </c>
      <c r="C3" s="23" t="s">
        <v>2353</v>
      </c>
      <c r="D3" s="8">
        <v>1</v>
      </c>
    </row>
    <row r="4" spans="1:4" x14ac:dyDescent="0.25">
      <c r="A4" s="8" t="s">
        <v>26</v>
      </c>
      <c r="B4" s="8" t="s">
        <v>2379</v>
      </c>
      <c r="C4" s="23" t="s">
        <v>2380</v>
      </c>
      <c r="D4" s="8">
        <v>8</v>
      </c>
    </row>
    <row r="5" spans="1:4" x14ac:dyDescent="0.25">
      <c r="A5" s="8" t="s">
        <v>50</v>
      </c>
      <c r="B5" s="8" t="s">
        <v>2379</v>
      </c>
      <c r="C5" s="23" t="s">
        <v>2381</v>
      </c>
      <c r="D5" s="8">
        <v>2</v>
      </c>
    </row>
    <row r="6" spans="1:4" x14ac:dyDescent="0.25">
      <c r="A6" s="8" t="s">
        <v>53</v>
      </c>
      <c r="B6" s="8" t="s">
        <v>2379</v>
      </c>
      <c r="C6" s="23" t="s">
        <v>2353</v>
      </c>
      <c r="D6" s="8">
        <v>1</v>
      </c>
    </row>
    <row r="7" spans="1:4" x14ac:dyDescent="0.25">
      <c r="A7" s="8" t="s">
        <v>62</v>
      </c>
      <c r="B7" s="8" t="s">
        <v>2379</v>
      </c>
      <c r="C7" s="23" t="s">
        <v>2382</v>
      </c>
      <c r="D7" s="8">
        <v>3</v>
      </c>
    </row>
    <row r="8" spans="1:4" x14ac:dyDescent="0.25">
      <c r="A8" s="8" t="s">
        <v>66</v>
      </c>
      <c r="B8" s="8" t="s">
        <v>2379</v>
      </c>
      <c r="C8" s="23" t="s">
        <v>2383</v>
      </c>
      <c r="D8" s="8">
        <v>3</v>
      </c>
    </row>
    <row r="9" spans="1:4" x14ac:dyDescent="0.25">
      <c r="A9" s="8" t="s">
        <v>68</v>
      </c>
      <c r="B9" s="8" t="s">
        <v>2379</v>
      </c>
      <c r="C9" s="23" t="s">
        <v>2353</v>
      </c>
      <c r="D9" s="8">
        <v>1</v>
      </c>
    </row>
    <row r="10" spans="1:4" x14ac:dyDescent="0.25">
      <c r="A10" s="8" t="s">
        <v>74</v>
      </c>
      <c r="B10" s="8" t="s">
        <v>2379</v>
      </c>
      <c r="C10" s="23" t="s">
        <v>2384</v>
      </c>
      <c r="D10" s="8">
        <v>4</v>
      </c>
    </row>
    <row r="11" spans="1:4" x14ac:dyDescent="0.25">
      <c r="A11" s="8" t="s">
        <v>78</v>
      </c>
      <c r="B11" s="8" t="s">
        <v>2379</v>
      </c>
      <c r="C11" s="23" t="s">
        <v>2385</v>
      </c>
      <c r="D11" s="8">
        <v>6</v>
      </c>
    </row>
    <row r="12" spans="1:4" x14ac:dyDescent="0.25">
      <c r="A12" s="8" t="s">
        <v>80</v>
      </c>
      <c r="B12" s="8" t="s">
        <v>2379</v>
      </c>
      <c r="C12" s="23" t="s">
        <v>2386</v>
      </c>
      <c r="D12" s="8">
        <v>4</v>
      </c>
    </row>
    <row r="13" spans="1:4" x14ac:dyDescent="0.25">
      <c r="A13" s="8" t="s">
        <v>85</v>
      </c>
      <c r="B13" s="8" t="s">
        <v>2379</v>
      </c>
      <c r="C13" s="23" t="s">
        <v>2387</v>
      </c>
      <c r="D13" s="8">
        <v>2</v>
      </c>
    </row>
    <row r="14" spans="1:4" x14ac:dyDescent="0.25">
      <c r="A14" s="8" t="s">
        <v>87</v>
      </c>
      <c r="B14" s="8" t="s">
        <v>2379</v>
      </c>
      <c r="C14" s="23" t="s">
        <v>2388</v>
      </c>
      <c r="D14" s="8">
        <v>4</v>
      </c>
    </row>
    <row r="15" spans="1:4" x14ac:dyDescent="0.25">
      <c r="A15" s="8" t="s">
        <v>93</v>
      </c>
      <c r="B15" s="8" t="s">
        <v>2379</v>
      </c>
      <c r="C15" s="23" t="s">
        <v>2389</v>
      </c>
      <c r="D15" s="8">
        <v>5</v>
      </c>
    </row>
    <row r="16" spans="1:4" x14ac:dyDescent="0.25">
      <c r="A16" s="8" t="s">
        <v>95</v>
      </c>
      <c r="B16" s="8" t="s">
        <v>2379</v>
      </c>
      <c r="C16" s="23" t="s">
        <v>2390</v>
      </c>
      <c r="D16" s="8">
        <v>6</v>
      </c>
    </row>
    <row r="17" spans="1:4" x14ac:dyDescent="0.25">
      <c r="A17" s="8" t="s">
        <v>103</v>
      </c>
      <c r="B17" s="8" t="s">
        <v>2379</v>
      </c>
      <c r="C17" s="23" t="s">
        <v>2391</v>
      </c>
      <c r="D17" s="8">
        <v>2</v>
      </c>
    </row>
    <row r="18" spans="1:4" x14ac:dyDescent="0.25">
      <c r="A18" s="8" t="s">
        <v>119</v>
      </c>
      <c r="B18" s="8" t="s">
        <v>2379</v>
      </c>
      <c r="C18" s="23" t="s">
        <v>2392</v>
      </c>
      <c r="D18" s="8">
        <v>3</v>
      </c>
    </row>
    <row r="19" spans="1:4" x14ac:dyDescent="0.25">
      <c r="A19" s="8" t="s">
        <v>125</v>
      </c>
      <c r="B19" s="8" t="s">
        <v>2379</v>
      </c>
      <c r="C19" s="23" t="s">
        <v>2393</v>
      </c>
      <c r="D19" s="8">
        <v>9</v>
      </c>
    </row>
    <row r="20" spans="1:4" x14ac:dyDescent="0.25">
      <c r="A20" s="8" t="s">
        <v>127</v>
      </c>
      <c r="B20" s="8" t="s">
        <v>2379</v>
      </c>
      <c r="C20" s="23" t="s">
        <v>2394</v>
      </c>
      <c r="D20" s="8">
        <v>2</v>
      </c>
    </row>
    <row r="21" spans="1:4" x14ac:dyDescent="0.25">
      <c r="A21" s="8" t="s">
        <v>128</v>
      </c>
      <c r="B21" s="8" t="s">
        <v>2379</v>
      </c>
      <c r="C21" s="23" t="s">
        <v>2395</v>
      </c>
      <c r="D21" s="8">
        <v>3</v>
      </c>
    </row>
    <row r="22" spans="1:4" x14ac:dyDescent="0.25">
      <c r="A22" s="8" t="s">
        <v>131</v>
      </c>
      <c r="B22" s="8" t="s">
        <v>2379</v>
      </c>
      <c r="C22" s="23" t="s">
        <v>2353</v>
      </c>
      <c r="D22" s="8">
        <v>1</v>
      </c>
    </row>
    <row r="23" spans="1:4" x14ac:dyDescent="0.25">
      <c r="A23" s="8" t="s">
        <v>134</v>
      </c>
      <c r="B23" s="8" t="s">
        <v>2379</v>
      </c>
      <c r="C23" s="23" t="s">
        <v>2353</v>
      </c>
      <c r="D23" s="8">
        <v>1</v>
      </c>
    </row>
    <row r="24" spans="1:4" x14ac:dyDescent="0.25">
      <c r="A24" s="8" t="s">
        <v>138</v>
      </c>
      <c r="B24" s="8" t="s">
        <v>2379</v>
      </c>
      <c r="C24" s="23" t="s">
        <v>2396</v>
      </c>
      <c r="D24" s="8">
        <v>4</v>
      </c>
    </row>
    <row r="25" spans="1:4" x14ac:dyDescent="0.25">
      <c r="A25" s="8" t="s">
        <v>140</v>
      </c>
      <c r="B25" s="8" t="s">
        <v>2379</v>
      </c>
      <c r="C25" s="23" t="s">
        <v>2397</v>
      </c>
      <c r="D25" s="8">
        <v>2</v>
      </c>
    </row>
    <row r="26" spans="1:4" x14ac:dyDescent="0.25">
      <c r="A26" s="8" t="s">
        <v>149</v>
      </c>
      <c r="B26" s="8" t="s">
        <v>2379</v>
      </c>
      <c r="C26" s="23" t="s">
        <v>2398</v>
      </c>
      <c r="D26" s="8">
        <v>2</v>
      </c>
    </row>
    <row r="27" spans="1:4" x14ac:dyDescent="0.25">
      <c r="A27" s="8" t="s">
        <v>152</v>
      </c>
      <c r="B27" s="8" t="s">
        <v>2379</v>
      </c>
      <c r="C27" s="23" t="s">
        <v>2399</v>
      </c>
      <c r="D27" s="8">
        <v>2</v>
      </c>
    </row>
    <row r="28" spans="1:4" x14ac:dyDescent="0.25">
      <c r="A28" s="8" t="s">
        <v>153</v>
      </c>
      <c r="B28" s="8" t="s">
        <v>2379</v>
      </c>
      <c r="C28" s="23" t="s">
        <v>2400</v>
      </c>
      <c r="D28" s="8">
        <v>8</v>
      </c>
    </row>
    <row r="29" spans="1:4" ht="30" x14ac:dyDescent="0.25">
      <c r="A29" s="8" t="s">
        <v>158</v>
      </c>
      <c r="B29" s="8" t="s">
        <v>2379</v>
      </c>
      <c r="C29" s="23" t="s">
        <v>2401</v>
      </c>
      <c r="D29" s="8">
        <v>12</v>
      </c>
    </row>
    <row r="30" spans="1:4" x14ac:dyDescent="0.25">
      <c r="A30" s="8" t="s">
        <v>163</v>
      </c>
      <c r="B30" s="8" t="s">
        <v>2379</v>
      </c>
      <c r="C30" s="23" t="s">
        <v>359</v>
      </c>
      <c r="D30" s="8">
        <v>1</v>
      </c>
    </row>
    <row r="31" spans="1:4" x14ac:dyDescent="0.25">
      <c r="A31" s="8" t="s">
        <v>166</v>
      </c>
      <c r="B31" s="8" t="s">
        <v>2379</v>
      </c>
      <c r="C31" s="23" t="s">
        <v>2402</v>
      </c>
      <c r="D31" s="8">
        <v>3</v>
      </c>
    </row>
    <row r="32" spans="1:4" x14ac:dyDescent="0.25">
      <c r="A32" s="8" t="s">
        <v>173</v>
      </c>
      <c r="B32" s="8" t="s">
        <v>2379</v>
      </c>
      <c r="C32" s="23" t="s">
        <v>2403</v>
      </c>
      <c r="D32" s="8">
        <v>5</v>
      </c>
    </row>
    <row r="33" spans="1:4" ht="30" x14ac:dyDescent="0.25">
      <c r="A33" s="8" t="s">
        <v>175</v>
      </c>
      <c r="B33" s="8" t="s">
        <v>2379</v>
      </c>
      <c r="C33" s="23" t="s">
        <v>2404</v>
      </c>
      <c r="D33" s="8">
        <v>9</v>
      </c>
    </row>
    <row r="34" spans="1:4" x14ac:dyDescent="0.25">
      <c r="A34" s="8" t="s">
        <v>183</v>
      </c>
      <c r="B34" s="8" t="s">
        <v>2379</v>
      </c>
      <c r="C34" s="23" t="s">
        <v>2405</v>
      </c>
      <c r="D34" s="8">
        <v>3</v>
      </c>
    </row>
    <row r="35" spans="1:4" x14ac:dyDescent="0.25">
      <c r="A35" s="8" t="s">
        <v>185</v>
      </c>
      <c r="B35" s="8" t="s">
        <v>2379</v>
      </c>
      <c r="C35" s="23" t="s">
        <v>477</v>
      </c>
      <c r="D35" s="8">
        <v>1</v>
      </c>
    </row>
    <row r="36" spans="1:4" x14ac:dyDescent="0.25">
      <c r="A36" s="8" t="s">
        <v>189</v>
      </c>
      <c r="B36" s="8" t="s">
        <v>2379</v>
      </c>
      <c r="C36" s="23" t="s">
        <v>2406</v>
      </c>
      <c r="D36" s="8">
        <v>6</v>
      </c>
    </row>
    <row r="37" spans="1:4" x14ac:dyDescent="0.25">
      <c r="A37" s="8" t="s">
        <v>191</v>
      </c>
      <c r="B37" s="8" t="s">
        <v>2379</v>
      </c>
      <c r="C37" s="23" t="s">
        <v>2407</v>
      </c>
      <c r="D37" s="8">
        <v>2</v>
      </c>
    </row>
    <row r="38" spans="1:4" x14ac:dyDescent="0.25">
      <c r="A38" s="8" t="s">
        <v>197</v>
      </c>
      <c r="B38" s="8" t="s">
        <v>2379</v>
      </c>
      <c r="C38" s="23" t="s">
        <v>2363</v>
      </c>
      <c r="D38" s="8">
        <v>1</v>
      </c>
    </row>
    <row r="39" spans="1:4" x14ac:dyDescent="0.25">
      <c r="A39" s="8" t="s">
        <v>199</v>
      </c>
      <c r="B39" s="8" t="s">
        <v>2379</v>
      </c>
      <c r="C39" s="23" t="s">
        <v>2408</v>
      </c>
      <c r="D39" s="8">
        <v>2</v>
      </c>
    </row>
    <row r="40" spans="1:4" x14ac:dyDescent="0.25">
      <c r="A40" s="8" t="s">
        <v>202</v>
      </c>
      <c r="B40" s="8" t="s">
        <v>2379</v>
      </c>
      <c r="C40" s="23" t="s">
        <v>2409</v>
      </c>
      <c r="D40" s="8">
        <v>5</v>
      </c>
    </row>
    <row r="41" spans="1:4" x14ac:dyDescent="0.25">
      <c r="A41" s="8" t="s">
        <v>294</v>
      </c>
      <c r="B41" s="8" t="s">
        <v>2379</v>
      </c>
      <c r="C41" s="23" t="s">
        <v>2353</v>
      </c>
      <c r="D41" s="8">
        <v>1</v>
      </c>
    </row>
    <row r="42" spans="1:4" x14ac:dyDescent="0.25">
      <c r="A42" s="8" t="s">
        <v>207</v>
      </c>
      <c r="B42" s="8" t="s">
        <v>2379</v>
      </c>
      <c r="C42" s="23" t="s">
        <v>2407</v>
      </c>
      <c r="D42" s="8">
        <v>2</v>
      </c>
    </row>
  </sheetData>
  <conditionalFormatting sqref="A2:A42">
    <cfRule type="duplicateValues" dxfId="10" priority="2"/>
  </conditionalFormatting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4"/>
  <sheetViews>
    <sheetView topLeftCell="A103" workbookViewId="0">
      <selection activeCell="A123" sqref="A123:XFD123"/>
    </sheetView>
  </sheetViews>
  <sheetFormatPr defaultRowHeight="15" x14ac:dyDescent="0.25"/>
  <cols>
    <col min="1" max="1" width="14.42578125" customWidth="1"/>
    <col min="2" max="2" width="24" customWidth="1"/>
    <col min="3" max="3" width="21.85546875" customWidth="1"/>
    <col min="4" max="4" width="19.28515625" customWidth="1"/>
    <col min="5" max="6" width="21.85546875" customWidth="1"/>
    <col min="7" max="10" width="19.28515625" customWidth="1"/>
    <col min="11" max="11" width="21.85546875" customWidth="1"/>
    <col min="12" max="12" width="20.28515625" customWidth="1"/>
    <col min="13" max="14" width="21.85546875" customWidth="1"/>
    <col min="15" max="16" width="19.28515625" customWidth="1"/>
    <col min="17" max="20" width="20.28515625" customWidth="1"/>
    <col min="21" max="21" width="19.140625" customWidth="1"/>
    <col min="22" max="23" width="20.28515625" customWidth="1"/>
    <col min="24" max="25" width="19.140625" customWidth="1"/>
    <col min="26" max="26" width="23" customWidth="1"/>
    <col min="27" max="27" width="22" customWidth="1"/>
    <col min="28" max="30" width="23" customWidth="1"/>
    <col min="31" max="31" width="24" customWidth="1"/>
  </cols>
  <sheetData>
    <row r="1" spans="1:31" x14ac:dyDescent="0.25">
      <c r="A1" s="24" t="s">
        <v>0</v>
      </c>
      <c r="B1" t="s">
        <v>2416</v>
      </c>
      <c r="C1" t="s">
        <v>1859</v>
      </c>
      <c r="D1" t="s">
        <v>729</v>
      </c>
      <c r="E1" t="s">
        <v>1862</v>
      </c>
      <c r="F1" t="s">
        <v>2010</v>
      </c>
      <c r="G1" t="s">
        <v>644</v>
      </c>
      <c r="H1" t="s">
        <v>383</v>
      </c>
      <c r="I1" t="s">
        <v>384</v>
      </c>
      <c r="J1" t="s">
        <v>385</v>
      </c>
      <c r="K1" t="s">
        <v>1863</v>
      </c>
      <c r="L1" t="s">
        <v>2415</v>
      </c>
      <c r="M1" t="s">
        <v>1864</v>
      </c>
      <c r="N1" t="s">
        <v>1865</v>
      </c>
      <c r="O1" t="s">
        <v>647</v>
      </c>
      <c r="P1" t="s">
        <v>386</v>
      </c>
      <c r="Q1" t="s">
        <v>387</v>
      </c>
      <c r="R1" t="s">
        <v>618</v>
      </c>
      <c r="S1" t="s">
        <v>388</v>
      </c>
      <c r="T1" t="s">
        <v>671</v>
      </c>
      <c r="U1" t="s">
        <v>672</v>
      </c>
      <c r="V1" t="s">
        <v>673</v>
      </c>
      <c r="W1" t="s">
        <v>674</v>
      </c>
      <c r="X1" t="s">
        <v>675</v>
      </c>
      <c r="Y1" t="s">
        <v>676</v>
      </c>
      <c r="Z1" t="s">
        <v>1004</v>
      </c>
      <c r="AA1" t="s">
        <v>1005</v>
      </c>
      <c r="AB1" t="s">
        <v>1006</v>
      </c>
      <c r="AC1" t="s">
        <v>1007</v>
      </c>
      <c r="AD1" t="s">
        <v>1008</v>
      </c>
      <c r="AE1" t="s">
        <v>1009</v>
      </c>
    </row>
    <row r="2" spans="1:31" x14ac:dyDescent="0.25">
      <c r="A2" s="26" t="s">
        <v>6</v>
      </c>
    </row>
    <row r="3" spans="1:31" x14ac:dyDescent="0.25">
      <c r="A3" s="28" t="s">
        <v>11</v>
      </c>
    </row>
    <row r="4" spans="1:31" x14ac:dyDescent="0.25">
      <c r="A4" s="26" t="s">
        <v>12</v>
      </c>
    </row>
    <row r="5" spans="1:31" x14ac:dyDescent="0.25">
      <c r="A5" s="28" t="s">
        <v>16</v>
      </c>
    </row>
    <row r="6" spans="1:31" x14ac:dyDescent="0.25">
      <c r="A6" s="26" t="s">
        <v>18</v>
      </c>
    </row>
    <row r="7" spans="1:31" x14ac:dyDescent="0.25">
      <c r="A7" s="28" t="s">
        <v>20</v>
      </c>
    </row>
    <row r="8" spans="1:31" x14ac:dyDescent="0.25">
      <c r="A8" s="26" t="s">
        <v>22</v>
      </c>
      <c r="S8">
        <v>8.74</v>
      </c>
      <c r="T8">
        <v>5.89</v>
      </c>
      <c r="U8">
        <v>4.67</v>
      </c>
      <c r="V8">
        <v>5.54</v>
      </c>
      <c r="W8">
        <v>6.33</v>
      </c>
      <c r="X8">
        <v>6.55</v>
      </c>
      <c r="Y8">
        <v>7.66</v>
      </c>
    </row>
    <row r="9" spans="1:31" x14ac:dyDescent="0.25">
      <c r="A9" s="28" t="s">
        <v>24</v>
      </c>
    </row>
    <row r="10" spans="1:31" x14ac:dyDescent="0.25">
      <c r="A10" s="26" t="s">
        <v>26</v>
      </c>
    </row>
    <row r="11" spans="1:31" x14ac:dyDescent="0.25">
      <c r="A11" s="28" t="s">
        <v>28</v>
      </c>
    </row>
    <row r="12" spans="1:31" x14ac:dyDescent="0.25">
      <c r="A12" s="26" t="s">
        <v>30</v>
      </c>
    </row>
    <row r="13" spans="1:31" x14ac:dyDescent="0.25">
      <c r="A13" s="28" t="s">
        <v>32</v>
      </c>
      <c r="B13">
        <v>3300</v>
      </c>
    </row>
    <row r="14" spans="1:31" x14ac:dyDescent="0.25">
      <c r="A14" s="26" t="s">
        <v>34</v>
      </c>
    </row>
    <row r="15" spans="1:31" x14ac:dyDescent="0.25">
      <c r="A15" s="28" t="s">
        <v>36</v>
      </c>
    </row>
    <row r="16" spans="1:31" x14ac:dyDescent="0.25">
      <c r="A16" s="26" t="s">
        <v>37</v>
      </c>
      <c r="B16">
        <v>2.9</v>
      </c>
    </row>
    <row r="17" spans="1:3" x14ac:dyDescent="0.25">
      <c r="A17" s="28" t="s">
        <v>40</v>
      </c>
    </row>
    <row r="18" spans="1:3" x14ac:dyDescent="0.25">
      <c r="A18" s="26" t="s">
        <v>42</v>
      </c>
    </row>
    <row r="19" spans="1:3" x14ac:dyDescent="0.25">
      <c r="A19" s="28" t="s">
        <v>43</v>
      </c>
    </row>
    <row r="20" spans="1:3" x14ac:dyDescent="0.25">
      <c r="A20" s="26" t="s">
        <v>44</v>
      </c>
    </row>
    <row r="21" spans="1:3" x14ac:dyDescent="0.25">
      <c r="A21" s="28" t="s">
        <v>46</v>
      </c>
    </row>
    <row r="22" spans="1:3" x14ac:dyDescent="0.25">
      <c r="A22" s="26" t="s">
        <v>48</v>
      </c>
    </row>
    <row r="23" spans="1:3" x14ac:dyDescent="0.25">
      <c r="A23" s="28" t="s">
        <v>50</v>
      </c>
    </row>
    <row r="24" spans="1:3" x14ac:dyDescent="0.25">
      <c r="A24" s="26" t="s">
        <v>52</v>
      </c>
    </row>
    <row r="25" spans="1:3" x14ac:dyDescent="0.25">
      <c r="A25" s="28" t="s">
        <v>53</v>
      </c>
    </row>
    <row r="26" spans="1:3" x14ac:dyDescent="0.25">
      <c r="A26" s="26" t="s">
        <v>55</v>
      </c>
    </row>
    <row r="27" spans="1:3" x14ac:dyDescent="0.25">
      <c r="A27" s="28" t="s">
        <v>57</v>
      </c>
    </row>
    <row r="28" spans="1:3" x14ac:dyDescent="0.25">
      <c r="A28" s="26" t="s">
        <v>59</v>
      </c>
    </row>
    <row r="29" spans="1:3" x14ac:dyDescent="0.25">
      <c r="A29" s="28" t="s">
        <v>60</v>
      </c>
      <c r="B29">
        <v>5100</v>
      </c>
    </row>
    <row r="30" spans="1:3" x14ac:dyDescent="0.25">
      <c r="A30" s="26" t="s">
        <v>62</v>
      </c>
      <c r="B30" t="s">
        <v>1861</v>
      </c>
      <c r="C30" t="s">
        <v>1860</v>
      </c>
    </row>
    <row r="31" spans="1:3" x14ac:dyDescent="0.25">
      <c r="A31" s="28" t="s">
        <v>64</v>
      </c>
    </row>
    <row r="32" spans="1:3" x14ac:dyDescent="0.25">
      <c r="A32" s="26" t="s">
        <v>65</v>
      </c>
    </row>
    <row r="33" spans="1:18" x14ac:dyDescent="0.25">
      <c r="A33" s="28" t="s">
        <v>66</v>
      </c>
      <c r="R33" t="s">
        <v>602</v>
      </c>
    </row>
    <row r="34" spans="1:18" x14ac:dyDescent="0.25">
      <c r="A34" s="26" t="s">
        <v>68</v>
      </c>
    </row>
    <row r="35" spans="1:18" x14ac:dyDescent="0.25">
      <c r="A35" s="28" t="s">
        <v>69</v>
      </c>
    </row>
    <row r="36" spans="1:18" x14ac:dyDescent="0.25">
      <c r="A36" s="26" t="s">
        <v>71</v>
      </c>
    </row>
    <row r="37" spans="1:18" x14ac:dyDescent="0.25">
      <c r="A37" s="28" t="s">
        <v>73</v>
      </c>
    </row>
    <row r="38" spans="1:18" x14ac:dyDescent="0.25">
      <c r="A38" s="26" t="s">
        <v>74</v>
      </c>
      <c r="D38">
        <v>4020</v>
      </c>
      <c r="G38">
        <v>4200</v>
      </c>
      <c r="O38">
        <v>4380</v>
      </c>
    </row>
    <row r="39" spans="1:18" x14ac:dyDescent="0.25">
      <c r="A39" s="28" t="s">
        <v>76</v>
      </c>
    </row>
    <row r="40" spans="1:18" x14ac:dyDescent="0.25">
      <c r="A40" s="26" t="s">
        <v>78</v>
      </c>
    </row>
    <row r="41" spans="1:18" x14ac:dyDescent="0.25">
      <c r="A41" s="28" t="s">
        <v>80</v>
      </c>
    </row>
    <row r="42" spans="1:18" x14ac:dyDescent="0.25">
      <c r="A42" s="26" t="s">
        <v>82</v>
      </c>
    </row>
    <row r="43" spans="1:18" x14ac:dyDescent="0.25">
      <c r="A43" s="28" t="s">
        <v>84</v>
      </c>
    </row>
    <row r="44" spans="1:18" x14ac:dyDescent="0.25">
      <c r="A44" s="26" t="s">
        <v>85</v>
      </c>
    </row>
    <row r="45" spans="1:18" x14ac:dyDescent="0.25">
      <c r="A45" s="28" t="s">
        <v>87</v>
      </c>
    </row>
    <row r="46" spans="1:18" x14ac:dyDescent="0.25">
      <c r="A46" s="26" t="s">
        <v>89</v>
      </c>
    </row>
    <row r="47" spans="1:18" x14ac:dyDescent="0.25">
      <c r="A47" s="28" t="s">
        <v>91</v>
      </c>
    </row>
    <row r="48" spans="1:18" x14ac:dyDescent="0.25">
      <c r="A48" s="26" t="s">
        <v>92</v>
      </c>
    </row>
    <row r="49" spans="1:1" x14ac:dyDescent="0.25">
      <c r="A49" s="28" t="s">
        <v>93</v>
      </c>
    </row>
    <row r="50" spans="1:1" x14ac:dyDescent="0.25">
      <c r="A50" s="26" t="s">
        <v>95</v>
      </c>
    </row>
    <row r="51" spans="1:1" x14ac:dyDescent="0.25">
      <c r="A51" s="28" t="s">
        <v>97</v>
      </c>
    </row>
    <row r="52" spans="1:1" x14ac:dyDescent="0.25">
      <c r="A52" s="26" t="s">
        <v>99</v>
      </c>
    </row>
    <row r="53" spans="1:1" x14ac:dyDescent="0.25">
      <c r="A53" s="28" t="s">
        <v>100</v>
      </c>
    </row>
    <row r="54" spans="1:1" x14ac:dyDescent="0.25">
      <c r="A54" s="26" t="s">
        <v>101</v>
      </c>
    </row>
    <row r="55" spans="1:1" x14ac:dyDescent="0.25">
      <c r="A55" s="28" t="s">
        <v>102</v>
      </c>
    </row>
    <row r="56" spans="1:1" x14ac:dyDescent="0.25">
      <c r="A56" s="26" t="s">
        <v>103</v>
      </c>
    </row>
    <row r="57" spans="1:1" x14ac:dyDescent="0.25">
      <c r="A57" s="28" t="s">
        <v>105</v>
      </c>
    </row>
    <row r="58" spans="1:1" x14ac:dyDescent="0.25">
      <c r="A58" s="26" t="s">
        <v>106</v>
      </c>
    </row>
    <row r="59" spans="1:1" x14ac:dyDescent="0.25">
      <c r="A59" s="28" t="s">
        <v>107</v>
      </c>
    </row>
    <row r="60" spans="1:1" x14ac:dyDescent="0.25">
      <c r="A60" s="26" t="s">
        <v>108</v>
      </c>
    </row>
    <row r="61" spans="1:1" x14ac:dyDescent="0.25">
      <c r="A61" s="28" t="s">
        <v>109</v>
      </c>
    </row>
    <row r="62" spans="1:1" x14ac:dyDescent="0.25">
      <c r="A62" s="26" t="s">
        <v>110</v>
      </c>
    </row>
    <row r="63" spans="1:1" x14ac:dyDescent="0.25">
      <c r="A63" s="28" t="s">
        <v>111</v>
      </c>
    </row>
    <row r="64" spans="1:1" x14ac:dyDescent="0.25">
      <c r="A64" s="26" t="s">
        <v>112</v>
      </c>
    </row>
    <row r="65" spans="1:1" x14ac:dyDescent="0.25">
      <c r="A65" s="28" t="s">
        <v>113</v>
      </c>
    </row>
    <row r="66" spans="1:1" x14ac:dyDescent="0.25">
      <c r="A66" s="26" t="s">
        <v>115</v>
      </c>
    </row>
    <row r="67" spans="1:1" x14ac:dyDescent="0.25">
      <c r="A67" s="28" t="s">
        <v>116</v>
      </c>
    </row>
    <row r="68" spans="1:1" x14ac:dyDescent="0.25">
      <c r="A68" s="26" t="s">
        <v>117</v>
      </c>
    </row>
    <row r="69" spans="1:1" x14ac:dyDescent="0.25">
      <c r="A69" s="28" t="s">
        <v>119</v>
      </c>
    </row>
    <row r="70" spans="1:1" x14ac:dyDescent="0.25">
      <c r="A70" s="26" t="s">
        <v>120</v>
      </c>
    </row>
    <row r="71" spans="1:1" x14ac:dyDescent="0.25">
      <c r="A71" s="28" t="s">
        <v>122</v>
      </c>
    </row>
    <row r="72" spans="1:1" x14ac:dyDescent="0.25">
      <c r="A72" s="26" t="s">
        <v>123</v>
      </c>
    </row>
    <row r="73" spans="1:1" x14ac:dyDescent="0.25">
      <c r="A73" s="28" t="s">
        <v>125</v>
      </c>
    </row>
    <row r="74" spans="1:1" x14ac:dyDescent="0.25">
      <c r="A74" s="26" t="s">
        <v>126</v>
      </c>
    </row>
    <row r="75" spans="1:1" x14ac:dyDescent="0.25">
      <c r="A75" s="28" t="s">
        <v>127</v>
      </c>
    </row>
    <row r="76" spans="1:1" x14ac:dyDescent="0.25">
      <c r="A76" s="26" t="s">
        <v>128</v>
      </c>
    </row>
    <row r="77" spans="1:1" x14ac:dyDescent="0.25">
      <c r="A77" s="28" t="s">
        <v>131</v>
      </c>
    </row>
    <row r="78" spans="1:1" x14ac:dyDescent="0.25">
      <c r="A78" s="26" t="s">
        <v>133</v>
      </c>
    </row>
    <row r="79" spans="1:1" x14ac:dyDescent="0.25">
      <c r="A79" s="28" t="s">
        <v>134</v>
      </c>
    </row>
    <row r="80" spans="1:1" x14ac:dyDescent="0.25">
      <c r="A80" s="26" t="s">
        <v>136</v>
      </c>
    </row>
    <row r="81" spans="1:3" x14ac:dyDescent="0.25">
      <c r="A81" s="28" t="s">
        <v>138</v>
      </c>
    </row>
    <row r="82" spans="1:3" x14ac:dyDescent="0.25">
      <c r="A82" s="26" t="s">
        <v>140</v>
      </c>
    </row>
    <row r="83" spans="1:3" x14ac:dyDescent="0.25">
      <c r="A83" s="28" t="s">
        <v>142</v>
      </c>
    </row>
    <row r="84" spans="1:3" x14ac:dyDescent="0.25">
      <c r="A84" s="26" t="s">
        <v>143</v>
      </c>
    </row>
    <row r="85" spans="1:3" x14ac:dyDescent="0.25">
      <c r="A85" s="28" t="s">
        <v>144</v>
      </c>
    </row>
    <row r="86" spans="1:3" x14ac:dyDescent="0.25">
      <c r="A86" s="26" t="s">
        <v>145</v>
      </c>
    </row>
    <row r="87" spans="1:3" x14ac:dyDescent="0.25">
      <c r="A87" s="28" t="s">
        <v>146</v>
      </c>
    </row>
    <row r="88" spans="1:3" x14ac:dyDescent="0.25">
      <c r="A88" s="26" t="s">
        <v>147</v>
      </c>
    </row>
    <row r="89" spans="1:3" x14ac:dyDescent="0.25">
      <c r="A89" s="28" t="s">
        <v>148</v>
      </c>
    </row>
    <row r="90" spans="1:3" x14ac:dyDescent="0.25">
      <c r="A90" s="26" t="s">
        <v>149</v>
      </c>
    </row>
    <row r="91" spans="1:3" x14ac:dyDescent="0.25">
      <c r="A91" s="28" t="s">
        <v>150</v>
      </c>
    </row>
    <row r="92" spans="1:3" x14ac:dyDescent="0.25">
      <c r="A92" s="26" t="s">
        <v>151</v>
      </c>
    </row>
    <row r="93" spans="1:3" x14ac:dyDescent="0.25">
      <c r="A93" s="28"/>
    </row>
    <row r="94" spans="1:3" x14ac:dyDescent="0.25">
      <c r="A94" s="26" t="s">
        <v>321</v>
      </c>
    </row>
    <row r="95" spans="1:3" x14ac:dyDescent="0.25">
      <c r="A95" s="28" t="s">
        <v>152</v>
      </c>
      <c r="B95">
        <v>4059</v>
      </c>
      <c r="C95">
        <v>4098</v>
      </c>
    </row>
    <row r="96" spans="1:3" x14ac:dyDescent="0.25">
      <c r="A96" s="26" t="s">
        <v>153</v>
      </c>
    </row>
    <row r="97" spans="1:31" x14ac:dyDescent="0.25">
      <c r="A97" s="28" t="s">
        <v>155</v>
      </c>
    </row>
    <row r="98" spans="1:31" x14ac:dyDescent="0.25">
      <c r="A98" s="26" t="s">
        <v>157</v>
      </c>
    </row>
    <row r="99" spans="1:31" x14ac:dyDescent="0.25">
      <c r="A99" s="28" t="s">
        <v>158</v>
      </c>
      <c r="B99">
        <v>4338</v>
      </c>
      <c r="D99">
        <v>5310</v>
      </c>
      <c r="E99">
        <v>4307</v>
      </c>
      <c r="F99">
        <v>5466</v>
      </c>
      <c r="G99">
        <v>5899</v>
      </c>
      <c r="I99">
        <v>6377</v>
      </c>
      <c r="K99">
        <v>6119</v>
      </c>
      <c r="L99">
        <v>6016</v>
      </c>
      <c r="M99">
        <v>5958</v>
      </c>
      <c r="N99">
        <v>6145</v>
      </c>
    </row>
    <row r="100" spans="1:31" x14ac:dyDescent="0.25">
      <c r="A100" s="26" t="s">
        <v>160</v>
      </c>
    </row>
    <row r="101" spans="1:31" x14ac:dyDescent="0.25">
      <c r="A101" s="28" t="s">
        <v>162</v>
      </c>
    </row>
    <row r="102" spans="1:31" x14ac:dyDescent="0.25">
      <c r="A102" s="26" t="s">
        <v>163</v>
      </c>
      <c r="D102">
        <v>3470</v>
      </c>
    </row>
    <row r="103" spans="1:31" x14ac:dyDescent="0.25">
      <c r="A103" s="28" t="s">
        <v>164</v>
      </c>
    </row>
    <row r="104" spans="1:31" x14ac:dyDescent="0.25">
      <c r="A104" s="26" t="s">
        <v>165</v>
      </c>
    </row>
    <row r="105" spans="1:31" x14ac:dyDescent="0.25">
      <c r="A105" s="28" t="s">
        <v>166</v>
      </c>
    </row>
    <row r="106" spans="1:31" x14ac:dyDescent="0.25">
      <c r="A106" s="26" t="s">
        <v>167</v>
      </c>
    </row>
    <row r="107" spans="1:31" x14ac:dyDescent="0.25">
      <c r="A107" s="28" t="s">
        <v>169</v>
      </c>
    </row>
    <row r="108" spans="1:31" x14ac:dyDescent="0.25">
      <c r="A108" s="26" t="s">
        <v>170</v>
      </c>
    </row>
    <row r="109" spans="1:31" x14ac:dyDescent="0.25">
      <c r="A109" s="28" t="s">
        <v>172</v>
      </c>
    </row>
    <row r="110" spans="1:31" x14ac:dyDescent="0.25">
      <c r="A110" s="26" t="s">
        <v>173</v>
      </c>
      <c r="B110">
        <v>5741</v>
      </c>
      <c r="C110">
        <v>5153</v>
      </c>
      <c r="D110">
        <v>4925</v>
      </c>
      <c r="E110">
        <v>4682</v>
      </c>
      <c r="G110">
        <v>4014</v>
      </c>
      <c r="H110">
        <v>5770</v>
      </c>
      <c r="L110">
        <v>8244</v>
      </c>
    </row>
    <row r="111" spans="1:31" x14ac:dyDescent="0.25">
      <c r="A111" s="28" t="s">
        <v>175</v>
      </c>
      <c r="Z111">
        <v>2346</v>
      </c>
      <c r="AA111">
        <v>5884</v>
      </c>
      <c r="AB111">
        <v>6400</v>
      </c>
      <c r="AC111">
        <v>6918</v>
      </c>
      <c r="AD111">
        <v>6963</v>
      </c>
      <c r="AE111">
        <v>6572</v>
      </c>
    </row>
    <row r="112" spans="1:31" x14ac:dyDescent="0.25">
      <c r="A112" s="26" t="s">
        <v>176</v>
      </c>
    </row>
    <row r="113" spans="1:15" x14ac:dyDescent="0.25">
      <c r="A113" s="28" t="s">
        <v>177</v>
      </c>
    </row>
    <row r="114" spans="1:15" x14ac:dyDescent="0.25">
      <c r="A114" s="26" t="s">
        <v>178</v>
      </c>
    </row>
    <row r="115" spans="1:15" x14ac:dyDescent="0.25">
      <c r="A115" s="28" t="s">
        <v>179</v>
      </c>
    </row>
    <row r="116" spans="1:15" x14ac:dyDescent="0.25">
      <c r="A116" s="26" t="s">
        <v>182</v>
      </c>
    </row>
    <row r="117" spans="1:15" x14ac:dyDescent="0.25">
      <c r="A117" s="28" t="s">
        <v>183</v>
      </c>
      <c r="O117" t="s">
        <v>1021</v>
      </c>
    </row>
    <row r="118" spans="1:15" x14ac:dyDescent="0.25">
      <c r="A118" s="26" t="s">
        <v>185</v>
      </c>
    </row>
    <row r="119" spans="1:15" x14ac:dyDescent="0.25">
      <c r="A119" s="28" t="s">
        <v>187</v>
      </c>
    </row>
    <row r="120" spans="1:15" x14ac:dyDescent="0.25">
      <c r="A120" s="26" t="s">
        <v>189</v>
      </c>
      <c r="G120">
        <v>2082</v>
      </c>
    </row>
    <row r="121" spans="1:15" x14ac:dyDescent="0.25">
      <c r="A121" s="28" t="s">
        <v>191</v>
      </c>
      <c r="B121">
        <v>2600</v>
      </c>
      <c r="G121">
        <v>590</v>
      </c>
    </row>
    <row r="122" spans="1:15" x14ac:dyDescent="0.25">
      <c r="A122" s="26" t="s">
        <v>192</v>
      </c>
    </row>
    <row r="123" spans="1:15" x14ac:dyDescent="0.25">
      <c r="A123" s="28" t="s">
        <v>194</v>
      </c>
    </row>
    <row r="124" spans="1:15" x14ac:dyDescent="0.25">
      <c r="A124" s="26" t="s">
        <v>196</v>
      </c>
    </row>
    <row r="125" spans="1:15" x14ac:dyDescent="0.25">
      <c r="A125" s="28" t="s">
        <v>197</v>
      </c>
    </row>
    <row r="126" spans="1:15" x14ac:dyDescent="0.25">
      <c r="A126" s="26" t="s">
        <v>199</v>
      </c>
    </row>
    <row r="127" spans="1:15" x14ac:dyDescent="0.25">
      <c r="A127" s="28" t="s">
        <v>200</v>
      </c>
    </row>
    <row r="128" spans="1:15" x14ac:dyDescent="0.25">
      <c r="A128" s="26" t="s">
        <v>201</v>
      </c>
    </row>
    <row r="129" spans="1:1" x14ac:dyDescent="0.25">
      <c r="A129" s="28" t="s">
        <v>202</v>
      </c>
    </row>
    <row r="130" spans="1:1" x14ac:dyDescent="0.25">
      <c r="A130" s="26" t="s">
        <v>294</v>
      </c>
    </row>
    <row r="131" spans="1:1" x14ac:dyDescent="0.25">
      <c r="A131" s="28" t="s">
        <v>207</v>
      </c>
    </row>
    <row r="132" spans="1:1" x14ac:dyDescent="0.25">
      <c r="A132" s="26" t="s">
        <v>208</v>
      </c>
    </row>
    <row r="133" spans="1:1" x14ac:dyDescent="0.25">
      <c r="A133" s="28" t="s">
        <v>1589</v>
      </c>
    </row>
    <row r="134" spans="1:1" x14ac:dyDescent="0.25">
      <c r="A134" s="26" t="s">
        <v>209</v>
      </c>
    </row>
    <row r="135" spans="1:1" x14ac:dyDescent="0.25">
      <c r="A135" s="28" t="s">
        <v>211</v>
      </c>
    </row>
    <row r="136" spans="1:1" x14ac:dyDescent="0.25">
      <c r="A136" s="26" t="s">
        <v>212</v>
      </c>
    </row>
    <row r="137" spans="1:1" x14ac:dyDescent="0.25">
      <c r="A137" s="28" t="s">
        <v>214</v>
      </c>
    </row>
    <row r="138" spans="1:1" x14ac:dyDescent="0.25">
      <c r="A138" s="26" t="s">
        <v>216</v>
      </c>
    </row>
    <row r="139" spans="1:1" x14ac:dyDescent="0.25">
      <c r="A139" s="28" t="s">
        <v>218</v>
      </c>
    </row>
    <row r="140" spans="1:1" x14ac:dyDescent="0.25">
      <c r="A140" s="26" t="s">
        <v>220</v>
      </c>
    </row>
    <row r="141" spans="1:1" x14ac:dyDescent="0.25">
      <c r="A141" s="28" t="s">
        <v>222</v>
      </c>
    </row>
    <row r="142" spans="1:1" x14ac:dyDescent="0.25">
      <c r="A142" s="26" t="s">
        <v>224</v>
      </c>
    </row>
    <row r="143" spans="1:1" x14ac:dyDescent="0.25">
      <c r="A143" s="28" t="s">
        <v>225</v>
      </c>
    </row>
    <row r="144" spans="1:1" x14ac:dyDescent="0.25">
      <c r="A144" s="26" t="s">
        <v>227</v>
      </c>
    </row>
    <row r="145" spans="1:1" x14ac:dyDescent="0.25">
      <c r="A145" s="28" t="s">
        <v>229</v>
      </c>
    </row>
    <row r="146" spans="1:1" x14ac:dyDescent="0.25">
      <c r="A146" s="26" t="s">
        <v>231</v>
      </c>
    </row>
    <row r="147" spans="1:1" x14ac:dyDescent="0.25">
      <c r="A147" s="28" t="s">
        <v>232</v>
      </c>
    </row>
    <row r="148" spans="1:1" x14ac:dyDescent="0.25">
      <c r="A148" s="26" t="s">
        <v>234</v>
      </c>
    </row>
    <row r="149" spans="1:1" x14ac:dyDescent="0.25">
      <c r="A149" s="28" t="s">
        <v>236</v>
      </c>
    </row>
    <row r="150" spans="1:1" x14ac:dyDescent="0.25">
      <c r="A150" s="26" t="s">
        <v>1322</v>
      </c>
    </row>
    <row r="151" spans="1:1" x14ac:dyDescent="0.25">
      <c r="A151" s="28" t="s">
        <v>1323</v>
      </c>
    </row>
    <row r="152" spans="1:1" x14ac:dyDescent="0.25">
      <c r="A152" s="26" t="s">
        <v>1324</v>
      </c>
    </row>
    <row r="153" spans="1:1" x14ac:dyDescent="0.25">
      <c r="A153" s="28" t="s">
        <v>1325</v>
      </c>
    </row>
    <row r="154" spans="1:1" x14ac:dyDescent="0.25">
      <c r="A154" s="26" t="s">
        <v>1326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16"/>
  <sheetViews>
    <sheetView workbookViewId="0">
      <selection activeCell="C23" sqref="C23"/>
    </sheetView>
  </sheetViews>
  <sheetFormatPr defaultRowHeight="15" x14ac:dyDescent="0.25"/>
  <cols>
    <col min="1" max="1" width="18.140625" bestFit="1" customWidth="1"/>
    <col min="2" max="2" width="5.42578125" bestFit="1" customWidth="1"/>
    <col min="3" max="3" width="129.7109375" customWidth="1"/>
    <col min="4" max="4" width="30.42578125" bestFit="1" customWidth="1"/>
  </cols>
  <sheetData>
    <row r="1" spans="1:4" x14ac:dyDescent="0.25">
      <c r="A1" s="8" t="s">
        <v>0</v>
      </c>
      <c r="B1" s="8" t="s">
        <v>2417</v>
      </c>
      <c r="C1" s="8" t="s">
        <v>2081</v>
      </c>
      <c r="D1" s="8" t="s">
        <v>2118</v>
      </c>
    </row>
    <row r="2" spans="1:4" ht="30" x14ac:dyDescent="0.25">
      <c r="A2" s="8" t="s">
        <v>158</v>
      </c>
      <c r="B2" s="8" t="s">
        <v>2417</v>
      </c>
      <c r="C2" s="23" t="s">
        <v>2424</v>
      </c>
      <c r="D2" s="8">
        <v>10</v>
      </c>
    </row>
    <row r="3" spans="1:4" x14ac:dyDescent="0.25">
      <c r="A3" s="8" t="s">
        <v>22</v>
      </c>
      <c r="B3" s="8" t="s">
        <v>2417</v>
      </c>
      <c r="C3" s="8" t="s">
        <v>2418</v>
      </c>
      <c r="D3" s="8">
        <v>7</v>
      </c>
    </row>
    <row r="4" spans="1:4" x14ac:dyDescent="0.25">
      <c r="A4" s="8" t="s">
        <v>173</v>
      </c>
      <c r="B4" s="8" t="s">
        <v>2417</v>
      </c>
      <c r="C4" s="8" t="s">
        <v>2421</v>
      </c>
      <c r="D4" s="8">
        <v>7</v>
      </c>
    </row>
    <row r="5" spans="1:4" x14ac:dyDescent="0.25">
      <c r="A5" s="8" t="s">
        <v>175</v>
      </c>
      <c r="B5" s="8" t="s">
        <v>2417</v>
      </c>
      <c r="C5" s="8" t="s">
        <v>2422</v>
      </c>
      <c r="D5" s="8">
        <v>6</v>
      </c>
    </row>
    <row r="6" spans="1:4" x14ac:dyDescent="0.25">
      <c r="A6" s="8" t="s">
        <v>74</v>
      </c>
      <c r="B6" s="8" t="s">
        <v>2417</v>
      </c>
      <c r="C6" s="8" t="s">
        <v>2420</v>
      </c>
      <c r="D6" s="8">
        <v>3</v>
      </c>
    </row>
    <row r="7" spans="1:4" x14ac:dyDescent="0.25">
      <c r="A7" s="8" t="s">
        <v>62</v>
      </c>
      <c r="B7" s="8" t="s">
        <v>2417</v>
      </c>
      <c r="C7" s="8" t="s">
        <v>2419</v>
      </c>
      <c r="D7" s="8">
        <v>2</v>
      </c>
    </row>
    <row r="8" spans="1:4" x14ac:dyDescent="0.25">
      <c r="A8" s="8" t="s">
        <v>152</v>
      </c>
      <c r="B8" s="8" t="s">
        <v>2417</v>
      </c>
      <c r="C8" s="8" t="s">
        <v>2419</v>
      </c>
      <c r="D8" s="8">
        <v>2</v>
      </c>
    </row>
    <row r="9" spans="1:4" x14ac:dyDescent="0.25">
      <c r="A9" s="8" t="s">
        <v>191</v>
      </c>
      <c r="B9" s="8" t="s">
        <v>2417</v>
      </c>
      <c r="C9" s="8" t="s">
        <v>2423</v>
      </c>
      <c r="D9" s="8">
        <v>2</v>
      </c>
    </row>
    <row r="10" spans="1:4" x14ac:dyDescent="0.25">
      <c r="A10" s="8" t="s">
        <v>32</v>
      </c>
      <c r="B10" s="8" t="s">
        <v>2417</v>
      </c>
      <c r="C10" s="8" t="s">
        <v>2416</v>
      </c>
      <c r="D10" s="8">
        <v>1</v>
      </c>
    </row>
    <row r="11" spans="1:4" x14ac:dyDescent="0.25">
      <c r="A11" s="8" t="s">
        <v>37</v>
      </c>
      <c r="B11" s="8" t="s">
        <v>2417</v>
      </c>
      <c r="C11" s="8" t="s">
        <v>2416</v>
      </c>
      <c r="D11" s="8">
        <v>1</v>
      </c>
    </row>
    <row r="12" spans="1:4" x14ac:dyDescent="0.25">
      <c r="A12" s="8" t="s">
        <v>60</v>
      </c>
      <c r="B12" s="8" t="s">
        <v>2417</v>
      </c>
      <c r="C12" s="8" t="s">
        <v>2416</v>
      </c>
      <c r="D12" s="8">
        <v>1</v>
      </c>
    </row>
    <row r="13" spans="1:4" x14ac:dyDescent="0.25">
      <c r="A13" s="8" t="s">
        <v>66</v>
      </c>
      <c r="B13" s="8" t="s">
        <v>2417</v>
      </c>
      <c r="C13" s="8" t="s">
        <v>618</v>
      </c>
      <c r="D13" s="8">
        <v>1</v>
      </c>
    </row>
    <row r="14" spans="1:4" x14ac:dyDescent="0.25">
      <c r="A14" s="8" t="s">
        <v>163</v>
      </c>
      <c r="B14" s="8" t="s">
        <v>2417</v>
      </c>
      <c r="C14" s="8" t="s">
        <v>729</v>
      </c>
      <c r="D14" s="8">
        <v>1</v>
      </c>
    </row>
    <row r="15" spans="1:4" x14ac:dyDescent="0.25">
      <c r="A15" s="8" t="s">
        <v>183</v>
      </c>
      <c r="B15" s="8" t="s">
        <v>2417</v>
      </c>
      <c r="C15" s="8" t="s">
        <v>647</v>
      </c>
      <c r="D15" s="8">
        <v>1</v>
      </c>
    </row>
    <row r="16" spans="1:4" x14ac:dyDescent="0.25">
      <c r="A16" s="8" t="s">
        <v>189</v>
      </c>
      <c r="B16" s="8" t="s">
        <v>2417</v>
      </c>
      <c r="C16" s="8" t="s">
        <v>644</v>
      </c>
      <c r="D16" s="8">
        <v>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3"/>
  <sheetViews>
    <sheetView workbookViewId="0">
      <selection activeCell="G3" sqref="G3"/>
    </sheetView>
  </sheetViews>
  <sheetFormatPr defaultRowHeight="15" x14ac:dyDescent="0.25"/>
  <sheetData>
    <row r="1" spans="1:1" x14ac:dyDescent="0.25">
      <c r="A1" s="25" t="s">
        <v>6</v>
      </c>
    </row>
    <row r="2" spans="1:1" x14ac:dyDescent="0.25">
      <c r="A2" s="27" t="s">
        <v>11</v>
      </c>
    </row>
    <row r="3" spans="1:1" x14ac:dyDescent="0.25">
      <c r="A3" s="25" t="s">
        <v>12</v>
      </c>
    </row>
    <row r="4" spans="1:1" x14ac:dyDescent="0.25">
      <c r="A4" s="27" t="s">
        <v>16</v>
      </c>
    </row>
    <row r="5" spans="1:1" x14ac:dyDescent="0.25">
      <c r="A5" s="25" t="s">
        <v>18</v>
      </c>
    </row>
    <row r="6" spans="1:1" x14ac:dyDescent="0.25">
      <c r="A6" s="27" t="s">
        <v>20</v>
      </c>
    </row>
    <row r="7" spans="1:1" x14ac:dyDescent="0.25">
      <c r="A7" s="25" t="s">
        <v>22</v>
      </c>
    </row>
    <row r="8" spans="1:1" x14ac:dyDescent="0.25">
      <c r="A8" s="27" t="s">
        <v>24</v>
      </c>
    </row>
    <row r="9" spans="1:1" x14ac:dyDescent="0.25">
      <c r="A9" s="25" t="s">
        <v>26</v>
      </c>
    </row>
    <row r="10" spans="1:1" x14ac:dyDescent="0.25">
      <c r="A10" s="27" t="s">
        <v>28</v>
      </c>
    </row>
    <row r="11" spans="1:1" x14ac:dyDescent="0.25">
      <c r="A11" s="25" t="s">
        <v>30</v>
      </c>
    </row>
    <row r="12" spans="1:1" x14ac:dyDescent="0.25">
      <c r="A12" s="27" t="s">
        <v>32</v>
      </c>
    </row>
    <row r="13" spans="1:1" x14ac:dyDescent="0.25">
      <c r="A13" s="25" t="s">
        <v>34</v>
      </c>
    </row>
    <row r="14" spans="1:1" x14ac:dyDescent="0.25">
      <c r="A14" s="27" t="s">
        <v>36</v>
      </c>
    </row>
    <row r="15" spans="1:1" x14ac:dyDescent="0.25">
      <c r="A15" s="25" t="s">
        <v>37</v>
      </c>
    </row>
    <row r="16" spans="1:1" x14ac:dyDescent="0.25">
      <c r="A16" s="27" t="s">
        <v>40</v>
      </c>
    </row>
    <row r="17" spans="1:1" x14ac:dyDescent="0.25">
      <c r="A17" s="25" t="s">
        <v>42</v>
      </c>
    </row>
    <row r="18" spans="1:1" x14ac:dyDescent="0.25">
      <c r="A18" s="27" t="s">
        <v>43</v>
      </c>
    </row>
    <row r="19" spans="1:1" x14ac:dyDescent="0.25">
      <c r="A19" s="25" t="s">
        <v>44</v>
      </c>
    </row>
    <row r="20" spans="1:1" x14ac:dyDescent="0.25">
      <c r="A20" s="27" t="s">
        <v>46</v>
      </c>
    </row>
    <row r="21" spans="1:1" x14ac:dyDescent="0.25">
      <c r="A21" s="25" t="s">
        <v>48</v>
      </c>
    </row>
    <row r="22" spans="1:1" x14ac:dyDescent="0.25">
      <c r="A22" s="27" t="s">
        <v>50</v>
      </c>
    </row>
    <row r="23" spans="1:1" x14ac:dyDescent="0.25">
      <c r="A23" s="25" t="s">
        <v>52</v>
      </c>
    </row>
    <row r="24" spans="1:1" x14ac:dyDescent="0.25">
      <c r="A24" s="27" t="s">
        <v>53</v>
      </c>
    </row>
    <row r="25" spans="1:1" x14ac:dyDescent="0.25">
      <c r="A25" s="25" t="s">
        <v>55</v>
      </c>
    </row>
    <row r="26" spans="1:1" x14ac:dyDescent="0.25">
      <c r="A26" s="27" t="s">
        <v>57</v>
      </c>
    </row>
    <row r="27" spans="1:1" x14ac:dyDescent="0.25">
      <c r="A27" s="25" t="s">
        <v>59</v>
      </c>
    </row>
    <row r="28" spans="1:1" x14ac:dyDescent="0.25">
      <c r="A28" s="27" t="s">
        <v>60</v>
      </c>
    </row>
    <row r="29" spans="1:1" x14ac:dyDescent="0.25">
      <c r="A29" s="25" t="s">
        <v>62</v>
      </c>
    </row>
    <row r="30" spans="1:1" x14ac:dyDescent="0.25">
      <c r="A30" s="27" t="s">
        <v>64</v>
      </c>
    </row>
    <row r="31" spans="1:1" x14ac:dyDescent="0.25">
      <c r="A31" s="25" t="s">
        <v>65</v>
      </c>
    </row>
    <row r="32" spans="1:1" x14ac:dyDescent="0.25">
      <c r="A32" s="27" t="s">
        <v>66</v>
      </c>
    </row>
    <row r="33" spans="1:1" x14ac:dyDescent="0.25">
      <c r="A33" s="25" t="s">
        <v>68</v>
      </c>
    </row>
    <row r="34" spans="1:1" x14ac:dyDescent="0.25">
      <c r="A34" s="27" t="s">
        <v>69</v>
      </c>
    </row>
    <row r="35" spans="1:1" x14ac:dyDescent="0.25">
      <c r="A35" s="25" t="s">
        <v>71</v>
      </c>
    </row>
    <row r="36" spans="1:1" x14ac:dyDescent="0.25">
      <c r="A36" s="27" t="s">
        <v>73</v>
      </c>
    </row>
    <row r="37" spans="1:1" x14ac:dyDescent="0.25">
      <c r="A37" s="25" t="s">
        <v>74</v>
      </c>
    </row>
    <row r="38" spans="1:1" x14ac:dyDescent="0.25">
      <c r="A38" s="27" t="s">
        <v>76</v>
      </c>
    </row>
    <row r="39" spans="1:1" x14ac:dyDescent="0.25">
      <c r="A39" s="25" t="s">
        <v>78</v>
      </c>
    </row>
    <row r="40" spans="1:1" x14ac:dyDescent="0.25">
      <c r="A40" s="27" t="s">
        <v>80</v>
      </c>
    </row>
    <row r="41" spans="1:1" x14ac:dyDescent="0.25">
      <c r="A41" s="25" t="s">
        <v>82</v>
      </c>
    </row>
    <row r="42" spans="1:1" x14ac:dyDescent="0.25">
      <c r="A42" s="27" t="s">
        <v>84</v>
      </c>
    </row>
    <row r="43" spans="1:1" x14ac:dyDescent="0.25">
      <c r="A43" s="25" t="s">
        <v>85</v>
      </c>
    </row>
    <row r="44" spans="1:1" x14ac:dyDescent="0.25">
      <c r="A44" s="27" t="s">
        <v>87</v>
      </c>
    </row>
    <row r="45" spans="1:1" x14ac:dyDescent="0.25">
      <c r="A45" s="25" t="s">
        <v>89</v>
      </c>
    </row>
    <row r="46" spans="1:1" x14ac:dyDescent="0.25">
      <c r="A46" s="27" t="s">
        <v>91</v>
      </c>
    </row>
    <row r="47" spans="1:1" x14ac:dyDescent="0.25">
      <c r="A47" s="25" t="s">
        <v>92</v>
      </c>
    </row>
    <row r="48" spans="1:1" x14ac:dyDescent="0.25">
      <c r="A48" s="27" t="s">
        <v>93</v>
      </c>
    </row>
    <row r="49" spans="1:1" x14ac:dyDescent="0.25">
      <c r="A49" s="25" t="s">
        <v>95</v>
      </c>
    </row>
    <row r="50" spans="1:1" x14ac:dyDescent="0.25">
      <c r="A50" s="27" t="s">
        <v>97</v>
      </c>
    </row>
    <row r="51" spans="1:1" x14ac:dyDescent="0.25">
      <c r="A51" s="25" t="s">
        <v>99</v>
      </c>
    </row>
    <row r="52" spans="1:1" x14ac:dyDescent="0.25">
      <c r="A52" s="27" t="s">
        <v>100</v>
      </c>
    </row>
    <row r="53" spans="1:1" x14ac:dyDescent="0.25">
      <c r="A53" s="25" t="s">
        <v>101</v>
      </c>
    </row>
    <row r="54" spans="1:1" x14ac:dyDescent="0.25">
      <c r="A54" s="27" t="s">
        <v>102</v>
      </c>
    </row>
    <row r="55" spans="1:1" x14ac:dyDescent="0.25">
      <c r="A55" s="25" t="s">
        <v>103</v>
      </c>
    </row>
    <row r="56" spans="1:1" x14ac:dyDescent="0.25">
      <c r="A56" s="27" t="s">
        <v>105</v>
      </c>
    </row>
    <row r="57" spans="1:1" x14ac:dyDescent="0.25">
      <c r="A57" s="25" t="s">
        <v>106</v>
      </c>
    </row>
    <row r="58" spans="1:1" x14ac:dyDescent="0.25">
      <c r="A58" s="27" t="s">
        <v>107</v>
      </c>
    </row>
    <row r="59" spans="1:1" x14ac:dyDescent="0.25">
      <c r="A59" s="25" t="s">
        <v>108</v>
      </c>
    </row>
    <row r="60" spans="1:1" x14ac:dyDescent="0.25">
      <c r="A60" s="27" t="s">
        <v>109</v>
      </c>
    </row>
    <row r="61" spans="1:1" x14ac:dyDescent="0.25">
      <c r="A61" s="25" t="s">
        <v>110</v>
      </c>
    </row>
    <row r="62" spans="1:1" x14ac:dyDescent="0.25">
      <c r="A62" s="27" t="s">
        <v>111</v>
      </c>
    </row>
    <row r="63" spans="1:1" x14ac:dyDescent="0.25">
      <c r="A63" s="25" t="s">
        <v>112</v>
      </c>
    </row>
    <row r="64" spans="1:1" x14ac:dyDescent="0.25">
      <c r="A64" s="27" t="s">
        <v>113</v>
      </c>
    </row>
    <row r="65" spans="1:1" x14ac:dyDescent="0.25">
      <c r="A65" s="25" t="s">
        <v>115</v>
      </c>
    </row>
    <row r="66" spans="1:1" x14ac:dyDescent="0.25">
      <c r="A66" s="27" t="s">
        <v>116</v>
      </c>
    </row>
    <row r="67" spans="1:1" x14ac:dyDescent="0.25">
      <c r="A67" s="25" t="s">
        <v>117</v>
      </c>
    </row>
    <row r="68" spans="1:1" x14ac:dyDescent="0.25">
      <c r="A68" s="27" t="s">
        <v>119</v>
      </c>
    </row>
    <row r="69" spans="1:1" x14ac:dyDescent="0.25">
      <c r="A69" s="25" t="s">
        <v>120</v>
      </c>
    </row>
    <row r="70" spans="1:1" x14ac:dyDescent="0.25">
      <c r="A70" s="27" t="s">
        <v>122</v>
      </c>
    </row>
    <row r="71" spans="1:1" x14ac:dyDescent="0.25">
      <c r="A71" s="25" t="s">
        <v>123</v>
      </c>
    </row>
    <row r="72" spans="1:1" x14ac:dyDescent="0.25">
      <c r="A72" s="27" t="s">
        <v>125</v>
      </c>
    </row>
    <row r="73" spans="1:1" x14ac:dyDescent="0.25">
      <c r="A73" s="25" t="s">
        <v>126</v>
      </c>
    </row>
    <row r="74" spans="1:1" x14ac:dyDescent="0.25">
      <c r="A74" s="27" t="s">
        <v>127</v>
      </c>
    </row>
    <row r="75" spans="1:1" x14ac:dyDescent="0.25">
      <c r="A75" s="25" t="s">
        <v>128</v>
      </c>
    </row>
    <row r="76" spans="1:1" x14ac:dyDescent="0.25">
      <c r="A76" s="27" t="s">
        <v>131</v>
      </c>
    </row>
    <row r="77" spans="1:1" x14ac:dyDescent="0.25">
      <c r="A77" s="25" t="s">
        <v>133</v>
      </c>
    </row>
    <row r="78" spans="1:1" x14ac:dyDescent="0.25">
      <c r="A78" s="27" t="s">
        <v>134</v>
      </c>
    </row>
    <row r="79" spans="1:1" x14ac:dyDescent="0.25">
      <c r="A79" s="25" t="s">
        <v>136</v>
      </c>
    </row>
    <row r="80" spans="1:1" x14ac:dyDescent="0.25">
      <c r="A80" s="27" t="s">
        <v>138</v>
      </c>
    </row>
    <row r="81" spans="1:1" x14ac:dyDescent="0.25">
      <c r="A81" s="25" t="s">
        <v>140</v>
      </c>
    </row>
    <row r="82" spans="1:1" x14ac:dyDescent="0.25">
      <c r="A82" s="27" t="s">
        <v>142</v>
      </c>
    </row>
    <row r="83" spans="1:1" x14ac:dyDescent="0.25">
      <c r="A83" s="25" t="s">
        <v>143</v>
      </c>
    </row>
    <row r="84" spans="1:1" x14ac:dyDescent="0.25">
      <c r="A84" s="27" t="s">
        <v>144</v>
      </c>
    </row>
    <row r="85" spans="1:1" x14ac:dyDescent="0.25">
      <c r="A85" s="25" t="s">
        <v>145</v>
      </c>
    </row>
    <row r="86" spans="1:1" x14ac:dyDescent="0.25">
      <c r="A86" s="27" t="s">
        <v>146</v>
      </c>
    </row>
    <row r="87" spans="1:1" x14ac:dyDescent="0.25">
      <c r="A87" s="25" t="s">
        <v>147</v>
      </c>
    </row>
    <row r="88" spans="1:1" x14ac:dyDescent="0.25">
      <c r="A88" s="27" t="s">
        <v>148</v>
      </c>
    </row>
    <row r="89" spans="1:1" x14ac:dyDescent="0.25">
      <c r="A89" s="25" t="s">
        <v>149</v>
      </c>
    </row>
    <row r="90" spans="1:1" x14ac:dyDescent="0.25">
      <c r="A90" s="27" t="s">
        <v>150</v>
      </c>
    </row>
    <row r="91" spans="1:1" x14ac:dyDescent="0.25">
      <c r="A91" s="25" t="s">
        <v>151</v>
      </c>
    </row>
    <row r="92" spans="1:1" x14ac:dyDescent="0.25">
      <c r="A92" s="27"/>
    </row>
    <row r="93" spans="1:1" x14ac:dyDescent="0.25">
      <c r="A93" s="25" t="s">
        <v>321</v>
      </c>
    </row>
    <row r="94" spans="1:1" x14ac:dyDescent="0.25">
      <c r="A94" s="27" t="s">
        <v>152</v>
      </c>
    </row>
    <row r="95" spans="1:1" x14ac:dyDescent="0.25">
      <c r="A95" s="25" t="s">
        <v>153</v>
      </c>
    </row>
    <row r="96" spans="1:1" x14ac:dyDescent="0.25">
      <c r="A96" s="27" t="s">
        <v>155</v>
      </c>
    </row>
    <row r="97" spans="1:1" x14ac:dyDescent="0.25">
      <c r="A97" s="25" t="s">
        <v>157</v>
      </c>
    </row>
    <row r="98" spans="1:1" x14ac:dyDescent="0.25">
      <c r="A98" s="27" t="s">
        <v>158</v>
      </c>
    </row>
    <row r="99" spans="1:1" x14ac:dyDescent="0.25">
      <c r="A99" s="25" t="s">
        <v>160</v>
      </c>
    </row>
    <row r="100" spans="1:1" x14ac:dyDescent="0.25">
      <c r="A100" s="27" t="s">
        <v>162</v>
      </c>
    </row>
    <row r="101" spans="1:1" x14ac:dyDescent="0.25">
      <c r="A101" s="25" t="s">
        <v>163</v>
      </c>
    </row>
    <row r="102" spans="1:1" x14ac:dyDescent="0.25">
      <c r="A102" s="27" t="s">
        <v>164</v>
      </c>
    </row>
    <row r="103" spans="1:1" x14ac:dyDescent="0.25">
      <c r="A103" s="25" t="s">
        <v>165</v>
      </c>
    </row>
    <row r="104" spans="1:1" x14ac:dyDescent="0.25">
      <c r="A104" s="27" t="s">
        <v>166</v>
      </c>
    </row>
    <row r="105" spans="1:1" x14ac:dyDescent="0.25">
      <c r="A105" s="25" t="s">
        <v>167</v>
      </c>
    </row>
    <row r="106" spans="1:1" x14ac:dyDescent="0.25">
      <c r="A106" s="27" t="s">
        <v>169</v>
      </c>
    </row>
    <row r="107" spans="1:1" x14ac:dyDescent="0.25">
      <c r="A107" s="25" t="s">
        <v>170</v>
      </c>
    </row>
    <row r="108" spans="1:1" x14ac:dyDescent="0.25">
      <c r="A108" s="27" t="s">
        <v>172</v>
      </c>
    </row>
    <row r="109" spans="1:1" x14ac:dyDescent="0.25">
      <c r="A109" s="25" t="s">
        <v>173</v>
      </c>
    </row>
    <row r="110" spans="1:1" x14ac:dyDescent="0.25">
      <c r="A110" s="27" t="s">
        <v>175</v>
      </c>
    </row>
    <row r="111" spans="1:1" x14ac:dyDescent="0.25">
      <c r="A111" s="25" t="s">
        <v>176</v>
      </c>
    </row>
    <row r="112" spans="1:1" x14ac:dyDescent="0.25">
      <c r="A112" s="27" t="s">
        <v>177</v>
      </c>
    </row>
    <row r="113" spans="1:1" x14ac:dyDescent="0.25">
      <c r="A113" s="25" t="s">
        <v>178</v>
      </c>
    </row>
    <row r="114" spans="1:1" x14ac:dyDescent="0.25">
      <c r="A114" s="27" t="s">
        <v>179</v>
      </c>
    </row>
    <row r="115" spans="1:1" x14ac:dyDescent="0.25">
      <c r="A115" s="25" t="s">
        <v>182</v>
      </c>
    </row>
    <row r="116" spans="1:1" x14ac:dyDescent="0.25">
      <c r="A116" s="27" t="s">
        <v>183</v>
      </c>
    </row>
    <row r="117" spans="1:1" x14ac:dyDescent="0.25">
      <c r="A117" s="25" t="s">
        <v>185</v>
      </c>
    </row>
    <row r="118" spans="1:1" x14ac:dyDescent="0.25">
      <c r="A118" s="27" t="s">
        <v>187</v>
      </c>
    </row>
    <row r="119" spans="1:1" x14ac:dyDescent="0.25">
      <c r="A119" s="25" t="s">
        <v>189</v>
      </c>
    </row>
    <row r="120" spans="1:1" x14ac:dyDescent="0.25">
      <c r="A120" s="27" t="s">
        <v>191</v>
      </c>
    </row>
    <row r="121" spans="1:1" x14ac:dyDescent="0.25">
      <c r="A121" s="25" t="s">
        <v>192</v>
      </c>
    </row>
    <row r="122" spans="1:1" x14ac:dyDescent="0.25">
      <c r="A122" s="27" t="s">
        <v>194</v>
      </c>
    </row>
    <row r="123" spans="1:1" x14ac:dyDescent="0.25">
      <c r="A123" s="25" t="s">
        <v>196</v>
      </c>
    </row>
    <row r="124" spans="1:1" x14ac:dyDescent="0.25">
      <c r="A124" s="27" t="s">
        <v>197</v>
      </c>
    </row>
    <row r="125" spans="1:1" x14ac:dyDescent="0.25">
      <c r="A125" s="25" t="s">
        <v>199</v>
      </c>
    </row>
    <row r="126" spans="1:1" x14ac:dyDescent="0.25">
      <c r="A126" s="27" t="s">
        <v>200</v>
      </c>
    </row>
    <row r="127" spans="1:1" x14ac:dyDescent="0.25">
      <c r="A127" s="25" t="s">
        <v>201</v>
      </c>
    </row>
    <row r="128" spans="1:1" x14ac:dyDescent="0.25">
      <c r="A128" s="27" t="s">
        <v>202</v>
      </c>
    </row>
    <row r="129" spans="1:1" x14ac:dyDescent="0.25">
      <c r="A129" s="25" t="s">
        <v>294</v>
      </c>
    </row>
    <row r="130" spans="1:1" x14ac:dyDescent="0.25">
      <c r="A130" s="27" t="s">
        <v>207</v>
      </c>
    </row>
    <row r="131" spans="1:1" x14ac:dyDescent="0.25">
      <c r="A131" s="25" t="s">
        <v>208</v>
      </c>
    </row>
    <row r="132" spans="1:1" x14ac:dyDescent="0.25">
      <c r="A132" s="27" t="s">
        <v>1589</v>
      </c>
    </row>
    <row r="133" spans="1:1" x14ac:dyDescent="0.25">
      <c r="A133" s="25" t="s">
        <v>209</v>
      </c>
    </row>
    <row r="134" spans="1:1" x14ac:dyDescent="0.25">
      <c r="A134" s="27" t="s">
        <v>211</v>
      </c>
    </row>
    <row r="135" spans="1:1" x14ac:dyDescent="0.25">
      <c r="A135" s="25" t="s">
        <v>212</v>
      </c>
    </row>
    <row r="136" spans="1:1" x14ac:dyDescent="0.25">
      <c r="A136" s="27" t="s">
        <v>214</v>
      </c>
    </row>
    <row r="137" spans="1:1" x14ac:dyDescent="0.25">
      <c r="A137" s="25" t="s">
        <v>216</v>
      </c>
    </row>
    <row r="138" spans="1:1" x14ac:dyDescent="0.25">
      <c r="A138" s="27" t="s">
        <v>218</v>
      </c>
    </row>
    <row r="139" spans="1:1" x14ac:dyDescent="0.25">
      <c r="A139" s="25" t="s">
        <v>220</v>
      </c>
    </row>
    <row r="140" spans="1:1" x14ac:dyDescent="0.25">
      <c r="A140" s="27" t="s">
        <v>222</v>
      </c>
    </row>
    <row r="141" spans="1:1" x14ac:dyDescent="0.25">
      <c r="A141" s="25" t="s">
        <v>224</v>
      </c>
    </row>
    <row r="142" spans="1:1" x14ac:dyDescent="0.25">
      <c r="A142" s="27" t="s">
        <v>225</v>
      </c>
    </row>
    <row r="143" spans="1:1" x14ac:dyDescent="0.25">
      <c r="A143" s="25" t="s">
        <v>227</v>
      </c>
    </row>
    <row r="144" spans="1:1" x14ac:dyDescent="0.25">
      <c r="A144" s="27" t="s">
        <v>229</v>
      </c>
    </row>
    <row r="145" spans="1:1" x14ac:dyDescent="0.25">
      <c r="A145" s="25" t="s">
        <v>231</v>
      </c>
    </row>
    <row r="146" spans="1:1" x14ac:dyDescent="0.25">
      <c r="A146" s="27" t="s">
        <v>232</v>
      </c>
    </row>
    <row r="147" spans="1:1" x14ac:dyDescent="0.25">
      <c r="A147" s="25" t="s">
        <v>234</v>
      </c>
    </row>
    <row r="148" spans="1:1" x14ac:dyDescent="0.25">
      <c r="A148" s="27" t="s">
        <v>236</v>
      </c>
    </row>
    <row r="149" spans="1:1" x14ac:dyDescent="0.25">
      <c r="A149" s="25" t="s">
        <v>1322</v>
      </c>
    </row>
    <row r="150" spans="1:1" x14ac:dyDescent="0.25">
      <c r="A150" s="27" t="s">
        <v>1323</v>
      </c>
    </row>
    <row r="151" spans="1:1" x14ac:dyDescent="0.25">
      <c r="A151" s="25" t="s">
        <v>1324</v>
      </c>
    </row>
    <row r="152" spans="1:1" x14ac:dyDescent="0.25">
      <c r="A152" s="27" t="s">
        <v>1325</v>
      </c>
    </row>
    <row r="153" spans="1:1" x14ac:dyDescent="0.25">
      <c r="A153" s="25" t="s">
        <v>1326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3C6817-AD22-4E74-BE7B-3960C2ABC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Raw Data</vt:lpstr>
      <vt:lpstr>Creatin Kinase</vt:lpstr>
      <vt:lpstr>Creatin Kinase Table</vt:lpstr>
      <vt:lpstr>Quick</vt:lpstr>
      <vt:lpstr>Quick Table</vt:lpstr>
      <vt:lpstr>PTT</vt:lpstr>
      <vt:lpstr>PTT Table</vt:lpstr>
      <vt:lpstr>Fibrinogen</vt:lpstr>
      <vt:lpstr>Fibrinogen Table</vt:lpstr>
      <vt:lpstr>AT</vt:lpstr>
      <vt:lpstr>AT Table</vt:lpstr>
      <vt:lpstr>Leukozyten</vt:lpstr>
      <vt:lpstr>Leukozyten Table</vt:lpstr>
      <vt:lpstr>GOT</vt:lpstr>
      <vt:lpstr>GOT Table</vt:lpstr>
      <vt:lpstr>GPT</vt:lpstr>
      <vt:lpstr>GPT Table</vt:lpstr>
      <vt:lpstr>GGT</vt:lpstr>
      <vt:lpstr>GGT Table</vt:lpstr>
      <vt:lpstr>LDH</vt:lpstr>
      <vt:lpstr>LDH Table</vt:lpstr>
      <vt:lpstr>Bilirubin</vt:lpstr>
      <vt:lpstr>Bilirubin Table</vt:lpstr>
      <vt:lpstr>GLDH</vt:lpstr>
      <vt:lpstr>GLDH Table</vt:lpstr>
      <vt:lpstr>AP</vt:lpstr>
      <vt:lpstr>AP Table</vt:lpstr>
      <vt:lpstr>Cholin Estrase</vt:lpstr>
      <vt:lpstr>Choline Estrase Table</vt:lpstr>
      <vt:lpstr>Sheet17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Schoppmeier, Frauke     sk</dc:creator>
  <cp:lastModifiedBy>Kumar, Arun</cp:lastModifiedBy>
  <cp:lastPrinted>2015-08-29T15:02:36Z</cp:lastPrinted>
  <dcterms:created xsi:type="dcterms:W3CDTF">2015-07-20T10:30:13Z</dcterms:created>
  <dcterms:modified xsi:type="dcterms:W3CDTF">2023-04-17T18:06:12Z</dcterms:modified>
</cp:coreProperties>
</file>