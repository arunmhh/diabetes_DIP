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72249BE8-5917-4EF9-AE8F-D759E180764B}" xr6:coauthVersionLast="47" xr6:coauthVersionMax="47" xr10:uidLastSave="{00000000-0000-0000-0000-000000000000}"/>
  <bookViews>
    <workbookView xWindow="-120" yWindow="-120" windowWidth="29040" windowHeight="15840" tabRatio="388" xr2:uid="{00000000-000D-0000-FFFF-FFFF00000000}"/>
  </bookViews>
  <sheets>
    <sheet name="Arbeitsmaterial Literaturfälle" sheetId="4" r:id="rId1"/>
    <sheet name="Berechnung akkumulative Dosis" sheetId="9" r:id="rId2"/>
    <sheet name="Fälle mit Duplikaten" sheetId="7" r:id="rId3"/>
    <sheet name="Diagnosen (Haut- &amp; Leberfälle)" sheetId="8" r:id="rId4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309" i="9" l="1"/>
  <c r="AH310" i="9"/>
  <c r="AH311" i="9"/>
  <c r="AH312" i="9"/>
  <c r="AH313" i="9"/>
  <c r="AH314" i="9"/>
  <c r="AH315" i="9"/>
  <c r="AH316" i="9"/>
  <c r="AH317" i="9"/>
  <c r="AH318" i="9"/>
  <c r="AH319" i="9"/>
  <c r="AH320" i="9"/>
  <c r="AH321" i="9"/>
  <c r="AH322" i="9"/>
  <c r="AH323" i="9"/>
  <c r="AH324" i="9"/>
  <c r="AH325" i="9"/>
  <c r="AH326" i="9"/>
  <c r="AH327" i="9"/>
  <c r="AH328" i="9"/>
  <c r="AH329" i="9"/>
  <c r="AH330" i="9"/>
  <c r="AH331" i="9"/>
  <c r="AH332" i="9"/>
  <c r="AH333" i="9"/>
  <c r="AH334" i="9"/>
  <c r="AH335" i="9"/>
  <c r="AH336" i="9"/>
  <c r="AH337" i="9"/>
  <c r="AH338" i="9"/>
  <c r="AH339" i="9"/>
  <c r="AH340" i="9"/>
  <c r="AH341" i="9"/>
  <c r="AH342" i="9"/>
  <c r="AH343" i="9"/>
  <c r="AH344" i="9"/>
  <c r="AH345" i="9"/>
  <c r="AH346" i="9"/>
  <c r="AH347" i="9"/>
  <c r="AH348" i="9"/>
  <c r="AH349" i="9"/>
  <c r="AH350" i="9"/>
  <c r="AH351" i="9"/>
  <c r="AH352" i="9"/>
  <c r="AH353" i="9"/>
  <c r="AH354" i="9"/>
  <c r="AH355" i="9"/>
  <c r="AH356" i="9"/>
  <c r="AH357" i="9"/>
  <c r="AH358" i="9"/>
  <c r="AH359" i="9"/>
  <c r="AH360" i="9"/>
  <c r="AH361" i="9"/>
  <c r="AH362" i="9"/>
  <c r="AH363" i="9"/>
  <c r="AH364" i="9"/>
  <c r="AH365" i="9"/>
  <c r="AG309" i="9"/>
  <c r="AG310" i="9"/>
  <c r="AG311" i="9"/>
  <c r="AG312" i="9"/>
  <c r="AG313" i="9"/>
  <c r="AG314" i="9"/>
  <c r="AG315" i="9"/>
  <c r="AG316" i="9"/>
  <c r="AG317" i="9"/>
  <c r="AG318" i="9"/>
  <c r="AG319" i="9"/>
  <c r="AG320" i="9"/>
  <c r="AG321" i="9"/>
  <c r="AG322" i="9"/>
  <c r="AG323" i="9"/>
  <c r="AG324" i="9"/>
  <c r="AG325" i="9"/>
  <c r="AG326" i="9"/>
  <c r="AG327" i="9"/>
  <c r="AG328" i="9"/>
  <c r="AG329" i="9"/>
  <c r="AG330" i="9"/>
  <c r="AG331" i="9"/>
  <c r="AG332" i="9"/>
  <c r="AG333" i="9"/>
  <c r="AG334" i="9"/>
  <c r="AG335" i="9"/>
  <c r="AG336" i="9"/>
  <c r="AG337" i="9"/>
  <c r="AG338" i="9"/>
  <c r="AG339" i="9"/>
  <c r="AG340" i="9"/>
  <c r="AG341" i="9"/>
  <c r="AG342" i="9"/>
  <c r="AG343" i="9"/>
  <c r="AG344" i="9"/>
  <c r="AG345" i="9"/>
  <c r="AG346" i="9"/>
  <c r="AG347" i="9"/>
  <c r="AG348" i="9"/>
  <c r="AG349" i="9"/>
  <c r="AG350" i="9"/>
  <c r="AG351" i="9"/>
  <c r="AG352" i="9"/>
  <c r="AG353" i="9"/>
  <c r="AG354" i="9"/>
  <c r="AG355" i="9"/>
  <c r="AG356" i="9"/>
  <c r="AG357" i="9"/>
  <c r="AG358" i="9"/>
  <c r="AG359" i="9"/>
  <c r="AG360" i="9"/>
  <c r="AG361" i="9"/>
  <c r="AG362" i="9"/>
  <c r="AG363" i="9"/>
  <c r="AG364" i="9"/>
  <c r="AG365" i="9"/>
  <c r="AG366" i="9"/>
  <c r="AG367" i="9"/>
  <c r="AG368" i="9"/>
  <c r="AG369" i="9"/>
  <c r="AG370" i="9"/>
  <c r="AG371" i="9"/>
  <c r="AG372" i="9"/>
  <c r="AG373" i="9"/>
  <c r="AG374" i="9"/>
  <c r="AG375" i="9"/>
  <c r="AG376" i="9"/>
  <c r="AG377" i="9"/>
  <c r="AG378" i="9"/>
  <c r="AG379" i="9"/>
  <c r="AG380" i="9"/>
  <c r="AG381" i="9"/>
  <c r="AG382" i="9"/>
  <c r="AG383" i="9"/>
  <c r="AG384" i="9"/>
  <c r="AG385" i="9"/>
  <c r="AG386" i="9"/>
  <c r="AG387" i="9"/>
  <c r="AG388" i="9"/>
  <c r="AG389" i="9"/>
  <c r="AG390" i="9"/>
  <c r="AG391" i="9"/>
  <c r="AG392" i="9"/>
  <c r="AG393" i="9"/>
  <c r="AG394" i="9"/>
  <c r="AG395" i="9"/>
  <c r="AG396" i="9"/>
  <c r="AG397" i="9"/>
  <c r="AG398" i="9"/>
  <c r="AG399" i="9"/>
  <c r="AG400" i="9"/>
  <c r="AG401" i="9"/>
  <c r="AG402" i="9"/>
  <c r="AG403" i="9"/>
  <c r="AG404" i="9"/>
  <c r="AG405" i="9"/>
  <c r="AG406" i="9"/>
  <c r="AG407" i="9"/>
  <c r="AG408" i="9"/>
  <c r="AG409" i="9"/>
  <c r="AG410" i="9"/>
  <c r="AG411" i="9"/>
  <c r="AG412" i="9"/>
  <c r="AG413" i="9"/>
  <c r="AG414" i="9"/>
  <c r="AG415" i="9"/>
  <c r="AG416" i="9"/>
  <c r="AG417" i="9"/>
  <c r="AG418" i="9"/>
  <c r="AG419" i="9"/>
  <c r="AG420" i="9"/>
  <c r="AG421" i="9"/>
  <c r="AG422" i="9"/>
  <c r="AG423" i="9"/>
  <c r="AG424" i="9"/>
  <c r="AG425" i="9"/>
  <c r="AG426" i="9"/>
  <c r="AG427" i="9"/>
  <c r="AG428" i="9"/>
  <c r="AG429" i="9"/>
  <c r="AG430" i="9"/>
  <c r="AG431" i="9"/>
  <c r="AG432" i="9"/>
  <c r="AG433" i="9"/>
  <c r="AG434" i="9"/>
  <c r="AG435" i="9"/>
  <c r="AG436" i="9"/>
  <c r="AG437" i="9"/>
  <c r="AG438" i="9"/>
  <c r="AG439" i="9"/>
  <c r="AG440" i="9"/>
  <c r="AG441" i="9"/>
  <c r="AG442" i="9"/>
  <c r="AG443" i="9"/>
  <c r="AG444" i="9"/>
  <c r="AG445" i="9"/>
  <c r="AG446" i="9"/>
  <c r="AG447" i="9"/>
  <c r="AG448" i="9"/>
  <c r="AG449" i="9"/>
  <c r="AG450" i="9"/>
  <c r="AG451" i="9"/>
  <c r="AG452" i="9"/>
  <c r="AG453" i="9"/>
  <c r="AG454" i="9"/>
  <c r="AG455" i="9"/>
  <c r="AG456" i="9"/>
  <c r="AG457" i="9"/>
  <c r="AG458" i="9"/>
  <c r="AG459" i="9"/>
  <c r="AG460" i="9"/>
  <c r="AG461" i="9"/>
  <c r="AG462" i="9"/>
  <c r="AG463" i="9"/>
  <c r="AG464" i="9"/>
  <c r="AG465" i="9"/>
  <c r="AG466" i="9"/>
  <c r="AG467" i="9"/>
  <c r="AG468" i="9"/>
  <c r="AG469" i="9"/>
  <c r="AG470" i="9"/>
  <c r="AG471" i="9"/>
  <c r="AG472" i="9"/>
  <c r="AG473" i="9"/>
  <c r="AG474" i="9"/>
  <c r="AG475" i="9"/>
  <c r="AG476" i="9"/>
  <c r="AG477" i="9"/>
  <c r="AG478" i="9"/>
  <c r="AG479" i="9"/>
  <c r="AG480" i="9"/>
  <c r="AG481" i="9"/>
  <c r="AG482" i="9"/>
  <c r="AG483" i="9"/>
  <c r="AG484" i="9"/>
  <c r="AG485" i="9"/>
  <c r="AG486" i="9"/>
  <c r="AG487" i="9"/>
  <c r="AG488" i="9"/>
  <c r="AG489" i="9"/>
  <c r="AG490" i="9"/>
  <c r="AG491" i="9"/>
  <c r="AG492" i="9"/>
  <c r="AG493" i="9"/>
  <c r="AG494" i="9"/>
  <c r="AG495" i="9"/>
  <c r="AG496" i="9"/>
  <c r="AG497" i="9"/>
  <c r="AG498" i="9"/>
  <c r="AG499" i="9"/>
  <c r="AG500" i="9"/>
  <c r="AG501" i="9"/>
  <c r="AG502" i="9"/>
  <c r="AG503" i="9"/>
  <c r="AG504" i="9"/>
  <c r="AG505" i="9"/>
  <c r="AG506" i="9"/>
  <c r="AG507" i="9"/>
  <c r="AG508" i="9"/>
  <c r="AG509" i="9"/>
  <c r="AG510" i="9"/>
  <c r="AG511" i="9"/>
  <c r="AG512" i="9"/>
  <c r="AG308" i="9"/>
  <c r="AH308" i="9" s="1"/>
  <c r="AH296" i="9"/>
  <c r="AH297" i="9"/>
  <c r="AH298" i="9"/>
  <c r="AH299" i="9"/>
  <c r="AH300" i="9"/>
  <c r="AH301" i="9"/>
  <c r="AH302" i="9"/>
  <c r="AH303" i="9"/>
  <c r="AH304" i="9"/>
  <c r="AH305" i="9"/>
  <c r="AH306" i="9"/>
  <c r="AH307" i="9"/>
  <c r="AG296" i="9"/>
  <c r="AG297" i="9"/>
  <c r="AG298" i="9"/>
  <c r="AG299" i="9"/>
  <c r="AG300" i="9"/>
  <c r="AG301" i="9"/>
  <c r="AG302" i="9"/>
  <c r="AG303" i="9"/>
  <c r="AG304" i="9"/>
  <c r="AG305" i="9"/>
  <c r="AG306" i="9"/>
  <c r="AG307" i="9"/>
  <c r="AG295" i="9"/>
  <c r="AH295" i="9" s="1"/>
  <c r="AG294" i="9"/>
  <c r="AH294" i="9" s="1"/>
  <c r="AG293" i="9"/>
  <c r="AH293" i="9" s="1"/>
  <c r="AG292" i="9"/>
  <c r="AH292" i="9" s="1"/>
  <c r="AG291" i="9"/>
  <c r="AG290" i="9"/>
  <c r="AH290" i="9" s="1"/>
  <c r="AG289" i="9"/>
  <c r="AH289" i="9" s="1"/>
  <c r="AG288" i="9"/>
  <c r="AH288" i="9" s="1"/>
  <c r="AG287" i="9"/>
  <c r="AH287" i="9" s="1"/>
  <c r="AG286" i="9"/>
  <c r="AH286" i="9" s="1"/>
  <c r="AG285" i="9"/>
  <c r="AH285" i="9" s="1"/>
  <c r="AG284" i="9"/>
  <c r="AH284" i="9" s="1"/>
  <c r="AG283" i="9"/>
  <c r="AH283" i="9" s="1"/>
  <c r="AG282" i="9"/>
  <c r="AH282" i="9" s="1"/>
  <c r="AG281" i="9"/>
  <c r="AH281" i="9" s="1"/>
  <c r="AG280" i="9"/>
  <c r="AH280" i="9" s="1"/>
  <c r="AG279" i="9"/>
  <c r="AH279" i="9" s="1"/>
  <c r="AG278" i="9"/>
  <c r="AH278" i="9" s="1"/>
  <c r="AG277" i="9"/>
  <c r="AH277" i="9" s="1"/>
  <c r="AG276" i="9"/>
  <c r="AH276" i="9" s="1"/>
  <c r="AG275" i="9"/>
  <c r="AH275" i="9" s="1"/>
  <c r="AG274" i="9"/>
  <c r="AH274" i="9" s="1"/>
  <c r="AG273" i="9"/>
  <c r="AH273" i="9" s="1"/>
  <c r="AG272" i="9"/>
  <c r="AH272" i="9" s="1"/>
  <c r="AG271" i="9"/>
  <c r="AH271" i="9" s="1"/>
  <c r="AG270" i="9"/>
  <c r="AH270" i="9" s="1"/>
  <c r="AG269" i="9"/>
  <c r="AH269" i="9" s="1"/>
  <c r="AG268" i="9"/>
  <c r="AH268" i="9" s="1"/>
  <c r="AG267" i="9"/>
  <c r="AH267" i="9" s="1"/>
  <c r="AG266" i="9"/>
  <c r="AH266" i="9" s="1"/>
  <c r="AG265" i="9"/>
  <c r="AH265" i="9" s="1"/>
  <c r="AG264" i="9"/>
  <c r="AH264" i="9" s="1"/>
  <c r="AG263" i="9"/>
  <c r="AH263" i="9" s="1"/>
  <c r="AG262" i="9"/>
  <c r="AH262" i="9" s="1"/>
  <c r="AG261" i="9"/>
  <c r="AH261" i="9" s="1"/>
  <c r="AG260" i="9"/>
  <c r="AH260" i="9" s="1"/>
  <c r="AG259" i="9"/>
  <c r="AH259" i="9" s="1"/>
  <c r="AG258" i="9"/>
  <c r="AH258" i="9" s="1"/>
  <c r="AG257" i="9"/>
  <c r="AH257" i="9" s="1"/>
  <c r="AG256" i="9"/>
  <c r="AH256" i="9" s="1"/>
  <c r="AG255" i="9"/>
  <c r="AH255" i="9" s="1"/>
  <c r="AG254" i="9"/>
  <c r="AH254" i="9" s="1"/>
  <c r="AG253" i="9"/>
  <c r="AH253" i="9" s="1"/>
  <c r="AG252" i="9"/>
  <c r="AH252" i="9" s="1"/>
  <c r="AG251" i="9"/>
  <c r="AH251" i="9" s="1"/>
  <c r="AG250" i="9"/>
  <c r="AH250" i="9" s="1"/>
  <c r="AG249" i="9"/>
  <c r="AH249" i="9" s="1"/>
  <c r="AG248" i="9"/>
  <c r="AH248" i="9" s="1"/>
  <c r="AG247" i="9"/>
  <c r="AH247" i="9" s="1"/>
  <c r="AG246" i="9"/>
  <c r="AH246" i="9" s="1"/>
  <c r="AG245" i="9"/>
  <c r="AH245" i="9" s="1"/>
  <c r="AG244" i="9"/>
  <c r="AH244" i="9" s="1"/>
  <c r="AG243" i="9"/>
  <c r="AH243" i="9" s="1"/>
  <c r="AG242" i="9"/>
  <c r="AH242" i="9" s="1"/>
  <c r="AG241" i="9"/>
  <c r="AH241" i="9" s="1"/>
  <c r="AG240" i="9"/>
  <c r="AH240" i="9" s="1"/>
  <c r="AG239" i="9"/>
  <c r="AH239" i="9" s="1"/>
  <c r="AG238" i="9"/>
  <c r="AH238" i="9" s="1"/>
  <c r="AG237" i="9"/>
  <c r="AH237" i="9" s="1"/>
  <c r="AG236" i="9"/>
  <c r="AH236" i="9" s="1"/>
  <c r="AG235" i="9"/>
  <c r="AH235" i="9" s="1"/>
  <c r="AG234" i="9"/>
  <c r="AH234" i="9" s="1"/>
  <c r="AG233" i="9"/>
  <c r="AH233" i="9" s="1"/>
  <c r="AG232" i="9"/>
  <c r="AH232" i="9" s="1"/>
  <c r="AG231" i="9"/>
  <c r="AH231" i="9" s="1"/>
  <c r="AG230" i="9"/>
  <c r="AH230" i="9" s="1"/>
  <c r="AG229" i="9"/>
  <c r="AH229" i="9" s="1"/>
  <c r="AG228" i="9"/>
  <c r="AH228" i="9" s="1"/>
  <c r="AG227" i="9"/>
  <c r="AH227" i="9" s="1"/>
  <c r="AG226" i="9"/>
  <c r="AH226" i="9" s="1"/>
  <c r="AG225" i="9"/>
  <c r="AH225" i="9" s="1"/>
  <c r="AG224" i="9"/>
  <c r="AH224" i="9" s="1"/>
  <c r="AG223" i="9"/>
  <c r="AH223" i="9" s="1"/>
  <c r="AG222" i="9"/>
  <c r="AH222" i="9" s="1"/>
  <c r="AG221" i="9"/>
  <c r="AH221" i="9" s="1"/>
  <c r="AG220" i="9"/>
  <c r="AH220" i="9" s="1"/>
  <c r="AG219" i="9"/>
  <c r="AH219" i="9" s="1"/>
  <c r="AG218" i="9"/>
  <c r="AH218" i="9" s="1"/>
  <c r="AG217" i="9"/>
  <c r="AH217" i="9" s="1"/>
  <c r="AG216" i="9"/>
  <c r="AH216" i="9" s="1"/>
  <c r="AG215" i="9"/>
  <c r="AH215" i="9" s="1"/>
  <c r="AG214" i="9"/>
  <c r="AH214" i="9" s="1"/>
  <c r="AG213" i="9"/>
  <c r="AH213" i="9" s="1"/>
  <c r="AG212" i="9"/>
  <c r="AH212" i="9" s="1"/>
  <c r="AG211" i="9"/>
  <c r="AH211" i="9" s="1"/>
  <c r="AG210" i="9"/>
  <c r="AH210" i="9" s="1"/>
  <c r="AG209" i="9"/>
  <c r="AH209" i="9" s="1"/>
  <c r="AG208" i="9"/>
  <c r="AH208" i="9" s="1"/>
  <c r="AG207" i="9"/>
  <c r="AH207" i="9" s="1"/>
  <c r="AG206" i="9"/>
  <c r="AH206" i="9" s="1"/>
  <c r="AG205" i="9"/>
  <c r="AH205" i="9" s="1"/>
  <c r="AG204" i="9"/>
  <c r="AH204" i="9" s="1"/>
  <c r="AG203" i="9"/>
  <c r="AH203" i="9" s="1"/>
  <c r="AG202" i="9"/>
  <c r="AH202" i="9" s="1"/>
  <c r="AG201" i="9"/>
  <c r="AH201" i="9" s="1"/>
  <c r="AG200" i="9"/>
  <c r="AH200" i="9" s="1"/>
  <c r="AG199" i="9"/>
  <c r="AH199" i="9" s="1"/>
  <c r="AG198" i="9"/>
  <c r="AH198" i="9" s="1"/>
  <c r="AG197" i="9"/>
  <c r="AH197" i="9" s="1"/>
  <c r="AG196" i="9"/>
  <c r="AH196" i="9" s="1"/>
  <c r="AG195" i="9"/>
  <c r="AH195" i="9" s="1"/>
  <c r="AG194" i="9"/>
  <c r="AH194" i="9" s="1"/>
  <c r="AG193" i="9"/>
  <c r="AH193" i="9" s="1"/>
  <c r="AG192" i="9"/>
  <c r="AH192" i="9" s="1"/>
  <c r="AG191" i="9"/>
  <c r="AH191" i="9" s="1"/>
  <c r="AG190" i="9"/>
  <c r="AH190" i="9" s="1"/>
  <c r="AG189" i="9"/>
  <c r="AH189" i="9" s="1"/>
  <c r="AG188" i="9"/>
  <c r="AH188" i="9" s="1"/>
  <c r="AG187" i="9"/>
  <c r="AH187" i="9" s="1"/>
  <c r="AG186" i="9"/>
  <c r="AH186" i="9" s="1"/>
  <c r="AG185" i="9"/>
  <c r="AH185" i="9" s="1"/>
  <c r="AG184" i="9"/>
  <c r="AH184" i="9" s="1"/>
  <c r="AG183" i="9"/>
  <c r="AH183" i="9" s="1"/>
  <c r="AG182" i="9"/>
  <c r="AH182" i="9" s="1"/>
  <c r="AG181" i="9"/>
  <c r="AH181" i="9" s="1"/>
  <c r="AG180" i="9"/>
  <c r="AH180" i="9" s="1"/>
  <c r="AG179" i="9"/>
  <c r="AH179" i="9" s="1"/>
  <c r="AG178" i="9"/>
  <c r="AH178" i="9" s="1"/>
  <c r="AG177" i="9"/>
  <c r="AH177" i="9" s="1"/>
  <c r="AG176" i="9"/>
  <c r="AH176" i="9" s="1"/>
  <c r="AG175" i="9"/>
  <c r="AH175" i="9" s="1"/>
  <c r="AG174" i="9"/>
  <c r="AH174" i="9" s="1"/>
  <c r="AG173" i="9"/>
  <c r="AH173" i="9" s="1"/>
  <c r="AG172" i="9"/>
  <c r="AH172" i="9" s="1"/>
  <c r="AG171" i="9"/>
  <c r="AH171" i="9" s="1"/>
  <c r="AG170" i="9"/>
  <c r="AH170" i="9" s="1"/>
  <c r="AG169" i="9"/>
  <c r="AH169" i="9" s="1"/>
  <c r="AG168" i="9"/>
  <c r="AH168" i="9" s="1"/>
  <c r="AG167" i="9"/>
  <c r="AH167" i="9" s="1"/>
  <c r="AG166" i="9"/>
  <c r="AH166" i="9" s="1"/>
  <c r="AG165" i="9"/>
  <c r="AH165" i="9" s="1"/>
  <c r="AG164" i="9"/>
  <c r="AH164" i="9" s="1"/>
  <c r="AG163" i="9"/>
  <c r="AH163" i="9" s="1"/>
  <c r="AG162" i="9"/>
  <c r="AH162" i="9" s="1"/>
  <c r="AG161" i="9"/>
  <c r="AH161" i="9" s="1"/>
  <c r="AG160" i="9"/>
  <c r="AH160" i="9" s="1"/>
  <c r="AG159" i="9"/>
  <c r="AH159" i="9" s="1"/>
  <c r="AG158" i="9"/>
  <c r="AH158" i="9" s="1"/>
  <c r="AG157" i="9"/>
  <c r="AH157" i="9" s="1"/>
  <c r="AG156" i="9"/>
  <c r="AH156" i="9" s="1"/>
  <c r="AG155" i="9"/>
  <c r="AH155" i="9" s="1"/>
  <c r="AG154" i="9"/>
  <c r="AH154" i="9" s="1"/>
  <c r="AG153" i="9"/>
  <c r="AH153" i="9" s="1"/>
  <c r="AG152" i="9"/>
  <c r="AH152" i="9" s="1"/>
  <c r="AG151" i="9"/>
  <c r="AH151" i="9" s="1"/>
  <c r="AG150" i="9"/>
  <c r="AH150" i="9" s="1"/>
  <c r="AG149" i="9"/>
  <c r="AH149" i="9" s="1"/>
  <c r="AG148" i="9"/>
  <c r="AH148" i="9" s="1"/>
  <c r="AG147" i="9"/>
  <c r="AH147" i="9" s="1"/>
  <c r="AG146" i="9"/>
  <c r="AH146" i="9" s="1"/>
  <c r="AG145" i="9"/>
  <c r="AH145" i="9" s="1"/>
  <c r="AG144" i="9"/>
  <c r="AH144" i="9" s="1"/>
  <c r="AG143" i="9"/>
  <c r="AH143" i="9" s="1"/>
  <c r="AG142" i="9"/>
  <c r="AH142" i="9" s="1"/>
  <c r="AG141" i="9"/>
  <c r="AH141" i="9" s="1"/>
  <c r="AG140" i="9"/>
  <c r="AH140" i="9" s="1"/>
  <c r="AG139" i="9"/>
  <c r="AH139" i="9" s="1"/>
  <c r="AG138" i="9"/>
  <c r="AH138" i="9" s="1"/>
  <c r="AG137" i="9"/>
  <c r="AH137" i="9" s="1"/>
  <c r="AG136" i="9"/>
  <c r="AH136" i="9" s="1"/>
  <c r="AG135" i="9"/>
  <c r="AH135" i="9" s="1"/>
  <c r="AG134" i="9"/>
  <c r="AH134" i="9" s="1"/>
  <c r="AG133" i="9"/>
  <c r="AH133" i="9" s="1"/>
  <c r="AG132" i="9"/>
  <c r="AH132" i="9" s="1"/>
  <c r="AG131" i="9"/>
  <c r="AH131" i="9" s="1"/>
  <c r="AG130" i="9"/>
  <c r="AH130" i="9" s="1"/>
  <c r="AG129" i="9"/>
  <c r="AH129" i="9" s="1"/>
  <c r="AG128" i="9"/>
  <c r="AH128" i="9" s="1"/>
  <c r="AG127" i="9"/>
  <c r="AH127" i="9" s="1"/>
  <c r="AG126" i="9"/>
  <c r="AH126" i="9" s="1"/>
  <c r="AG125" i="9"/>
  <c r="AH125" i="9" s="1"/>
  <c r="AG124" i="9"/>
  <c r="AH124" i="9" s="1"/>
  <c r="AG123" i="9"/>
  <c r="AH123" i="9" s="1"/>
  <c r="AG122" i="9"/>
  <c r="AH122" i="9" s="1"/>
  <c r="AG121" i="9"/>
  <c r="AH121" i="9" s="1"/>
  <c r="AG120" i="9"/>
  <c r="AH120" i="9" s="1"/>
  <c r="AG119" i="9"/>
  <c r="AH119" i="9" s="1"/>
  <c r="AG118" i="9"/>
  <c r="AH118" i="9" s="1"/>
  <c r="AG117" i="9"/>
  <c r="AH117" i="9" s="1"/>
  <c r="AG116" i="9"/>
  <c r="AH116" i="9" s="1"/>
  <c r="AG115" i="9"/>
  <c r="AH115" i="9" s="1"/>
  <c r="AG114" i="9"/>
  <c r="AH114" i="9" s="1"/>
  <c r="AG113" i="9"/>
  <c r="AH113" i="9" s="1"/>
  <c r="AG112" i="9"/>
  <c r="AH112" i="9" s="1"/>
  <c r="AG111" i="9"/>
  <c r="AH111" i="9" s="1"/>
  <c r="AG110" i="9"/>
  <c r="AH110" i="9" s="1"/>
  <c r="AG109" i="9"/>
  <c r="AH109" i="9" s="1"/>
  <c r="AG108" i="9"/>
  <c r="AH108" i="9" s="1"/>
  <c r="AG107" i="9"/>
  <c r="AH107" i="9" s="1"/>
  <c r="AG106" i="9"/>
  <c r="AH106" i="9" s="1"/>
  <c r="AG105" i="9"/>
  <c r="AH105" i="9" s="1"/>
  <c r="AG104" i="9"/>
  <c r="AH104" i="9" s="1"/>
  <c r="AG103" i="9"/>
  <c r="AH103" i="9" s="1"/>
  <c r="AG102" i="9"/>
  <c r="AH102" i="9" s="1"/>
  <c r="AG101" i="9"/>
  <c r="AH101" i="9" s="1"/>
  <c r="AG100" i="9"/>
  <c r="AH100" i="9" s="1"/>
  <c r="AG99" i="9"/>
  <c r="AH99" i="9" s="1"/>
  <c r="AG98" i="9"/>
  <c r="AH98" i="9" s="1"/>
  <c r="AG97" i="9"/>
  <c r="AH97" i="9" s="1"/>
  <c r="AG96" i="9"/>
  <c r="AH96" i="9" s="1"/>
  <c r="AG95" i="9"/>
  <c r="AH95" i="9" s="1"/>
  <c r="AG94" i="9"/>
  <c r="AH94" i="9" s="1"/>
  <c r="AG93" i="9"/>
  <c r="AH93" i="9" s="1"/>
  <c r="AG92" i="9"/>
  <c r="AH92" i="9" s="1"/>
  <c r="AG91" i="9"/>
  <c r="AH91" i="9" s="1"/>
  <c r="AG90" i="9"/>
  <c r="AH90" i="9" s="1"/>
  <c r="AG89" i="9"/>
  <c r="AH89" i="9" s="1"/>
  <c r="AG88" i="9"/>
  <c r="AH88" i="9" s="1"/>
  <c r="AG87" i="9"/>
  <c r="AH87" i="9" s="1"/>
  <c r="AG86" i="9"/>
  <c r="AH86" i="9" s="1"/>
  <c r="AG85" i="9"/>
  <c r="AH85" i="9" s="1"/>
  <c r="AG84" i="9"/>
  <c r="AH84" i="9" s="1"/>
  <c r="AG83" i="9"/>
  <c r="AH83" i="9" s="1"/>
  <c r="AG82" i="9"/>
  <c r="AH82" i="9" s="1"/>
  <c r="AG81" i="9"/>
  <c r="AH81" i="9" s="1"/>
  <c r="AG80" i="9"/>
  <c r="AH80" i="9" s="1"/>
  <c r="AG79" i="9"/>
  <c r="AH79" i="9" s="1"/>
  <c r="AG78" i="9"/>
  <c r="AH78" i="9" s="1"/>
  <c r="AG77" i="9"/>
  <c r="AH77" i="9" s="1"/>
  <c r="AG76" i="9"/>
  <c r="AH76" i="9" s="1"/>
  <c r="AG75" i="9"/>
  <c r="AH75" i="9" s="1"/>
  <c r="AG74" i="9"/>
  <c r="AH74" i="9" s="1"/>
  <c r="AG73" i="9"/>
  <c r="AH73" i="9" s="1"/>
  <c r="AG72" i="9"/>
  <c r="AH72" i="9" s="1"/>
  <c r="AG71" i="9"/>
  <c r="AH71" i="9" s="1"/>
  <c r="AG70" i="9"/>
  <c r="AH70" i="9" s="1"/>
  <c r="AG69" i="9"/>
  <c r="AH69" i="9" s="1"/>
  <c r="AG68" i="9"/>
  <c r="AH68" i="9" s="1"/>
  <c r="AG67" i="9"/>
  <c r="AH67" i="9" s="1"/>
  <c r="AH66" i="9"/>
  <c r="AG66" i="9"/>
  <c r="AG65" i="9"/>
  <c r="AH65" i="9" s="1"/>
  <c r="AG64" i="9"/>
  <c r="AH64" i="9" s="1"/>
  <c r="AG63" i="9"/>
  <c r="AH63" i="9" s="1"/>
  <c r="AG62" i="9"/>
  <c r="AH62" i="9" s="1"/>
  <c r="AG61" i="9"/>
  <c r="AH61" i="9" s="1"/>
  <c r="AG60" i="9"/>
  <c r="AH60" i="9" s="1"/>
  <c r="AG59" i="9"/>
  <c r="AH59" i="9" s="1"/>
  <c r="AG58" i="9"/>
  <c r="AH58" i="9" s="1"/>
  <c r="AG57" i="9"/>
  <c r="AH57" i="9" s="1"/>
  <c r="AG56" i="9"/>
  <c r="AH56" i="9" s="1"/>
  <c r="AG55" i="9"/>
  <c r="AH55" i="9" s="1"/>
  <c r="AG54" i="9"/>
  <c r="AH54" i="9" s="1"/>
  <c r="AH53" i="9"/>
  <c r="AG53" i="9"/>
  <c r="AG52" i="9"/>
  <c r="AH52" i="9" s="1"/>
  <c r="AG51" i="9"/>
  <c r="AH51" i="9" s="1"/>
  <c r="AG50" i="9"/>
  <c r="AH50" i="9" s="1"/>
  <c r="AG49" i="9"/>
  <c r="AH49" i="9" s="1"/>
  <c r="AG48" i="9"/>
  <c r="AH48" i="9" s="1"/>
  <c r="AG47" i="9"/>
  <c r="AH47" i="9" s="1"/>
  <c r="AG46" i="9"/>
  <c r="AH46" i="9" s="1"/>
  <c r="AG45" i="9"/>
  <c r="AH45" i="9" s="1"/>
  <c r="AG44" i="9"/>
  <c r="AH44" i="9" s="1"/>
  <c r="AG43" i="9"/>
  <c r="AH43" i="9" s="1"/>
  <c r="AG42" i="9"/>
  <c r="AH42" i="9" s="1"/>
  <c r="AG41" i="9"/>
  <c r="AH41" i="9" s="1"/>
  <c r="AG40" i="9"/>
  <c r="AG39" i="9"/>
  <c r="AH39" i="9" s="1"/>
  <c r="AG38" i="9"/>
  <c r="AH38" i="9" s="1"/>
  <c r="AG37" i="9"/>
  <c r="AH37" i="9" s="1"/>
  <c r="AG36" i="9"/>
  <c r="AH36" i="9" s="1"/>
  <c r="AG35" i="9"/>
  <c r="AH35" i="9" s="1"/>
  <c r="AG34" i="9"/>
  <c r="AH34" i="9" s="1"/>
  <c r="AG33" i="9"/>
  <c r="AH33" i="9" s="1"/>
  <c r="AG32" i="9"/>
  <c r="AH32" i="9" s="1"/>
  <c r="AG31" i="9"/>
  <c r="AH31" i="9" s="1"/>
  <c r="AG30" i="9"/>
  <c r="AH30" i="9" s="1"/>
  <c r="AG29" i="9"/>
  <c r="AH29" i="9" s="1"/>
  <c r="AG28" i="9"/>
  <c r="AH28" i="9" s="1"/>
  <c r="AH27" i="9"/>
  <c r="AG27" i="9"/>
  <c r="AG26" i="9"/>
  <c r="AH26" i="9" s="1"/>
  <c r="AG25" i="9"/>
  <c r="AH25" i="9" s="1"/>
  <c r="AG24" i="9"/>
  <c r="AH24" i="9" s="1"/>
  <c r="AG23" i="9"/>
  <c r="AH23" i="9" s="1"/>
  <c r="AG22" i="9"/>
  <c r="AH22" i="9" s="1"/>
  <c r="AG21" i="9"/>
  <c r="AH21" i="9" s="1"/>
  <c r="AG20" i="9"/>
  <c r="AH20" i="9" s="1"/>
  <c r="AG19" i="9"/>
  <c r="AH19" i="9" s="1"/>
  <c r="AG18" i="9"/>
  <c r="AH18" i="9" s="1"/>
  <c r="AG17" i="9"/>
  <c r="AH17" i="9" s="1"/>
  <c r="AG16" i="9"/>
  <c r="AH16" i="9" s="1"/>
  <c r="AG15" i="9"/>
  <c r="AH15" i="9" s="1"/>
  <c r="AH14" i="9"/>
  <c r="AG14" i="9"/>
  <c r="AG13" i="9"/>
  <c r="AH13" i="9" s="1"/>
  <c r="AG12" i="9"/>
  <c r="AH12" i="9" s="1"/>
  <c r="AG11" i="9"/>
  <c r="AH11" i="9" s="1"/>
  <c r="AG10" i="9"/>
  <c r="AH10" i="9" s="1"/>
  <c r="AG9" i="9"/>
  <c r="AH9" i="9" s="1"/>
  <c r="AG8" i="9"/>
  <c r="AH8" i="9" s="1"/>
  <c r="AG7" i="9"/>
  <c r="AH7" i="9" s="1"/>
  <c r="AD2" i="9"/>
  <c r="AC2" i="9"/>
  <c r="AB2" i="9"/>
  <c r="AA2" i="9"/>
  <c r="V274" i="9"/>
  <c r="V273" i="9"/>
  <c r="V272" i="9"/>
  <c r="V267" i="9"/>
  <c r="V265" i="9"/>
  <c r="V227" i="9"/>
  <c r="V226" i="9"/>
  <c r="V214" i="9"/>
  <c r="V213" i="9"/>
  <c r="V212" i="9"/>
  <c r="V182" i="9"/>
  <c r="V176" i="9"/>
  <c r="V167" i="9"/>
  <c r="V166" i="9"/>
  <c r="V165" i="9"/>
  <c r="V130" i="9"/>
  <c r="V129" i="9"/>
  <c r="V128" i="9"/>
  <c r="V127" i="9"/>
  <c r="V122" i="9"/>
  <c r="V107" i="9"/>
  <c r="V82" i="9"/>
  <c r="V81" i="9"/>
  <c r="V71" i="9"/>
  <c r="V69" i="9"/>
  <c r="V68" i="9"/>
  <c r="V67" i="9"/>
  <c r="V38" i="9"/>
  <c r="V23" i="9"/>
  <c r="V22" i="9"/>
  <c r="V21" i="9"/>
  <c r="V20" i="9"/>
  <c r="H11" i="9"/>
  <c r="U16" i="9"/>
  <c r="V16" i="9" s="1"/>
  <c r="U295" i="9"/>
  <c r="V295" i="9" s="1"/>
  <c r="U294" i="9"/>
  <c r="V294" i="9" s="1"/>
  <c r="U293" i="9"/>
  <c r="V293" i="9" s="1"/>
  <c r="U292" i="9"/>
  <c r="V292" i="9" s="1"/>
  <c r="U291" i="9"/>
  <c r="V291" i="9" s="1"/>
  <c r="U290" i="9"/>
  <c r="V290" i="9" s="1"/>
  <c r="U289" i="9"/>
  <c r="V289" i="9" s="1"/>
  <c r="U288" i="9"/>
  <c r="V288" i="9" s="1"/>
  <c r="U287" i="9"/>
  <c r="V287" i="9" s="1"/>
  <c r="U286" i="9"/>
  <c r="V286" i="9" s="1"/>
  <c r="U285" i="9"/>
  <c r="V285" i="9" s="1"/>
  <c r="U284" i="9"/>
  <c r="V284" i="9" s="1"/>
  <c r="U283" i="9"/>
  <c r="V283" i="9" s="1"/>
  <c r="U282" i="9"/>
  <c r="V282" i="9" s="1"/>
  <c r="U281" i="9"/>
  <c r="V281" i="9" s="1"/>
  <c r="U280" i="9"/>
  <c r="V280" i="9" s="1"/>
  <c r="U279" i="9"/>
  <c r="V279" i="9" s="1"/>
  <c r="U278" i="9"/>
  <c r="V278" i="9" s="1"/>
  <c r="U277" i="9"/>
  <c r="V277" i="9" s="1"/>
  <c r="U276" i="9"/>
  <c r="V276" i="9" s="1"/>
  <c r="U275" i="9"/>
  <c r="V275" i="9" s="1"/>
  <c r="U274" i="9"/>
  <c r="U273" i="9"/>
  <c r="U272" i="9"/>
  <c r="U271" i="9"/>
  <c r="V271" i="9" s="1"/>
  <c r="U270" i="9"/>
  <c r="V270" i="9" s="1"/>
  <c r="U269" i="9"/>
  <c r="V269" i="9" s="1"/>
  <c r="U268" i="9"/>
  <c r="V268" i="9" s="1"/>
  <c r="U267" i="9"/>
  <c r="U266" i="9"/>
  <c r="V266" i="9" s="1"/>
  <c r="U265" i="9"/>
  <c r="U264" i="9"/>
  <c r="V264" i="9" s="1"/>
  <c r="U263" i="9"/>
  <c r="V263" i="9" s="1"/>
  <c r="U262" i="9"/>
  <c r="V262" i="9" s="1"/>
  <c r="U261" i="9"/>
  <c r="V261" i="9" s="1"/>
  <c r="U260" i="9"/>
  <c r="V260" i="9" s="1"/>
  <c r="U259" i="9"/>
  <c r="V259" i="9" s="1"/>
  <c r="U258" i="9"/>
  <c r="V258" i="9" s="1"/>
  <c r="U257" i="9"/>
  <c r="V257" i="9" s="1"/>
  <c r="U256" i="9"/>
  <c r="V256" i="9" s="1"/>
  <c r="U255" i="9"/>
  <c r="V255" i="9" s="1"/>
  <c r="U254" i="9"/>
  <c r="V254" i="9" s="1"/>
  <c r="U253" i="9"/>
  <c r="V253" i="9" s="1"/>
  <c r="U252" i="9"/>
  <c r="V252" i="9" s="1"/>
  <c r="U251" i="9"/>
  <c r="V251" i="9" s="1"/>
  <c r="U250" i="9"/>
  <c r="V250" i="9" s="1"/>
  <c r="U249" i="9"/>
  <c r="V249" i="9" s="1"/>
  <c r="U248" i="9"/>
  <c r="V248" i="9" s="1"/>
  <c r="U247" i="9"/>
  <c r="V247" i="9" s="1"/>
  <c r="U246" i="9"/>
  <c r="V246" i="9" s="1"/>
  <c r="U245" i="9"/>
  <c r="V245" i="9" s="1"/>
  <c r="U244" i="9"/>
  <c r="V244" i="9" s="1"/>
  <c r="U243" i="9"/>
  <c r="V243" i="9" s="1"/>
  <c r="U242" i="9"/>
  <c r="V242" i="9" s="1"/>
  <c r="U241" i="9"/>
  <c r="V241" i="9" s="1"/>
  <c r="U240" i="9"/>
  <c r="V240" i="9" s="1"/>
  <c r="U239" i="9"/>
  <c r="V239" i="9" s="1"/>
  <c r="U238" i="9"/>
  <c r="V238" i="9" s="1"/>
  <c r="U237" i="9"/>
  <c r="V237" i="9" s="1"/>
  <c r="U236" i="9"/>
  <c r="V236" i="9" s="1"/>
  <c r="U235" i="9"/>
  <c r="V235" i="9" s="1"/>
  <c r="U234" i="9"/>
  <c r="V234" i="9" s="1"/>
  <c r="U233" i="9"/>
  <c r="V233" i="9" s="1"/>
  <c r="U232" i="9"/>
  <c r="V232" i="9" s="1"/>
  <c r="U231" i="9"/>
  <c r="V231" i="9" s="1"/>
  <c r="U230" i="9"/>
  <c r="V230" i="9" s="1"/>
  <c r="U229" i="9"/>
  <c r="V229" i="9" s="1"/>
  <c r="U228" i="9"/>
  <c r="V228" i="9" s="1"/>
  <c r="U227" i="9"/>
  <c r="U226" i="9"/>
  <c r="U225" i="9"/>
  <c r="V225" i="9" s="1"/>
  <c r="U224" i="9"/>
  <c r="V224" i="9" s="1"/>
  <c r="U223" i="9"/>
  <c r="V223" i="9" s="1"/>
  <c r="U222" i="9"/>
  <c r="V222" i="9" s="1"/>
  <c r="U221" i="9"/>
  <c r="V221" i="9" s="1"/>
  <c r="U220" i="9"/>
  <c r="V220" i="9" s="1"/>
  <c r="U219" i="9"/>
  <c r="V219" i="9" s="1"/>
  <c r="U218" i="9"/>
  <c r="V218" i="9" s="1"/>
  <c r="U217" i="9"/>
  <c r="V217" i="9" s="1"/>
  <c r="U216" i="9"/>
  <c r="V216" i="9" s="1"/>
  <c r="U215" i="9"/>
  <c r="V215" i="9" s="1"/>
  <c r="U214" i="9"/>
  <c r="U213" i="9"/>
  <c r="U212" i="9"/>
  <c r="U211" i="9"/>
  <c r="U210" i="9"/>
  <c r="V210" i="9" s="1"/>
  <c r="U209" i="9"/>
  <c r="V209" i="9" s="1"/>
  <c r="U208" i="9"/>
  <c r="V208" i="9" s="1"/>
  <c r="U207" i="9"/>
  <c r="V207" i="9" s="1"/>
  <c r="U206" i="9"/>
  <c r="V206" i="9" s="1"/>
  <c r="U205" i="9"/>
  <c r="V205" i="9" s="1"/>
  <c r="U204" i="9"/>
  <c r="V204" i="9" s="1"/>
  <c r="U203" i="9"/>
  <c r="V203" i="9" s="1"/>
  <c r="U202" i="9"/>
  <c r="V202" i="9" s="1"/>
  <c r="U201" i="9"/>
  <c r="V201" i="9" s="1"/>
  <c r="U200" i="9"/>
  <c r="V200" i="9" s="1"/>
  <c r="U199" i="9"/>
  <c r="V199" i="9" s="1"/>
  <c r="U198" i="9"/>
  <c r="V198" i="9" s="1"/>
  <c r="U197" i="9"/>
  <c r="V197" i="9" s="1"/>
  <c r="U196" i="9"/>
  <c r="V196" i="9" s="1"/>
  <c r="U195" i="9"/>
  <c r="V195" i="9" s="1"/>
  <c r="U194" i="9"/>
  <c r="V194" i="9" s="1"/>
  <c r="U193" i="9"/>
  <c r="V193" i="9" s="1"/>
  <c r="U192" i="9"/>
  <c r="V192" i="9" s="1"/>
  <c r="U191" i="9"/>
  <c r="V191" i="9" s="1"/>
  <c r="U190" i="9"/>
  <c r="V190" i="9" s="1"/>
  <c r="U189" i="9"/>
  <c r="V189" i="9" s="1"/>
  <c r="U188" i="9"/>
  <c r="V188" i="9" s="1"/>
  <c r="U187" i="9"/>
  <c r="V187" i="9" s="1"/>
  <c r="U186" i="9"/>
  <c r="V186" i="9" s="1"/>
  <c r="U185" i="9"/>
  <c r="V185" i="9" s="1"/>
  <c r="U184" i="9"/>
  <c r="V184" i="9" s="1"/>
  <c r="U183" i="9"/>
  <c r="V183" i="9" s="1"/>
  <c r="U182" i="9"/>
  <c r="U181" i="9"/>
  <c r="V181" i="9" s="1"/>
  <c r="U180" i="9"/>
  <c r="V180" i="9" s="1"/>
  <c r="U179" i="9"/>
  <c r="V179" i="9" s="1"/>
  <c r="U178" i="9"/>
  <c r="V178" i="9" s="1"/>
  <c r="U177" i="9"/>
  <c r="V177" i="9" s="1"/>
  <c r="U176" i="9"/>
  <c r="U175" i="9"/>
  <c r="V175" i="9" s="1"/>
  <c r="U174" i="9"/>
  <c r="V174" i="9" s="1"/>
  <c r="U173" i="9"/>
  <c r="V173" i="9" s="1"/>
  <c r="U172" i="9"/>
  <c r="V172" i="9" s="1"/>
  <c r="U171" i="9"/>
  <c r="V171" i="9" s="1"/>
  <c r="U170" i="9"/>
  <c r="V170" i="9" s="1"/>
  <c r="U169" i="9"/>
  <c r="V169" i="9" s="1"/>
  <c r="U168" i="9"/>
  <c r="V168" i="9" s="1"/>
  <c r="U167" i="9"/>
  <c r="U166" i="9"/>
  <c r="U165" i="9"/>
  <c r="U164" i="9"/>
  <c r="V164" i="9" s="1"/>
  <c r="U163" i="9"/>
  <c r="V163" i="9" s="1"/>
  <c r="U162" i="9"/>
  <c r="V162" i="9" s="1"/>
  <c r="U161" i="9"/>
  <c r="V161" i="9" s="1"/>
  <c r="U160" i="9"/>
  <c r="V160" i="9" s="1"/>
  <c r="U159" i="9"/>
  <c r="V159" i="9" s="1"/>
  <c r="U158" i="9"/>
  <c r="V158" i="9" s="1"/>
  <c r="U157" i="9"/>
  <c r="V157" i="9" s="1"/>
  <c r="U156" i="9"/>
  <c r="V156" i="9" s="1"/>
  <c r="U155" i="9"/>
  <c r="V155" i="9" s="1"/>
  <c r="U154" i="9"/>
  <c r="V154" i="9" s="1"/>
  <c r="U153" i="9"/>
  <c r="V153" i="9" s="1"/>
  <c r="U152" i="9"/>
  <c r="V152" i="9" s="1"/>
  <c r="U151" i="9"/>
  <c r="V151" i="9" s="1"/>
  <c r="U150" i="9"/>
  <c r="V150" i="9" s="1"/>
  <c r="U149" i="9"/>
  <c r="V149" i="9" s="1"/>
  <c r="U148" i="9"/>
  <c r="V148" i="9" s="1"/>
  <c r="U147" i="9"/>
  <c r="V147" i="9" s="1"/>
  <c r="U146" i="9"/>
  <c r="V146" i="9" s="1"/>
  <c r="U145" i="9"/>
  <c r="V145" i="9" s="1"/>
  <c r="U144" i="9"/>
  <c r="V144" i="9" s="1"/>
  <c r="U143" i="9"/>
  <c r="V143" i="9" s="1"/>
  <c r="U142" i="9"/>
  <c r="V142" i="9" s="1"/>
  <c r="U141" i="9"/>
  <c r="V141" i="9" s="1"/>
  <c r="U140" i="9"/>
  <c r="V140" i="9" s="1"/>
  <c r="U139" i="9"/>
  <c r="V139" i="9" s="1"/>
  <c r="U138" i="9"/>
  <c r="V138" i="9" s="1"/>
  <c r="U137" i="9"/>
  <c r="V137" i="9" s="1"/>
  <c r="U136" i="9"/>
  <c r="V136" i="9" s="1"/>
  <c r="U135" i="9"/>
  <c r="V135" i="9" s="1"/>
  <c r="U134" i="9"/>
  <c r="V134" i="9" s="1"/>
  <c r="U133" i="9"/>
  <c r="V133" i="9" s="1"/>
  <c r="U132" i="9"/>
  <c r="V132" i="9" s="1"/>
  <c r="U131" i="9"/>
  <c r="V131" i="9" s="1"/>
  <c r="U130" i="9"/>
  <c r="U129" i="9"/>
  <c r="U128" i="9"/>
  <c r="U127" i="9"/>
  <c r="U126" i="9"/>
  <c r="V126" i="9" s="1"/>
  <c r="U125" i="9"/>
  <c r="V125" i="9" s="1"/>
  <c r="U124" i="9"/>
  <c r="V124" i="9" s="1"/>
  <c r="U123" i="9"/>
  <c r="V123" i="9" s="1"/>
  <c r="U122" i="9"/>
  <c r="U121" i="9"/>
  <c r="V121" i="9" s="1"/>
  <c r="U120" i="9"/>
  <c r="V120" i="9" s="1"/>
  <c r="U119" i="9"/>
  <c r="V119" i="9" s="1"/>
  <c r="U118" i="9"/>
  <c r="V118" i="9" s="1"/>
  <c r="U117" i="9"/>
  <c r="V117" i="9" s="1"/>
  <c r="U116" i="9"/>
  <c r="V116" i="9" s="1"/>
  <c r="U115" i="9"/>
  <c r="V115" i="9" s="1"/>
  <c r="U114" i="9"/>
  <c r="V114" i="9" s="1"/>
  <c r="U113" i="9"/>
  <c r="V113" i="9" s="1"/>
  <c r="U112" i="9"/>
  <c r="V112" i="9" s="1"/>
  <c r="U111" i="9"/>
  <c r="V111" i="9" s="1"/>
  <c r="U110" i="9"/>
  <c r="V110" i="9" s="1"/>
  <c r="U109" i="9"/>
  <c r="V109" i="9" s="1"/>
  <c r="U108" i="9"/>
  <c r="V108" i="9" s="1"/>
  <c r="U107" i="9"/>
  <c r="U106" i="9"/>
  <c r="V106" i="9" s="1"/>
  <c r="U105" i="9"/>
  <c r="V105" i="9" s="1"/>
  <c r="U104" i="9"/>
  <c r="V104" i="9" s="1"/>
  <c r="U103" i="9"/>
  <c r="V103" i="9" s="1"/>
  <c r="U102" i="9"/>
  <c r="V102" i="9" s="1"/>
  <c r="U101" i="9"/>
  <c r="V101" i="9" s="1"/>
  <c r="U100" i="9"/>
  <c r="V100" i="9" s="1"/>
  <c r="U99" i="9"/>
  <c r="V99" i="9" s="1"/>
  <c r="U98" i="9"/>
  <c r="V98" i="9" s="1"/>
  <c r="U97" i="9"/>
  <c r="V97" i="9" s="1"/>
  <c r="U96" i="9"/>
  <c r="V96" i="9" s="1"/>
  <c r="U95" i="9"/>
  <c r="V95" i="9" s="1"/>
  <c r="U94" i="9"/>
  <c r="V94" i="9" s="1"/>
  <c r="U93" i="9"/>
  <c r="V93" i="9" s="1"/>
  <c r="U92" i="9"/>
  <c r="V92" i="9" s="1"/>
  <c r="U91" i="9"/>
  <c r="V91" i="9" s="1"/>
  <c r="U90" i="9"/>
  <c r="V90" i="9" s="1"/>
  <c r="U89" i="9"/>
  <c r="V89" i="9" s="1"/>
  <c r="U88" i="9"/>
  <c r="V88" i="9" s="1"/>
  <c r="U87" i="9"/>
  <c r="V87" i="9" s="1"/>
  <c r="U86" i="9"/>
  <c r="V86" i="9" s="1"/>
  <c r="U85" i="9"/>
  <c r="V85" i="9" s="1"/>
  <c r="U84" i="9"/>
  <c r="V84" i="9" s="1"/>
  <c r="U83" i="9"/>
  <c r="V83" i="9" s="1"/>
  <c r="U82" i="9"/>
  <c r="U81" i="9"/>
  <c r="U80" i="9"/>
  <c r="V80" i="9" s="1"/>
  <c r="U79" i="9"/>
  <c r="V79" i="9" s="1"/>
  <c r="U78" i="9"/>
  <c r="V78" i="9" s="1"/>
  <c r="U77" i="9"/>
  <c r="V77" i="9" s="1"/>
  <c r="U76" i="9"/>
  <c r="V76" i="9" s="1"/>
  <c r="U75" i="9"/>
  <c r="V75" i="9" s="1"/>
  <c r="U74" i="9"/>
  <c r="V74" i="9" s="1"/>
  <c r="U73" i="9"/>
  <c r="V73" i="9" s="1"/>
  <c r="U72" i="9"/>
  <c r="V72" i="9" s="1"/>
  <c r="U71" i="9"/>
  <c r="U70" i="9"/>
  <c r="V70" i="9" s="1"/>
  <c r="U69" i="9"/>
  <c r="U68" i="9"/>
  <c r="U67" i="9"/>
  <c r="U66" i="9"/>
  <c r="V66" i="9" s="1"/>
  <c r="U65" i="9"/>
  <c r="V65" i="9" s="1"/>
  <c r="U64" i="9"/>
  <c r="V64" i="9" s="1"/>
  <c r="U63" i="9"/>
  <c r="V63" i="9" s="1"/>
  <c r="U62" i="9"/>
  <c r="V62" i="9" s="1"/>
  <c r="U61" i="9"/>
  <c r="V61" i="9" s="1"/>
  <c r="U60" i="9"/>
  <c r="V60" i="9" s="1"/>
  <c r="U59" i="9"/>
  <c r="V59" i="9" s="1"/>
  <c r="U58" i="9"/>
  <c r="V58" i="9" s="1"/>
  <c r="U57" i="9"/>
  <c r="V57" i="9" s="1"/>
  <c r="U56" i="9"/>
  <c r="V56" i="9" s="1"/>
  <c r="U55" i="9"/>
  <c r="V55" i="9" s="1"/>
  <c r="U54" i="9"/>
  <c r="V54" i="9" s="1"/>
  <c r="U53" i="9"/>
  <c r="V53" i="9" s="1"/>
  <c r="U52" i="9"/>
  <c r="V52" i="9" s="1"/>
  <c r="U51" i="9"/>
  <c r="V51" i="9" s="1"/>
  <c r="U50" i="9"/>
  <c r="V50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42" i="9"/>
  <c r="V42" i="9" s="1"/>
  <c r="U41" i="9"/>
  <c r="V41" i="9" s="1"/>
  <c r="U40" i="9"/>
  <c r="V40" i="9" s="1"/>
  <c r="U39" i="9"/>
  <c r="V39" i="9" s="1"/>
  <c r="U38" i="9"/>
  <c r="U37" i="9"/>
  <c r="V37" i="9" s="1"/>
  <c r="U36" i="9"/>
  <c r="V36" i="9" s="1"/>
  <c r="U35" i="9"/>
  <c r="V35" i="9" s="1"/>
  <c r="U34" i="9"/>
  <c r="V34" i="9" s="1"/>
  <c r="U33" i="9"/>
  <c r="V33" i="9" s="1"/>
  <c r="U32" i="9"/>
  <c r="V32" i="9" s="1"/>
  <c r="U31" i="9"/>
  <c r="V31" i="9" s="1"/>
  <c r="U30" i="9"/>
  <c r="V30" i="9" s="1"/>
  <c r="U29" i="9"/>
  <c r="V29" i="9" s="1"/>
  <c r="U28" i="9"/>
  <c r="V28" i="9" s="1"/>
  <c r="U27" i="9"/>
  <c r="V27" i="9" s="1"/>
  <c r="U26" i="9"/>
  <c r="V26" i="9" s="1"/>
  <c r="U25" i="9"/>
  <c r="V25" i="9" s="1"/>
  <c r="U24" i="9"/>
  <c r="V24" i="9" s="1"/>
  <c r="U23" i="9"/>
  <c r="U22" i="9"/>
  <c r="U21" i="9"/>
  <c r="U20" i="9"/>
  <c r="U19" i="9"/>
  <c r="V19" i="9" s="1"/>
  <c r="U18" i="9"/>
  <c r="V18" i="9" s="1"/>
  <c r="U17" i="9"/>
  <c r="V17" i="9" s="1"/>
  <c r="U15" i="9"/>
  <c r="V15" i="9" s="1"/>
  <c r="U14" i="9"/>
  <c r="V14" i="9" s="1"/>
  <c r="U13" i="9"/>
  <c r="V13" i="9" s="1"/>
  <c r="U12" i="9"/>
  <c r="V12" i="9" s="1"/>
  <c r="U11" i="9"/>
  <c r="V11" i="9" s="1"/>
  <c r="U10" i="9"/>
  <c r="V10" i="9" s="1"/>
  <c r="U9" i="9"/>
  <c r="V9" i="9" s="1"/>
  <c r="U8" i="9"/>
  <c r="V8" i="9" s="1"/>
  <c r="U7" i="9"/>
  <c r="V7" i="9" s="1"/>
  <c r="R2" i="9"/>
  <c r="Q2" i="9"/>
  <c r="P2" i="9"/>
  <c r="O2" i="9"/>
  <c r="H23" i="9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H88" i="9" s="1"/>
  <c r="G89" i="9"/>
  <c r="H89" i="9" s="1"/>
  <c r="G90" i="9"/>
  <c r="H90" i="9" s="1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H144" i="9" s="1"/>
  <c r="G145" i="9"/>
  <c r="H145" i="9" s="1"/>
  <c r="G146" i="9"/>
  <c r="H146" i="9" s="1"/>
  <c r="G147" i="9"/>
  <c r="H147" i="9" s="1"/>
  <c r="G148" i="9"/>
  <c r="H148" i="9" s="1"/>
  <c r="G149" i="9"/>
  <c r="H149" i="9" s="1"/>
  <c r="G150" i="9"/>
  <c r="H150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H163" i="9" s="1"/>
  <c r="G164" i="9"/>
  <c r="H164" i="9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H170" i="9" s="1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178" i="9"/>
  <c r="H178" i="9" s="1"/>
  <c r="G179" i="9"/>
  <c r="H179" i="9" s="1"/>
  <c r="G180" i="9"/>
  <c r="H180" i="9" s="1"/>
  <c r="G181" i="9"/>
  <c r="H181" i="9" s="1"/>
  <c r="G182" i="9"/>
  <c r="H182" i="9" s="1"/>
  <c r="G183" i="9"/>
  <c r="H183" i="9" s="1"/>
  <c r="G184" i="9"/>
  <c r="H184" i="9" s="1"/>
  <c r="G185" i="9"/>
  <c r="H185" i="9" s="1"/>
  <c r="G186" i="9"/>
  <c r="H186" i="9" s="1"/>
  <c r="G187" i="9"/>
  <c r="H187" i="9" s="1"/>
  <c r="G188" i="9"/>
  <c r="H188" i="9" s="1"/>
  <c r="G189" i="9"/>
  <c r="H189" i="9" s="1"/>
  <c r="G190" i="9"/>
  <c r="H190" i="9" s="1"/>
  <c r="G191" i="9"/>
  <c r="H191" i="9" s="1"/>
  <c r="G192" i="9"/>
  <c r="H192" i="9" s="1"/>
  <c r="G193" i="9"/>
  <c r="H193" i="9" s="1"/>
  <c r="G194" i="9"/>
  <c r="H194" i="9" s="1"/>
  <c r="G195" i="9"/>
  <c r="H195" i="9" s="1"/>
  <c r="G196" i="9"/>
  <c r="H196" i="9" s="1"/>
  <c r="G197" i="9"/>
  <c r="H197" i="9" s="1"/>
  <c r="G198" i="9"/>
  <c r="H198" i="9" s="1"/>
  <c r="G199" i="9"/>
  <c r="H199" i="9" s="1"/>
  <c r="G200" i="9"/>
  <c r="H200" i="9" s="1"/>
  <c r="G201" i="9"/>
  <c r="H201" i="9" s="1"/>
  <c r="G202" i="9"/>
  <c r="H202" i="9" s="1"/>
  <c r="G203" i="9"/>
  <c r="H203" i="9" s="1"/>
  <c r="G204" i="9"/>
  <c r="H204" i="9" s="1"/>
  <c r="G205" i="9"/>
  <c r="H205" i="9" s="1"/>
  <c r="G206" i="9"/>
  <c r="H206" i="9" s="1"/>
  <c r="G207" i="9"/>
  <c r="H207" i="9" s="1"/>
  <c r="G208" i="9"/>
  <c r="H208" i="9" s="1"/>
  <c r="G209" i="9"/>
  <c r="H209" i="9" s="1"/>
  <c r="G210" i="9"/>
  <c r="H210" i="9" s="1"/>
  <c r="G211" i="9"/>
  <c r="H211" i="9" s="1"/>
  <c r="G212" i="9"/>
  <c r="H212" i="9" s="1"/>
  <c r="G213" i="9"/>
  <c r="H213" i="9" s="1"/>
  <c r="G214" i="9"/>
  <c r="H214" i="9" s="1"/>
  <c r="G215" i="9"/>
  <c r="H215" i="9" s="1"/>
  <c r="G216" i="9"/>
  <c r="H216" i="9" s="1"/>
  <c r="G217" i="9"/>
  <c r="H217" i="9" s="1"/>
  <c r="G218" i="9"/>
  <c r="H218" i="9" s="1"/>
  <c r="G219" i="9"/>
  <c r="H219" i="9" s="1"/>
  <c r="G220" i="9"/>
  <c r="H220" i="9" s="1"/>
  <c r="G221" i="9"/>
  <c r="H221" i="9" s="1"/>
  <c r="G222" i="9"/>
  <c r="H222" i="9" s="1"/>
  <c r="G223" i="9"/>
  <c r="H223" i="9" s="1"/>
  <c r="G224" i="9"/>
  <c r="H224" i="9" s="1"/>
  <c r="G225" i="9"/>
  <c r="H225" i="9" s="1"/>
  <c r="G226" i="9"/>
  <c r="H226" i="9" s="1"/>
  <c r="G227" i="9"/>
  <c r="H227" i="9" s="1"/>
  <c r="G228" i="9"/>
  <c r="H228" i="9" s="1"/>
  <c r="G229" i="9"/>
  <c r="H229" i="9" s="1"/>
  <c r="G230" i="9"/>
  <c r="H230" i="9" s="1"/>
  <c r="G231" i="9"/>
  <c r="H231" i="9" s="1"/>
  <c r="G232" i="9"/>
  <c r="H232" i="9" s="1"/>
  <c r="G233" i="9"/>
  <c r="H233" i="9" s="1"/>
  <c r="G234" i="9"/>
  <c r="H234" i="9" s="1"/>
  <c r="G235" i="9"/>
  <c r="H235" i="9" s="1"/>
  <c r="G236" i="9"/>
  <c r="H236" i="9" s="1"/>
  <c r="G237" i="9"/>
  <c r="H237" i="9" s="1"/>
  <c r="G238" i="9"/>
  <c r="H238" i="9" s="1"/>
  <c r="G239" i="9"/>
  <c r="H239" i="9" s="1"/>
  <c r="G240" i="9"/>
  <c r="H240" i="9" s="1"/>
  <c r="G241" i="9"/>
  <c r="H241" i="9" s="1"/>
  <c r="G242" i="9"/>
  <c r="H242" i="9" s="1"/>
  <c r="G243" i="9"/>
  <c r="H243" i="9" s="1"/>
  <c r="G244" i="9"/>
  <c r="H244" i="9" s="1"/>
  <c r="G245" i="9"/>
  <c r="H245" i="9" s="1"/>
  <c r="G246" i="9"/>
  <c r="H246" i="9" s="1"/>
  <c r="G247" i="9"/>
  <c r="H247" i="9" s="1"/>
  <c r="G248" i="9"/>
  <c r="H248" i="9" s="1"/>
  <c r="G249" i="9"/>
  <c r="H249" i="9" s="1"/>
  <c r="G250" i="9"/>
  <c r="H250" i="9" s="1"/>
  <c r="G251" i="9"/>
  <c r="H251" i="9" s="1"/>
  <c r="G252" i="9"/>
  <c r="H252" i="9" s="1"/>
  <c r="G253" i="9"/>
  <c r="H253" i="9" s="1"/>
  <c r="G254" i="9"/>
  <c r="H254" i="9" s="1"/>
  <c r="G255" i="9"/>
  <c r="H255" i="9" s="1"/>
  <c r="G256" i="9"/>
  <c r="H256" i="9" s="1"/>
  <c r="G257" i="9"/>
  <c r="H257" i="9" s="1"/>
  <c r="G258" i="9"/>
  <c r="H258" i="9" s="1"/>
  <c r="G259" i="9"/>
  <c r="H259" i="9" s="1"/>
  <c r="G260" i="9"/>
  <c r="H260" i="9" s="1"/>
  <c r="G261" i="9"/>
  <c r="H261" i="9" s="1"/>
  <c r="G262" i="9"/>
  <c r="H262" i="9" s="1"/>
  <c r="G263" i="9"/>
  <c r="H263" i="9" s="1"/>
  <c r="G264" i="9"/>
  <c r="H264" i="9" s="1"/>
  <c r="G265" i="9"/>
  <c r="H265" i="9" s="1"/>
  <c r="G266" i="9"/>
  <c r="H266" i="9" s="1"/>
  <c r="G267" i="9"/>
  <c r="H267" i="9" s="1"/>
  <c r="G268" i="9"/>
  <c r="H268" i="9" s="1"/>
  <c r="G269" i="9"/>
  <c r="H269" i="9" s="1"/>
  <c r="G270" i="9"/>
  <c r="H270" i="9" s="1"/>
  <c r="G271" i="9"/>
  <c r="H271" i="9" s="1"/>
  <c r="G272" i="9"/>
  <c r="H272" i="9" s="1"/>
  <c r="G273" i="9"/>
  <c r="H273" i="9" s="1"/>
  <c r="G274" i="9"/>
  <c r="H274" i="9" s="1"/>
  <c r="G275" i="9"/>
  <c r="H275" i="9" s="1"/>
  <c r="G276" i="9"/>
  <c r="H276" i="9" s="1"/>
  <c r="G277" i="9"/>
  <c r="H277" i="9" s="1"/>
  <c r="G278" i="9"/>
  <c r="H278" i="9" s="1"/>
  <c r="G279" i="9"/>
  <c r="H279" i="9" s="1"/>
  <c r="G280" i="9"/>
  <c r="H280" i="9" s="1"/>
  <c r="G281" i="9"/>
  <c r="H281" i="9" s="1"/>
  <c r="G282" i="9"/>
  <c r="H282" i="9" s="1"/>
  <c r="G283" i="9"/>
  <c r="H283" i="9" s="1"/>
  <c r="G284" i="9"/>
  <c r="H284" i="9" s="1"/>
  <c r="G285" i="9"/>
  <c r="H285" i="9" s="1"/>
  <c r="G286" i="9"/>
  <c r="H286" i="9" s="1"/>
  <c r="G287" i="9"/>
  <c r="H287" i="9" s="1"/>
  <c r="G288" i="9"/>
  <c r="H288" i="9" s="1"/>
  <c r="G289" i="9"/>
  <c r="H289" i="9" s="1"/>
  <c r="G290" i="9"/>
  <c r="H290" i="9" s="1"/>
  <c r="G291" i="9"/>
  <c r="H291" i="9" s="1"/>
  <c r="G292" i="9"/>
  <c r="H292" i="9" s="1"/>
  <c r="G293" i="9"/>
  <c r="H293" i="9" s="1"/>
  <c r="G294" i="9"/>
  <c r="H294" i="9" s="1"/>
  <c r="G295" i="9"/>
  <c r="H295" i="9" s="1"/>
  <c r="G8" i="9"/>
  <c r="H8" i="9" s="1"/>
  <c r="G9" i="9"/>
  <c r="H9" i="9" s="1"/>
  <c r="G10" i="9"/>
  <c r="H10" i="9" s="1"/>
  <c r="G11" i="9"/>
  <c r="G12" i="9"/>
  <c r="H12" i="9" s="1"/>
  <c r="G13" i="9"/>
  <c r="H13" i="9" s="1"/>
  <c r="G7" i="9"/>
  <c r="H7" i="9" s="1"/>
  <c r="D2" i="9"/>
  <c r="C2" i="9"/>
  <c r="B2" i="9"/>
  <c r="A2" i="9"/>
</calcChain>
</file>

<file path=xl/sharedStrings.xml><?xml version="1.0" encoding="utf-8"?>
<sst xmlns="http://schemas.openxmlformats.org/spreadsheetml/2006/main" count="10427" uniqueCount="5175">
  <si>
    <t xml:space="preserve">BfArM Nummer </t>
  </si>
  <si>
    <t xml:space="preserve"> 1: 1280</t>
  </si>
  <si>
    <t>HIV</t>
  </si>
  <si>
    <t>negativ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</si>
  <si>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</si>
  <si>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</si>
  <si>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</si>
  <si>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</si>
  <si>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</si>
  <si>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</si>
  <si>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</si>
  <si>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</si>
  <si>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</si>
  <si>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</si>
  <si>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</si>
  <si>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</si>
  <si>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</si>
  <si>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</si>
  <si>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</si>
  <si>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</si>
  <si>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</si>
  <si>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</si>
  <si>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</si>
  <si>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</si>
  <si>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</si>
  <si>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</si>
  <si>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</si>
  <si>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</si>
  <si>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</si>
  <si>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</si>
  <si>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</si>
  <si>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</si>
  <si>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</si>
  <si>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</si>
  <si>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</si>
  <si>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</si>
  <si>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</si>
  <si>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</si>
  <si>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</si>
  <si>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</si>
  <si>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</si>
  <si>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</si>
  <si>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</si>
  <si>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</si>
  <si>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</si>
  <si>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</si>
  <si>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</si>
  <si>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</si>
  <si>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</si>
  <si>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</si>
  <si>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</si>
  <si>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</si>
  <si>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</si>
  <si>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</si>
  <si>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</si>
  <si>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</si>
  <si>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</si>
  <si>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</si>
  <si>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</si>
  <si>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</si>
  <si>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</si>
  <si>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</si>
  <si>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</si>
  <si>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</si>
  <si>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</si>
  <si>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</si>
  <si>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</si>
  <si>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</si>
  <si>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</si>
  <si>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</si>
  <si>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</si>
  <si>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</si>
  <si>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</si>
  <si>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</si>
  <si>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</si>
  <si>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</si>
  <si>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</si>
  <si>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</si>
  <si>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</si>
  <si>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</si>
  <si>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</si>
  <si>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</si>
  <si>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</si>
  <si>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</si>
  <si>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</si>
  <si>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</si>
  <si>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</si>
  <si>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</si>
  <si>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</si>
  <si>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</si>
  <si>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</si>
  <si>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</si>
  <si>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</si>
  <si>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</si>
  <si>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</si>
  <si>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</si>
  <si>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</si>
  <si>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</si>
  <si>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</si>
  <si>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</si>
  <si>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</si>
  <si>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</si>
  <si>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</si>
  <si>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</si>
  <si>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</si>
  <si>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</si>
  <si>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</si>
  <si>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</si>
  <si>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</si>
  <si>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</si>
  <si>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</si>
  <si>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</si>
  <si>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</si>
  <si>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</si>
  <si>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</si>
  <si>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</si>
  <si>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</si>
  <si>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</si>
  <si>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</si>
  <si>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</si>
  <si>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</si>
  <si>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</si>
  <si>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</si>
  <si>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</si>
  <si>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</si>
  <si>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</si>
  <si>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</si>
  <si>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</si>
  <si>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</si>
  <si>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</si>
  <si>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</si>
  <si>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</si>
  <si>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</si>
  <si>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</si>
  <si>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</si>
  <si>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</si>
  <si>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</si>
  <si>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</si>
  <si>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</si>
  <si>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</si>
  <si>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</si>
  <si>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</si>
  <si>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</si>
  <si>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</si>
  <si>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</si>
  <si>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</si>
  <si>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</si>
  <si>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</si>
  <si>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</si>
  <si>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</si>
  <si>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</si>
  <si>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</si>
  <si>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Dauer der Einnahme (Tage)</t>
  </si>
  <si>
    <t>Zeitraum: letzte Einnahme bis Krankheitsbeginn (Tage)</t>
  </si>
  <si>
    <t>i.v.</t>
  </si>
  <si>
    <t>i.m.</t>
  </si>
  <si>
    <t>p.o.</t>
  </si>
  <si>
    <t>Dosis (Mg/Verabreichung)</t>
  </si>
  <si>
    <t>Häufigkeit der Einnahme pro Tag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</si>
  <si>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</si>
  <si>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</si>
  <si>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</si>
  <si>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</si>
  <si>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</si>
  <si>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</si>
  <si>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</si>
  <si>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</si>
  <si>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</si>
  <si>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</si>
  <si>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</si>
  <si>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</si>
  <si>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</si>
  <si>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</si>
  <si>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</si>
  <si>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</si>
  <si>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</si>
  <si>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</si>
  <si>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</si>
  <si>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</si>
  <si>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</si>
  <si>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</si>
  <si>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</si>
  <si>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</si>
  <si>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</si>
  <si>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</si>
  <si>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</si>
  <si>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</si>
  <si>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</si>
  <si>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</si>
  <si>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</si>
  <si>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</si>
  <si>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</si>
  <si>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</si>
  <si>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</si>
  <si>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</si>
  <si>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</si>
  <si>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</si>
  <si>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</si>
  <si>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</si>
  <si>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</si>
  <si>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</si>
  <si>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</si>
  <si>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</si>
  <si>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</si>
  <si>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</si>
  <si>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</si>
  <si>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</si>
  <si>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</si>
  <si>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</si>
  <si>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</si>
  <si>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</si>
  <si>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</si>
  <si>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</si>
  <si>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</si>
  <si>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</si>
  <si>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</si>
  <si>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</si>
  <si>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</si>
  <si>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</si>
  <si>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</si>
  <si>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</si>
  <si>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</si>
  <si>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</si>
  <si>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</si>
  <si>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</si>
  <si>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</si>
  <si>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</si>
  <si>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</si>
  <si>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</si>
  <si>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</si>
  <si>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</si>
  <si>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</si>
  <si>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</si>
  <si>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</si>
  <si>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</si>
  <si>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</si>
  <si>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</si>
  <si>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</si>
  <si>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</si>
  <si>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</si>
  <si>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</si>
  <si>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</si>
  <si>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</si>
  <si>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</si>
  <si>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</si>
  <si>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</si>
  <si>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</si>
  <si>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</si>
  <si>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</si>
  <si>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</si>
  <si>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</si>
  <si>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</si>
  <si>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</si>
  <si>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</si>
  <si>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</si>
  <si>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</si>
  <si>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</si>
  <si>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</si>
  <si>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</si>
  <si>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</si>
  <si>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</si>
  <si>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</si>
  <si>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</si>
  <si>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</si>
  <si>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</si>
  <si>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</si>
  <si>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</si>
  <si>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</si>
  <si>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</si>
  <si>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</si>
  <si>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</si>
  <si>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</si>
  <si>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</si>
  <si>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</si>
  <si>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</si>
  <si>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</si>
  <si>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</si>
  <si>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</si>
  <si>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</si>
  <si>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</si>
  <si>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</si>
  <si>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</si>
  <si>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</si>
  <si>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</si>
  <si>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</si>
  <si>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</si>
  <si>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</si>
  <si>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</si>
  <si>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</si>
  <si>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</si>
  <si>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</si>
  <si>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</si>
  <si>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</si>
  <si>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</si>
  <si>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</si>
  <si>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</si>
  <si>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</si>
  <si>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</si>
  <si>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</si>
  <si>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</si>
  <si>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</si>
  <si>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</si>
  <si>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</si>
  <si>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</si>
  <si>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</si>
  <si>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</si>
  <si>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</si>
  <si>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</si>
  <si>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</si>
  <si>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</si>
  <si>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</si>
  <si>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</si>
  <si>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</si>
  <si>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</si>
  <si>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</si>
  <si>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</si>
  <si>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</si>
  <si>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</si>
  <si>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</si>
  <si>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</si>
  <si>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</si>
  <si>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</si>
  <si>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</si>
  <si>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</si>
  <si>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</si>
  <si>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</si>
  <si>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</si>
  <si>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</si>
  <si>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</si>
  <si>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</si>
  <si>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</si>
  <si>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</si>
  <si>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</si>
  <si>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</si>
  <si>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</si>
  <si>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</si>
  <si>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</si>
  <si>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</si>
  <si>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</si>
  <si>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</si>
  <si>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</si>
  <si>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</si>
  <si>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</si>
  <si>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</si>
  <si>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</si>
  <si>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i.c.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</si>
  <si>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</si>
  <si>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</si>
  <si>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</si>
  <si>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</si>
  <si>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</si>
  <si>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</si>
  <si>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</si>
  <si>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</si>
  <si>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</si>
  <si>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</si>
  <si>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</si>
  <si>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</si>
  <si>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</si>
  <si>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</si>
  <si>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</si>
  <si>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</si>
  <si>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</si>
  <si>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</si>
  <si>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</si>
  <si>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</si>
  <si>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</si>
  <si>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</si>
  <si>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</si>
  <si>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</si>
  <si>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</si>
  <si>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</si>
  <si>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</si>
  <si>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</si>
  <si>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</si>
  <si>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</si>
  <si>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Dosis (Tropfen/Verabreichung)</t>
  </si>
  <si>
    <t>Dosis (mmol/Verabreichung)</t>
  </si>
  <si>
    <t>Dosis (EL/Verabreichung)</t>
  </si>
  <si>
    <t>Dosis (mg/Verabreichung)</t>
  </si>
  <si>
    <t>Dosis (Inhalation)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</si>
  <si>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</si>
  <si>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</si>
  <si>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</si>
  <si>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</si>
  <si>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</si>
  <si>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</si>
  <si>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</si>
  <si>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</si>
  <si>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</si>
  <si>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</si>
  <si>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Dosis (Zäpfchen)</t>
  </si>
  <si>
    <t>Dosis (LTbl)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</si>
  <si>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</si>
  <si>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</si>
  <si>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</si>
  <si>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</si>
  <si>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</si>
  <si>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</si>
  <si>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</si>
  <si>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</si>
  <si>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Bronchialkarzinom</t>
  </si>
  <si>
    <t>Mucositis</t>
  </si>
  <si>
    <t>Dosis (IE/Verabreichung)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</si>
  <si>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</si>
  <si>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</si>
  <si>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</si>
  <si>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</si>
  <si>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</si>
  <si>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</si>
  <si>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</si>
  <si>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</si>
  <si>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</si>
  <si>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</si>
  <si>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</si>
  <si>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</si>
  <si>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</si>
  <si>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</si>
  <si>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Dosis (Tbl/Verabreichung)</t>
  </si>
  <si>
    <t>Dosis (Drg/Verabreichung)</t>
  </si>
  <si>
    <t>Dosis (Kps/Verabreichung)</t>
  </si>
  <si>
    <t>Dosis (Trinkampullen/ Verabreichung)</t>
  </si>
  <si>
    <t>Dosis (Trpf/Verabreichung)</t>
  </si>
  <si>
    <t>Dosis (Einheiten/Verabreichung)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</si>
  <si>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</si>
  <si>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</si>
  <si>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</si>
  <si>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Dosis (Tropf/Verabreichung)</t>
  </si>
  <si>
    <t>Nikotinabusus</t>
  </si>
  <si>
    <t>Alkoholabusus</t>
  </si>
  <si>
    <t>Herzschrittmacher</t>
  </si>
  <si>
    <t>Husten</t>
  </si>
  <si>
    <t>Supp. (Zäpfchen)</t>
  </si>
  <si>
    <t>Tonsillitis</t>
  </si>
  <si>
    <t>Otitis media</t>
  </si>
  <si>
    <t>Pneumonie</t>
  </si>
  <si>
    <t>Lichen ruber</t>
  </si>
  <si>
    <t>Dosis (Salbe)</t>
  </si>
  <si>
    <t>Pilzinfektion</t>
  </si>
  <si>
    <t>Durchblutungsstörung</t>
  </si>
  <si>
    <t>Varikosis (Krampfader)</t>
  </si>
  <si>
    <t>Hautkarzinom</t>
  </si>
  <si>
    <t>Z.n. Thyreoidektomie</t>
  </si>
  <si>
    <t>Tbl + Inj</t>
  </si>
  <si>
    <t>50, 2 verschiedene Med mit gleichem Wirkstoff eingenommen</t>
  </si>
  <si>
    <t>Supp.</t>
  </si>
  <si>
    <t>Pharyngitis</t>
  </si>
  <si>
    <t xml:space="preserve">Erythrodermie </t>
  </si>
  <si>
    <t>respiratorische Infektion</t>
  </si>
  <si>
    <t>Lungeninfiltration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</si>
  <si>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</si>
  <si>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</si>
  <si>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</si>
  <si>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</si>
  <si>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</si>
  <si>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</si>
  <si>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</si>
  <si>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</si>
  <si>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</si>
  <si>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</si>
  <si>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</si>
  <si>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</si>
  <si>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</si>
  <si>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</si>
  <si>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</si>
  <si>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</si>
  <si>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</si>
  <si>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</si>
  <si>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</si>
  <si>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</si>
  <si>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</si>
  <si>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</si>
  <si>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</si>
  <si>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</si>
  <si>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</si>
  <si>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</si>
  <si>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</si>
  <si>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</si>
  <si>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</si>
  <si>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</si>
  <si>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</si>
  <si>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</si>
  <si>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</si>
  <si>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</si>
  <si>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</si>
  <si>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</si>
  <si>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</si>
  <si>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</si>
  <si>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</si>
  <si>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</si>
  <si>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</si>
  <si>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</si>
  <si>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</si>
  <si>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</si>
  <si>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</si>
  <si>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</si>
  <si>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</si>
  <si>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</si>
  <si>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</si>
  <si>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</si>
  <si>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</si>
  <si>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</si>
  <si>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</si>
  <si>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</si>
  <si>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</si>
  <si>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</si>
  <si>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</si>
  <si>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Dosis (Mg pro Kg/Verabreichung)</t>
  </si>
  <si>
    <t>topisch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</si>
  <si>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</si>
  <si>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</si>
  <si>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</si>
  <si>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</si>
  <si>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</si>
  <si>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</si>
  <si>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</si>
  <si>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</si>
  <si>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</si>
  <si>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</si>
  <si>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</si>
  <si>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</si>
  <si>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</si>
  <si>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</si>
  <si>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</si>
  <si>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</si>
  <si>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</si>
  <si>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</si>
  <si>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</si>
  <si>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</si>
  <si>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</si>
  <si>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</si>
  <si>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</si>
  <si>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</si>
  <si>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</si>
  <si>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Leukämie</t>
  </si>
  <si>
    <t>Bauchschmerzen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</si>
  <si>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</si>
  <si>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</si>
  <si>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</si>
  <si>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</si>
  <si>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</si>
  <si>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</si>
  <si>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</si>
  <si>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</si>
  <si>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</si>
  <si>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</si>
  <si>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</si>
  <si>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</si>
  <si>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</si>
  <si>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</si>
  <si>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</si>
  <si>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Hypoalbuminaemie</t>
  </si>
  <si>
    <t>Candidose</t>
  </si>
  <si>
    <t>Diarrhoe</t>
  </si>
  <si>
    <t>Lymphadenitis</t>
  </si>
  <si>
    <t>Kopf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</si>
  <si>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</si>
  <si>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</si>
  <si>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</si>
  <si>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</si>
  <si>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</si>
  <si>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</si>
  <si>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</si>
  <si>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</si>
  <si>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</si>
  <si>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</si>
  <si>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</si>
  <si>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</si>
  <si>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</si>
  <si>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</si>
  <si>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</si>
  <si>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</si>
  <si>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</si>
  <si>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</si>
  <si>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</si>
  <si>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</si>
  <si>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</si>
  <si>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</si>
  <si>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</si>
  <si>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</si>
  <si>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</si>
  <si>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</si>
  <si>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</si>
  <si>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</si>
  <si>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</si>
  <si>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</si>
  <si>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</si>
  <si>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</si>
  <si>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</si>
  <si>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</si>
  <si>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</si>
  <si>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</si>
  <si>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</si>
  <si>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</si>
  <si>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</si>
  <si>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</si>
  <si>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</si>
  <si>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</si>
  <si>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</si>
  <si>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</si>
  <si>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</si>
  <si>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</si>
  <si>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</si>
  <si>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</si>
  <si>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</si>
  <si>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</si>
  <si>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</si>
  <si>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</si>
  <si>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</si>
  <si>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</si>
  <si>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</si>
  <si>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</si>
  <si>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</si>
  <si>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</si>
  <si>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</si>
  <si>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</si>
  <si>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</si>
  <si>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</si>
  <si>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</si>
  <si>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</si>
  <si>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</si>
  <si>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</si>
  <si>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</si>
  <si>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</si>
  <si>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</si>
  <si>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</si>
  <si>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</si>
  <si>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</si>
  <si>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</si>
  <si>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</si>
  <si>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</si>
  <si>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</si>
  <si>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</si>
  <si>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</si>
  <si>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</si>
  <si>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</si>
  <si>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</si>
  <si>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</si>
  <si>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</si>
  <si>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</si>
  <si>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</si>
  <si>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</si>
  <si>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</si>
  <si>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</si>
  <si>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</si>
  <si>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</si>
  <si>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</si>
  <si>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</si>
  <si>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</si>
  <si>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</si>
  <si>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</si>
  <si>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</si>
  <si>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</si>
  <si>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</si>
  <si>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</si>
  <si>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</si>
  <si>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</si>
  <si>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</si>
  <si>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</si>
  <si>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</si>
  <si>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</si>
  <si>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</si>
  <si>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</si>
  <si>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</si>
  <si>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</si>
  <si>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</si>
  <si>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</si>
  <si>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</si>
  <si>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</si>
  <si>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</si>
  <si>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</si>
  <si>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</si>
  <si>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</si>
  <si>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</si>
  <si>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</si>
  <si>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</si>
  <si>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</si>
  <si>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</si>
  <si>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</si>
  <si>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</si>
  <si>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</si>
  <si>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</si>
  <si>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</si>
  <si>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</si>
  <si>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</si>
  <si>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</si>
  <si>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</si>
  <si>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</si>
  <si>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</si>
  <si>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</si>
  <si>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</si>
  <si>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</si>
  <si>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</si>
  <si>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</si>
  <si>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</si>
  <si>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</si>
  <si>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</si>
  <si>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</si>
  <si>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</si>
  <si>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</si>
  <si>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</si>
  <si>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</si>
  <si>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</si>
  <si>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</si>
  <si>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</si>
  <si>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</si>
  <si>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</si>
  <si>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</si>
  <si>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</si>
  <si>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</si>
  <si>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</si>
  <si>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</si>
  <si>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</si>
  <si>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</si>
  <si>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Trachea</t>
  </si>
  <si>
    <t>Ösophagus</t>
  </si>
  <si>
    <t>orale Aphten</t>
  </si>
  <si>
    <t>Blanditis</t>
  </si>
  <si>
    <t>tracheal</t>
  </si>
  <si>
    <t>ösophageal</t>
  </si>
  <si>
    <t>Rush</t>
  </si>
  <si>
    <t>gastrointestinale Beschwerden/ Gastritis</t>
  </si>
  <si>
    <t>15(davor in höhrerer Konzentartion eingenommen)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</si>
  <si>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</si>
  <si>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</si>
  <si>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</si>
  <si>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</si>
  <si>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</si>
  <si>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</si>
  <si>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</si>
  <si>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</si>
  <si>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</si>
  <si>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</si>
  <si>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</si>
  <si>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</si>
  <si>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</si>
  <si>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</si>
  <si>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</si>
  <si>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</si>
  <si>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</si>
  <si>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</si>
  <si>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</si>
  <si>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</si>
  <si>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</si>
  <si>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</si>
  <si>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</si>
  <si>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</si>
  <si>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</si>
  <si>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</si>
  <si>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</si>
  <si>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</si>
  <si>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</si>
  <si>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</si>
  <si>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</si>
  <si>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</si>
  <si>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</si>
  <si>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</si>
  <si>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</si>
  <si>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</si>
  <si>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</si>
  <si>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</si>
  <si>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</si>
  <si>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</si>
  <si>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</si>
  <si>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</si>
  <si>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</si>
  <si>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</si>
  <si>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</si>
  <si>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</si>
  <si>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</si>
  <si>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</si>
  <si>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</si>
  <si>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</si>
  <si>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</si>
  <si>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</si>
  <si>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</si>
  <si>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</si>
  <si>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</si>
  <si>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</si>
  <si>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</si>
  <si>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</si>
  <si>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</si>
  <si>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</si>
  <si>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</si>
  <si>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</si>
  <si>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</si>
  <si>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</si>
  <si>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</si>
  <si>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</si>
  <si>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</si>
  <si>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</si>
  <si>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</si>
  <si>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</si>
  <si>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</si>
  <si>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</si>
  <si>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</si>
  <si>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</si>
  <si>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</si>
  <si>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</si>
  <si>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</si>
  <si>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</si>
  <si>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</si>
  <si>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</si>
  <si>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</si>
  <si>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</si>
  <si>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</si>
  <si>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</si>
  <si>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</si>
  <si>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</si>
  <si>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</si>
  <si>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</si>
  <si>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</si>
  <si>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</si>
  <si>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</si>
  <si>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</si>
  <si>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</si>
  <si>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</si>
  <si>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</si>
  <si>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</si>
  <si>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</si>
  <si>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</si>
  <si>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</si>
  <si>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</si>
  <si>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</si>
  <si>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</si>
  <si>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</si>
  <si>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</si>
  <si>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</si>
  <si>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</si>
  <si>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</si>
  <si>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</si>
  <si>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</si>
  <si>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</si>
  <si>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</si>
  <si>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</si>
  <si>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</si>
  <si>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</si>
  <si>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</si>
  <si>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</si>
  <si>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</si>
  <si>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</si>
  <si>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</si>
  <si>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</si>
  <si>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</si>
  <si>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</si>
  <si>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</si>
  <si>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</si>
  <si>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</si>
  <si>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</si>
  <si>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</si>
  <si>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</si>
  <si>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</si>
  <si>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</si>
  <si>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</si>
  <si>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</si>
  <si>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</si>
  <si>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</si>
  <si>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</si>
  <si>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</si>
  <si>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</si>
  <si>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</si>
  <si>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</si>
  <si>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</si>
  <si>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</si>
  <si>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</si>
  <si>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</si>
  <si>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</si>
  <si>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</si>
  <si>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</si>
  <si>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</si>
  <si>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</si>
  <si>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</si>
  <si>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</si>
  <si>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</si>
  <si>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</si>
  <si>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</si>
  <si>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</si>
  <si>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</si>
  <si>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</si>
  <si>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</si>
  <si>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</si>
  <si>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</si>
  <si>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</si>
  <si>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</si>
  <si>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</si>
  <si>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</si>
  <si>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</si>
  <si>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</si>
  <si>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</si>
  <si>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</si>
  <si>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</si>
  <si>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</si>
  <si>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</si>
  <si>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</si>
  <si>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</si>
  <si>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</si>
  <si>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</si>
  <si>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</si>
  <si>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</si>
  <si>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</si>
  <si>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</si>
  <si>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</si>
  <si>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</si>
  <si>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</si>
  <si>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</si>
  <si>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</si>
  <si>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</si>
  <si>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</si>
  <si>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</si>
  <si>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</si>
  <si>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</si>
  <si>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</si>
  <si>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</si>
  <si>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</si>
  <si>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</si>
  <si>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</si>
  <si>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</si>
  <si>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</si>
  <si>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</si>
  <si>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</si>
  <si>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</si>
  <si>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</si>
  <si>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</si>
  <si>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</si>
  <si>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</si>
  <si>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</si>
  <si>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</si>
  <si>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</si>
  <si>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</si>
  <si>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</si>
  <si>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</si>
  <si>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</si>
  <si>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</si>
  <si>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</si>
  <si>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</si>
  <si>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</si>
  <si>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</si>
  <si>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</si>
  <si>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</si>
  <si>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</si>
  <si>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</si>
  <si>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</si>
  <si>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</si>
  <si>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</si>
  <si>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</si>
  <si>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</si>
  <si>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</si>
  <si>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</si>
  <si>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</si>
  <si>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</si>
  <si>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</si>
  <si>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</si>
  <si>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5000 Kiu iu/Tag</t>
  </si>
  <si>
    <t>50mg</t>
  </si>
  <si>
    <t>inhalation</t>
  </si>
  <si>
    <t>transdermal</t>
  </si>
  <si>
    <t>12ug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</si>
  <si>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</si>
  <si>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</si>
  <si>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</si>
  <si>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</si>
  <si>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</si>
  <si>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</si>
  <si>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</si>
  <si>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</si>
  <si>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</si>
  <si>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</si>
  <si>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</si>
  <si>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</si>
  <si>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</si>
  <si>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</si>
  <si>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</si>
  <si>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</si>
  <si>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</si>
  <si>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</si>
  <si>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</si>
  <si>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</si>
  <si>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</si>
  <si>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</si>
  <si>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</si>
  <si>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</si>
  <si>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</si>
  <si>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</si>
  <si>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</si>
  <si>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</si>
  <si>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</si>
  <si>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</si>
  <si>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</si>
  <si>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</si>
  <si>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</si>
  <si>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</si>
  <si>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</si>
  <si>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</si>
  <si>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</si>
  <si>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</si>
  <si>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</si>
  <si>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</si>
  <si>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</si>
  <si>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</si>
  <si>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</si>
  <si>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</si>
  <si>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</si>
  <si>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</si>
  <si>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</si>
  <si>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</si>
  <si>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</si>
  <si>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</si>
  <si>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</si>
  <si>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</si>
  <si>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</si>
  <si>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</si>
  <si>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</si>
  <si>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</si>
  <si>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</si>
  <si>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</si>
  <si>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</si>
  <si>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</si>
  <si>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9,54 unbekannt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</si>
  <si>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</si>
  <si>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</si>
  <si>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</si>
  <si>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</si>
  <si>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</si>
  <si>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</si>
  <si>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</si>
  <si>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</si>
  <si>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</si>
  <si>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</si>
  <si>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</si>
  <si>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</si>
  <si>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</si>
  <si>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</si>
  <si>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</si>
  <si>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</si>
  <si>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</si>
  <si>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</si>
  <si>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</si>
  <si>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</si>
  <si>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</si>
  <si>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</si>
  <si>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</si>
  <si>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</si>
  <si>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</si>
  <si>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</si>
  <si>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</si>
  <si>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</si>
  <si>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</si>
  <si>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</si>
  <si>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</si>
  <si>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</si>
  <si>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</si>
  <si>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</si>
  <si>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</si>
  <si>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</si>
  <si>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</si>
  <si>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</si>
  <si>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</si>
  <si>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</si>
  <si>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</si>
  <si>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</si>
  <si>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</si>
  <si>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</si>
  <si>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</si>
  <si>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</si>
  <si>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</si>
  <si>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</si>
  <si>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</si>
  <si>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</si>
  <si>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</si>
  <si>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</si>
  <si>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</si>
  <si>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</si>
  <si>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</si>
  <si>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</si>
  <si>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</si>
  <si>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</si>
  <si>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</si>
  <si>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</si>
  <si>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</si>
  <si>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</si>
  <si>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</si>
  <si>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</si>
  <si>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</si>
  <si>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</si>
  <si>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</si>
  <si>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</si>
  <si>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</si>
  <si>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</si>
  <si>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</si>
  <si>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</si>
  <si>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</si>
  <si>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</si>
  <si>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</si>
  <si>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</si>
  <si>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</si>
  <si>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</si>
  <si>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</si>
  <si>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</si>
  <si>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</si>
  <si>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</si>
  <si>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</si>
  <si>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</si>
  <si>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</si>
  <si>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</si>
  <si>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</si>
  <si>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</si>
  <si>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</si>
  <si>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</si>
  <si>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</si>
  <si>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</si>
  <si>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</si>
  <si>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</si>
  <si>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</si>
  <si>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</si>
  <si>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</si>
  <si>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</si>
  <si>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</si>
  <si>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</si>
  <si>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</si>
  <si>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</si>
  <si>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</si>
  <si>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</si>
  <si>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</si>
  <si>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</si>
  <si>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</si>
  <si>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</si>
  <si>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</si>
  <si>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</si>
  <si>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</si>
  <si>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</si>
  <si>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</si>
  <si>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</si>
  <si>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</si>
  <si>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</si>
  <si>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</si>
  <si>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</si>
  <si>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</si>
  <si>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</si>
  <si>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</si>
  <si>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</si>
  <si>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</si>
  <si>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</si>
  <si>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</si>
  <si>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</si>
  <si>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</si>
  <si>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</si>
  <si>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</si>
  <si>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</si>
  <si>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</si>
  <si>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</si>
  <si>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</si>
  <si>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</si>
  <si>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</si>
  <si>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</si>
  <si>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</si>
  <si>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</si>
  <si>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</si>
  <si>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</si>
  <si>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</si>
  <si>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</si>
  <si>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</si>
  <si>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</si>
  <si>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</si>
  <si>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</si>
  <si>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</si>
  <si>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</si>
  <si>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</si>
  <si>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</si>
  <si>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</si>
  <si>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</si>
  <si>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</si>
  <si>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</si>
  <si>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</si>
  <si>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</si>
  <si>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</si>
  <si>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</si>
  <si>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</si>
  <si>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</si>
  <si>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</si>
  <si>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</si>
  <si>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</si>
  <si>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</si>
  <si>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</si>
  <si>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</si>
  <si>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</si>
  <si>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</si>
  <si>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</si>
  <si>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</si>
  <si>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</si>
  <si>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</si>
  <si>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</si>
  <si>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</si>
  <si>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</si>
  <si>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</si>
  <si>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</si>
  <si>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</si>
  <si>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</si>
  <si>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</si>
  <si>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</si>
  <si>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</si>
  <si>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</si>
  <si>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</si>
  <si>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</si>
  <si>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</si>
  <si>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</si>
  <si>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</si>
  <si>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</si>
  <si>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</si>
  <si>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</si>
  <si>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</si>
  <si>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</si>
  <si>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</si>
  <si>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</si>
  <si>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</si>
  <si>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</si>
  <si>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</si>
  <si>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</si>
  <si>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</si>
  <si>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</si>
  <si>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</si>
  <si>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</si>
  <si>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</si>
  <si>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</si>
  <si>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</si>
  <si>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</si>
  <si>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</si>
  <si>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</si>
  <si>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</si>
  <si>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</si>
  <si>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</si>
  <si>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</si>
  <si>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</si>
  <si>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</si>
  <si>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</si>
  <si>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</si>
  <si>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</si>
  <si>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</si>
  <si>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</si>
  <si>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</si>
  <si>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</si>
  <si>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</si>
  <si>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</si>
  <si>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</si>
  <si>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</si>
  <si>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</si>
  <si>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</si>
  <si>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</si>
  <si>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</si>
  <si>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</si>
  <si>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</si>
  <si>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</si>
  <si>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</si>
  <si>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</si>
  <si>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</si>
  <si>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</si>
  <si>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</si>
  <si>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</si>
  <si>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</si>
  <si>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</si>
  <si>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</si>
  <si>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</si>
  <si>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</si>
  <si>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</si>
  <si>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</si>
  <si>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</si>
  <si>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</si>
  <si>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</si>
  <si>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</si>
  <si>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</si>
  <si>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</si>
  <si>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</si>
  <si>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</si>
  <si>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</si>
  <si>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</si>
  <si>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</si>
  <si>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</si>
  <si>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</si>
  <si>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</si>
  <si>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</si>
  <si>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</si>
  <si>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</si>
  <si>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</si>
  <si>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</si>
  <si>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</si>
  <si>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</si>
  <si>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</si>
  <si>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</si>
  <si>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</si>
  <si>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</si>
  <si>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</si>
  <si>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</si>
  <si>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</si>
  <si>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</si>
  <si>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</si>
  <si>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</si>
  <si>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</si>
  <si>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</si>
  <si>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</si>
  <si>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</si>
  <si>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</si>
  <si>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</si>
  <si>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</si>
  <si>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</si>
  <si>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</si>
  <si>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</si>
  <si>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</si>
  <si>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</si>
  <si>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</si>
  <si>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</si>
  <si>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</si>
  <si>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</si>
  <si>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</si>
  <si>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</si>
  <si>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</si>
  <si>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</si>
  <si>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</si>
  <si>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</si>
  <si>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</si>
  <si>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</si>
  <si>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</si>
  <si>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</si>
  <si>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</si>
  <si>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</si>
  <si>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</si>
  <si>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</si>
  <si>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</si>
  <si>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</si>
  <si>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</si>
  <si>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</si>
  <si>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</si>
  <si>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</si>
  <si>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</si>
  <si>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</si>
  <si>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</si>
  <si>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</si>
  <si>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</si>
  <si>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</si>
  <si>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</si>
  <si>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</si>
  <si>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</si>
  <si>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</si>
  <si>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</si>
  <si>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</si>
  <si>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</si>
  <si>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</si>
  <si>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</si>
  <si>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</si>
  <si>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</si>
  <si>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</si>
  <si>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</si>
  <si>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</si>
  <si>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</si>
  <si>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</si>
  <si>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</si>
  <si>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</si>
  <si>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</si>
  <si>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</si>
  <si>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</si>
  <si>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</si>
  <si>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</si>
  <si>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</si>
  <si>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</si>
  <si>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</si>
  <si>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</si>
  <si>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</si>
  <si>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</si>
  <si>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</si>
  <si>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</si>
  <si>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</si>
  <si>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</si>
  <si>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</si>
  <si>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</si>
  <si>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</si>
  <si>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</si>
  <si>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</si>
  <si>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</si>
  <si>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</si>
  <si>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</si>
  <si>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</si>
  <si>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</si>
  <si>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</si>
  <si>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</si>
  <si>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</si>
  <si>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</si>
  <si>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</si>
  <si>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</si>
  <si>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</si>
  <si>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</si>
  <si>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</si>
  <si>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</si>
  <si>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</si>
  <si>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</si>
  <si>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</si>
  <si>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</si>
  <si>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</si>
  <si>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</si>
  <si>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</si>
  <si>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</si>
  <si>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</si>
  <si>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</si>
  <si>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</si>
  <si>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</si>
  <si>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</si>
  <si>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</si>
  <si>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</si>
  <si>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</si>
  <si>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</si>
  <si>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</si>
  <si>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</si>
  <si>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</si>
  <si>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</si>
  <si>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</si>
  <si>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</si>
  <si>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</si>
  <si>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</si>
  <si>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</si>
  <si>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</si>
  <si>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</si>
  <si>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</si>
  <si>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</si>
  <si>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</si>
  <si>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</si>
  <si>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</si>
  <si>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</si>
  <si>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</si>
  <si>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</si>
  <si>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</si>
  <si>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</si>
  <si>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</si>
  <si>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</si>
  <si>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</si>
  <si>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</si>
  <si>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</si>
  <si>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</si>
  <si>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</si>
  <si>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</si>
  <si>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</si>
  <si>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</si>
  <si>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</si>
  <si>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</si>
  <si>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</si>
  <si>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</si>
  <si>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</si>
  <si>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</si>
  <si>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</si>
  <si>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</si>
  <si>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</si>
  <si>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</si>
  <si>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</si>
  <si>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</si>
  <si>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</si>
  <si>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</si>
  <si>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</si>
  <si>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</si>
  <si>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</si>
  <si>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</si>
  <si>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</si>
  <si>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</si>
  <si>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</si>
  <si>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</si>
  <si>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</si>
  <si>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</si>
  <si>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</si>
  <si>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</si>
  <si>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</si>
  <si>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</si>
  <si>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</si>
  <si>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</si>
  <si>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</si>
  <si>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</si>
  <si>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</si>
  <si>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</si>
  <si>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</si>
  <si>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</si>
  <si>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</si>
  <si>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</si>
  <si>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</si>
  <si>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</si>
  <si>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</si>
  <si>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</si>
  <si>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</si>
  <si>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</si>
  <si>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</si>
  <si>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</si>
  <si>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</si>
  <si>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</si>
  <si>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</si>
  <si>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</si>
  <si>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</si>
  <si>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</si>
  <si>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</si>
  <si>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</si>
  <si>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</si>
  <si>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</si>
  <si>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</si>
  <si>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</si>
  <si>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</si>
  <si>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</si>
  <si>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</si>
  <si>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</si>
  <si>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</si>
  <si>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</si>
  <si>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</si>
  <si>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</si>
  <si>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</si>
  <si>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</si>
  <si>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</si>
  <si>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</si>
  <si>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</si>
  <si>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</si>
  <si>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</si>
  <si>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</si>
  <si>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</si>
  <si>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</si>
  <si>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</si>
  <si>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</si>
  <si>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</si>
  <si>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</si>
  <si>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</si>
  <si>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</si>
  <si>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</si>
  <si>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</si>
  <si>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</si>
  <si>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</si>
  <si>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</si>
  <si>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</si>
  <si>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</si>
  <si>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</si>
  <si>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</si>
  <si>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</si>
  <si>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</si>
  <si>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</si>
  <si>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</si>
  <si>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</si>
  <si>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</si>
  <si>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</si>
  <si>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</si>
  <si>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</si>
  <si>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</si>
  <si>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</si>
  <si>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</si>
  <si>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</si>
  <si>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</si>
  <si>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</si>
  <si>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</si>
  <si>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</si>
  <si>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</si>
  <si>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</si>
  <si>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</si>
  <si>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</si>
  <si>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</si>
  <si>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</si>
  <si>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</si>
  <si>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</si>
  <si>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</si>
  <si>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</si>
  <si>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</si>
  <si>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</si>
  <si>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</si>
  <si>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</si>
  <si>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</si>
  <si>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</si>
  <si>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</si>
  <si>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</si>
  <si>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</si>
  <si>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</si>
  <si>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</si>
  <si>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</si>
  <si>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</si>
  <si>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</si>
  <si>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</si>
  <si>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</si>
  <si>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</si>
  <si>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</si>
  <si>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</si>
  <si>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</si>
  <si>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</si>
  <si>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</si>
  <si>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</si>
  <si>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</si>
  <si>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</si>
  <si>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</si>
  <si>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</si>
  <si>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</si>
  <si>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</si>
  <si>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</si>
  <si>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</si>
  <si>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</si>
  <si>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</si>
  <si>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</si>
  <si>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</si>
  <si>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</si>
  <si>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</si>
  <si>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</si>
  <si>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</si>
  <si>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</si>
  <si>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</si>
  <si>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</si>
  <si>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</si>
  <si>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</si>
  <si>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</si>
  <si>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</si>
  <si>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</si>
  <si>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</si>
  <si>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</si>
  <si>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</si>
  <si>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</si>
  <si>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</si>
  <si>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</si>
  <si>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</si>
  <si>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</si>
  <si>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</si>
  <si>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</si>
  <si>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</si>
  <si>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</si>
  <si>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</si>
  <si>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</si>
  <si>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</si>
  <si>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</si>
  <si>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</si>
  <si>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</si>
  <si>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</si>
  <si>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</si>
  <si>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</si>
  <si>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</si>
  <si>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</si>
  <si>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</si>
  <si>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</si>
  <si>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</si>
  <si>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</si>
  <si>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</si>
  <si>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</si>
  <si>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</si>
  <si>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</si>
  <si>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</si>
  <si>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</si>
  <si>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</si>
  <si>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</si>
  <si>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</si>
  <si>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</si>
  <si>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</si>
  <si>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</si>
  <si>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</si>
  <si>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</si>
  <si>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</si>
  <si>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</si>
  <si>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</si>
  <si>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</si>
  <si>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</si>
  <si>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</si>
  <si>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</si>
  <si>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</si>
  <si>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</si>
  <si>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</si>
  <si>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</si>
  <si>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</si>
  <si>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</si>
  <si>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</si>
  <si>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</si>
  <si>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</si>
  <si>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</si>
  <si>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</si>
  <si>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</si>
  <si>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</si>
  <si>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</si>
  <si>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</si>
  <si>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</si>
  <si>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</si>
  <si>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</si>
  <si>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</si>
  <si>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</si>
  <si>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</si>
  <si>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</si>
  <si>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</si>
  <si>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</si>
  <si>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</si>
  <si>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</si>
  <si>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</si>
  <si>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</si>
  <si>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</si>
  <si>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</si>
  <si>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</si>
  <si>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</si>
  <si>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</si>
  <si>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</si>
  <si>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</si>
  <si>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</si>
  <si>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</si>
  <si>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</si>
  <si>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</si>
  <si>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</si>
  <si>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</si>
  <si>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</si>
  <si>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</si>
  <si>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</si>
  <si>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</si>
  <si>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</si>
  <si>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</si>
  <si>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</si>
  <si>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</si>
  <si>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</si>
  <si>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</si>
  <si>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</si>
  <si>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</si>
  <si>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</si>
  <si>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</si>
  <si>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</si>
  <si>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</si>
  <si>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</si>
  <si>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</si>
  <si>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</si>
  <si>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</si>
  <si>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</si>
  <si>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</si>
  <si>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</si>
  <si>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</si>
  <si>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</si>
  <si>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</si>
  <si>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</si>
  <si>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</si>
  <si>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</si>
  <si>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</si>
  <si>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</si>
  <si>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</si>
  <si>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</si>
  <si>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</si>
  <si>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</si>
  <si>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</si>
  <si>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</si>
  <si>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</si>
  <si>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</si>
  <si>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</si>
  <si>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</si>
  <si>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</si>
  <si>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</si>
  <si>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</si>
  <si>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</si>
  <si>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</si>
  <si>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</si>
  <si>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</si>
  <si>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</si>
  <si>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</si>
  <si>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</si>
  <si>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</si>
  <si>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</si>
  <si>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</si>
  <si>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</si>
  <si>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</si>
  <si>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</si>
  <si>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</si>
  <si>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</si>
  <si>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</si>
  <si>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</si>
  <si>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</si>
  <si>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</si>
  <si>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</si>
  <si>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</si>
  <si>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</si>
  <si>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</si>
  <si>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</si>
  <si>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</si>
  <si>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</si>
  <si>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</si>
  <si>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</si>
  <si>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</si>
  <si>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</si>
  <si>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</si>
  <si>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</si>
  <si>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</si>
  <si>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</si>
  <si>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</si>
  <si>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</si>
  <si>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</si>
  <si>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</si>
  <si>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</si>
  <si>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</si>
  <si>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</si>
  <si>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</si>
  <si>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</si>
  <si>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</si>
  <si>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</si>
  <si>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</si>
  <si>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</si>
  <si>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</si>
  <si>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</si>
  <si>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</si>
  <si>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</si>
  <si>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</si>
  <si>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</si>
  <si>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</si>
  <si>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</si>
  <si>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</si>
  <si>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</si>
  <si>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</si>
  <si>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</si>
  <si>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</si>
  <si>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</si>
  <si>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</si>
  <si>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</si>
  <si>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</si>
  <si>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</si>
  <si>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</si>
  <si>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</si>
  <si>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</si>
  <si>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</si>
  <si>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</si>
  <si>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</si>
  <si>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38 Einheit unbekannt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</si>
  <si>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</si>
  <si>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</si>
  <si>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</si>
  <si>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</si>
  <si>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</si>
  <si>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</si>
  <si>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</si>
  <si>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</si>
  <si>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</si>
  <si>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</si>
  <si>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</si>
  <si>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</si>
  <si>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</si>
  <si>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</si>
  <si>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</si>
  <si>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</si>
  <si>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</si>
  <si>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</si>
  <si>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</si>
  <si>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</si>
  <si>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</si>
  <si>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</si>
  <si>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</si>
  <si>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</si>
  <si>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</si>
  <si>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</si>
  <si>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</si>
  <si>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</si>
  <si>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</si>
  <si>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</si>
  <si>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</si>
  <si>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</si>
  <si>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</si>
  <si>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</si>
  <si>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</si>
  <si>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</si>
  <si>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</si>
  <si>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</si>
  <si>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</si>
  <si>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</si>
  <si>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</si>
  <si>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</si>
  <si>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</si>
  <si>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</si>
  <si>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</si>
  <si>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</si>
  <si>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</si>
  <si>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</si>
  <si>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</si>
  <si>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</si>
  <si>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</si>
  <si>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</si>
  <si>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</si>
  <si>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</si>
  <si>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</si>
  <si>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</si>
  <si>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</si>
  <si>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</si>
  <si>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</si>
  <si>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</si>
  <si>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</si>
  <si>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</si>
  <si>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</si>
  <si>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</si>
  <si>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</si>
  <si>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</si>
  <si>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</si>
  <si>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</si>
  <si>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</si>
  <si>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</si>
  <si>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</si>
  <si>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</si>
  <si>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</si>
  <si>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</si>
  <si>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</si>
  <si>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</si>
  <si>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</si>
  <si>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</si>
  <si>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</si>
  <si>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</si>
  <si>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</si>
  <si>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</si>
  <si>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</si>
  <si>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</si>
  <si>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</si>
  <si>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</si>
  <si>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</si>
  <si>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</si>
  <si>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</si>
  <si>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</si>
  <si>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</si>
  <si>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</si>
  <si>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</si>
  <si>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</si>
  <si>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</si>
  <si>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</si>
  <si>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</si>
  <si>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</si>
  <si>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</si>
  <si>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</si>
  <si>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</si>
  <si>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</si>
  <si>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</si>
  <si>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</si>
  <si>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</si>
  <si>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</si>
  <si>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</si>
  <si>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</si>
  <si>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</si>
  <si>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</si>
  <si>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</si>
  <si>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</si>
  <si>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</si>
  <si>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</si>
  <si>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</si>
  <si>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</si>
  <si>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</si>
  <si>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</si>
  <si>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</si>
  <si>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</si>
  <si>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</si>
  <si>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</si>
  <si>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</si>
  <si>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</si>
  <si>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</si>
  <si>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</si>
  <si>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</si>
  <si>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</si>
  <si>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</si>
  <si>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</si>
  <si>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</si>
  <si>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</si>
  <si>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</si>
  <si>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</si>
  <si>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</si>
  <si>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</si>
  <si>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</si>
  <si>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</si>
  <si>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</si>
  <si>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</si>
  <si>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</si>
  <si>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</si>
  <si>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</si>
  <si>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</si>
  <si>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</si>
  <si>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</si>
  <si>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</si>
  <si>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</si>
  <si>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</si>
  <si>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</si>
  <si>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</si>
  <si>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</si>
  <si>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</si>
  <si>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</si>
  <si>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</si>
  <si>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</si>
  <si>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</si>
  <si>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</si>
  <si>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</si>
  <si>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</si>
  <si>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</si>
  <si>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</si>
  <si>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</si>
  <si>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</si>
  <si>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</si>
  <si>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</si>
  <si>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</si>
  <si>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</si>
  <si>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</si>
  <si>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</si>
  <si>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</si>
  <si>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</si>
  <si>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</si>
  <si>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</si>
  <si>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75 (anfangs in höherer Konzentration eingenommen)</t>
  </si>
  <si>
    <t>5 (anfangs in niedrigerer Konzentration eingenommen)</t>
  </si>
  <si>
    <t>Dosis (ug/ Verabreichung)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</si>
  <si>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</si>
  <si>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</si>
  <si>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</si>
  <si>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</si>
  <si>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</si>
  <si>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</si>
  <si>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</si>
  <si>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</si>
  <si>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</si>
  <si>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</si>
  <si>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</si>
  <si>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</si>
  <si>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</si>
  <si>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</si>
  <si>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</si>
  <si>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</si>
  <si>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</si>
  <si>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</si>
  <si>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</si>
  <si>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</si>
  <si>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</si>
  <si>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</si>
  <si>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</si>
  <si>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</si>
  <si>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</si>
  <si>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</si>
  <si>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</si>
  <si>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</si>
  <si>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</si>
  <si>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</si>
  <si>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</si>
  <si>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</si>
  <si>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</si>
  <si>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</si>
  <si>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</si>
  <si>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</si>
  <si>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</si>
  <si>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</si>
  <si>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</si>
  <si>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</si>
  <si>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</si>
  <si>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</si>
  <si>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</si>
  <si>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</si>
  <si>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</si>
  <si>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</si>
  <si>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</si>
  <si>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</si>
  <si>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</si>
  <si>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</si>
  <si>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</si>
  <si>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</si>
  <si>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</si>
  <si>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</si>
  <si>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</si>
  <si>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</si>
  <si>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</si>
  <si>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</si>
  <si>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</si>
  <si>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</si>
  <si>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</si>
  <si>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</si>
  <si>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</si>
  <si>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</si>
  <si>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</si>
  <si>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</si>
  <si>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</si>
  <si>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</si>
  <si>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</si>
  <si>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</si>
  <si>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</si>
  <si>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</si>
  <si>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</si>
  <si>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</si>
  <si>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</si>
  <si>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</si>
  <si>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</si>
  <si>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</si>
  <si>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</si>
  <si>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</si>
  <si>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</si>
  <si>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</si>
  <si>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</si>
  <si>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</si>
  <si>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</si>
  <si>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</si>
  <si>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</si>
  <si>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</si>
  <si>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</si>
  <si>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</si>
  <si>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</si>
  <si>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</si>
  <si>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</si>
  <si>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</si>
  <si>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</si>
  <si>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</si>
  <si>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</si>
  <si>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</si>
  <si>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</si>
  <si>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</si>
  <si>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</si>
  <si>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</si>
  <si>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</si>
  <si>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</si>
  <si>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</si>
  <si>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</si>
  <si>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</si>
  <si>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</si>
  <si>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</si>
  <si>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</si>
  <si>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</si>
  <si>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</si>
  <si>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</si>
  <si>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</si>
  <si>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</si>
  <si>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</si>
  <si>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</si>
  <si>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</si>
  <si>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</si>
  <si>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</si>
  <si>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</si>
  <si>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</si>
  <si>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</si>
  <si>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</si>
  <si>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</si>
  <si>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</si>
  <si>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</si>
  <si>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</si>
  <si>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</si>
  <si>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</si>
  <si>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</si>
  <si>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</si>
  <si>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</si>
  <si>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</si>
  <si>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</si>
  <si>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</si>
  <si>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</si>
  <si>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</si>
  <si>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</si>
  <si>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</si>
  <si>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</si>
  <si>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</si>
  <si>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</si>
  <si>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</si>
  <si>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</si>
  <si>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</si>
  <si>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</si>
  <si>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</si>
  <si>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</si>
  <si>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</si>
  <si>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</si>
  <si>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</si>
  <si>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</si>
  <si>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</si>
  <si>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</si>
  <si>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</si>
  <si>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</si>
  <si>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</si>
  <si>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</si>
  <si>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</si>
  <si>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</si>
  <si>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</si>
  <si>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</si>
  <si>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</si>
  <si>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</si>
  <si>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</si>
  <si>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</si>
  <si>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</si>
  <si>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</si>
  <si>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</si>
  <si>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</si>
  <si>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</si>
  <si>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</si>
  <si>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</si>
  <si>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</si>
  <si>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</si>
  <si>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</si>
  <si>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</si>
  <si>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</si>
  <si>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</si>
  <si>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</si>
  <si>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</si>
  <si>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</si>
  <si>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</si>
  <si>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</si>
  <si>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</si>
  <si>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</si>
  <si>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</si>
  <si>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</si>
  <si>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</si>
  <si>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</si>
  <si>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</si>
  <si>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</si>
  <si>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</si>
  <si>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</si>
  <si>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</si>
  <si>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</si>
  <si>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100,5632 korrekt umgerechnet aber kann nicht sein</t>
  </si>
  <si>
    <t>GGT- (u\l) d6w2m3</t>
  </si>
  <si>
    <t>GOT-d2w1m1</t>
  </si>
  <si>
    <t>GOT- (u\l) d6w2m3</t>
  </si>
  <si>
    <t>GPT-d1w1m2</t>
  </si>
  <si>
    <t>GPT- (u\l) d6w2m3</t>
  </si>
  <si>
    <t>GPT- (u\l) d4w2m5</t>
  </si>
  <si>
    <t>125 auch in niedrigerer Konzentration eingenommen</t>
  </si>
  <si>
    <t>Encephalopathy</t>
  </si>
  <si>
    <t>Albumin-d3</t>
  </si>
  <si>
    <t>Lipase-d3w1</t>
  </si>
  <si>
    <t>MCV-d7</t>
  </si>
  <si>
    <t>MCH-d7</t>
  </si>
  <si>
    <t>MCHC-d7</t>
  </si>
  <si>
    <t>Hypokaliämie</t>
  </si>
  <si>
    <t>Augentropfen</t>
  </si>
  <si>
    <t>50 davor in höhrer konzentration eingenommen</t>
  </si>
  <si>
    <t>intraocular</t>
  </si>
  <si>
    <t>10mg 3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</si>
  <si>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</si>
  <si>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</si>
  <si>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</si>
  <si>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</si>
  <si>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</si>
  <si>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</si>
  <si>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</si>
  <si>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</si>
  <si>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</si>
  <si>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</si>
  <si>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</si>
  <si>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</si>
  <si>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</si>
  <si>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</si>
  <si>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</si>
  <si>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</si>
  <si>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</si>
  <si>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</si>
  <si>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</si>
  <si>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</si>
  <si>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</si>
  <si>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</si>
  <si>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</si>
  <si>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</si>
  <si>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</si>
  <si>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</si>
  <si>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</si>
  <si>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</si>
  <si>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</si>
  <si>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</si>
  <si>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</si>
  <si>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</si>
  <si>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</si>
  <si>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</si>
  <si>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</si>
  <si>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</si>
  <si>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</si>
  <si>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</si>
  <si>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</si>
  <si>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</si>
  <si>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</si>
  <si>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</si>
  <si>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</si>
  <si>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</si>
  <si>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</si>
  <si>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</si>
  <si>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</si>
  <si>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</si>
  <si>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</si>
  <si>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</si>
  <si>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</si>
  <si>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</si>
  <si>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</si>
  <si>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</si>
  <si>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</si>
  <si>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</si>
  <si>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</si>
  <si>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</si>
  <si>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</si>
  <si>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</si>
  <si>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</si>
  <si>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</si>
  <si>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</si>
  <si>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</si>
  <si>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</si>
  <si>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</si>
  <si>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</si>
  <si>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</si>
  <si>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</si>
  <si>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</si>
  <si>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</si>
  <si>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</si>
  <si>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</si>
  <si>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</si>
  <si>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</si>
  <si>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</si>
  <si>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</si>
  <si>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</si>
  <si>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</si>
  <si>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</si>
  <si>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</si>
  <si>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</si>
  <si>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</si>
  <si>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</si>
  <si>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</si>
  <si>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</si>
  <si>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</si>
  <si>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</si>
  <si>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</si>
  <si>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</si>
  <si>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</si>
  <si>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</si>
  <si>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</si>
  <si>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</si>
  <si>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</si>
  <si>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</si>
  <si>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</si>
  <si>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</si>
  <si>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</si>
  <si>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</si>
  <si>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</si>
  <si>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</si>
  <si>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</si>
  <si>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</si>
  <si>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</si>
  <si>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</si>
  <si>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</si>
  <si>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</si>
  <si>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</si>
  <si>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</si>
  <si>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</si>
  <si>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</si>
  <si>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</si>
  <si>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</si>
  <si>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</si>
  <si>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</si>
  <si>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</si>
  <si>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</si>
  <si>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</si>
  <si>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</si>
  <si>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</si>
  <si>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</si>
  <si>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</si>
  <si>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</si>
  <si>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</si>
  <si>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</si>
  <si>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</si>
  <si>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</si>
  <si>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</si>
  <si>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</si>
  <si>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</si>
  <si>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</si>
  <si>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</si>
  <si>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</si>
  <si>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</si>
  <si>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</si>
  <si>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</si>
  <si>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</si>
  <si>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</si>
  <si>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</si>
  <si>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</si>
  <si>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</si>
  <si>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</si>
  <si>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</si>
  <si>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</si>
  <si>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</si>
  <si>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</si>
  <si>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</si>
  <si>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</si>
  <si>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</si>
  <si>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</si>
  <si>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</si>
  <si>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</si>
  <si>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</si>
  <si>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</si>
  <si>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</si>
  <si>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</si>
  <si>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</si>
  <si>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</si>
  <si>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</si>
  <si>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</si>
  <si>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</si>
  <si>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</si>
  <si>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</si>
  <si>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</si>
  <si>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</si>
  <si>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</si>
  <si>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</si>
  <si>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</si>
  <si>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</si>
  <si>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</si>
  <si>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</si>
  <si>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</si>
  <si>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</si>
  <si>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</si>
  <si>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</si>
  <si>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</si>
  <si>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</si>
  <si>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</si>
  <si>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</si>
  <si>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</si>
  <si>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</si>
  <si>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</si>
  <si>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</si>
  <si>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</si>
  <si>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</si>
  <si>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</si>
  <si>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</si>
  <si>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</si>
  <si>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</si>
  <si>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</si>
  <si>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</si>
  <si>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</si>
  <si>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</si>
  <si>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</si>
  <si>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</si>
  <si>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</si>
  <si>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</si>
  <si>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</si>
  <si>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</si>
  <si>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</si>
  <si>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</si>
  <si>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</si>
  <si>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</si>
  <si>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</si>
  <si>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</si>
  <si>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</si>
  <si>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</si>
  <si>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</si>
  <si>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</si>
  <si>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</si>
  <si>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4000 IE</t>
  </si>
  <si>
    <t>Dosis (Mg/Tag)</t>
  </si>
  <si>
    <t>Einnahme erflogt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</si>
  <si>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</si>
  <si>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</si>
  <si>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</si>
  <si>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</si>
  <si>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</si>
  <si>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</si>
  <si>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</si>
  <si>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</si>
  <si>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</si>
  <si>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</si>
  <si>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</si>
  <si>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</si>
  <si>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</si>
  <si>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</si>
  <si>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</si>
  <si>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</si>
  <si>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</si>
  <si>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</si>
  <si>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</si>
  <si>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</si>
  <si>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</si>
  <si>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</si>
  <si>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</si>
  <si>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</si>
  <si>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</si>
  <si>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</si>
  <si>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</si>
  <si>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</si>
  <si>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</si>
  <si>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</si>
  <si>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</si>
  <si>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</si>
  <si>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</si>
  <si>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</si>
  <si>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</si>
  <si>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</si>
  <si>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</si>
  <si>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</si>
  <si>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</si>
  <si>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</si>
  <si>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</si>
  <si>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</si>
  <si>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</si>
  <si>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</si>
  <si>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</si>
  <si>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</si>
  <si>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2,9 (als CHE bezeichnet)</t>
  </si>
  <si>
    <t>4,56 KU/L</t>
  </si>
  <si>
    <t>1700 umgerechnet von 1,7 g/dl</t>
  </si>
  <si>
    <t>38600000000 es steht 3,86x10 12/L</t>
  </si>
  <si>
    <t>1447,0372 umgerechnet aus  89.8fl</t>
  </si>
  <si>
    <t>1450,26 umgerechnet aus 90fl</t>
  </si>
  <si>
    <t>643000 umgerechnet von 643mg/l</t>
  </si>
  <si>
    <t>3162000 umgerechnet von 3162 mg/l</t>
  </si>
  <si>
    <t>4015 umgerechnet aus 4,15 nmol/l</t>
  </si>
  <si>
    <t>60 ggt drops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</si>
  <si>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</si>
  <si>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</si>
  <si>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</si>
  <si>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</si>
  <si>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</si>
  <si>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</si>
  <si>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</si>
  <si>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</si>
  <si>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</si>
  <si>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</si>
  <si>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</si>
  <si>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</si>
  <si>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</si>
  <si>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</si>
  <si>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</si>
  <si>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</si>
  <si>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</si>
  <si>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</si>
  <si>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</si>
  <si>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</si>
  <si>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</si>
  <si>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</si>
  <si>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</si>
  <si>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</si>
  <si>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</si>
  <si>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</si>
  <si>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</si>
  <si>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</si>
  <si>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</si>
  <si>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</si>
  <si>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</si>
  <si>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</si>
  <si>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</si>
  <si>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</si>
  <si>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</si>
  <si>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</si>
  <si>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</si>
  <si>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</si>
  <si>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</si>
  <si>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</si>
  <si>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</si>
  <si>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</si>
  <si>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</si>
  <si>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</si>
  <si>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</si>
  <si>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</si>
  <si>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</si>
  <si>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</si>
  <si>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</si>
  <si>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</si>
  <si>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</si>
  <si>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</si>
  <si>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</si>
  <si>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</si>
  <si>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</si>
  <si>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</si>
  <si>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</si>
  <si>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</si>
  <si>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</si>
  <si>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</si>
  <si>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</si>
  <si>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</si>
  <si>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</si>
  <si>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</si>
  <si>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</si>
  <si>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</si>
  <si>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</si>
  <si>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</si>
  <si>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</si>
  <si>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</si>
  <si>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</si>
  <si>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</si>
  <si>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</si>
  <si>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</si>
  <si>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</si>
  <si>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</si>
  <si>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</si>
  <si>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</si>
  <si>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</si>
  <si>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</si>
  <si>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</si>
  <si>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</si>
  <si>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</si>
  <si>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</si>
  <si>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</si>
  <si>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</si>
  <si>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</si>
  <si>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</si>
  <si>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</si>
  <si>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</si>
  <si>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</si>
  <si>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</si>
  <si>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</si>
  <si>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</si>
  <si>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</si>
  <si>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</si>
  <si>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</si>
  <si>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</si>
  <si>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</si>
  <si>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</si>
  <si>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</si>
  <si>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</si>
  <si>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</si>
  <si>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</si>
  <si>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</si>
  <si>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</si>
  <si>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</si>
  <si>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</si>
  <si>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</si>
  <si>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</si>
  <si>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</si>
  <si>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</si>
  <si>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</si>
  <si>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</si>
  <si>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</si>
  <si>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</si>
  <si>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</si>
  <si>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</si>
  <si>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</si>
  <si>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</si>
  <si>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</si>
  <si>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</si>
  <si>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</si>
  <si>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</si>
  <si>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</si>
  <si>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</si>
  <si>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</si>
  <si>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</si>
  <si>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</si>
  <si>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</si>
  <si>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</si>
  <si>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</si>
  <si>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</si>
  <si>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</si>
  <si>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</si>
  <si>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</si>
  <si>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</si>
  <si>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</si>
  <si>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</si>
  <si>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</si>
  <si>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</si>
  <si>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</si>
  <si>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</si>
  <si>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</si>
  <si>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</si>
  <si>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</si>
  <si>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</si>
  <si>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</si>
  <si>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</si>
  <si>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</si>
  <si>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</si>
  <si>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</si>
  <si>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</si>
  <si>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</si>
  <si>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</si>
  <si>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</si>
  <si>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</si>
  <si>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</si>
  <si>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</si>
  <si>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</si>
  <si>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</si>
  <si>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</si>
  <si>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</si>
  <si>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</si>
  <si>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</si>
  <si>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</si>
  <si>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</si>
  <si>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</si>
  <si>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</si>
  <si>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</si>
  <si>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</si>
  <si>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</si>
  <si>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</si>
  <si>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</si>
  <si>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</si>
  <si>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</si>
  <si>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</si>
  <si>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</si>
  <si>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</si>
  <si>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</si>
  <si>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</si>
  <si>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</si>
  <si>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</si>
  <si>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</si>
  <si>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</si>
  <si>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</si>
  <si>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</si>
  <si>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</si>
  <si>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</si>
  <si>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</si>
  <si>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</si>
  <si>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</si>
  <si>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</si>
  <si>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</si>
  <si>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</si>
  <si>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</si>
  <si>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</si>
  <si>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</si>
  <si>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</si>
  <si>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</si>
  <si>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</si>
  <si>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</si>
  <si>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</si>
  <si>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</si>
  <si>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</si>
  <si>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</si>
  <si>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</si>
  <si>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</si>
  <si>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</si>
  <si>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</si>
  <si>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</si>
  <si>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</si>
  <si>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</si>
  <si>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</si>
  <si>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</si>
  <si>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</si>
  <si>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</si>
  <si>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</si>
  <si>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</si>
  <si>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</si>
  <si>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</si>
  <si>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</si>
  <si>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</si>
  <si>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</si>
  <si>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</si>
  <si>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</si>
  <si>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</si>
  <si>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</si>
  <si>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</si>
  <si>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</si>
  <si>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</si>
  <si>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</si>
  <si>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</si>
  <si>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</si>
  <si>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</si>
  <si>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</si>
  <si>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</si>
  <si>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</si>
  <si>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</si>
  <si>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</si>
  <si>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</si>
  <si>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</si>
  <si>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</si>
  <si>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</si>
  <si>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</si>
  <si>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</si>
  <si>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</si>
  <si>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</si>
  <si>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</si>
  <si>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</si>
  <si>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</si>
  <si>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</si>
  <si>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</si>
  <si>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</si>
  <si>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</si>
  <si>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</si>
  <si>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</si>
  <si>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</si>
  <si>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</si>
  <si>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</si>
  <si>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</si>
  <si>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</si>
  <si>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</si>
  <si>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</si>
  <si>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</si>
  <si>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</si>
  <si>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</si>
  <si>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</si>
  <si>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</si>
  <si>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</si>
  <si>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</si>
  <si>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</si>
  <si>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</si>
  <si>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</si>
  <si>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</si>
  <si>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</si>
  <si>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</si>
  <si>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</si>
  <si>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</si>
  <si>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</si>
  <si>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</si>
  <si>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</si>
  <si>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</si>
  <si>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</si>
  <si>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</si>
  <si>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</si>
  <si>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</si>
  <si>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</si>
  <si>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</si>
  <si>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</si>
  <si>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</si>
  <si>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</si>
  <si>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</si>
  <si>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</si>
  <si>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</si>
  <si>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</si>
  <si>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</si>
  <si>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</si>
  <si>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</si>
  <si>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</si>
  <si>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</si>
  <si>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</si>
  <si>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</si>
  <si>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</si>
  <si>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</si>
  <si>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</si>
  <si>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</si>
  <si>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</si>
  <si>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</si>
  <si>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</si>
  <si>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</si>
  <si>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</si>
  <si>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</si>
  <si>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</si>
  <si>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</si>
  <si>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</si>
  <si>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</si>
  <si>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</si>
  <si>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</si>
  <si>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</si>
  <si>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</si>
  <si>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</si>
  <si>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</si>
  <si>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</si>
  <si>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</si>
  <si>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</si>
  <si>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</si>
  <si>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</si>
  <si>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</si>
  <si>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</si>
  <si>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</si>
  <si>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</si>
  <si>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</si>
  <si>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</si>
  <si>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</si>
  <si>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</si>
  <si>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</si>
  <si>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</si>
  <si>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</si>
  <si>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</si>
  <si>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</si>
  <si>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</si>
  <si>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</si>
  <si>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</si>
  <si>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</si>
  <si>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</si>
  <si>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</si>
  <si>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</si>
  <si>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</si>
  <si>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</si>
  <si>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</si>
  <si>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</si>
  <si>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</si>
  <si>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</si>
  <si>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</si>
  <si>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</si>
  <si>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</si>
  <si>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</si>
  <si>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</si>
  <si>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</si>
  <si>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</si>
  <si>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</si>
  <si>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</si>
  <si>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</si>
  <si>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</si>
  <si>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</si>
  <si>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</si>
  <si>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</si>
  <si>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</si>
  <si>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</si>
  <si>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</si>
  <si>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</si>
  <si>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</si>
  <si>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</si>
  <si>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</si>
  <si>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</si>
  <si>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</si>
  <si>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</si>
  <si>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</si>
  <si>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</si>
  <si>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</si>
  <si>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</si>
  <si>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</si>
  <si>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</si>
  <si>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</si>
  <si>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</si>
  <si>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</si>
  <si>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</si>
  <si>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</si>
  <si>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</si>
  <si>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</si>
  <si>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</si>
  <si>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</si>
  <si>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</si>
  <si>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</si>
  <si>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</si>
  <si>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</si>
  <si>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</si>
  <si>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</si>
  <si>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</si>
  <si>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</si>
  <si>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</si>
  <si>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</si>
  <si>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</si>
  <si>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</si>
  <si>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</si>
  <si>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</si>
  <si>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</si>
  <si>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</si>
  <si>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</si>
  <si>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</si>
  <si>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</si>
  <si>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</si>
  <si>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</si>
  <si>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</si>
  <si>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</si>
  <si>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</si>
  <si>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</si>
  <si>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</si>
  <si>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</si>
  <si>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</si>
  <si>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</si>
  <si>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</si>
  <si>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</si>
  <si>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</si>
  <si>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</si>
  <si>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</si>
  <si>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</si>
  <si>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</si>
  <si>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</si>
  <si>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</si>
  <si>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</si>
  <si>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</si>
  <si>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</si>
  <si>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</si>
  <si>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</si>
  <si>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</si>
  <si>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</si>
  <si>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</si>
  <si>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</si>
  <si>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</si>
  <si>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</si>
  <si>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</si>
  <si>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</si>
  <si>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</si>
  <si>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</si>
  <si>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</si>
  <si>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</si>
  <si>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</si>
  <si>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</si>
  <si>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</si>
  <si>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</si>
  <si>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</si>
  <si>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</si>
  <si>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</si>
  <si>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</si>
  <si>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</si>
  <si>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</si>
  <si>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</si>
  <si>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</si>
  <si>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</si>
  <si>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</si>
  <si>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</si>
  <si>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</si>
  <si>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</si>
  <si>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</si>
  <si>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</si>
  <si>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</si>
  <si>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</si>
  <si>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</si>
  <si>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</si>
  <si>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</si>
  <si>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</si>
  <si>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</si>
  <si>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</si>
  <si>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</si>
  <si>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</si>
  <si>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</si>
  <si>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</si>
  <si>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</si>
  <si>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</si>
  <si>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</si>
  <si>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</si>
  <si>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</si>
  <si>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</si>
  <si>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</si>
  <si>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</si>
  <si>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</si>
  <si>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</si>
  <si>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</si>
  <si>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</si>
  <si>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</si>
  <si>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</si>
  <si>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</si>
  <si>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</si>
  <si>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</si>
  <si>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</si>
  <si>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</si>
  <si>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</si>
  <si>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</si>
  <si>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</si>
  <si>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</si>
  <si>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</si>
  <si>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</si>
  <si>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</si>
  <si>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</si>
  <si>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</si>
  <si>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</si>
  <si>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</si>
  <si>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</si>
  <si>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</si>
  <si>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</si>
  <si>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</si>
  <si>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</si>
  <si>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</si>
  <si>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</si>
  <si>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</si>
  <si>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</si>
  <si>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</si>
  <si>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</si>
  <si>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</si>
  <si>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</si>
  <si>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</si>
  <si>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</si>
  <si>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</si>
  <si>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</si>
  <si>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</si>
  <si>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</si>
  <si>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</si>
  <si>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</si>
  <si>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</si>
  <si>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</si>
  <si>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</si>
  <si>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</si>
  <si>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</si>
  <si>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</si>
  <si>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</si>
  <si>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</si>
  <si>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</si>
  <si>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</si>
  <si>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</si>
  <si>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</si>
  <si>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</si>
  <si>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</si>
  <si>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</si>
  <si>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</si>
  <si>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</si>
  <si>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</si>
  <si>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</si>
  <si>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</si>
  <si>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</si>
  <si>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</si>
  <si>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</si>
  <si>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</si>
  <si>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</si>
  <si>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</si>
  <si>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</si>
  <si>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</si>
  <si>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</si>
  <si>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</si>
  <si>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</si>
  <si>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</si>
  <si>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</si>
  <si>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</si>
  <si>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</si>
  <si>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</si>
  <si>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</si>
  <si>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</si>
  <si>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</si>
  <si>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</si>
  <si>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</si>
  <si>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</si>
  <si>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</si>
  <si>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</si>
  <si>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</si>
  <si>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</si>
  <si>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</si>
  <si>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</si>
  <si>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</si>
  <si>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</si>
  <si>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</si>
  <si>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</si>
  <si>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</si>
  <si>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</si>
  <si>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</si>
  <si>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</si>
  <si>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</si>
  <si>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</si>
  <si>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</si>
  <si>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</si>
  <si>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</si>
  <si>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</si>
  <si>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</si>
  <si>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</si>
  <si>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</si>
  <si>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</si>
  <si>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</si>
  <si>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</si>
  <si>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</si>
  <si>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</si>
  <si>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</si>
  <si>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</si>
  <si>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</si>
  <si>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</si>
  <si>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</si>
  <si>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</si>
  <si>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</si>
  <si>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</si>
  <si>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</si>
  <si>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</si>
  <si>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</si>
  <si>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</si>
  <si>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</si>
  <si>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</si>
  <si>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</si>
  <si>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</si>
  <si>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</si>
  <si>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</si>
  <si>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</si>
  <si>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</si>
  <si>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</si>
  <si>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</si>
  <si>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</si>
  <si>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</si>
  <si>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</si>
  <si>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</si>
  <si>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</si>
  <si>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</si>
  <si>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</si>
  <si>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</si>
  <si>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</si>
  <si>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</si>
  <si>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</si>
  <si>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</si>
  <si>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</si>
  <si>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</si>
  <si>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</si>
  <si>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</si>
  <si>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</si>
  <si>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</si>
  <si>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</si>
  <si>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</si>
  <si>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</si>
  <si>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</si>
  <si>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</si>
  <si>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</si>
  <si>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</si>
  <si>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</si>
  <si>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</si>
  <si>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</si>
  <si>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</si>
  <si>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</si>
  <si>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</si>
  <si>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</si>
  <si>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</si>
  <si>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</si>
  <si>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</si>
  <si>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</si>
  <si>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</si>
  <si>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</si>
  <si>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</si>
  <si>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</si>
  <si>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</si>
  <si>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</si>
  <si>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</si>
  <si>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</si>
  <si>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</si>
  <si>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</si>
  <si>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</si>
  <si>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</si>
  <si>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</si>
  <si>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</si>
  <si>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</si>
  <si>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</si>
  <si>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</si>
  <si>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</si>
  <si>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</si>
  <si>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</si>
  <si>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</si>
  <si>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</si>
  <si>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</si>
  <si>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</si>
  <si>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</si>
  <si>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</si>
  <si>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</si>
  <si>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</si>
  <si>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</si>
  <si>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</si>
  <si>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</si>
  <si>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</si>
  <si>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</si>
  <si>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</si>
  <si>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</si>
  <si>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</si>
  <si>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</si>
  <si>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</si>
  <si>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</si>
  <si>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</si>
  <si>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</si>
  <si>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</si>
  <si>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</si>
  <si>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</si>
  <si>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</si>
  <si>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</si>
  <si>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</si>
  <si>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</si>
  <si>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</si>
  <si>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</si>
  <si>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</si>
  <si>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</si>
  <si>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</si>
  <si>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</si>
  <si>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</si>
  <si>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</si>
  <si>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</si>
  <si>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</si>
  <si>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</si>
  <si>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</si>
  <si>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</si>
  <si>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</si>
  <si>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</si>
  <si>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</si>
  <si>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</si>
  <si>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</si>
  <si>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</si>
  <si>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</si>
  <si>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</si>
  <si>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</si>
  <si>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</si>
  <si>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</si>
  <si>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</si>
  <si>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</si>
  <si>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</si>
  <si>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</si>
  <si>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</si>
  <si>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</si>
  <si>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</si>
  <si>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</si>
  <si>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</si>
  <si>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</si>
  <si>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</si>
  <si>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</si>
  <si>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</si>
  <si>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</si>
  <si>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</si>
  <si>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</si>
  <si>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</si>
  <si>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</si>
  <si>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</si>
  <si>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</si>
  <si>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</si>
  <si>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</si>
  <si>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</si>
  <si>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</si>
  <si>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</si>
  <si>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</si>
  <si>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</si>
  <si>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</si>
  <si>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</si>
  <si>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</si>
  <si>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</si>
  <si>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</si>
  <si>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</si>
  <si>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</si>
  <si>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</si>
  <si>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</si>
  <si>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</si>
  <si>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</si>
  <si>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</si>
  <si>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</si>
  <si>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</si>
  <si>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</si>
  <si>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</si>
  <si>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</si>
  <si>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</si>
  <si>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</si>
  <si>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</si>
  <si>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</si>
  <si>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</si>
  <si>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</si>
  <si>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</si>
  <si>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</si>
  <si>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</si>
  <si>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</si>
  <si>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</si>
  <si>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</si>
  <si>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</si>
  <si>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</si>
  <si>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</si>
  <si>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</si>
  <si>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</si>
  <si>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</si>
  <si>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</si>
  <si>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</si>
  <si>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</si>
  <si>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</si>
  <si>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</si>
  <si>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</si>
  <si>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</si>
  <si>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</si>
  <si>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</si>
  <si>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</si>
  <si>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</si>
  <si>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</si>
  <si>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</si>
  <si>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</si>
  <si>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</si>
  <si>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</si>
  <si>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</si>
  <si>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</si>
  <si>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</si>
  <si>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</si>
  <si>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</si>
  <si>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</si>
  <si>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</si>
  <si>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</si>
  <si>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</si>
  <si>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</si>
  <si>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</si>
  <si>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</si>
  <si>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</si>
  <si>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</si>
  <si>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</si>
  <si>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</si>
  <si>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</si>
  <si>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</si>
  <si>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</si>
  <si>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</si>
  <si>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</si>
  <si>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</si>
  <si>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</si>
  <si>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</si>
  <si>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</si>
  <si>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</si>
  <si>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</si>
  <si>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</si>
  <si>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</si>
  <si>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</si>
  <si>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</si>
  <si>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</si>
  <si>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</si>
  <si>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</si>
  <si>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</si>
  <si>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</si>
  <si>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</si>
  <si>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</si>
  <si>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</si>
  <si>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</si>
  <si>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</si>
  <si>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</si>
  <si>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</si>
  <si>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</si>
  <si>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</si>
  <si>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</si>
  <si>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</si>
  <si>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</si>
  <si>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</si>
  <si>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</si>
  <si>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</si>
  <si>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</si>
  <si>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</si>
  <si>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</si>
  <si>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</si>
  <si>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</si>
  <si>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</si>
  <si>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</si>
  <si>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</si>
  <si>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</si>
  <si>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</si>
  <si>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</si>
  <si>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</si>
  <si>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</si>
  <si>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</si>
  <si>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</si>
  <si>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</si>
  <si>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</si>
  <si>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</si>
  <si>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</si>
  <si>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</si>
  <si>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</si>
  <si>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</si>
  <si>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</si>
  <si>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</si>
  <si>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</si>
  <si>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</si>
  <si>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</si>
  <si>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</si>
  <si>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</si>
  <si>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</si>
  <si>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</si>
  <si>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</si>
  <si>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</si>
  <si>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</si>
  <si>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</si>
  <si>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</si>
  <si>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</si>
  <si>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</si>
  <si>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</si>
  <si>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</si>
  <si>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</si>
  <si>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</si>
  <si>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</si>
  <si>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</si>
  <si>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</si>
  <si>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</si>
  <si>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</si>
  <si>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</si>
  <si>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</si>
  <si>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</si>
  <si>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</si>
  <si>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</si>
  <si>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</si>
  <si>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</si>
  <si>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</si>
  <si>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</si>
  <si>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</si>
  <si>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</si>
  <si>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</si>
  <si>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</si>
  <si>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</si>
  <si>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</si>
  <si>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</si>
  <si>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</si>
  <si>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</si>
  <si>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</si>
  <si>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</si>
  <si>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</si>
  <si>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</si>
  <si>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</si>
  <si>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</si>
  <si>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</si>
  <si>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</si>
  <si>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</si>
  <si>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</si>
  <si>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</si>
  <si>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</si>
  <si>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</si>
  <si>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</si>
  <si>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</si>
  <si>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</si>
  <si>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</si>
  <si>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</si>
  <si>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</si>
  <si>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</si>
  <si>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</si>
  <si>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</si>
  <si>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</si>
  <si>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</si>
  <si>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</si>
  <si>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</si>
  <si>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</si>
  <si>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</si>
  <si>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</si>
  <si>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</si>
  <si>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</si>
  <si>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</si>
  <si>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</si>
  <si>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</si>
  <si>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</si>
  <si>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</si>
  <si>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</si>
  <si>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</si>
  <si>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</si>
  <si>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</si>
  <si>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</si>
  <si>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</si>
  <si>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</si>
  <si>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</si>
  <si>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</si>
  <si>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</si>
  <si>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</si>
  <si>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</si>
  <si>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</si>
  <si>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</si>
  <si>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</si>
  <si>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</si>
  <si>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</si>
  <si>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</si>
  <si>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</si>
  <si>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</si>
  <si>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</si>
  <si>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</si>
  <si>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</si>
  <si>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</si>
  <si>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</si>
  <si>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</si>
  <si>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</si>
  <si>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</si>
  <si>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</si>
  <si>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</si>
  <si>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</si>
  <si>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</si>
  <si>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</si>
  <si>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</si>
  <si>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</si>
  <si>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</si>
  <si>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</si>
  <si>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</si>
  <si>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</si>
  <si>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</si>
  <si>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</si>
  <si>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</si>
  <si>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</si>
  <si>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</si>
  <si>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</si>
  <si>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</si>
  <si>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</si>
  <si>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</si>
  <si>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</si>
  <si>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</si>
  <si>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</si>
  <si>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</si>
  <si>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</si>
  <si>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</si>
  <si>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</si>
  <si>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</si>
  <si>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</si>
  <si>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</si>
  <si>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</si>
  <si>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</si>
  <si>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</si>
  <si>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</si>
  <si>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</si>
  <si>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</si>
  <si>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</si>
  <si>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</si>
  <si>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</si>
  <si>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</si>
  <si>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</si>
  <si>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</si>
  <si>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</si>
  <si>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</si>
  <si>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</si>
  <si>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</si>
  <si>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</si>
  <si>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</si>
  <si>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</si>
  <si>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</si>
  <si>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</si>
  <si>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</si>
  <si>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</si>
  <si>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</si>
  <si>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</si>
  <si>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</si>
  <si>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</si>
  <si>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</si>
  <si>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</si>
  <si>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</si>
  <si>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</si>
  <si>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</si>
  <si>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</si>
  <si>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</si>
  <si>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</si>
  <si>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</si>
  <si>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</si>
  <si>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</si>
  <si>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</si>
  <si>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</si>
  <si>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</si>
  <si>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</si>
  <si>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</si>
  <si>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</si>
  <si>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</si>
  <si>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</si>
  <si>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</si>
  <si>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</si>
  <si>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</si>
  <si>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</si>
  <si>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</si>
  <si>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</si>
  <si>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</si>
  <si>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</si>
  <si>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</si>
  <si>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</si>
  <si>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</si>
  <si>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</si>
  <si>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</si>
  <si>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</si>
  <si>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</si>
  <si>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</si>
  <si>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</si>
  <si>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</si>
  <si>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</si>
  <si>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</si>
  <si>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</si>
  <si>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</si>
  <si>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</si>
  <si>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</si>
  <si>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</si>
  <si>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</si>
  <si>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</si>
  <si>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</si>
  <si>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</si>
  <si>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</si>
  <si>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</si>
  <si>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</si>
  <si>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</si>
  <si>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</si>
  <si>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</si>
  <si>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</si>
  <si>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</si>
  <si>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</si>
  <si>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</si>
  <si>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</si>
  <si>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</si>
  <si>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</si>
  <si>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</si>
  <si>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</si>
  <si>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</si>
  <si>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</si>
  <si>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</si>
  <si>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</si>
  <si>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</si>
  <si>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</si>
  <si>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</si>
  <si>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</si>
  <si>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</si>
  <si>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</si>
  <si>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</si>
  <si>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</si>
  <si>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</si>
  <si>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</si>
  <si>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</si>
  <si>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</si>
  <si>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</si>
  <si>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</si>
  <si>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</si>
  <si>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</si>
  <si>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</si>
  <si>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</si>
  <si>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</si>
  <si>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</si>
  <si>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</si>
  <si>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</si>
  <si>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</si>
  <si>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</si>
  <si>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</si>
  <si>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</si>
  <si>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</si>
  <si>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</si>
  <si>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</si>
  <si>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</si>
  <si>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</si>
  <si>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</si>
  <si>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</si>
  <si>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</si>
  <si>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</si>
  <si>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</si>
  <si>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</si>
  <si>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</si>
  <si>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</si>
  <si>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</si>
  <si>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</si>
  <si>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</si>
  <si>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</si>
  <si>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</si>
  <si>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</si>
  <si>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</si>
  <si>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</si>
  <si>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</si>
  <si>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</si>
  <si>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</si>
  <si>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</si>
  <si>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</si>
  <si>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</si>
  <si>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</si>
  <si>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</si>
  <si>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</si>
  <si>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</si>
  <si>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</si>
  <si>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</si>
  <si>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</si>
  <si>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</si>
  <si>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</si>
  <si>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</si>
  <si>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</si>
  <si>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</si>
  <si>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</si>
  <si>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</si>
  <si>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</si>
  <si>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</si>
  <si>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</si>
  <si>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</si>
  <si>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</si>
  <si>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</si>
  <si>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</si>
  <si>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</si>
  <si>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</si>
  <si>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</si>
  <si>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</si>
  <si>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</si>
  <si>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</si>
  <si>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</si>
  <si>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</si>
  <si>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</si>
  <si>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</si>
  <si>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</si>
  <si>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</si>
  <si>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</si>
  <si>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</si>
  <si>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</si>
  <si>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</si>
  <si>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</si>
  <si>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</si>
  <si>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</si>
  <si>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</si>
  <si>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</si>
  <si>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</si>
  <si>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</si>
  <si>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</si>
  <si>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</si>
  <si>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</si>
  <si>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</si>
  <si>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</si>
  <si>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</si>
  <si>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</si>
  <si>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</si>
  <si>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</si>
  <si>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</si>
  <si>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</si>
  <si>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</si>
  <si>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</si>
  <si>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</si>
  <si>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</si>
  <si>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</si>
  <si>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</si>
  <si>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</si>
  <si>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</si>
  <si>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</si>
  <si>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</si>
  <si>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</si>
  <si>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</si>
  <si>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</si>
  <si>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</si>
  <si>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</si>
  <si>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</si>
  <si>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</si>
  <si>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</si>
  <si>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</si>
  <si>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</si>
  <si>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</si>
  <si>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</si>
  <si>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</si>
  <si>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</si>
  <si>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</si>
  <si>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</si>
  <si>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</si>
  <si>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</si>
  <si>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</si>
  <si>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</si>
  <si>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</si>
  <si>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</si>
  <si>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</si>
  <si>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</si>
  <si>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</si>
  <si>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</si>
  <si>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</si>
  <si>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</si>
  <si>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</si>
  <si>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</si>
  <si>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</si>
  <si>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</si>
  <si>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</si>
  <si>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</si>
  <si>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</si>
  <si>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</si>
  <si>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</si>
  <si>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</si>
  <si>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</si>
  <si>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</si>
  <si>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</si>
  <si>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</si>
  <si>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</si>
  <si>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</si>
  <si>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</si>
  <si>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</si>
  <si>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</si>
  <si>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</si>
  <si>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</si>
  <si>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</si>
  <si>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</si>
  <si>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</si>
  <si>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</si>
  <si>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</si>
  <si>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</si>
  <si>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</si>
  <si>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</si>
  <si>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</si>
  <si>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</si>
  <si>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</si>
  <si>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</si>
  <si>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</si>
  <si>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</si>
  <si>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</si>
  <si>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</si>
  <si>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</si>
  <si>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</si>
  <si>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</si>
  <si>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</si>
  <si>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</si>
  <si>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</si>
  <si>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</si>
  <si>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</si>
  <si>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</si>
  <si>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</si>
  <si>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</si>
  <si>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</si>
  <si>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</si>
  <si>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</si>
  <si>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</si>
  <si>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</si>
  <si>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</si>
  <si>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</si>
  <si>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</si>
  <si>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</si>
  <si>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</si>
  <si>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</si>
  <si>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</si>
  <si>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</si>
  <si>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</si>
  <si>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</si>
  <si>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</si>
  <si>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</si>
  <si>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</si>
  <si>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</si>
  <si>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</si>
  <si>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</si>
  <si>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</si>
  <si>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</si>
  <si>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</si>
  <si>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</si>
  <si>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</si>
  <si>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</si>
  <si>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</si>
  <si>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</si>
  <si>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</si>
  <si>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</si>
  <si>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</si>
  <si>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</si>
  <si>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</si>
  <si>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</si>
  <si>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</si>
  <si>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</si>
  <si>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</si>
  <si>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</si>
  <si>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</si>
  <si>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</si>
  <si>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</si>
  <si>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</si>
  <si>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</si>
  <si>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</si>
  <si>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</si>
  <si>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</si>
  <si>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</si>
  <si>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</si>
  <si>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</si>
  <si>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</si>
  <si>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</si>
  <si>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</si>
  <si>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</si>
  <si>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</si>
  <si>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</si>
  <si>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</si>
  <si>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</si>
  <si>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</si>
  <si>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</si>
  <si>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</si>
  <si>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</si>
  <si>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</si>
  <si>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</si>
  <si>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</si>
  <si>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</si>
  <si>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</si>
  <si>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</si>
  <si>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</si>
  <si>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</si>
  <si>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</si>
  <si>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</si>
  <si>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</si>
  <si>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</si>
  <si>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</si>
  <si>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</si>
  <si>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</si>
  <si>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</si>
  <si>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</si>
  <si>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</si>
  <si>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</si>
  <si>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</si>
  <si>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</si>
  <si>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</si>
  <si>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</si>
  <si>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</si>
  <si>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</si>
  <si>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</si>
  <si>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</si>
  <si>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</si>
  <si>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</si>
  <si>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</si>
  <si>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</si>
  <si>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</si>
  <si>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</si>
  <si>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</si>
  <si>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</si>
  <si>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</si>
  <si>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</si>
  <si>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</si>
  <si>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</si>
  <si>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</si>
  <si>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</si>
  <si>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</si>
  <si>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</si>
  <si>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</si>
  <si>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</si>
  <si>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</si>
  <si>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</si>
  <si>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</si>
  <si>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</si>
  <si>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</si>
  <si>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</si>
  <si>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</si>
  <si>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</si>
  <si>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</si>
  <si>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</si>
  <si>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</si>
  <si>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</si>
  <si>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</si>
  <si>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</si>
  <si>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</si>
  <si>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</si>
  <si>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</si>
  <si>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</si>
  <si>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</si>
  <si>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</si>
  <si>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</si>
  <si>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</si>
  <si>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</si>
  <si>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</si>
  <si>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</si>
  <si>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</si>
  <si>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</si>
  <si>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</si>
  <si>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</si>
  <si>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</si>
  <si>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</si>
  <si>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</si>
  <si>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</si>
  <si>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</si>
  <si>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</si>
  <si>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</si>
  <si>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</si>
  <si>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</si>
  <si>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</si>
  <si>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</si>
  <si>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</si>
  <si>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</si>
  <si>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</si>
  <si>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</si>
  <si>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</si>
  <si>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</si>
  <si>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</si>
  <si>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</si>
  <si>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</si>
  <si>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</si>
  <si>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</si>
  <si>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</si>
  <si>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</si>
  <si>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</si>
  <si>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</si>
  <si>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</si>
  <si>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</si>
  <si>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</si>
  <si>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</si>
  <si>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</si>
  <si>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</si>
  <si>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</si>
  <si>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</si>
  <si>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</si>
  <si>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</si>
  <si>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</si>
  <si>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</si>
  <si>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</si>
  <si>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</si>
  <si>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</si>
  <si>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</si>
  <si>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</si>
  <si>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</si>
  <si>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</si>
  <si>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</si>
  <si>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</si>
  <si>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</si>
  <si>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</si>
  <si>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</si>
  <si>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</si>
  <si>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</si>
  <si>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</si>
  <si>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</si>
  <si>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</si>
  <si>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</si>
  <si>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</si>
  <si>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</si>
  <si>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</si>
  <si>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</si>
  <si>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</si>
  <si>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</si>
  <si>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</si>
  <si>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</si>
  <si>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</si>
  <si>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</si>
  <si>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</si>
  <si>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</si>
  <si>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</si>
  <si>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</si>
  <si>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</si>
  <si>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</si>
  <si>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</si>
  <si>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</si>
  <si>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</si>
  <si>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</si>
  <si>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</si>
  <si>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</si>
  <si>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</si>
  <si>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</si>
  <si>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</si>
  <si>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</si>
  <si>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</si>
  <si>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</si>
  <si>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</si>
  <si>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</si>
  <si>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</si>
  <si>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</si>
  <si>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</si>
  <si>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</si>
  <si>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</si>
  <si>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</si>
  <si>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</si>
  <si>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</si>
  <si>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</si>
  <si>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</si>
  <si>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</si>
  <si>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</si>
  <si>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</si>
  <si>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</si>
  <si>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</si>
  <si>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</si>
  <si>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</si>
  <si>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</si>
  <si>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</si>
  <si>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</si>
  <si>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</si>
  <si>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</si>
  <si>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</si>
  <si>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</si>
  <si>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</si>
  <si>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</si>
  <si>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</si>
  <si>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</si>
  <si>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</si>
  <si>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</si>
  <si>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</si>
  <si>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</si>
  <si>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</si>
  <si>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</si>
  <si>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</si>
  <si>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</si>
  <si>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</si>
  <si>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</si>
  <si>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</si>
  <si>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</si>
  <si>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</si>
  <si>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</si>
  <si>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</si>
  <si>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</si>
  <si>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</si>
  <si>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</si>
  <si>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</si>
  <si>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</si>
  <si>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</si>
  <si>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</si>
  <si>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</si>
  <si>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</si>
  <si>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</si>
  <si>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</si>
  <si>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</si>
  <si>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</si>
  <si>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</si>
  <si>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</si>
  <si>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</si>
  <si>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</si>
  <si>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</si>
  <si>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</si>
  <si>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</si>
  <si>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</si>
  <si>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</si>
  <si>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</si>
  <si>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</si>
  <si>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</si>
  <si>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</si>
  <si>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</si>
  <si>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</si>
  <si>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</si>
  <si>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</si>
  <si>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</si>
  <si>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</si>
  <si>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</si>
  <si>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</si>
  <si>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</si>
  <si>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</si>
  <si>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</si>
  <si>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</si>
  <si>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</si>
  <si>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</si>
  <si>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</si>
  <si>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</si>
  <si>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</si>
  <si>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</si>
  <si>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</si>
  <si>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</si>
  <si>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</si>
  <si>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</si>
  <si>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</si>
  <si>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</si>
  <si>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</si>
  <si>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</si>
  <si>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</si>
  <si>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</si>
  <si>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</si>
  <si>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</si>
  <si>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</si>
  <si>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</si>
  <si>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</si>
  <si>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</si>
  <si>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</si>
  <si>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</si>
  <si>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</si>
  <si>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</si>
  <si>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</si>
  <si>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</si>
  <si>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</si>
  <si>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</si>
  <si>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</si>
  <si>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</si>
  <si>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</si>
  <si>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</si>
  <si>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</si>
  <si>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</si>
  <si>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</si>
  <si>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</si>
  <si>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</si>
  <si>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</si>
  <si>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</si>
  <si>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</si>
  <si>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</si>
  <si>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</si>
  <si>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</si>
  <si>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</si>
  <si>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</si>
  <si>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</si>
  <si>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</si>
  <si>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</si>
  <si>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</si>
  <si>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</si>
  <si>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</si>
  <si>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</si>
  <si>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</si>
  <si>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</si>
  <si>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</si>
  <si>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</si>
  <si>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</si>
  <si>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</si>
  <si>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</si>
  <si>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</si>
  <si>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</si>
  <si>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</si>
  <si>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</si>
  <si>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</si>
  <si>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</si>
  <si>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</si>
  <si>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</si>
  <si>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</si>
  <si>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</si>
  <si>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</si>
  <si>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</si>
  <si>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</si>
  <si>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</si>
  <si>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</si>
  <si>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</si>
  <si>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</si>
  <si>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</si>
  <si>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</si>
  <si>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</si>
  <si>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</si>
  <si>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</si>
  <si>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</si>
  <si>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</si>
  <si>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</si>
  <si>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</si>
  <si>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</si>
  <si>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</si>
  <si>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</si>
  <si>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</si>
  <si>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</si>
  <si>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</si>
  <si>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</si>
  <si>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</si>
  <si>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</si>
  <si>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</si>
  <si>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</si>
  <si>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Lactat Day_Unknown</t>
  </si>
  <si>
    <t>Lactat Day1</t>
  </si>
  <si>
    <t>Lactat Day2</t>
  </si>
  <si>
    <t>Lactat Day5</t>
  </si>
  <si>
    <t>Urobilirubinogen Day9</t>
  </si>
  <si>
    <t>Phosphat Day8_From Start</t>
  </si>
  <si>
    <t>Phosphat Day_Unknown</t>
  </si>
  <si>
    <t>Phosphat Day1</t>
  </si>
  <si>
    <t>Phosphat Day2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</si>
  <si>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</si>
  <si>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</si>
  <si>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</si>
  <si>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</si>
  <si>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</si>
  <si>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</si>
  <si>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</si>
  <si>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</si>
  <si>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</si>
  <si>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</si>
  <si>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Treatment2</t>
  </si>
  <si>
    <t>Diclofenac_Dosis (Mg/Verabreichung)</t>
  </si>
  <si>
    <t>Ibuprofen_Dosis (Mg/Verabreichung)</t>
  </si>
  <si>
    <t>Paracetamol_Dosis (Mg/Verabreichung)</t>
  </si>
  <si>
    <t>Cetylpyridiniumchlorid, Benzocain (Halsschmerzen)</t>
  </si>
  <si>
    <t>Morphinsulfat (Opioid)</t>
  </si>
  <si>
    <t>Tramadol (Opioid)</t>
  </si>
  <si>
    <t>Oxycodonhydrochlorid (Opioid)</t>
  </si>
  <si>
    <t>Piritramid (Opioid)</t>
  </si>
  <si>
    <t>Fentanyldihydrogencitrat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</si>
  <si>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</si>
  <si>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</si>
  <si>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</si>
  <si>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</si>
  <si>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</si>
  <si>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</si>
  <si>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Meprivacain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</si>
  <si>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</si>
  <si>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</si>
  <si>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</si>
  <si>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</si>
  <si>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</si>
  <si>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</si>
  <si>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</si>
  <si>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</si>
  <si>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</si>
  <si>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</si>
  <si>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</si>
  <si>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</si>
  <si>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</si>
  <si>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</si>
  <si>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Cefaclor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</si>
  <si>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</si>
  <si>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</si>
  <si>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</si>
  <si>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</si>
  <si>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</si>
  <si>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</si>
  <si>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</si>
  <si>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</si>
  <si>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</si>
  <si>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</si>
  <si>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</si>
  <si>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</si>
  <si>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</si>
  <si>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</si>
  <si>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</si>
  <si>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</si>
  <si>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</si>
  <si>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Lorazepam (Benzodiazepim)</t>
  </si>
  <si>
    <t>Lormetazepam (Benzodiazepin)</t>
  </si>
  <si>
    <t>Oxazepam (Benzodiazepin)</t>
  </si>
  <si>
    <t>Bromazepam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</si>
  <si>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</si>
  <si>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</si>
  <si>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</si>
  <si>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</si>
  <si>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</si>
  <si>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</si>
  <si>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</si>
  <si>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</si>
  <si>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</si>
  <si>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</si>
  <si>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</si>
  <si>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</si>
  <si>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</si>
  <si>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Reserpin, Clopamid (Diuretikum)</t>
  </si>
  <si>
    <t>Allopurinol (gegen Harnsäure)</t>
  </si>
  <si>
    <t>"Blutdrucktablette"</t>
  </si>
  <si>
    <t>Nifredipin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</si>
  <si>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</si>
  <si>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</si>
  <si>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</si>
  <si>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</si>
  <si>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</si>
  <si>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</si>
  <si>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Olmesartan medoxomil (Hypertonie)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</si>
  <si>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</si>
  <si>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</si>
  <si>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</si>
  <si>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</si>
  <si>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</si>
  <si>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</si>
  <si>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</si>
  <si>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</si>
  <si>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</si>
  <si>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</si>
  <si>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</si>
  <si>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</si>
  <si>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</si>
  <si>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</si>
  <si>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</si>
  <si>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</si>
  <si>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</si>
  <si>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</si>
  <si>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</si>
  <si>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</si>
  <si>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</si>
  <si>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</si>
  <si>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</si>
  <si>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</si>
  <si>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</si>
  <si>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</si>
  <si>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</si>
  <si>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</si>
  <si>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Amiodaron (Antiarrhythmikum)</t>
  </si>
  <si>
    <t>Verapamil (Antiarrhythmikum)</t>
  </si>
  <si>
    <t>Molsidomin (Angina pectoris)</t>
  </si>
  <si>
    <t>Atenolol, Clortalidon (Hypertonus)</t>
  </si>
  <si>
    <t>Metoprolol (Hypertonus)</t>
  </si>
  <si>
    <t>Nifedipin (Hypertonus)</t>
  </si>
  <si>
    <t>Torasemid (Hypertonie)</t>
  </si>
  <si>
    <t>Buflomedil Hydrochlorid (periphera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</si>
  <si>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</si>
  <si>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</si>
  <si>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</si>
  <si>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</si>
  <si>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</si>
  <si>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</si>
  <si>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Clopitogrel (Gerinnungshemmer)</t>
  </si>
  <si>
    <t>Rivaroxaban (Gerinnungshemmer)</t>
  </si>
  <si>
    <t>Enoxaparin (Gerinnungshemmer)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</si>
  <si>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</si>
  <si>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</si>
  <si>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</si>
  <si>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</si>
  <si>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</si>
  <si>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</si>
  <si>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</si>
  <si>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</si>
  <si>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</si>
  <si>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</si>
  <si>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</si>
  <si>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</si>
  <si>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</si>
  <si>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</si>
  <si>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</si>
  <si>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</si>
  <si>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</si>
  <si>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</si>
  <si>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</si>
  <si>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</si>
  <si>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</si>
  <si>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</si>
  <si>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</si>
  <si>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</si>
  <si>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</si>
  <si>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</si>
  <si>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</si>
  <si>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</si>
  <si>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</si>
  <si>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</si>
  <si>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</si>
  <si>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</si>
  <si>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</si>
  <si>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</si>
  <si>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</si>
  <si>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</si>
  <si>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</si>
  <si>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</si>
  <si>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</si>
  <si>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</si>
  <si>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</si>
  <si>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</si>
  <si>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</si>
  <si>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Trimetobenzymid (Übelkeit)</t>
  </si>
  <si>
    <t>Bisacodyl (Obstipation)</t>
  </si>
  <si>
    <t>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</si>
  <si>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</si>
  <si>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</si>
  <si>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</si>
  <si>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</si>
  <si>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</si>
  <si>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</si>
  <si>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</si>
  <si>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</si>
  <si>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</si>
  <si>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</si>
  <si>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</si>
  <si>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</si>
  <si>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</si>
  <si>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</si>
  <si>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</si>
  <si>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</si>
  <si>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</si>
  <si>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</si>
  <si>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Thymus-Peptide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</si>
  <si>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</si>
  <si>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</si>
  <si>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</si>
  <si>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</si>
  <si>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</si>
  <si>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Celecoxib (Arthritis)</t>
  </si>
  <si>
    <t>Etoricoxib (Arthritis)</t>
  </si>
  <si>
    <t>Leflunomid (Immunsuppresivum)</t>
  </si>
  <si>
    <t>Pyridostigmin bromid (Myasthenia gravis)</t>
  </si>
  <si>
    <t>Interferon beta (Multiple Sklerose)</t>
  </si>
  <si>
    <t>Pancuronium (Muskellähmung)</t>
  </si>
  <si>
    <t>Methylnicotinat, Rad. Symphyi Fluidextr. (Muskelrelaxtant)</t>
  </si>
  <si>
    <t>Tetrazepam (Muskelrelaxtanz)</t>
  </si>
  <si>
    <t>Cisatracuriumbesilat (Muskelrelaxation)</t>
  </si>
  <si>
    <t>Mephensin (Muskelrelaxtant)</t>
  </si>
  <si>
    <t>Chlormezanon (Muskelrelaxant)</t>
  </si>
  <si>
    <t>Phenytoin (Epilepsie)</t>
  </si>
  <si>
    <t>Carbamazepin (gegen Epilepsie)</t>
  </si>
  <si>
    <t>Lamotrigin (Antiepileptikum)</t>
  </si>
  <si>
    <t>Oxcarbazepin (Antiepileptikum)</t>
  </si>
  <si>
    <t>Promazin (Neuroleptikum)</t>
  </si>
  <si>
    <t>Prothipendyl (Neuroleptikum)</t>
  </si>
  <si>
    <t>Aripiprazol (Psychopharmakum)</t>
  </si>
  <si>
    <t>Pipamperon (Psychopharmakum)</t>
  </si>
  <si>
    <t>Risperidon (Psychopharmakum)</t>
  </si>
  <si>
    <t>Fluspirilene (Psychopharmakum)</t>
  </si>
  <si>
    <t>Escitalopram oxalat (Psychopharmakum)</t>
  </si>
  <si>
    <t>Amitriptylin (Antidepressivum)</t>
  </si>
  <si>
    <t>Trimipramin Maleate (Antidepressivum)</t>
  </si>
  <si>
    <t>Fluoxetin (Antidepressivum)</t>
  </si>
  <si>
    <t>Citalopram (Antidepressivum)</t>
  </si>
  <si>
    <t>Agemelatin (Antidepressivum)</t>
  </si>
  <si>
    <t>Mirtazapin (Antidepressivum)</t>
  </si>
  <si>
    <t>Clomipramin hydrochlorid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</si>
  <si>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</si>
  <si>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</si>
  <si>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</si>
  <si>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</si>
  <si>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</si>
  <si>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</si>
  <si>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</si>
  <si>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</si>
  <si>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</si>
  <si>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</si>
  <si>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</si>
  <si>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</si>
  <si>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Miconazol (Antimykotikum)</t>
  </si>
  <si>
    <t>Aciclovir (Antimykotikum)</t>
  </si>
  <si>
    <t>Clotrimazol (Antimykotikum)</t>
  </si>
  <si>
    <t>Dexpanthenol (Polyen - Hautmedikament)</t>
  </si>
  <si>
    <t>Betamethason (Hautmedikament)</t>
  </si>
  <si>
    <t>Ammoidin (Hautmedikament)</t>
  </si>
  <si>
    <t>Urea-Salbe (gegen trockene Haut)</t>
  </si>
  <si>
    <t>Acitretin (Schuppenflechte)</t>
  </si>
  <si>
    <t>Isopromethazin hydrochlorid (Antihistaminikum)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</si>
  <si>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</si>
  <si>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</si>
  <si>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</si>
  <si>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</si>
  <si>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</si>
  <si>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</si>
  <si>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</si>
  <si>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Levothyroxin-Natrium (Schilddrüsenhormon)</t>
  </si>
  <si>
    <t>Thiamazol (Schilddrüsenmedikament)</t>
  </si>
  <si>
    <t>Benserazide, Levodopa (Parkinsonmedikament)</t>
  </si>
  <si>
    <t>Ropinirol (Parkinsonmedikament)</t>
  </si>
  <si>
    <t>"Die Pille", Kontrazeptiva, Antikonvulsiva</t>
  </si>
  <si>
    <t>Pregabalin (Antikonvulsativum)</t>
  </si>
  <si>
    <t>Desogestrel (Antikonvulsativum)</t>
  </si>
  <si>
    <t>Gabapentin (Antikonvulsativum)</t>
  </si>
  <si>
    <t>Valproat (Antikonvulsivum)</t>
  </si>
  <si>
    <t>Dienogest, ethinylestradiol (Antikonvulsativum)</t>
  </si>
  <si>
    <t>Estradiol, Norethisteronacetat (Wechseljahrbeschwerden)</t>
  </si>
  <si>
    <t>Cimicifuga (Wechseljahrbeschwerden)</t>
  </si>
  <si>
    <t>Sildenafil (Viagra)</t>
  </si>
  <si>
    <t>Östrogen</t>
  </si>
  <si>
    <t>Tetryzolin (Augentropfen trockene Augen)</t>
  </si>
  <si>
    <t>Latanoprost (Glaukom)</t>
  </si>
  <si>
    <t>Tadalafil (Errketionsstörungen)</t>
  </si>
  <si>
    <t>Cephazolin-Natrium (Infektionsprophylaxe)</t>
  </si>
  <si>
    <t>Oseltamivir (antiviral Grippe)</t>
  </si>
  <si>
    <t>Zanamivir (Grippemedikament)</t>
  </si>
  <si>
    <t>Influanca-Vaczin</t>
  </si>
  <si>
    <t>Adamnatanaminsulfat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</si>
  <si>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</si>
  <si>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</si>
  <si>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</si>
  <si>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</si>
  <si>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</si>
  <si>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</si>
  <si>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Videx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</si>
  <si>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</si>
  <si>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</si>
  <si>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</si>
  <si>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</si>
  <si>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</si>
  <si>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</si>
  <si>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(Krebsmedikament)</t>
  </si>
  <si>
    <t>Sunitinib (Chemotherapeutikum)</t>
  </si>
  <si>
    <t>Ergocalciferol, Calciumphosphat, Calciumsodiumlactat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</si>
  <si>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</si>
  <si>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</si>
  <si>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</si>
  <si>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</si>
  <si>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</si>
  <si>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Natriumselenit (Strahlentherapie)</t>
  </si>
  <si>
    <t>Methotrexat sodium (Zytostatikum)</t>
  </si>
  <si>
    <t>Cyclophosphamid (Zytostatikum)</t>
  </si>
  <si>
    <t>Filgrastim (Wachstumsfaktor für weiße Blutkörperchen)</t>
  </si>
  <si>
    <t>Tamsulosin hydrochlorid (Prostatahyperplasie)</t>
  </si>
  <si>
    <t>Röntgenkontrastmittel (Gadodiamid)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</si>
  <si>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</si>
  <si>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</si>
  <si>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</si>
  <si>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</si>
  <si>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</si>
  <si>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</si>
  <si>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</si>
  <si>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</si>
  <si>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Süßholzwurzel-Trockensaft (Nahrungsergänzungsmittel)</t>
  </si>
  <si>
    <t>Raufuncton</t>
  </si>
  <si>
    <t>Alkohol</t>
  </si>
  <si>
    <t>Nahrungsergänzungsmittel</t>
  </si>
  <si>
    <t>Homöopathie</t>
  </si>
  <si>
    <t>Volumensubstitution</t>
  </si>
  <si>
    <t>Spurenelemente</t>
  </si>
  <si>
    <t xml:space="preserve">Erythrozyten </t>
  </si>
  <si>
    <t>Glucose</t>
  </si>
  <si>
    <t>parentale Ernährung</t>
  </si>
  <si>
    <t>Lokalanästhetika</t>
  </si>
  <si>
    <t>Narkosemedikamente für OP</t>
  </si>
  <si>
    <t>Akkumulative Dosis</t>
  </si>
  <si>
    <t>pre_Alkoholabusus</t>
  </si>
  <si>
    <t>pre_Nikotinabusus</t>
  </si>
  <si>
    <t>pre_Drogenabusus</t>
  </si>
  <si>
    <t>pre_Arzneimittelabusus</t>
  </si>
  <si>
    <t>pre_Erkältung</t>
  </si>
  <si>
    <t>pre_Fieber</t>
  </si>
  <si>
    <t>pre_Schmerzen allgemein</t>
  </si>
  <si>
    <t>pre_postoperative Schmerzen</t>
  </si>
  <si>
    <t>pre_Kopfschmerzen</t>
  </si>
  <si>
    <t>pre_Halsschmerzen</t>
  </si>
  <si>
    <t>pre_Ohrenschmerzen</t>
  </si>
  <si>
    <t>pre_Bauchschmerzen</t>
  </si>
  <si>
    <t>pre_Gliederschmerzen</t>
  </si>
  <si>
    <t>pre_(chronische) Rückenschmerzen</t>
  </si>
  <si>
    <t>pre_Nackenschmerzen</t>
  </si>
  <si>
    <t>pre_Lumbago</t>
  </si>
  <si>
    <t>pre_Gelenkschmerzen</t>
  </si>
  <si>
    <t>pre_Knochenschmerzen</t>
  </si>
  <si>
    <t>pre_künstliches Knie, Knieersatz</t>
  </si>
  <si>
    <t>pre_Zervikalsyndrom </t>
  </si>
  <si>
    <t>pre_Konjunktivitis</t>
  </si>
  <si>
    <t>pre_Allergie</t>
  </si>
  <si>
    <t>pre_Arzneimittelallergie</t>
  </si>
  <si>
    <t>pre_Allergie Penicillin</t>
  </si>
  <si>
    <t>pre_allergisches Asthma</t>
  </si>
  <si>
    <t>pre_Arzneimittelhypersensibilität</t>
  </si>
  <si>
    <t>pre_Post vaccination syndrom</t>
  </si>
  <si>
    <t>pre_Übelkeit (Nausea)</t>
  </si>
  <si>
    <t>pre_Krämpfe</t>
  </si>
  <si>
    <t>pre_Nervosität</t>
  </si>
  <si>
    <t>pre_Schwäche</t>
  </si>
  <si>
    <t>pre_Erschöpfung</t>
  </si>
  <si>
    <t>pre_Apathie</t>
  </si>
  <si>
    <t>pre_Schlafstörungen</t>
  </si>
  <si>
    <t>pre_Schizophrenie</t>
  </si>
  <si>
    <t>pre_emotional instabile Persönlichkeitsstörung</t>
  </si>
  <si>
    <t>pre_Depression</t>
  </si>
  <si>
    <t>pre_Angsstörung</t>
  </si>
  <si>
    <t>pre_Schlaflosigkeit</t>
  </si>
  <si>
    <t>pre_infantiler Gehirnschaden</t>
  </si>
  <si>
    <t>pre_Essstörung</t>
  </si>
  <si>
    <t>pre_Annorexie</t>
  </si>
  <si>
    <t>pre_Adipositas</t>
  </si>
  <si>
    <t>pre_Kachexie</t>
  </si>
  <si>
    <t>pre_Diät</t>
  </si>
  <si>
    <t>pre_Hyperglycämie</t>
  </si>
  <si>
    <t>pre_Diabetes mellitus</t>
  </si>
  <si>
    <t>pre_gastrointestinale Beschwerden/ Gastritis</t>
  </si>
  <si>
    <t>pre_Pharyngitis</t>
  </si>
  <si>
    <t>pre_Refluxoesophagitis</t>
  </si>
  <si>
    <t>pre_Halsenge</t>
  </si>
  <si>
    <t>pre_Hiatushernie</t>
  </si>
  <si>
    <t>pre_Peritonitis</t>
  </si>
  <si>
    <t>pre_Kolitis</t>
  </si>
  <si>
    <t>pre_Cholitis ulcerosa</t>
  </si>
  <si>
    <t>pre_Duodenale Ulcera</t>
  </si>
  <si>
    <t>pre_Cholecystitis</t>
  </si>
  <si>
    <t>pre_Diverticulitis</t>
  </si>
  <si>
    <t>pre_Gastroenteritis</t>
  </si>
  <si>
    <t>pre_Obstipation</t>
  </si>
  <si>
    <t>pre_Ileus (Darmverschluss)</t>
  </si>
  <si>
    <t>pre_Z.n. Ileocaecale Resektion</t>
  </si>
  <si>
    <t>pre_Z.n. Rektumresektion</t>
  </si>
  <si>
    <t>pre_stumpfes Bauch-Trauma</t>
  </si>
  <si>
    <t>pre_Darm-Krankheiten</t>
  </si>
  <si>
    <t>pre_Diarrhoe</t>
  </si>
  <si>
    <t>pre_Meteorismus, Blähsucht</t>
  </si>
  <si>
    <t>pre_Hyperurikämie</t>
  </si>
  <si>
    <t>pre_renale Insuffizienz</t>
  </si>
  <si>
    <t>pre_renale Zysten</t>
  </si>
  <si>
    <t>pre_Nykturie</t>
  </si>
  <si>
    <t>pre_Miktionsstörung</t>
  </si>
  <si>
    <t>pre_Heterozygote Mutation C28Y und H63 D</t>
  </si>
  <si>
    <t>pre_Ikterus</t>
  </si>
  <si>
    <t>pre_Leberschaden</t>
  </si>
  <si>
    <t>pre_Hepatomegalie</t>
  </si>
  <si>
    <t>pre_Hyperalbuminaemie</t>
  </si>
  <si>
    <t>pre_Hypoalbuminaemie</t>
  </si>
  <si>
    <t>pre_Zystitis</t>
  </si>
  <si>
    <t>pre_Gallensteine</t>
  </si>
  <si>
    <t>pre_Z.n. Cholezystektomie</t>
  </si>
  <si>
    <t>pre_chronische Pankreatitis</t>
  </si>
  <si>
    <t>pre_Splenomegalie</t>
  </si>
  <si>
    <t>pre_Hypothyreose</t>
  </si>
  <si>
    <t>pre_Hyperthyreose</t>
  </si>
  <si>
    <t>pre_Struma</t>
  </si>
  <si>
    <t>pre_Thyreoiditis</t>
  </si>
  <si>
    <t>pre_Schilddrüsentumor</t>
  </si>
  <si>
    <t>pre_Z.n. Strumaktomie</t>
  </si>
  <si>
    <t>pre_Z.n. Thyreoidektomie</t>
  </si>
  <si>
    <t>pre_Hashimoto-Thyreoiditis</t>
  </si>
  <si>
    <t>pre_Andrenales Adenom</t>
  </si>
  <si>
    <t>pre_Cushing Syndrom</t>
  </si>
  <si>
    <t>pre_Triesomie 21</t>
  </si>
  <si>
    <t>pre_Angina pectoris</t>
  </si>
  <si>
    <t>pre_Z.n. Herzinfarkt</t>
  </si>
  <si>
    <t>pre_Schlaganfall, Apoplex</t>
  </si>
  <si>
    <t>pre_Cerebrovaskuläre Erkrankung</t>
  </si>
  <si>
    <t>pre_Herzversagen</t>
  </si>
  <si>
    <t>pre_Koronare Herzkrankheit (KHK)</t>
  </si>
  <si>
    <t>pre_koronarer Stent</t>
  </si>
  <si>
    <t>pre_ischämische Herzerkrankung</t>
  </si>
  <si>
    <t>pre_Hypertensive Herzerkrankung</t>
  </si>
  <si>
    <t>pre_(art.) Hypertonie</t>
  </si>
  <si>
    <t>pre_Herzinsuffizienz</t>
  </si>
  <si>
    <t>pre_Bradykardie</t>
  </si>
  <si>
    <t>pre_Trachykardie</t>
  </si>
  <si>
    <t>pre_Trachyarrhythmie</t>
  </si>
  <si>
    <t>pre_Aortenvitium</t>
  </si>
  <si>
    <t>pre_Aortenstenose</t>
  </si>
  <si>
    <t>pre_Aortensklerose</t>
  </si>
  <si>
    <t>pre_Bypass</t>
  </si>
  <si>
    <t>pre_Mitralklappemprolaps</t>
  </si>
  <si>
    <t>pre_Hypertensive Herzkrankheit</t>
  </si>
  <si>
    <t>pre_Herzrhyrhmusstörungen (Arrythmie)</t>
  </si>
  <si>
    <t>pre_Sick sinus syndrom</t>
  </si>
  <si>
    <t>pre_Vorhofflimmern</t>
  </si>
  <si>
    <t>pre_Herzschrittmacher</t>
  </si>
  <si>
    <t>pre_Kerzkreislaufversagen</t>
  </si>
  <si>
    <t>pre_thefe Beinvenenthrombose</t>
  </si>
  <si>
    <t>pre_venöse Insuffizienz</t>
  </si>
  <si>
    <t>pre_Basilaristhrombose</t>
  </si>
  <si>
    <t>pre_periphere Gefäßerkrankung</t>
  </si>
  <si>
    <t>pre_pulmonale Embolie</t>
  </si>
  <si>
    <t>pre_Durchblutungsstörung</t>
  </si>
  <si>
    <t xml:space="preserve">pre_Anastomoseninsuffizienz </t>
  </si>
  <si>
    <t>pre_Varikosis (Krampfader)</t>
  </si>
  <si>
    <t>pre_Hypercholesterinämie</t>
  </si>
  <si>
    <t>pre_Faktor VIII-Mangel</t>
  </si>
  <si>
    <t>pre_Anämie</t>
  </si>
  <si>
    <t>pre_Thrombophlebitis</t>
  </si>
  <si>
    <t>pre_Exsiccose</t>
  </si>
  <si>
    <t>pre_Leukopoenie</t>
  </si>
  <si>
    <t>pre_Leukämie</t>
  </si>
  <si>
    <t>pre_Bluttransfusion</t>
  </si>
  <si>
    <t>pre_Dermatitis</t>
  </si>
  <si>
    <t>pre_Hautläsion</t>
  </si>
  <si>
    <t>pre_Psoriasis</t>
  </si>
  <si>
    <t>pre_Lupus erythematodes</t>
  </si>
  <si>
    <t>pre_Lichen ruber</t>
  </si>
  <si>
    <t>pre_Erythema multiforme</t>
  </si>
  <si>
    <t xml:space="preserve">pre_Erythrodermie </t>
  </si>
  <si>
    <t>pre_Herpes zoster</t>
  </si>
  <si>
    <t>pre_virale Infektion</t>
  </si>
  <si>
    <t>pre_Pilzinfektion</t>
  </si>
  <si>
    <t>pre_Polyserositis</t>
  </si>
  <si>
    <t>pre_Odynophagie</t>
  </si>
  <si>
    <t>pre_Otitis media</t>
  </si>
  <si>
    <t>pre_Tonsillitis</t>
  </si>
  <si>
    <t>pre_Rhinitis</t>
  </si>
  <si>
    <t>pre_Pleuraerkrankung</t>
  </si>
  <si>
    <t>pre_Asthma bronchiale</t>
  </si>
  <si>
    <t>pre_COPD</t>
  </si>
  <si>
    <t>pre_Bronchitis</t>
  </si>
  <si>
    <t>pre_Pneumonie</t>
  </si>
  <si>
    <t>pre_Pneumokoniose</t>
  </si>
  <si>
    <t>pre_assistierte Spontanventilation</t>
  </si>
  <si>
    <t>pre_respiratorische Infektion</t>
  </si>
  <si>
    <t>pre_Lungeninfiltration</t>
  </si>
  <si>
    <t>pre_Lungenfibrose</t>
  </si>
  <si>
    <t>pre_Sepsis</t>
  </si>
  <si>
    <t>pre_Decubitus (Wundliegegeschrür)</t>
  </si>
  <si>
    <t>pre_Candidose</t>
  </si>
  <si>
    <t>pre_Glaukom</t>
  </si>
  <si>
    <t>pre_Katarakt</t>
  </si>
  <si>
    <t>pre_Iritis</t>
  </si>
  <si>
    <t>pre_Bandscheibenprolaps</t>
  </si>
  <si>
    <t>pre_Arthralgie</t>
  </si>
  <si>
    <t>pre_Arthrose</t>
  </si>
  <si>
    <t>pre_Coxarthrose</t>
  </si>
  <si>
    <t>pre_degenerative Wirbelsäulenerkrankung</t>
  </si>
  <si>
    <t>pre_Skoliose</t>
  </si>
  <si>
    <t>pre_Osteochondrose</t>
  </si>
  <si>
    <t>pre_Juvenile idiopathische/rheumatoide Arthritis (Still-Syndrom)</t>
  </si>
  <si>
    <t>pre_psoriatische Arthritis</t>
  </si>
  <si>
    <t>pre_rheumatoide Arthritis</t>
  </si>
  <si>
    <t>pre_Polyarthritis</t>
  </si>
  <si>
    <t>pre_Gonarthritis</t>
  </si>
  <si>
    <t>pre_Gonarthrose</t>
  </si>
  <si>
    <t>pre_Coxarthritis</t>
  </si>
  <si>
    <t>pre_Gicht</t>
  </si>
  <si>
    <t>pre_Hüftdysplasie</t>
  </si>
  <si>
    <t>pre_Z.n. Hüftoperation</t>
  </si>
  <si>
    <t>pre_Implantate</t>
  </si>
  <si>
    <t>pre_Spondylose</t>
  </si>
  <si>
    <t>pre_Osteoporose</t>
  </si>
  <si>
    <t>pre_LWS-Syndrom</t>
  </si>
  <si>
    <t>pre_Restless legs</t>
  </si>
  <si>
    <t>pre_Miller-Fisher-Syndrom</t>
  </si>
  <si>
    <t>pre_complex regional pain syndrom</t>
  </si>
  <si>
    <t>pre_Karpaltunnelsyndrom</t>
  </si>
  <si>
    <t>pre_Morbus parkinson</t>
  </si>
  <si>
    <t>pre_Spinalnervdegeneration</t>
  </si>
  <si>
    <t>pre_Multiple Sklerose</t>
  </si>
  <si>
    <t>pre_Myasthenia gravis</t>
  </si>
  <si>
    <t>pre_zerebrales Ödem</t>
  </si>
  <si>
    <t>pre_Uterusinfektion</t>
  </si>
  <si>
    <t>pre_Uterusmyom</t>
  </si>
  <si>
    <t>pre_Adenokarzinom</t>
  </si>
  <si>
    <t>pre_Glioblastom</t>
  </si>
  <si>
    <t>pre_Gehirntumor</t>
  </si>
  <si>
    <t>pre_Lipom</t>
  </si>
  <si>
    <t>pre_Lipomatose</t>
  </si>
  <si>
    <t>pre_Bronchialkarzinom</t>
  </si>
  <si>
    <t>pre_Larynxkarzinom</t>
  </si>
  <si>
    <t>pre_Laryngektomie</t>
  </si>
  <si>
    <t>pre_Hautkarzinom</t>
  </si>
  <si>
    <t>pre_Ileumkarzinom</t>
  </si>
  <si>
    <t>pre_Rectumkarzinom</t>
  </si>
  <si>
    <t>pre_Hodenkarzinom</t>
  </si>
  <si>
    <t>pre_Z.n. Strahlentherapie</t>
  </si>
  <si>
    <t>pre_Menstruationsbeschwerden</t>
  </si>
  <si>
    <t>pre_Tinnitus</t>
  </si>
  <si>
    <t>pre_Hepatitis</t>
  </si>
  <si>
    <t>pre_Hepatitis A</t>
  </si>
  <si>
    <t>pre_Hepatitis B</t>
  </si>
  <si>
    <t>pre_Hepatitis C</t>
  </si>
  <si>
    <t>pre_HIV</t>
  </si>
  <si>
    <t>pre_Pertussis (Keuchhusten)</t>
  </si>
  <si>
    <t>pre_Heliobacter pylori</t>
  </si>
  <si>
    <t>pre_Blasenekstrophie</t>
  </si>
  <si>
    <t>pre_Harnwegsinfekt</t>
  </si>
  <si>
    <t>pre_chronische Nierenerkrankung</t>
  </si>
  <si>
    <t>pre_Nierenversagen</t>
  </si>
  <si>
    <t>pre_Makrohämaturie</t>
  </si>
  <si>
    <t>pre_Prostatahyperplasie</t>
  </si>
  <si>
    <t>pre_Lumbar-Syndrom</t>
  </si>
  <si>
    <t>pre_Dyslipidämie</t>
  </si>
  <si>
    <t>pre_Hyperlipidämie</t>
  </si>
  <si>
    <t>pre_Hypokaliämie</t>
  </si>
  <si>
    <t>pre_Fettleber (=Steatosis hepatis)</t>
  </si>
  <si>
    <t>pre_Leberzirrhose</t>
  </si>
  <si>
    <t>pre_Z.n. Lebertransplantation</t>
  </si>
  <si>
    <t>pre_Z.n. Leberbiopsie</t>
  </si>
  <si>
    <t>pre_Hyperbilirubinämie</t>
  </si>
  <si>
    <t>pre_Hyperproteinämie</t>
  </si>
  <si>
    <t>pre_Epilspsie</t>
  </si>
  <si>
    <t>pre_spastische Parese</t>
  </si>
  <si>
    <t>pre_Trigeminusneuralgie</t>
  </si>
  <si>
    <t>pre_psychische Erkrankung</t>
  </si>
  <si>
    <t>pre_Sarkoidose</t>
  </si>
  <si>
    <t>pre_Lymphadenitis</t>
  </si>
  <si>
    <t>pre_Hypermenorrhoe</t>
  </si>
  <si>
    <t>pre_Fibromyalgiesyndrom</t>
  </si>
  <si>
    <t>pre_Myogelose (=Muskelverhärtung)</t>
  </si>
  <si>
    <t>pre_Krampf</t>
  </si>
  <si>
    <t>pre_Paralyse</t>
  </si>
  <si>
    <t>pre_Fußulzeration</t>
  </si>
  <si>
    <t>pre_Z.n. Oberschenkalamputation</t>
  </si>
  <si>
    <t>pre_Oberschenkelfraktur</t>
  </si>
  <si>
    <t>pre_Handfraktur</t>
  </si>
  <si>
    <t>pre_Malleusfraktur</t>
  </si>
  <si>
    <t>pre_Hallux valgus (=Ballenzeh)</t>
  </si>
  <si>
    <t>pre_Sehnenerkrankung</t>
  </si>
  <si>
    <t>pre_Abszess</t>
  </si>
  <si>
    <t>pre_Fingerabszess</t>
  </si>
  <si>
    <t>pre_klimakterische Symptome</t>
  </si>
  <si>
    <t>pre_genitale Infektion</t>
  </si>
  <si>
    <t>pre_Z.n. Hysterektomie</t>
  </si>
  <si>
    <t>pre_Abort</t>
  </si>
  <si>
    <t>Diclofenac_Einnahme erfolgt</t>
  </si>
  <si>
    <t>Diclofenac_Akkumulative Dosis</t>
  </si>
  <si>
    <t>Diclofenac_Diclofenac_Dosis (Mg/Verabreichung)</t>
  </si>
  <si>
    <t>Diclofenac_Häufigkeit der Einnahme pro Tag</t>
  </si>
  <si>
    <t>Diclofenac_i.v.</t>
  </si>
  <si>
    <t>Diclofenac_i.m.</t>
  </si>
  <si>
    <t>Diclofenac_p.o.</t>
  </si>
  <si>
    <t>Diclofenac_Supp.</t>
  </si>
  <si>
    <t>Diclofenac_als Salbe/ Gel</t>
  </si>
  <si>
    <t>Diclofenac_Dauer der Einnahme (Tage)</t>
  </si>
  <si>
    <t>Diclofenac_Zeitraum: erste Einnahme bis Krankheitsbeginn (Tage)</t>
  </si>
  <si>
    <t>Diclofenac_Zeitraum: letzte Einnahme bis Krankheitsbeginn (Tage)</t>
  </si>
  <si>
    <t>Diclofenac_Einnahme nach Krankheitsbeginn (Tage)</t>
  </si>
  <si>
    <t>Diclofenac_Exp.</t>
  </si>
  <si>
    <t>Ibuprofen_Einnahme erfolgt</t>
  </si>
  <si>
    <t>Ibuprofen_Akkumulative Dosis</t>
  </si>
  <si>
    <t>Ibuprofen_Ibuprofen_Dosis (Mg/Verabreichung)</t>
  </si>
  <si>
    <t>Ibuprofen_Häufigkeit der Einnahme pro Tag</t>
  </si>
  <si>
    <t>Ibuprofen_i.v.</t>
  </si>
  <si>
    <t>Ibuprofen_i.m.</t>
  </si>
  <si>
    <t>Ibuprofen_p.o.</t>
  </si>
  <si>
    <t>Ibuprofen_als Salbe/ Gel</t>
  </si>
  <si>
    <t>Ibuprofen_Dauer der Einnahme (Tage)</t>
  </si>
  <si>
    <t>Ibuprofen_Zeitraum: erste Einnahme bis Krankheitsbeginn (Tage)</t>
  </si>
  <si>
    <t>Ibuprofen_Zeitraum: letzte Einnahme bis Krankheitsbeginn (Tage)</t>
  </si>
  <si>
    <t>Ibuprofen_Einnahme nach Krankheitsbeginn (Tage)</t>
  </si>
  <si>
    <t>Ibuprofen_Exp.</t>
  </si>
  <si>
    <t>Paracetamol_Einnahme erfolgt</t>
  </si>
  <si>
    <t>Paracetamol_Akkumulative Dosis</t>
  </si>
  <si>
    <t>Paracetamol_Paracetamol_Dosis (Mg/Verabreichung)</t>
  </si>
  <si>
    <t>Paracetamol_Häufigkeit der Einnahme pro Tag</t>
  </si>
  <si>
    <t>Paracetamol_i.v.</t>
  </si>
  <si>
    <t>Paracetamol_i.m.</t>
  </si>
  <si>
    <t>Paracetamol_p.o.</t>
  </si>
  <si>
    <t>Paracetamol_Supp. (Zäpfchen)</t>
  </si>
  <si>
    <t>Paracetamol_Dauer der Einnahme (Tage)</t>
  </si>
  <si>
    <t>Paracetamol_Zeitraum: erste Einnahme bis Krankheitsbeginn (Tage)</t>
  </si>
  <si>
    <t>Paracetamol_Zeitraum: letzte Einnahme bis Krankheitsbeginn (Tage)</t>
  </si>
  <si>
    <t>Paracetamol_Einnahme nach Krankheitsbeginn (Tage)</t>
  </si>
  <si>
    <t>Paracetamol_Exp.</t>
  </si>
  <si>
    <t>Acetylsalizylsäure_Einnahme erfolgt</t>
  </si>
  <si>
    <t>Acetylsalizylsäure_Dosis (Mg/Verabreichung)</t>
  </si>
  <si>
    <t>Acetylsalizylsäure_Häufigkeit der Einnahme pro Tag</t>
  </si>
  <si>
    <t>Acetylsalizylsäure_i.v.</t>
  </si>
  <si>
    <t>Acetylsalizylsäure_i.m.</t>
  </si>
  <si>
    <t>Acetylsalizylsäure_p.o.</t>
  </si>
  <si>
    <t>Acetylsalizylsäure_Dauer der Einnahme (Tage)</t>
  </si>
  <si>
    <t>Acetylsalizylsäure_Zeitraum: erste Einnahme bis Krankheitsbeginn (Tage)</t>
  </si>
  <si>
    <t>Acetylsalizylsäure_Zeitraum: letzte Einnahme bis Krankheitsbeginn (Tage)</t>
  </si>
  <si>
    <t>Acetylsalizylsäure_Einnahme nach Krankheitsbeginn (Tage)</t>
  </si>
  <si>
    <t>Acetylsalizylsäure_Exp.</t>
  </si>
  <si>
    <t>Diazepham_Einnahme erfolgt</t>
  </si>
  <si>
    <t>Diazepham_Dosis (Mg/Verabreichung)</t>
  </si>
  <si>
    <t>Diazepham_Häufigkeit der Einnahme pro Tag</t>
  </si>
  <si>
    <t>Diazepham_i.v.</t>
  </si>
  <si>
    <t>Diazepham_i.m.</t>
  </si>
  <si>
    <t>Diazepham_p.o.</t>
  </si>
  <si>
    <t>Diazepham_Dauer der Einnahme (Tage)</t>
  </si>
  <si>
    <t>Diazepham_Zeitraum: erste Einnahme bis Krankheitsbeginn (Tage)</t>
  </si>
  <si>
    <t>Diazepham_Zeitraum: letzte Einnahme bis Krankheitsbeginn (Tage)</t>
  </si>
  <si>
    <t>Diazepham_Einnahme nach Krankheitsbeginn (Tage)</t>
  </si>
  <si>
    <t>Diazepham_Exp.</t>
  </si>
  <si>
    <t>Celecoxib_Dosis (Mg/Verabreichung)</t>
  </si>
  <si>
    <t>Celecoxib_Häufigkeit der Einnahme pro Tag</t>
  </si>
  <si>
    <t>Celecoxib_i.v.</t>
  </si>
  <si>
    <t>Celecoxib_i.m.</t>
  </si>
  <si>
    <t>Celecoxib_p.o.</t>
  </si>
  <si>
    <t>Celecoxib_Dauer der Einnahme (Tage)</t>
  </si>
  <si>
    <t>Celecoxib_Zeitraum: erste Einnahme bis Krankheitsbeginn (Tage)</t>
  </si>
  <si>
    <t>Celecoxib_Zeitraum: letzte Einnahme bis Krankheitsbeginn (Tage)</t>
  </si>
  <si>
    <t>Celecoxib_Einnahme nach Krankheitsbeginn (Tage)</t>
  </si>
  <si>
    <t>Celecoxib_Exp.</t>
  </si>
  <si>
    <t>Metamizol_Einnahme erfolgt</t>
  </si>
  <si>
    <t>Metamizol_Dosis (Mg/Verabreichung)</t>
  </si>
  <si>
    <t>Metamizol_Häufigkeit der Einnahme pro Tag</t>
  </si>
  <si>
    <t>Metamizol_i.v.</t>
  </si>
  <si>
    <t>Metamizol_i.m.</t>
  </si>
  <si>
    <t>Metamizol_p.o.</t>
  </si>
  <si>
    <t>Metamizol_Dauer der Einnahme (Tage)</t>
  </si>
  <si>
    <t>Metamizol_Zeitraum: erste Einnahme bis Krankheitsbeginn (Tage)</t>
  </si>
  <si>
    <t>Metamizol_Zeitraum: letzte Einnahme bis Krankheitsbeginn (Tage)</t>
  </si>
  <si>
    <t>Metamizol_Einnahme nach Krankheitsbeginn (Tage)</t>
  </si>
  <si>
    <t>Metamizol_Exp.</t>
  </si>
  <si>
    <t>Aceclofenac_Dosis (Mg/Verabreichung)</t>
  </si>
  <si>
    <t>Aceclofenac_Häufigkeit der Einnahme pro Tag</t>
  </si>
  <si>
    <t>Aceclofenac_i.v.</t>
  </si>
  <si>
    <t>Aceclofenac_i.m.</t>
  </si>
  <si>
    <t>Aceclofenac_p.o.</t>
  </si>
  <si>
    <t>Aceclofenac_Dauer der Einnahme (Tage)</t>
  </si>
  <si>
    <t>Aceclofenac_Zeitraum: erste Einnahme bis Krankheitsbeginn (Tage)</t>
  </si>
  <si>
    <t>Aceclofenac_Zeitraum: letzte Einnahme bis Krankheitsbeginn (Tage)</t>
  </si>
  <si>
    <t>Aceclofenac_Einnahme nach Krankheitsbeginn (Tage)</t>
  </si>
  <si>
    <t>Aceclofenac_Exp.</t>
  </si>
  <si>
    <t>Calciumcarbasalat_Dosis (Mg/Verabreichung)</t>
  </si>
  <si>
    <t>Calciumcarbasalat_Häufigkeit der Einnahme pro Tag</t>
  </si>
  <si>
    <t>Calciumcarbasalat_i.v.</t>
  </si>
  <si>
    <t>Calciumcarbasalat_i.m.</t>
  </si>
  <si>
    <t>Calciumcarbasalat_p.o.</t>
  </si>
  <si>
    <t>Calciumcarbasalat_Dauer der Einnahme (Tage)</t>
  </si>
  <si>
    <t>Calciumcarbasalat_Zeitraum: erste Einnahme bis Krankheitsbeginn (Tage)</t>
  </si>
  <si>
    <t>Calciumcarbasalat_Zeitraum: letzte Einnahme bis Krankheitsbeginn (Tage)</t>
  </si>
  <si>
    <t>Calciumcarbasalat_Einnahme nach Krankheitsbeginn (Tage)</t>
  </si>
  <si>
    <t>Calciumcarbasalat_Exp.</t>
  </si>
  <si>
    <t>Indometacin_Dosis (Mg/Verabreichung)</t>
  </si>
  <si>
    <t>Indometacin_Häufigkeit der Einnahme pro Tag</t>
  </si>
  <si>
    <t>Indometacin_i.v.</t>
  </si>
  <si>
    <t>Indometacin_i.m.</t>
  </si>
  <si>
    <t>Indometacin_p.o.</t>
  </si>
  <si>
    <t>Indometacin_Dauer der Einnahme (Tage)</t>
  </si>
  <si>
    <t>Indometacin_Zeitraum: erste Einnahme bis Krankheitsbeginn (Tage)</t>
  </si>
  <si>
    <t>Indometacin_Zeitraum: letzte Einnahme bis Krankheitsbeginn (Tage)</t>
  </si>
  <si>
    <t>Indometacin_Einnahme nach Krankheitsbeginn (Tage)</t>
  </si>
  <si>
    <t>Indometacin_Exp.</t>
  </si>
  <si>
    <t>Rofecoxib_Einnahme erfolgt</t>
  </si>
  <si>
    <t>Rofecoxib_Dosis (Mg/Verabreichung)</t>
  </si>
  <si>
    <t>Rofecoxib_Häufigkeit der Einnahme pro Tag</t>
  </si>
  <si>
    <t>Rofecoxib_i.v.</t>
  </si>
  <si>
    <t>Rofecoxib_i.m.</t>
  </si>
  <si>
    <t>Rofecoxib_p.o.</t>
  </si>
  <si>
    <t>Rofecoxib_Dauer der Einnahme (Tage)</t>
  </si>
  <si>
    <t>Rofecoxib_Zeitraum: erste Einnahme bis Krankheitsbeginn (Tage)</t>
  </si>
  <si>
    <t>Rofecoxib_Zeitraum: letzte Einnahme bis Krankheitsbeginn (Tage)</t>
  </si>
  <si>
    <t>Rofecoxib_Einnahme nach Krankheitsbeginn (Tage)</t>
  </si>
  <si>
    <t>Rofecoxib_Exp.</t>
  </si>
  <si>
    <t>Piroxicam_Einnahme erfolgt</t>
  </si>
  <si>
    <t>Piroxicam_Dosis (Mg/Verabreichung)</t>
  </si>
  <si>
    <t>Piroxicam_Häufigkeit der Einnahme pro Tag</t>
  </si>
  <si>
    <t>Piroxicam_i.v.</t>
  </si>
  <si>
    <t>Piroxicam_i.m.</t>
  </si>
  <si>
    <t>Piroxicam_p.o.</t>
  </si>
  <si>
    <t>Piroxicam_Dauer der Einnahme (Tage)</t>
  </si>
  <si>
    <t>Piroxicam_Zeitraum: erste Einnahme bis Krankheitsbeginn (Tage)</t>
  </si>
  <si>
    <t>Piroxicam_Zeitraum: letzte Einnahme bis Krankheitsbeginn (Tage)</t>
  </si>
  <si>
    <t>Piroxicam_Einnahme nach Krankheitsbeginn (Tage)</t>
  </si>
  <si>
    <t>Piroxicam_Exp.</t>
  </si>
  <si>
    <t>Meloxicam_Dosis (Mg/Verabreichung)</t>
  </si>
  <si>
    <t>Meloxicam_Häufigkeit der Einnahme pro Tag</t>
  </si>
  <si>
    <t>Meloxicam_i.v.</t>
  </si>
  <si>
    <t>Meloxicam_i.m.</t>
  </si>
  <si>
    <t>Meloxicam_p.o.</t>
  </si>
  <si>
    <t>Meloxicam_Dauer der Einnahme (Tage)</t>
  </si>
  <si>
    <t>Meloxicam_Zeitraum: erste Einnahme bis Krankheitsbeginn (Tage)</t>
  </si>
  <si>
    <t>Meloxicam_Zeitraum: letzte Einnahme bis Krankheitsbeginn (Tage)</t>
  </si>
  <si>
    <t>Meloxicam_Einnahme nach Krankheitsbeginn (Tage)</t>
  </si>
  <si>
    <t>Meloxicam_Exp.</t>
  </si>
  <si>
    <t>Flupirtin maleate_Einnahme erfolgt</t>
  </si>
  <si>
    <t>Flupirtin maleate_Dosis (Mg/Verabreichung)</t>
  </si>
  <si>
    <t>Flupirtin maleate_Häufigkeit der Einnahme pro Tag</t>
  </si>
  <si>
    <t>Flupirtin maleate_i.v.</t>
  </si>
  <si>
    <t>Flupirtin maleate_i.m.</t>
  </si>
  <si>
    <t>Flupirtin maleate_p.o.</t>
  </si>
  <si>
    <t>Flupirtin maleate_Dauer der Einnahme (Tage)</t>
  </si>
  <si>
    <t>Flupirtin maleate_Zeitraum: erste Einnahme bis Krankheitsbeginn (Tage)</t>
  </si>
  <si>
    <t>Flupirtin maleate_Zeitraum: letzte Einnahme bis Krankheitsbeginn (Tage)</t>
  </si>
  <si>
    <t>Flupirtin maleate_Einnahme nach Krankheitsbeginn (Tage)</t>
  </si>
  <si>
    <t>Flupirtin maleate_Exp.</t>
  </si>
  <si>
    <t>Buprenorphin_Dosis (Mg/Verabreichung)</t>
  </si>
  <si>
    <t>Buprenorphin_Häufigkeit der Einnahme pro Tag</t>
  </si>
  <si>
    <t>Buprenorphin_i.v.</t>
  </si>
  <si>
    <t>Buprenorphin_i.m.</t>
  </si>
  <si>
    <t>Buprenorphin_transdermal</t>
  </si>
  <si>
    <t>Buprenorphin_p.o.</t>
  </si>
  <si>
    <t>Buprenorphin_Dauer der Einnahme (Tage)</t>
  </si>
  <si>
    <t>Buprenorphin_Zeitraum: erste Einnahme bis Krankheitsbeginn (Tage)</t>
  </si>
  <si>
    <t>Buprenorphin_Zeitraum: letzte Einnahme bis Krankheitsbeginn (Tage)</t>
  </si>
  <si>
    <t>Buprenorphin_Einnahme nach Krankheitsbeginn (Tage)</t>
  </si>
  <si>
    <t>Buprenorphin_Exp.</t>
  </si>
  <si>
    <t>Piritramid-(RR)-hydrogcntartrat_Dosis (Mg/Verabreichung)</t>
  </si>
  <si>
    <t>Piritramid-(RR)-hydrogcntartrat_Häufigkeit der Einnahme pro Tag</t>
  </si>
  <si>
    <t>Piritramid-(RR)-hydrogcntartrat_i.v.</t>
  </si>
  <si>
    <t>Piritramid-(RR)-hydrogcntartrat_i.m.</t>
  </si>
  <si>
    <t>Piritramid-(RR)-hydrogcntartrat_s.c.</t>
  </si>
  <si>
    <t>Piritramid-(RR)-hydrogcntartrat_p.o.</t>
  </si>
  <si>
    <t>Piritramid-(RR)-hydrogcntartrat_Dauer der Einnahme (Tage)</t>
  </si>
  <si>
    <t>Piritramid-(RR)-hydrogcntartrat_Zeitraum: erste Einnahme bis Krankheitsbeginn (Tage)</t>
  </si>
  <si>
    <t>Piritramid-(RR)-hydrogcntartrat_Zeitraum: letzte Einnahme bis Krankheitsbeginn (Tage)</t>
  </si>
  <si>
    <t>Piritramid-(RR)-hydrogcntartrat_Einnahme nach Krankheitsbeginn (Tage)</t>
  </si>
  <si>
    <t>Piritramid-(RR)-hydrogcntartrat_Exp.</t>
  </si>
  <si>
    <t>Butylscopolaminiumbromid_Dosis (LTbl)</t>
  </si>
  <si>
    <t>Butylscopolaminiumbromid_Häufigkeit der Einnahme pro Tag</t>
  </si>
  <si>
    <t>Butylscopolaminiumbromid_i.v.</t>
  </si>
  <si>
    <t>Butylscopolaminiumbromid_i.m.</t>
  </si>
  <si>
    <t>Butylscopolaminiumbromid_p.o.</t>
  </si>
  <si>
    <t>Butylscopolaminiumbromid_Dauer der Einnahme (Tage)</t>
  </si>
  <si>
    <t>Butylscopolaminiumbromid_Zeitraum: erste Einnahme bis Krankheitsbeginn (Tage)</t>
  </si>
  <si>
    <t>Butylscopolaminiumbromid_Zeitraum: letzte Einnahme bis Krankheitsbeginn (Tage)</t>
  </si>
  <si>
    <t>Butylscopolaminiumbromid_Einnahme nach Krankheitsbeginn (Tage)</t>
  </si>
  <si>
    <t>Butylscopolaminiumbromid_Exp.</t>
  </si>
  <si>
    <t>Sumatriptan_Dosis (Mg/Tag)</t>
  </si>
  <si>
    <t>Sumatriptan_Häufigkeit der Einnahme pro Tag</t>
  </si>
  <si>
    <t>Sumatriptan_i.v.</t>
  </si>
  <si>
    <t>Sumatriptan_i.m.</t>
  </si>
  <si>
    <t>Sumatriptan_p.o.</t>
  </si>
  <si>
    <t>Sumatriptan_Dauer der Einnahme (Tage)</t>
  </si>
  <si>
    <t>Sumatriptan_Zeitraum: erste Einnahme bis Krankheitsbeginn (Tage)</t>
  </si>
  <si>
    <t>Sumatriptan_Zeitraum: letzte Einnahme bis Krankheitsbeginn (Tage)</t>
  </si>
  <si>
    <t>Sumatriptan_Einnahme nach Krankheitsbeginn (Tage)</t>
  </si>
  <si>
    <t>Sumatriptan_Exp.</t>
  </si>
  <si>
    <t>Dexpanthenol_Dosis (LTbl)</t>
  </si>
  <si>
    <t>Dexpanthenol_Häufigkeit der Einnahme pro Tag</t>
  </si>
  <si>
    <t>Dexpanthenol_i.v.</t>
  </si>
  <si>
    <t>Dexpanthenol_i.m.</t>
  </si>
  <si>
    <t>Dexpanthenol_p.o.</t>
  </si>
  <si>
    <t>Dexpanthenol_Dauer der Einnahme (Tage)</t>
  </si>
  <si>
    <t>Dexpanthenol_Zeitraum: erste Einnahme bis Krankheitsbeginn (Tage)</t>
  </si>
  <si>
    <t>Dexpanthenol_Zeitraum: letzte Einnahme bis Krankheitsbeginn (Tage)</t>
  </si>
  <si>
    <t>Dexpanthenol_Einnahme nach Krankheitsbeginn (Tage)</t>
  </si>
  <si>
    <t>Dexpanthenol_Exp.</t>
  </si>
  <si>
    <t>post_reduzierter Allgemeinzustand</t>
  </si>
  <si>
    <t>post_Schock</t>
  </si>
  <si>
    <t>post_Agitation, Aufregung</t>
  </si>
  <si>
    <t>post_Malaise (Unwohlsein)</t>
  </si>
  <si>
    <t>post_Müdigkeit</t>
  </si>
  <si>
    <t>post_Schlaflosigkeit</t>
  </si>
  <si>
    <t>post_Benommenheit, Solomnenz</t>
  </si>
  <si>
    <t>post_Apathie</t>
  </si>
  <si>
    <t>post_Motivationsverlust/Depression</t>
  </si>
  <si>
    <t>post_Asthenie, Kraftlosigkeit</t>
  </si>
  <si>
    <t>post_Verwirrung</t>
  </si>
  <si>
    <t>post_Orientierungslosigkeit</t>
  </si>
  <si>
    <t>post_Koordinationsstörung</t>
  </si>
  <si>
    <t>post_neurologische Störungen</t>
  </si>
  <si>
    <t>post_transiente Psychose</t>
  </si>
  <si>
    <t>post_Aggressives Verhalten</t>
  </si>
  <si>
    <t>post_Sprachstörung</t>
  </si>
  <si>
    <t>post_Mikrographie</t>
  </si>
  <si>
    <t>post_Gedächtnisstörung</t>
  </si>
  <si>
    <t>post_Störung Kurzzeitgedächtnis</t>
  </si>
  <si>
    <t>post_Erinnerungsstörung</t>
  </si>
  <si>
    <t>post_Halluzinationen</t>
  </si>
  <si>
    <t>post_hypoxischer Gehirnschaden</t>
  </si>
  <si>
    <t>post_Bradykinese</t>
  </si>
  <si>
    <t>post_Zittern, Tremor</t>
  </si>
  <si>
    <t>post_Krampfanfall</t>
  </si>
  <si>
    <t>post_Angst</t>
  </si>
  <si>
    <t>post_Toxischer Schock durch Streptikokken</t>
  </si>
  <si>
    <t>post_Schwindel (Vertigo)</t>
  </si>
  <si>
    <t>post_Stoffwechselentgleisung</t>
  </si>
  <si>
    <t>post_Entzündung der Bindehaut (Auge) Conjunctivitis</t>
  </si>
  <si>
    <t>post_Ulkus der Hornhaut (Auge)</t>
  </si>
  <si>
    <t>post_Exsiccose</t>
  </si>
  <si>
    <t>post_Appetitlosigkeit</t>
  </si>
  <si>
    <t>post_Völlegefühl</t>
  </si>
  <si>
    <t>post_Obstipation</t>
  </si>
  <si>
    <t>post_Diarrhoe, Durchfall</t>
  </si>
  <si>
    <t>post_Tenesmus, Stuhlzwang</t>
  </si>
  <si>
    <t>post_Nausea (= Übelkeit)</t>
  </si>
  <si>
    <t>post_Vomitus (= Erbrechen)</t>
  </si>
  <si>
    <t>post_Hämatemesis (Erbrechen von Blut)</t>
  </si>
  <si>
    <t>post_grippeähnliche Symptome</t>
  </si>
  <si>
    <t>post_Hyperhidrose/Schwitzen/ Schweißausbruch/ Nachtschweiß</t>
  </si>
  <si>
    <t>post_Fieber (Pyrexie)</t>
  </si>
  <si>
    <t>post_Schüttelfrost</t>
  </si>
  <si>
    <t>post_Schwäche</t>
  </si>
  <si>
    <t>post_allergische Reaktion</t>
  </si>
  <si>
    <t>post_anaphylaktischer Shock</t>
  </si>
  <si>
    <t>post_Shock</t>
  </si>
  <si>
    <t>post_Augenrötung</t>
  </si>
  <si>
    <t>post_Konjunktivitis</t>
  </si>
  <si>
    <t>post_Blepharitis</t>
  </si>
  <si>
    <t>post_Ophthalmitis</t>
  </si>
  <si>
    <t>post_erhöhter Augeninnendruck</t>
  </si>
  <si>
    <t>post_Hörminderung, Schwerhörigkeit, Hörstörung</t>
  </si>
  <si>
    <t>post_Rhinitis</t>
  </si>
  <si>
    <t>post_Pharyngitis</t>
  </si>
  <si>
    <t>post_Dysästhesie</t>
  </si>
  <si>
    <t>post_allgemein</t>
  </si>
  <si>
    <t>post_Kopfschmerzen</t>
  </si>
  <si>
    <t>post_Muskelschmerzen (Myalgie)</t>
  </si>
  <si>
    <t>post_Ohrenschmerzen</t>
  </si>
  <si>
    <t>post_Halsschmerzen</t>
  </si>
  <si>
    <t>post_orale Schmerzen</t>
  </si>
  <si>
    <t>post_Extremitätenschmerzen</t>
  </si>
  <si>
    <t>post_Gelenkschmerzen</t>
  </si>
  <si>
    <t>post_Leistenschmerzen</t>
  </si>
  <si>
    <t>post_untere Thoraxregion</t>
  </si>
  <si>
    <t>post_Bauchschmerzen, epigastische Schmerzen,unteres Abdomen</t>
  </si>
  <si>
    <t>post_oberes Adbomen</t>
  </si>
  <si>
    <t>post_Rückenschmerzen</t>
  </si>
  <si>
    <t>post_Phlegmone</t>
  </si>
  <si>
    <t>post_Blässe</t>
  </si>
  <si>
    <t>post_Odynophagie</t>
  </si>
  <si>
    <t>post_Sebostase</t>
  </si>
  <si>
    <t>post_Fuchs-Syndrom</t>
  </si>
  <si>
    <t>post_Systemisches inflammatorisches Response-Syndrom (SIRS)</t>
  </si>
  <si>
    <t>post_Infektionskrankheit</t>
  </si>
  <si>
    <t>post_Husten</t>
  </si>
  <si>
    <t>post_Schnupfen</t>
  </si>
  <si>
    <t>post_Juckreiz (Pruritus)</t>
  </si>
  <si>
    <t>post_Bewusstlosigkeit</t>
  </si>
  <si>
    <t>post_Koma</t>
  </si>
  <si>
    <t>post_septischer Schock</t>
  </si>
  <si>
    <t>post_Sepsis</t>
  </si>
  <si>
    <t>post_Lungenfunktionsstörung</t>
  </si>
  <si>
    <t>post_Lungeninfektion</t>
  </si>
  <si>
    <t>post_Bronchitis</t>
  </si>
  <si>
    <t>post_Pleuritis</t>
  </si>
  <si>
    <t>post_pleurale Effusion</t>
  </si>
  <si>
    <t>post_Pneumonie</t>
  </si>
  <si>
    <t>post_Respiratorischer Erguss</t>
  </si>
  <si>
    <t>post_Atemnot, Luftnot, Dyspnoe</t>
  </si>
  <si>
    <t>post_Respiratorische Insuffizienz</t>
  </si>
  <si>
    <t>post_Atelektase (kollabierter Lungenabschnitt)</t>
  </si>
  <si>
    <t>post_Acute Respiratory Distress Syndrome</t>
  </si>
  <si>
    <t>post_Haemothorax</t>
  </si>
  <si>
    <t>post_Rhabdomyolyse</t>
  </si>
  <si>
    <t>post_Hypotonie</t>
  </si>
  <si>
    <t>post_Herzklopfen</t>
  </si>
  <si>
    <t>post_Trachykardie</t>
  </si>
  <si>
    <t>post_Bradykardie</t>
  </si>
  <si>
    <t>post_Herzrhythmusstörung</t>
  </si>
  <si>
    <t>post_Kammerflimmern</t>
  </si>
  <si>
    <t>post_ventrikuläre Extrasystole</t>
  </si>
  <si>
    <t>post_Schenkelblock links</t>
  </si>
  <si>
    <t>post_QT-Verlänerung</t>
  </si>
  <si>
    <t>post_akuter Myokardinfarkt</t>
  </si>
  <si>
    <t>post_Herzstillstand</t>
  </si>
  <si>
    <t>post_Herzrasen</t>
  </si>
  <si>
    <t>post_Sternokardie</t>
  </si>
  <si>
    <t>post_Schlaganfall, Apoplex</t>
  </si>
  <si>
    <t>post_Blutdruckabfall</t>
  </si>
  <si>
    <t>post_Kreislaufkollaps</t>
  </si>
  <si>
    <t>post_Perikarderguss</t>
  </si>
  <si>
    <t>post_Aortensklerose</t>
  </si>
  <si>
    <t>post_Gerinnungsstörung (Koagulopathie)</t>
  </si>
  <si>
    <t>post_arterielle Embolie</t>
  </si>
  <si>
    <t>post_pulmonale Embolie</t>
  </si>
  <si>
    <t>post_Hämolyse</t>
  </si>
  <si>
    <t>post_hämolytische Anämie</t>
  </si>
  <si>
    <t>post_Anämie</t>
  </si>
  <si>
    <t>post_Thrombozytopenie</t>
  </si>
  <si>
    <t>post_DIC</t>
  </si>
  <si>
    <t>post_Pupura fulminans</t>
  </si>
  <si>
    <t>post_ideopatische thrombozytopenische Pupura</t>
  </si>
  <si>
    <t>post_M. Behcet</t>
  </si>
  <si>
    <t>post_Lymphadenopathie</t>
  </si>
  <si>
    <t>post_Myopathie</t>
  </si>
  <si>
    <t>post_Muskelatrophie</t>
  </si>
  <si>
    <t>post_epileptischer Anfall</t>
  </si>
  <si>
    <t>post_Spastik</t>
  </si>
  <si>
    <t>post_Multiorganversagen</t>
  </si>
  <si>
    <t>post_Encephalopathy</t>
  </si>
  <si>
    <t>post_Blut im Stuhl</t>
  </si>
  <si>
    <t>post_Panzytopenie</t>
  </si>
  <si>
    <t>post_Kapillarlecksyndrom</t>
  </si>
  <si>
    <t>post_Hepatopathie</t>
  </si>
  <si>
    <t>post_Leberfunktionsstörung</t>
  </si>
  <si>
    <t>post_Leberschaden</t>
  </si>
  <si>
    <t>post_Leberversagen</t>
  </si>
  <si>
    <t>post_Lebernekrose</t>
  </si>
  <si>
    <t>post_Leberzirrhose</t>
  </si>
  <si>
    <t>post_Hepatitis</t>
  </si>
  <si>
    <t>post_Gelbsucht, Ikterus, Jaundice</t>
  </si>
  <si>
    <t>post_Cholangitis</t>
  </si>
  <si>
    <t>post_Pankreatitis</t>
  </si>
  <si>
    <t>post_Pankreaslipomatose</t>
  </si>
  <si>
    <t>post_Aszites</t>
  </si>
  <si>
    <t>post_Gewichtszunahme</t>
  </si>
  <si>
    <t>post_Gewichtsverlust</t>
  </si>
  <si>
    <t>post_gastrointestinale Beschwerden</t>
  </si>
  <si>
    <t>post_gastrointestinale Hypomotilität</t>
  </si>
  <si>
    <t>post_gastrointestinale Blutung</t>
  </si>
  <si>
    <t>post_erosive Gastritis</t>
  </si>
  <si>
    <t>post_akutes Abdomen</t>
  </si>
  <si>
    <t>post_Stuhl teerartig</t>
  </si>
  <si>
    <t>post_Faeces /Stuhl hell/farblos</t>
  </si>
  <si>
    <t>post_Metabolische Störung</t>
  </si>
  <si>
    <t>post_rectale Blutung</t>
  </si>
  <si>
    <t>post_Ulcus ventriculi</t>
  </si>
  <si>
    <t>post_Orthopharynx</t>
  </si>
  <si>
    <t>post_roter Rachen</t>
  </si>
  <si>
    <t>post_weiße Zunge</t>
  </si>
  <si>
    <t>post_Chromaturie</t>
  </si>
  <si>
    <t>post_Harnwegsinfekt</t>
  </si>
  <si>
    <t>post_Metabolische Azidose</t>
  </si>
  <si>
    <t>post_Nierenerkrankung</t>
  </si>
  <si>
    <t>post_renale Insuffizienz</t>
  </si>
  <si>
    <t>post_Nierenversagen</t>
  </si>
  <si>
    <t>post_Nebennierenversagen</t>
  </si>
  <si>
    <t>post_Nephrotisches Syndrom</t>
  </si>
  <si>
    <t>post_Pyelonephritis</t>
  </si>
  <si>
    <t>post_Glomerulonephritis</t>
  </si>
  <si>
    <t>post_Urinverfärbung</t>
  </si>
  <si>
    <t>post_Anurie</t>
  </si>
  <si>
    <t>post_Proteinurie</t>
  </si>
  <si>
    <t>post_Splenomegalie</t>
  </si>
  <si>
    <t>post_Cholestase</t>
  </si>
  <si>
    <t>post_Hypercholesterinämie</t>
  </si>
  <si>
    <t>post_Gallenblasenvergrößerung</t>
  </si>
  <si>
    <t>post_Hypoproteinämie</t>
  </si>
  <si>
    <t>post_Basenexcess</t>
  </si>
  <si>
    <t>post_Hypoglykämie</t>
  </si>
  <si>
    <t>post_Hirnblutung intracerebral</t>
  </si>
  <si>
    <t>post_postoperative Blutung</t>
  </si>
  <si>
    <t>post_Polyartritis</t>
  </si>
  <si>
    <t>post_Parästhesie</t>
  </si>
  <si>
    <t>post_Kopf</t>
  </si>
  <si>
    <t>post_Hände</t>
  </si>
  <si>
    <t>post_Füße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</si>
</sst>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2" borderId="0" xfId="0" applyFill="1"/>
    <xf numFmtId="0" fontId="3" fillId="0" borderId="0" xfId="0" applyFon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6" borderId="0" xfId="0" applyFill="1"/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4" fillId="0" borderId="0" xfId="0" applyFont="1"/>
    <xf numFmtId="0" fontId="1" fillId="11" borderId="0" xfId="0" applyFont="1" applyFill="1"/>
    <xf numFmtId="0" fontId="1" fillId="12" borderId="0" xfId="0" applyFont="1" applyFill="1"/>
    <xf numFmtId="0" fontId="0" fillId="4" borderId="0" xfId="0" applyFill="1"/>
    <xf numFmtId="0" fontId="0" fillId="14" borderId="0" xfId="0" applyFill="1"/>
    <xf numFmtId="49" fontId="0" fillId="16" borderId="0" xfId="0" applyNumberFormat="1" applyFill="1"/>
    <xf numFmtId="0" fontId="0" fillId="16" borderId="0" xfId="0" applyFill="1"/>
    <xf numFmtId="164" fontId="0" fillId="0" borderId="0" xfId="0" applyNumberFormat="1"/>
    <xf numFmtId="0" fontId="0" fillId="9" borderId="1" xfId="0" applyFill="1" applyBorder="1"/>
    <xf numFmtId="0" fontId="0" fillId="1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9" borderId="0" xfId="0" applyFill="1"/>
    <xf numFmtId="0" fontId="0" fillId="20" borderId="0" xfId="0" applyFill="1"/>
    <xf numFmtId="0" fontId="5" fillId="21" borderId="1" xfId="0" applyFont="1" applyFill="1" applyBorder="1" applyAlignment="1">
      <alignment vertical="top" wrapText="1"/>
    </xf>
    <xf numFmtId="0" fontId="5" fillId="21" borderId="0" xfId="0" applyFont="1" applyFill="1" applyAlignment="1">
      <alignment vertical="top" wrapText="1"/>
    </xf>
    <xf numFmtId="0" fontId="0" fillId="22" borderId="0" xfId="0" applyFill="1"/>
    <xf numFmtId="0" fontId="4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9" fontId="0" fillId="2" borderId="0" xfId="0" applyNumberFormat="1" applyFill="1"/>
    <xf numFmtId="0" fontId="0" fillId="0" borderId="0" xfId="0" applyFill="1"/>
    <xf numFmtId="0" fontId="0" fillId="0" borderId="0" xfId="0" applyFont="1"/>
    <xf numFmtId="0" fontId="0" fillId="28" borderId="0" xfId="0" applyFill="1"/>
    <xf numFmtId="0" fontId="0" fillId="4" borderId="1" xfId="0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0" fontId="0" fillId="6" borderId="3" xfId="0" applyFill="1" applyBorder="1"/>
    <xf numFmtId="0" fontId="0" fillId="6" borderId="3" xfId="0" applyFill="1" applyBorder="1" applyAlignment="1">
      <alignment vertical="center"/>
    </xf>
    <xf numFmtId="0" fontId="3" fillId="6" borderId="2" xfId="0" applyFont="1" applyFill="1" applyBorder="1"/>
    <xf numFmtId="0" fontId="4" fillId="6" borderId="2" xfId="0" applyFont="1" applyFill="1" applyBorder="1"/>
    <xf numFmtId="0" fontId="0" fillId="14" borderId="2" xfId="0" applyFill="1" applyBorder="1"/>
    <xf numFmtId="0" fontId="0" fillId="2" borderId="2" xfId="0" applyFill="1" applyBorder="1"/>
    <xf numFmtId="0" fontId="0" fillId="6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/>
    </xf>
    <xf numFmtId="0" fontId="0" fillId="6" borderId="0" xfId="0" applyFont="1" applyFill="1"/>
    <xf numFmtId="0" fontId="0" fillId="3" borderId="0" xfId="0" applyFont="1" applyFill="1"/>
    <xf numFmtId="0" fontId="7" fillId="0" borderId="0" xfId="0" applyFont="1"/>
    <xf numFmtId="0" fontId="0" fillId="7" borderId="0" xfId="0" applyFill="1"/>
    <xf numFmtId="0" fontId="0" fillId="30" borderId="0" xfId="0" applyFill="1"/>
    <xf numFmtId="0" fontId="0" fillId="31" borderId="0" xfId="0" applyFill="1"/>
    <xf numFmtId="0" fontId="0" fillId="31" borderId="1" xfId="0" applyFill="1" applyBorder="1"/>
    <xf numFmtId="0" fontId="0" fillId="7" borderId="4" xfId="0" applyFill="1" applyBorder="1" applyAlignment="1">
      <alignment wrapText="1"/>
    </xf>
    <xf numFmtId="2" fontId="0" fillId="0" borderId="0" xfId="0" applyNumberFormat="1"/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wrapText="1"/>
    </xf>
    <xf numFmtId="2" fontId="0" fillId="0" borderId="0" xfId="0" applyNumberFormat="1" applyFill="1"/>
    <xf numFmtId="2" fontId="0" fillId="26" borderId="0" xfId="0" applyNumberFormat="1" applyFill="1"/>
    <xf numFmtId="2" fontId="0" fillId="4" borderId="0" xfId="0" applyNumberFormat="1" applyFill="1"/>
    <xf numFmtId="2" fontId="4" fillId="0" borderId="0" xfId="0" applyNumberFormat="1" applyFont="1" applyAlignment="1">
      <alignment wrapText="1"/>
    </xf>
    <xf numFmtId="2" fontId="0" fillId="15" borderId="0" xfId="0" applyNumberFormat="1" applyFill="1"/>
    <xf numFmtId="2" fontId="0" fillId="6" borderId="0" xfId="0" applyNumberFormat="1" applyFill="1"/>
    <xf numFmtId="2" fontId="0" fillId="19" borderId="0" xfId="0" applyNumberFormat="1" applyFill="1"/>
    <xf numFmtId="2" fontId="7" fillId="0" borderId="0" xfId="0" applyNumberFormat="1" applyFont="1"/>
    <xf numFmtId="2" fontId="0" fillId="20" borderId="0" xfId="0" applyNumberFormat="1" applyFill="1"/>
    <xf numFmtId="2" fontId="3" fillId="0" borderId="0" xfId="0" applyNumberFormat="1" applyFont="1"/>
    <xf numFmtId="2" fontId="0" fillId="28" borderId="0" xfId="0" applyNumberFormat="1" applyFill="1"/>
    <xf numFmtId="2" fontId="0" fillId="16" borderId="0" xfId="0" applyNumberFormat="1" applyFill="1" applyAlignment="1">
      <alignment wrapText="1"/>
    </xf>
    <xf numFmtId="2" fontId="0" fillId="15" borderId="0" xfId="0" applyNumberFormat="1" applyFill="1" applyAlignment="1">
      <alignment wrapText="1"/>
    </xf>
    <xf numFmtId="2" fontId="0" fillId="5" borderId="0" xfId="0" applyNumberFormat="1" applyFill="1"/>
    <xf numFmtId="2" fontId="0" fillId="2" borderId="0" xfId="0" applyNumberFormat="1" applyFill="1"/>
    <xf numFmtId="2" fontId="0" fillId="13" borderId="0" xfId="0" applyNumberFormat="1" applyFill="1"/>
    <xf numFmtId="2" fontId="4" fillId="0" borderId="0" xfId="0" applyNumberFormat="1" applyFont="1"/>
    <xf numFmtId="2" fontId="0" fillId="16" borderId="0" xfId="0" applyNumberFormat="1" applyFill="1"/>
    <xf numFmtId="2" fontId="0" fillId="18" borderId="0" xfId="0" applyNumberFormat="1" applyFill="1"/>
    <xf numFmtId="2" fontId="0" fillId="27" borderId="0" xfId="0" applyNumberFormat="1" applyFill="1"/>
    <xf numFmtId="2" fontId="1" fillId="0" borderId="0" xfId="0" applyNumberFormat="1" applyFont="1"/>
    <xf numFmtId="2" fontId="4" fillId="2" borderId="0" xfId="0" applyNumberFormat="1" applyFont="1" applyFill="1"/>
    <xf numFmtId="2" fontId="0" fillId="24" borderId="0" xfId="0" applyNumberFormat="1" applyFill="1"/>
    <xf numFmtId="2" fontId="0" fillId="29" borderId="0" xfId="0" applyNumberFormat="1" applyFill="1"/>
    <xf numFmtId="2" fontId="4" fillId="5" borderId="0" xfId="0" applyNumberFormat="1" applyFont="1" applyFill="1"/>
    <xf numFmtId="2" fontId="0" fillId="17" borderId="0" xfId="0" applyNumberFormat="1" applyFill="1"/>
    <xf numFmtId="2" fontId="0" fillId="0" borderId="0" xfId="0" applyNumberFormat="1" applyFont="1" applyFill="1"/>
    <xf numFmtId="2" fontId="4" fillId="0" borderId="0" xfId="0" applyNumberFormat="1" applyFont="1" applyFill="1"/>
    <xf numFmtId="2" fontId="0" fillId="0" borderId="0" xfId="0" applyNumberFormat="1" applyFill="1" applyAlignment="1">
      <alignment wrapText="1"/>
    </xf>
    <xf numFmtId="2" fontId="3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3" fillId="0" borderId="0" xfId="0" applyNumberFormat="1" applyFont="1" applyFill="1"/>
    <xf numFmtId="2" fontId="1" fillId="4" borderId="0" xfId="0" applyNumberFormat="1" applyFont="1" applyFill="1"/>
    <xf numFmtId="2" fontId="1" fillId="0" borderId="0" xfId="0" applyNumberFormat="1" applyFont="1" applyFill="1"/>
    <xf numFmtId="2" fontId="1" fillId="5" borderId="0" xfId="0" applyNumberFormat="1" applyFont="1" applyFill="1"/>
    <xf numFmtId="2" fontId="1" fillId="2" borderId="0" xfId="0" applyNumberFormat="1" applyFont="1" applyFill="1"/>
    <xf numFmtId="2" fontId="1" fillId="28" borderId="0" xfId="0" applyNumberFormat="1" applyFont="1" applyFill="1"/>
    <xf numFmtId="2" fontId="1" fillId="19" borderId="0" xfId="0" applyNumberFormat="1" applyFont="1" applyFill="1"/>
    <xf numFmtId="2" fontId="1" fillId="27" borderId="0" xfId="0" applyNumberFormat="1" applyFont="1" applyFill="1"/>
    <xf numFmtId="2" fontId="1" fillId="26" borderId="0" xfId="0" applyNumberFormat="1" applyFont="1" applyFill="1"/>
    <xf numFmtId="2" fontId="1" fillId="6" borderId="0" xfId="0" applyNumberFormat="1" applyFont="1" applyFill="1"/>
    <xf numFmtId="2" fontId="1" fillId="25" borderId="0" xfId="0" applyNumberFormat="1" applyFont="1" applyFill="1"/>
    <xf numFmtId="2" fontId="1" fillId="29" borderId="0" xfId="0" applyNumberFormat="1" applyFont="1" applyFill="1"/>
    <xf numFmtId="2" fontId="2" fillId="2" borderId="0" xfId="0" applyNumberFormat="1" applyFont="1" applyFill="1"/>
    <xf numFmtId="2" fontId="1" fillId="18" borderId="0" xfId="0" applyNumberFormat="1" applyFont="1" applyFill="1"/>
    <xf numFmtId="2" fontId="0" fillId="10" borderId="0" xfId="0" applyNumberFormat="1" applyFill="1"/>
  </cellXfs>
  <cellStyles count="1">
    <cellStyle name="Standard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CC"/>
      <color rgb="FF66FF99"/>
      <color rgb="FFCC6600"/>
      <color rgb="FF99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K385"/>
  <sheetViews>
    <sheetView tabSelected="1" zoomScale="85" zoomScaleNormal="85" zoomScaleSheetLayoutView="90" workbookViewId="0">
      <pane xSplit="2" ySplit="2" topLeftCell="BNS351" activePane="bottomRight" state="frozen"/>
      <selection pane="topRight" activeCell="C1" sqref="C1"/>
      <selection pane="bottomLeft" activeCell="A3" sqref="A3"/>
      <selection pane="bottomRight" activeCell="BOB288" sqref="BOB288:BOC371"/>
    </sheetView>
  </sheetViews>
  <sheetFormatPr baseColWidth="10" defaultRowHeight="15" x14ac:dyDescent="0.25"/>
  <cols>
    <col min="1" max="1" width="11.5703125" bestFit="1" customWidth="1"/>
    <col min="2" max="2" width="11.42578125" style="36"/>
    <col min="3" max="22" width="11.5703125" bestFit="1" customWidth="1"/>
    <col min="24" max="26" width="11.5703125" bestFit="1" customWidth="1"/>
    <col min="29" max="33" width="11.5703125" bestFit="1" customWidth="1"/>
    <col min="36" max="41" width="11.5703125" bestFit="1" customWidth="1"/>
    <col min="43" max="43" width="11.5703125" bestFit="1" customWidth="1"/>
    <col min="46" max="77" width="11.5703125" bestFit="1" customWidth="1"/>
    <col min="80" max="108" width="11.5703125" bestFit="1" customWidth="1"/>
    <col min="110" max="116" width="11.5703125" bestFit="1" customWidth="1"/>
    <col min="118" max="156" width="11.5703125" bestFit="1" customWidth="1"/>
    <col min="158" max="189" width="11.5703125" bestFit="1" customWidth="1"/>
    <col min="191" max="194" width="11.5703125" bestFit="1" customWidth="1"/>
    <col min="196" max="204" width="11.5703125" bestFit="1" customWidth="1"/>
    <col min="206" max="249" width="11.5703125" bestFit="1" customWidth="1"/>
    <col min="251" max="322" width="11.5703125" bestFit="1" customWidth="1"/>
    <col min="325" max="325" width="11.5703125" bestFit="1" customWidth="1"/>
    <col min="327" max="329" width="11.5703125" bestFit="1" customWidth="1"/>
    <col min="331" max="416" width="11.5703125" bestFit="1" customWidth="1"/>
    <col min="418" max="419" width="11.5703125" bestFit="1" customWidth="1"/>
    <col min="421" max="424" width="11.5703125" bestFit="1" customWidth="1"/>
    <col min="426" max="433" width="11.5703125" bestFit="1" customWidth="1"/>
    <col min="435" max="502" width="11.5703125" bestFit="1" customWidth="1"/>
    <col min="505" max="505" width="11.5703125" bestFit="1" customWidth="1"/>
    <col min="507" max="509" width="11.5703125" bestFit="1" customWidth="1"/>
    <col min="512" max="543" width="11.5703125" bestFit="1" customWidth="1"/>
    <col min="545" max="548" width="11.5703125" bestFit="1" customWidth="1"/>
    <col min="550" max="553" width="11.5703125" bestFit="1" customWidth="1"/>
    <col min="558" max="575" width="11.5703125" bestFit="1" customWidth="1"/>
    <col min="577" max="577" width="11.5703125" bestFit="1" customWidth="1"/>
    <col min="579" max="588" width="11.5703125" bestFit="1" customWidth="1"/>
    <col min="590" max="597" width="11.5703125" bestFit="1" customWidth="1"/>
    <col min="599" max="616" width="11.5703125" bestFit="1" customWidth="1"/>
    <col min="618" max="622" width="11.5703125" bestFit="1" customWidth="1"/>
    <col min="624" max="661" width="11.5703125" bestFit="1" customWidth="1"/>
    <col min="663" max="665" width="11.5703125" bestFit="1" customWidth="1"/>
    <col min="667" max="675" width="11.5703125" bestFit="1" customWidth="1"/>
    <col min="677" max="679" width="11.5703125" bestFit="1" customWidth="1"/>
    <col min="681" max="717" width="11.5703125" bestFit="1" customWidth="1"/>
    <col min="720" max="721" width="11.5703125" bestFit="1" customWidth="1"/>
    <col min="723" max="723" width="11.5703125" bestFit="1" customWidth="1"/>
    <col min="725" max="758" width="11.5703125" bestFit="1" customWidth="1"/>
    <col min="760" max="771" width="11.5703125" bestFit="1" customWidth="1"/>
    <col min="773" max="773" width="11.5703125" bestFit="1" customWidth="1"/>
    <col min="775" max="780" width="11.5703125" bestFit="1" customWidth="1"/>
    <col min="782" max="813" width="11.5703125" bestFit="1" customWidth="1"/>
    <col min="815" max="817" width="11.5703125" bestFit="1" customWidth="1"/>
    <col min="819" max="821" width="11.5703125" bestFit="1" customWidth="1"/>
    <col min="823" max="834" width="11.5703125" bestFit="1" customWidth="1"/>
    <col min="836" max="887" width="11.5703125" bestFit="1" customWidth="1"/>
    <col min="889" max="895" width="11.5703125" bestFit="1" customWidth="1"/>
    <col min="897" max="902" width="11.5703125" bestFit="1" customWidth="1"/>
    <col min="905" max="905" width="11.5703125" bestFit="1" customWidth="1"/>
    <col min="907" max="908" width="11.5703125" bestFit="1" customWidth="1"/>
    <col min="910" max="976" width="11.5703125" bestFit="1" customWidth="1"/>
    <col min="978" max="1003" width="11.5703125" bestFit="1" customWidth="1"/>
    <col min="1005" max="1040" width="11.5703125" bestFit="1" customWidth="1"/>
    <col min="1042" max="1104" width="11.5703125" bestFit="1" customWidth="1"/>
    <col min="1106" max="1123" width="11.5703125" bestFit="1" customWidth="1"/>
    <col min="1124" max="1135" width="12.28515625" customWidth="1"/>
    <col min="1136" max="1136" width="12.42578125" bestFit="1" customWidth="1"/>
    <col min="1137" max="1144" width="12.28515625" customWidth="1"/>
    <col min="1145" max="1145" width="14.5703125" bestFit="1" customWidth="1"/>
    <col min="1146" max="1146" width="11.5703125" bestFit="1" customWidth="1"/>
    <col min="1147" max="1147" width="14.5703125" bestFit="1" customWidth="1"/>
    <col min="1148" max="1150" width="11.5703125" bestFit="1" customWidth="1"/>
    <col min="1151" max="1151" width="14.5703125" bestFit="1" customWidth="1"/>
    <col min="1152" max="1157" width="11.5703125" bestFit="1" customWidth="1"/>
    <col min="1159" max="1198" width="11.5703125" bestFit="1" customWidth="1"/>
    <col min="1200" max="1205" width="11.5703125" bestFit="1" customWidth="1"/>
    <col min="1207" max="1207" width="11.5703125" bestFit="1" customWidth="1"/>
    <col min="1209" max="1214" width="11.5703125" bestFit="1" customWidth="1"/>
    <col min="1216" max="1234" width="11.5703125" bestFit="1" customWidth="1"/>
    <col min="1236" max="1241" width="11.5703125" bestFit="1" customWidth="1"/>
    <col min="1243" max="1258" width="11.5703125" bestFit="1" customWidth="1"/>
    <col min="1260" max="1277" width="11.5703125" bestFit="1" customWidth="1"/>
    <col min="1279" max="1300" width="11.5703125" bestFit="1" customWidth="1"/>
    <col min="1303" max="1304" width="11.5703125" bestFit="1" customWidth="1"/>
    <col min="1306" max="1308" width="11.5703125" bestFit="1" customWidth="1"/>
    <col min="1311" max="1311" width="11.5703125" bestFit="1" customWidth="1"/>
    <col min="1313" max="1321" width="11.5703125" bestFit="1" customWidth="1"/>
    <col min="1323" max="1327" width="11.5703125" bestFit="1" customWidth="1"/>
    <col min="1329" max="1336" width="11.5703125" bestFit="1" customWidth="1"/>
    <col min="1338" max="1341" width="11.5703125" bestFit="1" customWidth="1"/>
    <col min="1343" max="1350" width="11.5703125" bestFit="1" customWidth="1"/>
    <col min="1352" max="1355" width="11.5703125" bestFit="1" customWidth="1"/>
    <col min="1357" max="1357" width="11.5703125" bestFit="1" customWidth="1"/>
    <col min="1360" max="1394" width="11.5703125" bestFit="1" customWidth="1"/>
    <col min="1396" max="1398" width="11.5703125" bestFit="1" customWidth="1"/>
    <col min="1400" max="1401" width="11.5703125" bestFit="1" customWidth="1"/>
    <col min="1403" max="1431" width="11.5703125" bestFit="1" customWidth="1"/>
    <col min="1433" max="1488" width="11.5703125" bestFit="1" customWidth="1"/>
    <col min="1490" max="1494" width="11.5703125" bestFit="1" customWidth="1"/>
    <col min="1496" max="1503" width="11.5703125" bestFit="1" customWidth="1"/>
    <col min="1505" max="1519" width="11.5703125" bestFit="1" customWidth="1"/>
    <col min="1521" max="1552" width="11.5703125" bestFit="1" customWidth="1"/>
    <col min="1554" max="1582" width="11.5703125" bestFit="1" customWidth="1"/>
    <col min="1584" max="1608" width="11.5703125" bestFit="1" customWidth="1"/>
    <col min="1610" max="1613" width="11.5703125" bestFit="1" customWidth="1"/>
    <col min="1615" max="1627" width="11.5703125" bestFit="1" customWidth="1"/>
    <col min="1629" max="1642" width="11.5703125" bestFit="1" customWidth="1"/>
    <col min="1644" max="1649" width="11.5703125" bestFit="1" customWidth="1"/>
    <col min="1651" max="1656" width="11.5703125" bestFit="1" customWidth="1"/>
    <col min="1658" max="1696" width="11.5703125" bestFit="1" customWidth="1"/>
    <col min="1700" max="1704" width="11.5703125" bestFit="1" customWidth="1"/>
    <col min="1706" max="1713" width="11.5703125" bestFit="1" customWidth="1"/>
    <col min="1715" max="1720" width="11.5703125" bestFit="1" customWidth="1"/>
    <col min="1722" max="1749" width="11.5703125" bestFit="1" customWidth="1"/>
    <col min="1750" max="1750" width="18.28515625" bestFit="1" customWidth="1"/>
    <col min="1751" max="1765" width="11.5703125" bestFit="1" customWidth="1"/>
    <col min="1767" max="1778" width="11.5703125" bestFit="1" customWidth="1"/>
    <col min="1780" max="1784" width="11.5703125" bestFit="1" customWidth="1"/>
    <col min="1786" max="1799" width="11.5703125" bestFit="1" customWidth="1"/>
    <col min="1801" max="1821" width="11.5703125" bestFit="1" customWidth="1"/>
    <col min="1823" max="1840" width="11.5703125" bestFit="1" customWidth="1"/>
    <col min="1843" max="1854" width="11.5703125" bestFit="1" customWidth="1"/>
    <col min="1857" max="1864" width="11.5703125" bestFit="1" customWidth="1"/>
    <col min="1866" max="1900" width="11.5703125" bestFit="1" customWidth="1"/>
    <col min="1902" max="1911" width="11.5703125" bestFit="1" customWidth="1"/>
    <col min="1913" max="1931" width="11.5703125" bestFit="1" customWidth="1"/>
    <col min="1933" max="1935" width="11.5703125" bestFit="1" customWidth="1"/>
    <col min="1937" max="1943" width="11.5703125" bestFit="1" customWidth="1"/>
    <col min="1945" max="1983" width="11.5703125" bestFit="1" customWidth="1"/>
    <col min="1985" max="1999" width="11.5703125" bestFit="1" customWidth="1"/>
    <col min="2001" max="2004" width="11.5703125" bestFit="1" customWidth="1"/>
    <col min="2007" max="2008" width="11.5703125" bestFit="1" customWidth="1"/>
    <col min="2010" max="2011" width="11.5703125" bestFit="1" customWidth="1"/>
    <col min="2012" max="2012" width="11.5703125" style="17" bestFit="1" customWidth="1"/>
    <col min="2013" max="2017" width="11.5703125" bestFit="1" customWidth="1"/>
    <col min="2018" max="2018" width="11.42578125" customWidth="1"/>
    <col min="2019" max="2029" width="11.5703125" bestFit="1" customWidth="1"/>
    <col min="2032" max="2043" width="11.5703125" bestFit="1" customWidth="1"/>
    <col min="2045" max="2055" width="11.5703125" bestFit="1" customWidth="1"/>
    <col min="2057" max="2067" width="11.5703125" bestFit="1" customWidth="1"/>
    <col min="2069" max="2075" width="11.5703125" bestFit="1" customWidth="1"/>
    <col min="2078" max="2082" width="11.5703125" bestFit="1" customWidth="1"/>
    <col min="2084" max="2087" width="11.5703125" bestFit="1" customWidth="1"/>
    <col min="2089" max="2095" width="11.5703125" bestFit="1" customWidth="1"/>
    <col min="2099" max="2103" width="11.5703125" bestFit="1" customWidth="1"/>
    <col min="2105" max="2106" width="11.5703125" bestFit="1" customWidth="1"/>
    <col min="2115" max="2116" width="11.5703125" bestFit="1" customWidth="1"/>
    <col min="2119" max="2120" width="11.5703125" bestFit="1" customWidth="1"/>
    <col min="2125" max="2127" width="11.5703125" bestFit="1" customWidth="1"/>
    <col min="2130" max="2134" width="11.5703125" bestFit="1" customWidth="1"/>
    <col min="2136" max="2136" width="11.5703125" bestFit="1" customWidth="1"/>
    <col min="2147" max="2148" width="11.5703125" bestFit="1" customWidth="1"/>
    <col min="2151" max="2155" width="11.5703125" bestFit="1" customWidth="1"/>
    <col min="2157" max="2159" width="11.5703125" bestFit="1" customWidth="1"/>
    <col min="2162" max="2166" width="11.5703125" bestFit="1" customWidth="1"/>
    <col min="2178" max="2178" width="11.42578125" customWidth="1"/>
    <col min="2179" max="2181" width="11.5703125" bestFit="1" customWidth="1"/>
    <col min="2183" max="2183" width="11.5703125" bestFit="1" customWidth="1"/>
    <col min="2185" max="2189" width="11.5703125" bestFit="1" customWidth="1"/>
    <col min="2193" max="2193" width="11.5703125" bestFit="1" customWidth="1"/>
    <col min="2195" max="2201" width="11.5703125" bestFit="1" customWidth="1"/>
    <col min="2204" max="2205" width="11.5703125" bestFit="1" customWidth="1"/>
    <col min="2207" max="2208" width="11.5703125" bestFit="1" customWidth="1"/>
    <col min="2210" max="2211" width="11.5703125" bestFit="1" customWidth="1"/>
    <col min="2214" max="2217" width="11.5703125" bestFit="1" customWidth="1"/>
    <col min="2219" max="2221" width="11.5703125" bestFit="1" customWidth="1"/>
    <col min="2224" max="2227" width="11.5703125" bestFit="1" customWidth="1"/>
    <col min="2229" max="2231" width="11.5703125" bestFit="1" customWidth="1"/>
    <col min="2234" max="2243" width="11.5703125" bestFit="1" customWidth="1"/>
    <col min="2245" max="2252" width="11.5703125" bestFit="1" customWidth="1"/>
    <col min="2255" max="2259" width="11.5703125" bestFit="1" customWidth="1"/>
    <col min="2261" max="2263" width="11.5703125" bestFit="1" customWidth="1"/>
    <col min="2266" max="2273" width="11.5703125" bestFit="1" customWidth="1"/>
    <col min="2275" max="2275" width="11.5703125" bestFit="1" customWidth="1"/>
    <col min="2277" max="2283" width="11.5703125" bestFit="1" customWidth="1"/>
    <col min="2286" max="2293" width="11.5703125" bestFit="1" customWidth="1"/>
    <col min="2296" max="2300" width="11.5703125" bestFit="1" customWidth="1"/>
    <col min="2304" max="2304" width="11.5703125" bestFit="1" customWidth="1"/>
    <col min="2307" max="2313" width="11.5703125" bestFit="1" customWidth="1"/>
    <col min="2316" max="2320" width="11.5703125" bestFit="1" customWidth="1"/>
    <col min="2322" max="2323" width="11.5703125" bestFit="1" customWidth="1"/>
    <col min="2326" max="2330" width="11.5703125" bestFit="1" customWidth="1"/>
    <col min="2332" max="2334" width="11.5703125" bestFit="1" customWidth="1"/>
    <col min="2337" max="2340" width="11.5703125" bestFit="1" customWidth="1"/>
    <col min="2346" max="2346" width="11.5703125" bestFit="1" customWidth="1"/>
    <col min="2348" max="2354" width="11.5703125" bestFit="1" customWidth="1"/>
    <col min="2357" max="2360" width="11.5703125" bestFit="1" customWidth="1"/>
    <col min="2362" max="2365" width="11.5703125" bestFit="1" customWidth="1"/>
    <col min="2367" max="2375" width="11.5703125" bestFit="1" customWidth="1"/>
    <col min="2377" max="2385" width="11.5703125" bestFit="1" customWidth="1"/>
    <col min="2387" max="2392" width="11.5703125" bestFit="1" customWidth="1"/>
    <col min="2398" max="2398" width="11.5703125" bestFit="1" customWidth="1"/>
    <col min="2403" max="2405" width="11.5703125" bestFit="1" customWidth="1"/>
    <col min="2407" max="2411" width="11.5703125" bestFit="1" customWidth="1"/>
    <col min="2413" max="2414" width="11.5703125" bestFit="1" customWidth="1"/>
    <col min="2417" max="2426" width="11.5703125" bestFit="1" customWidth="1"/>
    <col min="2429" max="2432" width="11.5703125" bestFit="1" customWidth="1"/>
    <col min="2434" max="2436" width="11.5703125" bestFit="1" customWidth="1"/>
    <col min="2439" max="2442" width="11.5703125" bestFit="1" customWidth="1"/>
    <col min="2444" max="2445" width="11.5703125" bestFit="1" customWidth="1"/>
    <col min="2448" max="2452" width="11.5703125" bestFit="1" customWidth="1"/>
    <col min="2454" max="2455" width="11.5703125" bestFit="1" customWidth="1"/>
    <col min="2458" max="2465" width="11.5703125" bestFit="1" customWidth="1"/>
    <col min="2468" max="2472" width="11.5703125" bestFit="1" customWidth="1"/>
    <col min="2474" max="2475" width="11.5703125" bestFit="1" customWidth="1"/>
    <col min="2478" max="2483" width="11.5703125" bestFit="1" customWidth="1"/>
    <col min="2485" max="2485" width="11.5703125" bestFit="1" customWidth="1"/>
    <col min="2488" max="2492" width="11.5703125" bestFit="1" customWidth="1"/>
    <col min="2500" max="2500" width="11.5703125" bestFit="1" customWidth="1"/>
    <col min="2508" max="2508" width="11.5703125" bestFit="1" customWidth="1"/>
    <col min="2514" max="2515" width="11.5703125" bestFit="1" customWidth="1"/>
    <col min="2518" max="2525" width="11.5703125" bestFit="1" customWidth="1"/>
    <col min="2528" max="2532" width="11.5703125" bestFit="1" customWidth="1"/>
    <col min="2534" max="2535" width="11.5703125" bestFit="1" customWidth="1"/>
    <col min="2538" max="2543" width="11.5703125" bestFit="1" customWidth="1"/>
    <col min="2549" max="2552" width="11.5703125" bestFit="1" customWidth="1"/>
    <col min="2554" max="2558" width="11.5703125" bestFit="1" customWidth="1"/>
    <col min="2561" max="2563" width="11.5703125" bestFit="1" customWidth="1"/>
    <col min="2565" max="2568" width="11.5703125" bestFit="1" customWidth="1"/>
    <col min="2570" max="2575" width="11.5703125" bestFit="1" customWidth="1"/>
    <col min="2580" max="2584" width="11.5703125" bestFit="1" customWidth="1"/>
    <col min="2590" max="2594" width="11.5703125" bestFit="1" customWidth="1"/>
    <col min="2596" max="2597" width="11.5703125" bestFit="1" customWidth="1"/>
    <col min="2600" max="2604" width="11.5703125" bestFit="1" customWidth="1"/>
    <col min="2606" max="2608" width="11.5703125" bestFit="1" customWidth="1"/>
    <col min="2610" max="2618" width="11.5703125" bestFit="1" customWidth="1"/>
    <col min="2620" max="2625" width="11.5703125" bestFit="1" customWidth="1"/>
    <col min="2627" max="2627" width="11.5703125" bestFit="1" customWidth="1"/>
    <col min="2630" max="2634" width="11.5703125" bestFit="1" customWidth="1"/>
    <col min="2636" max="2639" width="11.5703125" bestFit="1" customWidth="1"/>
    <col min="2642" max="2645" width="11.5703125" bestFit="1" customWidth="1"/>
    <col min="2647" max="2647" width="11.5703125" bestFit="1" customWidth="1"/>
    <col min="2658" max="2658" width="11.5703125" bestFit="1" customWidth="1"/>
    <col min="2669" max="2670" width="11.5703125" bestFit="1" customWidth="1"/>
    <col min="2673" max="2677" width="11.5703125" bestFit="1" customWidth="1"/>
    <col min="2683" max="2687" width="11.5703125" bestFit="1" customWidth="1"/>
    <col min="2689" max="2690" width="11.5703125" bestFit="1" customWidth="1"/>
    <col min="2693" max="2697" width="11.5703125" bestFit="1" customWidth="1"/>
    <col min="2699" max="2700" width="11.5703125" bestFit="1" customWidth="1"/>
    <col min="2703" max="2711" width="11.5703125" bestFit="1" customWidth="1"/>
    <col min="2714" max="2721" width="11.5703125" bestFit="1" customWidth="1"/>
    <col min="2724" max="2729" width="11.5703125" bestFit="1" customWidth="1"/>
    <col min="2735" max="2739" width="11.5703125" bestFit="1" customWidth="1"/>
    <col min="2741" max="2742" width="11.5703125" bestFit="1" customWidth="1"/>
    <col min="2745" max="2749" width="11.5703125" bestFit="1" customWidth="1"/>
    <col min="2751" max="2753" width="11.5703125" bestFit="1" customWidth="1"/>
    <col min="2755" max="2762" width="11.5703125" bestFit="1" customWidth="1"/>
    <col min="2765" max="2773" width="11.5703125" bestFit="1" customWidth="1"/>
    <col min="2775" max="2780" width="11.5703125" bestFit="1" customWidth="1"/>
    <col min="2785" max="2789" width="11.5703125" bestFit="1" customWidth="1"/>
    <col min="2796" max="2800" width="11.5703125" bestFit="1" customWidth="1"/>
    <col min="2803" max="2805" width="11.5703125" bestFit="1" customWidth="1"/>
    <col min="2807" max="2816" width="11.5703125" bestFit="1" customWidth="1"/>
    <col min="2818" max="2825" width="11.5703125" bestFit="1" customWidth="1"/>
    <col min="2828" max="2832" width="11.5703125" bestFit="1" customWidth="1"/>
    <col min="2834" max="2835" width="11.5703125" bestFit="1" customWidth="1"/>
    <col min="2838" max="2845" width="11.5703125" bestFit="1" customWidth="1"/>
    <col min="2848" max="2853" width="11.5703125" bestFit="1" customWidth="1"/>
    <col min="2858" max="2858" width="11.5703125" bestFit="1" customWidth="1"/>
    <col min="2864" max="2865" width="11.5703125" bestFit="1" customWidth="1"/>
    <col min="2868" max="2875" width="11.5703125" bestFit="1" customWidth="1"/>
    <col min="2878" max="2879" width="11.5703125" bestFit="1" customWidth="1"/>
    <col min="2884" max="2885" width="11.5703125" bestFit="1" customWidth="1"/>
    <col min="2888" max="2895" width="11.5703125" bestFit="1" customWidth="1"/>
    <col min="2898" max="2902" width="11.5703125" bestFit="1" customWidth="1"/>
    <col min="2904" max="2905" width="11.5703125" bestFit="1" customWidth="1"/>
    <col min="2908" max="2912" width="11.5703125" bestFit="1" customWidth="1"/>
    <col min="2914" max="2915" width="11.5703125" bestFit="1" customWidth="1"/>
    <col min="2918" max="2918" width="11.5703125" bestFit="1" customWidth="1"/>
    <col min="2924" max="2925" width="11.5703125" bestFit="1" customWidth="1"/>
    <col min="2928" max="2932" width="11.5703125" bestFit="1" customWidth="1"/>
    <col min="2934" max="2935" width="11.5703125" bestFit="1" customWidth="1"/>
    <col min="2938" max="2942" width="11.5703125" bestFit="1" customWidth="1"/>
    <col min="2948" max="2952" width="11.5703125" bestFit="1" customWidth="1"/>
    <col min="2954" max="2954" width="11.5703125" bestFit="1" customWidth="1"/>
    <col min="2958" max="2962" width="11.5703125" bestFit="1" customWidth="1"/>
    <col min="2964" max="2965" width="11.5703125" bestFit="1" customWidth="1"/>
    <col min="2968" max="2972" width="11.5703125" bestFit="1" customWidth="1"/>
    <col min="2974" max="2976" width="11.5703125" bestFit="1" customWidth="1"/>
    <col min="2979" max="2986" width="11.5703125" bestFit="1" customWidth="1"/>
    <col min="2989" max="2993" width="11.5703125" bestFit="1" customWidth="1"/>
    <col min="2996" max="2996" width="11.5703125" bestFit="1" customWidth="1"/>
    <col min="2999" max="3003" width="11.5703125" bestFit="1" customWidth="1"/>
    <col min="3009" max="3013" width="11.5703125" bestFit="1" customWidth="1"/>
    <col min="3015" max="3016" width="11.5703125" bestFit="1" customWidth="1"/>
    <col min="3019" max="3023" width="11.5703125" bestFit="1" customWidth="1"/>
    <col min="3025" max="3026" width="11.5703125" bestFit="1" customWidth="1"/>
    <col min="3029" max="3033" width="11.5703125" bestFit="1" customWidth="1"/>
    <col min="3035" max="3036" width="11.5703125" bestFit="1" customWidth="1"/>
    <col min="3039" max="3046" width="11.5703125" bestFit="1" customWidth="1"/>
    <col min="3049" max="3056" width="11.5703125" bestFit="1" customWidth="1"/>
    <col min="3059" max="3063" width="11.5703125" bestFit="1" customWidth="1"/>
    <col min="3065" max="3066" width="11.5703125" bestFit="1" customWidth="1"/>
    <col min="3069" max="3076" width="11.5703125" bestFit="1" customWidth="1"/>
    <col min="3079" max="3083" width="11.5703125" bestFit="1" customWidth="1"/>
    <col min="3085" max="3086" width="11.5703125" bestFit="1" customWidth="1"/>
    <col min="3089" max="3093" width="11.5703125" bestFit="1" customWidth="1"/>
    <col min="3099" max="3104" width="11.5703125" bestFit="1" customWidth="1"/>
    <col min="3110" max="3113" width="11.5703125" bestFit="1" customWidth="1"/>
    <col min="3116" max="3117" width="11.5703125" bestFit="1" customWidth="1"/>
    <col min="3119" max="3127" width="11.5703125" bestFit="1" customWidth="1"/>
    <col min="3130" max="3133" width="11.5703125" bestFit="1" customWidth="1"/>
    <col min="3135" max="3135" width="11.5703125" bestFit="1" customWidth="1"/>
    <col min="3138" max="3138" width="11.5703125" bestFit="1" customWidth="1"/>
    <col min="3141" max="3145" width="11.5703125" bestFit="1" customWidth="1"/>
    <col min="3148" max="3148" width="11.5703125" bestFit="1" customWidth="1"/>
    <col min="3151" max="3157" width="11.5703125" bestFit="1" customWidth="1"/>
    <col min="3161" max="3165" width="11.5703125" bestFit="1" customWidth="1"/>
    <col min="3167" max="3169" width="11.5703125" bestFit="1" customWidth="1"/>
    <col min="3171" max="3176" width="11.5703125" bestFit="1" customWidth="1"/>
    <col min="3181" max="3181" width="11.5703125" bestFit="1" customWidth="1"/>
    <col min="3183" max="3183" width="11.5703125" bestFit="1" customWidth="1"/>
    <col min="3186" max="3189" width="11.5703125" bestFit="1" customWidth="1"/>
    <col min="3192" max="3199" width="11.5703125" bestFit="1" customWidth="1"/>
    <col min="3202" max="3206" width="11.5703125" bestFit="1" customWidth="1"/>
    <col min="3208" max="3209" width="11.5703125" bestFit="1" customWidth="1"/>
    <col min="3212" max="3217" width="11.5703125" bestFit="1" customWidth="1"/>
    <col min="3223" max="3227" width="11.5703125" bestFit="1" customWidth="1"/>
    <col min="3229" max="3229" width="11.5703125" bestFit="1" customWidth="1"/>
    <col min="3232" max="3237" width="11.5703125" bestFit="1" customWidth="1"/>
    <col min="3240" max="3240" width="11.5703125" bestFit="1" customWidth="1"/>
    <col min="3249" max="3250" width="11.5703125" bestFit="1" customWidth="1"/>
    <col min="3253" max="3257" width="11.5703125" bestFit="1" customWidth="1"/>
    <col min="3259" max="3260" width="11.5703125" bestFit="1" customWidth="1"/>
    <col min="3263" max="3267" width="11.5703125" bestFit="1" customWidth="1"/>
    <col min="3269" max="3270" width="11.5703125" bestFit="1" customWidth="1"/>
    <col min="3273" max="3277" width="11.5703125" bestFit="1" customWidth="1"/>
    <col min="3279" max="3280" width="11.5703125" bestFit="1" customWidth="1"/>
    <col min="3283" max="3292" width="11.5703125" bestFit="1" customWidth="1"/>
    <col min="3294" max="3298" width="11.5703125" bestFit="1" customWidth="1"/>
    <col min="3300" max="3300" width="11.5703125" bestFit="1" customWidth="1"/>
    <col min="3304" max="3311" width="11.5703125" bestFit="1" customWidth="1"/>
    <col min="3314" max="3321" width="11.5703125" bestFit="1" customWidth="1"/>
    <col min="3324" max="3328" width="11.5703125" bestFit="1" customWidth="1"/>
    <col min="3330" max="3332" width="11.5703125" bestFit="1" customWidth="1"/>
    <col min="3335" max="3339" width="11.5703125" bestFit="1" customWidth="1"/>
    <col min="3341" max="3343" width="11.5703125" bestFit="1" customWidth="1"/>
    <col min="3345" max="3353" width="11.5703125" bestFit="1" customWidth="1"/>
    <col min="3357" max="3361" width="11.5703125" bestFit="1" customWidth="1"/>
    <col min="3363" max="3364" width="11.5703125" bestFit="1" customWidth="1"/>
    <col min="3366" max="3366" width="11.5703125" bestFit="1" customWidth="1"/>
    <col min="3369" max="3372" width="11.5703125" bestFit="1" customWidth="1"/>
    <col min="3374" max="3375" width="11.5703125" bestFit="1" customWidth="1"/>
    <col min="3377" max="3377" width="11.5703125" bestFit="1" customWidth="1"/>
    <col min="3380" max="3383" width="11.5703125" bestFit="1" customWidth="1"/>
    <col min="3385" max="3387" width="11.5703125" bestFit="1" customWidth="1"/>
    <col min="3390" max="3390" width="11.5703125" bestFit="1" customWidth="1"/>
    <col min="3392" max="3395" width="11.5703125" bestFit="1" customWidth="1"/>
    <col min="3397" max="3398" width="11.5703125" bestFit="1" customWidth="1"/>
    <col min="3401" max="3405" width="11.5703125" bestFit="1" customWidth="1"/>
    <col min="3407" max="3408" width="11.5703125" bestFit="1" customWidth="1"/>
    <col min="3411" max="3415" width="11.5703125" bestFit="1" customWidth="1"/>
    <col min="3417" max="3419" width="11.5703125" bestFit="1" customWidth="1"/>
    <col min="3422" max="3422" width="11.5703125" bestFit="1" customWidth="1"/>
    <col min="3424" max="3427" width="11.5703125" bestFit="1" customWidth="1"/>
    <col min="3429" max="3430" width="11.5703125" bestFit="1" customWidth="1"/>
    <col min="3433" max="3437" width="11.5703125" bestFit="1" customWidth="1"/>
    <col min="3439" max="3440" width="11.5703125" bestFit="1" customWidth="1"/>
    <col min="3443" max="3447" width="11.5703125" bestFit="1" customWidth="1"/>
    <col min="3449" max="3451" width="11.5703125" bestFit="1" customWidth="1"/>
    <col min="3453" max="3457" width="11.5703125" bestFit="1" customWidth="1"/>
    <col min="3459" max="3460" width="11.5703125" bestFit="1" customWidth="1"/>
    <col min="3463" max="3467" width="11.5703125" bestFit="1" customWidth="1"/>
    <col min="3469" max="3471" width="11.5703125" bestFit="1" customWidth="1"/>
    <col min="3474" max="3478" width="11.5703125" bestFit="1" customWidth="1"/>
    <col min="3480" max="3481" width="11.5703125" bestFit="1" customWidth="1"/>
    <col min="3484" max="3488" width="11.5703125" bestFit="1" customWidth="1"/>
    <col min="3490" max="3491" width="11.5703125" bestFit="1" customWidth="1"/>
    <col min="3494" max="3495" width="11.5703125" bestFit="1" customWidth="1"/>
    <col min="3497" max="3498" width="11.5703125" bestFit="1" customWidth="1"/>
    <col min="3504" max="3508" width="11.5703125" bestFit="1" customWidth="1"/>
    <col min="3510" max="3510" width="11.5703125" bestFit="1" customWidth="1"/>
    <col min="3521" max="3524" width="11.5703125" bestFit="1" customWidth="1"/>
    <col min="3526" max="3531" width="11.5703125" bestFit="1" customWidth="1"/>
    <col min="3533" max="3543" width="11.5703125" bestFit="1" customWidth="1"/>
    <col min="3545" max="3546" width="11.5703125" bestFit="1" customWidth="1"/>
    <col min="3549" max="3549" width="11.5703125" bestFit="1" customWidth="1"/>
    <col min="3551" max="3557" width="11.5703125" bestFit="1" customWidth="1"/>
    <col min="3560" max="3567" width="11.5703125" bestFit="1" customWidth="1"/>
    <col min="3570" max="3574" width="11.5703125" bestFit="1" customWidth="1"/>
    <col min="3576" max="3577" width="11.5703125" bestFit="1" customWidth="1"/>
    <col min="3580" max="3581" width="11.5703125" bestFit="1" customWidth="1"/>
    <col min="3583" max="3584" width="11.5703125" bestFit="1" customWidth="1"/>
    <col min="3586" max="3587" width="11.5703125" bestFit="1" customWidth="1"/>
    <col min="3590" max="3597" width="11.5703125" bestFit="1" customWidth="1"/>
    <col min="3600" max="3604" width="11.5703125" bestFit="1" customWidth="1"/>
    <col min="3606" max="3607" width="11.5703125" bestFit="1" customWidth="1"/>
    <col min="3610" max="3617" width="11.5703125" bestFit="1" customWidth="1"/>
    <col min="3626" max="3628" width="11.5703125" bestFit="1" customWidth="1"/>
    <col min="3630" max="3635" width="11.5703125" bestFit="1" customWidth="1"/>
    <col min="3641" max="3644" width="11.5703125" bestFit="1" customWidth="1"/>
    <col min="3646" max="3647" width="11.5703125" bestFit="1" customWidth="1"/>
    <col min="3650" max="3655" width="11.5703125" bestFit="1" customWidth="1"/>
    <col min="3657" max="3657" width="11.5703125" bestFit="1" customWidth="1"/>
    <col min="3660" max="3662" width="11.5703125" bestFit="1" customWidth="1"/>
    <col min="3677" max="3677" width="11.5703125" bestFit="1" customWidth="1"/>
    <col min="3680" max="3684" width="11.5703125" bestFit="1" customWidth="1"/>
    <col min="3686" max="3687" width="11.5703125" bestFit="1" customWidth="1"/>
    <col min="3690" max="3693" width="11.5703125" bestFit="1" customWidth="1"/>
    <col min="3695" max="3697" width="11.5703125" bestFit="1" customWidth="1"/>
    <col min="3700" max="3703" width="11.5703125" bestFit="1" customWidth="1"/>
    <col min="3705" max="3707" width="11.5703125" bestFit="1" customWidth="1"/>
    <col min="3710" max="3713" width="11.5703125" bestFit="1" customWidth="1"/>
    <col min="3715" max="3718" width="11.5703125" bestFit="1" customWidth="1"/>
    <col min="3721" max="3728" width="11.5703125" bestFit="1" customWidth="1"/>
    <col min="3731" max="3738" width="11.5703125" bestFit="1" customWidth="1"/>
    <col min="3741" max="3746" width="11.5703125" bestFit="1" customWidth="1"/>
    <col min="3748" max="3748" width="11.5703125" bestFit="1" customWidth="1"/>
    <col min="3751" max="3754" width="11.5703125" bestFit="1" customWidth="1"/>
    <col min="3756" max="3758" width="11.5703125" bestFit="1" customWidth="1"/>
    <col min="3761" max="3764" width="11.5703125" bestFit="1" customWidth="1"/>
    <col min="3766" max="3766" width="11.5703125" bestFit="1" customWidth="1"/>
    <col min="3771" max="3776" width="11.5703125" bestFit="1" customWidth="1"/>
    <col min="3782" max="3785" width="11.5703125" bestFit="1" customWidth="1"/>
    <col min="3791" max="3798" width="11.5703125" bestFit="1" customWidth="1"/>
    <col min="3802" max="3806" width="11.5703125" bestFit="1" customWidth="1"/>
    <col min="3808" max="3810" width="11.5703125" bestFit="1" customWidth="1"/>
    <col min="3813" max="3818" width="11.5703125" bestFit="1" customWidth="1"/>
    <col min="3820" max="3820" width="11.5703125" bestFit="1" customWidth="1"/>
    <col min="3823" max="3827" width="11.5703125" bestFit="1" customWidth="1"/>
    <col min="3833" max="3837" width="11.5703125" bestFit="1" customWidth="1"/>
    <col min="3839" max="3841" width="11.5703125" bestFit="1" customWidth="1"/>
    <col min="3844" max="3848" width="11.5703125" bestFit="1" customWidth="1"/>
    <col min="3854" max="3858" width="11.5703125" bestFit="1" customWidth="1"/>
    <col min="3864" max="3870" width="11.5703125" bestFit="1" customWidth="1"/>
    <col min="3874" max="3878" width="11.5703125" bestFit="1" customWidth="1"/>
    <col min="3885" max="3888" width="11.5703125" bestFit="1" customWidth="1"/>
    <col min="3890" max="3898" width="11.5703125" bestFit="1" customWidth="1"/>
    <col min="3901" max="3901" width="11.5703125" bestFit="1" customWidth="1"/>
    <col min="3910" max="3910" width="11.5703125" bestFit="1" customWidth="1"/>
    <col min="3913" max="3919" width="11.5703125" bestFit="1" customWidth="1"/>
    <col min="3923" max="3923" width="11.5703125" bestFit="1" customWidth="1"/>
    <col min="3925" max="3925" width="11.5703125" bestFit="1" customWidth="1"/>
    <col min="3928" max="3928" width="11.5703125" bestFit="1" customWidth="1"/>
    <col min="3940" max="3942" width="11.5703125" bestFit="1" customWidth="1"/>
    <col min="3944" max="3951" width="11.5703125" bestFit="1" customWidth="1"/>
    <col min="3954" max="3961" width="11.5703125" bestFit="1" customWidth="1"/>
    <col min="3964" max="3969" width="11.5703125" bestFit="1" customWidth="1"/>
    <col min="3971" max="3971" width="11.5703125" bestFit="1" customWidth="1"/>
    <col min="3974" max="3981" width="11.5703125" bestFit="1" customWidth="1"/>
    <col min="3984" max="3988" width="11.5703125" bestFit="1" customWidth="1"/>
    <col min="3990" max="3990" width="11.5703125" bestFit="1" customWidth="1"/>
    <col min="4001" max="4003" width="11.5703125" bestFit="1" customWidth="1"/>
    <col min="4006" max="4014" width="11.5703125" bestFit="1" customWidth="1"/>
    <col min="4017" max="4020" width="11.5703125" bestFit="1" customWidth="1"/>
    <col min="4022" max="4024" width="11.5703125" bestFit="1" customWidth="1"/>
    <col min="4027" max="4030" width="11.5703125" bestFit="1" customWidth="1"/>
    <col min="4032" max="4033" width="11.5703125" bestFit="1" customWidth="1"/>
    <col min="4036" max="4040" width="11.5703125" bestFit="1" customWidth="1"/>
    <col min="4042" max="4044" width="11.5703125" bestFit="1" customWidth="1"/>
    <col min="4047" max="4050" width="11.5703125" bestFit="1" customWidth="1"/>
    <col min="4054" max="4054" width="11.5703125" bestFit="1" customWidth="1"/>
    <col min="4057" max="4060" width="11.5703125" bestFit="1" customWidth="1"/>
    <col min="4062" max="4063" width="11.5703125" bestFit="1" customWidth="1"/>
    <col min="4066" max="4069" width="11.5703125" bestFit="1" customWidth="1"/>
    <col min="4072" max="4074" width="11.5703125" bestFit="1" customWidth="1"/>
    <col min="4078" max="4084" width="11.5703125" bestFit="1" customWidth="1"/>
    <col min="4087" max="4091" width="11.5703125" bestFit="1" customWidth="1"/>
    <col min="4093" max="4093" width="11.5703125" bestFit="1" customWidth="1"/>
    <col min="4097" max="4105" width="11.5703125" bestFit="1" customWidth="1"/>
    <col min="4107" max="4112" width="11.5703125" bestFit="1" customWidth="1"/>
    <col min="4115" max="4115" width="11.5703125" bestFit="1" customWidth="1"/>
    <col min="4118" max="4126" width="11.5703125" bestFit="1" customWidth="1"/>
    <col min="4129" max="4136" width="11.5703125" bestFit="1" customWidth="1"/>
    <col min="4138" max="4144" width="11.5703125" bestFit="1" customWidth="1"/>
    <col min="4149" max="4152" width="11.5703125" bestFit="1" customWidth="1"/>
    <col min="4164" max="4165" width="11.5703125" bestFit="1" customWidth="1"/>
    <col min="4168" max="4172" width="11.5703125" bestFit="1" customWidth="1"/>
    <col min="4174" max="4175" width="11.5703125" bestFit="1" customWidth="1"/>
    <col min="4178" max="4182" width="11.5703125" bestFit="1" customWidth="1"/>
    <col min="4184" max="4185" width="11.5703125" bestFit="1" customWidth="1"/>
    <col min="4188" max="4192" width="11.5703125" bestFit="1" customWidth="1"/>
    <col min="4194" max="4195" width="11.5703125" bestFit="1" customWidth="1"/>
    <col min="4198" max="4198" width="11.5703125" bestFit="1" customWidth="1"/>
    <col min="4200" max="4203" width="11.5703125" bestFit="1" customWidth="1"/>
    <col min="4210" max="4213" width="11.5703125" bestFit="1" customWidth="1"/>
    <col min="4220" max="4226" width="11.5703125" bestFit="1" customWidth="1"/>
    <col min="4229" max="4233" width="11.5703125" bestFit="1" customWidth="1"/>
    <col min="4235" max="4237" width="11.5703125" bestFit="1" customWidth="1"/>
    <col min="4240" max="4244" width="11.5703125" bestFit="1" customWidth="1"/>
    <col min="4246" max="4246" width="11.5703125" bestFit="1" customWidth="1"/>
    <col min="4249" max="4250" width="11.5703125" bestFit="1" customWidth="1"/>
    <col min="4255" max="4257" width="11.5703125" bestFit="1" customWidth="1"/>
    <col min="4260" max="4268" width="11.5703125" bestFit="1" customWidth="1"/>
    <col min="4270" max="4277" width="11.5703125" bestFit="1" customWidth="1"/>
    <col min="4280" max="4287" width="11.5703125" bestFit="1" customWidth="1"/>
    <col min="4290" max="4290" width="11.5703125" bestFit="1" customWidth="1"/>
    <col min="4296" max="4297" width="11.5703125" bestFit="1" customWidth="1"/>
    <col min="4300" max="4300" width="11.5703125" bestFit="1" customWidth="1"/>
    <col min="4306" max="4307" width="11.5703125" bestFit="1" customWidth="1"/>
    <col min="4310" max="4314" width="11.5703125" bestFit="1" customWidth="1"/>
    <col min="4316" max="4316" width="11.5703125" bestFit="1" customWidth="1"/>
    <col min="4328" max="4328" width="11.5703125" bestFit="1" customWidth="1"/>
    <col min="4331" max="4335" width="11.5703125" bestFit="1" customWidth="1"/>
    <col min="4337" max="4338" width="11.5703125" bestFit="1" customWidth="1"/>
    <col min="4341" max="4345" width="11.5703125" bestFit="1" customWidth="1"/>
    <col min="4347" max="4348" width="11.5703125" bestFit="1" customWidth="1"/>
    <col min="4351" max="4355" width="11.5703125" bestFit="1" customWidth="1"/>
    <col min="4360" max="4360" width="11.5703125" bestFit="1" customWidth="1"/>
    <col min="4362" max="4365" width="11.5703125" bestFit="1" customWidth="1"/>
    <col min="4367" max="4368" width="11.5703125" bestFit="1" customWidth="1"/>
    <col min="4371" max="4371" width="11.5703125" bestFit="1" customWidth="1"/>
    <col min="4377" max="4378" width="11.5703125" bestFit="1" customWidth="1"/>
    <col min="4381" max="4385" width="11.5703125" bestFit="1" customWidth="1"/>
    <col min="4388" max="4388" width="11.5703125" bestFit="1" customWidth="1"/>
    <col min="4391" max="4395" width="11.5703125" bestFit="1" customWidth="1"/>
    <col min="4397" max="4398" width="11.5703125" bestFit="1" customWidth="1"/>
    <col min="4401" max="4405" width="11.5703125" bestFit="1" customWidth="1"/>
    <col min="4407" max="4409" width="11.5703125" bestFit="1" customWidth="1"/>
    <col min="4412" max="4416" width="11.5703125" bestFit="1" customWidth="1"/>
    <col min="4418" max="4419" width="11.5703125" bestFit="1" customWidth="1"/>
    <col min="4422" max="4426" width="11.5703125" bestFit="1" customWidth="1"/>
    <col min="4428" max="4429" width="11.5703125" bestFit="1" customWidth="1"/>
    <col min="4432" max="4438" width="11.5703125" bestFit="1" customWidth="1"/>
    <col min="4442" max="4446" width="11.5703125" bestFit="1" customWidth="1"/>
    <col min="4448" max="4449" width="11.5703125" bestFit="1" customWidth="1"/>
    <col min="4452" max="4456" width="11.5703125" bestFit="1" customWidth="1"/>
    <col min="4458" max="4459" width="11.5703125" bestFit="1" customWidth="1"/>
    <col min="4462" max="4466" width="11.5703125" bestFit="1" customWidth="1"/>
    <col min="4478" max="4479" width="11.5703125" bestFit="1" customWidth="1"/>
    <col min="4482" max="4486" width="11.5703125" bestFit="1" customWidth="1"/>
    <col min="4488" max="4489" width="11.5703125" bestFit="1" customWidth="1"/>
    <col min="4492" max="4496" width="11.5703125" bestFit="1" customWidth="1"/>
    <col min="4498" max="4499" width="11.5703125" bestFit="1" customWidth="1"/>
    <col min="4502" max="4506" width="11.5703125" bestFit="1" customWidth="1"/>
    <col min="4508" max="4509" width="11.5703125" bestFit="1" customWidth="1"/>
    <col min="4512" max="4515" width="11.5703125" bestFit="1" customWidth="1"/>
    <col min="4517" max="4520" width="11.5703125" bestFit="1" customWidth="1"/>
    <col min="4523" max="4529" width="11.5703125" bestFit="1" customWidth="1"/>
    <col min="4532" max="4536" width="11.5703125" bestFit="1" customWidth="1"/>
    <col min="4538" max="4539" width="11.5703125" bestFit="1" customWidth="1"/>
    <col min="4542" max="4546" width="11.5703125" bestFit="1" customWidth="1"/>
    <col min="4548" max="4550" width="11.5703125" bestFit="1" customWidth="1"/>
    <col min="4552" max="4556" width="11.5703125" bestFit="1" customWidth="1"/>
    <col min="4562" max="4567" width="11.5703125" bestFit="1" customWidth="1"/>
    <col min="4573" max="4575" width="11.5703125" bestFit="1" customWidth="1"/>
    <col min="4577" max="4577" width="11.5703125" bestFit="1" customWidth="1"/>
    <col min="4580" max="4580" width="11.5703125" bestFit="1" customWidth="1"/>
    <col min="4582" max="4587" width="11.5703125" bestFit="1" customWidth="1"/>
    <col min="4593" max="4596" width="11.5703125" bestFit="1" customWidth="1"/>
    <col min="4599" max="4599" width="11.5703125" bestFit="1" customWidth="1"/>
    <col min="4602" max="4617" width="11.5703125" bestFit="1" customWidth="1"/>
    <col min="4620" max="4623" width="11.5703125" bestFit="1" customWidth="1"/>
    <col min="4625" max="4625" width="11.5703125" bestFit="1" customWidth="1"/>
    <col min="4627" max="4632" width="11.5703125" bestFit="1" customWidth="1"/>
    <col min="4634" max="4635" width="11.5703125" bestFit="1" customWidth="1"/>
    <col min="4638" max="4642" width="11.5703125" bestFit="1" customWidth="1"/>
    <col min="4644" max="4645" width="11.5703125" bestFit="1" customWidth="1"/>
    <col min="4648" max="4652" width="11.5703125" bestFit="1" customWidth="1"/>
    <col min="4658" max="4662" width="11.5703125" bestFit="1" customWidth="1"/>
    <col min="4664" max="4665" width="11.5703125" bestFit="1" customWidth="1"/>
    <col min="4668" max="4672" width="11.5703125" bestFit="1" customWidth="1"/>
    <col min="4678" max="4682" width="11.5703125" bestFit="1" customWidth="1"/>
    <col min="4689" max="4689" width="11.5703125" bestFit="1" customWidth="1"/>
    <col min="4695" max="4696" width="11.5703125" bestFit="1" customWidth="1"/>
    <col min="4699" max="4706" width="11.5703125" bestFit="1" customWidth="1"/>
    <col min="4709" max="4717" width="11.5703125" bestFit="1" customWidth="1"/>
    <col min="4720" max="4723" width="11.5703125" bestFit="1" customWidth="1"/>
    <col min="4725" max="4726" width="11.5703125" bestFit="1" customWidth="1"/>
    <col min="4729" max="4736" width="11.5703125" bestFit="1" customWidth="1"/>
    <col min="4739" max="4743" width="11.5703125" bestFit="1" customWidth="1"/>
    <col min="4745" max="4746" width="11.5703125" bestFit="1" customWidth="1"/>
    <col min="4749" max="4753" width="11.5703125" bestFit="1" customWidth="1"/>
    <col min="4759" max="4763" width="11.5703125" bestFit="1" customWidth="1"/>
    <col min="4766" max="4767" width="11.5703125" bestFit="1" customWidth="1"/>
    <col min="4770" max="4774" width="11.5703125" bestFit="1" customWidth="1"/>
    <col min="4776" max="4777" width="11.5703125" bestFit="1" customWidth="1"/>
    <col min="4781" max="4784" width="11.5703125" bestFit="1" customWidth="1"/>
    <col min="4796" max="4797" width="11.5703125" bestFit="1" customWidth="1"/>
    <col min="4800" max="4804" width="11.5703125" bestFit="1" customWidth="1"/>
    <col min="4816" max="4817" width="11.5703125" bestFit="1" customWidth="1"/>
    <col min="4820" max="4824" width="11.5703125" bestFit="1" customWidth="1"/>
    <col min="4826" max="4827" width="11.5703125" bestFit="1" customWidth="1"/>
    <col min="4830" max="4838" width="11.5703125" bestFit="1" customWidth="1"/>
    <col min="4841" max="4845" width="11.5703125" bestFit="1" customWidth="1"/>
    <col min="4847" max="4848" width="11.5703125" bestFit="1" customWidth="1"/>
    <col min="4862" max="4862" width="11.5703125" bestFit="1" customWidth="1"/>
    <col min="4873" max="4880" width="11.5703125" bestFit="1" customWidth="1"/>
    <col min="4884" max="4888" width="11.5703125" bestFit="1" customWidth="1"/>
    <col min="4895" max="4897" width="11.5703125" bestFit="1" customWidth="1"/>
    <col min="4900" max="4902" width="11.5703125" bestFit="1" customWidth="1"/>
    <col min="4905" max="4911" width="11.5703125" bestFit="1" customWidth="1"/>
    <col min="4914" max="4918" width="11.5703125" bestFit="1" customWidth="1"/>
    <col min="4921" max="4921" width="11.5703125" bestFit="1" customWidth="1"/>
    <col min="4925" max="4929" width="11.5703125" bestFit="1" customWidth="1"/>
    <col min="4937" max="4939" width="11.5703125" bestFit="1" customWidth="1"/>
    <col min="4942" max="4943" width="11.5703125" bestFit="1" customWidth="1"/>
    <col min="4946" max="4950" width="11.5703125" bestFit="1" customWidth="1"/>
    <col min="4956" max="4959" width="11.5703125" bestFit="1" customWidth="1"/>
    <col min="4965" max="4972" width="11.5703125" bestFit="1" customWidth="1"/>
    <col min="4975" max="4982" width="11.5703125" bestFit="1" customWidth="1"/>
    <col min="4985" max="4989" width="11.5703125" bestFit="1" customWidth="1"/>
    <col min="4992" max="4992" width="11.5703125" bestFit="1" customWidth="1"/>
    <col min="4995" max="5002" width="11.5703125" bestFit="1" customWidth="1"/>
    <col min="5005" max="5012" width="11.5703125" bestFit="1" customWidth="1"/>
    <col min="5015" max="5022" width="11.5703125" bestFit="1" customWidth="1"/>
    <col min="5025" max="5029" width="11.5703125" bestFit="1" customWidth="1"/>
    <col min="5036" max="5036" width="11.5703125" bestFit="1" customWidth="1"/>
    <col min="5041" max="5042" width="11.5703125" bestFit="1" customWidth="1"/>
    <col min="5045" max="5049" width="11.5703125" bestFit="1" customWidth="1"/>
    <col min="5055" max="5059" width="11.5703125" bestFit="1" customWidth="1"/>
    <col min="5061" max="5061" width="11.5703125" bestFit="1" customWidth="1"/>
    <col min="5072" max="5073" width="11.5703125" bestFit="1" customWidth="1"/>
    <col min="5076" max="5080" width="11.5703125" bestFit="1" customWidth="1"/>
    <col min="5083" max="5083" width="11.5703125" bestFit="1" customWidth="1"/>
    <col min="5086" max="5093" width="11.5703125" bestFit="1" customWidth="1"/>
    <col min="5096" max="5100" width="11.5703125" bestFit="1" customWidth="1"/>
    <col min="5102" max="5103" width="11.5703125" bestFit="1" customWidth="1"/>
    <col min="5106" max="5110" width="11.5703125" bestFit="1" customWidth="1"/>
    <col min="5112" max="5112" width="11.5703125" bestFit="1" customWidth="1"/>
    <col min="5124" max="5124" width="11.5703125" bestFit="1" customWidth="1"/>
    <col min="5126" max="5126" width="11.5703125" bestFit="1" customWidth="1"/>
    <col min="5129" max="5132" width="11.5703125" bestFit="1" customWidth="1"/>
    <col min="5138" max="5142" width="11.5703125" bestFit="1" customWidth="1"/>
    <col min="5144" max="5144" width="11.5703125" bestFit="1" customWidth="1"/>
    <col min="5155" max="5157" width="11.5703125" bestFit="1" customWidth="1"/>
    <col min="5160" max="5164" width="11.5703125" bestFit="1" customWidth="1"/>
    <col min="5166" max="5167" width="11.5703125" bestFit="1" customWidth="1"/>
    <col min="5170" max="5173" width="11.5703125" bestFit="1" customWidth="1"/>
    <col min="5175" max="5178" width="11.5703125" bestFit="1" customWidth="1"/>
    <col min="5181" max="5185" width="11.5703125" bestFit="1" customWidth="1"/>
    <col min="5187" max="5187" width="11.5703125" bestFit="1" customWidth="1"/>
    <col min="5198" max="5198" width="11.5703125" bestFit="1" customWidth="1"/>
    <col min="5201" max="5201" width="11.5703125" bestFit="1" customWidth="1"/>
    <col min="5204" max="5207" width="11.5703125" bestFit="1" customWidth="1"/>
    <col min="5209" max="5210" width="11.5703125" bestFit="1" customWidth="1"/>
    <col min="5213" max="5217" width="11.5703125" bestFit="1" customWidth="1"/>
    <col min="5219" max="5221" width="11.5703125" bestFit="1" customWidth="1"/>
    <col min="5224" max="5231" width="11.5703125" bestFit="1" customWidth="1"/>
    <col min="5234" max="5238" width="11.5703125" bestFit="1" customWidth="1"/>
    <col min="5251" max="5251" width="11.5703125" bestFit="1" customWidth="1"/>
    <col min="5254" max="5257" width="11.5703125" bestFit="1" customWidth="1"/>
    <col min="5264" max="5264" width="11.5703125" bestFit="1" customWidth="1"/>
    <col min="5281" max="5282" width="11.5703125" bestFit="1" customWidth="1"/>
    <col min="5285" max="5289" width="11.5703125" bestFit="1" customWidth="1"/>
    <col min="5291" max="5291" width="11.5703125" bestFit="1" customWidth="1"/>
    <col min="5296" max="5305" width="11.5703125" bestFit="1" customWidth="1"/>
    <col min="5307" max="5312" width="11.5703125" bestFit="1" customWidth="1"/>
    <col min="5314" max="5314" width="11.5703125" bestFit="1" customWidth="1"/>
    <col min="5317" max="5324" width="11.5703125" bestFit="1" customWidth="1"/>
    <col min="5328" max="5398" width="11.5703125" bestFit="1" customWidth="1"/>
    <col min="5400" max="5416" width="11.5703125" bestFit="1" customWidth="1"/>
    <col min="5418" max="5470" width="11.5703125" bestFit="1" customWidth="1"/>
    <col min="5472" max="5494" width="11.5703125" bestFit="1" customWidth="1"/>
    <col min="5496" max="5507" width="11.5703125" bestFit="1" customWidth="1"/>
    <col min="5509" max="5534" width="11.5703125" bestFit="1" customWidth="1"/>
    <col min="5537" max="5541" width="11.5703125" bestFit="1" customWidth="1"/>
    <col min="5543" max="5587" width="11.5703125" bestFit="1" customWidth="1"/>
    <col min="5590" max="5590" width="11.5703125" bestFit="1" customWidth="1"/>
    <col min="5597" max="5632" width="11.5703125" bestFit="1" customWidth="1"/>
    <col min="5634" max="5634" width="11.5703125" bestFit="1" customWidth="1"/>
    <col min="5638" max="5641" width="11.5703125" bestFit="1" customWidth="1"/>
    <col min="5643" max="5643" width="11.5703125" bestFit="1" customWidth="1"/>
    <col min="5646" max="5646" width="11.5703125" bestFit="1" customWidth="1"/>
    <col min="5648" max="5657" width="11.5703125" bestFit="1" customWidth="1"/>
    <col min="5659" max="5663" width="11.5703125" bestFit="1" customWidth="1"/>
    <col min="5665" max="5671" width="11.5703125" bestFit="1" customWidth="1"/>
    <col min="5674" max="5683" width="11.5703125" bestFit="1" customWidth="1"/>
    <col min="5688" max="5697" width="11.5703125" bestFit="1" customWidth="1"/>
    <col min="5699" max="5699" width="11.5703125" bestFit="1" customWidth="1"/>
    <col min="5701" max="5702" width="11.5703125" bestFit="1" customWidth="1"/>
    <col min="5706" max="5706" width="11.5703125" bestFit="1" customWidth="1"/>
    <col min="5710" max="5711" width="11.5703125" bestFit="1" customWidth="1"/>
    <col min="5760" max="5762" width="11.5703125" bestFit="1" customWidth="1"/>
    <col min="5764" max="5772" width="11.5703125" bestFit="1" customWidth="1"/>
    <col min="5781" max="5784" width="11.5703125" bestFit="1" customWidth="1"/>
    <col min="5786" max="5790" width="11.5703125" bestFit="1" customWidth="1"/>
    <col min="5792" max="5800" width="11.5703125" bestFit="1" customWidth="1"/>
  </cols>
  <sheetData>
    <row r="1" spans="1:5809" ht="105" x14ac:dyDescent="0.25">
      <c r="A1" s="5" t="s">
        <v>67</v>
      </c>
      <c r="B1" s="52" t="s">
        <v>4187</v>
      </c>
      <c r="C1" s="3" t="s">
        <v>1960</v>
      </c>
      <c r="D1" s="3" t="s">
        <v>1861</v>
      </c>
      <c r="E1" s="3" t="s">
        <v>1931</v>
      </c>
      <c r="F1" s="3" t="s">
        <v>1932</v>
      </c>
      <c r="G1" s="3" t="s">
        <v>1318</v>
      </c>
      <c r="H1" s="3" t="s">
        <v>517</v>
      </c>
      <c r="I1" s="3" t="s">
        <v>1319</v>
      </c>
      <c r="J1" s="3" t="s">
        <v>2329</v>
      </c>
      <c r="K1" s="3" t="s">
        <v>69</v>
      </c>
      <c r="L1" s="32" t="s">
        <v>7</v>
      </c>
      <c r="M1" s="3" t="s">
        <v>1096</v>
      </c>
      <c r="N1" s="3" t="s">
        <v>8</v>
      </c>
      <c r="O1" s="3" t="s">
        <v>9</v>
      </c>
      <c r="P1" s="3" t="s">
        <v>1299</v>
      </c>
      <c r="Q1" s="3" t="s">
        <v>10</v>
      </c>
      <c r="R1" s="3" t="s">
        <v>518</v>
      </c>
      <c r="S1" s="3" t="s">
        <v>95</v>
      </c>
      <c r="T1" s="3" t="s">
        <v>1097</v>
      </c>
      <c r="U1" s="3" t="s">
        <v>1298</v>
      </c>
      <c r="V1" s="3" t="s">
        <v>1098</v>
      </c>
      <c r="W1" s="3" t="s">
        <v>1300</v>
      </c>
      <c r="X1" s="3" t="s">
        <v>1283</v>
      </c>
      <c r="Y1" s="3" t="s">
        <v>1284</v>
      </c>
      <c r="Z1" s="3" t="s">
        <v>1297</v>
      </c>
      <c r="AA1" s="3" t="s">
        <v>1301</v>
      </c>
      <c r="AB1" s="3" t="s">
        <v>2282</v>
      </c>
      <c r="AC1" s="3" t="s">
        <v>1320</v>
      </c>
      <c r="AD1" s="3" t="s">
        <v>519</v>
      </c>
      <c r="AE1" s="3" t="s">
        <v>1321</v>
      </c>
      <c r="AF1" s="33" t="s">
        <v>520</v>
      </c>
      <c r="AG1" s="4" t="s">
        <v>1302</v>
      </c>
      <c r="AH1" s="4" t="s">
        <v>1303</v>
      </c>
      <c r="AI1" s="4" t="s">
        <v>1310</v>
      </c>
      <c r="AJ1" s="4" t="s">
        <v>1304</v>
      </c>
      <c r="AK1" s="4" t="s">
        <v>1305</v>
      </c>
      <c r="AL1" s="4" t="s">
        <v>1311</v>
      </c>
      <c r="AM1" s="4" t="s">
        <v>1306</v>
      </c>
      <c r="AN1" s="4" t="s">
        <v>1307</v>
      </c>
      <c r="AO1" s="4" t="s">
        <v>1308</v>
      </c>
      <c r="AP1" s="4" t="s">
        <v>1312</v>
      </c>
      <c r="AQ1" s="4" t="s">
        <v>1309</v>
      </c>
      <c r="AR1" s="4" t="s">
        <v>1313</v>
      </c>
      <c r="AS1" s="4" t="s">
        <v>2283</v>
      </c>
      <c r="AT1" s="4" t="s">
        <v>2407</v>
      </c>
      <c r="AU1" s="4" t="s">
        <v>1953</v>
      </c>
      <c r="AV1" s="4" t="s">
        <v>1322</v>
      </c>
      <c r="AW1" s="4" t="s">
        <v>1864</v>
      </c>
      <c r="AX1" s="4" t="s">
        <v>1923</v>
      </c>
      <c r="AY1" s="4" t="s">
        <v>2351</v>
      </c>
      <c r="AZ1" s="4" t="s">
        <v>1111</v>
      </c>
      <c r="BA1" s="4" t="s">
        <v>2253</v>
      </c>
      <c r="BB1" s="4" t="s">
        <v>1323</v>
      </c>
      <c r="BC1" s="32" t="s">
        <v>1230</v>
      </c>
      <c r="BD1" s="3" t="s">
        <v>11</v>
      </c>
      <c r="BE1" s="3" t="s">
        <v>12</v>
      </c>
      <c r="BF1" s="3" t="s">
        <v>866</v>
      </c>
      <c r="BG1" s="3" t="s">
        <v>1314</v>
      </c>
      <c r="BH1" s="3" t="s">
        <v>13</v>
      </c>
      <c r="BI1" s="3" t="s">
        <v>1228</v>
      </c>
      <c r="BJ1" s="3" t="s">
        <v>1195</v>
      </c>
      <c r="BK1" s="3" t="s">
        <v>1085</v>
      </c>
      <c r="BL1" s="3" t="s">
        <v>1315</v>
      </c>
      <c r="BM1" s="3" t="s">
        <v>1086</v>
      </c>
      <c r="BN1" s="3" t="s">
        <v>1749</v>
      </c>
      <c r="BO1" s="3" t="s">
        <v>1772</v>
      </c>
      <c r="BP1" s="3" t="s">
        <v>1258</v>
      </c>
      <c r="BQ1" s="3" t="s">
        <v>1018</v>
      </c>
      <c r="BR1" s="3" t="s">
        <v>1316</v>
      </c>
      <c r="BS1" s="3" t="s">
        <v>875</v>
      </c>
      <c r="BT1" s="3" t="s">
        <v>851</v>
      </c>
      <c r="BU1" s="3" t="s">
        <v>861</v>
      </c>
      <c r="BV1" s="3" t="s">
        <v>1317</v>
      </c>
      <c r="BW1" s="3" t="s">
        <v>1773</v>
      </c>
      <c r="BX1" s="3" t="s">
        <v>2068</v>
      </c>
      <c r="BY1" s="3" t="s">
        <v>2069</v>
      </c>
      <c r="BZ1" s="3" t="s">
        <v>2269</v>
      </c>
      <c r="CA1" s="3" t="s">
        <v>2297</v>
      </c>
      <c r="CB1" s="3" t="s">
        <v>2070</v>
      </c>
      <c r="CC1" s="3" t="s">
        <v>1123</v>
      </c>
      <c r="CD1" s="3" t="s">
        <v>2071</v>
      </c>
      <c r="CE1" s="4" t="s">
        <v>1954</v>
      </c>
      <c r="CF1" s="4" t="s">
        <v>1012</v>
      </c>
      <c r="CG1" s="4" t="s">
        <v>1865</v>
      </c>
      <c r="CH1" s="4" t="s">
        <v>1924</v>
      </c>
      <c r="CI1" s="4" t="s">
        <v>2352</v>
      </c>
      <c r="CJ1" s="4" t="s">
        <v>2140</v>
      </c>
      <c r="CK1" s="4" t="s">
        <v>2353</v>
      </c>
      <c r="CL1" s="4" t="s">
        <v>660</v>
      </c>
      <c r="CM1" s="33" t="s">
        <v>824</v>
      </c>
      <c r="CN1" s="4" t="s">
        <v>847</v>
      </c>
      <c r="CO1" s="4" t="s">
        <v>865</v>
      </c>
      <c r="CP1" s="4" t="s">
        <v>867</v>
      </c>
      <c r="CQ1" s="4" t="s">
        <v>848</v>
      </c>
      <c r="CR1" s="4" t="s">
        <v>950</v>
      </c>
      <c r="CS1" s="4" t="s">
        <v>1925</v>
      </c>
      <c r="CT1" s="4" t="s">
        <v>1197</v>
      </c>
      <c r="CU1" s="4" t="s">
        <v>1087</v>
      </c>
      <c r="CV1" s="4" t="s">
        <v>1088</v>
      </c>
      <c r="CW1" s="4" t="s">
        <v>951</v>
      </c>
      <c r="CX1" s="4" t="s">
        <v>2036</v>
      </c>
      <c r="CY1" s="4" t="s">
        <v>1019</v>
      </c>
      <c r="CZ1" s="4" t="s">
        <v>793</v>
      </c>
      <c r="DA1" s="4" t="s">
        <v>862</v>
      </c>
      <c r="DB1" s="4" t="s">
        <v>2073</v>
      </c>
      <c r="DC1" s="4" t="s">
        <v>2072</v>
      </c>
      <c r="DD1" s="4" t="s">
        <v>2074</v>
      </c>
      <c r="DE1" s="4" t="s">
        <v>2270</v>
      </c>
      <c r="DF1" s="4" t="s">
        <v>2075</v>
      </c>
      <c r="DG1" s="4" t="s">
        <v>1124</v>
      </c>
      <c r="DH1" s="4" t="s">
        <v>2076</v>
      </c>
      <c r="DI1" s="3" t="s">
        <v>2450</v>
      </c>
      <c r="DJ1" s="3" t="s">
        <v>2330</v>
      </c>
      <c r="DK1" s="3" t="s">
        <v>2482</v>
      </c>
      <c r="DL1" s="32" t="s">
        <v>2483</v>
      </c>
      <c r="DM1" s="3" t="s">
        <v>2484</v>
      </c>
      <c r="DN1" s="3" t="s">
        <v>2138</v>
      </c>
      <c r="DO1" s="3" t="s">
        <v>2137</v>
      </c>
      <c r="DP1" s="3" t="s">
        <v>2354</v>
      </c>
      <c r="DQ1" s="3" t="s">
        <v>2355</v>
      </c>
      <c r="DR1" s="3" t="s">
        <v>2356</v>
      </c>
      <c r="DS1" s="3" t="s">
        <v>70</v>
      </c>
      <c r="DT1" s="32" t="s">
        <v>2134</v>
      </c>
      <c r="DU1" s="3" t="s">
        <v>2135</v>
      </c>
      <c r="DV1" s="3" t="s">
        <v>2305</v>
      </c>
      <c r="DW1" s="3" t="s">
        <v>1324</v>
      </c>
      <c r="DX1" s="3" t="s">
        <v>1944</v>
      </c>
      <c r="DY1" s="3" t="s">
        <v>1013</v>
      </c>
      <c r="DZ1" s="3" t="s">
        <v>1866</v>
      </c>
      <c r="EA1" s="3" t="s">
        <v>1741</v>
      </c>
      <c r="EB1" s="3" t="s">
        <v>1740</v>
      </c>
      <c r="EC1" s="3" t="s">
        <v>1737</v>
      </c>
      <c r="ED1" s="3" t="s">
        <v>1738</v>
      </c>
      <c r="EE1" s="3" t="s">
        <v>1979</v>
      </c>
      <c r="EF1" s="3" t="s">
        <v>1325</v>
      </c>
      <c r="EG1" s="32" t="s">
        <v>111</v>
      </c>
      <c r="EH1" s="3" t="s">
        <v>561</v>
      </c>
      <c r="EI1" s="3" t="s">
        <v>14</v>
      </c>
      <c r="EJ1" s="3" t="s">
        <v>1326</v>
      </c>
      <c r="EK1" s="3" t="s">
        <v>1739</v>
      </c>
      <c r="EL1" s="3" t="s">
        <v>15</v>
      </c>
      <c r="EM1" s="3" t="s">
        <v>834</v>
      </c>
      <c r="EN1" s="3" t="s">
        <v>1196</v>
      </c>
      <c r="EO1" s="3" t="s">
        <v>1327</v>
      </c>
      <c r="EP1" s="3" t="s">
        <v>1089</v>
      </c>
      <c r="EQ1" s="3" t="s">
        <v>1090</v>
      </c>
      <c r="ER1" s="3" t="s">
        <v>1735</v>
      </c>
      <c r="ES1" s="3" t="s">
        <v>1259</v>
      </c>
      <c r="ET1" s="3" t="s">
        <v>1328</v>
      </c>
      <c r="EU1" s="3" t="s">
        <v>1736</v>
      </c>
      <c r="EV1" s="3" t="s">
        <v>852</v>
      </c>
      <c r="EW1" s="3" t="s">
        <v>863</v>
      </c>
      <c r="EX1" s="3" t="s">
        <v>1760</v>
      </c>
      <c r="EY1" s="3" t="s">
        <v>2077</v>
      </c>
      <c r="EZ1" s="3" t="s">
        <v>2078</v>
      </c>
      <c r="FA1" s="3" t="s">
        <v>2271</v>
      </c>
      <c r="FB1" s="3" t="s">
        <v>2079</v>
      </c>
      <c r="FC1" s="3" t="s">
        <v>2080</v>
      </c>
      <c r="FD1" s="3" t="s">
        <v>2358</v>
      </c>
      <c r="FE1" s="32" t="s">
        <v>1889</v>
      </c>
      <c r="FF1" s="3" t="s">
        <v>1199</v>
      </c>
      <c r="FG1" s="3" t="s">
        <v>1198</v>
      </c>
      <c r="FH1" s="3" t="s">
        <v>868</v>
      </c>
      <c r="FI1" s="3" t="s">
        <v>1329</v>
      </c>
      <c r="FJ1" s="3" t="s">
        <v>1091</v>
      </c>
      <c r="FK1" s="3" t="s">
        <v>1092</v>
      </c>
      <c r="FL1" s="3" t="s">
        <v>1330</v>
      </c>
      <c r="FM1" s="3" t="s">
        <v>1112</v>
      </c>
      <c r="FN1" s="32" t="s">
        <v>1113</v>
      </c>
      <c r="FO1" s="3" t="s">
        <v>1869</v>
      </c>
      <c r="FP1" s="3" t="s">
        <v>1774</v>
      </c>
      <c r="FQ1" s="3" t="s">
        <v>2359</v>
      </c>
      <c r="FR1" s="3" t="s">
        <v>2360</v>
      </c>
      <c r="FS1" s="3" t="s">
        <v>71</v>
      </c>
      <c r="FT1" s="32" t="s">
        <v>1383</v>
      </c>
      <c r="FU1" s="3" t="s">
        <v>949</v>
      </c>
      <c r="FV1" s="3" t="s">
        <v>1331</v>
      </c>
      <c r="FW1" s="3" t="s">
        <v>1285</v>
      </c>
      <c r="FX1" s="3" t="s">
        <v>72</v>
      </c>
      <c r="FY1" s="32" t="s">
        <v>1381</v>
      </c>
      <c r="FZ1" s="3" t="s">
        <v>1382</v>
      </c>
      <c r="GA1" s="3" t="s">
        <v>2365</v>
      </c>
      <c r="GB1" s="32" t="s">
        <v>73</v>
      </c>
      <c r="GC1" s="3" t="s">
        <v>1956</v>
      </c>
      <c r="GD1" s="3" t="s">
        <v>1014</v>
      </c>
      <c r="GE1" s="3" t="s">
        <v>1867</v>
      </c>
      <c r="GF1" s="3" t="s">
        <v>1926</v>
      </c>
      <c r="GG1" s="3" t="s">
        <v>1980</v>
      </c>
      <c r="GH1" s="3" t="s">
        <v>2357</v>
      </c>
      <c r="GI1" s="3" t="s">
        <v>853</v>
      </c>
      <c r="GJ1" s="32" t="s">
        <v>1332</v>
      </c>
      <c r="GK1" s="3" t="s">
        <v>1095</v>
      </c>
      <c r="GL1" s="3" t="s">
        <v>1868</v>
      </c>
      <c r="GM1" s="3" t="s">
        <v>2132</v>
      </c>
      <c r="GN1" s="3" t="s">
        <v>1927</v>
      </c>
      <c r="GO1" s="3" t="s">
        <v>1093</v>
      </c>
      <c r="GP1" s="3" t="s">
        <v>1333</v>
      </c>
      <c r="GQ1" s="3" t="s">
        <v>1094</v>
      </c>
      <c r="GR1" s="3" t="s">
        <v>1775</v>
      </c>
      <c r="GS1" s="3" t="s">
        <v>1776</v>
      </c>
      <c r="GT1" s="3" t="s">
        <v>1260</v>
      </c>
      <c r="GU1" s="3" t="s">
        <v>1020</v>
      </c>
      <c r="GV1" s="3" t="s">
        <v>1334</v>
      </c>
      <c r="GW1" s="3" t="s">
        <v>2272</v>
      </c>
      <c r="GX1" s="32" t="s">
        <v>131</v>
      </c>
      <c r="GY1" s="3" t="s">
        <v>2309</v>
      </c>
      <c r="GZ1" s="3" t="s">
        <v>2388</v>
      </c>
      <c r="HA1" s="3" t="s">
        <v>389</v>
      </c>
      <c r="HB1" s="3" t="s">
        <v>1337</v>
      </c>
      <c r="HC1" s="3" t="s">
        <v>2389</v>
      </c>
      <c r="HD1" s="3" t="s">
        <v>1022</v>
      </c>
      <c r="HE1" s="3" t="s">
        <v>122</v>
      </c>
      <c r="HF1" s="3" t="s">
        <v>1793</v>
      </c>
      <c r="HG1" s="3" t="s">
        <v>1336</v>
      </c>
      <c r="HH1" s="3" t="s">
        <v>882</v>
      </c>
      <c r="HI1" s="3" t="s">
        <v>843</v>
      </c>
      <c r="HJ1" s="3" t="s">
        <v>2139</v>
      </c>
      <c r="HK1" s="3" t="s">
        <v>1870</v>
      </c>
      <c r="HL1" s="3" t="s">
        <v>1335</v>
      </c>
      <c r="HM1" s="3" t="s">
        <v>2340</v>
      </c>
      <c r="HN1" s="3" t="s">
        <v>844</v>
      </c>
      <c r="HO1" s="3" t="s">
        <v>883</v>
      </c>
      <c r="HP1" s="3" t="s">
        <v>1338</v>
      </c>
      <c r="HQ1" s="32" t="s">
        <v>1209</v>
      </c>
      <c r="HR1" s="3" t="s">
        <v>16</v>
      </c>
      <c r="HS1" s="3" t="s">
        <v>1339</v>
      </c>
      <c r="HT1" s="3" t="s">
        <v>17</v>
      </c>
      <c r="HU1" s="3" t="s">
        <v>18</v>
      </c>
      <c r="HV1" s="3" t="s">
        <v>19</v>
      </c>
      <c r="HW1" s="3" t="s">
        <v>1340</v>
      </c>
      <c r="HX1" s="3" t="s">
        <v>129</v>
      </c>
      <c r="HY1" s="3" t="s">
        <v>101</v>
      </c>
      <c r="HZ1" s="3" t="s">
        <v>96</v>
      </c>
      <c r="IA1" s="3" t="s">
        <v>130</v>
      </c>
      <c r="IB1" s="3" t="s">
        <v>1341</v>
      </c>
      <c r="IC1" s="3" t="s">
        <v>125</v>
      </c>
      <c r="ID1" s="3" t="s">
        <v>102</v>
      </c>
      <c r="IE1" s="3" t="s">
        <v>654</v>
      </c>
      <c r="IF1" s="3" t="s">
        <v>1052</v>
      </c>
      <c r="IG1" s="3" t="s">
        <v>1342</v>
      </c>
      <c r="IH1" s="3" t="s">
        <v>20</v>
      </c>
      <c r="II1" s="3" t="s">
        <v>128</v>
      </c>
      <c r="IJ1" s="3" t="s">
        <v>655</v>
      </c>
      <c r="IK1" s="3" t="s">
        <v>1266</v>
      </c>
      <c r="IL1" s="3" t="s">
        <v>2096</v>
      </c>
      <c r="IM1" s="3" t="s">
        <v>1343</v>
      </c>
      <c r="IN1" s="3" t="s">
        <v>1344</v>
      </c>
      <c r="IO1" s="3" t="s">
        <v>1273</v>
      </c>
      <c r="IP1" s="3" t="s">
        <v>2277</v>
      </c>
      <c r="IQ1" s="3" t="s">
        <v>1175</v>
      </c>
      <c r="IR1" s="3" t="s">
        <v>1376</v>
      </c>
      <c r="IS1" s="3" t="s">
        <v>1377</v>
      </c>
      <c r="IT1" s="3" t="s">
        <v>2400</v>
      </c>
      <c r="IU1" s="3" t="s">
        <v>2381</v>
      </c>
      <c r="IV1" s="3" t="s">
        <v>2382</v>
      </c>
      <c r="IW1" s="3" t="s">
        <v>1345</v>
      </c>
      <c r="IX1" s="3" t="s">
        <v>2166</v>
      </c>
      <c r="IY1" s="3" t="s">
        <v>1041</v>
      </c>
      <c r="IZ1" s="3" t="s">
        <v>2181</v>
      </c>
      <c r="JA1" s="3" t="s">
        <v>959</v>
      </c>
      <c r="JB1" s="3" t="s">
        <v>1042</v>
      </c>
      <c r="JC1" s="3" t="s">
        <v>1346</v>
      </c>
      <c r="JD1" s="3" t="s">
        <v>1743</v>
      </c>
      <c r="JE1" s="3" t="s">
        <v>1744</v>
      </c>
      <c r="JF1" s="3" t="s">
        <v>1817</v>
      </c>
      <c r="JG1" s="3" t="s">
        <v>1146</v>
      </c>
      <c r="JH1" s="3" t="s">
        <v>1962</v>
      </c>
      <c r="JI1" s="3" t="s">
        <v>1347</v>
      </c>
      <c r="JJ1" s="3" t="s">
        <v>1782</v>
      </c>
      <c r="JK1" s="3" t="s">
        <v>1887</v>
      </c>
      <c r="JL1" s="3" t="s">
        <v>1745</v>
      </c>
      <c r="JM1" s="3" t="s">
        <v>530</v>
      </c>
      <c r="JN1" s="3" t="s">
        <v>531</v>
      </c>
      <c r="JO1" s="3" t="s">
        <v>2108</v>
      </c>
      <c r="JP1" s="3" t="s">
        <v>1348</v>
      </c>
      <c r="JQ1" s="32" t="s">
        <v>662</v>
      </c>
      <c r="JR1" s="3" t="s">
        <v>1349</v>
      </c>
      <c r="JS1" s="3" t="s">
        <v>22</v>
      </c>
      <c r="JT1" s="3" t="s">
        <v>1350</v>
      </c>
      <c r="JU1" s="3" t="s">
        <v>23</v>
      </c>
      <c r="JV1" s="3" t="s">
        <v>24</v>
      </c>
      <c r="JW1" s="3" t="s">
        <v>1351</v>
      </c>
      <c r="JX1" s="3" t="s">
        <v>166</v>
      </c>
      <c r="JY1" s="3" t="s">
        <v>99</v>
      </c>
      <c r="JZ1" s="3" t="s">
        <v>1352</v>
      </c>
      <c r="KA1" s="3" t="s">
        <v>81</v>
      </c>
      <c r="KB1" s="3" t="s">
        <v>89</v>
      </c>
      <c r="KC1" s="3" t="s">
        <v>1353</v>
      </c>
      <c r="KD1" s="3" t="s">
        <v>960</v>
      </c>
      <c r="KE1" s="3" t="s">
        <v>21</v>
      </c>
      <c r="KF1" s="3" t="s">
        <v>1354</v>
      </c>
      <c r="KG1" s="3" t="s">
        <v>63</v>
      </c>
      <c r="KH1" s="3" t="s">
        <v>656</v>
      </c>
      <c r="KI1" s="3" t="s">
        <v>768</v>
      </c>
      <c r="KJ1" s="3" t="s">
        <v>1355</v>
      </c>
      <c r="KK1" s="3" t="s">
        <v>1203</v>
      </c>
      <c r="KL1" s="3" t="s">
        <v>787</v>
      </c>
      <c r="KM1" s="3" t="s">
        <v>1252</v>
      </c>
      <c r="KN1" s="3" t="s">
        <v>1356</v>
      </c>
      <c r="KO1" s="3" t="s">
        <v>1742</v>
      </c>
      <c r="KP1" s="3" t="s">
        <v>1049</v>
      </c>
      <c r="KQ1" s="3" t="s">
        <v>2111</v>
      </c>
      <c r="KR1" s="3" t="s">
        <v>990</v>
      </c>
      <c r="KS1" s="3" t="s">
        <v>1170</v>
      </c>
      <c r="KT1" s="3" t="s">
        <v>1357</v>
      </c>
      <c r="KU1" s="3" t="s">
        <v>1271</v>
      </c>
      <c r="KV1" s="3" t="s">
        <v>1378</v>
      </c>
      <c r="KW1" s="3" t="s">
        <v>1753</v>
      </c>
      <c r="KX1" s="3" t="s">
        <v>1379</v>
      </c>
      <c r="KY1" s="3" t="s">
        <v>2373</v>
      </c>
      <c r="KZ1" s="3" t="s">
        <v>2184</v>
      </c>
      <c r="LA1" s="3" t="s">
        <v>2151</v>
      </c>
      <c r="LB1" s="3" t="s">
        <v>2147</v>
      </c>
      <c r="LC1" s="3" t="s">
        <v>1117</v>
      </c>
      <c r="LD1" s="3" t="s">
        <v>2142</v>
      </c>
      <c r="LE1" s="3" t="s">
        <v>2121</v>
      </c>
      <c r="LF1" s="3" t="s">
        <v>2162</v>
      </c>
      <c r="LG1" s="3" t="s">
        <v>2046</v>
      </c>
      <c r="LH1" s="3" t="s">
        <v>2122</v>
      </c>
      <c r="LI1" s="3" t="s">
        <v>2028</v>
      </c>
      <c r="LJ1" s="3" t="s">
        <v>2123</v>
      </c>
      <c r="LK1" s="3" t="s">
        <v>2257</v>
      </c>
      <c r="LL1" s="3" t="s">
        <v>2258</v>
      </c>
      <c r="LM1" s="3" t="s">
        <v>2124</v>
      </c>
      <c r="LN1" s="3" t="s">
        <v>2259</v>
      </c>
      <c r="LO1" s="3" t="s">
        <v>2152</v>
      </c>
      <c r="LP1" s="3" t="s">
        <v>1004</v>
      </c>
      <c r="LQ1" s="3" t="s">
        <v>1358</v>
      </c>
      <c r="LR1" s="3" t="s">
        <v>2290</v>
      </c>
      <c r="LS1" s="3" t="s">
        <v>2093</v>
      </c>
      <c r="LT1" s="3" t="s">
        <v>1380</v>
      </c>
      <c r="LU1" s="3" t="s">
        <v>1754</v>
      </c>
      <c r="LV1" s="3" t="s">
        <v>2047</v>
      </c>
      <c r="LW1" s="3" t="s">
        <v>1359</v>
      </c>
      <c r="LX1" s="3" t="s">
        <v>1125</v>
      </c>
      <c r="LY1" s="3" t="s">
        <v>1126</v>
      </c>
      <c r="LZ1" s="3" t="s">
        <v>2178</v>
      </c>
      <c r="MA1" s="3" t="s">
        <v>1360</v>
      </c>
      <c r="MB1" s="3" t="s">
        <v>2048</v>
      </c>
      <c r="MC1" s="3" t="s">
        <v>2029</v>
      </c>
      <c r="MD1" s="3" t="s">
        <v>2185</v>
      </c>
      <c r="ME1" s="3" t="s">
        <v>2030</v>
      </c>
      <c r="MF1" s="3" t="s">
        <v>2401</v>
      </c>
      <c r="MG1" s="3" t="s">
        <v>2378</v>
      </c>
      <c r="MH1" s="3" t="s">
        <v>2379</v>
      </c>
      <c r="MI1" s="3" t="s">
        <v>1361</v>
      </c>
      <c r="MJ1" s="3" t="s">
        <v>2410</v>
      </c>
      <c r="MK1" s="3" t="s">
        <v>2165</v>
      </c>
      <c r="ML1" s="3" t="s">
        <v>2402</v>
      </c>
      <c r="MM1" s="3" t="s">
        <v>1043</v>
      </c>
      <c r="MN1" s="3" t="s">
        <v>2408</v>
      </c>
      <c r="MO1" s="3" t="s">
        <v>2180</v>
      </c>
      <c r="MP1" s="3" t="s">
        <v>957</v>
      </c>
      <c r="MQ1" s="3" t="s">
        <v>1044</v>
      </c>
      <c r="MR1" s="3" t="s">
        <v>1362</v>
      </c>
      <c r="MS1" s="3" t="s">
        <v>1746</v>
      </c>
      <c r="MT1" s="3" t="s">
        <v>1963</v>
      </c>
      <c r="MU1" s="3" t="s">
        <v>1818</v>
      </c>
      <c r="MV1" s="3" t="s">
        <v>1147</v>
      </c>
      <c r="MW1" s="3" t="s">
        <v>1964</v>
      </c>
      <c r="MX1" s="3" t="s">
        <v>836</v>
      </c>
      <c r="MY1" s="3" t="s">
        <v>1783</v>
      </c>
      <c r="MZ1" s="3" t="s">
        <v>1747</v>
      </c>
      <c r="NA1" s="3" t="s">
        <v>1748</v>
      </c>
      <c r="NB1" s="3" t="s">
        <v>1363</v>
      </c>
      <c r="NC1" s="3" t="s">
        <v>835</v>
      </c>
      <c r="ND1" s="3" t="s">
        <v>2107</v>
      </c>
      <c r="NE1" s="3" t="s">
        <v>65</v>
      </c>
      <c r="NF1" s="32" t="s">
        <v>783</v>
      </c>
      <c r="NG1" s="3" t="s">
        <v>26</v>
      </c>
      <c r="NH1" s="3" t="s">
        <v>28</v>
      </c>
      <c r="NI1" s="3" t="s">
        <v>1365</v>
      </c>
      <c r="NJ1" s="3" t="s">
        <v>1364</v>
      </c>
      <c r="NK1" s="3" t="s">
        <v>29</v>
      </c>
      <c r="NL1" s="3" t="s">
        <v>1366</v>
      </c>
      <c r="NM1" s="3" t="s">
        <v>90</v>
      </c>
      <c r="NN1" s="3" t="s">
        <v>580</v>
      </c>
      <c r="NO1" s="3" t="s">
        <v>1367</v>
      </c>
      <c r="NP1" s="3" t="s">
        <v>82</v>
      </c>
      <c r="NQ1" s="3" t="s">
        <v>91</v>
      </c>
      <c r="NR1" s="3" t="s">
        <v>1368</v>
      </c>
      <c r="NS1" s="3" t="s">
        <v>167</v>
      </c>
      <c r="NT1" s="3" t="s">
        <v>25</v>
      </c>
      <c r="NU1" s="3" t="s">
        <v>27</v>
      </c>
      <c r="NV1" s="3" t="s">
        <v>1369</v>
      </c>
      <c r="NW1" s="3" t="s">
        <v>770</v>
      </c>
      <c r="NX1" s="3" t="s">
        <v>1253</v>
      </c>
      <c r="NY1" s="3" t="s">
        <v>873</v>
      </c>
      <c r="NZ1" s="3" t="s">
        <v>1370</v>
      </c>
      <c r="OA1" s="3" t="s">
        <v>786</v>
      </c>
      <c r="OB1" s="3" t="s">
        <v>1254</v>
      </c>
      <c r="OC1" s="3" t="s">
        <v>1276</v>
      </c>
      <c r="OD1" s="3" t="s">
        <v>2094</v>
      </c>
      <c r="OE1" s="3" t="s">
        <v>1371</v>
      </c>
      <c r="OF1" s="3" t="s">
        <v>2110</v>
      </c>
      <c r="OG1" s="3" t="s">
        <v>991</v>
      </c>
      <c r="OH1" s="3" t="s">
        <v>1171</v>
      </c>
      <c r="OI1" s="3" t="s">
        <v>1372</v>
      </c>
      <c r="OJ1" s="3" t="s">
        <v>1385</v>
      </c>
      <c r="OK1" s="3" t="s">
        <v>1755</v>
      </c>
      <c r="OL1" s="3" t="s">
        <v>1386</v>
      </c>
      <c r="OM1" s="3" t="s">
        <v>2372</v>
      </c>
      <c r="ON1" s="3" t="s">
        <v>2145</v>
      </c>
      <c r="OO1" s="3" t="s">
        <v>958</v>
      </c>
      <c r="OP1" s="3" t="s">
        <v>2149</v>
      </c>
      <c r="OQ1" s="3" t="s">
        <v>2146</v>
      </c>
      <c r="OR1" s="3" t="s">
        <v>892</v>
      </c>
      <c r="OS1" s="3" t="s">
        <v>1373</v>
      </c>
      <c r="OT1" s="3" t="s">
        <v>2161</v>
      </c>
      <c r="OU1" s="3" t="s">
        <v>2125</v>
      </c>
      <c r="OV1" s="3" t="s">
        <v>2131</v>
      </c>
      <c r="OW1" s="3" t="s">
        <v>2049</v>
      </c>
      <c r="OX1" s="3" t="s">
        <v>2126</v>
      </c>
      <c r="OY1" s="3" t="s">
        <v>2025</v>
      </c>
      <c r="OZ1" s="3" t="s">
        <v>2127</v>
      </c>
      <c r="PA1" s="3" t="s">
        <v>2260</v>
      </c>
      <c r="PB1" s="3" t="s">
        <v>2261</v>
      </c>
      <c r="PC1" s="3" t="s">
        <v>2128</v>
      </c>
      <c r="PD1" s="3" t="s">
        <v>2262</v>
      </c>
      <c r="PE1" s="3" t="s">
        <v>2150</v>
      </c>
      <c r="PF1" s="3" t="s">
        <v>1005</v>
      </c>
      <c r="PG1" s="3" t="s">
        <v>1172</v>
      </c>
      <c r="PH1" s="3" t="s">
        <v>2186</v>
      </c>
      <c r="PI1" s="3" t="s">
        <v>2291</v>
      </c>
      <c r="PJ1" s="3" t="s">
        <v>2095</v>
      </c>
      <c r="PK1" s="3" t="s">
        <v>1384</v>
      </c>
      <c r="PL1" s="3" t="s">
        <v>1756</v>
      </c>
      <c r="PM1" s="3" t="s">
        <v>2050</v>
      </c>
      <c r="PN1" s="3" t="s">
        <v>1374</v>
      </c>
      <c r="PO1" s="3" t="s">
        <v>1127</v>
      </c>
      <c r="PP1" s="3" t="s">
        <v>1128</v>
      </c>
      <c r="PQ1" s="3" t="s">
        <v>2177</v>
      </c>
      <c r="PR1" s="3" t="s">
        <v>1375</v>
      </c>
      <c r="PS1" s="3" t="s">
        <v>2051</v>
      </c>
      <c r="PT1" s="3" t="s">
        <v>2026</v>
      </c>
      <c r="PU1" s="3" t="s">
        <v>2187</v>
      </c>
      <c r="PV1" s="3" t="s">
        <v>2027</v>
      </c>
      <c r="PW1" s="3" t="s">
        <v>2188</v>
      </c>
      <c r="PX1" s="3" t="s">
        <v>2404</v>
      </c>
      <c r="PY1" s="3" t="s">
        <v>2384</v>
      </c>
      <c r="PZ1" s="3" t="s">
        <v>1387</v>
      </c>
      <c r="QA1" s="3" t="s">
        <v>1251</v>
      </c>
      <c r="QB1" s="3" t="s">
        <v>2411</v>
      </c>
      <c r="QC1" s="3" t="s">
        <v>2405</v>
      </c>
      <c r="QD1" s="3" t="s">
        <v>1045</v>
      </c>
      <c r="QE1" s="3" t="s">
        <v>1388</v>
      </c>
      <c r="QF1" s="3" t="s">
        <v>1046</v>
      </c>
      <c r="QG1" s="3" t="s">
        <v>1010</v>
      </c>
      <c r="QH1" s="3" t="s">
        <v>1732</v>
      </c>
      <c r="QI1" s="3" t="s">
        <v>1819</v>
      </c>
      <c r="QJ1" s="3" t="s">
        <v>1780</v>
      </c>
      <c r="QK1" s="3" t="s">
        <v>1389</v>
      </c>
      <c r="QL1" s="3" t="s">
        <v>123</v>
      </c>
      <c r="QM1" s="3" t="s">
        <v>1731</v>
      </c>
      <c r="QN1" s="3" t="s">
        <v>1730</v>
      </c>
      <c r="QO1" s="3" t="s">
        <v>1965</v>
      </c>
      <c r="QP1" s="3" t="s">
        <v>1233</v>
      </c>
      <c r="QQ1" s="3" t="s">
        <v>1390</v>
      </c>
      <c r="QR1" s="3" t="s">
        <v>165</v>
      </c>
      <c r="QS1" s="3" t="s">
        <v>1391</v>
      </c>
      <c r="QT1" s="32" t="s">
        <v>663</v>
      </c>
      <c r="QU1" s="3" t="s">
        <v>664</v>
      </c>
      <c r="QV1" s="3" t="s">
        <v>31</v>
      </c>
      <c r="QW1" s="3" t="s">
        <v>32</v>
      </c>
      <c r="QX1" s="3" t="s">
        <v>1392</v>
      </c>
      <c r="QY1" s="3" t="s">
        <v>33</v>
      </c>
      <c r="QZ1" s="3" t="s">
        <v>583</v>
      </c>
      <c r="RA1" s="3" t="s">
        <v>1393</v>
      </c>
      <c r="RB1" s="3" t="s">
        <v>100</v>
      </c>
      <c r="RC1" s="3" t="s">
        <v>1066</v>
      </c>
      <c r="RD1" s="3" t="s">
        <v>83</v>
      </c>
      <c r="RE1" s="3" t="s">
        <v>1394</v>
      </c>
      <c r="RF1" s="3" t="s">
        <v>127</v>
      </c>
      <c r="RG1" s="3" t="s">
        <v>168</v>
      </c>
      <c r="RH1" s="3" t="s">
        <v>30</v>
      </c>
      <c r="RI1" s="3" t="s">
        <v>1395</v>
      </c>
      <c r="RJ1" s="3" t="s">
        <v>64</v>
      </c>
      <c r="RK1" s="3" t="s">
        <v>771</v>
      </c>
      <c r="RL1" s="3" t="s">
        <v>769</v>
      </c>
      <c r="RM1" s="3" t="s">
        <v>1396</v>
      </c>
      <c r="RN1" s="3" t="s">
        <v>967</v>
      </c>
      <c r="RO1" s="3" t="s">
        <v>789</v>
      </c>
      <c r="RP1" s="3" t="s">
        <v>1257</v>
      </c>
      <c r="RQ1" s="3" t="s">
        <v>2098</v>
      </c>
      <c r="RR1" s="3" t="s">
        <v>1397</v>
      </c>
      <c r="RS1" s="3" t="s">
        <v>992</v>
      </c>
      <c r="RT1" s="3" t="s">
        <v>1168</v>
      </c>
      <c r="RU1" s="3" t="s">
        <v>1150</v>
      </c>
      <c r="RV1" s="3" t="s">
        <v>1398</v>
      </c>
      <c r="RW1" s="3" t="s">
        <v>1402</v>
      </c>
      <c r="RX1" s="3" t="s">
        <v>1759</v>
      </c>
      <c r="RY1" s="3" t="s">
        <v>1403</v>
      </c>
      <c r="RZ1" s="3" t="s">
        <v>2374</v>
      </c>
      <c r="SA1" s="3" t="s">
        <v>2156</v>
      </c>
      <c r="SB1" s="3" t="s">
        <v>893</v>
      </c>
      <c r="SC1" s="3" t="s">
        <v>1116</v>
      </c>
      <c r="SD1" s="3" t="s">
        <v>2164</v>
      </c>
      <c r="SE1" s="3" t="s">
        <v>2119</v>
      </c>
      <c r="SF1" s="3" t="s">
        <v>2086</v>
      </c>
      <c r="SG1" s="3" t="s">
        <v>2056</v>
      </c>
      <c r="SH1" s="3" t="s">
        <v>1399</v>
      </c>
      <c r="SI1" s="3" t="s">
        <v>2266</v>
      </c>
      <c r="SJ1" s="3" t="s">
        <v>2267</v>
      </c>
      <c r="SK1" s="3" t="s">
        <v>2120</v>
      </c>
      <c r="SL1" s="3" t="s">
        <v>2268</v>
      </c>
      <c r="SM1" s="3" t="s">
        <v>2155</v>
      </c>
      <c r="SN1" s="3" t="s">
        <v>1002</v>
      </c>
      <c r="SO1" s="3" t="s">
        <v>1169</v>
      </c>
      <c r="SP1" s="3" t="s">
        <v>2294</v>
      </c>
      <c r="SQ1" s="3" t="s">
        <v>2087</v>
      </c>
      <c r="SR1" s="3" t="s">
        <v>894</v>
      </c>
      <c r="SS1" s="3" t="s">
        <v>2057</v>
      </c>
      <c r="ST1" s="3" t="s">
        <v>1400</v>
      </c>
      <c r="SU1" s="3" t="s">
        <v>1129</v>
      </c>
      <c r="SV1" s="3" t="s">
        <v>1130</v>
      </c>
      <c r="SW1" s="3" t="s">
        <v>1401</v>
      </c>
      <c r="SX1" s="3" t="s">
        <v>2058</v>
      </c>
      <c r="SY1" s="3" t="s">
        <v>2183</v>
      </c>
      <c r="SZ1" s="4" t="s">
        <v>2311</v>
      </c>
      <c r="TA1" s="4" t="s">
        <v>1734</v>
      </c>
      <c r="TB1" s="4" t="s">
        <v>1966</v>
      </c>
      <c r="TC1" s="4" t="s">
        <v>1405</v>
      </c>
      <c r="TD1" s="4" t="s">
        <v>124</v>
      </c>
      <c r="TE1" s="4" t="s">
        <v>1934</v>
      </c>
      <c r="TF1" s="4" t="s">
        <v>1888</v>
      </c>
      <c r="TG1" s="4" t="s">
        <v>521</v>
      </c>
      <c r="TH1" s="4" t="s">
        <v>1406</v>
      </c>
      <c r="TI1" s="4" t="s">
        <v>522</v>
      </c>
      <c r="TJ1" s="4" t="s">
        <v>2328</v>
      </c>
      <c r="TK1" s="4" t="s">
        <v>1407</v>
      </c>
      <c r="TL1" s="32" t="s">
        <v>523</v>
      </c>
      <c r="TM1" s="3" t="s">
        <v>1404</v>
      </c>
      <c r="TN1" s="3" t="s">
        <v>35</v>
      </c>
      <c r="TO1" s="3" t="s">
        <v>36</v>
      </c>
      <c r="TP1" s="3" t="s">
        <v>1408</v>
      </c>
      <c r="TQ1" s="3" t="s">
        <v>37</v>
      </c>
      <c r="TR1" s="3" t="s">
        <v>38</v>
      </c>
      <c r="TS1" s="3" t="s">
        <v>1409</v>
      </c>
      <c r="TT1" s="3" t="s">
        <v>1099</v>
      </c>
      <c r="TU1" s="3" t="s">
        <v>1072</v>
      </c>
      <c r="TV1" s="3" t="s">
        <v>1410</v>
      </c>
      <c r="TW1" s="3" t="s">
        <v>1733</v>
      </c>
      <c r="TX1" s="3" t="s">
        <v>93</v>
      </c>
      <c r="TY1" s="3" t="s">
        <v>34</v>
      </c>
      <c r="TZ1" s="3" t="s">
        <v>1411</v>
      </c>
      <c r="UA1" s="3" t="s">
        <v>84</v>
      </c>
      <c r="UB1" s="3" t="s">
        <v>524</v>
      </c>
      <c r="UC1" s="3" t="s">
        <v>1412</v>
      </c>
      <c r="UD1" s="3" t="s">
        <v>94</v>
      </c>
      <c r="UE1" s="3" t="s">
        <v>999</v>
      </c>
      <c r="UF1" s="3" t="s">
        <v>1413</v>
      </c>
      <c r="UG1" s="3" t="s">
        <v>1272</v>
      </c>
      <c r="UH1" s="3" t="s">
        <v>1414</v>
      </c>
      <c r="UI1" s="3" t="s">
        <v>2298</v>
      </c>
      <c r="UJ1" s="3" t="s">
        <v>2284</v>
      </c>
      <c r="UK1" s="3" t="s">
        <v>2296</v>
      </c>
      <c r="UL1" s="3" t="s">
        <v>2406</v>
      </c>
      <c r="UM1" s="3" t="s">
        <v>1415</v>
      </c>
      <c r="UN1" s="32" t="s">
        <v>764</v>
      </c>
      <c r="UO1" s="3" t="s">
        <v>1192</v>
      </c>
      <c r="UP1" s="3" t="s">
        <v>1882</v>
      </c>
      <c r="UQ1" s="3" t="s">
        <v>1883</v>
      </c>
      <c r="UR1" s="3" t="s">
        <v>2306</v>
      </c>
      <c r="US1" s="3" t="s">
        <v>2375</v>
      </c>
      <c r="UT1" s="3" t="s">
        <v>1151</v>
      </c>
      <c r="UU1" s="3" t="s">
        <v>1416</v>
      </c>
      <c r="UV1" s="3" t="s">
        <v>1287</v>
      </c>
      <c r="UW1" s="3" t="s">
        <v>1288</v>
      </c>
      <c r="UX1" s="3" t="s">
        <v>1417</v>
      </c>
      <c r="UY1" s="3" t="s">
        <v>1152</v>
      </c>
      <c r="UZ1" s="3" t="s">
        <v>1193</v>
      </c>
      <c r="VA1" s="3" t="s">
        <v>1418</v>
      </c>
      <c r="VB1" s="3" t="s">
        <v>2052</v>
      </c>
      <c r="VC1" s="3" t="s">
        <v>2053</v>
      </c>
      <c r="VD1" s="3" t="s">
        <v>2292</v>
      </c>
      <c r="VE1" s="3" t="s">
        <v>1194</v>
      </c>
      <c r="VF1" s="3" t="s">
        <v>2293</v>
      </c>
      <c r="VG1" s="3" t="s">
        <v>2054</v>
      </c>
      <c r="VH1" s="3" t="s">
        <v>1419</v>
      </c>
      <c r="VI1" s="3" t="s">
        <v>2055</v>
      </c>
      <c r="VJ1" s="3" t="s">
        <v>963</v>
      </c>
      <c r="VK1" s="3" t="s">
        <v>2337</v>
      </c>
      <c r="VL1" s="3" t="s">
        <v>2338</v>
      </c>
      <c r="VM1" s="3" t="s">
        <v>570</v>
      </c>
      <c r="VN1" s="32" t="s">
        <v>1077</v>
      </c>
      <c r="VO1" s="3" t="s">
        <v>2339</v>
      </c>
      <c r="VP1" s="3" t="s">
        <v>1076</v>
      </c>
      <c r="VQ1" s="3" t="s">
        <v>964</v>
      </c>
      <c r="VR1" s="3" t="s">
        <v>1420</v>
      </c>
      <c r="VS1" s="3" t="s">
        <v>647</v>
      </c>
      <c r="VT1" s="3" t="s">
        <v>1885</v>
      </c>
      <c r="VU1" s="3" t="s">
        <v>1294</v>
      </c>
      <c r="VV1" s="3" t="s">
        <v>965</v>
      </c>
      <c r="VW1" s="3" t="s">
        <v>1421</v>
      </c>
      <c r="VX1" s="3" t="s">
        <v>995</v>
      </c>
      <c r="VY1" s="3" t="s">
        <v>966</v>
      </c>
      <c r="VZ1" s="3" t="s">
        <v>2276</v>
      </c>
      <c r="WA1" s="3" t="s">
        <v>1422</v>
      </c>
      <c r="WB1" s="3" t="s">
        <v>2451</v>
      </c>
      <c r="WC1" s="3" t="s">
        <v>2452</v>
      </c>
      <c r="WD1" s="3" t="s">
        <v>985</v>
      </c>
      <c r="WE1" s="32" t="s">
        <v>2457</v>
      </c>
      <c r="WF1" s="3" t="s">
        <v>2369</v>
      </c>
      <c r="WG1" s="3" t="s">
        <v>2453</v>
      </c>
      <c r="WH1" s="3" t="s">
        <v>2370</v>
      </c>
      <c r="WI1" s="3" t="s">
        <v>2371</v>
      </c>
      <c r="WJ1" s="3" t="s">
        <v>2454</v>
      </c>
      <c r="WK1" s="3" t="s">
        <v>2455</v>
      </c>
      <c r="WL1" s="3" t="s">
        <v>1786</v>
      </c>
      <c r="WM1" s="3" t="s">
        <v>2456</v>
      </c>
      <c r="WN1" s="3" t="s">
        <v>1830</v>
      </c>
      <c r="WO1" s="32" t="s">
        <v>986</v>
      </c>
      <c r="WP1" s="3" t="s">
        <v>1423</v>
      </c>
      <c r="WQ1" s="3" t="s">
        <v>1424</v>
      </c>
      <c r="WR1" s="3" t="s">
        <v>1425</v>
      </c>
      <c r="WS1" s="3" t="s">
        <v>2285</v>
      </c>
      <c r="WT1" s="3" t="s">
        <v>1144</v>
      </c>
      <c r="WU1" s="3" t="s">
        <v>572</v>
      </c>
      <c r="WV1" s="32" t="s">
        <v>987</v>
      </c>
      <c r="WW1" s="3" t="s">
        <v>1426</v>
      </c>
      <c r="WX1" s="3" t="s">
        <v>1427</v>
      </c>
      <c r="WY1" s="3" t="s">
        <v>2286</v>
      </c>
      <c r="WZ1" s="3" t="s">
        <v>1428</v>
      </c>
      <c r="XA1" s="32" t="s">
        <v>571</v>
      </c>
      <c r="XB1" s="32" t="s">
        <v>573</v>
      </c>
      <c r="XC1" s="3" t="s">
        <v>1429</v>
      </c>
      <c r="XD1" s="3" t="s">
        <v>969</v>
      </c>
      <c r="XE1" s="3" t="s">
        <v>1033</v>
      </c>
      <c r="XF1" s="3" t="s">
        <v>1946</v>
      </c>
      <c r="XG1" s="3" t="s">
        <v>1795</v>
      </c>
      <c r="XH1" s="3" t="s">
        <v>1911</v>
      </c>
      <c r="XI1" s="3" t="s">
        <v>1912</v>
      </c>
      <c r="XJ1" s="3" t="s">
        <v>1430</v>
      </c>
      <c r="XK1" s="3" t="s">
        <v>1431</v>
      </c>
      <c r="XL1" s="32" t="s">
        <v>39</v>
      </c>
      <c r="XM1" s="3" t="s">
        <v>40</v>
      </c>
      <c r="XN1" s="3" t="s">
        <v>62</v>
      </c>
      <c r="XO1" s="3" t="s">
        <v>98</v>
      </c>
      <c r="XP1" s="3" t="s">
        <v>1432</v>
      </c>
      <c r="XQ1" s="3" t="s">
        <v>97</v>
      </c>
      <c r="XR1" s="3" t="s">
        <v>1250</v>
      </c>
      <c r="XS1" s="3" t="s">
        <v>1034</v>
      </c>
      <c r="XT1" s="3" t="s">
        <v>1433</v>
      </c>
      <c r="XU1" s="3" t="s">
        <v>126</v>
      </c>
      <c r="XV1" s="3" t="s">
        <v>970</v>
      </c>
      <c r="XW1" s="3" t="s">
        <v>78</v>
      </c>
      <c r="XX1" s="3" t="s">
        <v>1176</v>
      </c>
      <c r="XY1" s="3" t="s">
        <v>2516</v>
      </c>
      <c r="XZ1" s="3" t="s">
        <v>1275</v>
      </c>
      <c r="YA1" s="3" t="s">
        <v>971</v>
      </c>
      <c r="YB1" s="3" t="s">
        <v>1434</v>
      </c>
      <c r="YC1" s="3" t="s">
        <v>1177</v>
      </c>
      <c r="YD1" s="3" t="s">
        <v>1435</v>
      </c>
      <c r="YE1" s="3" t="s">
        <v>1121</v>
      </c>
      <c r="YF1" s="3" t="s">
        <v>1436</v>
      </c>
      <c r="YG1" s="3" t="s">
        <v>974</v>
      </c>
      <c r="YH1" s="3" t="s">
        <v>1437</v>
      </c>
      <c r="YI1" s="3" t="s">
        <v>1947</v>
      </c>
      <c r="YJ1" s="3" t="s">
        <v>1913</v>
      </c>
      <c r="YK1" s="3" t="s">
        <v>1914</v>
      </c>
      <c r="YL1" s="3" t="s">
        <v>1438</v>
      </c>
      <c r="YM1" s="32" t="s">
        <v>972</v>
      </c>
      <c r="YN1" s="3" t="s">
        <v>1187</v>
      </c>
      <c r="YO1" s="3" t="s">
        <v>1826</v>
      </c>
      <c r="YP1" s="3" t="s">
        <v>973</v>
      </c>
      <c r="YQ1" s="3" t="s">
        <v>979</v>
      </c>
      <c r="YR1" s="3" t="s">
        <v>1439</v>
      </c>
      <c r="YS1" s="3" t="s">
        <v>975</v>
      </c>
      <c r="YT1" s="3" t="s">
        <v>1035</v>
      </c>
      <c r="YU1" s="3" t="s">
        <v>1440</v>
      </c>
      <c r="YV1" s="3" t="s">
        <v>1188</v>
      </c>
      <c r="YW1" s="3" t="s">
        <v>1441</v>
      </c>
      <c r="YX1" s="3" t="s">
        <v>826</v>
      </c>
      <c r="YY1" s="3" t="s">
        <v>2316</v>
      </c>
      <c r="YZ1" s="3" t="s">
        <v>1442</v>
      </c>
      <c r="ZA1" s="3" t="s">
        <v>772</v>
      </c>
      <c r="ZB1" s="3" t="s">
        <v>776</v>
      </c>
      <c r="ZC1" s="3" t="s">
        <v>1443</v>
      </c>
      <c r="ZD1" s="3" t="s">
        <v>1114</v>
      </c>
      <c r="ZE1" s="3" t="s">
        <v>968</v>
      </c>
      <c r="ZF1" s="3" t="s">
        <v>1444</v>
      </c>
      <c r="ZG1" s="3" t="s">
        <v>1021</v>
      </c>
      <c r="ZH1" s="3" t="s">
        <v>2136</v>
      </c>
      <c r="ZI1" s="3" t="s">
        <v>1939</v>
      </c>
      <c r="ZJ1" s="3" t="s">
        <v>1800</v>
      </c>
      <c r="ZK1" s="3" t="s">
        <v>878</v>
      </c>
      <c r="ZL1" s="3" t="s">
        <v>1445</v>
      </c>
      <c r="ZM1" s="3" t="s">
        <v>1899</v>
      </c>
      <c r="ZN1" s="3" t="s">
        <v>1900</v>
      </c>
      <c r="ZO1" s="3" t="s">
        <v>1234</v>
      </c>
      <c r="ZP1" s="3" t="s">
        <v>1975</v>
      </c>
      <c r="ZQ1" s="3" t="s">
        <v>1446</v>
      </c>
      <c r="ZR1" s="3" t="s">
        <v>1459</v>
      </c>
      <c r="ZS1" s="32" t="s">
        <v>1460</v>
      </c>
      <c r="ZT1" s="3" t="s">
        <v>1447</v>
      </c>
      <c r="ZU1" s="3" t="s">
        <v>104</v>
      </c>
      <c r="ZV1" s="3" t="s">
        <v>105</v>
      </c>
      <c r="ZW1" s="3" t="s">
        <v>1448</v>
      </c>
      <c r="ZX1" s="3" t="s">
        <v>77</v>
      </c>
      <c r="ZY1" s="3" t="s">
        <v>1153</v>
      </c>
      <c r="ZZ1" s="3" t="s">
        <v>1200</v>
      </c>
      <c r="AAA1" s="3" t="s">
        <v>1449</v>
      </c>
      <c r="AAB1" s="3" t="s">
        <v>609</v>
      </c>
      <c r="AAC1" s="3" t="s">
        <v>1205</v>
      </c>
      <c r="AAD1" s="3" t="s">
        <v>106</v>
      </c>
      <c r="AAE1" s="3" t="s">
        <v>1450</v>
      </c>
      <c r="AAF1" s="3" t="s">
        <v>169</v>
      </c>
      <c r="AAG1" s="3" t="s">
        <v>902</v>
      </c>
      <c r="AAH1" s="3" t="s">
        <v>777</v>
      </c>
      <c r="AAI1" s="3" t="s">
        <v>1451</v>
      </c>
      <c r="AAJ1" s="3" t="s">
        <v>1784</v>
      </c>
      <c r="AAK1" s="3" t="s">
        <v>773</v>
      </c>
      <c r="AAL1" s="3" t="s">
        <v>792</v>
      </c>
      <c r="AAM1" s="3" t="s">
        <v>1261</v>
      </c>
      <c r="AAN1" s="3" t="s">
        <v>1452</v>
      </c>
      <c r="AAO1" s="3" t="s">
        <v>1173</v>
      </c>
      <c r="AAP1" s="3" t="s">
        <v>2280</v>
      </c>
      <c r="AAQ1" s="3" t="s">
        <v>1453</v>
      </c>
      <c r="AAR1" s="3" t="s">
        <v>1009</v>
      </c>
      <c r="AAS1" s="3" t="s">
        <v>1174</v>
      </c>
      <c r="AAT1" s="3" t="s">
        <v>2300</v>
      </c>
      <c r="AAU1" s="3" t="s">
        <v>1455</v>
      </c>
      <c r="AAV1" s="3" t="s">
        <v>1454</v>
      </c>
      <c r="AAW1" s="3" t="s">
        <v>1456</v>
      </c>
      <c r="AAX1" s="3" t="s">
        <v>2383</v>
      </c>
      <c r="AAY1" s="3" t="s">
        <v>2307</v>
      </c>
      <c r="AAZ1" s="3" t="s">
        <v>1462</v>
      </c>
      <c r="ABA1" s="3" t="s">
        <v>1725</v>
      </c>
      <c r="ABB1" s="3" t="s">
        <v>1816</v>
      </c>
      <c r="ABC1" s="3" t="s">
        <v>1857</v>
      </c>
      <c r="ABD1" s="3" t="s">
        <v>830</v>
      </c>
      <c r="ABE1" s="3" t="s">
        <v>1936</v>
      </c>
      <c r="ABF1" s="3" t="s">
        <v>1886</v>
      </c>
      <c r="ABG1" s="3" t="s">
        <v>1967</v>
      </c>
      <c r="ABH1" s="3" t="s">
        <v>1463</v>
      </c>
      <c r="ABI1" s="3" t="s">
        <v>831</v>
      </c>
      <c r="ABJ1" s="3" t="s">
        <v>2251</v>
      </c>
      <c r="ABK1" s="3" t="s">
        <v>657</v>
      </c>
      <c r="ABL1" s="32" t="s">
        <v>2485</v>
      </c>
      <c r="ABM1" s="3" t="s">
        <v>837</v>
      </c>
      <c r="ABN1" s="3" t="s">
        <v>1132</v>
      </c>
      <c r="ABO1" s="3" t="s">
        <v>1464</v>
      </c>
      <c r="ABP1" s="3" t="s">
        <v>1134</v>
      </c>
      <c r="ABQ1" s="3" t="s">
        <v>1135</v>
      </c>
      <c r="ABR1" s="3" t="s">
        <v>1136</v>
      </c>
      <c r="ABS1" s="3" t="s">
        <v>1465</v>
      </c>
      <c r="ABT1" s="3" t="s">
        <v>115</v>
      </c>
      <c r="ABU1" s="3" t="s">
        <v>784</v>
      </c>
      <c r="ABV1" s="3" t="s">
        <v>1137</v>
      </c>
      <c r="ABW1" s="3" t="s">
        <v>1466</v>
      </c>
      <c r="ABX1" s="3" t="s">
        <v>785</v>
      </c>
      <c r="ABY1" s="3" t="s">
        <v>170</v>
      </c>
      <c r="ABZ1" s="3" t="s">
        <v>1138</v>
      </c>
      <c r="ACA1" s="3" t="s">
        <v>1467</v>
      </c>
      <c r="ACB1" s="3" t="s">
        <v>41</v>
      </c>
      <c r="ACC1" s="3" t="s">
        <v>1457</v>
      </c>
      <c r="ACD1" s="3" t="s">
        <v>1269</v>
      </c>
      <c r="ACE1" s="3" t="s">
        <v>1139</v>
      </c>
      <c r="ACF1" s="3" t="s">
        <v>1468</v>
      </c>
      <c r="ACG1" s="3" t="s">
        <v>1458</v>
      </c>
      <c r="ACH1" s="3" t="s">
        <v>1270</v>
      </c>
      <c r="ACI1" s="3" t="s">
        <v>1277</v>
      </c>
      <c r="ACJ1" s="3" t="s">
        <v>1141</v>
      </c>
      <c r="ACK1" s="3" t="s">
        <v>1469</v>
      </c>
      <c r="ACL1" s="3" t="s">
        <v>1159</v>
      </c>
      <c r="ACM1" s="3" t="s">
        <v>2163</v>
      </c>
      <c r="ACN1" s="3" t="s">
        <v>1470</v>
      </c>
      <c r="ACO1" s="3" t="s">
        <v>1769</v>
      </c>
      <c r="ACP1" s="3" t="s">
        <v>1770</v>
      </c>
      <c r="ACQ1" s="3" t="s">
        <v>2397</v>
      </c>
      <c r="ACR1" s="3" t="s">
        <v>1161</v>
      </c>
      <c r="ACS1" s="3" t="s">
        <v>2114</v>
      </c>
      <c r="ACT1" s="3" t="s">
        <v>2398</v>
      </c>
      <c r="ACU1" s="3" t="s">
        <v>2115</v>
      </c>
      <c r="ACV1" s="3" t="s">
        <v>2393</v>
      </c>
      <c r="ACW1" s="3" t="s">
        <v>2040</v>
      </c>
      <c r="ACX1" s="3" t="s">
        <v>2116</v>
      </c>
      <c r="ACY1" s="3" t="s">
        <v>2033</v>
      </c>
      <c r="ACZ1" s="3" t="s">
        <v>2117</v>
      </c>
      <c r="ADA1" s="3" t="s">
        <v>2289</v>
      </c>
      <c r="ADB1" s="3" t="s">
        <v>2399</v>
      </c>
      <c r="ADC1" s="3" t="s">
        <v>2118</v>
      </c>
      <c r="ADD1" s="3" t="s">
        <v>1142</v>
      </c>
      <c r="ADE1" s="3" t="s">
        <v>1160</v>
      </c>
      <c r="ADF1" s="3" t="s">
        <v>1771</v>
      </c>
      <c r="ADG1" s="3" t="s">
        <v>2042</v>
      </c>
      <c r="ADH1" s="3" t="s">
        <v>1471</v>
      </c>
      <c r="ADI1" s="3" t="s">
        <v>1143</v>
      </c>
      <c r="ADJ1" s="3" t="s">
        <v>2179</v>
      </c>
      <c r="ADK1" s="3" t="s">
        <v>2043</v>
      </c>
      <c r="ADL1" s="3" t="s">
        <v>2034</v>
      </c>
      <c r="ADM1" s="3" t="s">
        <v>2308</v>
      </c>
      <c r="ADN1" s="3" t="s">
        <v>1473</v>
      </c>
      <c r="ADO1" s="32" t="s">
        <v>1472</v>
      </c>
      <c r="ADP1" s="3" t="s">
        <v>837</v>
      </c>
      <c r="ADQ1" s="3" t="s">
        <v>1132</v>
      </c>
      <c r="ADR1" s="3" t="s">
        <v>1133</v>
      </c>
      <c r="ADS1" s="3" t="s">
        <v>1461</v>
      </c>
      <c r="ADT1" s="3" t="s">
        <v>1135</v>
      </c>
      <c r="ADU1" s="3" t="s">
        <v>2084</v>
      </c>
      <c r="ADV1" s="3" t="s">
        <v>1249</v>
      </c>
      <c r="ADW1" s="3" t="s">
        <v>784</v>
      </c>
      <c r="ADX1" s="3" t="s">
        <v>1137</v>
      </c>
      <c r="ADY1" s="3" t="s">
        <v>116</v>
      </c>
      <c r="ADZ1" s="3" t="s">
        <v>1138</v>
      </c>
      <c r="AEA1" s="3" t="s">
        <v>1286</v>
      </c>
      <c r="AEB1" s="3" t="s">
        <v>1474</v>
      </c>
      <c r="AEC1" s="3" t="s">
        <v>1457</v>
      </c>
      <c r="AED1" s="3" t="s">
        <v>1269</v>
      </c>
      <c r="AEE1" s="3" t="s">
        <v>1140</v>
      </c>
      <c r="AEF1" s="3" t="s">
        <v>1270</v>
      </c>
      <c r="AEG1" s="3" t="s">
        <v>1475</v>
      </c>
      <c r="AEH1" s="3" t="s">
        <v>1141</v>
      </c>
      <c r="AEI1" s="3" t="s">
        <v>1159</v>
      </c>
      <c r="AEJ1" s="3" t="s">
        <v>1770</v>
      </c>
      <c r="AEK1" s="3" t="s">
        <v>2040</v>
      </c>
      <c r="AEL1" s="3" t="s">
        <v>2289</v>
      </c>
      <c r="AEM1" s="3" t="s">
        <v>1476</v>
      </c>
      <c r="AEN1" s="3" t="s">
        <v>2041</v>
      </c>
      <c r="AEO1" s="3" t="s">
        <v>2486</v>
      </c>
      <c r="AEP1" s="32" t="s">
        <v>2487</v>
      </c>
      <c r="AEQ1" s="3" t="s">
        <v>1814</v>
      </c>
      <c r="AER1" s="3" t="s">
        <v>2488</v>
      </c>
      <c r="AES1" s="3" t="s">
        <v>1970</v>
      </c>
      <c r="AET1" s="3" t="s">
        <v>2489</v>
      </c>
      <c r="AEU1" s="3" t="s">
        <v>68</v>
      </c>
      <c r="AEV1" s="32" t="s">
        <v>1109</v>
      </c>
      <c r="AEW1" s="3" t="s">
        <v>1477</v>
      </c>
      <c r="AEX1" s="3" t="s">
        <v>1478</v>
      </c>
      <c r="AEY1" s="3" t="s">
        <v>1480</v>
      </c>
      <c r="AEZ1" s="3" t="s">
        <v>1479</v>
      </c>
      <c r="AFA1" s="3" t="s">
        <v>1110</v>
      </c>
      <c r="AFB1" s="3" t="s">
        <v>1481</v>
      </c>
      <c r="AFC1" s="3" t="s">
        <v>2104</v>
      </c>
      <c r="AFD1" s="3" t="s">
        <v>107</v>
      </c>
      <c r="AFE1" s="3" t="s">
        <v>2492</v>
      </c>
      <c r="AFF1" s="3" t="s">
        <v>1292</v>
      </c>
      <c r="AFG1" s="3" t="s">
        <v>1071</v>
      </c>
      <c r="AFH1" s="3" t="s">
        <v>2105</v>
      </c>
      <c r="AFI1" s="3" t="s">
        <v>2493</v>
      </c>
      <c r="AFJ1" s="3" t="s">
        <v>1482</v>
      </c>
      <c r="AFK1" s="3" t="s">
        <v>1483</v>
      </c>
      <c r="AFL1" s="3" t="s">
        <v>2380</v>
      </c>
      <c r="AFM1" s="3" t="s">
        <v>2403</v>
      </c>
      <c r="AFN1" s="3" t="s">
        <v>1047</v>
      </c>
      <c r="AFO1" s="3" t="s">
        <v>2409</v>
      </c>
      <c r="AFP1" s="3" t="s">
        <v>961</v>
      </c>
      <c r="AFQ1" s="3" t="s">
        <v>1484</v>
      </c>
      <c r="AFR1" s="3" t="s">
        <v>1011</v>
      </c>
      <c r="AFS1" s="3" t="s">
        <v>1724</v>
      </c>
      <c r="AFT1" s="3" t="s">
        <v>1723</v>
      </c>
      <c r="AFU1" s="3" t="s">
        <v>1961</v>
      </c>
      <c r="AFV1" s="3" t="s">
        <v>1862</v>
      </c>
      <c r="AFW1" s="3" t="s">
        <v>1011</v>
      </c>
      <c r="AFX1" s="3" t="s">
        <v>1485</v>
      </c>
      <c r="AFY1" s="3" t="s">
        <v>1933</v>
      </c>
      <c r="AFZ1" s="3" t="s">
        <v>1721</v>
      </c>
      <c r="AGA1" s="3" t="s">
        <v>1718</v>
      </c>
      <c r="AGB1" s="3" t="s">
        <v>1232</v>
      </c>
      <c r="AGC1" s="3" t="s">
        <v>1971</v>
      </c>
      <c r="AGD1" s="3" t="s">
        <v>2303</v>
      </c>
      <c r="AGE1" s="3" t="s">
        <v>1486</v>
      </c>
      <c r="AGF1" s="32" t="s">
        <v>1295</v>
      </c>
      <c r="AGG1" s="3" t="s">
        <v>661</v>
      </c>
      <c r="AGH1" s="3" t="s">
        <v>42</v>
      </c>
      <c r="AGI1" s="3" t="s">
        <v>43</v>
      </c>
      <c r="AGJ1" s="3" t="s">
        <v>1487</v>
      </c>
      <c r="AGK1" s="3" t="s">
        <v>44</v>
      </c>
      <c r="AGL1" s="3" t="s">
        <v>1220</v>
      </c>
      <c r="AGM1" s="3" t="s">
        <v>1248</v>
      </c>
      <c r="AGN1" s="3" t="s">
        <v>1488</v>
      </c>
      <c r="AGO1" s="3" t="s">
        <v>1067</v>
      </c>
      <c r="AGP1" s="3" t="s">
        <v>1015</v>
      </c>
      <c r="AGQ1" s="3" t="s">
        <v>112</v>
      </c>
      <c r="AGR1" s="3" t="s">
        <v>1489</v>
      </c>
      <c r="AGS1" s="3" t="s">
        <v>171</v>
      </c>
      <c r="AGT1" s="3" t="s">
        <v>887</v>
      </c>
      <c r="AGU1" s="3" t="s">
        <v>1016</v>
      </c>
      <c r="AGV1" s="3" t="s">
        <v>1490</v>
      </c>
      <c r="AGW1" s="3" t="s">
        <v>1722</v>
      </c>
      <c r="AGX1" s="3" t="s">
        <v>1255</v>
      </c>
      <c r="AGY1" s="3" t="s">
        <v>874</v>
      </c>
      <c r="AGZ1" s="3" t="s">
        <v>962</v>
      </c>
      <c r="AHA1" s="3" t="s">
        <v>1491</v>
      </c>
      <c r="AHB1" s="3" t="s">
        <v>1256</v>
      </c>
      <c r="AHC1" s="3" t="s">
        <v>1278</v>
      </c>
      <c r="AHD1" s="3" t="s">
        <v>1720</v>
      </c>
      <c r="AHE1" s="3" t="s">
        <v>1719</v>
      </c>
      <c r="AHF1" s="3" t="s">
        <v>994</v>
      </c>
      <c r="AHG1" s="3" t="s">
        <v>1492</v>
      </c>
      <c r="AHH1" s="3" t="s">
        <v>2160</v>
      </c>
      <c r="AHI1" s="3" t="s">
        <v>1758</v>
      </c>
      <c r="AHJ1" s="3" t="s">
        <v>1757</v>
      </c>
      <c r="AHK1" s="3" t="s">
        <v>2517</v>
      </c>
      <c r="AHL1" s="3" t="s">
        <v>2153</v>
      </c>
      <c r="AHM1" s="3" t="s">
        <v>2148</v>
      </c>
      <c r="AHN1" s="3" t="s">
        <v>1118</v>
      </c>
      <c r="AHO1" s="3" t="s">
        <v>2112</v>
      </c>
      <c r="AHP1" s="3" t="s">
        <v>2396</v>
      </c>
      <c r="AHQ1" s="3" t="s">
        <v>2059</v>
      </c>
      <c r="AHR1" s="3" t="s">
        <v>2031</v>
      </c>
      <c r="AHS1" s="3" t="s">
        <v>2263</v>
      </c>
      <c r="AHT1" s="3" t="s">
        <v>2264</v>
      </c>
      <c r="AHU1" s="3" t="s">
        <v>2113</v>
      </c>
      <c r="AHV1" s="3" t="s">
        <v>2265</v>
      </c>
      <c r="AHW1" s="3" t="s">
        <v>2154</v>
      </c>
      <c r="AHX1" s="3" t="s">
        <v>1158</v>
      </c>
      <c r="AHY1" s="3" t="s">
        <v>2295</v>
      </c>
      <c r="AHZ1" s="3" t="s">
        <v>2060</v>
      </c>
      <c r="AIA1" s="3" t="s">
        <v>1493</v>
      </c>
      <c r="AIB1" s="3" t="s">
        <v>1131</v>
      </c>
      <c r="AIC1" s="3" t="s">
        <v>1494</v>
      </c>
      <c r="AID1" s="3" t="s">
        <v>2061</v>
      </c>
      <c r="AIE1" s="3" t="s">
        <v>2032</v>
      </c>
      <c r="AIF1" s="3" t="s">
        <v>1820</v>
      </c>
      <c r="AIG1" s="3" t="s">
        <v>1495</v>
      </c>
      <c r="AIH1" s="32" t="s">
        <v>1829</v>
      </c>
      <c r="AII1" s="3" t="s">
        <v>1729</v>
      </c>
      <c r="AIJ1" s="3" t="s">
        <v>1496</v>
      </c>
      <c r="AIK1" s="3" t="s">
        <v>1074</v>
      </c>
      <c r="AIL1" s="3" t="s">
        <v>1497</v>
      </c>
      <c r="AIM1" s="3" t="s">
        <v>1075</v>
      </c>
      <c r="AIN1" s="3" t="s">
        <v>1726</v>
      </c>
      <c r="AIO1" s="3" t="s">
        <v>1884</v>
      </c>
      <c r="AIP1" s="3" t="s">
        <v>1863</v>
      </c>
      <c r="AIQ1" s="3" t="s">
        <v>1727</v>
      </c>
      <c r="AIR1" s="3" t="s">
        <v>1728</v>
      </c>
      <c r="AIS1" s="3" t="s">
        <v>2085</v>
      </c>
      <c r="AIT1" s="3" t="s">
        <v>1498</v>
      </c>
      <c r="AIU1" s="3" t="s">
        <v>993</v>
      </c>
      <c r="AIV1" s="3" t="s">
        <v>2062</v>
      </c>
      <c r="AIW1" s="3" t="s">
        <v>2063</v>
      </c>
      <c r="AIX1" s="3" t="s">
        <v>1499</v>
      </c>
      <c r="AIY1" s="3" t="s">
        <v>2064</v>
      </c>
      <c r="AIZ1" s="3" t="s">
        <v>2065</v>
      </c>
      <c r="AJA1" s="3" t="s">
        <v>2312</v>
      </c>
      <c r="AJB1" s="3" t="s">
        <v>1500</v>
      </c>
      <c r="AJC1" s="3" t="s">
        <v>1048</v>
      </c>
      <c r="AJD1" s="3" t="s">
        <v>1959</v>
      </c>
      <c r="AJE1" s="3" t="s">
        <v>1812</v>
      </c>
      <c r="AJF1" s="3" t="s">
        <v>1501</v>
      </c>
      <c r="AJG1" s="3" t="s">
        <v>832</v>
      </c>
      <c r="AJH1" s="3" t="s">
        <v>1929</v>
      </c>
      <c r="AJI1" s="3" t="s">
        <v>1851</v>
      </c>
      <c r="AJJ1" s="3" t="s">
        <v>1502</v>
      </c>
      <c r="AJK1" s="3" t="s">
        <v>525</v>
      </c>
      <c r="AJL1" s="3" t="s">
        <v>526</v>
      </c>
      <c r="AJM1" s="3" t="s">
        <v>1852</v>
      </c>
      <c r="AJN1" s="3" t="s">
        <v>1503</v>
      </c>
      <c r="AJO1" s="32" t="s">
        <v>527</v>
      </c>
      <c r="AJP1" s="3" t="s">
        <v>895</v>
      </c>
      <c r="AJQ1" s="3" t="s">
        <v>896</v>
      </c>
      <c r="AJR1" s="3" t="s">
        <v>46</v>
      </c>
      <c r="AJS1" s="3" t="s">
        <v>1504</v>
      </c>
      <c r="AJT1" s="3" t="s">
        <v>47</v>
      </c>
      <c r="AJU1" s="3" t="s">
        <v>528</v>
      </c>
      <c r="AJV1" s="3" t="s">
        <v>1505</v>
      </c>
      <c r="AJW1" s="3" t="s">
        <v>897</v>
      </c>
      <c r="AJX1" s="3" t="s">
        <v>1108</v>
      </c>
      <c r="AJY1" s="3" t="s">
        <v>80</v>
      </c>
      <c r="AJZ1" s="3" t="s">
        <v>88</v>
      </c>
      <c r="AKA1" s="3" t="s">
        <v>1506</v>
      </c>
      <c r="AKB1" s="3" t="s">
        <v>2302</v>
      </c>
      <c r="AKC1" s="3" t="s">
        <v>45</v>
      </c>
      <c r="AKD1" s="3" t="s">
        <v>1507</v>
      </c>
      <c r="AKE1" s="3" t="s">
        <v>529</v>
      </c>
      <c r="AKF1" s="3" t="s">
        <v>2167</v>
      </c>
      <c r="AKG1" s="3" t="s">
        <v>788</v>
      </c>
      <c r="AKH1" s="3" t="s">
        <v>92</v>
      </c>
      <c r="AKI1" s="3" t="s">
        <v>1508</v>
      </c>
      <c r="AKJ1" s="3" t="s">
        <v>996</v>
      </c>
      <c r="AKK1" s="3" t="s">
        <v>1752</v>
      </c>
      <c r="AKL1" s="3" t="s">
        <v>1751</v>
      </c>
      <c r="AKM1" s="3" t="s">
        <v>1750</v>
      </c>
      <c r="AKN1" s="3" t="s">
        <v>2038</v>
      </c>
      <c r="AKO1" s="3" t="s">
        <v>2255</v>
      </c>
      <c r="AKP1" s="3" t="s">
        <v>2044</v>
      </c>
      <c r="AKQ1" s="3" t="s">
        <v>1509</v>
      </c>
      <c r="AKR1" s="3" t="s">
        <v>1896</v>
      </c>
      <c r="AKS1" s="32" t="s">
        <v>1895</v>
      </c>
      <c r="AKT1" s="3" t="s">
        <v>1897</v>
      </c>
      <c r="AKU1" s="3" t="s">
        <v>2331</v>
      </c>
      <c r="AKV1" s="3" t="s">
        <v>1972</v>
      </c>
      <c r="AKW1" s="3" t="s">
        <v>2332</v>
      </c>
      <c r="AKX1" s="3" t="s">
        <v>76</v>
      </c>
      <c r="AKY1" s="32" t="s">
        <v>989</v>
      </c>
      <c r="AKZ1" s="3" t="s">
        <v>1510</v>
      </c>
      <c r="ALA1" s="3" t="s">
        <v>48</v>
      </c>
      <c r="ALB1" s="3" t="s">
        <v>49</v>
      </c>
      <c r="ALC1" s="3" t="s">
        <v>1511</v>
      </c>
      <c r="ALD1" s="3" t="s">
        <v>50</v>
      </c>
      <c r="ALE1" s="3" t="s">
        <v>2459</v>
      </c>
      <c r="ALF1" s="3" t="s">
        <v>113</v>
      </c>
      <c r="ALG1" s="3" t="s">
        <v>1512</v>
      </c>
      <c r="ALH1" s="3" t="s">
        <v>114</v>
      </c>
      <c r="ALI1" s="3" t="s">
        <v>172</v>
      </c>
      <c r="ALJ1" s="3" t="s">
        <v>1289</v>
      </c>
      <c r="ALK1" s="3" t="s">
        <v>1513</v>
      </c>
      <c r="ALL1" s="3" t="s">
        <v>2170</v>
      </c>
      <c r="ALM1" s="3" t="s">
        <v>1156</v>
      </c>
      <c r="ALN1" s="3" t="s">
        <v>1767</v>
      </c>
      <c r="ALO1" s="3" t="s">
        <v>1157</v>
      </c>
      <c r="ALP1" s="3" t="s">
        <v>1514</v>
      </c>
      <c r="ALQ1" s="3" t="s">
        <v>1515</v>
      </c>
      <c r="ALR1" s="3" t="s">
        <v>1935</v>
      </c>
      <c r="ALS1" s="3" t="s">
        <v>2333</v>
      </c>
      <c r="ALT1" s="3" t="s">
        <v>829</v>
      </c>
      <c r="ALU1" s="3" t="s">
        <v>2252</v>
      </c>
      <c r="ALV1" s="3" t="s">
        <v>1516</v>
      </c>
      <c r="ALW1" s="32" t="s">
        <v>761</v>
      </c>
      <c r="ALX1" s="3" t="s">
        <v>762</v>
      </c>
      <c r="ALY1" s="3" t="s">
        <v>51</v>
      </c>
      <c r="ALZ1" s="3" t="s">
        <v>1879</v>
      </c>
      <c r="AMA1" s="3" t="s">
        <v>1517</v>
      </c>
      <c r="AMB1" s="3" t="s">
        <v>52</v>
      </c>
      <c r="AMC1" s="3" t="s">
        <v>1880</v>
      </c>
      <c r="AMD1" s="3" t="s">
        <v>1221</v>
      </c>
      <c r="AME1" s="3" t="s">
        <v>2192</v>
      </c>
      <c r="AMF1" s="3" t="s">
        <v>1891</v>
      </c>
      <c r="AMG1" s="3" t="s">
        <v>2171</v>
      </c>
      <c r="AMH1" s="3" t="s">
        <v>1518</v>
      </c>
      <c r="AMI1" s="3" t="s">
        <v>1290</v>
      </c>
      <c r="AMJ1" s="3" t="s">
        <v>1291</v>
      </c>
      <c r="AMK1" s="3" t="s">
        <v>1222</v>
      </c>
      <c r="AML1" s="3" t="s">
        <v>1785</v>
      </c>
      <c r="AMM1" s="3" t="s">
        <v>2172</v>
      </c>
      <c r="AMN1" s="3" t="s">
        <v>1178</v>
      </c>
      <c r="AMO1" s="3" t="s">
        <v>2394</v>
      </c>
      <c r="AMP1" s="3" t="s">
        <v>1768</v>
      </c>
      <c r="AMQ1" s="3" t="s">
        <v>2395</v>
      </c>
      <c r="AMR1" s="3" t="s">
        <v>2129</v>
      </c>
      <c r="AMS1" s="3" t="s">
        <v>2130</v>
      </c>
      <c r="AMT1" s="3" t="s">
        <v>1003</v>
      </c>
      <c r="AMU1" s="3" t="s">
        <v>1179</v>
      </c>
      <c r="AMV1" s="3" t="s">
        <v>1519</v>
      </c>
      <c r="AMW1" s="3" t="s">
        <v>1951</v>
      </c>
      <c r="AMX1" s="3" t="s">
        <v>1794</v>
      </c>
      <c r="AMY1" s="3" t="s">
        <v>1952</v>
      </c>
      <c r="AMZ1" s="3" t="s">
        <v>1521</v>
      </c>
      <c r="ANA1" s="3" t="s">
        <v>1921</v>
      </c>
      <c r="ANB1" s="3" t="s">
        <v>1878</v>
      </c>
      <c r="ANC1" s="3" t="s">
        <v>1922</v>
      </c>
      <c r="AND1" s="3" t="s">
        <v>833</v>
      </c>
      <c r="ANE1" s="3" t="s">
        <v>2254</v>
      </c>
      <c r="ANF1" s="3" t="s">
        <v>1520</v>
      </c>
      <c r="ANG1" s="32" t="s">
        <v>577</v>
      </c>
      <c r="ANH1" s="3" t="s">
        <v>1050</v>
      </c>
      <c r="ANI1" s="3" t="s">
        <v>587</v>
      </c>
      <c r="ANJ1" s="3" t="s">
        <v>588</v>
      </c>
      <c r="ANK1" s="3" t="s">
        <v>1522</v>
      </c>
      <c r="ANL1" s="3" t="s">
        <v>243</v>
      </c>
      <c r="ANM1" s="3" t="s">
        <v>581</v>
      </c>
      <c r="ANN1" s="3" t="s">
        <v>173</v>
      </c>
      <c r="ANO1" s="3" t="s">
        <v>1523</v>
      </c>
      <c r="ANP1" s="3" t="s">
        <v>607</v>
      </c>
      <c r="ANQ1" s="3" t="s">
        <v>582</v>
      </c>
      <c r="ANR1" s="3" t="s">
        <v>87</v>
      </c>
      <c r="ANS1" s="3" t="s">
        <v>2169</v>
      </c>
      <c r="ANT1" s="3" t="s">
        <v>1524</v>
      </c>
      <c r="ANU1" s="3" t="s">
        <v>891</v>
      </c>
      <c r="ANV1" s="3" t="s">
        <v>1073</v>
      </c>
      <c r="ANW1" s="3" t="s">
        <v>876</v>
      </c>
      <c r="ANX1" s="3" t="s">
        <v>2133</v>
      </c>
      <c r="ANY1" s="3" t="s">
        <v>1525</v>
      </c>
      <c r="ANZ1" s="3" t="s">
        <v>2157</v>
      </c>
      <c r="AOA1" s="3" t="s">
        <v>2158</v>
      </c>
      <c r="AOB1" s="3" t="s">
        <v>1280</v>
      </c>
      <c r="AOC1" s="3" t="s">
        <v>2159</v>
      </c>
      <c r="AOD1" s="3" t="s">
        <v>2039</v>
      </c>
      <c r="AOE1" s="3" t="s">
        <v>2518</v>
      </c>
      <c r="AOF1" s="3" t="s">
        <v>2519</v>
      </c>
      <c r="AOG1" s="3" t="s">
        <v>1007</v>
      </c>
      <c r="AOH1" s="3" t="s">
        <v>1527</v>
      </c>
      <c r="AOI1" s="3" t="s">
        <v>2045</v>
      </c>
      <c r="AOJ1" s="3" t="s">
        <v>1526</v>
      </c>
      <c r="AOK1" s="3" t="s">
        <v>1847</v>
      </c>
      <c r="AOL1" s="3" t="s">
        <v>1848</v>
      </c>
      <c r="AOM1" s="3" t="s">
        <v>1528</v>
      </c>
      <c r="AON1" s="3" t="s">
        <v>1930</v>
      </c>
      <c r="AOO1" s="3" t="s">
        <v>1849</v>
      </c>
      <c r="AOP1" s="3" t="s">
        <v>2363</v>
      </c>
      <c r="AOQ1" s="3" t="s">
        <v>838</v>
      </c>
      <c r="AOR1" s="3" t="s">
        <v>2364</v>
      </c>
      <c r="AOS1" s="3" t="s">
        <v>1529</v>
      </c>
      <c r="AOT1" s="32" t="s">
        <v>1106</v>
      </c>
      <c r="AOU1" s="3" t="s">
        <v>898</v>
      </c>
      <c r="AOV1" s="3" t="s">
        <v>839</v>
      </c>
      <c r="AOW1" s="3" t="s">
        <v>1231</v>
      </c>
      <c r="AOX1" s="3" t="s">
        <v>1530</v>
      </c>
      <c r="AOY1" s="3" t="s">
        <v>1850</v>
      </c>
      <c r="AOZ1" s="3" t="s">
        <v>899</v>
      </c>
      <c r="APA1" s="3" t="s">
        <v>1107</v>
      </c>
      <c r="APB1" s="3" t="s">
        <v>1531</v>
      </c>
      <c r="APC1" s="3" t="s">
        <v>900</v>
      </c>
      <c r="APD1" s="3" t="s">
        <v>648</v>
      </c>
      <c r="APE1" s="3" t="s">
        <v>85</v>
      </c>
      <c r="APF1" s="3" t="s">
        <v>1532</v>
      </c>
      <c r="APG1" s="3" t="s">
        <v>86</v>
      </c>
      <c r="APH1" s="3" t="s">
        <v>860</v>
      </c>
      <c r="API1" s="3" t="s">
        <v>1533</v>
      </c>
      <c r="APJ1" s="3" t="s">
        <v>997</v>
      </c>
      <c r="APK1" s="3" t="s">
        <v>1777</v>
      </c>
      <c r="APL1" s="3" t="s">
        <v>1778</v>
      </c>
      <c r="APM1" s="3" t="s">
        <v>2256</v>
      </c>
      <c r="APN1" s="3" t="s">
        <v>1534</v>
      </c>
      <c r="APO1" s="3" t="s">
        <v>2313</v>
      </c>
      <c r="APP1" s="3" t="s">
        <v>1815</v>
      </c>
      <c r="APQ1" s="3" t="s">
        <v>1853</v>
      </c>
      <c r="APR1" s="3" t="s">
        <v>1854</v>
      </c>
      <c r="APS1" s="3" t="s">
        <v>2336</v>
      </c>
      <c r="APT1" s="3" t="s">
        <v>641</v>
      </c>
      <c r="APU1" s="32" t="s">
        <v>988</v>
      </c>
      <c r="APV1" s="3" t="s">
        <v>1535</v>
      </c>
      <c r="APW1" s="3" t="s">
        <v>1536</v>
      </c>
      <c r="APX1" s="3" t="s">
        <v>1537</v>
      </c>
      <c r="APY1" s="3" t="s">
        <v>1855</v>
      </c>
      <c r="APZ1" s="3" t="s">
        <v>1856</v>
      </c>
      <c r="AQA1" s="3" t="s">
        <v>1540</v>
      </c>
      <c r="AQB1" s="3" t="s">
        <v>1538</v>
      </c>
      <c r="AQC1" s="3" t="s">
        <v>1539</v>
      </c>
      <c r="AQD1" s="3" t="s">
        <v>2512</v>
      </c>
      <c r="AQE1" s="3" t="s">
        <v>1541</v>
      </c>
      <c r="AQF1" s="3" t="s">
        <v>1542</v>
      </c>
      <c r="AQG1" s="3" t="s">
        <v>978</v>
      </c>
      <c r="AQH1" s="3" t="s">
        <v>1543</v>
      </c>
      <c r="AQI1" s="3" t="s">
        <v>1938</v>
      </c>
      <c r="AQJ1" s="3" t="s">
        <v>1799</v>
      </c>
      <c r="AQK1" s="3" t="s">
        <v>881</v>
      </c>
      <c r="AQL1" s="3" t="s">
        <v>841</v>
      </c>
      <c r="AQM1" s="3" t="s">
        <v>1898</v>
      </c>
      <c r="AQN1" s="3" t="s">
        <v>1871</v>
      </c>
      <c r="AQO1" s="3" t="s">
        <v>2341</v>
      </c>
      <c r="AQP1" s="3" t="s">
        <v>1544</v>
      </c>
      <c r="AQQ1" s="3" t="s">
        <v>880</v>
      </c>
      <c r="AQR1" s="3" t="s">
        <v>1545</v>
      </c>
      <c r="AQS1" s="32" t="s">
        <v>1204</v>
      </c>
      <c r="AQT1" s="3" t="s">
        <v>778</v>
      </c>
      <c r="AQU1" s="3" t="s">
        <v>842</v>
      </c>
      <c r="AQV1" s="3" t="s">
        <v>760</v>
      </c>
      <c r="AQW1" s="3" t="s">
        <v>1546</v>
      </c>
      <c r="AQX1" s="3" t="s">
        <v>980</v>
      </c>
      <c r="AQY1" s="3" t="s">
        <v>1872</v>
      </c>
      <c r="AQZ1" s="3" t="s">
        <v>1078</v>
      </c>
      <c r="ARA1" s="3" t="s">
        <v>1547</v>
      </c>
      <c r="ARB1" s="3" t="s">
        <v>1053</v>
      </c>
      <c r="ARC1" s="3" t="s">
        <v>1079</v>
      </c>
      <c r="ARD1" s="3" t="s">
        <v>849</v>
      </c>
      <c r="ARE1" s="3" t="s">
        <v>1548</v>
      </c>
      <c r="ARF1" s="3" t="s">
        <v>651</v>
      </c>
      <c r="ARG1" s="3" t="s">
        <v>909</v>
      </c>
      <c r="ARH1" s="3" t="s">
        <v>1054</v>
      </c>
      <c r="ARI1" s="3" t="s">
        <v>1549</v>
      </c>
      <c r="ARJ1" s="3" t="s">
        <v>652</v>
      </c>
      <c r="ARK1" s="3" t="s">
        <v>1164</v>
      </c>
      <c r="ARL1" s="3" t="s">
        <v>1550</v>
      </c>
      <c r="ARM1" s="3" t="s">
        <v>1165</v>
      </c>
      <c r="ARN1" s="3" t="s">
        <v>2299</v>
      </c>
      <c r="ARO1" s="32" t="s">
        <v>659</v>
      </c>
      <c r="ARP1" s="3" t="s">
        <v>2392</v>
      </c>
      <c r="ARQ1" s="3" t="s">
        <v>1551</v>
      </c>
      <c r="ARR1" s="3" t="s">
        <v>1030</v>
      </c>
      <c r="ARS1" s="3" t="s">
        <v>1955</v>
      </c>
      <c r="ART1" s="3" t="s">
        <v>1805</v>
      </c>
      <c r="ARU1" s="3" t="s">
        <v>1145</v>
      </c>
      <c r="ARV1" s="3" t="s">
        <v>1552</v>
      </c>
      <c r="ARW1" s="3" t="s">
        <v>840</v>
      </c>
      <c r="ARX1" s="3" t="s">
        <v>1908</v>
      </c>
      <c r="ARY1" s="4" t="s">
        <v>1877</v>
      </c>
      <c r="ARZ1" s="4" t="s">
        <v>2350</v>
      </c>
      <c r="ASA1" s="4" t="s">
        <v>1553</v>
      </c>
      <c r="ASB1" s="4" t="s">
        <v>879</v>
      </c>
      <c r="ASC1" s="4" t="s">
        <v>1554</v>
      </c>
      <c r="ASD1" s="32" t="s">
        <v>1210</v>
      </c>
      <c r="ASE1" s="3" t="s">
        <v>53</v>
      </c>
      <c r="ASF1" s="3" t="s">
        <v>54</v>
      </c>
      <c r="ASG1" s="3" t="s">
        <v>55</v>
      </c>
      <c r="ASH1" s="3" t="s">
        <v>1555</v>
      </c>
      <c r="ASI1" s="3" t="s">
        <v>56</v>
      </c>
      <c r="ASJ1" s="3" t="s">
        <v>1211</v>
      </c>
      <c r="ASK1" s="3" t="s">
        <v>1149</v>
      </c>
      <c r="ASL1" s="3" t="s">
        <v>1556</v>
      </c>
      <c r="ASM1" s="3" t="s">
        <v>608</v>
      </c>
      <c r="ASN1" s="3" t="s">
        <v>1084</v>
      </c>
      <c r="ASO1" s="3" t="s">
        <v>244</v>
      </c>
      <c r="ASP1" s="3" t="s">
        <v>901</v>
      </c>
      <c r="ASQ1" s="3" t="s">
        <v>1557</v>
      </c>
      <c r="ASR1" s="3" t="s">
        <v>79</v>
      </c>
      <c r="ASS1" s="3" t="s">
        <v>1065</v>
      </c>
      <c r="AST1" s="3" t="s">
        <v>245</v>
      </c>
      <c r="ASU1" s="3" t="s">
        <v>1267</v>
      </c>
      <c r="ASV1" s="3" t="s">
        <v>1560</v>
      </c>
      <c r="ASW1" s="3" t="s">
        <v>1268</v>
      </c>
      <c r="ASX1" s="3" t="s">
        <v>1279</v>
      </c>
      <c r="ASY1" s="3" t="s">
        <v>646</v>
      </c>
      <c r="ASZ1" s="3" t="s">
        <v>1559</v>
      </c>
      <c r="ATA1" s="3" t="s">
        <v>1190</v>
      </c>
      <c r="ATB1" s="3" t="s">
        <v>1779</v>
      </c>
      <c r="ATC1" s="3" t="s">
        <v>2279</v>
      </c>
      <c r="ATD1" s="3" t="s">
        <v>1008</v>
      </c>
      <c r="ATE1" s="3" t="s">
        <v>1558</v>
      </c>
      <c r="ATF1" s="3" t="s">
        <v>2513</v>
      </c>
      <c r="ATG1" s="3" t="s">
        <v>1191</v>
      </c>
      <c r="ATH1" s="3" t="s">
        <v>1561</v>
      </c>
      <c r="ATI1" s="3" t="s">
        <v>2514</v>
      </c>
      <c r="ATJ1" s="3" t="s">
        <v>1563</v>
      </c>
      <c r="ATK1" s="32" t="s">
        <v>779</v>
      </c>
      <c r="ATL1" s="3" t="s">
        <v>781</v>
      </c>
      <c r="ATM1" s="3" t="s">
        <v>780</v>
      </c>
      <c r="ATN1" s="3" t="s">
        <v>1562</v>
      </c>
      <c r="ATO1" s="4" t="s">
        <v>1950</v>
      </c>
      <c r="ATP1" s="4" t="s">
        <v>1919</v>
      </c>
      <c r="ATQ1" s="4" t="s">
        <v>1564</v>
      </c>
      <c r="ATR1" s="32" t="s">
        <v>1565</v>
      </c>
      <c r="ATS1" s="3" t="s">
        <v>1566</v>
      </c>
      <c r="ATT1" s="3" t="s">
        <v>1920</v>
      </c>
      <c r="ATU1" s="3" t="s">
        <v>2103</v>
      </c>
      <c r="ATV1" s="3" t="s">
        <v>132</v>
      </c>
      <c r="ATW1" s="3" t="s">
        <v>1796</v>
      </c>
      <c r="ATX1" s="3" t="s">
        <v>75</v>
      </c>
      <c r="ATY1" s="32" t="s">
        <v>984</v>
      </c>
      <c r="ATZ1" s="3" t="s">
        <v>103</v>
      </c>
      <c r="AUA1" s="3" t="s">
        <v>1567</v>
      </c>
      <c r="AUB1" s="3" t="s">
        <v>1122</v>
      </c>
      <c r="AUC1" s="3" t="s">
        <v>1568</v>
      </c>
      <c r="AUD1" s="3" t="s">
        <v>1036</v>
      </c>
      <c r="AUE1" s="3" t="s">
        <v>1948</v>
      </c>
      <c r="AUF1" s="3" t="s">
        <v>1797</v>
      </c>
      <c r="AUG1" s="3" t="s">
        <v>1915</v>
      </c>
      <c r="AUH1" s="3" t="s">
        <v>1916</v>
      </c>
      <c r="AUI1" s="3" t="s">
        <v>74</v>
      </c>
      <c r="AUJ1" s="32" t="s">
        <v>983</v>
      </c>
      <c r="AUK1" s="3" t="s">
        <v>1166</v>
      </c>
      <c r="AUL1" s="3" t="s">
        <v>1825</v>
      </c>
      <c r="AUM1" s="3" t="s">
        <v>1296</v>
      </c>
      <c r="AUN1" s="3" t="s">
        <v>1037</v>
      </c>
      <c r="AUO1" s="3" t="s">
        <v>1038</v>
      </c>
      <c r="AUP1" s="3" t="s">
        <v>1569</v>
      </c>
      <c r="AUQ1" s="3" t="s">
        <v>2520</v>
      </c>
      <c r="AUR1" s="3" t="s">
        <v>1167</v>
      </c>
      <c r="AUS1" s="3" t="s">
        <v>1570</v>
      </c>
      <c r="AUT1" s="3" t="s">
        <v>1120</v>
      </c>
      <c r="AUU1" s="3" t="s">
        <v>2390</v>
      </c>
      <c r="AUV1" s="3" t="s">
        <v>1571</v>
      </c>
      <c r="AUW1" s="3" t="s">
        <v>976</v>
      </c>
      <c r="AUX1" s="3" t="s">
        <v>1572</v>
      </c>
      <c r="AUY1" s="3" t="s">
        <v>1945</v>
      </c>
      <c r="AUZ1" s="3" t="s">
        <v>2391</v>
      </c>
      <c r="AVA1" s="3" t="s">
        <v>1909</v>
      </c>
      <c r="AVB1" s="3" t="s">
        <v>1910</v>
      </c>
      <c r="AVC1" s="3" t="s">
        <v>1827</v>
      </c>
      <c r="AVD1" s="32" t="s">
        <v>578</v>
      </c>
      <c r="AVE1" s="3" t="s">
        <v>1573</v>
      </c>
      <c r="AVF1" s="3" t="s">
        <v>610</v>
      </c>
      <c r="AVG1" s="3" t="s">
        <v>1574</v>
      </c>
      <c r="AVH1" s="3" t="s">
        <v>981</v>
      </c>
      <c r="AVI1" s="3" t="s">
        <v>1031</v>
      </c>
      <c r="AVJ1" s="3" t="s">
        <v>1575</v>
      </c>
      <c r="AVK1" s="3" t="s">
        <v>1032</v>
      </c>
      <c r="AVL1" s="3" t="s">
        <v>1576</v>
      </c>
      <c r="AVM1" s="3" t="s">
        <v>2515</v>
      </c>
      <c r="AVN1" s="3" t="s">
        <v>1274</v>
      </c>
      <c r="AVO1" s="3" t="s">
        <v>977</v>
      </c>
      <c r="AVP1" s="3" t="s">
        <v>1577</v>
      </c>
      <c r="AVQ1" s="3" t="s">
        <v>1189</v>
      </c>
      <c r="AVR1" s="3" t="s">
        <v>1578</v>
      </c>
      <c r="AVS1" s="3" t="s">
        <v>1579</v>
      </c>
      <c r="AVT1" s="3" t="s">
        <v>1039</v>
      </c>
      <c r="AVU1" s="3" t="s">
        <v>1949</v>
      </c>
      <c r="AVV1" s="3" t="s">
        <v>1798</v>
      </c>
      <c r="AVW1" s="3" t="s">
        <v>1917</v>
      </c>
      <c r="AVX1" s="3" t="s">
        <v>1918</v>
      </c>
      <c r="AVY1" s="3" t="s">
        <v>557</v>
      </c>
      <c r="AVZ1" s="32" t="s">
        <v>982</v>
      </c>
      <c r="AWA1" s="3" t="s">
        <v>1580</v>
      </c>
      <c r="AWB1" s="3" t="s">
        <v>1824</v>
      </c>
      <c r="AWC1" s="3" t="s">
        <v>1040</v>
      </c>
      <c r="AWD1" s="3" t="s">
        <v>1581</v>
      </c>
      <c r="AWE1" s="3" t="s">
        <v>1162</v>
      </c>
      <c r="AWF1" s="3" t="s">
        <v>1163</v>
      </c>
      <c r="AWG1" s="3" t="s">
        <v>1582</v>
      </c>
      <c r="AWH1" s="3" t="s">
        <v>1583</v>
      </c>
      <c r="AWI1" s="3" t="s">
        <v>1845</v>
      </c>
      <c r="AWJ1" s="3" t="s">
        <v>1846</v>
      </c>
      <c r="AWK1" s="3" t="s">
        <v>763</v>
      </c>
      <c r="AWL1" s="3" t="s">
        <v>2361</v>
      </c>
      <c r="AWM1" s="3" t="s">
        <v>1584</v>
      </c>
      <c r="AWN1" s="32" t="s">
        <v>57</v>
      </c>
      <c r="AWO1" s="3" t="s">
        <v>2362</v>
      </c>
      <c r="AWP1" s="3" t="s">
        <v>2191</v>
      </c>
      <c r="AWQ1" s="3" t="s">
        <v>1225</v>
      </c>
      <c r="AWR1" s="3" t="s">
        <v>108</v>
      </c>
      <c r="AWS1" s="3" t="s">
        <v>1226</v>
      </c>
      <c r="AWT1" s="3" t="s">
        <v>1585</v>
      </c>
      <c r="AWU1" s="3" t="s">
        <v>2035</v>
      </c>
      <c r="AWV1" s="3" t="s">
        <v>644</v>
      </c>
      <c r="AWW1" s="3" t="s">
        <v>1293</v>
      </c>
      <c r="AWX1" s="3" t="s">
        <v>1586</v>
      </c>
      <c r="AWY1" s="3" t="s">
        <v>2106</v>
      </c>
      <c r="AWZ1" s="3" t="s">
        <v>643</v>
      </c>
      <c r="AXA1" s="3" t="s">
        <v>2287</v>
      </c>
      <c r="AXB1" s="3" t="s">
        <v>2288</v>
      </c>
      <c r="AXC1" s="3" t="s">
        <v>1587</v>
      </c>
      <c r="AXD1" s="3" t="s">
        <v>885</v>
      </c>
      <c r="AXE1" s="32" t="s">
        <v>884</v>
      </c>
      <c r="AXF1" s="3" t="s">
        <v>886</v>
      </c>
      <c r="AXG1" s="32" t="s">
        <v>109</v>
      </c>
      <c r="AXH1" s="3" t="s">
        <v>110</v>
      </c>
      <c r="AXI1" s="3" t="s">
        <v>888</v>
      </c>
      <c r="AXJ1" s="32" t="s">
        <v>889</v>
      </c>
      <c r="AXK1" s="3" t="s">
        <v>890</v>
      </c>
      <c r="AXL1" s="3" t="s">
        <v>559</v>
      </c>
      <c r="AXM1" s="32" t="s">
        <v>913</v>
      </c>
      <c r="AXN1" s="3" t="s">
        <v>566</v>
      </c>
      <c r="AXO1" s="3" t="s">
        <v>567</v>
      </c>
      <c r="AXP1" s="3" t="s">
        <v>914</v>
      </c>
      <c r="AXQ1" s="3" t="s">
        <v>915</v>
      </c>
      <c r="AXR1" s="3" t="s">
        <v>568</v>
      </c>
      <c r="AXS1" s="3" t="s">
        <v>916</v>
      </c>
      <c r="AXT1" s="3" t="s">
        <v>1229</v>
      </c>
      <c r="AXU1" s="3" t="s">
        <v>917</v>
      </c>
      <c r="AXV1" s="3" t="s">
        <v>1589</v>
      </c>
      <c r="AXW1" s="32" t="s">
        <v>1588</v>
      </c>
      <c r="AXX1" s="3" t="s">
        <v>934</v>
      </c>
      <c r="AXY1" s="3" t="s">
        <v>935</v>
      </c>
      <c r="AXZ1" s="3" t="s">
        <v>1590</v>
      </c>
      <c r="AYA1" s="3" t="s">
        <v>936</v>
      </c>
      <c r="AYB1" s="3" t="s">
        <v>1591</v>
      </c>
      <c r="AYC1" s="32" t="s">
        <v>925</v>
      </c>
      <c r="AYD1" s="3" t="s">
        <v>926</v>
      </c>
      <c r="AYE1" s="3" t="s">
        <v>927</v>
      </c>
      <c r="AYF1" s="3" t="s">
        <v>930</v>
      </c>
      <c r="AYG1" s="3" t="s">
        <v>931</v>
      </c>
      <c r="AYH1" s="3" t="s">
        <v>1592</v>
      </c>
      <c r="AYI1" s="3" t="s">
        <v>932</v>
      </c>
      <c r="AYJ1" s="3" t="s">
        <v>933</v>
      </c>
      <c r="AYK1" s="3" t="s">
        <v>928</v>
      </c>
      <c r="AYL1" s="32" t="s">
        <v>2176</v>
      </c>
      <c r="AYM1" s="3" t="s">
        <v>565</v>
      </c>
      <c r="AYN1" s="3" t="s">
        <v>929</v>
      </c>
      <c r="AYO1" s="3" t="s">
        <v>1593</v>
      </c>
      <c r="AYP1" s="3" t="s">
        <v>922</v>
      </c>
      <c r="AYQ1" s="32" t="s">
        <v>921</v>
      </c>
      <c r="AYR1" s="3" t="s">
        <v>920</v>
      </c>
      <c r="AYS1" s="3" t="s">
        <v>918</v>
      </c>
      <c r="AYT1" s="3" t="s">
        <v>923</v>
      </c>
      <c r="AYU1" s="3" t="s">
        <v>1594</v>
      </c>
      <c r="AYV1" s="3" t="s">
        <v>919</v>
      </c>
      <c r="AYW1" s="3" t="s">
        <v>924</v>
      </c>
      <c r="AYX1" s="3" t="s">
        <v>1595</v>
      </c>
      <c r="AYY1" s="3" t="s">
        <v>560</v>
      </c>
      <c r="AYZ1" s="32" t="s">
        <v>562</v>
      </c>
      <c r="AZA1" s="3" t="s">
        <v>563</v>
      </c>
      <c r="AZB1" s="3" t="s">
        <v>564</v>
      </c>
      <c r="AZC1" s="3" t="s">
        <v>2310</v>
      </c>
      <c r="AZD1" s="3" t="s">
        <v>1596</v>
      </c>
      <c r="AZE1" s="3" t="s">
        <v>1023</v>
      </c>
      <c r="AZF1" s="3" t="s">
        <v>1115</v>
      </c>
      <c r="AZG1" s="3" t="s">
        <v>1597</v>
      </c>
      <c r="AZH1" s="3" t="s">
        <v>1024</v>
      </c>
      <c r="AZI1" s="3" t="s">
        <v>1940</v>
      </c>
      <c r="AZJ1" s="3" t="s">
        <v>1801</v>
      </c>
      <c r="AZK1" s="3" t="s">
        <v>1598</v>
      </c>
      <c r="AZL1" s="3" t="s">
        <v>827</v>
      </c>
      <c r="AZM1" s="3" t="s">
        <v>1901</v>
      </c>
      <c r="AZN1" s="3" t="s">
        <v>1873</v>
      </c>
      <c r="AZO1" s="3" t="s">
        <v>2342</v>
      </c>
      <c r="AZP1" s="3" t="s">
        <v>1599</v>
      </c>
      <c r="AZQ1" s="3" t="s">
        <v>877</v>
      </c>
      <c r="AZR1" s="3" t="s">
        <v>638</v>
      </c>
      <c r="AZS1" s="32" t="s">
        <v>845</v>
      </c>
      <c r="AZT1" s="3" t="s">
        <v>846</v>
      </c>
      <c r="AZU1" s="3" t="s">
        <v>828</v>
      </c>
      <c r="AZV1" s="3" t="s">
        <v>869</v>
      </c>
      <c r="AZW1" s="3" t="s">
        <v>1600</v>
      </c>
      <c r="AZX1" s="3" t="s">
        <v>1055</v>
      </c>
      <c r="AZY1" s="3" t="s">
        <v>1206</v>
      </c>
      <c r="AZZ1" s="3" t="s">
        <v>1080</v>
      </c>
      <c r="BAA1" s="3" t="s">
        <v>1601</v>
      </c>
      <c r="BAB1" s="3" t="s">
        <v>1056</v>
      </c>
      <c r="BAC1" s="3" t="s">
        <v>1081</v>
      </c>
      <c r="BAD1" s="3" t="s">
        <v>850</v>
      </c>
      <c r="BAE1" s="3" t="s">
        <v>903</v>
      </c>
      <c r="BAF1" s="3" t="s">
        <v>1602</v>
      </c>
      <c r="BAG1" s="3" t="s">
        <v>1057</v>
      </c>
      <c r="BAH1" s="3" t="s">
        <v>1890</v>
      </c>
      <c r="BAI1" s="3" t="s">
        <v>1262</v>
      </c>
      <c r="BAJ1" s="3" t="s">
        <v>1603</v>
      </c>
      <c r="BAK1" s="3" t="s">
        <v>1263</v>
      </c>
      <c r="BAL1" s="3" t="s">
        <v>2102</v>
      </c>
      <c r="BAM1" s="3" t="s">
        <v>2088</v>
      </c>
      <c r="BAN1" s="3" t="s">
        <v>870</v>
      </c>
      <c r="BAO1" s="3" t="s">
        <v>1154</v>
      </c>
      <c r="BAP1" s="3" t="s">
        <v>1604</v>
      </c>
      <c r="BAQ1" s="3" t="s">
        <v>2281</v>
      </c>
      <c r="BAR1" s="3" t="s">
        <v>1000</v>
      </c>
      <c r="BAS1" s="3" t="s">
        <v>1006</v>
      </c>
      <c r="BAT1" s="3" t="s">
        <v>1155</v>
      </c>
      <c r="BAU1" s="3" t="s">
        <v>2301</v>
      </c>
      <c r="BAV1" s="3" t="s">
        <v>1605</v>
      </c>
      <c r="BAW1" s="3" t="s">
        <v>1119</v>
      </c>
      <c r="BAX1" s="3" t="s">
        <v>1606</v>
      </c>
      <c r="BAY1" s="3" t="s">
        <v>1607</v>
      </c>
      <c r="BAZ1" s="3" t="s">
        <v>1025</v>
      </c>
      <c r="BBA1" s="3" t="s">
        <v>1941</v>
      </c>
      <c r="BBB1" s="3" t="s">
        <v>1802</v>
      </c>
      <c r="BBC1" s="3" t="s">
        <v>1781</v>
      </c>
      <c r="BBD1" s="3" t="s">
        <v>1874</v>
      </c>
      <c r="BBE1" s="3" t="s">
        <v>1902</v>
      </c>
      <c r="BBF1" s="3" t="s">
        <v>1903</v>
      </c>
      <c r="BBG1" s="3" t="s">
        <v>2343</v>
      </c>
      <c r="BBH1" s="3" t="s">
        <v>1976</v>
      </c>
      <c r="BBI1" s="3" t="s">
        <v>2344</v>
      </c>
      <c r="BBJ1" s="3" t="s">
        <v>574</v>
      </c>
      <c r="BBK1" s="32" t="s">
        <v>871</v>
      </c>
      <c r="BBL1" s="3" t="s">
        <v>1082</v>
      </c>
      <c r="BBM1" s="3" t="s">
        <v>1823</v>
      </c>
      <c r="BBN1" s="3" t="s">
        <v>1058</v>
      </c>
      <c r="BBO1" s="3" t="s">
        <v>1608</v>
      </c>
      <c r="BBP1" s="3" t="s">
        <v>1148</v>
      </c>
      <c r="BBQ1" s="3" t="s">
        <v>2193</v>
      </c>
      <c r="BBR1" s="3" t="s">
        <v>1026</v>
      </c>
      <c r="BBS1" s="3" t="s">
        <v>1609</v>
      </c>
      <c r="BBT1" s="3" t="s">
        <v>1083</v>
      </c>
      <c r="BBU1" s="3" t="s">
        <v>1059</v>
      </c>
      <c r="BBV1" s="3" t="s">
        <v>1027</v>
      </c>
      <c r="BBW1" s="3" t="s">
        <v>1610</v>
      </c>
      <c r="BBX1" s="3" t="s">
        <v>1264</v>
      </c>
      <c r="BBY1" s="3" t="s">
        <v>1265</v>
      </c>
      <c r="BBZ1" s="3" t="s">
        <v>2092</v>
      </c>
      <c r="BCA1" s="3" t="s">
        <v>1611</v>
      </c>
      <c r="BCB1" s="3" t="s">
        <v>2278</v>
      </c>
      <c r="BCC1" s="3" t="s">
        <v>1185</v>
      </c>
      <c r="BCD1" s="3" t="s">
        <v>1186</v>
      </c>
      <c r="BCE1" s="3" t="s">
        <v>1612</v>
      </c>
      <c r="BCF1" s="3" t="s">
        <v>1613</v>
      </c>
      <c r="BCG1" s="3" t="s">
        <v>1028</v>
      </c>
      <c r="BCH1" s="3" t="s">
        <v>1942</v>
      </c>
      <c r="BCI1" s="3" t="s">
        <v>1803</v>
      </c>
      <c r="BCJ1" s="3" t="s">
        <v>1875</v>
      </c>
      <c r="BCK1" s="3" t="s">
        <v>1904</v>
      </c>
      <c r="BCL1" s="3" t="s">
        <v>1905</v>
      </c>
      <c r="BCM1" s="3" t="s">
        <v>2345</v>
      </c>
      <c r="BCN1" s="3" t="s">
        <v>1977</v>
      </c>
      <c r="BCO1" s="3" t="s">
        <v>2346</v>
      </c>
      <c r="BCP1" s="3" t="s">
        <v>575</v>
      </c>
      <c r="BCQ1" s="32" t="s">
        <v>1060</v>
      </c>
      <c r="BCR1" s="3" t="s">
        <v>937</v>
      </c>
      <c r="BCS1" s="3" t="s">
        <v>938</v>
      </c>
      <c r="BCT1" s="3" t="s">
        <v>1061</v>
      </c>
      <c r="BCU1" s="3" t="s">
        <v>1614</v>
      </c>
      <c r="BCV1" s="3" t="s">
        <v>1207</v>
      </c>
      <c r="BCW1" s="3" t="s">
        <v>2194</v>
      </c>
      <c r="BCX1" s="3" t="s">
        <v>939</v>
      </c>
      <c r="BCY1" s="3" t="s">
        <v>940</v>
      </c>
      <c r="BCZ1" s="3" t="s">
        <v>1615</v>
      </c>
      <c r="BDA1" s="3" t="s">
        <v>941</v>
      </c>
      <c r="BDB1" s="3" t="s">
        <v>942</v>
      </c>
      <c r="BDC1" s="3" t="s">
        <v>1062</v>
      </c>
      <c r="BDD1" s="3" t="s">
        <v>2090</v>
      </c>
      <c r="BDE1" s="3" t="s">
        <v>1616</v>
      </c>
      <c r="BDF1" s="3" t="s">
        <v>1180</v>
      </c>
      <c r="BDG1" s="3" t="s">
        <v>1181</v>
      </c>
      <c r="BDH1" s="3" t="s">
        <v>1617</v>
      </c>
      <c r="BDI1" s="3" t="s">
        <v>1618</v>
      </c>
      <c r="BDJ1" s="3" t="s">
        <v>1029</v>
      </c>
      <c r="BDK1" s="3" t="s">
        <v>1943</v>
      </c>
      <c r="BDL1" s="3" t="s">
        <v>1804</v>
      </c>
      <c r="BDM1" s="3" t="s">
        <v>1876</v>
      </c>
      <c r="BDN1" s="3" t="s">
        <v>1906</v>
      </c>
      <c r="BDO1" s="3" t="s">
        <v>1907</v>
      </c>
      <c r="BDP1" s="3" t="s">
        <v>2347</v>
      </c>
      <c r="BDQ1" s="3" t="s">
        <v>2348</v>
      </c>
      <c r="BDR1" s="3" t="s">
        <v>2349</v>
      </c>
      <c r="BDS1" s="3" t="s">
        <v>639</v>
      </c>
      <c r="BDT1" s="32" t="s">
        <v>872</v>
      </c>
      <c r="BDU1" s="3" t="s">
        <v>943</v>
      </c>
      <c r="BDV1" s="3" t="s">
        <v>944</v>
      </c>
      <c r="BDW1" s="3" t="s">
        <v>1063</v>
      </c>
      <c r="BDX1" s="3" t="s">
        <v>1619</v>
      </c>
      <c r="BDY1" s="3" t="s">
        <v>1208</v>
      </c>
      <c r="BDZ1" s="3" t="s">
        <v>2195</v>
      </c>
      <c r="BEA1" s="3" t="s">
        <v>945</v>
      </c>
      <c r="BEB1" s="3" t="s">
        <v>946</v>
      </c>
      <c r="BEC1" s="3" t="s">
        <v>1620</v>
      </c>
      <c r="BED1" s="3" t="s">
        <v>947</v>
      </c>
      <c r="BEE1" s="3" t="s">
        <v>948</v>
      </c>
      <c r="BEF1" s="3" t="s">
        <v>1064</v>
      </c>
      <c r="BEG1" s="3" t="s">
        <v>1621</v>
      </c>
      <c r="BEH1" s="3" t="s">
        <v>2091</v>
      </c>
      <c r="BEI1" s="3" t="s">
        <v>1182</v>
      </c>
      <c r="BEJ1" s="3" t="s">
        <v>1183</v>
      </c>
      <c r="BEK1" s="3" t="s">
        <v>1184</v>
      </c>
      <c r="BEL1" s="3" t="s">
        <v>1622</v>
      </c>
      <c r="BEM1" s="3" t="s">
        <v>1806</v>
      </c>
      <c r="BEN1" s="3" t="s">
        <v>576</v>
      </c>
      <c r="BEO1" s="32" t="s">
        <v>774</v>
      </c>
      <c r="BEP1" s="3" t="s">
        <v>775</v>
      </c>
      <c r="BEQ1" s="3" t="s">
        <v>2510</v>
      </c>
      <c r="BER1" s="3" t="s">
        <v>614</v>
      </c>
      <c r="BES1" s="3" t="s">
        <v>615</v>
      </c>
      <c r="BET1" s="4" t="s">
        <v>616</v>
      </c>
      <c r="BEU1" s="4" t="s">
        <v>629</v>
      </c>
      <c r="BEV1" s="3" t="s">
        <v>628</v>
      </c>
      <c r="BEW1" s="3" t="s">
        <v>617</v>
      </c>
      <c r="BEX1" s="3" t="s">
        <v>618</v>
      </c>
      <c r="BEY1" s="3" t="s">
        <v>619</v>
      </c>
      <c r="BEZ1" s="3" t="s">
        <v>620</v>
      </c>
      <c r="BFA1" s="3" t="s">
        <v>604</v>
      </c>
      <c r="BFB1" s="3" t="s">
        <v>621</v>
      </c>
      <c r="BFC1" s="3" t="s">
        <v>622</v>
      </c>
      <c r="BFD1" s="3" t="s">
        <v>630</v>
      </c>
      <c r="BFE1" s="3" t="s">
        <v>623</v>
      </c>
      <c r="BFF1" s="3" t="s">
        <v>624</v>
      </c>
      <c r="BFG1" s="3" t="s">
        <v>625</v>
      </c>
      <c r="BFH1" s="3" t="s">
        <v>626</v>
      </c>
      <c r="BFI1" s="3" t="s">
        <v>627</v>
      </c>
      <c r="BFJ1" s="3" t="s">
        <v>612</v>
      </c>
      <c r="BFK1" s="3" t="s">
        <v>613</v>
      </c>
      <c r="BFL1" s="3" t="s">
        <v>197</v>
      </c>
      <c r="BFM1" s="3" t="s">
        <v>611</v>
      </c>
      <c r="BFN1" s="3" t="s">
        <v>606</v>
      </c>
      <c r="BFO1" s="3" t="s">
        <v>605</v>
      </c>
      <c r="BFP1" s="3" t="s">
        <v>1808</v>
      </c>
      <c r="BFQ1" s="3" t="s">
        <v>1623</v>
      </c>
      <c r="BFR1" s="3" t="s">
        <v>1835</v>
      </c>
      <c r="BFS1" s="3" t="s">
        <v>1836</v>
      </c>
      <c r="BFT1" s="3" t="s">
        <v>1837</v>
      </c>
      <c r="BFU1" s="3" t="s">
        <v>1236</v>
      </c>
      <c r="BFV1" s="3" t="s">
        <v>1974</v>
      </c>
      <c r="BFW1" s="3" t="s">
        <v>2317</v>
      </c>
      <c r="BFX1" s="3" t="s">
        <v>1001</v>
      </c>
      <c r="BFY1" s="32" t="s">
        <v>854</v>
      </c>
      <c r="BFZ1" s="3" t="s">
        <v>907</v>
      </c>
      <c r="BGA1" s="3" t="s">
        <v>864</v>
      </c>
      <c r="BGB1" s="3" t="s">
        <v>1068</v>
      </c>
      <c r="BGC1" s="3" t="s">
        <v>1624</v>
      </c>
      <c r="BGD1" s="3" t="s">
        <v>825</v>
      </c>
      <c r="BGE1" s="3" t="s">
        <v>1223</v>
      </c>
      <c r="BGF1" s="3" t="s">
        <v>1625</v>
      </c>
      <c r="BGG1" s="3" t="s">
        <v>1100</v>
      </c>
      <c r="BGH1" s="3" t="s">
        <v>1101</v>
      </c>
      <c r="BGI1" s="3" t="s">
        <v>1102</v>
      </c>
      <c r="BGJ1" s="3" t="s">
        <v>1764</v>
      </c>
      <c r="BGK1" s="3" t="s">
        <v>1765</v>
      </c>
      <c r="BGL1" s="3" t="s">
        <v>2366</v>
      </c>
      <c r="BGM1" s="3" t="s">
        <v>908</v>
      </c>
      <c r="BGN1" s="3" t="s">
        <v>1626</v>
      </c>
      <c r="BGO1" s="3" t="s">
        <v>2174</v>
      </c>
      <c r="BGP1" s="3" t="s">
        <v>855</v>
      </c>
      <c r="BGQ1" s="3" t="s">
        <v>998</v>
      </c>
      <c r="BGR1" s="3" t="s">
        <v>1766</v>
      </c>
      <c r="BGS1" s="3" t="s">
        <v>2273</v>
      </c>
      <c r="BGT1" s="3" t="s">
        <v>1627</v>
      </c>
      <c r="BGU1" s="3" t="s">
        <v>1957</v>
      </c>
      <c r="BGV1" s="3" t="s">
        <v>1809</v>
      </c>
      <c r="BGW1" s="3" t="s">
        <v>1628</v>
      </c>
      <c r="BGX1" s="3" t="s">
        <v>1838</v>
      </c>
      <c r="BGY1" s="3" t="s">
        <v>1839</v>
      </c>
      <c r="BGZ1" s="3" t="s">
        <v>1840</v>
      </c>
      <c r="BHA1" s="3" t="s">
        <v>1235</v>
      </c>
      <c r="BHB1" s="3" t="s">
        <v>1973</v>
      </c>
      <c r="BHC1" s="3" t="s">
        <v>2318</v>
      </c>
      <c r="BHD1" s="3" t="s">
        <v>1634</v>
      </c>
      <c r="BHE1" s="32" t="s">
        <v>856</v>
      </c>
      <c r="BHF1" s="3" t="s">
        <v>1629</v>
      </c>
      <c r="BHG1" s="3" t="s">
        <v>1630</v>
      </c>
      <c r="BHH1" s="3" t="s">
        <v>1069</v>
      </c>
      <c r="BHI1" s="3" t="s">
        <v>1635</v>
      </c>
      <c r="BHJ1" s="3" t="s">
        <v>1631</v>
      </c>
      <c r="BHK1" s="3" t="s">
        <v>1224</v>
      </c>
      <c r="BHL1" s="3" t="s">
        <v>1103</v>
      </c>
      <c r="BHM1" s="3" t="s">
        <v>1104</v>
      </c>
      <c r="BHN1" s="3" t="s">
        <v>1632</v>
      </c>
      <c r="BHO1" s="3" t="s">
        <v>1105</v>
      </c>
      <c r="BHP1" s="3" t="s">
        <v>1761</v>
      </c>
      <c r="BHQ1" s="3" t="s">
        <v>1762</v>
      </c>
      <c r="BHR1" s="3" t="s">
        <v>2367</v>
      </c>
      <c r="BHS1" s="3" t="s">
        <v>906</v>
      </c>
      <c r="BHT1" s="3" t="s">
        <v>2173</v>
      </c>
      <c r="BHU1" s="3" t="s">
        <v>857</v>
      </c>
      <c r="BHV1" s="3" t="s">
        <v>1763</v>
      </c>
      <c r="BHW1" s="3" t="s">
        <v>2274</v>
      </c>
      <c r="BHX1" s="3" t="s">
        <v>1633</v>
      </c>
      <c r="BHY1" s="3" t="s">
        <v>1958</v>
      </c>
      <c r="BHZ1" s="3" t="s">
        <v>1810</v>
      </c>
      <c r="BIA1" s="3" t="s">
        <v>1841</v>
      </c>
      <c r="BIB1" s="3" t="s">
        <v>1842</v>
      </c>
      <c r="BIC1" s="3" t="s">
        <v>1843</v>
      </c>
      <c r="BID1" s="3" t="s">
        <v>1247</v>
      </c>
      <c r="BIE1" s="3" t="s">
        <v>2141</v>
      </c>
      <c r="BIF1" s="3" t="s">
        <v>2319</v>
      </c>
      <c r="BIG1" s="3" t="s">
        <v>1237</v>
      </c>
      <c r="BIH1" s="32" t="s">
        <v>1238</v>
      </c>
      <c r="BII1" s="3" t="s">
        <v>1239</v>
      </c>
      <c r="BIJ1" s="3" t="s">
        <v>1240</v>
      </c>
      <c r="BIK1" s="3" t="s">
        <v>1241</v>
      </c>
      <c r="BIL1" s="3" t="s">
        <v>1636</v>
      </c>
      <c r="BIM1" s="3" t="s">
        <v>1242</v>
      </c>
      <c r="BIN1" s="3" t="s">
        <v>1243</v>
      </c>
      <c r="BIO1" s="3" t="s">
        <v>2458</v>
      </c>
      <c r="BIP1" s="3" t="s">
        <v>1244</v>
      </c>
      <c r="BIQ1" s="3" t="s">
        <v>1637</v>
      </c>
      <c r="BIR1" s="3" t="s">
        <v>2099</v>
      </c>
      <c r="BIS1" s="3" t="s">
        <v>1245</v>
      </c>
      <c r="BIT1" s="3" t="s">
        <v>2175</v>
      </c>
      <c r="BIU1" s="3" t="s">
        <v>1246</v>
      </c>
      <c r="BIV1" s="3" t="s">
        <v>2100</v>
      </c>
      <c r="BIW1" s="3" t="s">
        <v>2275</v>
      </c>
      <c r="BIX1" s="3" t="s">
        <v>1811</v>
      </c>
      <c r="BIY1" s="3" t="s">
        <v>1844</v>
      </c>
      <c r="BIZ1" s="3" t="s">
        <v>2320</v>
      </c>
      <c r="BJA1" s="3" t="s">
        <v>2321</v>
      </c>
      <c r="BJB1" s="3" t="s">
        <v>1638</v>
      </c>
      <c r="BJC1" s="32" t="s">
        <v>1202</v>
      </c>
      <c r="BJD1" s="3" t="s">
        <v>2322</v>
      </c>
      <c r="BJE1" s="3" t="s">
        <v>1639</v>
      </c>
      <c r="BJF1" s="3" t="s">
        <v>1822</v>
      </c>
      <c r="BJG1" s="3" t="s">
        <v>2326</v>
      </c>
      <c r="BJH1" s="3" t="s">
        <v>2327</v>
      </c>
      <c r="BJI1" s="3" t="s">
        <v>1828</v>
      </c>
      <c r="BJJ1" s="32" t="s">
        <v>858</v>
      </c>
      <c r="BJK1" s="3" t="s">
        <v>1981</v>
      </c>
      <c r="BJL1" s="3" t="s">
        <v>859</v>
      </c>
      <c r="BJM1" s="3" t="s">
        <v>2101</v>
      </c>
      <c r="BJN1" s="3" t="s">
        <v>1821</v>
      </c>
      <c r="BJO1" s="3" t="s">
        <v>766</v>
      </c>
      <c r="BJP1" s="32" t="s">
        <v>765</v>
      </c>
      <c r="BJQ1" s="3" t="s">
        <v>1640</v>
      </c>
      <c r="BJR1" s="3" t="s">
        <v>2315</v>
      </c>
      <c r="BJS1" s="3" t="s">
        <v>1281</v>
      </c>
      <c r="BJT1" s="3" t="s">
        <v>1641</v>
      </c>
      <c r="BJU1" s="3" t="s">
        <v>2089</v>
      </c>
      <c r="BJV1" s="3" t="s">
        <v>1282</v>
      </c>
      <c r="BJW1" s="3" t="s">
        <v>2066</v>
      </c>
      <c r="BJX1" s="3" t="s">
        <v>2067</v>
      </c>
      <c r="BJY1" s="3" t="s">
        <v>1968</v>
      </c>
      <c r="BJZ1" s="3" t="s">
        <v>1937</v>
      </c>
      <c r="BKA1" s="3" t="s">
        <v>658</v>
      </c>
      <c r="BKB1" s="32" t="s">
        <v>1969</v>
      </c>
      <c r="BKC1" s="3" t="s">
        <v>1227</v>
      </c>
      <c r="BKD1" s="3" t="s">
        <v>1201</v>
      </c>
      <c r="BKE1" s="3" t="s">
        <v>2448</v>
      </c>
      <c r="BKF1" s="3" t="s">
        <v>2449</v>
      </c>
      <c r="BKG1" s="3" t="s">
        <v>767</v>
      </c>
      <c r="BKH1" s="3" t="s">
        <v>1642</v>
      </c>
      <c r="BKI1" s="3" t="s">
        <v>246</v>
      </c>
      <c r="BKJ1" s="3" t="s">
        <v>247</v>
      </c>
      <c r="BKK1" s="3" t="s">
        <v>248</v>
      </c>
      <c r="BKL1" s="3" t="s">
        <v>117</v>
      </c>
      <c r="BKM1" s="3" t="s">
        <v>586</v>
      </c>
      <c r="BKN1" s="3" t="s">
        <v>569</v>
      </c>
      <c r="BKO1" s="32" t="s">
        <v>558</v>
      </c>
      <c r="BKP1" s="3" t="s">
        <v>118</v>
      </c>
      <c r="BKQ1" s="3" t="s">
        <v>119</v>
      </c>
      <c r="BKR1" s="3" t="s">
        <v>584</v>
      </c>
      <c r="BKS1" s="3" t="s">
        <v>910</v>
      </c>
      <c r="BKT1" s="32" t="s">
        <v>911</v>
      </c>
      <c r="BKU1" s="3" t="s">
        <v>912</v>
      </c>
      <c r="BKV1" s="3" t="s">
        <v>1643</v>
      </c>
      <c r="BKW1" s="3" t="s">
        <v>2314</v>
      </c>
      <c r="BKX1" s="3" t="s">
        <v>1813</v>
      </c>
      <c r="BKY1" s="3" t="s">
        <v>1833</v>
      </c>
      <c r="BKZ1" s="3" t="s">
        <v>1928</v>
      </c>
      <c r="BLA1" s="3" t="s">
        <v>2334</v>
      </c>
      <c r="BLB1" s="3" t="s">
        <v>1978</v>
      </c>
      <c r="BLC1" s="3" t="s">
        <v>2335</v>
      </c>
      <c r="BLD1" s="3" t="s">
        <v>635</v>
      </c>
      <c r="BLE1" s="32" t="s">
        <v>904</v>
      </c>
      <c r="BLF1" s="3" t="s">
        <v>1051</v>
      </c>
      <c r="BLG1" s="3" t="s">
        <v>905</v>
      </c>
      <c r="BLH1" s="3" t="s">
        <v>1070</v>
      </c>
      <c r="BLI1" s="3" t="s">
        <v>1644</v>
      </c>
      <c r="BLJ1" s="3" t="s">
        <v>1212</v>
      </c>
      <c r="BLK1" s="3" t="s">
        <v>1213</v>
      </c>
      <c r="BLL1" s="3" t="s">
        <v>2368</v>
      </c>
      <c r="BLM1" s="3" t="s">
        <v>1214</v>
      </c>
      <c r="BLN1" s="3" t="s">
        <v>1645</v>
      </c>
      <c r="BLO1" s="3" t="s">
        <v>1215</v>
      </c>
      <c r="BLP1" s="3" t="s">
        <v>1216</v>
      </c>
      <c r="BLQ1" s="3" t="s">
        <v>1217</v>
      </c>
      <c r="BLR1" s="3" t="s">
        <v>645</v>
      </c>
      <c r="BLS1" s="3" t="s">
        <v>1646</v>
      </c>
      <c r="BLT1" s="3" t="s">
        <v>1218</v>
      </c>
      <c r="BLU1" s="3" t="s">
        <v>1219</v>
      </c>
      <c r="BLV1" s="3" t="s">
        <v>2081</v>
      </c>
      <c r="BLW1" s="3" t="s">
        <v>2082</v>
      </c>
      <c r="BLX1" s="3" t="s">
        <v>1647</v>
      </c>
      <c r="BLY1" s="3" t="s">
        <v>2083</v>
      </c>
      <c r="BLZ1" s="3" t="s">
        <v>1788</v>
      </c>
      <c r="BMA1" s="32" t="s">
        <v>1787</v>
      </c>
      <c r="BMB1" s="3" t="s">
        <v>1791</v>
      </c>
      <c r="BMC1" s="3" t="s">
        <v>2385</v>
      </c>
      <c r="BMD1" s="3" t="s">
        <v>2386</v>
      </c>
      <c r="BME1" s="3" t="s">
        <v>2387</v>
      </c>
      <c r="BMF1" s="3" t="s">
        <v>1834</v>
      </c>
      <c r="BMG1" s="3" t="s">
        <v>1790</v>
      </c>
      <c r="BMH1" s="32" t="s">
        <v>1789</v>
      </c>
      <c r="BMI1" s="3" t="s">
        <v>1792</v>
      </c>
      <c r="BMJ1" s="3" t="s">
        <v>1893</v>
      </c>
      <c r="BMK1" s="3" t="s">
        <v>120</v>
      </c>
      <c r="BML1" s="3" t="s">
        <v>1860</v>
      </c>
      <c r="BMM1" s="3" t="s">
        <v>2323</v>
      </c>
      <c r="BMN1" s="3" t="s">
        <v>2324</v>
      </c>
      <c r="BMO1" s="3" t="s">
        <v>1859</v>
      </c>
      <c r="BMP1" s="32" t="s">
        <v>1858</v>
      </c>
      <c r="BMQ1" s="3" t="s">
        <v>2325</v>
      </c>
      <c r="BMR1" s="4" t="s">
        <v>2144</v>
      </c>
      <c r="BMS1" s="33" t="s">
        <v>2143</v>
      </c>
      <c r="BMT1" s="4" t="s">
        <v>121</v>
      </c>
      <c r="BMU1" s="4" t="s">
        <v>636</v>
      </c>
      <c r="BMV1" s="4" t="s">
        <v>1832</v>
      </c>
      <c r="BMW1" s="4" t="s">
        <v>1831</v>
      </c>
      <c r="BMX1" s="4" t="s">
        <v>631</v>
      </c>
      <c r="BMY1" s="4" t="s">
        <v>633</v>
      </c>
      <c r="BMZ1" s="4" t="s">
        <v>634</v>
      </c>
      <c r="BNA1" s="30" t="s">
        <v>66</v>
      </c>
      <c r="BNB1" s="30" t="s">
        <v>591</v>
      </c>
      <c r="BNC1" s="30" t="s">
        <v>596</v>
      </c>
      <c r="BND1" s="30" t="s">
        <v>556</v>
      </c>
      <c r="BNE1" s="30" t="s">
        <v>594</v>
      </c>
      <c r="BNF1" s="30" t="s">
        <v>602</v>
      </c>
      <c r="BNG1" s="30" t="s">
        <v>603</v>
      </c>
      <c r="BNH1" s="30" t="s">
        <v>651</v>
      </c>
      <c r="BNI1" s="30" t="s">
        <v>652</v>
      </c>
      <c r="BNJ1" s="30" t="s">
        <v>597</v>
      </c>
      <c r="BNK1" s="30" t="s">
        <v>593</v>
      </c>
      <c r="BNL1" s="30" t="s">
        <v>637</v>
      </c>
      <c r="BNM1" s="30" t="s">
        <v>2304</v>
      </c>
      <c r="BNN1" s="30" t="s">
        <v>2376</v>
      </c>
      <c r="BNO1" s="30" t="s">
        <v>592</v>
      </c>
      <c r="BNP1" s="30" t="s">
        <v>2377</v>
      </c>
      <c r="BNQ1" s="30" t="s">
        <v>649</v>
      </c>
      <c r="BNR1" s="30" t="s">
        <v>650</v>
      </c>
      <c r="BNS1" s="30" t="s">
        <v>642</v>
      </c>
      <c r="BNT1" s="30" t="s">
        <v>653</v>
      </c>
      <c r="BNU1" s="31" t="s">
        <v>589</v>
      </c>
      <c r="BNV1" s="31" t="s">
        <v>590</v>
      </c>
      <c r="BNW1" s="30" t="s">
        <v>599</v>
      </c>
      <c r="BNX1" s="30" t="s">
        <v>600</v>
      </c>
      <c r="BNY1" s="30" t="s">
        <v>601</v>
      </c>
      <c r="BNZ1" s="30" t="s">
        <v>598</v>
      </c>
      <c r="BOA1" s="7" t="s">
        <v>5</v>
      </c>
      <c r="BOB1" s="7" t="s">
        <v>164</v>
      </c>
      <c r="BOC1" s="7" t="s">
        <v>163</v>
      </c>
      <c r="BOD1" s="7" t="s">
        <v>6</v>
      </c>
      <c r="BOE1" s="7" t="s">
        <v>133</v>
      </c>
      <c r="BOF1" s="7" t="s">
        <v>360</v>
      </c>
      <c r="BOG1" s="7" t="s">
        <v>349</v>
      </c>
      <c r="BOH1" s="11" t="s">
        <v>429</v>
      </c>
      <c r="BOI1" s="8" t="s">
        <v>428</v>
      </c>
      <c r="BOJ1" s="8" t="s">
        <v>1696</v>
      </c>
      <c r="BOK1" s="8" t="s">
        <v>354</v>
      </c>
      <c r="BOL1" s="8" t="s">
        <v>159</v>
      </c>
      <c r="BOM1" s="8" t="s">
        <v>61</v>
      </c>
      <c r="BON1" s="8" t="s">
        <v>2242</v>
      </c>
      <c r="BOO1" s="8" t="s">
        <v>2509</v>
      </c>
      <c r="BOP1" s="8" t="s">
        <v>60</v>
      </c>
      <c r="BOQ1" s="8" t="s">
        <v>396</v>
      </c>
      <c r="BOR1" s="8" t="s">
        <v>398</v>
      </c>
      <c r="BOS1" s="8" t="s">
        <v>535</v>
      </c>
      <c r="BOT1" s="8" t="s">
        <v>2230</v>
      </c>
      <c r="BOU1" s="8" t="s">
        <v>1709</v>
      </c>
      <c r="BOV1" s="8" t="s">
        <v>2227</v>
      </c>
      <c r="BOW1" s="8" t="s">
        <v>1991</v>
      </c>
      <c r="BOX1" s="8" t="s">
        <v>363</v>
      </c>
      <c r="BOY1" s="8" t="s">
        <v>2508</v>
      </c>
      <c r="BOZ1" s="8" t="s">
        <v>2480</v>
      </c>
      <c r="BPA1" s="8" t="s">
        <v>1665</v>
      </c>
      <c r="BPB1" s="8" t="s">
        <v>161</v>
      </c>
      <c r="BPC1" s="8" t="s">
        <v>344</v>
      </c>
      <c r="BPD1" s="8" t="s">
        <v>735</v>
      </c>
      <c r="BPE1" s="8" t="s">
        <v>801</v>
      </c>
      <c r="BPF1" s="8" t="s">
        <v>2229</v>
      </c>
      <c r="BPG1" s="8" t="s">
        <v>2476</v>
      </c>
      <c r="BPH1" s="8" t="s">
        <v>2477</v>
      </c>
      <c r="BPI1" s="8" t="s">
        <v>2500</v>
      </c>
      <c r="BPJ1" s="8" t="s">
        <v>381</v>
      </c>
      <c r="BPK1" s="8" t="s">
        <v>352</v>
      </c>
      <c r="BPL1" s="8" t="s">
        <v>465</v>
      </c>
      <c r="BPM1" s="8" t="s">
        <v>2502</v>
      </c>
      <c r="BPN1" s="8" t="s">
        <v>326</v>
      </c>
      <c r="BPO1" s="8" t="s">
        <v>397</v>
      </c>
      <c r="BPP1" s="8" t="s">
        <v>725</v>
      </c>
      <c r="BPQ1" s="8" t="s">
        <v>1992</v>
      </c>
      <c r="BPR1" s="8" t="s">
        <v>1698</v>
      </c>
      <c r="BPS1" s="8" t="s">
        <v>2497</v>
      </c>
      <c r="BPT1" s="8" t="s">
        <v>2204</v>
      </c>
      <c r="BPU1" s="8" t="s">
        <v>2013</v>
      </c>
      <c r="BPV1" s="8" t="s">
        <v>1702</v>
      </c>
      <c r="BPW1" s="8" t="s">
        <v>1993</v>
      </c>
      <c r="BPX1" s="8" t="s">
        <v>690</v>
      </c>
      <c r="BPY1" s="8" t="s">
        <v>1995</v>
      </c>
      <c r="BPZ1" s="8" t="s">
        <v>1676</v>
      </c>
      <c r="BQA1" s="8" t="s">
        <v>2214</v>
      </c>
      <c r="BQB1" s="8" t="s">
        <v>341</v>
      </c>
      <c r="BQC1" s="8" t="s">
        <v>721</v>
      </c>
      <c r="BQD1" s="8" t="s">
        <v>446</v>
      </c>
      <c r="BQE1" s="8" t="s">
        <v>1699</v>
      </c>
      <c r="BQF1" s="8" t="s">
        <v>2426</v>
      </c>
      <c r="BQG1" s="8" t="s">
        <v>2234</v>
      </c>
      <c r="BQH1" s="8" t="s">
        <v>2437</v>
      </c>
      <c r="BQI1" s="8" t="s">
        <v>387</v>
      </c>
      <c r="BQJ1" s="8" t="s">
        <v>1687</v>
      </c>
      <c r="BQK1" s="8" t="s">
        <v>2233</v>
      </c>
      <c r="BQL1" s="8" t="s">
        <v>1988</v>
      </c>
      <c r="BQM1" s="8" t="s">
        <v>1705</v>
      </c>
      <c r="BQN1" s="8" t="s">
        <v>364</v>
      </c>
      <c r="BQO1" s="8" t="s">
        <v>382</v>
      </c>
      <c r="BQP1" s="8" t="s">
        <v>2438</v>
      </c>
      <c r="BQQ1" s="8" t="s">
        <v>2440</v>
      </c>
      <c r="BQR1" s="8" t="s">
        <v>2443</v>
      </c>
      <c r="BQS1" s="8" t="s">
        <v>1712</v>
      </c>
      <c r="BQT1" s="8" t="s">
        <v>1713</v>
      </c>
      <c r="BQU1" s="8" t="s">
        <v>553</v>
      </c>
      <c r="BQV1" s="8" t="s">
        <v>2436</v>
      </c>
      <c r="BQW1" s="8" t="s">
        <v>2471</v>
      </c>
      <c r="BQX1" s="8" t="s">
        <v>502</v>
      </c>
      <c r="BQY1" s="8" t="s">
        <v>805</v>
      </c>
      <c r="BQZ1" s="8" t="s">
        <v>2498</v>
      </c>
      <c r="BRA1" s="8" t="s">
        <v>2499</v>
      </c>
      <c r="BRB1" s="8" t="s">
        <v>807</v>
      </c>
      <c r="BRC1" s="8" t="s">
        <v>256</v>
      </c>
      <c r="BRD1" s="8" t="s">
        <v>264</v>
      </c>
      <c r="BRE1" s="8" t="s">
        <v>549</v>
      </c>
      <c r="BRF1" s="8" t="s">
        <v>501</v>
      </c>
      <c r="BRG1" s="8" t="s">
        <v>551</v>
      </c>
      <c r="BRH1" s="8" t="s">
        <v>399</v>
      </c>
      <c r="BRI1" s="8" t="s">
        <v>2211</v>
      </c>
      <c r="BRJ1" s="8" t="s">
        <v>2240</v>
      </c>
      <c r="BRK1" s="8" t="s">
        <v>2012</v>
      </c>
      <c r="BRL1" s="8" t="s">
        <v>713</v>
      </c>
      <c r="BRM1" s="8" t="s">
        <v>724</v>
      </c>
      <c r="BRN1" s="8" t="s">
        <v>362</v>
      </c>
      <c r="BRO1" s="8" t="s">
        <v>2225</v>
      </c>
      <c r="BRP1" s="8" t="s">
        <v>1660</v>
      </c>
      <c r="BRQ1" s="8" t="s">
        <v>1657</v>
      </c>
      <c r="BRR1" s="8" t="s">
        <v>2212</v>
      </c>
      <c r="BRS1" s="8" t="s">
        <v>442</v>
      </c>
      <c r="BRT1" s="8" t="s">
        <v>1987</v>
      </c>
      <c r="BRU1" s="8" t="s">
        <v>2425</v>
      </c>
      <c r="BRV1" s="8" t="s">
        <v>740</v>
      </c>
      <c r="BRW1" s="8" t="s">
        <v>2428</v>
      </c>
      <c r="BRX1" s="8" t="s">
        <v>338</v>
      </c>
      <c r="BRY1" s="8" t="s">
        <v>2020</v>
      </c>
      <c r="BRZ1" s="8" t="s">
        <v>2019</v>
      </c>
      <c r="BSA1" s="8" t="s">
        <v>2474</v>
      </c>
      <c r="BSB1" s="8" t="s">
        <v>350</v>
      </c>
      <c r="BSC1" s="8" t="s">
        <v>2238</v>
      </c>
      <c r="BSD1" s="8" t="s">
        <v>2009</v>
      </c>
      <c r="BSE1" s="8" t="s">
        <v>1688</v>
      </c>
      <c r="BSF1" s="8" t="s">
        <v>2224</v>
      </c>
      <c r="BSG1" s="8" t="s">
        <v>2016</v>
      </c>
      <c r="BSH1" s="8" t="s">
        <v>353</v>
      </c>
      <c r="BSI1" s="8" t="s">
        <v>668</v>
      </c>
      <c r="BSJ1" s="8" t="s">
        <v>457</v>
      </c>
      <c r="BSK1" s="8" t="s">
        <v>2479</v>
      </c>
      <c r="BSL1" s="8" t="s">
        <v>1716</v>
      </c>
      <c r="BSM1" s="8" t="s">
        <v>361</v>
      </c>
      <c r="BSN1" s="8" t="s">
        <v>2220</v>
      </c>
      <c r="BSO1" s="8" t="s">
        <v>2435</v>
      </c>
      <c r="BSP1" s="8" t="s">
        <v>337</v>
      </c>
      <c r="BSQ1" s="8" t="s">
        <v>2235</v>
      </c>
      <c r="BSR1" s="8" t="s">
        <v>353</v>
      </c>
      <c r="BSS1" s="8" t="s">
        <v>736</v>
      </c>
      <c r="BST1" s="8" t="s">
        <v>503</v>
      </c>
      <c r="BSU1" s="8" t="s">
        <v>500</v>
      </c>
      <c r="BSV1" s="8" t="s">
        <v>430</v>
      </c>
      <c r="BSW1" s="8" t="s">
        <v>2431</v>
      </c>
      <c r="BSX1" s="8" t="s">
        <v>1679</v>
      </c>
      <c r="BSY1" s="8" t="s">
        <v>2249</v>
      </c>
      <c r="BSZ1" s="8" t="s">
        <v>2018</v>
      </c>
      <c r="BTA1" s="8" t="s">
        <v>351</v>
      </c>
      <c r="BTB1" s="8" t="s">
        <v>679</v>
      </c>
      <c r="BTC1" s="8" t="s">
        <v>439</v>
      </c>
      <c r="BTD1" s="8" t="s">
        <v>2444</v>
      </c>
      <c r="BTE1" s="8" t="s">
        <v>440</v>
      </c>
      <c r="BTF1" s="8" t="s">
        <v>375</v>
      </c>
      <c r="BTG1" s="8" t="s">
        <v>2447</v>
      </c>
      <c r="BTH1" s="11" t="s">
        <v>330</v>
      </c>
      <c r="BTI1" s="11" t="s">
        <v>504</v>
      </c>
      <c r="BTJ1" s="11" t="s">
        <v>505</v>
      </c>
      <c r="BTK1" s="8" t="s">
        <v>332</v>
      </c>
      <c r="BTL1" s="8" t="s">
        <v>534</v>
      </c>
      <c r="BTM1" s="8" t="s">
        <v>2003</v>
      </c>
      <c r="BTN1" s="11" t="s">
        <v>516</v>
      </c>
      <c r="BTO1" s="11" t="s">
        <v>331</v>
      </c>
      <c r="BTP1" s="11" t="s">
        <v>689</v>
      </c>
      <c r="BTQ1" s="8" t="s">
        <v>333</v>
      </c>
      <c r="BTR1" s="8" t="s">
        <v>436</v>
      </c>
      <c r="BTS1" s="8" t="s">
        <v>371</v>
      </c>
      <c r="BTT1" s="8" t="s">
        <v>447</v>
      </c>
      <c r="BTU1" s="8" t="s">
        <v>513</v>
      </c>
      <c r="BTV1" s="8" t="s">
        <v>1671</v>
      </c>
      <c r="BTW1" s="8" t="s">
        <v>438</v>
      </c>
      <c r="BTX1" s="8" t="s">
        <v>334</v>
      </c>
      <c r="BTY1" s="8" t="s">
        <v>324</v>
      </c>
      <c r="BTZ1" s="8" t="s">
        <v>434</v>
      </c>
      <c r="BUA1" s="8" t="s">
        <v>433</v>
      </c>
      <c r="BUB1" s="8" t="s">
        <v>325</v>
      </c>
      <c r="BUC1" s="8" t="s">
        <v>737</v>
      </c>
      <c r="BUD1" s="8" t="s">
        <v>2213</v>
      </c>
      <c r="BUE1" s="8" t="s">
        <v>2022</v>
      </c>
      <c r="BUF1" s="8" t="s">
        <v>741</v>
      </c>
      <c r="BUG1" s="8" t="s">
        <v>435</v>
      </c>
      <c r="BUH1" s="8" t="s">
        <v>2422</v>
      </c>
      <c r="BUI1" s="8" t="s">
        <v>2423</v>
      </c>
      <c r="BUJ1" s="8" t="s">
        <v>448</v>
      </c>
      <c r="BUK1" s="8" t="s">
        <v>449</v>
      </c>
      <c r="BUL1" s="8" t="s">
        <v>2017</v>
      </c>
      <c r="BUM1" s="8" t="s">
        <v>506</v>
      </c>
      <c r="BUN1" s="8" t="s">
        <v>738</v>
      </c>
      <c r="BUO1" s="8" t="s">
        <v>552</v>
      </c>
      <c r="BUP1" s="8" t="s">
        <v>342</v>
      </c>
      <c r="BUQ1" s="8" t="s">
        <v>343</v>
      </c>
      <c r="BUR1" s="8" t="s">
        <v>1659</v>
      </c>
      <c r="BUS1" s="8" t="s">
        <v>339</v>
      </c>
      <c r="BUT1" s="8" t="s">
        <v>1663</v>
      </c>
      <c r="BUU1" s="8" t="s">
        <v>1666</v>
      </c>
      <c r="BUV1" s="8" t="s">
        <v>2223</v>
      </c>
      <c r="BUW1" s="8" t="s">
        <v>1668</v>
      </c>
      <c r="BUX1" s="8" t="s">
        <v>1673</v>
      </c>
      <c r="BUY1" s="8" t="s">
        <v>1717</v>
      </c>
      <c r="BUZ1" s="8" t="s">
        <v>756</v>
      </c>
      <c r="BVA1" s="8" t="s">
        <v>739</v>
      </c>
      <c r="BVB1" s="8" t="s">
        <v>1658</v>
      </c>
      <c r="BVC1" s="8" t="s">
        <v>1678</v>
      </c>
      <c r="BVD1" s="8" t="s">
        <v>1714</v>
      </c>
      <c r="BVE1" s="8" t="s">
        <v>804</v>
      </c>
      <c r="BVF1" s="8" t="s">
        <v>1704</v>
      </c>
      <c r="BVG1" s="8" t="s">
        <v>355</v>
      </c>
      <c r="BVH1" s="8" t="s">
        <v>808</v>
      </c>
      <c r="BVI1" s="8" t="s">
        <v>2442</v>
      </c>
      <c r="BVJ1" s="8" t="s">
        <v>2445</v>
      </c>
      <c r="BVK1" s="8" t="s">
        <v>804</v>
      </c>
      <c r="BVL1" s="8" t="s">
        <v>748</v>
      </c>
      <c r="BVM1" s="8" t="s">
        <v>532</v>
      </c>
      <c r="BVN1" s="8" t="s">
        <v>733</v>
      </c>
      <c r="BVO1" s="8" t="s">
        <v>806</v>
      </c>
      <c r="BVP1" s="8" t="s">
        <v>1986</v>
      </c>
      <c r="BVQ1" s="8" t="s">
        <v>512</v>
      </c>
      <c r="BVR1" s="8" t="s">
        <v>1693</v>
      </c>
      <c r="BVS1" s="8" t="s">
        <v>2496</v>
      </c>
      <c r="BVT1" s="8" t="s">
        <v>747</v>
      </c>
      <c r="BVU1" s="8" t="s">
        <v>365</v>
      </c>
      <c r="BVV1" s="8" t="s">
        <v>2446</v>
      </c>
      <c r="BVW1" s="8" t="s">
        <v>383</v>
      </c>
      <c r="BVX1" s="8" t="s">
        <v>2430</v>
      </c>
      <c r="BVY1" s="8" t="s">
        <v>682</v>
      </c>
      <c r="BVZ1" s="8" t="s">
        <v>2441</v>
      </c>
      <c r="BWA1" s="8" t="s">
        <v>384</v>
      </c>
      <c r="BWB1" s="8" t="s">
        <v>385</v>
      </c>
      <c r="BWC1" s="8" t="s">
        <v>687</v>
      </c>
      <c r="BWD1" s="8" t="s">
        <v>688</v>
      </c>
      <c r="BWE1" s="8" t="s">
        <v>401</v>
      </c>
      <c r="BWF1" s="8" t="s">
        <v>2021</v>
      </c>
      <c r="BWG1" s="8" t="s">
        <v>2024</v>
      </c>
      <c r="BWH1" s="8" t="s">
        <v>441</v>
      </c>
      <c r="BWI1" s="8" t="s">
        <v>2439</v>
      </c>
      <c r="BWJ1" s="8" t="s">
        <v>2001</v>
      </c>
      <c r="BWK1" s="8" t="s">
        <v>2010</v>
      </c>
      <c r="BWL1" s="8" t="s">
        <v>390</v>
      </c>
      <c r="BWM1" s="8" t="s">
        <v>359</v>
      </c>
      <c r="BWN1" s="11" t="s">
        <v>59</v>
      </c>
      <c r="BWO1" s="11" t="s">
        <v>205</v>
      </c>
      <c r="BWP1" s="11" t="s">
        <v>802</v>
      </c>
      <c r="BWQ1" s="8" t="s">
        <v>386</v>
      </c>
      <c r="BWR1" s="8" t="s">
        <v>388</v>
      </c>
      <c r="BWS1" s="8" t="s">
        <v>2</v>
      </c>
      <c r="BWT1" s="8" t="s">
        <v>2014</v>
      </c>
      <c r="BWU1" s="8" t="s">
        <v>1656</v>
      </c>
      <c r="BWV1" s="8" t="s">
        <v>2002</v>
      </c>
      <c r="BWW1" s="8" t="s">
        <v>677</v>
      </c>
      <c r="BWX1" s="8" t="s">
        <v>2226</v>
      </c>
      <c r="BWY1" s="8" t="s">
        <v>734</v>
      </c>
      <c r="BWZ1" s="8" t="s">
        <v>750</v>
      </c>
      <c r="BXA1" s="8" t="s">
        <v>2501</v>
      </c>
      <c r="BXB1" s="8" t="s">
        <v>2245</v>
      </c>
      <c r="BXC1" s="8" t="s">
        <v>1701</v>
      </c>
      <c r="BXD1" s="8" t="s">
        <v>1662</v>
      </c>
      <c r="BXE1" s="8" t="s">
        <v>2196</v>
      </c>
      <c r="BXF1" s="8" t="s">
        <v>1700</v>
      </c>
      <c r="BXG1" s="8" t="s">
        <v>262</v>
      </c>
      <c r="BXH1" s="8" t="s">
        <v>2424</v>
      </c>
      <c r="BXI1" s="8" t="s">
        <v>2433</v>
      </c>
      <c r="BXJ1" s="8" t="s">
        <v>540</v>
      </c>
      <c r="BXK1" s="8" t="s">
        <v>2011</v>
      </c>
      <c r="BXL1" s="8" t="s">
        <v>374</v>
      </c>
      <c r="BXM1" s="8" t="s">
        <v>1680</v>
      </c>
      <c r="BXN1" s="8" t="s">
        <v>694</v>
      </c>
      <c r="BXO1" s="8" t="s">
        <v>372</v>
      </c>
      <c r="BXP1" s="8" t="s">
        <v>1677</v>
      </c>
      <c r="BXQ1" s="8" t="s">
        <v>554</v>
      </c>
      <c r="BXR1" s="8" t="s">
        <v>681</v>
      </c>
      <c r="BXS1" s="8" t="s">
        <v>1994</v>
      </c>
      <c r="BXT1" s="8" t="s">
        <v>1706</v>
      </c>
      <c r="BXU1" s="8" t="s">
        <v>2481</v>
      </c>
      <c r="BXV1" s="8" t="s">
        <v>2472</v>
      </c>
      <c r="BXW1" s="8" t="s">
        <v>2250</v>
      </c>
      <c r="BXX1" s="8" t="s">
        <v>2473</v>
      </c>
      <c r="BXY1" s="8" t="s">
        <v>2023</v>
      </c>
      <c r="BXZ1" s="8" t="s">
        <v>2215</v>
      </c>
      <c r="BYA1" s="8" t="s">
        <v>2241</v>
      </c>
      <c r="BYB1" s="8" t="s">
        <v>1707</v>
      </c>
      <c r="BYC1" s="8" t="s">
        <v>2475</v>
      </c>
      <c r="BYD1" s="8" t="s">
        <v>2429</v>
      </c>
      <c r="BYE1" s="8" t="s">
        <v>2216</v>
      </c>
      <c r="BYF1" s="8" t="s">
        <v>1710</v>
      </c>
      <c r="BYG1" s="8" t="s">
        <v>2427</v>
      </c>
      <c r="BYH1" s="8" t="s">
        <v>2478</v>
      </c>
      <c r="BYI1" s="8" t="s">
        <v>2210</v>
      </c>
      <c r="BYJ1" s="38" t="s">
        <v>336</v>
      </c>
      <c r="BYK1" s="58" t="s">
        <v>4515</v>
      </c>
      <c r="BYL1" s="9" t="s">
        <v>4198</v>
      </c>
      <c r="BYM1" s="9" t="s">
        <v>158</v>
      </c>
      <c r="BYN1" s="9" t="s">
        <v>154</v>
      </c>
      <c r="BYO1" s="9" t="s">
        <v>155</v>
      </c>
      <c r="BYP1" s="9" t="s">
        <v>156</v>
      </c>
      <c r="BYQ1" s="9" t="s">
        <v>445</v>
      </c>
      <c r="BYR1" s="9" t="s">
        <v>356</v>
      </c>
      <c r="BYS1" s="9" t="s">
        <v>152</v>
      </c>
      <c r="BYT1" s="9" t="s">
        <v>340</v>
      </c>
      <c r="BYU1" s="9" t="s">
        <v>153</v>
      </c>
      <c r="BYV1" s="9" t="s">
        <v>414</v>
      </c>
      <c r="BYW1" s="9" t="s">
        <v>417</v>
      </c>
      <c r="BYX1" s="9" t="s">
        <v>336</v>
      </c>
      <c r="BYY1" s="9" t="s">
        <v>4515</v>
      </c>
      <c r="BYZ1" s="9" t="s">
        <v>4199</v>
      </c>
      <c r="BZA1" s="9" t="s">
        <v>158</v>
      </c>
      <c r="BZB1" s="9" t="s">
        <v>154</v>
      </c>
      <c r="BZC1" s="9" t="s">
        <v>155</v>
      </c>
      <c r="BZD1" s="9" t="s">
        <v>156</v>
      </c>
      <c r="BZE1" s="9" t="s">
        <v>356</v>
      </c>
      <c r="BZF1" s="9" t="s">
        <v>152</v>
      </c>
      <c r="BZG1" s="9" t="s">
        <v>340</v>
      </c>
      <c r="BZH1" s="9" t="s">
        <v>153</v>
      </c>
      <c r="BZI1" s="9" t="s">
        <v>414</v>
      </c>
      <c r="BZJ1" s="9" t="s">
        <v>417</v>
      </c>
      <c r="BZK1" s="9" t="s">
        <v>336</v>
      </c>
      <c r="BZL1" s="9" t="s">
        <v>4515</v>
      </c>
      <c r="BZM1" s="9" t="s">
        <v>4200</v>
      </c>
      <c r="BZN1" s="9" t="s">
        <v>158</v>
      </c>
      <c r="BZO1" s="9" t="s">
        <v>154</v>
      </c>
      <c r="BZP1" s="9" t="s">
        <v>155</v>
      </c>
      <c r="BZQ1" s="9" t="s">
        <v>156</v>
      </c>
      <c r="BZR1" s="9" t="s">
        <v>432</v>
      </c>
      <c r="BZS1" s="9" t="s">
        <v>152</v>
      </c>
      <c r="BZT1" s="9" t="s">
        <v>340</v>
      </c>
      <c r="BZU1" s="9" t="s">
        <v>153</v>
      </c>
      <c r="BZV1" s="9" t="s">
        <v>414</v>
      </c>
      <c r="BZW1" s="9" t="s">
        <v>417</v>
      </c>
      <c r="BZX1" s="9" t="s">
        <v>336</v>
      </c>
      <c r="BZY1" s="9" t="s">
        <v>157</v>
      </c>
      <c r="BZZ1" s="9" t="s">
        <v>158</v>
      </c>
      <c r="CAA1" s="9" t="s">
        <v>154</v>
      </c>
      <c r="CAB1" s="9" t="s">
        <v>155</v>
      </c>
      <c r="CAC1" s="9" t="s">
        <v>156</v>
      </c>
      <c r="CAD1" s="9" t="s">
        <v>152</v>
      </c>
      <c r="CAE1" s="9" t="s">
        <v>340</v>
      </c>
      <c r="CAF1" s="9" t="s">
        <v>153</v>
      </c>
      <c r="CAG1" s="9" t="s">
        <v>414</v>
      </c>
      <c r="CAH1" s="9" t="s">
        <v>417</v>
      </c>
      <c r="CAI1" s="9" t="s">
        <v>336</v>
      </c>
      <c r="CAJ1" s="9" t="s">
        <v>157</v>
      </c>
      <c r="CAK1" s="9" t="s">
        <v>158</v>
      </c>
      <c r="CAL1" s="9" t="s">
        <v>154</v>
      </c>
      <c r="CAM1" s="9" t="s">
        <v>155</v>
      </c>
      <c r="CAN1" s="9" t="s">
        <v>156</v>
      </c>
      <c r="CAO1" s="9" t="s">
        <v>152</v>
      </c>
      <c r="CAP1" s="9" t="s">
        <v>340</v>
      </c>
      <c r="CAQ1" s="9" t="s">
        <v>153</v>
      </c>
      <c r="CAR1" s="9" t="s">
        <v>414</v>
      </c>
      <c r="CAS1" s="9" t="s">
        <v>417</v>
      </c>
      <c r="CAT1" s="9" t="s">
        <v>157</v>
      </c>
      <c r="CAU1" s="9" t="s">
        <v>158</v>
      </c>
      <c r="CAV1" s="9" t="s">
        <v>154</v>
      </c>
      <c r="CAW1" s="9" t="s">
        <v>155</v>
      </c>
      <c r="CAX1" s="9" t="s">
        <v>156</v>
      </c>
      <c r="CAY1" s="9" t="s">
        <v>152</v>
      </c>
      <c r="CAZ1" s="9" t="s">
        <v>340</v>
      </c>
      <c r="CBA1" s="9" t="s">
        <v>153</v>
      </c>
      <c r="CBB1" s="9" t="s">
        <v>414</v>
      </c>
      <c r="CBC1" s="9" t="s">
        <v>417</v>
      </c>
      <c r="CBD1" s="9" t="s">
        <v>336</v>
      </c>
      <c r="CBE1" s="9" t="s">
        <v>157</v>
      </c>
      <c r="CBF1" s="9" t="s">
        <v>158</v>
      </c>
      <c r="CBG1" s="9" t="s">
        <v>154</v>
      </c>
      <c r="CBH1" s="9" t="s">
        <v>155</v>
      </c>
      <c r="CBI1" s="9" t="s">
        <v>156</v>
      </c>
      <c r="CBJ1" s="9" t="s">
        <v>152</v>
      </c>
      <c r="CBK1" s="9" t="s">
        <v>340</v>
      </c>
      <c r="CBL1" s="9" t="s">
        <v>153</v>
      </c>
      <c r="CBM1" s="9" t="s">
        <v>414</v>
      </c>
      <c r="CBN1" s="9" t="s">
        <v>417</v>
      </c>
      <c r="CBO1" s="9" t="s">
        <v>157</v>
      </c>
      <c r="CBP1" s="9" t="s">
        <v>158</v>
      </c>
      <c r="CBQ1" s="9" t="s">
        <v>154</v>
      </c>
      <c r="CBR1" s="9" t="s">
        <v>155</v>
      </c>
      <c r="CBS1" s="9" t="s">
        <v>156</v>
      </c>
      <c r="CBT1" s="9" t="s">
        <v>152</v>
      </c>
      <c r="CBU1" s="9" t="s">
        <v>340</v>
      </c>
      <c r="CBV1" s="9" t="s">
        <v>153</v>
      </c>
      <c r="CBW1" s="9" t="s">
        <v>414</v>
      </c>
      <c r="CBX1" s="9" t="s">
        <v>417</v>
      </c>
      <c r="CBY1" s="9" t="s">
        <v>157</v>
      </c>
      <c r="CBZ1" s="9" t="s">
        <v>158</v>
      </c>
      <c r="CCA1" s="9" t="s">
        <v>154</v>
      </c>
      <c r="CCB1" s="9" t="s">
        <v>155</v>
      </c>
      <c r="CCC1" s="9" t="s">
        <v>156</v>
      </c>
      <c r="CCD1" s="9" t="s">
        <v>152</v>
      </c>
      <c r="CCE1" s="9" t="s">
        <v>340</v>
      </c>
      <c r="CCF1" s="9" t="s">
        <v>153</v>
      </c>
      <c r="CCG1" s="9" t="s">
        <v>414</v>
      </c>
      <c r="CCH1" s="9" t="s">
        <v>417</v>
      </c>
      <c r="CCI1" s="9" t="s">
        <v>157</v>
      </c>
      <c r="CCJ1" s="9" t="s">
        <v>158</v>
      </c>
      <c r="CCK1" s="9" t="s">
        <v>154</v>
      </c>
      <c r="CCL1" s="9" t="s">
        <v>155</v>
      </c>
      <c r="CCM1" s="9" t="s">
        <v>156</v>
      </c>
      <c r="CCN1" s="9" t="s">
        <v>152</v>
      </c>
      <c r="CCO1" s="9" t="s">
        <v>340</v>
      </c>
      <c r="CCP1" s="9" t="s">
        <v>153</v>
      </c>
      <c r="CCQ1" s="9" t="s">
        <v>414</v>
      </c>
      <c r="CCR1" s="9" t="s">
        <v>417</v>
      </c>
      <c r="CCS1" s="9" t="s">
        <v>336</v>
      </c>
      <c r="CCT1" s="9" t="s">
        <v>157</v>
      </c>
      <c r="CCU1" s="9" t="s">
        <v>158</v>
      </c>
      <c r="CCV1" s="9" t="s">
        <v>154</v>
      </c>
      <c r="CCW1" s="9" t="s">
        <v>155</v>
      </c>
      <c r="CCX1" s="9" t="s">
        <v>156</v>
      </c>
      <c r="CCY1" s="9" t="s">
        <v>152</v>
      </c>
      <c r="CCZ1" s="9" t="s">
        <v>340</v>
      </c>
      <c r="CDA1" s="9" t="s">
        <v>153</v>
      </c>
      <c r="CDB1" s="9" t="s">
        <v>414</v>
      </c>
      <c r="CDC1" s="9" t="s">
        <v>417</v>
      </c>
      <c r="CDD1" s="9" t="s">
        <v>336</v>
      </c>
      <c r="CDE1" s="9" t="s">
        <v>157</v>
      </c>
      <c r="CDF1" s="9" t="s">
        <v>158</v>
      </c>
      <c r="CDG1" s="9" t="s">
        <v>154</v>
      </c>
      <c r="CDH1" s="9" t="s">
        <v>155</v>
      </c>
      <c r="CDI1" s="9" t="s">
        <v>156</v>
      </c>
      <c r="CDJ1" s="9" t="s">
        <v>152</v>
      </c>
      <c r="CDK1" s="9" t="s">
        <v>340</v>
      </c>
      <c r="CDL1" s="9" t="s">
        <v>153</v>
      </c>
      <c r="CDM1" s="9" t="s">
        <v>414</v>
      </c>
      <c r="CDN1" s="9" t="s">
        <v>417</v>
      </c>
      <c r="CDO1" s="9" t="s">
        <v>157</v>
      </c>
      <c r="CDP1" s="9" t="s">
        <v>158</v>
      </c>
      <c r="CDQ1" s="9" t="s">
        <v>154</v>
      </c>
      <c r="CDR1" s="9" t="s">
        <v>155</v>
      </c>
      <c r="CDS1" s="9" t="s">
        <v>156</v>
      </c>
      <c r="CDT1" s="9" t="s">
        <v>152</v>
      </c>
      <c r="CDU1" s="9" t="s">
        <v>340</v>
      </c>
      <c r="CDV1" s="9" t="s">
        <v>153</v>
      </c>
      <c r="CDW1" s="9" t="s">
        <v>414</v>
      </c>
      <c r="CDX1" s="9" t="s">
        <v>417</v>
      </c>
      <c r="CDY1" s="9" t="s">
        <v>336</v>
      </c>
      <c r="CDZ1" s="9" t="s">
        <v>157</v>
      </c>
      <c r="CEA1" s="9" t="s">
        <v>158</v>
      </c>
      <c r="CEB1" s="9" t="s">
        <v>154</v>
      </c>
      <c r="CEC1" s="9" t="s">
        <v>155</v>
      </c>
      <c r="CED1" s="9" t="s">
        <v>156</v>
      </c>
      <c r="CEE1" s="9" t="s">
        <v>152</v>
      </c>
      <c r="CEF1" s="9" t="s">
        <v>340</v>
      </c>
      <c r="CEG1" s="9" t="s">
        <v>153</v>
      </c>
      <c r="CEH1" s="9" t="s">
        <v>414</v>
      </c>
      <c r="CEI1" s="9" t="s">
        <v>417</v>
      </c>
      <c r="CEJ1" s="9" t="s">
        <v>157</v>
      </c>
      <c r="CEK1" s="9" t="s">
        <v>158</v>
      </c>
      <c r="CEL1" s="9" t="s">
        <v>154</v>
      </c>
      <c r="CEM1" s="9" t="s">
        <v>155</v>
      </c>
      <c r="CEN1" s="9" t="s">
        <v>955</v>
      </c>
      <c r="CEO1" s="9" t="s">
        <v>156</v>
      </c>
      <c r="CEP1" s="9" t="s">
        <v>152</v>
      </c>
      <c r="CEQ1" s="9" t="s">
        <v>340</v>
      </c>
      <c r="CER1" s="9" t="s">
        <v>153</v>
      </c>
      <c r="CES1" s="9" t="s">
        <v>414</v>
      </c>
      <c r="CET1" s="9" t="s">
        <v>417</v>
      </c>
      <c r="CEU1" s="9" t="s">
        <v>157</v>
      </c>
      <c r="CEV1" s="9" t="s">
        <v>158</v>
      </c>
      <c r="CEW1" s="9" t="s">
        <v>154</v>
      </c>
      <c r="CEX1" s="9" t="s">
        <v>155</v>
      </c>
      <c r="CEY1" s="9" t="s">
        <v>346</v>
      </c>
      <c r="CEZ1" s="9" t="s">
        <v>156</v>
      </c>
      <c r="CFA1" s="9" t="s">
        <v>152</v>
      </c>
      <c r="CFB1" s="9" t="s">
        <v>340</v>
      </c>
      <c r="CFC1" s="9" t="s">
        <v>153</v>
      </c>
      <c r="CFD1" s="9" t="s">
        <v>414</v>
      </c>
      <c r="CFE1" s="9" t="s">
        <v>417</v>
      </c>
      <c r="CFF1" s="9" t="s">
        <v>392</v>
      </c>
      <c r="CFG1" s="9" t="s">
        <v>158</v>
      </c>
      <c r="CFH1" s="9" t="s">
        <v>154</v>
      </c>
      <c r="CFI1" s="9" t="s">
        <v>155</v>
      </c>
      <c r="CFJ1" s="9" t="s">
        <v>156</v>
      </c>
      <c r="CFK1" s="9" t="s">
        <v>152</v>
      </c>
      <c r="CFL1" s="9" t="s">
        <v>340</v>
      </c>
      <c r="CFM1" s="9" t="s">
        <v>153</v>
      </c>
      <c r="CFN1" s="9" t="s">
        <v>414</v>
      </c>
      <c r="CFO1" s="9" t="s">
        <v>417</v>
      </c>
      <c r="CFP1" s="9" t="s">
        <v>2413</v>
      </c>
      <c r="CFQ1" s="9" t="s">
        <v>158</v>
      </c>
      <c r="CFR1" s="9" t="s">
        <v>154</v>
      </c>
      <c r="CFS1" s="9" t="s">
        <v>155</v>
      </c>
      <c r="CFT1" s="9" t="s">
        <v>156</v>
      </c>
      <c r="CFU1" s="9" t="s">
        <v>152</v>
      </c>
      <c r="CFV1" s="9" t="s">
        <v>340</v>
      </c>
      <c r="CFW1" s="9" t="s">
        <v>153</v>
      </c>
      <c r="CFX1" s="9" t="s">
        <v>414</v>
      </c>
      <c r="CFY1" s="9" t="s">
        <v>417</v>
      </c>
      <c r="CFZ1" s="9" t="s">
        <v>392</v>
      </c>
      <c r="CGA1" s="9" t="s">
        <v>158</v>
      </c>
      <c r="CGB1" s="9" t="s">
        <v>154</v>
      </c>
      <c r="CGC1" s="9" t="s">
        <v>155</v>
      </c>
      <c r="CGD1" s="9" t="s">
        <v>156</v>
      </c>
      <c r="CGE1" s="9" t="s">
        <v>152</v>
      </c>
      <c r="CGF1" s="9" t="s">
        <v>340</v>
      </c>
      <c r="CGG1" s="9" t="s">
        <v>153</v>
      </c>
      <c r="CGH1" s="9" t="s">
        <v>414</v>
      </c>
      <c r="CGI1" s="9" t="s">
        <v>417</v>
      </c>
      <c r="CGJ1" s="9" t="s">
        <v>392</v>
      </c>
      <c r="CGK1" s="9" t="s">
        <v>158</v>
      </c>
      <c r="CGL1" s="9" t="s">
        <v>154</v>
      </c>
      <c r="CGM1" s="9" t="s">
        <v>155</v>
      </c>
      <c r="CGN1" s="9" t="s">
        <v>156</v>
      </c>
      <c r="CGO1" s="9" t="s">
        <v>152</v>
      </c>
      <c r="CGP1" s="9" t="s">
        <v>340</v>
      </c>
      <c r="CGQ1" s="9" t="s">
        <v>153</v>
      </c>
      <c r="CGR1" s="9" t="s">
        <v>414</v>
      </c>
      <c r="CGS1" s="9" t="s">
        <v>417</v>
      </c>
      <c r="CGT1" s="9" t="s">
        <v>157</v>
      </c>
      <c r="CGU1" s="9" t="s">
        <v>158</v>
      </c>
      <c r="CGV1" s="9" t="s">
        <v>154</v>
      </c>
      <c r="CGW1" s="9" t="s">
        <v>155</v>
      </c>
      <c r="CGX1" s="9" t="s">
        <v>156</v>
      </c>
      <c r="CGY1" s="9" t="s">
        <v>152</v>
      </c>
      <c r="CGZ1" s="9" t="s">
        <v>340</v>
      </c>
      <c r="CHA1" s="9" t="s">
        <v>153</v>
      </c>
      <c r="CHB1" s="9" t="s">
        <v>414</v>
      </c>
      <c r="CHC1" s="9" t="s">
        <v>417</v>
      </c>
      <c r="CHD1" s="9" t="s">
        <v>336</v>
      </c>
      <c r="CHE1" s="9" t="s">
        <v>157</v>
      </c>
      <c r="CHF1" s="9" t="s">
        <v>158</v>
      </c>
      <c r="CHG1" s="9" t="s">
        <v>154</v>
      </c>
      <c r="CHH1" s="9" t="s">
        <v>155</v>
      </c>
      <c r="CHI1" s="9" t="s">
        <v>156</v>
      </c>
      <c r="CHJ1" s="9" t="s">
        <v>152</v>
      </c>
      <c r="CHK1" s="9" t="s">
        <v>340</v>
      </c>
      <c r="CHL1" s="9" t="s">
        <v>153</v>
      </c>
      <c r="CHM1" s="9" t="s">
        <v>414</v>
      </c>
      <c r="CHN1" s="9" t="s">
        <v>417</v>
      </c>
      <c r="CHO1" s="9" t="s">
        <v>157</v>
      </c>
      <c r="CHP1" s="9" t="s">
        <v>158</v>
      </c>
      <c r="CHQ1" s="9" t="s">
        <v>154</v>
      </c>
      <c r="CHR1" s="9" t="s">
        <v>155</v>
      </c>
      <c r="CHS1" s="9" t="s">
        <v>156</v>
      </c>
      <c r="CHT1" s="9" t="s">
        <v>152</v>
      </c>
      <c r="CHU1" s="9" t="s">
        <v>340</v>
      </c>
      <c r="CHV1" s="9" t="s">
        <v>153</v>
      </c>
      <c r="CHW1" s="9" t="s">
        <v>414</v>
      </c>
      <c r="CHX1" s="9" t="s">
        <v>417</v>
      </c>
      <c r="CHY1" s="9" t="s">
        <v>376</v>
      </c>
      <c r="CHZ1" s="9" t="s">
        <v>158</v>
      </c>
      <c r="CIA1" s="9" t="s">
        <v>154</v>
      </c>
      <c r="CIB1" s="9" t="s">
        <v>155</v>
      </c>
      <c r="CIC1" s="9" t="s">
        <v>156</v>
      </c>
      <c r="CID1" s="9" t="s">
        <v>152</v>
      </c>
      <c r="CIE1" s="9" t="s">
        <v>340</v>
      </c>
      <c r="CIF1" s="9" t="s">
        <v>153</v>
      </c>
      <c r="CIG1" s="9" t="s">
        <v>414</v>
      </c>
      <c r="CIH1" s="9" t="s">
        <v>417</v>
      </c>
      <c r="CII1" s="9" t="s">
        <v>157</v>
      </c>
      <c r="CIJ1" s="9" t="s">
        <v>158</v>
      </c>
      <c r="CIK1" s="9" t="s">
        <v>154</v>
      </c>
      <c r="CIL1" s="9" t="s">
        <v>155</v>
      </c>
      <c r="CIM1" s="9" t="s">
        <v>955</v>
      </c>
      <c r="CIN1" s="9" t="s">
        <v>156</v>
      </c>
      <c r="CIO1" s="9" t="s">
        <v>152</v>
      </c>
      <c r="CIP1" s="9" t="s">
        <v>340</v>
      </c>
      <c r="CIQ1" s="9" t="s">
        <v>153</v>
      </c>
      <c r="CIR1" s="9" t="s">
        <v>414</v>
      </c>
      <c r="CIS1" s="9" t="s">
        <v>417</v>
      </c>
      <c r="CIT1" s="9" t="s">
        <v>157</v>
      </c>
      <c r="CIU1" s="9" t="s">
        <v>158</v>
      </c>
      <c r="CIV1" s="9" t="s">
        <v>154</v>
      </c>
      <c r="CIW1" s="9" t="s">
        <v>155</v>
      </c>
      <c r="CIX1" s="9" t="s">
        <v>156</v>
      </c>
      <c r="CIY1" s="9" t="s">
        <v>152</v>
      </c>
      <c r="CIZ1" s="9" t="s">
        <v>340</v>
      </c>
      <c r="CJA1" s="9" t="s">
        <v>153</v>
      </c>
      <c r="CJB1" s="9" t="s">
        <v>414</v>
      </c>
      <c r="CJC1" s="9" t="s">
        <v>417</v>
      </c>
      <c r="CJD1" s="9" t="s">
        <v>157</v>
      </c>
      <c r="CJE1" s="9" t="s">
        <v>158</v>
      </c>
      <c r="CJF1" s="9" t="s">
        <v>154</v>
      </c>
      <c r="CJG1" s="9" t="s">
        <v>155</v>
      </c>
      <c r="CJH1" s="9" t="s">
        <v>156</v>
      </c>
      <c r="CJI1" s="9" t="s">
        <v>152</v>
      </c>
      <c r="CJJ1" s="9" t="s">
        <v>340</v>
      </c>
      <c r="CJK1" s="9" t="s">
        <v>153</v>
      </c>
      <c r="CJL1" s="9" t="s">
        <v>414</v>
      </c>
      <c r="CJM1" s="9" t="s">
        <v>417</v>
      </c>
      <c r="CJN1" s="9" t="s">
        <v>157</v>
      </c>
      <c r="CJO1" s="9" t="s">
        <v>158</v>
      </c>
      <c r="CJP1" s="9" t="s">
        <v>154</v>
      </c>
      <c r="CJQ1" s="9" t="s">
        <v>155</v>
      </c>
      <c r="CJR1" s="9" t="s">
        <v>156</v>
      </c>
      <c r="CJS1" s="9" t="s">
        <v>152</v>
      </c>
      <c r="CJT1" s="9" t="s">
        <v>340</v>
      </c>
      <c r="CJU1" s="9" t="s">
        <v>153</v>
      </c>
      <c r="CJV1" s="9" t="s">
        <v>414</v>
      </c>
      <c r="CJW1" s="9" t="s">
        <v>417</v>
      </c>
      <c r="CJX1" s="9" t="s">
        <v>157</v>
      </c>
      <c r="CJY1" s="9" t="s">
        <v>158</v>
      </c>
      <c r="CJZ1" s="9" t="s">
        <v>154</v>
      </c>
      <c r="CKA1" s="9" t="s">
        <v>155</v>
      </c>
      <c r="CKB1" s="9" t="s">
        <v>156</v>
      </c>
      <c r="CKC1" s="9" t="s">
        <v>152</v>
      </c>
      <c r="CKD1" s="9" t="s">
        <v>340</v>
      </c>
      <c r="CKE1" s="9" t="s">
        <v>153</v>
      </c>
      <c r="CKF1" s="9" t="s">
        <v>414</v>
      </c>
      <c r="CKG1" s="9" t="s">
        <v>417</v>
      </c>
      <c r="CKH1" s="9" t="s">
        <v>157</v>
      </c>
      <c r="CKI1" s="9" t="s">
        <v>158</v>
      </c>
      <c r="CKJ1" s="9" t="s">
        <v>154</v>
      </c>
      <c r="CKK1" s="9" t="s">
        <v>155</v>
      </c>
      <c r="CKL1" s="9" t="s">
        <v>156</v>
      </c>
      <c r="CKM1" s="9" t="s">
        <v>152</v>
      </c>
      <c r="CKN1" s="9" t="s">
        <v>340</v>
      </c>
      <c r="CKO1" s="9" t="s">
        <v>153</v>
      </c>
      <c r="CKP1" s="9" t="s">
        <v>414</v>
      </c>
      <c r="CKQ1" s="9" t="s">
        <v>417</v>
      </c>
      <c r="CKR1" s="9" t="s">
        <v>157</v>
      </c>
      <c r="CKS1" s="9" t="s">
        <v>158</v>
      </c>
      <c r="CKT1" s="9" t="s">
        <v>154</v>
      </c>
      <c r="CKU1" s="9" t="s">
        <v>155</v>
      </c>
      <c r="CKV1" s="9" t="s">
        <v>156</v>
      </c>
      <c r="CKW1" s="9" t="s">
        <v>152</v>
      </c>
      <c r="CKX1" s="9" t="s">
        <v>340</v>
      </c>
      <c r="CKY1" s="9" t="s">
        <v>153</v>
      </c>
      <c r="CKZ1" s="9" t="s">
        <v>414</v>
      </c>
      <c r="CLA1" s="9" t="s">
        <v>417</v>
      </c>
      <c r="CLB1" s="9" t="s">
        <v>157</v>
      </c>
      <c r="CLC1" s="9" t="s">
        <v>158</v>
      </c>
      <c r="CLD1" s="9" t="s">
        <v>154</v>
      </c>
      <c r="CLE1" s="9" t="s">
        <v>155</v>
      </c>
      <c r="CLF1" s="9" t="s">
        <v>345</v>
      </c>
      <c r="CLG1" s="9" t="s">
        <v>156</v>
      </c>
      <c r="CLH1" s="9" t="s">
        <v>152</v>
      </c>
      <c r="CLI1" s="9" t="s">
        <v>340</v>
      </c>
      <c r="CLJ1" s="9" t="s">
        <v>153</v>
      </c>
      <c r="CLK1" s="9" t="s">
        <v>414</v>
      </c>
      <c r="CLL1" s="9" t="s">
        <v>417</v>
      </c>
      <c r="CLM1" s="9" t="s">
        <v>376</v>
      </c>
      <c r="CLN1" s="9" t="s">
        <v>158</v>
      </c>
      <c r="CLO1" s="9" t="s">
        <v>154</v>
      </c>
      <c r="CLP1" s="9" t="s">
        <v>155</v>
      </c>
      <c r="CLQ1" s="9" t="s">
        <v>156</v>
      </c>
      <c r="CLR1" s="9" t="s">
        <v>152</v>
      </c>
      <c r="CLS1" s="9" t="s">
        <v>340</v>
      </c>
      <c r="CLT1" s="9" t="s">
        <v>153</v>
      </c>
      <c r="CLU1" s="9" t="s">
        <v>414</v>
      </c>
      <c r="CLV1" s="9" t="s">
        <v>417</v>
      </c>
      <c r="CLW1" s="9" t="s">
        <v>157</v>
      </c>
      <c r="CLX1" s="9" t="s">
        <v>158</v>
      </c>
      <c r="CLY1" s="9" t="s">
        <v>154</v>
      </c>
      <c r="CLZ1" s="9" t="s">
        <v>155</v>
      </c>
      <c r="CMA1" s="9" t="s">
        <v>156</v>
      </c>
      <c r="CMB1" s="9" t="s">
        <v>152</v>
      </c>
      <c r="CMC1" s="9" t="s">
        <v>340</v>
      </c>
      <c r="CMD1" s="9" t="s">
        <v>153</v>
      </c>
      <c r="CME1" s="9" t="s">
        <v>414</v>
      </c>
      <c r="CMF1" s="9" t="s">
        <v>417</v>
      </c>
      <c r="CMG1" s="9" t="s">
        <v>157</v>
      </c>
      <c r="CMH1" s="9" t="s">
        <v>158</v>
      </c>
      <c r="CMI1" s="9" t="s">
        <v>154</v>
      </c>
      <c r="CMJ1" s="9" t="s">
        <v>155</v>
      </c>
      <c r="CMK1" s="9" t="s">
        <v>156</v>
      </c>
      <c r="CML1" s="9" t="s">
        <v>152</v>
      </c>
      <c r="CMM1" s="9" t="s">
        <v>340</v>
      </c>
      <c r="CMN1" s="9" t="s">
        <v>153</v>
      </c>
      <c r="CMO1" s="9" t="s">
        <v>414</v>
      </c>
      <c r="CMP1" s="9" t="s">
        <v>417</v>
      </c>
      <c r="CMQ1" s="9" t="s">
        <v>157</v>
      </c>
      <c r="CMR1" s="9" t="s">
        <v>158</v>
      </c>
      <c r="CMS1" s="9" t="s">
        <v>154</v>
      </c>
      <c r="CMT1" s="9" t="s">
        <v>155</v>
      </c>
      <c r="CMU1" s="9" t="s">
        <v>156</v>
      </c>
      <c r="CMV1" s="9" t="s">
        <v>152</v>
      </c>
      <c r="CMW1" s="9" t="s">
        <v>340</v>
      </c>
      <c r="CMX1" s="9" t="s">
        <v>153</v>
      </c>
      <c r="CMY1" s="9" t="s">
        <v>414</v>
      </c>
      <c r="CMZ1" s="9" t="s">
        <v>417</v>
      </c>
      <c r="CNA1" s="9" t="s">
        <v>157</v>
      </c>
      <c r="CNB1" s="9" t="s">
        <v>158</v>
      </c>
      <c r="CNC1" s="9" t="s">
        <v>154</v>
      </c>
      <c r="CND1" s="9" t="s">
        <v>155</v>
      </c>
      <c r="CNE1" s="9" t="s">
        <v>156</v>
      </c>
      <c r="CNF1" s="9" t="s">
        <v>152</v>
      </c>
      <c r="CNG1" s="9" t="s">
        <v>340</v>
      </c>
      <c r="CNH1" s="9" t="s">
        <v>153</v>
      </c>
      <c r="CNI1" s="9" t="s">
        <v>414</v>
      </c>
      <c r="CNJ1" s="9" t="s">
        <v>417</v>
      </c>
      <c r="CNK1" s="9" t="s">
        <v>157</v>
      </c>
      <c r="CNL1" s="9" t="s">
        <v>158</v>
      </c>
      <c r="CNM1" s="9" t="s">
        <v>154</v>
      </c>
      <c r="CNN1" s="9" t="s">
        <v>155</v>
      </c>
      <c r="CNO1" s="9" t="s">
        <v>156</v>
      </c>
      <c r="CNP1" s="9" t="s">
        <v>152</v>
      </c>
      <c r="CNQ1" s="9" t="s">
        <v>340</v>
      </c>
      <c r="CNR1" s="9" t="s">
        <v>153</v>
      </c>
      <c r="CNS1" s="9" t="s">
        <v>414</v>
      </c>
      <c r="CNT1" s="9" t="s">
        <v>417</v>
      </c>
      <c r="CNU1" s="9" t="s">
        <v>157</v>
      </c>
      <c r="CNV1" s="9" t="s">
        <v>158</v>
      </c>
      <c r="CNW1" s="9" t="s">
        <v>154</v>
      </c>
      <c r="CNX1" s="9" t="s">
        <v>155</v>
      </c>
      <c r="CNY1" s="9" t="s">
        <v>156</v>
      </c>
      <c r="CNZ1" s="9" t="s">
        <v>152</v>
      </c>
      <c r="COA1" s="9" t="s">
        <v>340</v>
      </c>
      <c r="COB1" s="9" t="s">
        <v>153</v>
      </c>
      <c r="COC1" s="9" t="s">
        <v>414</v>
      </c>
      <c r="COD1" s="9" t="s">
        <v>417</v>
      </c>
      <c r="COE1" s="9" t="s">
        <v>336</v>
      </c>
      <c r="COF1" s="9" t="s">
        <v>157</v>
      </c>
      <c r="COG1" s="9" t="s">
        <v>158</v>
      </c>
      <c r="COH1" s="9" t="s">
        <v>154</v>
      </c>
      <c r="COI1" s="9" t="s">
        <v>155</v>
      </c>
      <c r="COJ1" s="9" t="s">
        <v>156</v>
      </c>
      <c r="COK1" s="9" t="s">
        <v>152</v>
      </c>
      <c r="COL1" s="9" t="s">
        <v>340</v>
      </c>
      <c r="COM1" s="9" t="s">
        <v>153</v>
      </c>
      <c r="CON1" s="9" t="s">
        <v>414</v>
      </c>
      <c r="COO1" s="9" t="s">
        <v>417</v>
      </c>
      <c r="COP1" s="9" t="s">
        <v>157</v>
      </c>
      <c r="COQ1" s="9" t="s">
        <v>158</v>
      </c>
      <c r="COR1" s="9" t="s">
        <v>154</v>
      </c>
      <c r="COS1" s="9" t="s">
        <v>155</v>
      </c>
      <c r="COT1" s="9" t="s">
        <v>156</v>
      </c>
      <c r="COU1" s="9" t="s">
        <v>152</v>
      </c>
      <c r="COV1" s="9" t="s">
        <v>340</v>
      </c>
      <c r="COW1" s="9" t="s">
        <v>153</v>
      </c>
      <c r="COX1" s="9" t="s">
        <v>414</v>
      </c>
      <c r="COY1" s="9" t="s">
        <v>417</v>
      </c>
      <c r="COZ1" s="9" t="s">
        <v>157</v>
      </c>
      <c r="CPA1" s="9" t="s">
        <v>158</v>
      </c>
      <c r="CPB1" s="9" t="s">
        <v>154</v>
      </c>
      <c r="CPC1" s="9" t="s">
        <v>155</v>
      </c>
      <c r="CPD1" s="9" t="s">
        <v>156</v>
      </c>
      <c r="CPE1" s="9" t="s">
        <v>152</v>
      </c>
      <c r="CPF1" s="9" t="s">
        <v>340</v>
      </c>
      <c r="CPG1" s="9" t="s">
        <v>153</v>
      </c>
      <c r="CPH1" s="9" t="s">
        <v>414</v>
      </c>
      <c r="CPI1" s="9" t="s">
        <v>417</v>
      </c>
      <c r="CPJ1" s="9" t="s">
        <v>157</v>
      </c>
      <c r="CPK1" s="9" t="s">
        <v>158</v>
      </c>
      <c r="CPL1" s="9" t="s">
        <v>154</v>
      </c>
      <c r="CPM1" s="9" t="s">
        <v>155</v>
      </c>
      <c r="CPN1" s="9" t="s">
        <v>156</v>
      </c>
      <c r="CPO1" s="9" t="s">
        <v>152</v>
      </c>
      <c r="CPP1" s="9" t="s">
        <v>340</v>
      </c>
      <c r="CPQ1" s="9" t="s">
        <v>153</v>
      </c>
      <c r="CPR1" s="9" t="s">
        <v>414</v>
      </c>
      <c r="CPS1" s="9" t="s">
        <v>417</v>
      </c>
      <c r="CPT1" s="9" t="s">
        <v>157</v>
      </c>
      <c r="CPU1" s="9" t="s">
        <v>158</v>
      </c>
      <c r="CPV1" s="9" t="s">
        <v>154</v>
      </c>
      <c r="CPW1" s="9" t="s">
        <v>155</v>
      </c>
      <c r="CPX1" s="9" t="s">
        <v>156</v>
      </c>
      <c r="CPY1" s="9" t="s">
        <v>152</v>
      </c>
      <c r="CPZ1" s="9" t="s">
        <v>340</v>
      </c>
      <c r="CQA1" s="9" t="s">
        <v>153</v>
      </c>
      <c r="CQB1" s="9" t="s">
        <v>414</v>
      </c>
      <c r="CQC1" s="9" t="s">
        <v>417</v>
      </c>
      <c r="CQD1" s="9" t="s">
        <v>157</v>
      </c>
      <c r="CQE1" s="9" t="s">
        <v>158</v>
      </c>
      <c r="CQF1" s="9" t="s">
        <v>154</v>
      </c>
      <c r="CQG1" s="9" t="s">
        <v>155</v>
      </c>
      <c r="CQH1" s="9" t="s">
        <v>156</v>
      </c>
      <c r="CQI1" s="9" t="s">
        <v>152</v>
      </c>
      <c r="CQJ1" s="9" t="s">
        <v>340</v>
      </c>
      <c r="CQK1" s="9" t="s">
        <v>153</v>
      </c>
      <c r="CQL1" s="9" t="s">
        <v>414</v>
      </c>
      <c r="CQM1" s="9" t="s">
        <v>417</v>
      </c>
      <c r="CQN1" s="9" t="s">
        <v>157</v>
      </c>
      <c r="CQO1" s="9" t="s">
        <v>158</v>
      </c>
      <c r="CQP1" s="9" t="s">
        <v>154</v>
      </c>
      <c r="CQQ1" s="9" t="s">
        <v>155</v>
      </c>
      <c r="CQR1" s="9" t="s">
        <v>156</v>
      </c>
      <c r="CQS1" s="9" t="s">
        <v>152</v>
      </c>
      <c r="CQT1" s="9" t="s">
        <v>340</v>
      </c>
      <c r="CQU1" s="9" t="s">
        <v>153</v>
      </c>
      <c r="CQV1" s="9" t="s">
        <v>414</v>
      </c>
      <c r="CQW1" s="9" t="s">
        <v>417</v>
      </c>
      <c r="CQX1" s="9" t="s">
        <v>157</v>
      </c>
      <c r="CQY1" s="9" t="s">
        <v>158</v>
      </c>
      <c r="CQZ1" s="9" t="s">
        <v>154</v>
      </c>
      <c r="CRA1" s="9" t="s">
        <v>155</v>
      </c>
      <c r="CRB1" s="9" t="s">
        <v>156</v>
      </c>
      <c r="CRC1" s="9" t="s">
        <v>152</v>
      </c>
      <c r="CRD1" s="9" t="s">
        <v>340</v>
      </c>
      <c r="CRE1" s="9" t="s">
        <v>153</v>
      </c>
      <c r="CRF1" s="9" t="s">
        <v>414</v>
      </c>
      <c r="CRG1" s="9" t="s">
        <v>417</v>
      </c>
      <c r="CRH1" s="9" t="s">
        <v>157</v>
      </c>
      <c r="CRI1" s="9" t="s">
        <v>158</v>
      </c>
      <c r="CRJ1" s="9" t="s">
        <v>154</v>
      </c>
      <c r="CRK1" s="9" t="s">
        <v>155</v>
      </c>
      <c r="CRL1" s="9" t="s">
        <v>156</v>
      </c>
      <c r="CRM1" s="9" t="s">
        <v>152</v>
      </c>
      <c r="CRN1" s="9" t="s">
        <v>340</v>
      </c>
      <c r="CRO1" s="9" t="s">
        <v>153</v>
      </c>
      <c r="CRP1" s="9" t="s">
        <v>414</v>
      </c>
      <c r="CRQ1" s="9" t="s">
        <v>417</v>
      </c>
      <c r="CRR1" s="9" t="s">
        <v>157</v>
      </c>
      <c r="CRS1" s="9" t="s">
        <v>158</v>
      </c>
      <c r="CRT1" s="9" t="s">
        <v>154</v>
      </c>
      <c r="CRU1" s="9" t="s">
        <v>155</v>
      </c>
      <c r="CRV1" s="9" t="s">
        <v>156</v>
      </c>
      <c r="CRW1" s="9" t="s">
        <v>152</v>
      </c>
      <c r="CRX1" s="9" t="s">
        <v>340</v>
      </c>
      <c r="CRY1" s="9" t="s">
        <v>153</v>
      </c>
      <c r="CRZ1" s="9" t="s">
        <v>414</v>
      </c>
      <c r="CSA1" s="9" t="s">
        <v>417</v>
      </c>
      <c r="CSB1" s="9" t="s">
        <v>157</v>
      </c>
      <c r="CSC1" s="9" t="s">
        <v>158</v>
      </c>
      <c r="CSD1" s="9" t="s">
        <v>154</v>
      </c>
      <c r="CSE1" s="9" t="s">
        <v>155</v>
      </c>
      <c r="CSF1" s="9" t="s">
        <v>156</v>
      </c>
      <c r="CSG1" s="9" t="s">
        <v>152</v>
      </c>
      <c r="CSH1" s="9" t="s">
        <v>340</v>
      </c>
      <c r="CSI1" s="9" t="s">
        <v>153</v>
      </c>
      <c r="CSJ1" s="9" t="s">
        <v>414</v>
      </c>
      <c r="CSK1" s="9" t="s">
        <v>417</v>
      </c>
      <c r="CSL1" s="9" t="s">
        <v>157</v>
      </c>
      <c r="CSM1" s="9" t="s">
        <v>158</v>
      </c>
      <c r="CSN1" s="9" t="s">
        <v>154</v>
      </c>
      <c r="CSO1" s="9" t="s">
        <v>155</v>
      </c>
      <c r="CSP1" s="9" t="s">
        <v>156</v>
      </c>
      <c r="CSQ1" s="9" t="s">
        <v>152</v>
      </c>
      <c r="CSR1" s="9" t="s">
        <v>340</v>
      </c>
      <c r="CSS1" s="9" t="s">
        <v>153</v>
      </c>
      <c r="CST1" s="9" t="s">
        <v>414</v>
      </c>
      <c r="CSU1" s="9" t="s">
        <v>417</v>
      </c>
      <c r="CSV1" s="9" t="s">
        <v>157</v>
      </c>
      <c r="CSW1" s="9" t="s">
        <v>158</v>
      </c>
      <c r="CSX1" s="9" t="s">
        <v>154</v>
      </c>
      <c r="CSY1" s="9" t="s">
        <v>155</v>
      </c>
      <c r="CSZ1" s="9" t="s">
        <v>156</v>
      </c>
      <c r="CTA1" s="9" t="s">
        <v>508</v>
      </c>
      <c r="CTB1" s="9" t="s">
        <v>152</v>
      </c>
      <c r="CTC1" s="9" t="s">
        <v>340</v>
      </c>
      <c r="CTD1" s="9" t="s">
        <v>153</v>
      </c>
      <c r="CTE1" s="9" t="s">
        <v>414</v>
      </c>
      <c r="CTF1" s="9" t="s">
        <v>417</v>
      </c>
      <c r="CTG1" s="9" t="s">
        <v>336</v>
      </c>
      <c r="CTH1" s="9" t="s">
        <v>157</v>
      </c>
      <c r="CTI1" s="9" t="s">
        <v>158</v>
      </c>
      <c r="CTJ1" s="9" t="s">
        <v>154</v>
      </c>
      <c r="CTK1" s="9" t="s">
        <v>155</v>
      </c>
      <c r="CTL1" s="9" t="s">
        <v>156</v>
      </c>
      <c r="CTM1" s="9" t="s">
        <v>152</v>
      </c>
      <c r="CTN1" s="9" t="s">
        <v>340</v>
      </c>
      <c r="CTO1" s="9" t="s">
        <v>153</v>
      </c>
      <c r="CTP1" s="9" t="s">
        <v>414</v>
      </c>
      <c r="CTQ1" s="9" t="s">
        <v>417</v>
      </c>
      <c r="CTR1" s="9" t="s">
        <v>157</v>
      </c>
      <c r="CTS1" s="9" t="s">
        <v>158</v>
      </c>
      <c r="CTT1" s="9" t="s">
        <v>154</v>
      </c>
      <c r="CTU1" s="9" t="s">
        <v>155</v>
      </c>
      <c r="CTV1" s="9" t="s">
        <v>156</v>
      </c>
      <c r="CTW1" s="9" t="s">
        <v>152</v>
      </c>
      <c r="CTX1" s="9" t="s">
        <v>340</v>
      </c>
      <c r="CTY1" s="9" t="s">
        <v>153</v>
      </c>
      <c r="CTZ1" s="9" t="s">
        <v>414</v>
      </c>
      <c r="CUA1" s="9" t="s">
        <v>417</v>
      </c>
      <c r="CUB1" s="9" t="s">
        <v>157</v>
      </c>
      <c r="CUC1" s="9" t="s">
        <v>158</v>
      </c>
      <c r="CUD1" s="9" t="s">
        <v>154</v>
      </c>
      <c r="CUE1" s="9" t="s">
        <v>155</v>
      </c>
      <c r="CUF1" s="9" t="s">
        <v>156</v>
      </c>
      <c r="CUG1" s="9" t="s">
        <v>152</v>
      </c>
      <c r="CUH1" s="9" t="s">
        <v>340</v>
      </c>
      <c r="CUI1" s="9" t="s">
        <v>153</v>
      </c>
      <c r="CUJ1" s="9" t="s">
        <v>414</v>
      </c>
      <c r="CUK1" s="9" t="s">
        <v>417</v>
      </c>
      <c r="CUL1" s="9" t="s">
        <v>157</v>
      </c>
      <c r="CUM1" s="9" t="s">
        <v>158</v>
      </c>
      <c r="CUN1" s="9" t="s">
        <v>154</v>
      </c>
      <c r="CUO1" s="9" t="s">
        <v>155</v>
      </c>
      <c r="CUP1" s="9" t="s">
        <v>156</v>
      </c>
      <c r="CUQ1" s="9" t="s">
        <v>152</v>
      </c>
      <c r="CUR1" s="9" t="s">
        <v>340</v>
      </c>
      <c r="CUS1" s="9" t="s">
        <v>153</v>
      </c>
      <c r="CUT1" s="9" t="s">
        <v>414</v>
      </c>
      <c r="CUU1" s="9" t="s">
        <v>417</v>
      </c>
      <c r="CUV1" s="9" t="s">
        <v>157</v>
      </c>
      <c r="CUW1" s="9" t="s">
        <v>158</v>
      </c>
      <c r="CUX1" s="9" t="s">
        <v>154</v>
      </c>
      <c r="CUY1" s="9" t="s">
        <v>155</v>
      </c>
      <c r="CUZ1" s="9" t="s">
        <v>156</v>
      </c>
      <c r="CVA1" s="9" t="s">
        <v>152</v>
      </c>
      <c r="CVB1" s="9" t="s">
        <v>340</v>
      </c>
      <c r="CVC1" s="9" t="s">
        <v>153</v>
      </c>
      <c r="CVD1" s="9" t="s">
        <v>414</v>
      </c>
      <c r="CVE1" s="9" t="s">
        <v>417</v>
      </c>
      <c r="CVF1" s="9" t="s">
        <v>157</v>
      </c>
      <c r="CVG1" s="9" t="s">
        <v>158</v>
      </c>
      <c r="CVH1" s="9" t="s">
        <v>154</v>
      </c>
      <c r="CVI1" s="9" t="s">
        <v>155</v>
      </c>
      <c r="CVJ1" s="9" t="s">
        <v>156</v>
      </c>
      <c r="CVK1" s="9" t="s">
        <v>152</v>
      </c>
      <c r="CVL1" s="9" t="s">
        <v>340</v>
      </c>
      <c r="CVM1" s="9" t="s">
        <v>153</v>
      </c>
      <c r="CVN1" s="9" t="s">
        <v>414</v>
      </c>
      <c r="CVO1" s="9" t="s">
        <v>417</v>
      </c>
      <c r="CVP1" s="9" t="s">
        <v>157</v>
      </c>
      <c r="CVQ1" s="9" t="s">
        <v>158</v>
      </c>
      <c r="CVR1" s="9" t="s">
        <v>154</v>
      </c>
      <c r="CVS1" s="9" t="s">
        <v>155</v>
      </c>
      <c r="CVT1" s="9" t="s">
        <v>156</v>
      </c>
      <c r="CVU1" s="9" t="s">
        <v>152</v>
      </c>
      <c r="CVV1" s="9" t="s">
        <v>340</v>
      </c>
      <c r="CVW1" s="9" t="s">
        <v>153</v>
      </c>
      <c r="CVX1" s="9" t="s">
        <v>414</v>
      </c>
      <c r="CVY1" s="9" t="s">
        <v>417</v>
      </c>
      <c r="CVZ1" s="9" t="s">
        <v>157</v>
      </c>
      <c r="CWA1" s="9" t="s">
        <v>158</v>
      </c>
      <c r="CWB1" s="9" t="s">
        <v>154</v>
      </c>
      <c r="CWC1" s="9" t="s">
        <v>155</v>
      </c>
      <c r="CWD1" s="9" t="s">
        <v>156</v>
      </c>
      <c r="CWE1" s="9" t="s">
        <v>152</v>
      </c>
      <c r="CWF1" s="9" t="s">
        <v>340</v>
      </c>
      <c r="CWG1" s="9" t="s">
        <v>153</v>
      </c>
      <c r="CWH1" s="9" t="s">
        <v>414</v>
      </c>
      <c r="CWI1" s="9" t="s">
        <v>417</v>
      </c>
      <c r="CWJ1" s="9" t="s">
        <v>336</v>
      </c>
      <c r="CWK1" s="9" t="s">
        <v>157</v>
      </c>
      <c r="CWL1" s="9" t="s">
        <v>158</v>
      </c>
      <c r="CWM1" s="9" t="s">
        <v>154</v>
      </c>
      <c r="CWN1" s="9" t="s">
        <v>155</v>
      </c>
      <c r="CWO1" s="9" t="s">
        <v>156</v>
      </c>
      <c r="CWP1" s="9" t="s">
        <v>152</v>
      </c>
      <c r="CWQ1" s="9" t="s">
        <v>340</v>
      </c>
      <c r="CWR1" s="9" t="s">
        <v>153</v>
      </c>
      <c r="CWS1" s="9" t="s">
        <v>414</v>
      </c>
      <c r="CWT1" s="9" t="s">
        <v>417</v>
      </c>
      <c r="CWU1" s="9" t="s">
        <v>336</v>
      </c>
      <c r="CWV1" s="9" t="s">
        <v>157</v>
      </c>
      <c r="CWW1" s="9" t="s">
        <v>158</v>
      </c>
      <c r="CWX1" s="9" t="s">
        <v>154</v>
      </c>
      <c r="CWY1" s="9" t="s">
        <v>155</v>
      </c>
      <c r="CWZ1" s="9" t="s">
        <v>156</v>
      </c>
      <c r="CXA1" s="9" t="s">
        <v>152</v>
      </c>
      <c r="CXB1" s="9" t="s">
        <v>340</v>
      </c>
      <c r="CXC1" s="9" t="s">
        <v>153</v>
      </c>
      <c r="CXD1" s="9" t="s">
        <v>414</v>
      </c>
      <c r="CXE1" s="9" t="s">
        <v>417</v>
      </c>
      <c r="CXF1" s="9" t="s">
        <v>336</v>
      </c>
      <c r="CXG1" s="9" t="s">
        <v>157</v>
      </c>
      <c r="CXH1" s="9" t="s">
        <v>158</v>
      </c>
      <c r="CXI1" s="9" t="s">
        <v>154</v>
      </c>
      <c r="CXJ1" s="9" t="s">
        <v>155</v>
      </c>
      <c r="CXK1" s="9" t="s">
        <v>156</v>
      </c>
      <c r="CXL1" s="9" t="s">
        <v>152</v>
      </c>
      <c r="CXM1" s="9" t="s">
        <v>340</v>
      </c>
      <c r="CXN1" s="9" t="s">
        <v>153</v>
      </c>
      <c r="CXO1" s="9" t="s">
        <v>414</v>
      </c>
      <c r="CXP1" s="9" t="s">
        <v>417</v>
      </c>
      <c r="CXQ1" s="9" t="s">
        <v>157</v>
      </c>
      <c r="CXR1" s="9" t="s">
        <v>158</v>
      </c>
      <c r="CXS1" s="9" t="s">
        <v>154</v>
      </c>
      <c r="CXT1" s="9" t="s">
        <v>155</v>
      </c>
      <c r="CXU1" s="9" t="s">
        <v>156</v>
      </c>
      <c r="CXV1" s="9" t="s">
        <v>152</v>
      </c>
      <c r="CXW1" s="9" t="s">
        <v>340</v>
      </c>
      <c r="CXX1" s="9" t="s">
        <v>153</v>
      </c>
      <c r="CXY1" s="9" t="s">
        <v>414</v>
      </c>
      <c r="CXZ1" s="9" t="s">
        <v>417</v>
      </c>
      <c r="CYA1" s="9" t="s">
        <v>157</v>
      </c>
      <c r="CYB1" s="9" t="s">
        <v>158</v>
      </c>
      <c r="CYC1" s="9" t="s">
        <v>154</v>
      </c>
      <c r="CYD1" s="9" t="s">
        <v>155</v>
      </c>
      <c r="CYE1" s="9" t="s">
        <v>156</v>
      </c>
      <c r="CYF1" s="9" t="s">
        <v>152</v>
      </c>
      <c r="CYG1" s="9" t="s">
        <v>340</v>
      </c>
      <c r="CYH1" s="9" t="s">
        <v>153</v>
      </c>
      <c r="CYI1" s="9" t="s">
        <v>414</v>
      </c>
      <c r="CYJ1" s="9" t="s">
        <v>417</v>
      </c>
      <c r="CYK1" s="9" t="s">
        <v>157</v>
      </c>
      <c r="CYL1" s="9" t="s">
        <v>158</v>
      </c>
      <c r="CYM1" s="9" t="s">
        <v>154</v>
      </c>
      <c r="CYN1" s="9" t="s">
        <v>155</v>
      </c>
      <c r="CYO1" s="9" t="s">
        <v>156</v>
      </c>
      <c r="CYP1" s="9" t="s">
        <v>152</v>
      </c>
      <c r="CYQ1" s="9" t="s">
        <v>340</v>
      </c>
      <c r="CYR1" s="9" t="s">
        <v>153</v>
      </c>
      <c r="CYS1" s="9" t="s">
        <v>414</v>
      </c>
      <c r="CYT1" s="9" t="s">
        <v>417</v>
      </c>
      <c r="CYU1" s="9" t="s">
        <v>157</v>
      </c>
      <c r="CYV1" s="9" t="s">
        <v>158</v>
      </c>
      <c r="CYW1" s="9" t="s">
        <v>154</v>
      </c>
      <c r="CYX1" s="9" t="s">
        <v>155</v>
      </c>
      <c r="CYY1" s="9" t="s">
        <v>156</v>
      </c>
      <c r="CYZ1" s="9" t="s">
        <v>152</v>
      </c>
      <c r="CZA1" s="9" t="s">
        <v>340</v>
      </c>
      <c r="CZB1" s="9" t="s">
        <v>153</v>
      </c>
      <c r="CZC1" s="9" t="s">
        <v>414</v>
      </c>
      <c r="CZD1" s="9" t="s">
        <v>417</v>
      </c>
      <c r="CZE1" s="9" t="s">
        <v>336</v>
      </c>
      <c r="CZF1" s="9" t="s">
        <v>157</v>
      </c>
      <c r="CZG1" s="9" t="s">
        <v>158</v>
      </c>
      <c r="CZH1" s="9" t="s">
        <v>154</v>
      </c>
      <c r="CZI1" s="9" t="s">
        <v>155</v>
      </c>
      <c r="CZJ1" s="9" t="s">
        <v>156</v>
      </c>
      <c r="CZK1" s="9" t="s">
        <v>152</v>
      </c>
      <c r="CZL1" s="9" t="s">
        <v>340</v>
      </c>
      <c r="CZM1" s="9" t="s">
        <v>153</v>
      </c>
      <c r="CZN1" s="9" t="s">
        <v>414</v>
      </c>
      <c r="CZO1" s="9" t="s">
        <v>417</v>
      </c>
      <c r="CZP1" s="9" t="s">
        <v>157</v>
      </c>
      <c r="CZQ1" s="9" t="s">
        <v>158</v>
      </c>
      <c r="CZR1" s="9" t="s">
        <v>154</v>
      </c>
      <c r="CZS1" s="9" t="s">
        <v>155</v>
      </c>
      <c r="CZT1" s="9" t="s">
        <v>156</v>
      </c>
      <c r="CZU1" s="9" t="s">
        <v>152</v>
      </c>
      <c r="CZV1" s="9" t="s">
        <v>340</v>
      </c>
      <c r="CZW1" s="9" t="s">
        <v>153</v>
      </c>
      <c r="CZX1" s="9" t="s">
        <v>414</v>
      </c>
      <c r="CZY1" s="9" t="s">
        <v>417</v>
      </c>
      <c r="CZZ1" s="9" t="s">
        <v>157</v>
      </c>
      <c r="DAA1" s="9" t="s">
        <v>158</v>
      </c>
      <c r="DAB1" s="9" t="s">
        <v>154</v>
      </c>
      <c r="DAC1" s="9" t="s">
        <v>155</v>
      </c>
      <c r="DAD1" s="9" t="s">
        <v>156</v>
      </c>
      <c r="DAE1" s="9" t="s">
        <v>445</v>
      </c>
      <c r="DAF1" s="9" t="s">
        <v>152</v>
      </c>
      <c r="DAG1" s="9" t="s">
        <v>340</v>
      </c>
      <c r="DAH1" s="9" t="s">
        <v>153</v>
      </c>
      <c r="DAI1" s="9" t="s">
        <v>414</v>
      </c>
      <c r="DAJ1" s="9" t="s">
        <v>417</v>
      </c>
      <c r="DAK1" s="9" t="s">
        <v>157</v>
      </c>
      <c r="DAL1" s="9" t="s">
        <v>158</v>
      </c>
      <c r="DAM1" s="9" t="s">
        <v>154</v>
      </c>
      <c r="DAN1" s="9" t="s">
        <v>155</v>
      </c>
      <c r="DAO1" s="9" t="s">
        <v>156</v>
      </c>
      <c r="DAP1" s="9" t="s">
        <v>152</v>
      </c>
      <c r="DAQ1" s="9" t="s">
        <v>340</v>
      </c>
      <c r="DAR1" s="9" t="s">
        <v>153</v>
      </c>
      <c r="DAS1" s="9" t="s">
        <v>414</v>
      </c>
      <c r="DAT1" s="9" t="s">
        <v>417</v>
      </c>
      <c r="DAU1" s="9" t="s">
        <v>157</v>
      </c>
      <c r="DAV1" s="9" t="s">
        <v>158</v>
      </c>
      <c r="DAW1" s="9" t="s">
        <v>154</v>
      </c>
      <c r="DAX1" s="9" t="s">
        <v>155</v>
      </c>
      <c r="DAY1" s="9" t="s">
        <v>156</v>
      </c>
      <c r="DAZ1" s="9" t="s">
        <v>152</v>
      </c>
      <c r="DBA1" s="9" t="s">
        <v>340</v>
      </c>
      <c r="DBB1" s="9" t="s">
        <v>153</v>
      </c>
      <c r="DBC1" s="9" t="s">
        <v>414</v>
      </c>
      <c r="DBD1" s="9" t="s">
        <v>417</v>
      </c>
      <c r="DBE1" s="9" t="s">
        <v>418</v>
      </c>
      <c r="DBF1" s="9" t="s">
        <v>158</v>
      </c>
      <c r="DBG1" s="9" t="s">
        <v>154</v>
      </c>
      <c r="DBH1" s="9" t="s">
        <v>155</v>
      </c>
      <c r="DBI1" s="9" t="s">
        <v>156</v>
      </c>
      <c r="DBJ1" s="9" t="s">
        <v>152</v>
      </c>
      <c r="DBK1" s="9" t="s">
        <v>340</v>
      </c>
      <c r="DBL1" s="9" t="s">
        <v>153</v>
      </c>
      <c r="DBM1" s="9" t="s">
        <v>414</v>
      </c>
      <c r="DBN1" s="9" t="s">
        <v>417</v>
      </c>
      <c r="DBO1" s="9" t="s">
        <v>157</v>
      </c>
      <c r="DBP1" s="9" t="s">
        <v>158</v>
      </c>
      <c r="DBQ1" s="9" t="s">
        <v>154</v>
      </c>
      <c r="DBR1" s="9" t="s">
        <v>155</v>
      </c>
      <c r="DBS1" s="9" t="s">
        <v>156</v>
      </c>
      <c r="DBT1" s="9" t="s">
        <v>152</v>
      </c>
      <c r="DBU1" s="9" t="s">
        <v>340</v>
      </c>
      <c r="DBV1" s="9" t="s">
        <v>153</v>
      </c>
      <c r="DBW1" s="9" t="s">
        <v>414</v>
      </c>
      <c r="DBX1" s="9" t="s">
        <v>417</v>
      </c>
      <c r="DBY1" s="9" t="s">
        <v>157</v>
      </c>
      <c r="DBZ1" s="9" t="s">
        <v>158</v>
      </c>
      <c r="DCA1" s="9" t="s">
        <v>154</v>
      </c>
      <c r="DCB1" s="9" t="s">
        <v>155</v>
      </c>
      <c r="DCC1" s="9" t="s">
        <v>1648</v>
      </c>
      <c r="DCD1" s="9" t="s">
        <v>152</v>
      </c>
      <c r="DCE1" s="9" t="s">
        <v>340</v>
      </c>
      <c r="DCF1" s="9" t="s">
        <v>153</v>
      </c>
      <c r="DCG1" s="9" t="s">
        <v>414</v>
      </c>
      <c r="DCH1" s="9" t="s">
        <v>417</v>
      </c>
      <c r="DCI1" s="9" t="s">
        <v>157</v>
      </c>
      <c r="DCJ1" s="9" t="s">
        <v>158</v>
      </c>
      <c r="DCK1" s="9" t="s">
        <v>154</v>
      </c>
      <c r="DCL1" s="9" t="s">
        <v>155</v>
      </c>
      <c r="DCM1" s="9" t="s">
        <v>156</v>
      </c>
      <c r="DCN1" s="9" t="s">
        <v>1985</v>
      </c>
      <c r="DCO1" s="9" t="s">
        <v>152</v>
      </c>
      <c r="DCP1" s="9" t="s">
        <v>340</v>
      </c>
      <c r="DCQ1" s="9" t="s">
        <v>153</v>
      </c>
      <c r="DCR1" s="9" t="s">
        <v>414</v>
      </c>
      <c r="DCS1" s="9" t="s">
        <v>417</v>
      </c>
      <c r="DCT1" s="9" t="s">
        <v>336</v>
      </c>
      <c r="DCU1" s="9" t="s">
        <v>157</v>
      </c>
      <c r="DCV1" s="9" t="s">
        <v>158</v>
      </c>
      <c r="DCW1" s="9" t="s">
        <v>154</v>
      </c>
      <c r="DCX1" s="9" t="s">
        <v>155</v>
      </c>
      <c r="DCY1" s="9" t="s">
        <v>156</v>
      </c>
      <c r="DCZ1" s="9" t="s">
        <v>152</v>
      </c>
      <c r="DDA1" s="9" t="s">
        <v>340</v>
      </c>
      <c r="DDB1" s="9" t="s">
        <v>153</v>
      </c>
      <c r="DDC1" s="9" t="s">
        <v>414</v>
      </c>
      <c r="DDD1" s="9" t="s">
        <v>417</v>
      </c>
      <c r="DDE1" s="9" t="s">
        <v>336</v>
      </c>
      <c r="DDF1" s="9" t="s">
        <v>157</v>
      </c>
      <c r="DDG1" s="9" t="s">
        <v>158</v>
      </c>
      <c r="DDH1" s="9" t="s">
        <v>154</v>
      </c>
      <c r="DDI1" s="9" t="s">
        <v>155</v>
      </c>
      <c r="DDJ1" s="9" t="s">
        <v>156</v>
      </c>
      <c r="DDK1" s="9" t="s">
        <v>152</v>
      </c>
      <c r="DDL1" s="9" t="s">
        <v>340</v>
      </c>
      <c r="DDM1" s="9" t="s">
        <v>153</v>
      </c>
      <c r="DDN1" s="9" t="s">
        <v>414</v>
      </c>
      <c r="DDO1" s="9" t="s">
        <v>417</v>
      </c>
      <c r="DDP1" s="9" t="s">
        <v>157</v>
      </c>
      <c r="DDQ1" s="9" t="s">
        <v>158</v>
      </c>
      <c r="DDR1" s="9" t="s">
        <v>154</v>
      </c>
      <c r="DDS1" s="9" t="s">
        <v>155</v>
      </c>
      <c r="DDT1" s="9" t="s">
        <v>156</v>
      </c>
      <c r="DDU1" s="9" t="s">
        <v>152</v>
      </c>
      <c r="DDV1" s="9" t="s">
        <v>340</v>
      </c>
      <c r="DDW1" s="9" t="s">
        <v>153</v>
      </c>
      <c r="DDX1" s="9" t="s">
        <v>414</v>
      </c>
      <c r="DDY1" s="9" t="s">
        <v>417</v>
      </c>
      <c r="DDZ1" s="9" t="s">
        <v>419</v>
      </c>
      <c r="DEA1" s="9" t="s">
        <v>158</v>
      </c>
      <c r="DEB1" s="9" t="s">
        <v>154</v>
      </c>
      <c r="DEC1" s="9" t="s">
        <v>155</v>
      </c>
      <c r="DED1" s="9" t="s">
        <v>156</v>
      </c>
      <c r="DEE1" s="9" t="s">
        <v>152</v>
      </c>
      <c r="DEF1" s="9" t="s">
        <v>340</v>
      </c>
      <c r="DEG1" s="9" t="s">
        <v>153</v>
      </c>
      <c r="DEH1" s="9" t="s">
        <v>414</v>
      </c>
      <c r="DEI1" s="9" t="s">
        <v>417</v>
      </c>
      <c r="DEJ1" s="9" t="s">
        <v>157</v>
      </c>
      <c r="DEK1" s="9" t="s">
        <v>158</v>
      </c>
      <c r="DEL1" s="9" t="s">
        <v>154</v>
      </c>
      <c r="DEM1" s="9" t="s">
        <v>155</v>
      </c>
      <c r="DEN1" s="9" t="s">
        <v>156</v>
      </c>
      <c r="DEO1" s="9" t="s">
        <v>152</v>
      </c>
      <c r="DEP1" s="9" t="s">
        <v>340</v>
      </c>
      <c r="DEQ1" s="9" t="s">
        <v>153</v>
      </c>
      <c r="DER1" s="9" t="s">
        <v>414</v>
      </c>
      <c r="DES1" s="9" t="s">
        <v>417</v>
      </c>
      <c r="DET1" s="9" t="s">
        <v>157</v>
      </c>
      <c r="DEU1" s="9" t="s">
        <v>158</v>
      </c>
      <c r="DEV1" s="9" t="s">
        <v>154</v>
      </c>
      <c r="DEW1" s="9" t="s">
        <v>155</v>
      </c>
      <c r="DEX1" s="9" t="s">
        <v>156</v>
      </c>
      <c r="DEY1" s="9" t="s">
        <v>152</v>
      </c>
      <c r="DEZ1" s="9" t="s">
        <v>340</v>
      </c>
      <c r="DFA1" s="9" t="s">
        <v>153</v>
      </c>
      <c r="DFB1" s="9" t="s">
        <v>414</v>
      </c>
      <c r="DFC1" s="9" t="s">
        <v>417</v>
      </c>
      <c r="DFD1" s="9" t="s">
        <v>157</v>
      </c>
      <c r="DFE1" s="9" t="s">
        <v>158</v>
      </c>
      <c r="DFF1" s="9" t="s">
        <v>154</v>
      </c>
      <c r="DFG1" s="9" t="s">
        <v>155</v>
      </c>
      <c r="DFH1" s="9" t="s">
        <v>156</v>
      </c>
      <c r="DFI1" s="9" t="s">
        <v>152</v>
      </c>
      <c r="DFJ1" s="9" t="s">
        <v>340</v>
      </c>
      <c r="DFK1" s="9" t="s">
        <v>153</v>
      </c>
      <c r="DFL1" s="9" t="s">
        <v>414</v>
      </c>
      <c r="DFM1" s="9" t="s">
        <v>417</v>
      </c>
      <c r="DFN1" s="9" t="s">
        <v>415</v>
      </c>
      <c r="DFO1" s="9" t="s">
        <v>158</v>
      </c>
      <c r="DFP1" s="9" t="s">
        <v>154</v>
      </c>
      <c r="DFQ1" s="9" t="s">
        <v>155</v>
      </c>
      <c r="DFR1" s="9" t="s">
        <v>156</v>
      </c>
      <c r="DFS1" s="9" t="s">
        <v>152</v>
      </c>
      <c r="DFT1" s="9" t="s">
        <v>340</v>
      </c>
      <c r="DFU1" s="9" t="s">
        <v>153</v>
      </c>
      <c r="DFV1" s="9" t="s">
        <v>414</v>
      </c>
      <c r="DFW1" s="9" t="s">
        <v>417</v>
      </c>
      <c r="DFX1" s="9" t="s">
        <v>415</v>
      </c>
      <c r="DFY1" s="9" t="s">
        <v>158</v>
      </c>
      <c r="DFZ1" s="9" t="s">
        <v>154</v>
      </c>
      <c r="DGA1" s="9" t="s">
        <v>155</v>
      </c>
      <c r="DGB1" s="9" t="s">
        <v>156</v>
      </c>
      <c r="DGC1" s="9" t="s">
        <v>152</v>
      </c>
      <c r="DGD1" s="9" t="s">
        <v>340</v>
      </c>
      <c r="DGE1" s="9" t="s">
        <v>153</v>
      </c>
      <c r="DGF1" s="9" t="s">
        <v>414</v>
      </c>
      <c r="DGG1" s="9" t="s">
        <v>417</v>
      </c>
      <c r="DGH1" s="9" t="s">
        <v>157</v>
      </c>
      <c r="DGI1" s="9" t="s">
        <v>158</v>
      </c>
      <c r="DGJ1" s="9" t="s">
        <v>154</v>
      </c>
      <c r="DGK1" s="9" t="s">
        <v>155</v>
      </c>
      <c r="DGL1" s="9" t="s">
        <v>156</v>
      </c>
      <c r="DGM1" s="9" t="s">
        <v>152</v>
      </c>
      <c r="DGN1" s="9" t="s">
        <v>340</v>
      </c>
      <c r="DGO1" s="9" t="s">
        <v>153</v>
      </c>
      <c r="DGP1" s="9" t="s">
        <v>414</v>
      </c>
      <c r="DGQ1" s="9" t="s">
        <v>417</v>
      </c>
      <c r="DGR1" s="9" t="s">
        <v>157</v>
      </c>
      <c r="DGS1" s="9" t="s">
        <v>158</v>
      </c>
      <c r="DGT1" s="9" t="s">
        <v>154</v>
      </c>
      <c r="DGU1" s="9" t="s">
        <v>155</v>
      </c>
      <c r="DGV1" s="9" t="s">
        <v>156</v>
      </c>
      <c r="DGW1" s="9" t="s">
        <v>152</v>
      </c>
      <c r="DGX1" s="9" t="s">
        <v>340</v>
      </c>
      <c r="DGY1" s="9" t="s">
        <v>153</v>
      </c>
      <c r="DGZ1" s="9" t="s">
        <v>414</v>
      </c>
      <c r="DHA1" s="9" t="s">
        <v>417</v>
      </c>
      <c r="DHB1" s="9" t="s">
        <v>157</v>
      </c>
      <c r="DHC1" s="9" t="s">
        <v>158</v>
      </c>
      <c r="DHD1" s="9" t="s">
        <v>154</v>
      </c>
      <c r="DHE1" s="9" t="s">
        <v>155</v>
      </c>
      <c r="DHF1" s="9" t="s">
        <v>156</v>
      </c>
      <c r="DHG1" s="9" t="s">
        <v>152</v>
      </c>
      <c r="DHH1" s="9" t="s">
        <v>340</v>
      </c>
      <c r="DHI1" s="9" t="s">
        <v>153</v>
      </c>
      <c r="DHJ1" s="9" t="s">
        <v>414</v>
      </c>
      <c r="DHK1" s="9" t="s">
        <v>417</v>
      </c>
      <c r="DHL1" s="9" t="s">
        <v>157</v>
      </c>
      <c r="DHM1" s="9" t="s">
        <v>158</v>
      </c>
      <c r="DHN1" s="9" t="s">
        <v>154</v>
      </c>
      <c r="DHO1" s="9" t="s">
        <v>155</v>
      </c>
      <c r="DHP1" s="9" t="s">
        <v>156</v>
      </c>
      <c r="DHQ1" s="9" t="s">
        <v>152</v>
      </c>
      <c r="DHR1" s="9" t="s">
        <v>340</v>
      </c>
      <c r="DHS1" s="9" t="s">
        <v>153</v>
      </c>
      <c r="DHT1" s="9" t="s">
        <v>414</v>
      </c>
      <c r="DHU1" s="9" t="s">
        <v>417</v>
      </c>
      <c r="DHV1" s="9" t="s">
        <v>157</v>
      </c>
      <c r="DHW1" s="9" t="s">
        <v>158</v>
      </c>
      <c r="DHX1" s="9" t="s">
        <v>154</v>
      </c>
      <c r="DHY1" s="9" t="s">
        <v>155</v>
      </c>
      <c r="DHZ1" s="9" t="s">
        <v>156</v>
      </c>
      <c r="DIA1" s="9" t="s">
        <v>152</v>
      </c>
      <c r="DIB1" s="9" t="s">
        <v>340</v>
      </c>
      <c r="DIC1" s="9" t="s">
        <v>153</v>
      </c>
      <c r="DID1" s="9" t="s">
        <v>414</v>
      </c>
      <c r="DIE1" s="9" t="s">
        <v>417</v>
      </c>
      <c r="DIF1" s="9" t="s">
        <v>157</v>
      </c>
      <c r="DIG1" s="9" t="s">
        <v>158</v>
      </c>
      <c r="DIH1" s="9" t="s">
        <v>154</v>
      </c>
      <c r="DII1" s="9" t="s">
        <v>155</v>
      </c>
      <c r="DIJ1" s="9" t="s">
        <v>156</v>
      </c>
      <c r="DIK1" s="9" t="s">
        <v>152</v>
      </c>
      <c r="DIL1" s="9" t="s">
        <v>340</v>
      </c>
      <c r="DIM1" s="9" t="s">
        <v>153</v>
      </c>
      <c r="DIN1" s="9" t="s">
        <v>414</v>
      </c>
      <c r="DIO1" s="9" t="s">
        <v>417</v>
      </c>
      <c r="DIP1" s="9" t="s">
        <v>157</v>
      </c>
      <c r="DIQ1" s="9" t="s">
        <v>158</v>
      </c>
      <c r="DIR1" s="9" t="s">
        <v>154</v>
      </c>
      <c r="DIS1" s="9" t="s">
        <v>155</v>
      </c>
      <c r="DIT1" s="9" t="s">
        <v>156</v>
      </c>
      <c r="DIU1" s="9" t="s">
        <v>152</v>
      </c>
      <c r="DIV1" s="9" t="s">
        <v>340</v>
      </c>
      <c r="DIW1" s="9" t="s">
        <v>153</v>
      </c>
      <c r="DIX1" s="9" t="s">
        <v>414</v>
      </c>
      <c r="DIY1" s="9" t="s">
        <v>417</v>
      </c>
      <c r="DIZ1" s="9" t="s">
        <v>157</v>
      </c>
      <c r="DJA1" s="9" t="s">
        <v>158</v>
      </c>
      <c r="DJB1" s="9" t="s">
        <v>154</v>
      </c>
      <c r="DJC1" s="9" t="s">
        <v>155</v>
      </c>
      <c r="DJD1" s="9" t="s">
        <v>156</v>
      </c>
      <c r="DJE1" s="9" t="s">
        <v>152</v>
      </c>
      <c r="DJF1" s="9" t="s">
        <v>340</v>
      </c>
      <c r="DJG1" s="9" t="s">
        <v>153</v>
      </c>
      <c r="DJH1" s="9" t="s">
        <v>414</v>
      </c>
      <c r="DJI1" s="9" t="s">
        <v>417</v>
      </c>
      <c r="DJJ1" s="9" t="s">
        <v>336</v>
      </c>
      <c r="DJK1" s="9" t="s">
        <v>157</v>
      </c>
      <c r="DJL1" s="9" t="s">
        <v>158</v>
      </c>
      <c r="DJM1" s="9" t="s">
        <v>154</v>
      </c>
      <c r="DJN1" s="9" t="s">
        <v>155</v>
      </c>
      <c r="DJO1" s="9" t="s">
        <v>156</v>
      </c>
      <c r="DJP1" s="9" t="s">
        <v>152</v>
      </c>
      <c r="DJQ1" s="9" t="s">
        <v>340</v>
      </c>
      <c r="DJR1" s="9" t="s">
        <v>153</v>
      </c>
      <c r="DJS1" s="9" t="s">
        <v>414</v>
      </c>
      <c r="DJT1" s="9" t="s">
        <v>417</v>
      </c>
      <c r="DJU1" s="9" t="s">
        <v>157</v>
      </c>
      <c r="DJV1" s="9" t="s">
        <v>158</v>
      </c>
      <c r="DJW1" s="9" t="s">
        <v>154</v>
      </c>
      <c r="DJX1" s="9" t="s">
        <v>155</v>
      </c>
      <c r="DJY1" s="9" t="s">
        <v>156</v>
      </c>
      <c r="DJZ1" s="9" t="s">
        <v>152</v>
      </c>
      <c r="DKA1" s="9" t="s">
        <v>340</v>
      </c>
      <c r="DKB1" s="9" t="s">
        <v>153</v>
      </c>
      <c r="DKC1" s="9" t="s">
        <v>414</v>
      </c>
      <c r="DKD1" s="9" t="s">
        <v>417</v>
      </c>
      <c r="DKE1" s="9" t="s">
        <v>157</v>
      </c>
      <c r="DKF1" s="9" t="s">
        <v>158</v>
      </c>
      <c r="DKG1" s="9" t="s">
        <v>154</v>
      </c>
      <c r="DKH1" s="9" t="s">
        <v>155</v>
      </c>
      <c r="DKI1" s="9" t="s">
        <v>156</v>
      </c>
      <c r="DKJ1" s="9" t="s">
        <v>152</v>
      </c>
      <c r="DKK1" s="9" t="s">
        <v>340</v>
      </c>
      <c r="DKL1" s="9" t="s">
        <v>153</v>
      </c>
      <c r="DKM1" s="9" t="s">
        <v>414</v>
      </c>
      <c r="DKN1" s="9" t="s">
        <v>417</v>
      </c>
      <c r="DKO1" s="9" t="s">
        <v>157</v>
      </c>
      <c r="DKP1" s="9" t="s">
        <v>158</v>
      </c>
      <c r="DKQ1" s="9" t="s">
        <v>154</v>
      </c>
      <c r="DKR1" s="9" t="s">
        <v>155</v>
      </c>
      <c r="DKS1" s="9" t="s">
        <v>156</v>
      </c>
      <c r="DKT1" s="9" t="s">
        <v>152</v>
      </c>
      <c r="DKU1" s="9" t="s">
        <v>340</v>
      </c>
      <c r="DKV1" s="9" t="s">
        <v>153</v>
      </c>
      <c r="DKW1" s="9" t="s">
        <v>414</v>
      </c>
      <c r="DKX1" s="9" t="s">
        <v>417</v>
      </c>
      <c r="DKY1" s="9" t="s">
        <v>157</v>
      </c>
      <c r="DKZ1" s="9" t="s">
        <v>158</v>
      </c>
      <c r="DLA1" s="9" t="s">
        <v>154</v>
      </c>
      <c r="DLB1" s="9" t="s">
        <v>155</v>
      </c>
      <c r="DLC1" s="9" t="s">
        <v>156</v>
      </c>
      <c r="DLD1" s="9" t="s">
        <v>152</v>
      </c>
      <c r="DLE1" s="9" t="s">
        <v>340</v>
      </c>
      <c r="DLF1" s="9" t="s">
        <v>153</v>
      </c>
      <c r="DLG1" s="9" t="s">
        <v>414</v>
      </c>
      <c r="DLH1" s="9" t="s">
        <v>417</v>
      </c>
      <c r="DLI1" s="9" t="s">
        <v>157</v>
      </c>
      <c r="DLJ1" s="9" t="s">
        <v>158</v>
      </c>
      <c r="DLK1" s="9" t="s">
        <v>154</v>
      </c>
      <c r="DLL1" s="9" t="s">
        <v>155</v>
      </c>
      <c r="DLM1" s="9" t="s">
        <v>156</v>
      </c>
      <c r="DLN1" s="9" t="s">
        <v>152</v>
      </c>
      <c r="DLO1" s="9" t="s">
        <v>340</v>
      </c>
      <c r="DLP1" s="9" t="s">
        <v>153</v>
      </c>
      <c r="DLQ1" s="9" t="s">
        <v>414</v>
      </c>
      <c r="DLR1" s="9" t="s">
        <v>417</v>
      </c>
      <c r="DLS1" s="9" t="s">
        <v>157</v>
      </c>
      <c r="DLT1" s="9" t="s">
        <v>158</v>
      </c>
      <c r="DLU1" s="9" t="s">
        <v>154</v>
      </c>
      <c r="DLV1" s="9" t="s">
        <v>155</v>
      </c>
      <c r="DLW1" s="9" t="s">
        <v>156</v>
      </c>
      <c r="DLX1" s="9" t="s">
        <v>152</v>
      </c>
      <c r="DLY1" s="9" t="s">
        <v>340</v>
      </c>
      <c r="DLZ1" s="9" t="s">
        <v>153</v>
      </c>
      <c r="DMA1" s="9" t="s">
        <v>414</v>
      </c>
      <c r="DMB1" s="9" t="s">
        <v>417</v>
      </c>
      <c r="DMC1" s="9" t="s">
        <v>157</v>
      </c>
      <c r="DMD1" s="9" t="s">
        <v>158</v>
      </c>
      <c r="DME1" s="9" t="s">
        <v>154</v>
      </c>
      <c r="DMF1" s="9" t="s">
        <v>155</v>
      </c>
      <c r="DMG1" s="9" t="s">
        <v>156</v>
      </c>
      <c r="DMH1" s="9" t="s">
        <v>152</v>
      </c>
      <c r="DMI1" s="9" t="s">
        <v>340</v>
      </c>
      <c r="DMJ1" s="9" t="s">
        <v>153</v>
      </c>
      <c r="DMK1" s="9" t="s">
        <v>414</v>
      </c>
      <c r="DML1" s="9" t="s">
        <v>417</v>
      </c>
      <c r="DMM1" s="9" t="s">
        <v>157</v>
      </c>
      <c r="DMN1" s="9" t="s">
        <v>158</v>
      </c>
      <c r="DMO1" s="9" t="s">
        <v>154</v>
      </c>
      <c r="DMP1" s="9" t="s">
        <v>155</v>
      </c>
      <c r="DMQ1" s="9" t="s">
        <v>156</v>
      </c>
      <c r="DMR1" s="9" t="s">
        <v>152</v>
      </c>
      <c r="DMS1" s="9" t="s">
        <v>340</v>
      </c>
      <c r="DMT1" s="9" t="s">
        <v>153</v>
      </c>
      <c r="DMU1" s="9" t="s">
        <v>414</v>
      </c>
      <c r="DMV1" s="9" t="s">
        <v>417</v>
      </c>
      <c r="DMW1" s="9" t="s">
        <v>157</v>
      </c>
      <c r="DMX1" s="9" t="s">
        <v>158</v>
      </c>
      <c r="DMY1" s="9" t="s">
        <v>154</v>
      </c>
      <c r="DMZ1" s="9" t="s">
        <v>155</v>
      </c>
      <c r="DNA1" s="9" t="s">
        <v>156</v>
      </c>
      <c r="DNB1" s="9" t="s">
        <v>152</v>
      </c>
      <c r="DNC1" s="9" t="s">
        <v>340</v>
      </c>
      <c r="DND1" s="9" t="s">
        <v>153</v>
      </c>
      <c r="DNE1" s="9" t="s">
        <v>414</v>
      </c>
      <c r="DNF1" s="9" t="s">
        <v>417</v>
      </c>
      <c r="DNG1" s="9" t="s">
        <v>157</v>
      </c>
      <c r="DNH1" s="9" t="s">
        <v>158</v>
      </c>
      <c r="DNI1" s="9" t="s">
        <v>154</v>
      </c>
      <c r="DNJ1" s="9" t="s">
        <v>155</v>
      </c>
      <c r="DNK1" s="9" t="s">
        <v>156</v>
      </c>
      <c r="DNL1" s="9" t="s">
        <v>152</v>
      </c>
      <c r="DNM1" s="9" t="s">
        <v>340</v>
      </c>
      <c r="DNN1" s="9" t="s">
        <v>153</v>
      </c>
      <c r="DNO1" s="9" t="s">
        <v>414</v>
      </c>
      <c r="DNP1" s="9" t="s">
        <v>417</v>
      </c>
      <c r="DNQ1" s="9" t="s">
        <v>157</v>
      </c>
      <c r="DNR1" s="9" t="s">
        <v>158</v>
      </c>
      <c r="DNS1" s="9" t="s">
        <v>154</v>
      </c>
      <c r="DNT1" s="9" t="s">
        <v>155</v>
      </c>
      <c r="DNU1" s="9" t="s">
        <v>156</v>
      </c>
      <c r="DNV1" s="9" t="s">
        <v>152</v>
      </c>
      <c r="DNW1" s="9" t="s">
        <v>340</v>
      </c>
      <c r="DNX1" s="9" t="s">
        <v>153</v>
      </c>
      <c r="DNY1" s="9" t="s">
        <v>414</v>
      </c>
      <c r="DNZ1" s="9" t="s">
        <v>417</v>
      </c>
      <c r="DOA1" s="9" t="s">
        <v>157</v>
      </c>
      <c r="DOB1" s="9" t="s">
        <v>158</v>
      </c>
      <c r="DOC1" s="9" t="s">
        <v>154</v>
      </c>
      <c r="DOD1" s="9" t="s">
        <v>155</v>
      </c>
      <c r="DOE1" s="9" t="s">
        <v>156</v>
      </c>
      <c r="DOF1" s="9" t="s">
        <v>152</v>
      </c>
      <c r="DOG1" s="9" t="s">
        <v>340</v>
      </c>
      <c r="DOH1" s="9" t="s">
        <v>153</v>
      </c>
      <c r="DOI1" s="9" t="s">
        <v>414</v>
      </c>
      <c r="DOJ1" s="9" t="s">
        <v>417</v>
      </c>
      <c r="DOK1" s="9" t="s">
        <v>157</v>
      </c>
      <c r="DOL1" s="9" t="s">
        <v>158</v>
      </c>
      <c r="DOM1" s="9" t="s">
        <v>154</v>
      </c>
      <c r="DON1" s="9" t="s">
        <v>155</v>
      </c>
      <c r="DOO1" s="9" t="s">
        <v>156</v>
      </c>
      <c r="DOP1" s="9" t="s">
        <v>152</v>
      </c>
      <c r="DOQ1" s="9" t="s">
        <v>340</v>
      </c>
      <c r="DOR1" s="9" t="s">
        <v>153</v>
      </c>
      <c r="DOS1" s="9" t="s">
        <v>414</v>
      </c>
      <c r="DOT1" s="9" t="s">
        <v>417</v>
      </c>
      <c r="DOU1" s="9" t="s">
        <v>157</v>
      </c>
      <c r="DOV1" s="9" t="s">
        <v>158</v>
      </c>
      <c r="DOW1" s="9" t="s">
        <v>154</v>
      </c>
      <c r="DOX1" s="9" t="s">
        <v>155</v>
      </c>
      <c r="DOY1" s="9" t="s">
        <v>156</v>
      </c>
      <c r="DOZ1" s="9" t="s">
        <v>445</v>
      </c>
      <c r="DPA1" s="9" t="s">
        <v>152</v>
      </c>
      <c r="DPB1" s="9" t="s">
        <v>340</v>
      </c>
      <c r="DPC1" s="9" t="s">
        <v>153</v>
      </c>
      <c r="DPD1" s="9" t="s">
        <v>414</v>
      </c>
      <c r="DPE1" s="9" t="s">
        <v>417</v>
      </c>
      <c r="DPF1" s="9" t="s">
        <v>418</v>
      </c>
      <c r="DPG1" s="9" t="s">
        <v>158</v>
      </c>
      <c r="DPH1" s="9" t="s">
        <v>154</v>
      </c>
      <c r="DPI1" s="9" t="s">
        <v>155</v>
      </c>
      <c r="DPJ1" s="9" t="s">
        <v>156</v>
      </c>
      <c r="DPK1" s="9" t="s">
        <v>152</v>
      </c>
      <c r="DPL1" s="9" t="s">
        <v>340</v>
      </c>
      <c r="DPM1" s="9" t="s">
        <v>153</v>
      </c>
      <c r="DPN1" s="9" t="s">
        <v>414</v>
      </c>
      <c r="DPO1" s="9" t="s">
        <v>417</v>
      </c>
      <c r="DPP1" s="9" t="s">
        <v>418</v>
      </c>
      <c r="DPQ1" s="9" t="s">
        <v>158</v>
      </c>
      <c r="DPR1" s="9" t="s">
        <v>154</v>
      </c>
      <c r="DPS1" s="9" t="s">
        <v>155</v>
      </c>
      <c r="DPT1" s="9" t="s">
        <v>156</v>
      </c>
      <c r="DPU1" s="9" t="s">
        <v>152</v>
      </c>
      <c r="DPV1" s="9" t="s">
        <v>340</v>
      </c>
      <c r="DPW1" s="9" t="s">
        <v>153</v>
      </c>
      <c r="DPX1" s="9" t="s">
        <v>414</v>
      </c>
      <c r="DPY1" s="9" t="s">
        <v>417</v>
      </c>
      <c r="DPZ1" s="9" t="s">
        <v>418</v>
      </c>
      <c r="DQA1" s="9" t="s">
        <v>158</v>
      </c>
      <c r="DQB1" s="9" t="s">
        <v>154</v>
      </c>
      <c r="DQC1" s="9" t="s">
        <v>155</v>
      </c>
      <c r="DQD1" s="9" t="s">
        <v>156</v>
      </c>
      <c r="DQE1" s="9" t="s">
        <v>152</v>
      </c>
      <c r="DQF1" s="9" t="s">
        <v>340</v>
      </c>
      <c r="DQG1" s="9" t="s">
        <v>153</v>
      </c>
      <c r="DQH1" s="9" t="s">
        <v>414</v>
      </c>
      <c r="DQI1" s="9" t="s">
        <v>417</v>
      </c>
      <c r="DQJ1" s="9" t="s">
        <v>723</v>
      </c>
      <c r="DQK1" s="9" t="s">
        <v>158</v>
      </c>
      <c r="DQL1" s="9" t="s">
        <v>154</v>
      </c>
      <c r="DQM1" s="9" t="s">
        <v>155</v>
      </c>
      <c r="DQN1" s="9" t="s">
        <v>156</v>
      </c>
      <c r="DQO1" s="9" t="s">
        <v>1648</v>
      </c>
      <c r="DQP1" s="9" t="s">
        <v>152</v>
      </c>
      <c r="DQQ1" s="9" t="s">
        <v>340</v>
      </c>
      <c r="DQR1" s="9" t="s">
        <v>153</v>
      </c>
      <c r="DQS1" s="9" t="s">
        <v>414</v>
      </c>
      <c r="DQT1" s="9" t="s">
        <v>417</v>
      </c>
      <c r="DQU1" s="9" t="s">
        <v>157</v>
      </c>
      <c r="DQV1" s="9" t="s">
        <v>158</v>
      </c>
      <c r="DQW1" s="9" t="s">
        <v>154</v>
      </c>
      <c r="DQX1" s="9" t="s">
        <v>155</v>
      </c>
      <c r="DQY1" s="9" t="s">
        <v>156</v>
      </c>
      <c r="DQZ1" s="9" t="s">
        <v>152</v>
      </c>
      <c r="DRA1" s="9" t="s">
        <v>340</v>
      </c>
      <c r="DRB1" s="9" t="s">
        <v>153</v>
      </c>
      <c r="DRC1" s="9" t="s">
        <v>414</v>
      </c>
      <c r="DRD1" s="9" t="s">
        <v>417</v>
      </c>
      <c r="DRE1" s="9" t="s">
        <v>157</v>
      </c>
      <c r="DRF1" s="9" t="s">
        <v>158</v>
      </c>
      <c r="DRG1" s="9" t="s">
        <v>154</v>
      </c>
      <c r="DRH1" s="9" t="s">
        <v>155</v>
      </c>
      <c r="DRI1" s="9" t="s">
        <v>156</v>
      </c>
      <c r="DRJ1" s="9" t="s">
        <v>152</v>
      </c>
      <c r="DRK1" s="9" t="s">
        <v>340</v>
      </c>
      <c r="DRL1" s="9" t="s">
        <v>153</v>
      </c>
      <c r="DRM1" s="9" t="s">
        <v>414</v>
      </c>
      <c r="DRN1" s="9" t="s">
        <v>417</v>
      </c>
      <c r="DRO1" s="9" t="s">
        <v>336</v>
      </c>
      <c r="DRP1" s="9" t="s">
        <v>157</v>
      </c>
      <c r="DRQ1" s="9" t="s">
        <v>158</v>
      </c>
      <c r="DRR1" s="9" t="s">
        <v>154</v>
      </c>
      <c r="DRS1" s="9" t="s">
        <v>155</v>
      </c>
      <c r="DRT1" s="9" t="s">
        <v>156</v>
      </c>
      <c r="DRU1" s="9" t="s">
        <v>152</v>
      </c>
      <c r="DRV1" s="9" t="s">
        <v>340</v>
      </c>
      <c r="DRW1" s="9" t="s">
        <v>153</v>
      </c>
      <c r="DRX1" s="9" t="s">
        <v>414</v>
      </c>
      <c r="DRY1" s="9" t="s">
        <v>417</v>
      </c>
      <c r="DRZ1" s="9" t="s">
        <v>157</v>
      </c>
      <c r="DSA1" s="9" t="s">
        <v>158</v>
      </c>
      <c r="DSB1" s="9" t="s">
        <v>154</v>
      </c>
      <c r="DSC1" s="9" t="s">
        <v>155</v>
      </c>
      <c r="DSD1" s="9" t="s">
        <v>156</v>
      </c>
      <c r="DSE1" s="9" t="s">
        <v>152</v>
      </c>
      <c r="DSF1" s="9" t="s">
        <v>340</v>
      </c>
      <c r="DSG1" s="9" t="s">
        <v>153</v>
      </c>
      <c r="DSH1" s="9" t="s">
        <v>414</v>
      </c>
      <c r="DSI1" s="9" t="s">
        <v>417</v>
      </c>
      <c r="DSJ1" s="9" t="s">
        <v>157</v>
      </c>
      <c r="DSK1" s="9" t="s">
        <v>158</v>
      </c>
      <c r="DSL1" s="9" t="s">
        <v>154</v>
      </c>
      <c r="DSM1" s="9" t="s">
        <v>155</v>
      </c>
      <c r="DSN1" s="9" t="s">
        <v>156</v>
      </c>
      <c r="DSO1" s="9" t="s">
        <v>152</v>
      </c>
      <c r="DSP1" s="9" t="s">
        <v>340</v>
      </c>
      <c r="DSQ1" s="9" t="s">
        <v>153</v>
      </c>
      <c r="DSR1" s="9" t="s">
        <v>414</v>
      </c>
      <c r="DSS1" s="9" t="s">
        <v>417</v>
      </c>
      <c r="DST1" s="9" t="s">
        <v>157</v>
      </c>
      <c r="DSU1" s="9" t="s">
        <v>158</v>
      </c>
      <c r="DSV1" s="9" t="s">
        <v>154</v>
      </c>
      <c r="DSW1" s="9" t="s">
        <v>155</v>
      </c>
      <c r="DSX1" s="9" t="s">
        <v>156</v>
      </c>
      <c r="DSY1" s="9" t="s">
        <v>152</v>
      </c>
      <c r="DSZ1" s="9" t="s">
        <v>340</v>
      </c>
      <c r="DTA1" s="9" t="s">
        <v>153</v>
      </c>
      <c r="DTB1" s="9" t="s">
        <v>414</v>
      </c>
      <c r="DTC1" s="9" t="s">
        <v>417</v>
      </c>
      <c r="DTD1" s="9" t="s">
        <v>157</v>
      </c>
      <c r="DTE1" s="9" t="s">
        <v>158</v>
      </c>
      <c r="DTF1" s="9" t="s">
        <v>154</v>
      </c>
      <c r="DTG1" s="9" t="s">
        <v>155</v>
      </c>
      <c r="DTH1" s="9" t="s">
        <v>156</v>
      </c>
      <c r="DTI1" s="9" t="s">
        <v>152</v>
      </c>
      <c r="DTJ1" s="9" t="s">
        <v>340</v>
      </c>
      <c r="DTK1" s="9" t="s">
        <v>153</v>
      </c>
      <c r="DTL1" s="9" t="s">
        <v>414</v>
      </c>
      <c r="DTM1" s="9" t="s">
        <v>417</v>
      </c>
      <c r="DTN1" s="9" t="s">
        <v>403</v>
      </c>
      <c r="DTO1" s="9" t="s">
        <v>158</v>
      </c>
      <c r="DTP1" s="9" t="s">
        <v>154</v>
      </c>
      <c r="DTQ1" s="9" t="s">
        <v>155</v>
      </c>
      <c r="DTR1" s="9" t="s">
        <v>346</v>
      </c>
      <c r="DTS1" s="9" t="s">
        <v>156</v>
      </c>
      <c r="DTT1" s="9" t="s">
        <v>152</v>
      </c>
      <c r="DTU1" s="9" t="s">
        <v>340</v>
      </c>
      <c r="DTV1" s="9" t="s">
        <v>153</v>
      </c>
      <c r="DTW1" s="9" t="s">
        <v>414</v>
      </c>
      <c r="DTX1" s="9" t="s">
        <v>417</v>
      </c>
      <c r="DTY1" s="9" t="s">
        <v>157</v>
      </c>
      <c r="DTZ1" s="9" t="s">
        <v>158</v>
      </c>
      <c r="DUA1" s="9" t="s">
        <v>154</v>
      </c>
      <c r="DUB1" s="9" t="s">
        <v>155</v>
      </c>
      <c r="DUC1" s="9" t="s">
        <v>156</v>
      </c>
      <c r="DUD1" s="9" t="s">
        <v>152</v>
      </c>
      <c r="DUE1" s="9" t="s">
        <v>340</v>
      </c>
      <c r="DUF1" s="9" t="s">
        <v>153</v>
      </c>
      <c r="DUG1" s="9" t="s">
        <v>414</v>
      </c>
      <c r="DUH1" s="9" t="s">
        <v>417</v>
      </c>
      <c r="DUI1" s="9" t="s">
        <v>157</v>
      </c>
      <c r="DUJ1" s="9" t="s">
        <v>158</v>
      </c>
      <c r="DUK1" s="9" t="s">
        <v>154</v>
      </c>
      <c r="DUL1" s="9" t="s">
        <v>155</v>
      </c>
      <c r="DUM1" s="9" t="s">
        <v>156</v>
      </c>
      <c r="DUN1" s="9" t="s">
        <v>152</v>
      </c>
      <c r="DUO1" s="9" t="s">
        <v>340</v>
      </c>
      <c r="DUP1" s="9" t="s">
        <v>153</v>
      </c>
      <c r="DUQ1" s="9" t="s">
        <v>414</v>
      </c>
      <c r="DUR1" s="9" t="s">
        <v>417</v>
      </c>
      <c r="DUS1" s="9" t="s">
        <v>157</v>
      </c>
      <c r="DUT1" s="9" t="s">
        <v>158</v>
      </c>
      <c r="DUU1" s="9" t="s">
        <v>154</v>
      </c>
      <c r="DUV1" s="9" t="s">
        <v>155</v>
      </c>
      <c r="DUW1" s="9" t="s">
        <v>156</v>
      </c>
      <c r="DUX1" s="9" t="s">
        <v>152</v>
      </c>
      <c r="DUY1" s="9" t="s">
        <v>340</v>
      </c>
      <c r="DUZ1" s="9" t="s">
        <v>153</v>
      </c>
      <c r="DVA1" s="9" t="s">
        <v>414</v>
      </c>
      <c r="DVB1" s="9" t="s">
        <v>417</v>
      </c>
      <c r="DVC1" s="9" t="s">
        <v>418</v>
      </c>
      <c r="DVD1" s="9" t="s">
        <v>158</v>
      </c>
      <c r="DVE1" s="9" t="s">
        <v>154</v>
      </c>
      <c r="DVF1" s="9" t="s">
        <v>155</v>
      </c>
      <c r="DVG1" s="9" t="s">
        <v>156</v>
      </c>
      <c r="DVH1" s="9" t="s">
        <v>152</v>
      </c>
      <c r="DVI1" s="9" t="s">
        <v>340</v>
      </c>
      <c r="DVJ1" s="9" t="s">
        <v>153</v>
      </c>
      <c r="DVK1" s="9" t="s">
        <v>414</v>
      </c>
      <c r="DVL1" s="9" t="s">
        <v>417</v>
      </c>
      <c r="DVM1" s="9" t="s">
        <v>336</v>
      </c>
      <c r="DVN1" s="9" t="s">
        <v>157</v>
      </c>
      <c r="DVO1" s="9" t="s">
        <v>158</v>
      </c>
      <c r="DVP1" s="9" t="s">
        <v>154</v>
      </c>
      <c r="DVQ1" s="9" t="s">
        <v>155</v>
      </c>
      <c r="DVR1" s="9" t="s">
        <v>156</v>
      </c>
      <c r="DVS1" s="9" t="s">
        <v>152</v>
      </c>
      <c r="DVT1" s="9" t="s">
        <v>340</v>
      </c>
      <c r="DVU1" s="9" t="s">
        <v>153</v>
      </c>
      <c r="DVV1" s="9" t="s">
        <v>414</v>
      </c>
      <c r="DVW1" s="9" t="s">
        <v>417</v>
      </c>
      <c r="DVX1" s="9" t="s">
        <v>157</v>
      </c>
      <c r="DVY1" s="9" t="s">
        <v>158</v>
      </c>
      <c r="DVZ1" s="9" t="s">
        <v>154</v>
      </c>
      <c r="DWA1" s="9" t="s">
        <v>155</v>
      </c>
      <c r="DWB1" s="9" t="s">
        <v>156</v>
      </c>
      <c r="DWC1" s="9" t="s">
        <v>152</v>
      </c>
      <c r="DWD1" s="9" t="s">
        <v>340</v>
      </c>
      <c r="DWE1" s="9" t="s">
        <v>153</v>
      </c>
      <c r="DWF1" s="9" t="s">
        <v>414</v>
      </c>
      <c r="DWG1" s="9" t="s">
        <v>417</v>
      </c>
      <c r="DWH1" s="9" t="s">
        <v>157</v>
      </c>
      <c r="DWI1" s="9" t="s">
        <v>158</v>
      </c>
      <c r="DWJ1" s="9" t="s">
        <v>154</v>
      </c>
      <c r="DWK1" s="9" t="s">
        <v>155</v>
      </c>
      <c r="DWL1" s="9" t="s">
        <v>156</v>
      </c>
      <c r="DWM1" s="9" t="s">
        <v>152</v>
      </c>
      <c r="DWN1" s="9" t="s">
        <v>340</v>
      </c>
      <c r="DWO1" s="9" t="s">
        <v>153</v>
      </c>
      <c r="DWP1" s="9" t="s">
        <v>414</v>
      </c>
      <c r="DWQ1" s="9" t="s">
        <v>417</v>
      </c>
      <c r="DWR1" s="9" t="s">
        <v>157</v>
      </c>
      <c r="DWS1" s="9" t="s">
        <v>158</v>
      </c>
      <c r="DWT1" s="9" t="s">
        <v>154</v>
      </c>
      <c r="DWU1" s="9" t="s">
        <v>155</v>
      </c>
      <c r="DWV1" s="9" t="s">
        <v>156</v>
      </c>
      <c r="DWW1" s="9" t="s">
        <v>152</v>
      </c>
      <c r="DWX1" s="9" t="s">
        <v>340</v>
      </c>
      <c r="DWY1" s="9" t="s">
        <v>153</v>
      </c>
      <c r="DWZ1" s="9" t="s">
        <v>414</v>
      </c>
      <c r="DXA1" s="9" t="s">
        <v>417</v>
      </c>
      <c r="DXB1" s="9" t="s">
        <v>336</v>
      </c>
      <c r="DXC1" s="9" t="s">
        <v>157</v>
      </c>
      <c r="DXD1" s="9" t="s">
        <v>158</v>
      </c>
      <c r="DXE1" s="9" t="s">
        <v>154</v>
      </c>
      <c r="DXF1" s="9" t="s">
        <v>155</v>
      </c>
      <c r="DXG1" s="9" t="s">
        <v>156</v>
      </c>
      <c r="DXH1" s="9" t="s">
        <v>152</v>
      </c>
      <c r="DXI1" s="9" t="s">
        <v>340</v>
      </c>
      <c r="DXJ1" s="9" t="s">
        <v>153</v>
      </c>
      <c r="DXK1" s="9" t="s">
        <v>414</v>
      </c>
      <c r="DXL1" s="9" t="s">
        <v>417</v>
      </c>
      <c r="DXM1" s="9" t="s">
        <v>403</v>
      </c>
      <c r="DXN1" s="9" t="s">
        <v>158</v>
      </c>
      <c r="DXO1" s="9" t="s">
        <v>154</v>
      </c>
      <c r="DXP1" s="9" t="s">
        <v>155</v>
      </c>
      <c r="DXQ1" s="9" t="s">
        <v>346</v>
      </c>
      <c r="DXR1" s="9" t="s">
        <v>156</v>
      </c>
      <c r="DXS1" s="9" t="s">
        <v>152</v>
      </c>
      <c r="DXT1" s="9" t="s">
        <v>340</v>
      </c>
      <c r="DXU1" s="9" t="s">
        <v>153</v>
      </c>
      <c r="DXV1" s="9" t="s">
        <v>414</v>
      </c>
      <c r="DXW1" s="9" t="s">
        <v>417</v>
      </c>
      <c r="DXX1" s="9" t="s">
        <v>403</v>
      </c>
      <c r="DXY1" s="9" t="s">
        <v>158</v>
      </c>
      <c r="DXZ1" s="9" t="s">
        <v>154</v>
      </c>
      <c r="DYA1" s="9" t="s">
        <v>346</v>
      </c>
      <c r="DYB1" s="9" t="s">
        <v>155</v>
      </c>
      <c r="DYC1" s="9" t="s">
        <v>156</v>
      </c>
      <c r="DYD1" s="9" t="s">
        <v>152</v>
      </c>
      <c r="DYE1" s="9" t="s">
        <v>340</v>
      </c>
      <c r="DYF1" s="9" t="s">
        <v>153</v>
      </c>
      <c r="DYG1" s="9" t="s">
        <v>414</v>
      </c>
      <c r="DYH1" s="9" t="s">
        <v>417</v>
      </c>
      <c r="DYI1" s="9" t="s">
        <v>403</v>
      </c>
      <c r="DYJ1" s="9" t="s">
        <v>158</v>
      </c>
      <c r="DYK1" s="9" t="s">
        <v>154</v>
      </c>
      <c r="DYL1" s="9" t="s">
        <v>346</v>
      </c>
      <c r="DYM1" s="9" t="s">
        <v>155</v>
      </c>
      <c r="DYN1" s="9" t="s">
        <v>156</v>
      </c>
      <c r="DYO1" s="9" t="s">
        <v>152</v>
      </c>
      <c r="DYP1" s="9" t="s">
        <v>340</v>
      </c>
      <c r="DYQ1" s="9" t="s">
        <v>153</v>
      </c>
      <c r="DYR1" s="9" t="s">
        <v>414</v>
      </c>
      <c r="DYS1" s="9" t="s">
        <v>417</v>
      </c>
      <c r="DYT1" s="9" t="s">
        <v>157</v>
      </c>
      <c r="DYU1" s="9" t="s">
        <v>158</v>
      </c>
      <c r="DYV1" s="9" t="s">
        <v>154</v>
      </c>
      <c r="DYW1" s="9" t="s">
        <v>346</v>
      </c>
      <c r="DYX1" s="9" t="s">
        <v>155</v>
      </c>
      <c r="DYY1" s="9" t="s">
        <v>156</v>
      </c>
      <c r="DYZ1" s="9" t="s">
        <v>152</v>
      </c>
      <c r="DZA1" s="9" t="s">
        <v>340</v>
      </c>
      <c r="DZB1" s="9" t="s">
        <v>153</v>
      </c>
      <c r="DZC1" s="9" t="s">
        <v>414</v>
      </c>
      <c r="DZD1" s="9" t="s">
        <v>417</v>
      </c>
      <c r="DZE1" s="9" t="s">
        <v>336</v>
      </c>
      <c r="DZF1" s="9" t="s">
        <v>157</v>
      </c>
      <c r="DZG1" s="9" t="s">
        <v>158</v>
      </c>
      <c r="DZH1" s="9" t="s">
        <v>154</v>
      </c>
      <c r="DZI1" s="9" t="s">
        <v>155</v>
      </c>
      <c r="DZJ1" s="9" t="s">
        <v>346</v>
      </c>
      <c r="DZK1" s="9" t="s">
        <v>156</v>
      </c>
      <c r="DZL1" s="9" t="s">
        <v>152</v>
      </c>
      <c r="DZM1" s="9" t="s">
        <v>340</v>
      </c>
      <c r="DZN1" s="9" t="s">
        <v>153</v>
      </c>
      <c r="DZO1" s="9" t="s">
        <v>414</v>
      </c>
      <c r="DZP1" s="9" t="s">
        <v>417</v>
      </c>
      <c r="DZQ1" s="9" t="s">
        <v>157</v>
      </c>
      <c r="DZR1" s="9" t="s">
        <v>158</v>
      </c>
      <c r="DZS1" s="9" t="s">
        <v>154</v>
      </c>
      <c r="DZT1" s="9" t="s">
        <v>155</v>
      </c>
      <c r="DZU1" s="9" t="s">
        <v>156</v>
      </c>
      <c r="DZV1" s="9" t="s">
        <v>152</v>
      </c>
      <c r="DZW1" s="9" t="s">
        <v>340</v>
      </c>
      <c r="DZX1" s="9" t="s">
        <v>153</v>
      </c>
      <c r="DZY1" s="9" t="s">
        <v>414</v>
      </c>
      <c r="DZZ1" s="9" t="s">
        <v>417</v>
      </c>
      <c r="EAA1" s="9" t="s">
        <v>157</v>
      </c>
      <c r="EAB1" s="9" t="s">
        <v>158</v>
      </c>
      <c r="EAC1" s="9" t="s">
        <v>154</v>
      </c>
      <c r="EAD1" s="9" t="s">
        <v>155</v>
      </c>
      <c r="EAE1" s="9" t="s">
        <v>156</v>
      </c>
      <c r="EAF1" s="9" t="s">
        <v>152</v>
      </c>
      <c r="EAG1" s="9" t="s">
        <v>340</v>
      </c>
      <c r="EAH1" s="9" t="s">
        <v>153</v>
      </c>
      <c r="EAI1" s="9" t="s">
        <v>414</v>
      </c>
      <c r="EAJ1" s="9" t="s">
        <v>417</v>
      </c>
      <c r="EAK1" s="9" t="s">
        <v>336</v>
      </c>
      <c r="EAL1" s="9" t="s">
        <v>157</v>
      </c>
      <c r="EAM1" s="9" t="s">
        <v>158</v>
      </c>
      <c r="EAN1" s="9" t="s">
        <v>154</v>
      </c>
      <c r="EAO1" s="9" t="s">
        <v>155</v>
      </c>
      <c r="EAP1" s="9" t="s">
        <v>346</v>
      </c>
      <c r="EAQ1" s="9" t="s">
        <v>156</v>
      </c>
      <c r="EAR1" s="9" t="s">
        <v>152</v>
      </c>
      <c r="EAS1" s="9" t="s">
        <v>340</v>
      </c>
      <c r="EAT1" s="9" t="s">
        <v>153</v>
      </c>
      <c r="EAU1" s="9" t="s">
        <v>414</v>
      </c>
      <c r="EAV1" s="9" t="s">
        <v>417</v>
      </c>
      <c r="EAW1" s="9" t="s">
        <v>157</v>
      </c>
      <c r="EAX1" s="9" t="s">
        <v>158</v>
      </c>
      <c r="EAY1" s="9" t="s">
        <v>154</v>
      </c>
      <c r="EAZ1" s="9" t="s">
        <v>155</v>
      </c>
      <c r="EBA1" s="9" t="s">
        <v>156</v>
      </c>
      <c r="EBB1" s="9" t="s">
        <v>152</v>
      </c>
      <c r="EBC1" s="9" t="s">
        <v>340</v>
      </c>
      <c r="EBD1" s="9" t="s">
        <v>153</v>
      </c>
      <c r="EBE1" s="9" t="s">
        <v>414</v>
      </c>
      <c r="EBF1" s="9" t="s">
        <v>417</v>
      </c>
      <c r="EBG1" s="9" t="s">
        <v>157</v>
      </c>
      <c r="EBH1" s="9" t="s">
        <v>158</v>
      </c>
      <c r="EBI1" s="9" t="s">
        <v>154</v>
      </c>
      <c r="EBJ1" s="9" t="s">
        <v>155</v>
      </c>
      <c r="EBK1" s="9" t="s">
        <v>156</v>
      </c>
      <c r="EBL1" s="9" t="s">
        <v>152</v>
      </c>
      <c r="EBM1" s="9" t="s">
        <v>340</v>
      </c>
      <c r="EBN1" s="9" t="s">
        <v>153</v>
      </c>
      <c r="EBO1" s="9" t="s">
        <v>414</v>
      </c>
      <c r="EBP1" s="9" t="s">
        <v>417</v>
      </c>
      <c r="EBQ1" s="9" t="s">
        <v>157</v>
      </c>
      <c r="EBR1" s="9" t="s">
        <v>158</v>
      </c>
      <c r="EBS1" s="9" t="s">
        <v>154</v>
      </c>
      <c r="EBT1" s="9" t="s">
        <v>155</v>
      </c>
      <c r="EBU1" s="9" t="s">
        <v>156</v>
      </c>
      <c r="EBV1" s="9" t="s">
        <v>152</v>
      </c>
      <c r="EBW1" s="9" t="s">
        <v>340</v>
      </c>
      <c r="EBX1" s="9" t="s">
        <v>153</v>
      </c>
      <c r="EBY1" s="9" t="s">
        <v>414</v>
      </c>
      <c r="EBZ1" s="9" t="s">
        <v>417</v>
      </c>
      <c r="ECA1" s="9" t="s">
        <v>157</v>
      </c>
      <c r="ECB1" s="9" t="s">
        <v>158</v>
      </c>
      <c r="ECC1" s="9" t="s">
        <v>154</v>
      </c>
      <c r="ECD1" s="9" t="s">
        <v>155</v>
      </c>
      <c r="ECE1" s="9" t="s">
        <v>156</v>
      </c>
      <c r="ECF1" s="9" t="s">
        <v>152</v>
      </c>
      <c r="ECG1" s="9" t="s">
        <v>340</v>
      </c>
      <c r="ECH1" s="9" t="s">
        <v>153</v>
      </c>
      <c r="ECI1" s="9" t="s">
        <v>414</v>
      </c>
      <c r="ECJ1" s="9" t="s">
        <v>417</v>
      </c>
      <c r="ECK1" s="9" t="s">
        <v>336</v>
      </c>
      <c r="ECL1" s="9" t="s">
        <v>157</v>
      </c>
      <c r="ECM1" s="9" t="s">
        <v>158</v>
      </c>
      <c r="ECN1" s="9" t="s">
        <v>154</v>
      </c>
      <c r="ECO1" s="9" t="s">
        <v>155</v>
      </c>
      <c r="ECP1" s="9" t="s">
        <v>156</v>
      </c>
      <c r="ECQ1" s="9" t="s">
        <v>152</v>
      </c>
      <c r="ECR1" s="9" t="s">
        <v>340</v>
      </c>
      <c r="ECS1" s="9" t="s">
        <v>153</v>
      </c>
      <c r="ECT1" s="9" t="s">
        <v>414</v>
      </c>
      <c r="ECU1" s="9" t="s">
        <v>417</v>
      </c>
      <c r="ECV1" s="9" t="s">
        <v>157</v>
      </c>
      <c r="ECW1" s="9" t="s">
        <v>158</v>
      </c>
      <c r="ECX1" s="9" t="s">
        <v>154</v>
      </c>
      <c r="ECY1" s="9" t="s">
        <v>155</v>
      </c>
      <c r="ECZ1" s="9" t="s">
        <v>156</v>
      </c>
      <c r="EDA1" s="9" t="s">
        <v>152</v>
      </c>
      <c r="EDB1" s="9" t="s">
        <v>340</v>
      </c>
      <c r="EDC1" s="9" t="s">
        <v>153</v>
      </c>
      <c r="EDD1" s="9" t="s">
        <v>414</v>
      </c>
      <c r="EDE1" s="9" t="s">
        <v>417</v>
      </c>
      <c r="EDF1" s="9" t="s">
        <v>157</v>
      </c>
      <c r="EDG1" s="9" t="s">
        <v>158</v>
      </c>
      <c r="EDH1" s="9" t="s">
        <v>154</v>
      </c>
      <c r="EDI1" s="9" t="s">
        <v>155</v>
      </c>
      <c r="EDJ1" s="9" t="s">
        <v>156</v>
      </c>
      <c r="EDK1" s="9" t="s">
        <v>152</v>
      </c>
      <c r="EDL1" s="9" t="s">
        <v>340</v>
      </c>
      <c r="EDM1" s="9" t="s">
        <v>153</v>
      </c>
      <c r="EDN1" s="9" t="s">
        <v>414</v>
      </c>
      <c r="EDO1" s="9" t="s">
        <v>417</v>
      </c>
      <c r="EDP1" s="9" t="s">
        <v>157</v>
      </c>
      <c r="EDQ1" s="9" t="s">
        <v>158</v>
      </c>
      <c r="EDR1" s="9" t="s">
        <v>154</v>
      </c>
      <c r="EDS1" s="9" t="s">
        <v>155</v>
      </c>
      <c r="EDT1" s="9" t="s">
        <v>156</v>
      </c>
      <c r="EDU1" s="9" t="s">
        <v>152</v>
      </c>
      <c r="EDV1" s="9" t="s">
        <v>340</v>
      </c>
      <c r="EDW1" s="9" t="s">
        <v>153</v>
      </c>
      <c r="EDX1" s="9" t="s">
        <v>414</v>
      </c>
      <c r="EDY1" s="9" t="s">
        <v>417</v>
      </c>
      <c r="EDZ1" s="9" t="s">
        <v>336</v>
      </c>
      <c r="EEA1" s="9" t="s">
        <v>157</v>
      </c>
      <c r="EEB1" s="9" t="s">
        <v>158</v>
      </c>
      <c r="EEC1" s="9" t="s">
        <v>154</v>
      </c>
      <c r="EED1" s="9" t="s">
        <v>155</v>
      </c>
      <c r="EEE1" s="9" t="s">
        <v>156</v>
      </c>
      <c r="EEF1" s="9" t="s">
        <v>152</v>
      </c>
      <c r="EEG1" s="9" t="s">
        <v>340</v>
      </c>
      <c r="EEH1" s="9" t="s">
        <v>153</v>
      </c>
      <c r="EEI1" s="9" t="s">
        <v>414</v>
      </c>
      <c r="EEJ1" s="9" t="s">
        <v>417</v>
      </c>
      <c r="EEK1" s="9" t="s">
        <v>336</v>
      </c>
      <c r="EEL1" s="9" t="s">
        <v>157</v>
      </c>
      <c r="EEM1" s="9" t="s">
        <v>158</v>
      </c>
      <c r="EEN1" s="9" t="s">
        <v>154</v>
      </c>
      <c r="EEO1" s="9" t="s">
        <v>155</v>
      </c>
      <c r="EEP1" s="9" t="s">
        <v>156</v>
      </c>
      <c r="EEQ1" s="9" t="s">
        <v>152</v>
      </c>
      <c r="EER1" s="9" t="s">
        <v>340</v>
      </c>
      <c r="EES1" s="9" t="s">
        <v>153</v>
      </c>
      <c r="EET1" s="9" t="s">
        <v>414</v>
      </c>
      <c r="EEU1" s="9" t="s">
        <v>417</v>
      </c>
      <c r="EEV1" s="9" t="s">
        <v>336</v>
      </c>
      <c r="EEW1" s="9" t="s">
        <v>157</v>
      </c>
      <c r="EEX1" s="9" t="s">
        <v>158</v>
      </c>
      <c r="EEY1" s="9" t="s">
        <v>154</v>
      </c>
      <c r="EEZ1" s="9" t="s">
        <v>155</v>
      </c>
      <c r="EFA1" s="9" t="s">
        <v>156</v>
      </c>
      <c r="EFB1" s="9" t="s">
        <v>508</v>
      </c>
      <c r="EFC1" s="9" t="s">
        <v>152</v>
      </c>
      <c r="EFD1" s="9" t="s">
        <v>340</v>
      </c>
      <c r="EFE1" s="9" t="s">
        <v>153</v>
      </c>
      <c r="EFF1" s="9" t="s">
        <v>414</v>
      </c>
      <c r="EFG1" s="9" t="s">
        <v>417</v>
      </c>
      <c r="EFH1" s="9" t="s">
        <v>336</v>
      </c>
      <c r="EFI1" s="9" t="s">
        <v>347</v>
      </c>
      <c r="EFJ1" s="9" t="s">
        <v>158</v>
      </c>
      <c r="EFK1" s="9" t="s">
        <v>154</v>
      </c>
      <c r="EFL1" s="9" t="s">
        <v>155</v>
      </c>
      <c r="EFM1" s="9" t="s">
        <v>346</v>
      </c>
      <c r="EFN1" s="9" t="s">
        <v>156</v>
      </c>
      <c r="EFO1" s="9" t="s">
        <v>152</v>
      </c>
      <c r="EFP1" s="9" t="s">
        <v>340</v>
      </c>
      <c r="EFQ1" s="9" t="s">
        <v>153</v>
      </c>
      <c r="EFR1" s="9" t="s">
        <v>414</v>
      </c>
      <c r="EFS1" s="9" t="s">
        <v>417</v>
      </c>
      <c r="EFT1" s="9" t="s">
        <v>157</v>
      </c>
      <c r="EFU1" s="9" t="s">
        <v>158</v>
      </c>
      <c r="EFV1" s="9" t="s">
        <v>154</v>
      </c>
      <c r="EFW1" s="9" t="s">
        <v>155</v>
      </c>
      <c r="EFX1" s="9" t="s">
        <v>156</v>
      </c>
      <c r="EFY1" s="9" t="s">
        <v>152</v>
      </c>
      <c r="EFZ1" s="9" t="s">
        <v>340</v>
      </c>
      <c r="EGA1" s="9" t="s">
        <v>153</v>
      </c>
      <c r="EGB1" s="9" t="s">
        <v>414</v>
      </c>
      <c r="EGC1" s="9" t="s">
        <v>417</v>
      </c>
      <c r="EGD1" s="9" t="s">
        <v>157</v>
      </c>
      <c r="EGE1" s="9" t="s">
        <v>158</v>
      </c>
      <c r="EGF1" s="9" t="s">
        <v>154</v>
      </c>
      <c r="EGG1" s="9" t="s">
        <v>155</v>
      </c>
      <c r="EGH1" s="9" t="s">
        <v>156</v>
      </c>
      <c r="EGI1" s="9" t="s">
        <v>152</v>
      </c>
      <c r="EGJ1" s="9" t="s">
        <v>340</v>
      </c>
      <c r="EGK1" s="9" t="s">
        <v>153</v>
      </c>
      <c r="EGL1" s="9" t="s">
        <v>414</v>
      </c>
      <c r="EGM1" s="9" t="s">
        <v>417</v>
      </c>
      <c r="EGN1" s="9" t="s">
        <v>157</v>
      </c>
      <c r="EGO1" s="9" t="s">
        <v>348</v>
      </c>
      <c r="EGP1" s="9" t="s">
        <v>154</v>
      </c>
      <c r="EGQ1" s="9" t="s">
        <v>155</v>
      </c>
      <c r="EGR1" s="9" t="s">
        <v>156</v>
      </c>
      <c r="EGS1" s="9" t="s">
        <v>152</v>
      </c>
      <c r="EGT1" s="9" t="s">
        <v>340</v>
      </c>
      <c r="EGU1" s="9" t="s">
        <v>153</v>
      </c>
      <c r="EGV1" s="9" t="s">
        <v>414</v>
      </c>
      <c r="EGW1" s="9" t="s">
        <v>417</v>
      </c>
      <c r="EGX1" s="9" t="s">
        <v>422</v>
      </c>
      <c r="EGY1" s="9" t="s">
        <v>348</v>
      </c>
      <c r="EGZ1" s="9" t="s">
        <v>154</v>
      </c>
      <c r="EHA1" s="9" t="s">
        <v>155</v>
      </c>
      <c r="EHB1" s="9" t="s">
        <v>156</v>
      </c>
      <c r="EHC1" s="9" t="s">
        <v>152</v>
      </c>
      <c r="EHD1" s="9" t="s">
        <v>340</v>
      </c>
      <c r="EHE1" s="9" t="s">
        <v>153</v>
      </c>
      <c r="EHF1" s="9" t="s">
        <v>414</v>
      </c>
      <c r="EHG1" s="9" t="s">
        <v>417</v>
      </c>
      <c r="EHH1" s="9" t="s">
        <v>157</v>
      </c>
      <c r="EHI1" s="9" t="s">
        <v>158</v>
      </c>
      <c r="EHJ1" s="9" t="s">
        <v>154</v>
      </c>
      <c r="EHK1" s="9" t="s">
        <v>155</v>
      </c>
      <c r="EHL1" s="9" t="s">
        <v>156</v>
      </c>
      <c r="EHM1" s="9" t="s">
        <v>152</v>
      </c>
      <c r="EHN1" s="9" t="s">
        <v>340</v>
      </c>
      <c r="EHO1" s="9" t="s">
        <v>153</v>
      </c>
      <c r="EHP1" s="9" t="s">
        <v>414</v>
      </c>
      <c r="EHQ1" s="9" t="s">
        <v>417</v>
      </c>
      <c r="EHR1" s="9" t="s">
        <v>378</v>
      </c>
      <c r="EHS1" s="9" t="s">
        <v>158</v>
      </c>
      <c r="EHT1" s="9" t="s">
        <v>154</v>
      </c>
      <c r="EHU1" s="9" t="s">
        <v>155</v>
      </c>
      <c r="EHV1" s="9" t="s">
        <v>156</v>
      </c>
      <c r="EHW1" s="9" t="s">
        <v>152</v>
      </c>
      <c r="EHX1" s="9" t="s">
        <v>340</v>
      </c>
      <c r="EHY1" s="9" t="s">
        <v>153</v>
      </c>
      <c r="EHZ1" s="9" t="s">
        <v>414</v>
      </c>
      <c r="EIA1" s="9" t="s">
        <v>417</v>
      </c>
      <c r="EIB1" s="9" t="s">
        <v>379</v>
      </c>
      <c r="EIC1" s="9" t="s">
        <v>158</v>
      </c>
      <c r="EID1" s="9" t="s">
        <v>154</v>
      </c>
      <c r="EIE1" s="9" t="s">
        <v>155</v>
      </c>
      <c r="EIF1" s="9" t="s">
        <v>156</v>
      </c>
      <c r="EIG1" s="9" t="s">
        <v>152</v>
      </c>
      <c r="EIH1" s="9" t="s">
        <v>340</v>
      </c>
      <c r="EII1" s="9" t="s">
        <v>153</v>
      </c>
      <c r="EIJ1" s="9" t="s">
        <v>414</v>
      </c>
      <c r="EIK1" s="9" t="s">
        <v>417</v>
      </c>
      <c r="EIL1" s="9" t="s">
        <v>379</v>
      </c>
      <c r="EIM1" s="9" t="s">
        <v>158</v>
      </c>
      <c r="EIN1" s="9" t="s">
        <v>154</v>
      </c>
      <c r="EIO1" s="9" t="s">
        <v>155</v>
      </c>
      <c r="EIP1" s="9" t="s">
        <v>156</v>
      </c>
      <c r="EIQ1" s="9" t="s">
        <v>152</v>
      </c>
      <c r="EIR1" s="9" t="s">
        <v>340</v>
      </c>
      <c r="EIS1" s="9" t="s">
        <v>153</v>
      </c>
      <c r="EIT1" s="9" t="s">
        <v>414</v>
      </c>
      <c r="EIU1" s="9" t="s">
        <v>417</v>
      </c>
      <c r="EIV1" s="9" t="s">
        <v>379</v>
      </c>
      <c r="EIW1" s="9" t="s">
        <v>158</v>
      </c>
      <c r="EIX1" s="9" t="s">
        <v>154</v>
      </c>
      <c r="EIY1" s="9" t="s">
        <v>155</v>
      </c>
      <c r="EIZ1" s="9" t="s">
        <v>156</v>
      </c>
      <c r="EJA1" s="9" t="s">
        <v>152</v>
      </c>
      <c r="EJB1" s="9" t="s">
        <v>340</v>
      </c>
      <c r="EJC1" s="9" t="s">
        <v>153</v>
      </c>
      <c r="EJD1" s="9" t="s">
        <v>414</v>
      </c>
      <c r="EJE1" s="9" t="s">
        <v>417</v>
      </c>
      <c r="EJF1" s="9" t="s">
        <v>379</v>
      </c>
      <c r="EJG1" s="9" t="s">
        <v>158</v>
      </c>
      <c r="EJH1" s="9" t="s">
        <v>154</v>
      </c>
      <c r="EJI1" s="9" t="s">
        <v>155</v>
      </c>
      <c r="EJJ1" s="9" t="s">
        <v>156</v>
      </c>
      <c r="EJK1" s="9" t="s">
        <v>152</v>
      </c>
      <c r="EJL1" s="9" t="s">
        <v>340</v>
      </c>
      <c r="EJM1" s="9" t="s">
        <v>153</v>
      </c>
      <c r="EJN1" s="9" t="s">
        <v>414</v>
      </c>
      <c r="EJO1" s="9" t="s">
        <v>417</v>
      </c>
      <c r="EJP1" s="9" t="s">
        <v>157</v>
      </c>
      <c r="EJQ1" s="9" t="s">
        <v>158</v>
      </c>
      <c r="EJR1" s="9" t="s">
        <v>154</v>
      </c>
      <c r="EJS1" s="9" t="s">
        <v>155</v>
      </c>
      <c r="EJT1" s="9" t="s">
        <v>156</v>
      </c>
      <c r="EJU1" s="9" t="s">
        <v>152</v>
      </c>
      <c r="EJV1" s="9" t="s">
        <v>340</v>
      </c>
      <c r="EJW1" s="9" t="s">
        <v>153</v>
      </c>
      <c r="EJX1" s="9" t="s">
        <v>414</v>
      </c>
      <c r="EJY1" s="9" t="s">
        <v>417</v>
      </c>
      <c r="EJZ1" s="9" t="s">
        <v>379</v>
      </c>
      <c r="EKA1" s="9" t="s">
        <v>158</v>
      </c>
      <c r="EKB1" s="9" t="s">
        <v>154</v>
      </c>
      <c r="EKC1" s="9" t="s">
        <v>155</v>
      </c>
      <c r="EKD1" s="9" t="s">
        <v>156</v>
      </c>
      <c r="EKE1" s="9" t="s">
        <v>152</v>
      </c>
      <c r="EKF1" s="9" t="s">
        <v>340</v>
      </c>
      <c r="EKG1" s="9" t="s">
        <v>153</v>
      </c>
      <c r="EKH1" s="9" t="s">
        <v>414</v>
      </c>
      <c r="EKI1" s="9" t="s">
        <v>417</v>
      </c>
      <c r="EKJ1" s="9" t="s">
        <v>157</v>
      </c>
      <c r="EKK1" s="9" t="s">
        <v>158</v>
      </c>
      <c r="EKL1" s="9" t="s">
        <v>154</v>
      </c>
      <c r="EKM1" s="9" t="s">
        <v>155</v>
      </c>
      <c r="EKN1" s="9" t="s">
        <v>156</v>
      </c>
      <c r="EKO1" s="9" t="s">
        <v>152</v>
      </c>
      <c r="EKP1" s="9" t="s">
        <v>340</v>
      </c>
      <c r="EKQ1" s="9" t="s">
        <v>153</v>
      </c>
      <c r="EKR1" s="9" t="s">
        <v>414</v>
      </c>
      <c r="EKS1" s="9" t="s">
        <v>417</v>
      </c>
      <c r="EKT1" s="9" t="s">
        <v>418</v>
      </c>
      <c r="EKU1" s="9" t="s">
        <v>158</v>
      </c>
      <c r="EKV1" s="9" t="s">
        <v>154</v>
      </c>
      <c r="EKW1" s="9" t="s">
        <v>155</v>
      </c>
      <c r="EKX1" s="9" t="s">
        <v>156</v>
      </c>
      <c r="EKY1" s="9" t="s">
        <v>152</v>
      </c>
      <c r="EKZ1" s="9" t="s">
        <v>340</v>
      </c>
      <c r="ELA1" s="9" t="s">
        <v>153</v>
      </c>
      <c r="ELB1" s="9" t="s">
        <v>414</v>
      </c>
      <c r="ELC1" s="9" t="s">
        <v>417</v>
      </c>
      <c r="ELD1" s="9" t="s">
        <v>418</v>
      </c>
      <c r="ELE1" s="9" t="s">
        <v>158</v>
      </c>
      <c r="ELF1" s="9" t="s">
        <v>154</v>
      </c>
      <c r="ELG1" s="9" t="s">
        <v>155</v>
      </c>
      <c r="ELH1" s="9" t="s">
        <v>156</v>
      </c>
      <c r="ELI1" s="9" t="s">
        <v>152</v>
      </c>
      <c r="ELJ1" s="9" t="s">
        <v>340</v>
      </c>
      <c r="ELK1" s="9" t="s">
        <v>153</v>
      </c>
      <c r="ELL1" s="9" t="s">
        <v>414</v>
      </c>
      <c r="ELM1" s="9" t="s">
        <v>417</v>
      </c>
      <c r="ELN1" s="9" t="s">
        <v>418</v>
      </c>
      <c r="ELO1" s="9" t="s">
        <v>158</v>
      </c>
      <c r="ELP1" s="9" t="s">
        <v>154</v>
      </c>
      <c r="ELQ1" s="9" t="s">
        <v>155</v>
      </c>
      <c r="ELR1" s="9" t="s">
        <v>156</v>
      </c>
      <c r="ELS1" s="9" t="s">
        <v>152</v>
      </c>
      <c r="ELT1" s="9" t="s">
        <v>340</v>
      </c>
      <c r="ELU1" s="9" t="s">
        <v>153</v>
      </c>
      <c r="ELV1" s="9" t="s">
        <v>414</v>
      </c>
      <c r="ELW1" s="9" t="s">
        <v>417</v>
      </c>
      <c r="ELX1" s="9" t="s">
        <v>336</v>
      </c>
      <c r="ELY1" s="9" t="s">
        <v>157</v>
      </c>
      <c r="ELZ1" s="9" t="s">
        <v>158</v>
      </c>
      <c r="EMA1" s="9" t="s">
        <v>154</v>
      </c>
      <c r="EMB1" s="9" t="s">
        <v>155</v>
      </c>
      <c r="EMC1" s="9" t="s">
        <v>156</v>
      </c>
      <c r="EMD1" s="9" t="s">
        <v>152</v>
      </c>
      <c r="EME1" s="9" t="s">
        <v>340</v>
      </c>
      <c r="EMF1" s="9" t="s">
        <v>153</v>
      </c>
      <c r="EMG1" s="9" t="s">
        <v>414</v>
      </c>
      <c r="EMH1" s="9" t="s">
        <v>417</v>
      </c>
      <c r="EMI1" s="9" t="s">
        <v>157</v>
      </c>
      <c r="EMJ1" s="9" t="s">
        <v>158</v>
      </c>
      <c r="EMK1" s="9" t="s">
        <v>154</v>
      </c>
      <c r="EML1" s="9" t="s">
        <v>155</v>
      </c>
      <c r="EMM1" s="9" t="s">
        <v>156</v>
      </c>
      <c r="EMN1" s="9" t="s">
        <v>152</v>
      </c>
      <c r="EMO1" s="9" t="s">
        <v>340</v>
      </c>
      <c r="EMP1" s="9" t="s">
        <v>153</v>
      </c>
      <c r="EMQ1" s="9" t="s">
        <v>414</v>
      </c>
      <c r="EMR1" s="9" t="s">
        <v>417</v>
      </c>
      <c r="EMS1" s="9" t="s">
        <v>423</v>
      </c>
      <c r="EMT1" s="9" t="s">
        <v>158</v>
      </c>
      <c r="EMU1" s="9" t="s">
        <v>154</v>
      </c>
      <c r="EMV1" s="9" t="s">
        <v>155</v>
      </c>
      <c r="EMW1" s="9" t="s">
        <v>156</v>
      </c>
      <c r="EMX1" s="9" t="s">
        <v>152</v>
      </c>
      <c r="EMY1" s="9" t="s">
        <v>340</v>
      </c>
      <c r="EMZ1" s="9" t="s">
        <v>153</v>
      </c>
      <c r="ENA1" s="9" t="s">
        <v>414</v>
      </c>
      <c r="ENB1" s="9" t="s">
        <v>417</v>
      </c>
      <c r="ENC1" s="9" t="s">
        <v>157</v>
      </c>
      <c r="END1" s="9" t="s">
        <v>158</v>
      </c>
      <c r="ENE1" s="9" t="s">
        <v>154</v>
      </c>
      <c r="ENF1" s="9" t="s">
        <v>155</v>
      </c>
      <c r="ENG1" s="9" t="s">
        <v>156</v>
      </c>
      <c r="ENH1" s="9" t="s">
        <v>152</v>
      </c>
      <c r="ENI1" s="9" t="s">
        <v>340</v>
      </c>
      <c r="ENJ1" s="9" t="s">
        <v>153</v>
      </c>
      <c r="ENK1" s="9" t="s">
        <v>414</v>
      </c>
      <c r="ENL1" s="9" t="s">
        <v>417</v>
      </c>
      <c r="ENM1" s="9" t="s">
        <v>418</v>
      </c>
      <c r="ENN1" s="9" t="s">
        <v>158</v>
      </c>
      <c r="ENO1" s="9" t="s">
        <v>154</v>
      </c>
      <c r="ENP1" s="9" t="s">
        <v>155</v>
      </c>
      <c r="ENQ1" s="9" t="s">
        <v>156</v>
      </c>
      <c r="ENR1" s="9" t="s">
        <v>152</v>
      </c>
      <c r="ENS1" s="9" t="s">
        <v>340</v>
      </c>
      <c r="ENT1" s="9" t="s">
        <v>153</v>
      </c>
      <c r="ENU1" s="9" t="s">
        <v>414</v>
      </c>
      <c r="ENV1" s="9" t="s">
        <v>417</v>
      </c>
      <c r="ENW1" s="9" t="s">
        <v>157</v>
      </c>
      <c r="ENX1" s="9" t="s">
        <v>158</v>
      </c>
      <c r="ENY1" s="9" t="s">
        <v>154</v>
      </c>
      <c r="ENZ1" s="9" t="s">
        <v>155</v>
      </c>
      <c r="EOA1" s="9" t="s">
        <v>156</v>
      </c>
      <c r="EOB1" s="9" t="s">
        <v>152</v>
      </c>
      <c r="EOC1" s="9" t="s">
        <v>340</v>
      </c>
      <c r="EOD1" s="9" t="s">
        <v>153</v>
      </c>
      <c r="EOE1" s="9" t="s">
        <v>414</v>
      </c>
      <c r="EOF1" s="9" t="s">
        <v>417</v>
      </c>
      <c r="EOG1" s="9" t="s">
        <v>157</v>
      </c>
      <c r="EOH1" s="9" t="s">
        <v>158</v>
      </c>
      <c r="EOI1" s="9" t="s">
        <v>154</v>
      </c>
      <c r="EOJ1" s="9" t="s">
        <v>155</v>
      </c>
      <c r="EOK1" s="9" t="s">
        <v>156</v>
      </c>
      <c r="EOL1" s="9" t="s">
        <v>152</v>
      </c>
      <c r="EOM1" s="9" t="s">
        <v>340</v>
      </c>
      <c r="EON1" s="9" t="s">
        <v>153</v>
      </c>
      <c r="EOO1" s="9" t="s">
        <v>414</v>
      </c>
      <c r="EOP1" s="9" t="s">
        <v>417</v>
      </c>
      <c r="EOQ1" s="9" t="s">
        <v>157</v>
      </c>
      <c r="EOR1" s="9" t="s">
        <v>158</v>
      </c>
      <c r="EOS1" s="9" t="s">
        <v>154</v>
      </c>
      <c r="EOT1" s="9" t="s">
        <v>155</v>
      </c>
      <c r="EOU1" s="9" t="s">
        <v>156</v>
      </c>
      <c r="EOV1" s="9" t="s">
        <v>152</v>
      </c>
      <c r="EOW1" s="9" t="s">
        <v>340</v>
      </c>
      <c r="EOX1" s="9" t="s">
        <v>153</v>
      </c>
      <c r="EOY1" s="9" t="s">
        <v>414</v>
      </c>
      <c r="EOZ1" s="9" t="s">
        <v>417</v>
      </c>
      <c r="EPA1" s="9" t="s">
        <v>157</v>
      </c>
      <c r="EPB1" s="9" t="s">
        <v>158</v>
      </c>
      <c r="EPC1" s="9" t="s">
        <v>154</v>
      </c>
      <c r="EPD1" s="9" t="s">
        <v>155</v>
      </c>
      <c r="EPE1" s="9" t="s">
        <v>156</v>
      </c>
      <c r="EPF1" s="9" t="s">
        <v>445</v>
      </c>
      <c r="EPG1" s="9" t="s">
        <v>152</v>
      </c>
      <c r="EPH1" s="9" t="s">
        <v>340</v>
      </c>
      <c r="EPI1" s="9" t="s">
        <v>153</v>
      </c>
      <c r="EPJ1" s="9" t="s">
        <v>414</v>
      </c>
      <c r="EPK1" s="9" t="s">
        <v>417</v>
      </c>
      <c r="EPL1" s="9" t="s">
        <v>336</v>
      </c>
      <c r="EPM1" s="9" t="s">
        <v>157</v>
      </c>
      <c r="EPN1" s="9" t="s">
        <v>158</v>
      </c>
      <c r="EPO1" s="9" t="s">
        <v>154</v>
      </c>
      <c r="EPP1" s="9" t="s">
        <v>155</v>
      </c>
      <c r="EPQ1" s="9" t="s">
        <v>156</v>
      </c>
      <c r="EPR1" s="9" t="s">
        <v>152</v>
      </c>
      <c r="EPS1" s="9" t="s">
        <v>340</v>
      </c>
      <c r="EPT1" s="9" t="s">
        <v>153</v>
      </c>
      <c r="EPU1" s="9" t="s">
        <v>414</v>
      </c>
      <c r="EPV1" s="9" t="s">
        <v>417</v>
      </c>
      <c r="EPW1" s="9" t="s">
        <v>157</v>
      </c>
      <c r="EPX1" s="9" t="s">
        <v>158</v>
      </c>
      <c r="EPY1" s="9" t="s">
        <v>154</v>
      </c>
      <c r="EPZ1" s="9" t="s">
        <v>155</v>
      </c>
      <c r="EQA1" s="9" t="s">
        <v>156</v>
      </c>
      <c r="EQB1" s="9" t="s">
        <v>152</v>
      </c>
      <c r="EQC1" s="9" t="s">
        <v>340</v>
      </c>
      <c r="EQD1" s="9" t="s">
        <v>153</v>
      </c>
      <c r="EQE1" s="9" t="s">
        <v>414</v>
      </c>
      <c r="EQF1" s="9" t="s">
        <v>417</v>
      </c>
      <c r="EQG1" s="9" t="s">
        <v>157</v>
      </c>
      <c r="EQH1" s="9" t="s">
        <v>158</v>
      </c>
      <c r="EQI1" s="9" t="s">
        <v>154</v>
      </c>
      <c r="EQJ1" s="9" t="s">
        <v>155</v>
      </c>
      <c r="EQK1" s="9" t="s">
        <v>156</v>
      </c>
      <c r="EQL1" s="9" t="s">
        <v>152</v>
      </c>
      <c r="EQM1" s="9" t="s">
        <v>340</v>
      </c>
      <c r="EQN1" s="9" t="s">
        <v>153</v>
      </c>
      <c r="EQO1" s="9" t="s">
        <v>414</v>
      </c>
      <c r="EQP1" s="9" t="s">
        <v>417</v>
      </c>
      <c r="EQQ1" s="9" t="s">
        <v>336</v>
      </c>
      <c r="EQR1" s="9" t="s">
        <v>157</v>
      </c>
      <c r="EQS1" s="9" t="s">
        <v>158</v>
      </c>
      <c r="EQT1" s="9" t="s">
        <v>154</v>
      </c>
      <c r="EQU1" s="9" t="s">
        <v>155</v>
      </c>
      <c r="EQV1" s="9" t="s">
        <v>156</v>
      </c>
      <c r="EQW1" s="9" t="s">
        <v>152</v>
      </c>
      <c r="EQX1" s="9" t="s">
        <v>340</v>
      </c>
      <c r="EQY1" s="9" t="s">
        <v>153</v>
      </c>
      <c r="EQZ1" s="9" t="s">
        <v>414</v>
      </c>
      <c r="ERA1" s="9" t="s">
        <v>417</v>
      </c>
      <c r="ERB1" s="9" t="s">
        <v>157</v>
      </c>
      <c r="ERC1" s="9" t="s">
        <v>158</v>
      </c>
      <c r="ERD1" s="9" t="s">
        <v>154</v>
      </c>
      <c r="ERE1" s="9" t="s">
        <v>155</v>
      </c>
      <c r="ERF1" s="9" t="s">
        <v>156</v>
      </c>
      <c r="ERG1" s="9" t="s">
        <v>152</v>
      </c>
      <c r="ERH1" s="9" t="s">
        <v>340</v>
      </c>
      <c r="ERI1" s="9" t="s">
        <v>153</v>
      </c>
      <c r="ERJ1" s="9" t="s">
        <v>414</v>
      </c>
      <c r="ERK1" s="9" t="s">
        <v>417</v>
      </c>
      <c r="ERL1" s="9" t="s">
        <v>157</v>
      </c>
      <c r="ERM1" s="9" t="s">
        <v>158</v>
      </c>
      <c r="ERN1" s="9" t="s">
        <v>154</v>
      </c>
      <c r="ERO1" s="9" t="s">
        <v>155</v>
      </c>
      <c r="ERP1" s="9" t="s">
        <v>156</v>
      </c>
      <c r="ERQ1" s="9" t="s">
        <v>152</v>
      </c>
      <c r="ERR1" s="9" t="s">
        <v>340</v>
      </c>
      <c r="ERS1" s="9" t="s">
        <v>153</v>
      </c>
      <c r="ERT1" s="9" t="s">
        <v>414</v>
      </c>
      <c r="ERU1" s="9" t="s">
        <v>417</v>
      </c>
      <c r="ERV1" s="9" t="s">
        <v>157</v>
      </c>
      <c r="ERW1" s="9" t="s">
        <v>158</v>
      </c>
      <c r="ERX1" s="9" t="s">
        <v>154</v>
      </c>
      <c r="ERY1" s="9" t="s">
        <v>155</v>
      </c>
      <c r="ERZ1" s="9" t="s">
        <v>156</v>
      </c>
      <c r="ESA1" s="9" t="s">
        <v>152</v>
      </c>
      <c r="ESB1" s="9" t="s">
        <v>340</v>
      </c>
      <c r="ESC1" s="9" t="s">
        <v>153</v>
      </c>
      <c r="ESD1" s="9" t="s">
        <v>414</v>
      </c>
      <c r="ESE1" s="9" t="s">
        <v>417</v>
      </c>
      <c r="ESF1" s="9" t="s">
        <v>157</v>
      </c>
      <c r="ESG1" s="9" t="s">
        <v>158</v>
      </c>
      <c r="ESH1" s="9" t="s">
        <v>154</v>
      </c>
      <c r="ESI1" s="9" t="s">
        <v>155</v>
      </c>
      <c r="ESJ1" s="9" t="s">
        <v>156</v>
      </c>
      <c r="ESK1" s="9" t="s">
        <v>152</v>
      </c>
      <c r="ESL1" s="9" t="s">
        <v>340</v>
      </c>
      <c r="ESM1" s="9" t="s">
        <v>153</v>
      </c>
      <c r="ESN1" s="9" t="s">
        <v>414</v>
      </c>
      <c r="ESO1" s="9" t="s">
        <v>417</v>
      </c>
      <c r="ESP1" s="9" t="s">
        <v>391</v>
      </c>
      <c r="ESQ1" s="9" t="s">
        <v>158</v>
      </c>
      <c r="ESR1" s="9" t="s">
        <v>445</v>
      </c>
      <c r="ESS1" s="9" t="s">
        <v>152</v>
      </c>
      <c r="EST1" s="9" t="s">
        <v>340</v>
      </c>
      <c r="ESU1" s="9" t="s">
        <v>153</v>
      </c>
      <c r="ESV1" s="9" t="s">
        <v>414</v>
      </c>
      <c r="ESW1" s="9" t="s">
        <v>417</v>
      </c>
      <c r="ESX1" s="9" t="s">
        <v>336</v>
      </c>
      <c r="ESY1" s="9" t="s">
        <v>157</v>
      </c>
      <c r="ESZ1" s="9" t="s">
        <v>158</v>
      </c>
      <c r="ETA1" s="9" t="s">
        <v>154</v>
      </c>
      <c r="ETB1" s="9" t="s">
        <v>155</v>
      </c>
      <c r="ETC1" s="9" t="s">
        <v>156</v>
      </c>
      <c r="ETD1" s="9" t="s">
        <v>152</v>
      </c>
      <c r="ETE1" s="9" t="s">
        <v>340</v>
      </c>
      <c r="ETF1" s="9" t="s">
        <v>153</v>
      </c>
      <c r="ETG1" s="9" t="s">
        <v>414</v>
      </c>
      <c r="ETH1" s="9" t="s">
        <v>417</v>
      </c>
      <c r="ETI1" s="9" t="s">
        <v>157</v>
      </c>
      <c r="ETJ1" s="9" t="s">
        <v>158</v>
      </c>
      <c r="ETK1" s="9" t="s">
        <v>154</v>
      </c>
      <c r="ETL1" s="9" t="s">
        <v>155</v>
      </c>
      <c r="ETM1" s="9" t="s">
        <v>156</v>
      </c>
      <c r="ETN1" s="9" t="s">
        <v>152</v>
      </c>
      <c r="ETO1" s="9" t="s">
        <v>340</v>
      </c>
      <c r="ETP1" s="9" t="s">
        <v>153</v>
      </c>
      <c r="ETQ1" s="9" t="s">
        <v>414</v>
      </c>
      <c r="ETR1" s="9" t="s">
        <v>417</v>
      </c>
      <c r="ETS1" s="9" t="s">
        <v>507</v>
      </c>
      <c r="ETT1" s="9" t="s">
        <v>348</v>
      </c>
      <c r="ETU1" s="9" t="s">
        <v>154</v>
      </c>
      <c r="ETV1" s="9" t="s">
        <v>155</v>
      </c>
      <c r="ETW1" s="9" t="s">
        <v>156</v>
      </c>
      <c r="ETX1" s="9" t="s">
        <v>152</v>
      </c>
      <c r="ETY1" s="9" t="s">
        <v>340</v>
      </c>
      <c r="ETZ1" s="9" t="s">
        <v>153</v>
      </c>
      <c r="EUA1" s="9" t="s">
        <v>414</v>
      </c>
      <c r="EUB1" s="9" t="s">
        <v>417</v>
      </c>
      <c r="EUC1" s="9" t="s">
        <v>157</v>
      </c>
      <c r="EUD1" s="9" t="s">
        <v>158</v>
      </c>
      <c r="EUE1" s="9" t="s">
        <v>154</v>
      </c>
      <c r="EUF1" s="9" t="s">
        <v>155</v>
      </c>
      <c r="EUG1" s="9" t="s">
        <v>955</v>
      </c>
      <c r="EUH1" s="9" t="s">
        <v>156</v>
      </c>
      <c r="EUI1" s="9" t="s">
        <v>152</v>
      </c>
      <c r="EUJ1" s="9" t="s">
        <v>340</v>
      </c>
      <c r="EUK1" s="9" t="s">
        <v>153</v>
      </c>
      <c r="EUL1" s="9" t="s">
        <v>414</v>
      </c>
      <c r="EUM1" s="9" t="s">
        <v>417</v>
      </c>
      <c r="EUN1" s="9" t="s">
        <v>157</v>
      </c>
      <c r="EUO1" s="9" t="s">
        <v>348</v>
      </c>
      <c r="EUP1" s="9" t="s">
        <v>154</v>
      </c>
      <c r="EUQ1" s="9" t="s">
        <v>155</v>
      </c>
      <c r="EUR1" s="9" t="s">
        <v>156</v>
      </c>
      <c r="EUS1" s="9" t="s">
        <v>152</v>
      </c>
      <c r="EUT1" s="9" t="s">
        <v>340</v>
      </c>
      <c r="EUU1" s="9" t="s">
        <v>153</v>
      </c>
      <c r="EUV1" s="9" t="s">
        <v>414</v>
      </c>
      <c r="EUW1" s="9" t="s">
        <v>417</v>
      </c>
      <c r="EUX1" s="9" t="s">
        <v>378</v>
      </c>
      <c r="EUY1" s="9" t="s">
        <v>348</v>
      </c>
      <c r="EUZ1" s="9" t="s">
        <v>154</v>
      </c>
      <c r="EVA1" s="9" t="s">
        <v>155</v>
      </c>
      <c r="EVB1" s="9" t="s">
        <v>156</v>
      </c>
      <c r="EVC1" s="9" t="s">
        <v>152</v>
      </c>
      <c r="EVD1" s="9" t="s">
        <v>340</v>
      </c>
      <c r="EVE1" s="9" t="s">
        <v>153</v>
      </c>
      <c r="EVF1" s="9" t="s">
        <v>414</v>
      </c>
      <c r="EVG1" s="9" t="s">
        <v>417</v>
      </c>
      <c r="EVH1" s="9" t="s">
        <v>427</v>
      </c>
      <c r="EVI1" s="9" t="s">
        <v>158</v>
      </c>
      <c r="EVJ1" s="9" t="s">
        <v>154</v>
      </c>
      <c r="EVK1" s="9" t="s">
        <v>155</v>
      </c>
      <c r="EVL1" s="9" t="s">
        <v>156</v>
      </c>
      <c r="EVM1" s="9" t="s">
        <v>152</v>
      </c>
      <c r="EVN1" s="9" t="s">
        <v>340</v>
      </c>
      <c r="EVO1" s="9" t="s">
        <v>153</v>
      </c>
      <c r="EVP1" s="9" t="s">
        <v>414</v>
      </c>
      <c r="EVQ1" s="9" t="s">
        <v>417</v>
      </c>
      <c r="EVR1" s="9" t="s">
        <v>157</v>
      </c>
      <c r="EVS1" s="9" t="s">
        <v>158</v>
      </c>
      <c r="EVT1" s="9" t="s">
        <v>154</v>
      </c>
      <c r="EVU1" s="9" t="s">
        <v>155</v>
      </c>
      <c r="EVV1" s="9" t="s">
        <v>156</v>
      </c>
      <c r="EVW1" s="9" t="s">
        <v>152</v>
      </c>
      <c r="EVX1" s="9" t="s">
        <v>340</v>
      </c>
      <c r="EVY1" s="9" t="s">
        <v>153</v>
      </c>
      <c r="EVZ1" s="9" t="s">
        <v>414</v>
      </c>
      <c r="EWA1" s="9" t="s">
        <v>417</v>
      </c>
      <c r="EWB1" s="9" t="s">
        <v>157</v>
      </c>
      <c r="EWC1" s="9" t="s">
        <v>158</v>
      </c>
      <c r="EWD1" s="9" t="s">
        <v>154</v>
      </c>
      <c r="EWE1" s="9" t="s">
        <v>155</v>
      </c>
      <c r="EWF1" s="9" t="s">
        <v>156</v>
      </c>
      <c r="EWG1" s="9" t="s">
        <v>152</v>
      </c>
      <c r="EWH1" s="9" t="s">
        <v>340</v>
      </c>
      <c r="EWI1" s="9" t="s">
        <v>153</v>
      </c>
      <c r="EWJ1" s="9" t="s">
        <v>414</v>
      </c>
      <c r="EWK1" s="9" t="s">
        <v>417</v>
      </c>
      <c r="EWL1" s="9" t="s">
        <v>336</v>
      </c>
      <c r="EWM1" s="9" t="s">
        <v>157</v>
      </c>
      <c r="EWN1" s="9" t="s">
        <v>158</v>
      </c>
      <c r="EWO1" s="9" t="s">
        <v>154</v>
      </c>
      <c r="EWP1" s="9" t="s">
        <v>155</v>
      </c>
      <c r="EWQ1" s="9" t="s">
        <v>156</v>
      </c>
      <c r="EWR1" s="9" t="s">
        <v>152</v>
      </c>
      <c r="EWS1" s="9" t="s">
        <v>340</v>
      </c>
      <c r="EWT1" s="9" t="s">
        <v>153</v>
      </c>
      <c r="EWU1" s="9" t="s">
        <v>414</v>
      </c>
      <c r="EWV1" s="9" t="s">
        <v>417</v>
      </c>
      <c r="EWW1" s="9" t="s">
        <v>336</v>
      </c>
      <c r="EWX1" s="9" t="s">
        <v>157</v>
      </c>
      <c r="EWY1" s="9" t="s">
        <v>158</v>
      </c>
      <c r="EWZ1" s="9" t="s">
        <v>154</v>
      </c>
      <c r="EXA1" s="9" t="s">
        <v>155</v>
      </c>
      <c r="EXB1" s="9" t="s">
        <v>156</v>
      </c>
      <c r="EXC1" s="9" t="s">
        <v>152</v>
      </c>
      <c r="EXD1" s="9" t="s">
        <v>340</v>
      </c>
      <c r="EXE1" s="9" t="s">
        <v>153</v>
      </c>
      <c r="EXF1" s="9" t="s">
        <v>414</v>
      </c>
      <c r="EXG1" s="9" t="s">
        <v>417</v>
      </c>
      <c r="EXH1" s="9" t="s">
        <v>723</v>
      </c>
      <c r="EXI1" s="9" t="s">
        <v>158</v>
      </c>
      <c r="EXJ1" s="9" t="s">
        <v>1648</v>
      </c>
      <c r="EXK1" s="9" t="s">
        <v>155</v>
      </c>
      <c r="EXL1" s="9" t="s">
        <v>156</v>
      </c>
      <c r="EXM1" s="9" t="s">
        <v>152</v>
      </c>
      <c r="EXN1" s="9" t="s">
        <v>340</v>
      </c>
      <c r="EXO1" s="9" t="s">
        <v>153</v>
      </c>
      <c r="EXP1" s="9" t="s">
        <v>414</v>
      </c>
      <c r="EXQ1" s="9" t="s">
        <v>417</v>
      </c>
      <c r="EXR1" s="9" t="s">
        <v>380</v>
      </c>
      <c r="EXS1" s="9" t="s">
        <v>158</v>
      </c>
      <c r="EXT1" s="9" t="s">
        <v>954</v>
      </c>
      <c r="EXU1" s="9" t="s">
        <v>155</v>
      </c>
      <c r="EXV1" s="9" t="s">
        <v>156</v>
      </c>
      <c r="EXW1" s="9" t="s">
        <v>152</v>
      </c>
      <c r="EXX1" s="9" t="s">
        <v>340</v>
      </c>
      <c r="EXY1" s="9" t="s">
        <v>153</v>
      </c>
      <c r="EXZ1" s="9" t="s">
        <v>414</v>
      </c>
      <c r="EYA1" s="9" t="s">
        <v>417</v>
      </c>
      <c r="EYB1" s="9" t="s">
        <v>157</v>
      </c>
      <c r="EYC1" s="9" t="s">
        <v>158</v>
      </c>
      <c r="EYD1" s="9" t="s">
        <v>954</v>
      </c>
      <c r="EYE1" s="9" t="s">
        <v>155</v>
      </c>
      <c r="EYF1" s="9" t="s">
        <v>156</v>
      </c>
      <c r="EYG1" s="9" t="s">
        <v>152</v>
      </c>
      <c r="EYH1" s="9" t="s">
        <v>340</v>
      </c>
      <c r="EYI1" s="9" t="s">
        <v>153</v>
      </c>
      <c r="EYJ1" s="9" t="s">
        <v>414</v>
      </c>
      <c r="EYK1" s="9" t="s">
        <v>417</v>
      </c>
      <c r="EYL1" s="9" t="s">
        <v>723</v>
      </c>
      <c r="EYM1" s="9" t="s">
        <v>158</v>
      </c>
      <c r="EYN1" s="9" t="s">
        <v>954</v>
      </c>
      <c r="EYO1" s="9" t="s">
        <v>155</v>
      </c>
      <c r="EYP1" s="9" t="s">
        <v>156</v>
      </c>
      <c r="EYQ1" s="9" t="s">
        <v>152</v>
      </c>
      <c r="EYR1" s="9" t="s">
        <v>340</v>
      </c>
      <c r="EYS1" s="9" t="s">
        <v>153</v>
      </c>
      <c r="EYT1" s="9" t="s">
        <v>414</v>
      </c>
      <c r="EYU1" s="9" t="s">
        <v>417</v>
      </c>
      <c r="EYV1" s="9" t="s">
        <v>380</v>
      </c>
      <c r="EYW1" s="9" t="s">
        <v>158</v>
      </c>
      <c r="EYX1" s="9" t="s">
        <v>954</v>
      </c>
      <c r="EYY1" s="9" t="s">
        <v>155</v>
      </c>
      <c r="EYZ1" s="9" t="s">
        <v>156</v>
      </c>
      <c r="EZA1" s="9" t="s">
        <v>152</v>
      </c>
      <c r="EZB1" s="9" t="s">
        <v>340</v>
      </c>
      <c r="EZC1" s="9" t="s">
        <v>153</v>
      </c>
      <c r="EZD1" s="9" t="s">
        <v>414</v>
      </c>
      <c r="EZE1" s="9" t="s">
        <v>417</v>
      </c>
      <c r="EZF1" s="9" t="s">
        <v>157</v>
      </c>
      <c r="EZG1" s="9" t="s">
        <v>158</v>
      </c>
      <c r="EZH1" s="9" t="s">
        <v>154</v>
      </c>
      <c r="EZI1" s="9" t="s">
        <v>155</v>
      </c>
      <c r="EZJ1" s="9" t="s">
        <v>156</v>
      </c>
      <c r="EZK1" s="9" t="s">
        <v>1648</v>
      </c>
      <c r="EZL1" s="9" t="s">
        <v>152</v>
      </c>
      <c r="EZM1" s="9" t="s">
        <v>340</v>
      </c>
      <c r="EZN1" s="9" t="s">
        <v>153</v>
      </c>
      <c r="EZO1" s="9" t="s">
        <v>414</v>
      </c>
      <c r="EZP1" s="9" t="s">
        <v>417</v>
      </c>
      <c r="EZQ1" s="9" t="s">
        <v>380</v>
      </c>
      <c r="EZR1" s="9" t="s">
        <v>158</v>
      </c>
      <c r="EZS1" s="9" t="s">
        <v>154</v>
      </c>
      <c r="EZT1" s="9" t="s">
        <v>155</v>
      </c>
      <c r="EZU1" s="9" t="s">
        <v>156</v>
      </c>
      <c r="EZV1" s="9" t="s">
        <v>152</v>
      </c>
      <c r="EZW1" s="9" t="s">
        <v>340</v>
      </c>
      <c r="EZX1" s="9" t="s">
        <v>153</v>
      </c>
      <c r="EZY1" s="9" t="s">
        <v>414</v>
      </c>
      <c r="EZZ1" s="9" t="s">
        <v>417</v>
      </c>
      <c r="FAA1" s="9" t="s">
        <v>1661</v>
      </c>
      <c r="FAB1" s="9" t="s">
        <v>158</v>
      </c>
      <c r="FAC1" s="9" t="s">
        <v>154</v>
      </c>
      <c r="FAD1" s="9" t="s">
        <v>155</v>
      </c>
      <c r="FAE1" s="9" t="s">
        <v>156</v>
      </c>
      <c r="FAF1" s="9" t="s">
        <v>152</v>
      </c>
      <c r="FAG1" s="9" t="s">
        <v>340</v>
      </c>
      <c r="FAH1" s="9" t="s">
        <v>153</v>
      </c>
      <c r="FAI1" s="9" t="s">
        <v>414</v>
      </c>
      <c r="FAJ1" s="9" t="s">
        <v>417</v>
      </c>
      <c r="FAK1" s="9" t="s">
        <v>419</v>
      </c>
      <c r="FAL1" s="9" t="s">
        <v>158</v>
      </c>
      <c r="FAM1" s="9" t="s">
        <v>154</v>
      </c>
      <c r="FAN1" s="9" t="s">
        <v>155</v>
      </c>
      <c r="FAO1" s="9" t="s">
        <v>156</v>
      </c>
      <c r="FAP1" s="9" t="s">
        <v>152</v>
      </c>
      <c r="FAQ1" s="9" t="s">
        <v>340</v>
      </c>
      <c r="FAR1" s="9" t="s">
        <v>153</v>
      </c>
      <c r="FAS1" s="9" t="s">
        <v>414</v>
      </c>
      <c r="FAT1" s="9" t="s">
        <v>417</v>
      </c>
      <c r="FAU1" s="9" t="s">
        <v>157</v>
      </c>
      <c r="FAV1" s="9" t="s">
        <v>158</v>
      </c>
      <c r="FAW1" s="9" t="s">
        <v>154</v>
      </c>
      <c r="FAX1" s="9" t="s">
        <v>155</v>
      </c>
      <c r="FAY1" s="9" t="s">
        <v>156</v>
      </c>
      <c r="FAZ1" s="9" t="s">
        <v>152</v>
      </c>
      <c r="FBA1" s="9" t="s">
        <v>340</v>
      </c>
      <c r="FBB1" s="9" t="s">
        <v>153</v>
      </c>
      <c r="FBC1" s="9" t="s">
        <v>414</v>
      </c>
      <c r="FBD1" s="9" t="s">
        <v>417</v>
      </c>
      <c r="FBE1" s="9" t="s">
        <v>336</v>
      </c>
      <c r="FBF1" s="9" t="s">
        <v>157</v>
      </c>
      <c r="FBG1" s="9" t="s">
        <v>158</v>
      </c>
      <c r="FBH1" s="9" t="s">
        <v>154</v>
      </c>
      <c r="FBI1" s="9" t="s">
        <v>155</v>
      </c>
      <c r="FBJ1" s="9" t="s">
        <v>156</v>
      </c>
      <c r="FBK1" s="9" t="s">
        <v>152</v>
      </c>
      <c r="FBL1" s="9" t="s">
        <v>340</v>
      </c>
      <c r="FBM1" s="9" t="s">
        <v>153</v>
      </c>
      <c r="FBN1" s="9" t="s">
        <v>414</v>
      </c>
      <c r="FBO1" s="9" t="s">
        <v>417</v>
      </c>
      <c r="FBP1" s="9" t="s">
        <v>157</v>
      </c>
      <c r="FBQ1" s="9" t="s">
        <v>158</v>
      </c>
      <c r="FBR1" s="9" t="s">
        <v>154</v>
      </c>
      <c r="FBS1" s="9" t="s">
        <v>155</v>
      </c>
      <c r="FBT1" s="9" t="s">
        <v>156</v>
      </c>
      <c r="FBU1" s="9" t="s">
        <v>152</v>
      </c>
      <c r="FBV1" s="9" t="s">
        <v>340</v>
      </c>
      <c r="FBW1" s="9" t="s">
        <v>153</v>
      </c>
      <c r="FBX1" s="9" t="s">
        <v>414</v>
      </c>
      <c r="FBY1" s="9" t="s">
        <v>417</v>
      </c>
      <c r="FBZ1" s="9" t="s">
        <v>404</v>
      </c>
      <c r="FCA1" s="9" t="s">
        <v>158</v>
      </c>
      <c r="FCB1" s="9" t="s">
        <v>154</v>
      </c>
      <c r="FCC1" s="9" t="s">
        <v>155</v>
      </c>
      <c r="FCD1" s="9" t="s">
        <v>156</v>
      </c>
      <c r="FCE1" s="9" t="s">
        <v>152</v>
      </c>
      <c r="FCF1" s="9" t="s">
        <v>340</v>
      </c>
      <c r="FCG1" s="9" t="s">
        <v>153</v>
      </c>
      <c r="FCH1" s="9" t="s">
        <v>414</v>
      </c>
      <c r="FCI1" s="9" t="s">
        <v>417</v>
      </c>
      <c r="FCJ1" s="9" t="s">
        <v>157</v>
      </c>
      <c r="FCK1" s="9" t="s">
        <v>158</v>
      </c>
      <c r="FCL1" s="9" t="s">
        <v>154</v>
      </c>
      <c r="FCM1" s="9" t="s">
        <v>155</v>
      </c>
      <c r="FCN1" s="9" t="s">
        <v>156</v>
      </c>
      <c r="FCO1" s="9" t="s">
        <v>152</v>
      </c>
      <c r="FCP1" s="9" t="s">
        <v>340</v>
      </c>
      <c r="FCQ1" s="9" t="s">
        <v>153</v>
      </c>
      <c r="FCR1" s="9" t="s">
        <v>414</v>
      </c>
      <c r="FCS1" s="9" t="s">
        <v>417</v>
      </c>
      <c r="FCT1" s="9" t="s">
        <v>157</v>
      </c>
      <c r="FCU1" s="9" t="s">
        <v>158</v>
      </c>
      <c r="FCV1" s="9" t="s">
        <v>154</v>
      </c>
      <c r="FCW1" s="9" t="s">
        <v>155</v>
      </c>
      <c r="FCX1" s="9" t="s">
        <v>156</v>
      </c>
      <c r="FCY1" s="9" t="s">
        <v>152</v>
      </c>
      <c r="FCZ1" s="9" t="s">
        <v>340</v>
      </c>
      <c r="FDA1" s="9" t="s">
        <v>153</v>
      </c>
      <c r="FDB1" s="9" t="s">
        <v>414</v>
      </c>
      <c r="FDC1" s="9" t="s">
        <v>417</v>
      </c>
      <c r="FDD1" s="9" t="s">
        <v>157</v>
      </c>
      <c r="FDE1" s="9" t="s">
        <v>158</v>
      </c>
      <c r="FDF1" s="9" t="s">
        <v>154</v>
      </c>
      <c r="FDG1" s="9" t="s">
        <v>155</v>
      </c>
      <c r="FDH1" s="9" t="s">
        <v>156</v>
      </c>
      <c r="FDI1" s="9" t="s">
        <v>152</v>
      </c>
      <c r="FDJ1" s="9" t="s">
        <v>340</v>
      </c>
      <c r="FDK1" s="9" t="s">
        <v>153</v>
      </c>
      <c r="FDL1" s="9" t="s">
        <v>414</v>
      </c>
      <c r="FDM1" s="9" t="s">
        <v>417</v>
      </c>
      <c r="FDN1" s="9" t="s">
        <v>157</v>
      </c>
      <c r="FDO1" s="9" t="s">
        <v>158</v>
      </c>
      <c r="FDP1" s="9" t="s">
        <v>154</v>
      </c>
      <c r="FDQ1" s="9" t="s">
        <v>155</v>
      </c>
      <c r="FDR1" s="9" t="s">
        <v>156</v>
      </c>
      <c r="FDS1" s="9" t="s">
        <v>152</v>
      </c>
      <c r="FDT1" s="9" t="s">
        <v>340</v>
      </c>
      <c r="FDU1" s="9" t="s">
        <v>153</v>
      </c>
      <c r="FDV1" s="9" t="s">
        <v>414</v>
      </c>
      <c r="FDW1" s="9" t="s">
        <v>417</v>
      </c>
      <c r="FDX1" s="9" t="s">
        <v>157</v>
      </c>
      <c r="FDY1" s="9" t="s">
        <v>158</v>
      </c>
      <c r="FDZ1" s="9" t="s">
        <v>154</v>
      </c>
      <c r="FEA1" s="9" t="s">
        <v>155</v>
      </c>
      <c r="FEB1" s="9" t="s">
        <v>156</v>
      </c>
      <c r="FEC1" s="9" t="s">
        <v>152</v>
      </c>
      <c r="FED1" s="9" t="s">
        <v>340</v>
      </c>
      <c r="FEE1" s="9" t="s">
        <v>153</v>
      </c>
      <c r="FEF1" s="9" t="s">
        <v>414</v>
      </c>
      <c r="FEG1" s="9" t="s">
        <v>417</v>
      </c>
      <c r="FEH1" s="9" t="s">
        <v>723</v>
      </c>
      <c r="FEI1" s="9" t="s">
        <v>158</v>
      </c>
      <c r="FEJ1" s="9" t="s">
        <v>154</v>
      </c>
      <c r="FEK1" s="9" t="s">
        <v>155</v>
      </c>
      <c r="FEL1" s="9" t="s">
        <v>346</v>
      </c>
      <c r="FEM1" s="9" t="s">
        <v>156</v>
      </c>
      <c r="FEN1" s="9" t="s">
        <v>152</v>
      </c>
      <c r="FEO1" s="9" t="s">
        <v>340</v>
      </c>
      <c r="FEP1" s="9" t="s">
        <v>153</v>
      </c>
      <c r="FEQ1" s="9" t="s">
        <v>414</v>
      </c>
      <c r="FER1" s="9" t="s">
        <v>417</v>
      </c>
      <c r="FES1" s="9" t="s">
        <v>404</v>
      </c>
      <c r="FET1" s="9" t="s">
        <v>158</v>
      </c>
      <c r="FEU1" s="9" t="s">
        <v>154</v>
      </c>
      <c r="FEV1" s="9" t="s">
        <v>155</v>
      </c>
      <c r="FEW1" s="9" t="s">
        <v>156</v>
      </c>
      <c r="FEX1" s="9" t="s">
        <v>152</v>
      </c>
      <c r="FEY1" s="9" t="s">
        <v>340</v>
      </c>
      <c r="FEZ1" s="9" t="s">
        <v>153</v>
      </c>
      <c r="FFA1" s="9" t="s">
        <v>414</v>
      </c>
      <c r="FFB1" s="9" t="s">
        <v>417</v>
      </c>
      <c r="FFC1" s="9" t="s">
        <v>404</v>
      </c>
      <c r="FFD1" s="9" t="s">
        <v>158</v>
      </c>
      <c r="FFE1" s="9" t="s">
        <v>154</v>
      </c>
      <c r="FFF1" s="9" t="s">
        <v>155</v>
      </c>
      <c r="FFG1" s="9" t="s">
        <v>156</v>
      </c>
      <c r="FFH1" s="9" t="s">
        <v>152</v>
      </c>
      <c r="FFI1" s="9" t="s">
        <v>340</v>
      </c>
      <c r="FFJ1" s="9" t="s">
        <v>153</v>
      </c>
      <c r="FFK1" s="9" t="s">
        <v>414</v>
      </c>
      <c r="FFL1" s="9" t="s">
        <v>417</v>
      </c>
      <c r="FFM1" s="9" t="s">
        <v>157</v>
      </c>
      <c r="FFN1" s="9" t="s">
        <v>158</v>
      </c>
      <c r="FFO1" s="9" t="s">
        <v>154</v>
      </c>
      <c r="FFP1" s="9" t="s">
        <v>155</v>
      </c>
      <c r="FFQ1" s="9" t="s">
        <v>156</v>
      </c>
      <c r="FFR1" s="9" t="s">
        <v>152</v>
      </c>
      <c r="FFS1" s="9" t="s">
        <v>340</v>
      </c>
      <c r="FFT1" s="9" t="s">
        <v>153</v>
      </c>
      <c r="FFU1" s="9" t="s">
        <v>414</v>
      </c>
      <c r="FFV1" s="9" t="s">
        <v>417</v>
      </c>
      <c r="FFW1" s="9" t="s">
        <v>404</v>
      </c>
      <c r="FFX1" s="9" t="s">
        <v>158</v>
      </c>
      <c r="FFY1" s="9" t="s">
        <v>154</v>
      </c>
      <c r="FFZ1" s="9" t="s">
        <v>155</v>
      </c>
      <c r="FGA1" s="9" t="s">
        <v>156</v>
      </c>
      <c r="FGB1" s="9" t="s">
        <v>152</v>
      </c>
      <c r="FGC1" s="9" t="s">
        <v>340</v>
      </c>
      <c r="FGD1" s="9" t="s">
        <v>153</v>
      </c>
      <c r="FGE1" s="9" t="s">
        <v>414</v>
      </c>
      <c r="FGF1" s="9" t="s">
        <v>417</v>
      </c>
      <c r="FGG1" s="9" t="s">
        <v>157</v>
      </c>
      <c r="FGH1" s="9" t="s">
        <v>158</v>
      </c>
      <c r="FGI1" s="9" t="s">
        <v>154</v>
      </c>
      <c r="FGJ1" s="9" t="s">
        <v>155</v>
      </c>
      <c r="FGK1" s="9" t="s">
        <v>156</v>
      </c>
      <c r="FGL1" s="9" t="s">
        <v>152</v>
      </c>
      <c r="FGM1" s="9" t="s">
        <v>340</v>
      </c>
      <c r="FGN1" s="9" t="s">
        <v>153</v>
      </c>
      <c r="FGO1" s="9" t="s">
        <v>414</v>
      </c>
      <c r="FGP1" s="9" t="s">
        <v>417</v>
      </c>
      <c r="FGQ1" s="9" t="s">
        <v>336</v>
      </c>
      <c r="FGR1" s="9" t="s">
        <v>157</v>
      </c>
      <c r="FGS1" s="9" t="s">
        <v>158</v>
      </c>
      <c r="FGT1" s="9" t="s">
        <v>154</v>
      </c>
      <c r="FGU1" s="9" t="s">
        <v>155</v>
      </c>
      <c r="FGV1" s="9" t="s">
        <v>156</v>
      </c>
      <c r="FGW1" s="9" t="s">
        <v>152</v>
      </c>
      <c r="FGX1" s="9" t="s">
        <v>340</v>
      </c>
      <c r="FGY1" s="9" t="s">
        <v>153</v>
      </c>
      <c r="FGZ1" s="9" t="s">
        <v>414</v>
      </c>
      <c r="FHA1" s="9" t="s">
        <v>417</v>
      </c>
      <c r="FHB1" s="9" t="s">
        <v>157</v>
      </c>
      <c r="FHC1" s="9" t="s">
        <v>158</v>
      </c>
      <c r="FHD1" s="9" t="s">
        <v>154</v>
      </c>
      <c r="FHE1" s="9" t="s">
        <v>155</v>
      </c>
      <c r="FHF1" s="9" t="s">
        <v>156</v>
      </c>
      <c r="FHG1" s="9" t="s">
        <v>152</v>
      </c>
      <c r="FHH1" s="9" t="s">
        <v>340</v>
      </c>
      <c r="FHI1" s="9" t="s">
        <v>153</v>
      </c>
      <c r="FHJ1" s="9" t="s">
        <v>414</v>
      </c>
      <c r="FHK1" s="9" t="s">
        <v>417</v>
      </c>
      <c r="FHL1" s="9" t="s">
        <v>157</v>
      </c>
      <c r="FHM1" s="9" t="s">
        <v>158</v>
      </c>
      <c r="FHN1" s="9" t="s">
        <v>154</v>
      </c>
      <c r="FHO1" s="9" t="s">
        <v>155</v>
      </c>
      <c r="FHP1" s="9" t="s">
        <v>156</v>
      </c>
      <c r="FHQ1" s="9" t="s">
        <v>152</v>
      </c>
      <c r="FHR1" s="9" t="s">
        <v>340</v>
      </c>
      <c r="FHS1" s="9" t="s">
        <v>153</v>
      </c>
      <c r="FHT1" s="9" t="s">
        <v>414</v>
      </c>
      <c r="FHU1" s="9" t="s">
        <v>417</v>
      </c>
      <c r="FHV1" s="9" t="s">
        <v>157</v>
      </c>
      <c r="FHW1" s="9" t="s">
        <v>158</v>
      </c>
      <c r="FHX1" s="9" t="s">
        <v>154</v>
      </c>
      <c r="FHY1" s="9" t="s">
        <v>155</v>
      </c>
      <c r="FHZ1" s="9" t="s">
        <v>156</v>
      </c>
      <c r="FIA1" s="9" t="s">
        <v>152</v>
      </c>
      <c r="FIB1" s="9" t="s">
        <v>340</v>
      </c>
      <c r="FIC1" s="9" t="s">
        <v>153</v>
      </c>
      <c r="FID1" s="9" t="s">
        <v>414</v>
      </c>
      <c r="FIE1" s="9" t="s">
        <v>417</v>
      </c>
      <c r="FIF1" s="9" t="s">
        <v>157</v>
      </c>
      <c r="FIG1" s="9" t="s">
        <v>158</v>
      </c>
      <c r="FIH1" s="9" t="s">
        <v>154</v>
      </c>
      <c r="FII1" s="9" t="s">
        <v>155</v>
      </c>
      <c r="FIJ1" s="9" t="s">
        <v>156</v>
      </c>
      <c r="FIK1" s="9" t="s">
        <v>152</v>
      </c>
      <c r="FIL1" s="9" t="s">
        <v>340</v>
      </c>
      <c r="FIM1" s="9" t="s">
        <v>153</v>
      </c>
      <c r="FIN1" s="9" t="s">
        <v>414</v>
      </c>
      <c r="FIO1" s="9" t="s">
        <v>417</v>
      </c>
      <c r="FIP1" s="9" t="s">
        <v>157</v>
      </c>
      <c r="FIQ1" s="9" t="s">
        <v>158</v>
      </c>
      <c r="FIR1" s="9" t="s">
        <v>154</v>
      </c>
      <c r="FIS1" s="9" t="s">
        <v>155</v>
      </c>
      <c r="FIT1" s="9" t="s">
        <v>156</v>
      </c>
      <c r="FIU1" s="9" t="s">
        <v>152</v>
      </c>
      <c r="FIV1" s="9" t="s">
        <v>340</v>
      </c>
      <c r="FIW1" s="9" t="s">
        <v>153</v>
      </c>
      <c r="FIX1" s="9" t="s">
        <v>414</v>
      </c>
      <c r="FIY1" s="9" t="s">
        <v>417</v>
      </c>
      <c r="FIZ1" s="9" t="s">
        <v>336</v>
      </c>
      <c r="FJA1" s="9" t="s">
        <v>157</v>
      </c>
      <c r="FJB1" s="9" t="s">
        <v>158</v>
      </c>
      <c r="FJC1" s="9" t="s">
        <v>154</v>
      </c>
      <c r="FJD1" s="9" t="s">
        <v>155</v>
      </c>
      <c r="FJE1" s="9" t="s">
        <v>156</v>
      </c>
      <c r="FJF1" s="9" t="s">
        <v>152</v>
      </c>
      <c r="FJG1" s="9" t="s">
        <v>340</v>
      </c>
      <c r="FJH1" s="9" t="s">
        <v>153</v>
      </c>
      <c r="FJI1" s="9" t="s">
        <v>414</v>
      </c>
      <c r="FJJ1" s="9" t="s">
        <v>417</v>
      </c>
      <c r="FJK1" s="9" t="s">
        <v>157</v>
      </c>
      <c r="FJL1" s="9" t="s">
        <v>158</v>
      </c>
      <c r="FJM1" s="9" t="s">
        <v>154</v>
      </c>
      <c r="FJN1" s="9" t="s">
        <v>155</v>
      </c>
      <c r="FJO1" s="9" t="s">
        <v>156</v>
      </c>
      <c r="FJP1" s="9" t="s">
        <v>152</v>
      </c>
      <c r="FJQ1" s="9" t="s">
        <v>340</v>
      </c>
      <c r="FJR1" s="9" t="s">
        <v>153</v>
      </c>
      <c r="FJS1" s="9" t="s">
        <v>414</v>
      </c>
      <c r="FJT1" s="9" t="s">
        <v>417</v>
      </c>
      <c r="FJU1" s="9" t="s">
        <v>157</v>
      </c>
      <c r="FJV1" s="9" t="s">
        <v>158</v>
      </c>
      <c r="FJW1" s="9" t="s">
        <v>154</v>
      </c>
      <c r="FJX1" s="9" t="s">
        <v>155</v>
      </c>
      <c r="FJY1" s="9" t="s">
        <v>156</v>
      </c>
      <c r="FJZ1" s="9" t="s">
        <v>152</v>
      </c>
      <c r="FKA1" s="9" t="s">
        <v>340</v>
      </c>
      <c r="FKB1" s="9" t="s">
        <v>153</v>
      </c>
      <c r="FKC1" s="9" t="s">
        <v>414</v>
      </c>
      <c r="FKD1" s="9" t="s">
        <v>417</v>
      </c>
      <c r="FKE1" s="9" t="s">
        <v>157</v>
      </c>
      <c r="FKF1" s="9" t="s">
        <v>158</v>
      </c>
      <c r="FKG1" s="9" t="s">
        <v>154</v>
      </c>
      <c r="FKH1" s="9" t="s">
        <v>155</v>
      </c>
      <c r="FKI1" s="9" t="s">
        <v>156</v>
      </c>
      <c r="FKJ1" s="9" t="s">
        <v>152</v>
      </c>
      <c r="FKK1" s="9" t="s">
        <v>340</v>
      </c>
      <c r="FKL1" s="9" t="s">
        <v>153</v>
      </c>
      <c r="FKM1" s="9" t="s">
        <v>414</v>
      </c>
      <c r="FKN1" s="9" t="s">
        <v>417</v>
      </c>
      <c r="FKO1" s="9" t="s">
        <v>157</v>
      </c>
      <c r="FKP1" s="9" t="s">
        <v>158</v>
      </c>
      <c r="FKQ1" s="9" t="s">
        <v>154</v>
      </c>
      <c r="FKR1" s="9" t="s">
        <v>155</v>
      </c>
      <c r="FKS1" s="9" t="s">
        <v>156</v>
      </c>
      <c r="FKT1" s="9" t="s">
        <v>152</v>
      </c>
      <c r="FKU1" s="9" t="s">
        <v>340</v>
      </c>
      <c r="FKV1" s="9" t="s">
        <v>153</v>
      </c>
      <c r="FKW1" s="9" t="s">
        <v>414</v>
      </c>
      <c r="FKX1" s="9" t="s">
        <v>417</v>
      </c>
      <c r="FKY1" s="9" t="s">
        <v>157</v>
      </c>
      <c r="FKZ1" s="9" t="s">
        <v>158</v>
      </c>
      <c r="FLA1" s="9" t="s">
        <v>154</v>
      </c>
      <c r="FLB1" s="9" t="s">
        <v>155</v>
      </c>
      <c r="FLC1" s="9" t="s">
        <v>156</v>
      </c>
      <c r="FLD1" s="9" t="s">
        <v>152</v>
      </c>
      <c r="FLE1" s="9" t="s">
        <v>340</v>
      </c>
      <c r="FLF1" s="9" t="s">
        <v>153</v>
      </c>
      <c r="FLG1" s="9" t="s">
        <v>414</v>
      </c>
      <c r="FLH1" s="9" t="s">
        <v>417</v>
      </c>
      <c r="FLI1" s="9" t="s">
        <v>157</v>
      </c>
      <c r="FLJ1" s="9" t="s">
        <v>158</v>
      </c>
      <c r="FLK1" s="9" t="s">
        <v>154</v>
      </c>
      <c r="FLL1" s="9" t="s">
        <v>155</v>
      </c>
      <c r="FLM1" s="9" t="s">
        <v>156</v>
      </c>
      <c r="FLN1" s="9" t="s">
        <v>152</v>
      </c>
      <c r="FLO1" s="9" t="s">
        <v>340</v>
      </c>
      <c r="FLP1" s="9" t="s">
        <v>153</v>
      </c>
      <c r="FLQ1" s="9" t="s">
        <v>414</v>
      </c>
      <c r="FLR1" s="9" t="s">
        <v>417</v>
      </c>
      <c r="FLS1" s="9" t="s">
        <v>157</v>
      </c>
      <c r="FLT1" s="9" t="s">
        <v>158</v>
      </c>
      <c r="FLU1" s="9" t="s">
        <v>154</v>
      </c>
      <c r="FLV1" s="9" t="s">
        <v>155</v>
      </c>
      <c r="FLW1" s="9" t="s">
        <v>156</v>
      </c>
      <c r="FLX1" s="9" t="s">
        <v>152</v>
      </c>
      <c r="FLY1" s="9" t="s">
        <v>340</v>
      </c>
      <c r="FLZ1" s="9" t="s">
        <v>153</v>
      </c>
      <c r="FMA1" s="9" t="s">
        <v>414</v>
      </c>
      <c r="FMB1" s="9" t="s">
        <v>417</v>
      </c>
      <c r="FMC1" s="9" t="s">
        <v>157</v>
      </c>
      <c r="FMD1" s="9" t="s">
        <v>158</v>
      </c>
      <c r="FME1" s="9" t="s">
        <v>154</v>
      </c>
      <c r="FMF1" s="9" t="s">
        <v>155</v>
      </c>
      <c r="FMG1" s="9" t="s">
        <v>156</v>
      </c>
      <c r="FMH1" s="9" t="s">
        <v>152</v>
      </c>
      <c r="FMI1" s="9" t="s">
        <v>340</v>
      </c>
      <c r="FMJ1" s="9" t="s">
        <v>153</v>
      </c>
      <c r="FMK1" s="9" t="s">
        <v>414</v>
      </c>
      <c r="FML1" s="9" t="s">
        <v>417</v>
      </c>
      <c r="FMM1" s="9" t="s">
        <v>336</v>
      </c>
      <c r="FMN1" s="9" t="s">
        <v>157</v>
      </c>
      <c r="FMO1" s="9" t="s">
        <v>158</v>
      </c>
      <c r="FMP1" s="9" t="s">
        <v>154</v>
      </c>
      <c r="FMQ1" s="9" t="s">
        <v>155</v>
      </c>
      <c r="FMR1" s="9" t="s">
        <v>156</v>
      </c>
      <c r="FMS1" s="9" t="s">
        <v>152</v>
      </c>
      <c r="FMT1" s="9" t="s">
        <v>340</v>
      </c>
      <c r="FMU1" s="9" t="s">
        <v>153</v>
      </c>
      <c r="FMV1" s="9" t="s">
        <v>414</v>
      </c>
      <c r="FMW1" s="9" t="s">
        <v>417</v>
      </c>
      <c r="FMX1" s="9" t="s">
        <v>157</v>
      </c>
      <c r="FMY1" s="9" t="s">
        <v>158</v>
      </c>
      <c r="FMZ1" s="9" t="s">
        <v>154</v>
      </c>
      <c r="FNA1" s="9" t="s">
        <v>155</v>
      </c>
      <c r="FNB1" s="9" t="s">
        <v>156</v>
      </c>
      <c r="FNC1" s="9" t="s">
        <v>152</v>
      </c>
      <c r="FND1" s="9" t="s">
        <v>340</v>
      </c>
      <c r="FNE1" s="9" t="s">
        <v>153</v>
      </c>
      <c r="FNF1" s="9" t="s">
        <v>414</v>
      </c>
      <c r="FNG1" s="9" t="s">
        <v>417</v>
      </c>
      <c r="FNH1" s="9" t="s">
        <v>157</v>
      </c>
      <c r="FNI1" s="9" t="s">
        <v>158</v>
      </c>
      <c r="FNJ1" s="9" t="s">
        <v>154</v>
      </c>
      <c r="FNK1" s="9" t="s">
        <v>155</v>
      </c>
      <c r="FNL1" s="9" t="s">
        <v>156</v>
      </c>
      <c r="FNM1" s="9" t="s">
        <v>152</v>
      </c>
      <c r="FNN1" s="9" t="s">
        <v>340</v>
      </c>
      <c r="FNO1" s="9" t="s">
        <v>153</v>
      </c>
      <c r="FNP1" s="9" t="s">
        <v>414</v>
      </c>
      <c r="FNQ1" s="9" t="s">
        <v>417</v>
      </c>
      <c r="FNR1" s="9" t="s">
        <v>157</v>
      </c>
      <c r="FNS1" s="9" t="s">
        <v>158</v>
      </c>
      <c r="FNT1" s="9" t="s">
        <v>154</v>
      </c>
      <c r="FNU1" s="9" t="s">
        <v>155</v>
      </c>
      <c r="FNV1" s="9" t="s">
        <v>156</v>
      </c>
      <c r="FNW1" s="9" t="s">
        <v>152</v>
      </c>
      <c r="FNX1" s="9" t="s">
        <v>340</v>
      </c>
      <c r="FNY1" s="9" t="s">
        <v>153</v>
      </c>
      <c r="FNZ1" s="9" t="s">
        <v>414</v>
      </c>
      <c r="FOA1" s="9" t="s">
        <v>417</v>
      </c>
      <c r="FOB1" s="9" t="s">
        <v>157</v>
      </c>
      <c r="FOC1" s="9" t="s">
        <v>158</v>
      </c>
      <c r="FOD1" s="9" t="s">
        <v>154</v>
      </c>
      <c r="FOE1" s="9" t="s">
        <v>155</v>
      </c>
      <c r="FOF1" s="9" t="s">
        <v>156</v>
      </c>
      <c r="FOG1" s="9" t="s">
        <v>152</v>
      </c>
      <c r="FOH1" s="9" t="s">
        <v>340</v>
      </c>
      <c r="FOI1" s="9" t="s">
        <v>153</v>
      </c>
      <c r="FOJ1" s="9" t="s">
        <v>414</v>
      </c>
      <c r="FOK1" s="9" t="s">
        <v>417</v>
      </c>
      <c r="FOL1" s="9" t="s">
        <v>157</v>
      </c>
      <c r="FOM1" s="9" t="s">
        <v>158</v>
      </c>
      <c r="FON1" s="9" t="s">
        <v>154</v>
      </c>
      <c r="FOO1" s="9" t="s">
        <v>155</v>
      </c>
      <c r="FOP1" s="9" t="s">
        <v>156</v>
      </c>
      <c r="FOQ1" s="9" t="s">
        <v>152</v>
      </c>
      <c r="FOR1" s="9" t="s">
        <v>340</v>
      </c>
      <c r="FOS1" s="9" t="s">
        <v>153</v>
      </c>
      <c r="FOT1" s="9" t="s">
        <v>414</v>
      </c>
      <c r="FOU1" s="9" t="s">
        <v>417</v>
      </c>
      <c r="FOV1" s="9" t="s">
        <v>157</v>
      </c>
      <c r="FOW1" s="9" t="s">
        <v>158</v>
      </c>
      <c r="FOX1" s="9" t="s">
        <v>154</v>
      </c>
      <c r="FOY1" s="9" t="s">
        <v>155</v>
      </c>
      <c r="FOZ1" s="9" t="s">
        <v>156</v>
      </c>
      <c r="FPA1" s="9" t="s">
        <v>152</v>
      </c>
      <c r="FPB1" s="9" t="s">
        <v>340</v>
      </c>
      <c r="FPC1" s="9" t="s">
        <v>153</v>
      </c>
      <c r="FPD1" s="9" t="s">
        <v>414</v>
      </c>
      <c r="FPE1" s="9" t="s">
        <v>417</v>
      </c>
      <c r="FPF1" s="9" t="s">
        <v>157</v>
      </c>
      <c r="FPG1" s="9" t="s">
        <v>158</v>
      </c>
      <c r="FPH1" s="9" t="s">
        <v>154</v>
      </c>
      <c r="FPI1" s="9" t="s">
        <v>155</v>
      </c>
      <c r="FPJ1" s="9" t="s">
        <v>156</v>
      </c>
      <c r="FPK1" s="9" t="s">
        <v>152</v>
      </c>
      <c r="FPL1" s="9" t="s">
        <v>340</v>
      </c>
      <c r="FPM1" s="9" t="s">
        <v>153</v>
      </c>
      <c r="FPN1" s="9" t="s">
        <v>414</v>
      </c>
      <c r="FPO1" s="9" t="s">
        <v>417</v>
      </c>
      <c r="FPP1" s="9" t="s">
        <v>157</v>
      </c>
      <c r="FPQ1" s="9" t="s">
        <v>158</v>
      </c>
      <c r="FPR1" s="9" t="s">
        <v>154</v>
      </c>
      <c r="FPS1" s="9" t="s">
        <v>155</v>
      </c>
      <c r="FPT1" s="9" t="s">
        <v>156</v>
      </c>
      <c r="FPU1" s="9" t="s">
        <v>152</v>
      </c>
      <c r="FPV1" s="9" t="s">
        <v>340</v>
      </c>
      <c r="FPW1" s="9" t="s">
        <v>153</v>
      </c>
      <c r="FPX1" s="9" t="s">
        <v>414</v>
      </c>
      <c r="FPY1" s="9" t="s">
        <v>417</v>
      </c>
      <c r="FPZ1" s="9" t="s">
        <v>157</v>
      </c>
      <c r="FQA1" s="9" t="s">
        <v>158</v>
      </c>
      <c r="FQB1" s="9" t="s">
        <v>154</v>
      </c>
      <c r="FQC1" s="9" t="s">
        <v>155</v>
      </c>
      <c r="FQD1" s="9" t="s">
        <v>156</v>
      </c>
      <c r="FQE1" s="9" t="s">
        <v>152</v>
      </c>
      <c r="FQF1" s="9" t="s">
        <v>340</v>
      </c>
      <c r="FQG1" s="9" t="s">
        <v>153</v>
      </c>
      <c r="FQH1" s="9" t="s">
        <v>414</v>
      </c>
      <c r="FQI1" s="9" t="s">
        <v>417</v>
      </c>
      <c r="FQJ1" s="9" t="s">
        <v>420</v>
      </c>
      <c r="FQK1" s="9" t="s">
        <v>158</v>
      </c>
      <c r="FQL1" s="9" t="s">
        <v>154</v>
      </c>
      <c r="FQM1" s="9" t="s">
        <v>155</v>
      </c>
      <c r="FQN1" s="9" t="s">
        <v>156</v>
      </c>
      <c r="FQO1" s="9" t="s">
        <v>152</v>
      </c>
      <c r="FQP1" s="9" t="s">
        <v>340</v>
      </c>
      <c r="FQQ1" s="9" t="s">
        <v>153</v>
      </c>
      <c r="FQR1" s="9" t="s">
        <v>414</v>
      </c>
      <c r="FQS1" s="9" t="s">
        <v>417</v>
      </c>
      <c r="FQT1" s="9" t="s">
        <v>157</v>
      </c>
      <c r="FQU1" s="9" t="s">
        <v>158</v>
      </c>
      <c r="FQV1" s="9" t="s">
        <v>154</v>
      </c>
      <c r="FQW1" s="9" t="s">
        <v>155</v>
      </c>
      <c r="FQX1" s="9" t="s">
        <v>156</v>
      </c>
      <c r="FQY1" s="9" t="s">
        <v>152</v>
      </c>
      <c r="FQZ1" s="9" t="s">
        <v>340</v>
      </c>
      <c r="FRA1" s="9" t="s">
        <v>153</v>
      </c>
      <c r="FRB1" s="9" t="s">
        <v>414</v>
      </c>
      <c r="FRC1" s="9" t="s">
        <v>417</v>
      </c>
      <c r="FRD1" s="9" t="s">
        <v>157</v>
      </c>
      <c r="FRE1" s="9" t="s">
        <v>158</v>
      </c>
      <c r="FRF1" s="9" t="s">
        <v>154</v>
      </c>
      <c r="FRG1" s="9" t="s">
        <v>155</v>
      </c>
      <c r="FRH1" s="9" t="s">
        <v>156</v>
      </c>
      <c r="FRI1" s="9" t="s">
        <v>152</v>
      </c>
      <c r="FRJ1" s="9" t="s">
        <v>340</v>
      </c>
      <c r="FRK1" s="9" t="s">
        <v>153</v>
      </c>
      <c r="FRL1" s="9" t="s">
        <v>414</v>
      </c>
      <c r="FRM1" s="9" t="s">
        <v>417</v>
      </c>
      <c r="FRN1" s="9" t="s">
        <v>157</v>
      </c>
      <c r="FRO1" s="9" t="s">
        <v>158</v>
      </c>
      <c r="FRP1" s="9" t="s">
        <v>154</v>
      </c>
      <c r="FRQ1" s="9" t="s">
        <v>155</v>
      </c>
      <c r="FRR1" s="9" t="s">
        <v>156</v>
      </c>
      <c r="FRS1" s="9" t="s">
        <v>152</v>
      </c>
      <c r="FRT1" s="9" t="s">
        <v>340</v>
      </c>
      <c r="FRU1" s="9" t="s">
        <v>153</v>
      </c>
      <c r="FRV1" s="9" t="s">
        <v>414</v>
      </c>
      <c r="FRW1" s="9" t="s">
        <v>417</v>
      </c>
      <c r="FRX1" s="9" t="s">
        <v>157</v>
      </c>
      <c r="FRY1" s="9" t="s">
        <v>158</v>
      </c>
      <c r="FRZ1" s="9" t="s">
        <v>154</v>
      </c>
      <c r="FSA1" s="9" t="s">
        <v>155</v>
      </c>
      <c r="FSB1" s="9" t="s">
        <v>156</v>
      </c>
      <c r="FSC1" s="9" t="s">
        <v>152</v>
      </c>
      <c r="FSD1" s="9" t="s">
        <v>340</v>
      </c>
      <c r="FSE1" s="9" t="s">
        <v>153</v>
      </c>
      <c r="FSF1" s="9" t="s">
        <v>414</v>
      </c>
      <c r="FSG1" s="9" t="s">
        <v>417</v>
      </c>
      <c r="FSH1" s="9" t="s">
        <v>157</v>
      </c>
      <c r="FSI1" s="9" t="s">
        <v>158</v>
      </c>
      <c r="FSJ1" s="9" t="s">
        <v>154</v>
      </c>
      <c r="FSK1" s="9" t="s">
        <v>155</v>
      </c>
      <c r="FSL1" s="9" t="s">
        <v>156</v>
      </c>
      <c r="FSM1" s="9" t="s">
        <v>152</v>
      </c>
      <c r="FSN1" s="9" t="s">
        <v>340</v>
      </c>
      <c r="FSO1" s="9" t="s">
        <v>153</v>
      </c>
      <c r="FSP1" s="9" t="s">
        <v>414</v>
      </c>
      <c r="FSQ1" s="9" t="s">
        <v>417</v>
      </c>
      <c r="FSR1" s="9" t="s">
        <v>437</v>
      </c>
      <c r="FSS1" s="9" t="s">
        <v>158</v>
      </c>
      <c r="FST1" s="9" t="s">
        <v>154</v>
      </c>
      <c r="FSU1" s="9" t="s">
        <v>155</v>
      </c>
      <c r="FSV1" s="9" t="s">
        <v>156</v>
      </c>
      <c r="FSW1" s="9" t="s">
        <v>152</v>
      </c>
      <c r="FSX1" s="9" t="s">
        <v>340</v>
      </c>
      <c r="FSY1" s="9" t="s">
        <v>153</v>
      </c>
      <c r="FSZ1" s="9" t="s">
        <v>414</v>
      </c>
      <c r="FTA1" s="9" t="s">
        <v>417</v>
      </c>
      <c r="FTB1" s="9" t="s">
        <v>157</v>
      </c>
      <c r="FTC1" s="9" t="s">
        <v>158</v>
      </c>
      <c r="FTD1" s="9" t="s">
        <v>154</v>
      </c>
      <c r="FTE1" s="9" t="s">
        <v>155</v>
      </c>
      <c r="FTF1" s="9" t="s">
        <v>156</v>
      </c>
      <c r="FTG1" s="9" t="s">
        <v>152</v>
      </c>
      <c r="FTH1" s="9" t="s">
        <v>340</v>
      </c>
      <c r="FTI1" s="9" t="s">
        <v>153</v>
      </c>
      <c r="FTJ1" s="9" t="s">
        <v>414</v>
      </c>
      <c r="FTK1" s="9" t="s">
        <v>417</v>
      </c>
      <c r="FTL1" s="9" t="s">
        <v>157</v>
      </c>
      <c r="FTM1" s="9" t="s">
        <v>158</v>
      </c>
      <c r="FTN1" s="9" t="s">
        <v>154</v>
      </c>
      <c r="FTO1" s="9" t="s">
        <v>155</v>
      </c>
      <c r="FTP1" s="9" t="s">
        <v>156</v>
      </c>
      <c r="FTQ1" s="9" t="s">
        <v>152</v>
      </c>
      <c r="FTR1" s="9" t="s">
        <v>340</v>
      </c>
      <c r="FTS1" s="9" t="s">
        <v>153</v>
      </c>
      <c r="FTT1" s="9" t="s">
        <v>414</v>
      </c>
      <c r="FTU1" s="9" t="s">
        <v>417</v>
      </c>
      <c r="FTV1" s="9" t="s">
        <v>157</v>
      </c>
      <c r="FTW1" s="9" t="s">
        <v>158</v>
      </c>
      <c r="FTX1" s="9" t="s">
        <v>154</v>
      </c>
      <c r="FTY1" s="9" t="s">
        <v>155</v>
      </c>
      <c r="FTZ1" s="9" t="s">
        <v>156</v>
      </c>
      <c r="FUA1" s="9" t="s">
        <v>152</v>
      </c>
      <c r="FUB1" s="9" t="s">
        <v>340</v>
      </c>
      <c r="FUC1" s="9" t="s">
        <v>153</v>
      </c>
      <c r="FUD1" s="9" t="s">
        <v>414</v>
      </c>
      <c r="FUE1" s="9" t="s">
        <v>417</v>
      </c>
      <c r="FUF1" s="9" t="s">
        <v>2495</v>
      </c>
      <c r="FUG1" s="9" t="s">
        <v>158</v>
      </c>
      <c r="FUH1" s="9" t="s">
        <v>955</v>
      </c>
      <c r="FUI1" s="9" t="s">
        <v>152</v>
      </c>
      <c r="FUJ1" s="9" t="s">
        <v>340</v>
      </c>
      <c r="FUK1" s="9" t="s">
        <v>153</v>
      </c>
      <c r="FUL1" s="9" t="s">
        <v>414</v>
      </c>
      <c r="FUM1" s="9" t="s">
        <v>417</v>
      </c>
      <c r="FUN1" s="9" t="s">
        <v>418</v>
      </c>
      <c r="FUO1" s="9" t="s">
        <v>158</v>
      </c>
      <c r="FUP1" s="9" t="s">
        <v>154</v>
      </c>
      <c r="FUQ1" s="9" t="s">
        <v>155</v>
      </c>
      <c r="FUR1" s="9" t="s">
        <v>156</v>
      </c>
      <c r="FUS1" s="9" t="s">
        <v>152</v>
      </c>
      <c r="FUT1" s="9" t="s">
        <v>340</v>
      </c>
      <c r="FUU1" s="9" t="s">
        <v>153</v>
      </c>
      <c r="FUV1" s="9" t="s">
        <v>414</v>
      </c>
      <c r="FUW1" s="9" t="s">
        <v>417</v>
      </c>
      <c r="FUX1" s="9" t="s">
        <v>157</v>
      </c>
      <c r="FUY1" s="9" t="s">
        <v>158</v>
      </c>
      <c r="FUZ1" s="9" t="s">
        <v>955</v>
      </c>
      <c r="FVA1" s="9" t="s">
        <v>152</v>
      </c>
      <c r="FVB1" s="9" t="s">
        <v>340</v>
      </c>
      <c r="FVC1" s="9" t="s">
        <v>153</v>
      </c>
      <c r="FVD1" s="9" t="s">
        <v>414</v>
      </c>
      <c r="FVE1" s="9" t="s">
        <v>417</v>
      </c>
      <c r="FVF1" s="9" t="s">
        <v>157</v>
      </c>
      <c r="FVG1" s="9" t="s">
        <v>158</v>
      </c>
      <c r="FVH1" s="9" t="s">
        <v>154</v>
      </c>
      <c r="FVI1" s="9" t="s">
        <v>155</v>
      </c>
      <c r="FVJ1" s="9" t="s">
        <v>156</v>
      </c>
      <c r="FVK1" s="9" t="s">
        <v>152</v>
      </c>
      <c r="FVL1" s="9" t="s">
        <v>340</v>
      </c>
      <c r="FVM1" s="9" t="s">
        <v>153</v>
      </c>
      <c r="FVN1" s="9" t="s">
        <v>414</v>
      </c>
      <c r="FVO1" s="9" t="s">
        <v>417</v>
      </c>
      <c r="FVP1" s="9" t="s">
        <v>157</v>
      </c>
      <c r="FVQ1" s="9" t="s">
        <v>158</v>
      </c>
      <c r="FVR1" s="9" t="s">
        <v>154</v>
      </c>
      <c r="FVS1" s="9" t="s">
        <v>155</v>
      </c>
      <c r="FVT1" s="9" t="s">
        <v>156</v>
      </c>
      <c r="FVU1" s="9" t="s">
        <v>152</v>
      </c>
      <c r="FVV1" s="9" t="s">
        <v>340</v>
      </c>
      <c r="FVW1" s="9" t="s">
        <v>153</v>
      </c>
      <c r="FVX1" s="9" t="s">
        <v>414</v>
      </c>
      <c r="FVY1" s="9" t="s">
        <v>417</v>
      </c>
      <c r="FVZ1" s="9" t="s">
        <v>157</v>
      </c>
      <c r="FWA1" s="9" t="s">
        <v>158</v>
      </c>
      <c r="FWB1" s="9" t="s">
        <v>154</v>
      </c>
      <c r="FWC1" s="9" t="s">
        <v>155</v>
      </c>
      <c r="FWD1" s="9" t="s">
        <v>156</v>
      </c>
      <c r="FWE1" s="9" t="s">
        <v>152</v>
      </c>
      <c r="FWF1" s="9" t="s">
        <v>340</v>
      </c>
      <c r="FWG1" s="9" t="s">
        <v>153</v>
      </c>
      <c r="FWH1" s="9" t="s">
        <v>414</v>
      </c>
      <c r="FWI1" s="9" t="s">
        <v>417</v>
      </c>
      <c r="FWJ1" s="9" t="s">
        <v>157</v>
      </c>
      <c r="FWK1" s="9" t="s">
        <v>158</v>
      </c>
      <c r="FWL1" s="9" t="s">
        <v>154</v>
      </c>
      <c r="FWM1" s="9" t="s">
        <v>155</v>
      </c>
      <c r="FWN1" s="9" t="s">
        <v>156</v>
      </c>
      <c r="FWO1" s="9" t="s">
        <v>152</v>
      </c>
      <c r="FWP1" s="9" t="s">
        <v>340</v>
      </c>
      <c r="FWQ1" s="9" t="s">
        <v>153</v>
      </c>
      <c r="FWR1" s="9" t="s">
        <v>414</v>
      </c>
      <c r="FWS1" s="9" t="s">
        <v>417</v>
      </c>
      <c r="FWT1" s="9" t="s">
        <v>157</v>
      </c>
      <c r="FWU1" s="9" t="s">
        <v>158</v>
      </c>
      <c r="FWV1" s="9" t="s">
        <v>154</v>
      </c>
      <c r="FWW1" s="9" t="s">
        <v>155</v>
      </c>
      <c r="FWX1" s="9" t="s">
        <v>156</v>
      </c>
      <c r="FWY1" s="9" t="s">
        <v>152</v>
      </c>
      <c r="FWZ1" s="9" t="s">
        <v>340</v>
      </c>
      <c r="FXA1" s="9" t="s">
        <v>153</v>
      </c>
      <c r="FXB1" s="9" t="s">
        <v>414</v>
      </c>
      <c r="FXC1" s="9" t="s">
        <v>417</v>
      </c>
      <c r="FXD1" s="9" t="s">
        <v>157</v>
      </c>
      <c r="FXE1" s="9" t="s">
        <v>158</v>
      </c>
      <c r="FXF1" s="9" t="s">
        <v>154</v>
      </c>
      <c r="FXG1" s="9" t="s">
        <v>155</v>
      </c>
      <c r="FXH1" s="9" t="s">
        <v>156</v>
      </c>
      <c r="FXI1" s="9" t="s">
        <v>1648</v>
      </c>
      <c r="FXJ1" s="9" t="s">
        <v>152</v>
      </c>
      <c r="FXK1" s="9" t="s">
        <v>340</v>
      </c>
      <c r="FXL1" s="9" t="s">
        <v>153</v>
      </c>
      <c r="FXM1" s="9" t="s">
        <v>414</v>
      </c>
      <c r="FXN1" s="9" t="s">
        <v>417</v>
      </c>
      <c r="FXO1" s="9" t="s">
        <v>418</v>
      </c>
      <c r="FXP1" s="9" t="s">
        <v>158</v>
      </c>
      <c r="FXQ1" s="9" t="s">
        <v>154</v>
      </c>
      <c r="FXR1" s="9" t="s">
        <v>155</v>
      </c>
      <c r="FXS1" s="9" t="s">
        <v>156</v>
      </c>
      <c r="FXT1" s="9" t="s">
        <v>152</v>
      </c>
      <c r="FXU1" s="9" t="s">
        <v>340</v>
      </c>
      <c r="FXV1" s="9" t="s">
        <v>153</v>
      </c>
      <c r="FXW1" s="9" t="s">
        <v>414</v>
      </c>
      <c r="FXX1" s="9" t="s">
        <v>417</v>
      </c>
      <c r="FXY1" s="9" t="s">
        <v>418</v>
      </c>
      <c r="FXZ1" s="9" t="s">
        <v>158</v>
      </c>
      <c r="FYA1" s="9" t="s">
        <v>154</v>
      </c>
      <c r="FYB1" s="9" t="s">
        <v>155</v>
      </c>
      <c r="FYC1" s="9" t="s">
        <v>156</v>
      </c>
      <c r="FYD1" s="9" t="s">
        <v>152</v>
      </c>
      <c r="FYE1" s="9" t="s">
        <v>340</v>
      </c>
      <c r="FYF1" s="9" t="s">
        <v>153</v>
      </c>
      <c r="FYG1" s="9" t="s">
        <v>414</v>
      </c>
      <c r="FYH1" s="9" t="s">
        <v>417</v>
      </c>
      <c r="FYI1" s="9" t="s">
        <v>157</v>
      </c>
      <c r="FYJ1" s="9" t="s">
        <v>158</v>
      </c>
      <c r="FYK1" s="9" t="s">
        <v>154</v>
      </c>
      <c r="FYL1" s="9" t="s">
        <v>155</v>
      </c>
      <c r="FYM1" s="9" t="s">
        <v>156</v>
      </c>
      <c r="FYN1" s="9" t="s">
        <v>152</v>
      </c>
      <c r="FYO1" s="9" t="s">
        <v>340</v>
      </c>
      <c r="FYP1" s="9" t="s">
        <v>153</v>
      </c>
      <c r="FYQ1" s="9" t="s">
        <v>414</v>
      </c>
      <c r="FYR1" s="9" t="s">
        <v>417</v>
      </c>
      <c r="FYS1" s="9" t="s">
        <v>723</v>
      </c>
      <c r="FYT1" s="9" t="s">
        <v>158</v>
      </c>
      <c r="FYU1" s="9" t="s">
        <v>154</v>
      </c>
      <c r="FYV1" s="9" t="s">
        <v>155</v>
      </c>
      <c r="FYW1" s="9" t="s">
        <v>156</v>
      </c>
      <c r="FYX1" s="9" t="s">
        <v>152</v>
      </c>
      <c r="FYY1" s="9" t="s">
        <v>340</v>
      </c>
      <c r="FYZ1" s="9" t="s">
        <v>153</v>
      </c>
      <c r="FZA1" s="9" t="s">
        <v>414</v>
      </c>
      <c r="FZB1" s="9" t="s">
        <v>417</v>
      </c>
      <c r="FZC1" s="9" t="s">
        <v>379</v>
      </c>
      <c r="FZD1" s="9" t="s">
        <v>158</v>
      </c>
      <c r="FZE1" s="9" t="s">
        <v>154</v>
      </c>
      <c r="FZF1" s="9" t="s">
        <v>155</v>
      </c>
      <c r="FZG1" s="9" t="s">
        <v>156</v>
      </c>
      <c r="FZH1" s="9" t="s">
        <v>152</v>
      </c>
      <c r="FZI1" s="9" t="s">
        <v>340</v>
      </c>
      <c r="FZJ1" s="9" t="s">
        <v>153</v>
      </c>
      <c r="FZK1" s="9" t="s">
        <v>414</v>
      </c>
      <c r="FZL1" s="9" t="s">
        <v>417</v>
      </c>
      <c r="FZM1" s="9" t="s">
        <v>379</v>
      </c>
      <c r="FZN1" s="9" t="s">
        <v>158</v>
      </c>
      <c r="FZO1" s="9" t="s">
        <v>154</v>
      </c>
      <c r="FZP1" s="9" t="s">
        <v>155</v>
      </c>
      <c r="FZQ1" s="9" t="s">
        <v>156</v>
      </c>
      <c r="FZR1" s="9" t="s">
        <v>152</v>
      </c>
      <c r="FZS1" s="9" t="s">
        <v>340</v>
      </c>
      <c r="FZT1" s="9" t="s">
        <v>153</v>
      </c>
      <c r="FZU1" s="9" t="s">
        <v>414</v>
      </c>
      <c r="FZV1" s="9" t="s">
        <v>417</v>
      </c>
      <c r="FZW1" s="9" t="s">
        <v>157</v>
      </c>
      <c r="FZX1" s="9" t="s">
        <v>158</v>
      </c>
      <c r="FZY1" s="9" t="s">
        <v>154</v>
      </c>
      <c r="FZZ1" s="9" t="s">
        <v>155</v>
      </c>
      <c r="GAA1" s="9" t="s">
        <v>156</v>
      </c>
      <c r="GAB1" s="9" t="s">
        <v>152</v>
      </c>
      <c r="GAC1" s="9" t="s">
        <v>340</v>
      </c>
      <c r="GAD1" s="9" t="s">
        <v>153</v>
      </c>
      <c r="GAE1" s="9" t="s">
        <v>414</v>
      </c>
      <c r="GAF1" s="9" t="s">
        <v>417</v>
      </c>
      <c r="GAG1" s="9" t="s">
        <v>336</v>
      </c>
      <c r="GAH1" s="9" t="s">
        <v>1661</v>
      </c>
      <c r="GAI1" s="9" t="s">
        <v>158</v>
      </c>
      <c r="GAJ1" s="9" t="s">
        <v>154</v>
      </c>
      <c r="GAK1" s="9" t="s">
        <v>155</v>
      </c>
      <c r="GAL1" s="9" t="s">
        <v>156</v>
      </c>
      <c r="GAM1" s="9" t="s">
        <v>152</v>
      </c>
      <c r="GAN1" s="9" t="s">
        <v>340</v>
      </c>
      <c r="GAO1" s="9" t="s">
        <v>153</v>
      </c>
      <c r="GAP1" s="9" t="s">
        <v>414</v>
      </c>
      <c r="GAQ1" s="9" t="s">
        <v>417</v>
      </c>
      <c r="GAR1" s="9" t="s">
        <v>157</v>
      </c>
      <c r="GAS1" s="9" t="s">
        <v>158</v>
      </c>
      <c r="GAT1" s="9" t="s">
        <v>154</v>
      </c>
      <c r="GAU1" s="9" t="s">
        <v>155</v>
      </c>
      <c r="GAV1" s="9" t="s">
        <v>156</v>
      </c>
      <c r="GAW1" s="9" t="s">
        <v>152</v>
      </c>
      <c r="GAX1" s="9" t="s">
        <v>340</v>
      </c>
      <c r="GAY1" s="9" t="s">
        <v>153</v>
      </c>
      <c r="GAZ1" s="9" t="s">
        <v>414</v>
      </c>
      <c r="GBA1" s="9" t="s">
        <v>417</v>
      </c>
      <c r="GBB1" s="9" t="s">
        <v>157</v>
      </c>
      <c r="GBC1" s="9" t="s">
        <v>158</v>
      </c>
      <c r="GBD1" s="9" t="s">
        <v>154</v>
      </c>
      <c r="GBE1" s="9" t="s">
        <v>155</v>
      </c>
      <c r="GBF1" s="9" t="s">
        <v>156</v>
      </c>
      <c r="GBG1" s="9" t="s">
        <v>152</v>
      </c>
      <c r="GBH1" s="9" t="s">
        <v>340</v>
      </c>
      <c r="GBI1" s="9" t="s">
        <v>153</v>
      </c>
      <c r="GBJ1" s="9" t="s">
        <v>414</v>
      </c>
      <c r="GBK1" s="9" t="s">
        <v>417</v>
      </c>
      <c r="GBL1" s="9" t="s">
        <v>157</v>
      </c>
      <c r="GBM1" s="9" t="s">
        <v>158</v>
      </c>
      <c r="GBN1" s="9" t="s">
        <v>154</v>
      </c>
      <c r="GBO1" s="9" t="s">
        <v>155</v>
      </c>
      <c r="GBP1" s="9" t="s">
        <v>156</v>
      </c>
      <c r="GBQ1" s="9" t="s">
        <v>152</v>
      </c>
      <c r="GBR1" s="9" t="s">
        <v>340</v>
      </c>
      <c r="GBS1" s="9" t="s">
        <v>153</v>
      </c>
      <c r="GBT1" s="9" t="s">
        <v>414</v>
      </c>
      <c r="GBU1" s="9" t="s">
        <v>417</v>
      </c>
      <c r="GBV1" s="9" t="s">
        <v>157</v>
      </c>
      <c r="GBW1" s="9" t="s">
        <v>158</v>
      </c>
      <c r="GBX1" s="9" t="s">
        <v>154</v>
      </c>
      <c r="GBY1" s="9" t="s">
        <v>155</v>
      </c>
      <c r="GBZ1" s="9" t="s">
        <v>156</v>
      </c>
      <c r="GCA1" s="9" t="s">
        <v>152</v>
      </c>
      <c r="GCB1" s="9" t="s">
        <v>340</v>
      </c>
      <c r="GCC1" s="9" t="s">
        <v>153</v>
      </c>
      <c r="GCD1" s="9" t="s">
        <v>414</v>
      </c>
      <c r="GCE1" s="9" t="s">
        <v>417</v>
      </c>
      <c r="GCF1" s="9" t="s">
        <v>157</v>
      </c>
      <c r="GCG1" s="9" t="s">
        <v>158</v>
      </c>
      <c r="GCH1" s="9" t="s">
        <v>154</v>
      </c>
      <c r="GCI1" s="9" t="s">
        <v>155</v>
      </c>
      <c r="GCJ1" s="9" t="s">
        <v>156</v>
      </c>
      <c r="GCK1" s="9" t="s">
        <v>152</v>
      </c>
      <c r="GCL1" s="9" t="s">
        <v>340</v>
      </c>
      <c r="GCM1" s="9" t="s">
        <v>153</v>
      </c>
      <c r="GCN1" s="9" t="s">
        <v>414</v>
      </c>
      <c r="GCO1" s="9" t="s">
        <v>417</v>
      </c>
      <c r="GCP1" s="9" t="s">
        <v>157</v>
      </c>
      <c r="GCQ1" s="9" t="s">
        <v>158</v>
      </c>
      <c r="GCR1" s="9" t="s">
        <v>154</v>
      </c>
      <c r="GCS1" s="9" t="s">
        <v>155</v>
      </c>
      <c r="GCT1" s="9" t="s">
        <v>156</v>
      </c>
      <c r="GCU1" s="9" t="s">
        <v>955</v>
      </c>
      <c r="GCV1" s="9" t="s">
        <v>152</v>
      </c>
      <c r="GCW1" s="9" t="s">
        <v>340</v>
      </c>
      <c r="GCX1" s="9" t="s">
        <v>153</v>
      </c>
      <c r="GCY1" s="9" t="s">
        <v>414</v>
      </c>
      <c r="GCZ1" s="9" t="s">
        <v>417</v>
      </c>
      <c r="GDA1" s="9" t="s">
        <v>379</v>
      </c>
      <c r="GDB1" s="9" t="s">
        <v>158</v>
      </c>
      <c r="GDC1" s="9" t="s">
        <v>154</v>
      </c>
      <c r="GDD1" s="9" t="s">
        <v>155</v>
      </c>
      <c r="GDE1" s="9" t="s">
        <v>156</v>
      </c>
      <c r="GDF1" s="9" t="s">
        <v>152</v>
      </c>
      <c r="GDG1" s="9" t="s">
        <v>340</v>
      </c>
      <c r="GDH1" s="9" t="s">
        <v>153</v>
      </c>
      <c r="GDI1" s="9" t="s">
        <v>414</v>
      </c>
      <c r="GDJ1" s="9" t="s">
        <v>417</v>
      </c>
      <c r="GDK1" s="9" t="s">
        <v>379</v>
      </c>
      <c r="GDL1" s="9" t="s">
        <v>158</v>
      </c>
      <c r="GDM1" s="9" t="s">
        <v>154</v>
      </c>
      <c r="GDN1" s="9" t="s">
        <v>155</v>
      </c>
      <c r="GDO1" s="9" t="s">
        <v>156</v>
      </c>
      <c r="GDP1" s="9" t="s">
        <v>152</v>
      </c>
      <c r="GDQ1" s="9" t="s">
        <v>340</v>
      </c>
      <c r="GDR1" s="9" t="s">
        <v>153</v>
      </c>
      <c r="GDS1" s="9" t="s">
        <v>414</v>
      </c>
      <c r="GDT1" s="9" t="s">
        <v>417</v>
      </c>
      <c r="GDU1" s="9" t="s">
        <v>379</v>
      </c>
      <c r="GDV1" s="9" t="s">
        <v>158</v>
      </c>
      <c r="GDW1" s="9" t="s">
        <v>154</v>
      </c>
      <c r="GDX1" s="9" t="s">
        <v>155</v>
      </c>
      <c r="GDY1" s="9" t="s">
        <v>156</v>
      </c>
      <c r="GDZ1" s="9" t="s">
        <v>955</v>
      </c>
      <c r="GEA1" s="9" t="s">
        <v>152</v>
      </c>
      <c r="GEB1" s="9" t="s">
        <v>340</v>
      </c>
      <c r="GEC1" s="9" t="s">
        <v>153</v>
      </c>
      <c r="GED1" s="9" t="s">
        <v>414</v>
      </c>
      <c r="GEE1" s="9" t="s">
        <v>417</v>
      </c>
      <c r="GEF1" s="9" t="s">
        <v>157</v>
      </c>
      <c r="GEG1" s="9" t="s">
        <v>158</v>
      </c>
      <c r="GEH1" s="9" t="s">
        <v>154</v>
      </c>
      <c r="GEI1" s="9" t="s">
        <v>155</v>
      </c>
      <c r="GEJ1" s="9" t="s">
        <v>156</v>
      </c>
      <c r="GEK1" s="9" t="s">
        <v>508</v>
      </c>
      <c r="GEL1" s="9" t="s">
        <v>152</v>
      </c>
      <c r="GEM1" s="9" t="s">
        <v>340</v>
      </c>
      <c r="GEN1" s="9" t="s">
        <v>153</v>
      </c>
      <c r="GEO1" s="9" t="s">
        <v>414</v>
      </c>
      <c r="GEP1" s="9" t="s">
        <v>417</v>
      </c>
      <c r="GEQ1" s="9" t="s">
        <v>723</v>
      </c>
      <c r="GER1" s="9" t="s">
        <v>158</v>
      </c>
      <c r="GES1" s="9" t="s">
        <v>154</v>
      </c>
      <c r="GET1" s="9" t="s">
        <v>155</v>
      </c>
      <c r="GEU1" s="9" t="s">
        <v>156</v>
      </c>
      <c r="GEV1" s="9" t="s">
        <v>2197</v>
      </c>
      <c r="GEW1" s="9" t="s">
        <v>152</v>
      </c>
      <c r="GEX1" s="9" t="s">
        <v>340</v>
      </c>
      <c r="GEY1" s="9" t="s">
        <v>153</v>
      </c>
      <c r="GEZ1" s="9" t="s">
        <v>414</v>
      </c>
      <c r="GFA1" s="9" t="s">
        <v>417</v>
      </c>
      <c r="GFB1" s="9" t="s">
        <v>157</v>
      </c>
      <c r="GFC1" s="9" t="s">
        <v>158</v>
      </c>
      <c r="GFD1" s="9" t="s">
        <v>154</v>
      </c>
      <c r="GFE1" s="9" t="s">
        <v>155</v>
      </c>
      <c r="GFF1" s="9" t="s">
        <v>156</v>
      </c>
      <c r="GFG1" s="9" t="s">
        <v>152</v>
      </c>
      <c r="GFH1" s="9" t="s">
        <v>340</v>
      </c>
      <c r="GFI1" s="9" t="s">
        <v>153</v>
      </c>
      <c r="GFJ1" s="9" t="s">
        <v>414</v>
      </c>
      <c r="GFK1" s="9" t="s">
        <v>417</v>
      </c>
      <c r="GFL1" s="9" t="s">
        <v>157</v>
      </c>
      <c r="GFM1" s="9" t="s">
        <v>158</v>
      </c>
      <c r="GFN1" s="9" t="s">
        <v>154</v>
      </c>
      <c r="GFO1" s="9" t="s">
        <v>155</v>
      </c>
      <c r="GFP1" s="9" t="s">
        <v>156</v>
      </c>
      <c r="GFQ1" s="9" t="s">
        <v>152</v>
      </c>
      <c r="GFR1" s="9" t="s">
        <v>340</v>
      </c>
      <c r="GFS1" s="9" t="s">
        <v>153</v>
      </c>
      <c r="GFT1" s="9" t="s">
        <v>414</v>
      </c>
      <c r="GFU1" s="9" t="s">
        <v>417</v>
      </c>
      <c r="GFV1" s="9" t="s">
        <v>157</v>
      </c>
      <c r="GFW1" s="9" t="s">
        <v>158</v>
      </c>
      <c r="GFX1" s="9" t="s">
        <v>154</v>
      </c>
      <c r="GFY1" s="9" t="s">
        <v>155</v>
      </c>
      <c r="GFZ1" s="9" t="s">
        <v>156</v>
      </c>
      <c r="GGA1" s="9" t="s">
        <v>152</v>
      </c>
      <c r="GGB1" s="9" t="s">
        <v>340</v>
      </c>
      <c r="GGC1" s="9" t="s">
        <v>153</v>
      </c>
      <c r="GGD1" s="9" t="s">
        <v>414</v>
      </c>
      <c r="GGE1" s="9" t="s">
        <v>417</v>
      </c>
      <c r="GGF1" s="9" t="s">
        <v>157</v>
      </c>
      <c r="GGG1" s="9" t="s">
        <v>158</v>
      </c>
      <c r="GGH1" s="9" t="s">
        <v>154</v>
      </c>
      <c r="GGI1" s="9" t="s">
        <v>155</v>
      </c>
      <c r="GGJ1" s="9" t="s">
        <v>156</v>
      </c>
      <c r="GGK1" s="9" t="s">
        <v>1648</v>
      </c>
      <c r="GGL1" s="9" t="s">
        <v>152</v>
      </c>
      <c r="GGM1" s="9" t="s">
        <v>340</v>
      </c>
      <c r="GGN1" s="9" t="s">
        <v>153</v>
      </c>
      <c r="GGO1" s="9" t="s">
        <v>414</v>
      </c>
      <c r="GGP1" s="9" t="s">
        <v>417</v>
      </c>
      <c r="GGQ1" s="9" t="s">
        <v>157</v>
      </c>
      <c r="GGR1" s="9" t="s">
        <v>158</v>
      </c>
      <c r="GGS1" s="9" t="s">
        <v>154</v>
      </c>
      <c r="GGT1" s="9" t="s">
        <v>155</v>
      </c>
      <c r="GGU1" s="9" t="s">
        <v>156</v>
      </c>
      <c r="GGV1" s="9" t="s">
        <v>152</v>
      </c>
      <c r="GGW1" s="9" t="s">
        <v>340</v>
      </c>
      <c r="GGX1" s="9" t="s">
        <v>153</v>
      </c>
      <c r="GGY1" s="9" t="s">
        <v>414</v>
      </c>
      <c r="GGZ1" s="9" t="s">
        <v>417</v>
      </c>
      <c r="GHA1" s="9" t="s">
        <v>157</v>
      </c>
      <c r="GHB1" s="9" t="s">
        <v>158</v>
      </c>
      <c r="GHC1" s="9" t="s">
        <v>154</v>
      </c>
      <c r="GHD1" s="9" t="s">
        <v>155</v>
      </c>
      <c r="GHE1" s="9" t="s">
        <v>156</v>
      </c>
      <c r="GHF1" s="9" t="s">
        <v>152</v>
      </c>
      <c r="GHG1" s="9" t="s">
        <v>340</v>
      </c>
      <c r="GHH1" s="9" t="s">
        <v>153</v>
      </c>
      <c r="GHI1" s="9" t="s">
        <v>414</v>
      </c>
      <c r="GHJ1" s="9" t="s">
        <v>417</v>
      </c>
      <c r="GHK1" s="9" t="s">
        <v>157</v>
      </c>
      <c r="GHL1" s="9" t="s">
        <v>158</v>
      </c>
      <c r="GHM1" s="9" t="s">
        <v>154</v>
      </c>
      <c r="GHN1" s="9" t="s">
        <v>155</v>
      </c>
      <c r="GHO1" s="9" t="s">
        <v>156</v>
      </c>
      <c r="GHP1" s="9" t="s">
        <v>152</v>
      </c>
      <c r="GHQ1" s="9" t="s">
        <v>340</v>
      </c>
      <c r="GHR1" s="9" t="s">
        <v>153</v>
      </c>
      <c r="GHS1" s="9" t="s">
        <v>414</v>
      </c>
      <c r="GHT1" s="9" t="s">
        <v>417</v>
      </c>
      <c r="GHU1" s="9" t="s">
        <v>157</v>
      </c>
      <c r="GHV1" s="9" t="s">
        <v>158</v>
      </c>
      <c r="GHW1" s="9" t="s">
        <v>154</v>
      </c>
      <c r="GHX1" s="9" t="s">
        <v>155</v>
      </c>
      <c r="GHY1" s="9" t="s">
        <v>156</v>
      </c>
      <c r="GHZ1" s="9" t="s">
        <v>152</v>
      </c>
      <c r="GIA1" s="9" t="s">
        <v>340</v>
      </c>
      <c r="GIB1" s="9" t="s">
        <v>153</v>
      </c>
      <c r="GIC1" s="9" t="s">
        <v>414</v>
      </c>
      <c r="GID1" s="9" t="s">
        <v>417</v>
      </c>
      <c r="GIE1" s="9" t="s">
        <v>157</v>
      </c>
      <c r="GIF1" s="9" t="s">
        <v>158</v>
      </c>
      <c r="GIG1" s="9" t="s">
        <v>154</v>
      </c>
      <c r="GIH1" s="9" t="s">
        <v>155</v>
      </c>
      <c r="GII1" s="9" t="s">
        <v>156</v>
      </c>
      <c r="GIJ1" s="9" t="s">
        <v>152</v>
      </c>
      <c r="GIK1" s="9" t="s">
        <v>340</v>
      </c>
      <c r="GIL1" s="9" t="s">
        <v>153</v>
      </c>
      <c r="GIM1" s="9" t="s">
        <v>414</v>
      </c>
      <c r="GIN1" s="9" t="s">
        <v>417</v>
      </c>
      <c r="GIO1" s="9" t="s">
        <v>421</v>
      </c>
      <c r="GIP1" s="9" t="s">
        <v>158</v>
      </c>
      <c r="GIQ1" s="9" t="s">
        <v>154</v>
      </c>
      <c r="GIR1" s="9" t="s">
        <v>155</v>
      </c>
      <c r="GIS1" s="9" t="s">
        <v>156</v>
      </c>
      <c r="GIT1" s="9" t="s">
        <v>152</v>
      </c>
      <c r="GIU1" s="9" t="s">
        <v>340</v>
      </c>
      <c r="GIV1" s="9" t="s">
        <v>153</v>
      </c>
      <c r="GIW1" s="9" t="s">
        <v>414</v>
      </c>
      <c r="GIX1" s="9" t="s">
        <v>417</v>
      </c>
      <c r="GIY1" s="9" t="s">
        <v>533</v>
      </c>
      <c r="GIZ1" s="9" t="s">
        <v>158</v>
      </c>
      <c r="GJA1" s="9" t="s">
        <v>154</v>
      </c>
      <c r="GJB1" s="9" t="s">
        <v>155</v>
      </c>
      <c r="GJC1" s="9" t="s">
        <v>156</v>
      </c>
      <c r="GJD1" s="9" t="s">
        <v>152</v>
      </c>
      <c r="GJE1" s="9" t="s">
        <v>340</v>
      </c>
      <c r="GJF1" s="9" t="s">
        <v>153</v>
      </c>
      <c r="GJG1" s="9" t="s">
        <v>414</v>
      </c>
      <c r="GJH1" s="9" t="s">
        <v>417</v>
      </c>
      <c r="GJI1" s="9" t="s">
        <v>533</v>
      </c>
      <c r="GJJ1" s="9" t="s">
        <v>158</v>
      </c>
      <c r="GJK1" s="9" t="s">
        <v>154</v>
      </c>
      <c r="GJL1" s="9" t="s">
        <v>155</v>
      </c>
      <c r="GJM1" s="9" t="s">
        <v>156</v>
      </c>
      <c r="GJN1" s="9" t="s">
        <v>152</v>
      </c>
      <c r="GJO1" s="9" t="s">
        <v>340</v>
      </c>
      <c r="GJP1" s="9" t="s">
        <v>153</v>
      </c>
      <c r="GJQ1" s="9" t="s">
        <v>414</v>
      </c>
      <c r="GJR1" s="9" t="s">
        <v>417</v>
      </c>
      <c r="GJS1" s="9" t="s">
        <v>533</v>
      </c>
      <c r="GJT1" s="9" t="s">
        <v>158</v>
      </c>
      <c r="GJU1" s="9" t="s">
        <v>154</v>
      </c>
      <c r="GJV1" s="9" t="s">
        <v>155</v>
      </c>
      <c r="GJW1" s="9" t="s">
        <v>156</v>
      </c>
      <c r="GJX1" s="9" t="s">
        <v>152</v>
      </c>
      <c r="GJY1" s="9" t="s">
        <v>340</v>
      </c>
      <c r="GJZ1" s="9" t="s">
        <v>153</v>
      </c>
      <c r="GKA1" s="9" t="s">
        <v>414</v>
      </c>
      <c r="GKB1" s="9" t="s">
        <v>417</v>
      </c>
      <c r="GKC1" s="9" t="s">
        <v>533</v>
      </c>
      <c r="GKD1" s="9" t="s">
        <v>158</v>
      </c>
      <c r="GKE1" s="9" t="s">
        <v>154</v>
      </c>
      <c r="GKF1" s="9" t="s">
        <v>155</v>
      </c>
      <c r="GKG1" s="9" t="s">
        <v>156</v>
      </c>
      <c r="GKH1" s="9" t="s">
        <v>152</v>
      </c>
      <c r="GKI1" s="9" t="s">
        <v>340</v>
      </c>
      <c r="GKJ1" s="9" t="s">
        <v>153</v>
      </c>
      <c r="GKK1" s="9" t="s">
        <v>414</v>
      </c>
      <c r="GKL1" s="9" t="s">
        <v>417</v>
      </c>
      <c r="GKM1" s="9" t="s">
        <v>533</v>
      </c>
      <c r="GKN1" s="9" t="s">
        <v>158</v>
      </c>
      <c r="GKO1" s="9" t="s">
        <v>154</v>
      </c>
      <c r="GKP1" s="9" t="s">
        <v>155</v>
      </c>
      <c r="GKQ1" s="9" t="s">
        <v>156</v>
      </c>
      <c r="GKR1" s="9" t="s">
        <v>152</v>
      </c>
      <c r="GKS1" s="9" t="s">
        <v>340</v>
      </c>
      <c r="GKT1" s="9" t="s">
        <v>153</v>
      </c>
      <c r="GKU1" s="9" t="s">
        <v>414</v>
      </c>
      <c r="GKV1" s="9" t="s">
        <v>417</v>
      </c>
      <c r="GKW1" s="9" t="s">
        <v>533</v>
      </c>
      <c r="GKX1" s="9" t="s">
        <v>158</v>
      </c>
      <c r="GKY1" s="9" t="s">
        <v>154</v>
      </c>
      <c r="GKZ1" s="9" t="s">
        <v>155</v>
      </c>
      <c r="GLA1" s="9" t="s">
        <v>156</v>
      </c>
      <c r="GLB1" s="9" t="s">
        <v>152</v>
      </c>
      <c r="GLC1" s="9" t="s">
        <v>340</v>
      </c>
      <c r="GLD1" s="9" t="s">
        <v>153</v>
      </c>
      <c r="GLE1" s="9" t="s">
        <v>414</v>
      </c>
      <c r="GLF1" s="9" t="s">
        <v>417</v>
      </c>
      <c r="GLG1" s="9" t="s">
        <v>533</v>
      </c>
      <c r="GLH1" s="9" t="s">
        <v>158</v>
      </c>
      <c r="GLI1" s="9" t="s">
        <v>154</v>
      </c>
      <c r="GLJ1" s="9" t="s">
        <v>155</v>
      </c>
      <c r="GLK1" s="9" t="s">
        <v>156</v>
      </c>
      <c r="GLL1" s="9" t="s">
        <v>152</v>
      </c>
      <c r="GLM1" s="9" t="s">
        <v>340</v>
      </c>
      <c r="GLN1" s="9" t="s">
        <v>153</v>
      </c>
      <c r="GLO1" s="9" t="s">
        <v>414</v>
      </c>
      <c r="GLP1" s="9" t="s">
        <v>417</v>
      </c>
      <c r="GLQ1" s="9" t="s">
        <v>336</v>
      </c>
      <c r="GLR1" s="9" t="s">
        <v>533</v>
      </c>
      <c r="GLS1" s="9" t="s">
        <v>158</v>
      </c>
      <c r="GLT1" s="9" t="s">
        <v>154</v>
      </c>
      <c r="GLU1" s="9" t="s">
        <v>155</v>
      </c>
      <c r="GLV1" s="9" t="s">
        <v>156</v>
      </c>
      <c r="GLW1" s="9" t="s">
        <v>152</v>
      </c>
      <c r="GLX1" s="9" t="s">
        <v>340</v>
      </c>
      <c r="GLY1" s="9" t="s">
        <v>153</v>
      </c>
      <c r="GLZ1" s="9" t="s">
        <v>414</v>
      </c>
      <c r="GMA1" s="9" t="s">
        <v>417</v>
      </c>
      <c r="GMB1" s="9" t="s">
        <v>533</v>
      </c>
      <c r="GMC1" s="9" t="s">
        <v>158</v>
      </c>
      <c r="GMD1" s="9" t="s">
        <v>154</v>
      </c>
      <c r="GME1" s="9" t="s">
        <v>155</v>
      </c>
      <c r="GMF1" s="9" t="s">
        <v>156</v>
      </c>
      <c r="GMG1" s="9" t="s">
        <v>152</v>
      </c>
      <c r="GMH1" s="9" t="s">
        <v>340</v>
      </c>
      <c r="GMI1" s="9" t="s">
        <v>153</v>
      </c>
      <c r="GMJ1" s="9" t="s">
        <v>414</v>
      </c>
      <c r="GMK1" s="9" t="s">
        <v>417</v>
      </c>
      <c r="GML1" s="9" t="s">
        <v>533</v>
      </c>
      <c r="GMM1" s="9" t="s">
        <v>158</v>
      </c>
      <c r="GMN1" s="9" t="s">
        <v>154</v>
      </c>
      <c r="GMO1" s="9" t="s">
        <v>155</v>
      </c>
      <c r="GMP1" s="9" t="s">
        <v>156</v>
      </c>
      <c r="GMQ1" s="9" t="s">
        <v>152</v>
      </c>
      <c r="GMR1" s="9" t="s">
        <v>340</v>
      </c>
      <c r="GMS1" s="9" t="s">
        <v>153</v>
      </c>
      <c r="GMT1" s="9" t="s">
        <v>414</v>
      </c>
      <c r="GMU1" s="9" t="s">
        <v>417</v>
      </c>
      <c r="GMV1" s="9" t="s">
        <v>533</v>
      </c>
      <c r="GMW1" s="9" t="s">
        <v>158</v>
      </c>
      <c r="GMX1" s="9" t="s">
        <v>154</v>
      </c>
      <c r="GMY1" s="9" t="s">
        <v>155</v>
      </c>
      <c r="GMZ1" s="9" t="s">
        <v>156</v>
      </c>
      <c r="GNA1" s="9" t="s">
        <v>152</v>
      </c>
      <c r="GNB1" s="9" t="s">
        <v>340</v>
      </c>
      <c r="GNC1" s="9" t="s">
        <v>153</v>
      </c>
      <c r="GND1" s="9" t="s">
        <v>414</v>
      </c>
      <c r="GNE1" s="9" t="s">
        <v>417</v>
      </c>
      <c r="GNF1" s="9" t="s">
        <v>533</v>
      </c>
      <c r="GNG1" s="9" t="s">
        <v>158</v>
      </c>
      <c r="GNH1" s="9" t="s">
        <v>154</v>
      </c>
      <c r="GNI1" s="9" t="s">
        <v>155</v>
      </c>
      <c r="GNJ1" s="9" t="s">
        <v>156</v>
      </c>
      <c r="GNK1" s="9" t="s">
        <v>152</v>
      </c>
      <c r="GNL1" s="9" t="s">
        <v>340</v>
      </c>
      <c r="GNM1" s="9" t="s">
        <v>153</v>
      </c>
      <c r="GNN1" s="9" t="s">
        <v>414</v>
      </c>
      <c r="GNO1" s="9" t="s">
        <v>417</v>
      </c>
      <c r="GNP1" s="9" t="s">
        <v>336</v>
      </c>
      <c r="GNQ1" s="9" t="s">
        <v>533</v>
      </c>
      <c r="GNR1" s="9" t="s">
        <v>158</v>
      </c>
      <c r="GNS1" s="9" t="s">
        <v>154</v>
      </c>
      <c r="GNT1" s="9" t="s">
        <v>155</v>
      </c>
      <c r="GNU1" s="9" t="s">
        <v>156</v>
      </c>
      <c r="GNV1" s="9" t="s">
        <v>152</v>
      </c>
      <c r="GNW1" s="9" t="s">
        <v>340</v>
      </c>
      <c r="GNX1" s="9" t="s">
        <v>153</v>
      </c>
      <c r="GNY1" s="9" t="s">
        <v>414</v>
      </c>
      <c r="GNZ1" s="9" t="s">
        <v>417</v>
      </c>
      <c r="GOA1" s="9" t="s">
        <v>533</v>
      </c>
      <c r="GOB1" s="9" t="s">
        <v>158</v>
      </c>
      <c r="GOC1" s="9" t="s">
        <v>154</v>
      </c>
      <c r="GOD1" s="9" t="s">
        <v>346</v>
      </c>
      <c r="GOE1" s="9" t="s">
        <v>155</v>
      </c>
      <c r="GOF1" s="9" t="s">
        <v>156</v>
      </c>
      <c r="GOG1" s="9" t="s">
        <v>152</v>
      </c>
      <c r="GOH1" s="9" t="s">
        <v>340</v>
      </c>
      <c r="GOI1" s="9" t="s">
        <v>153</v>
      </c>
      <c r="GOJ1" s="9" t="s">
        <v>414</v>
      </c>
      <c r="GOK1" s="9" t="s">
        <v>417</v>
      </c>
      <c r="GOL1" s="9" t="s">
        <v>533</v>
      </c>
      <c r="GOM1" s="9" t="s">
        <v>158</v>
      </c>
      <c r="GON1" s="9" t="s">
        <v>154</v>
      </c>
      <c r="GOO1" s="9" t="s">
        <v>155</v>
      </c>
      <c r="GOP1" s="9" t="s">
        <v>156</v>
      </c>
      <c r="GOQ1" s="9" t="s">
        <v>152</v>
      </c>
      <c r="GOR1" s="9" t="s">
        <v>340</v>
      </c>
      <c r="GOS1" s="9" t="s">
        <v>153</v>
      </c>
      <c r="GOT1" s="9" t="s">
        <v>414</v>
      </c>
      <c r="GOU1" s="9" t="s">
        <v>417</v>
      </c>
      <c r="GOV1" s="9" t="s">
        <v>336</v>
      </c>
      <c r="GOW1" s="9" t="s">
        <v>533</v>
      </c>
      <c r="GOX1" s="9" t="s">
        <v>158</v>
      </c>
      <c r="GOY1" s="9" t="s">
        <v>154</v>
      </c>
      <c r="GOZ1" s="9" t="s">
        <v>155</v>
      </c>
      <c r="GPA1" s="9" t="s">
        <v>156</v>
      </c>
      <c r="GPB1" s="9" t="s">
        <v>152</v>
      </c>
      <c r="GPC1" s="9" t="s">
        <v>340</v>
      </c>
      <c r="GPD1" s="9" t="s">
        <v>153</v>
      </c>
      <c r="GPE1" s="9" t="s">
        <v>414</v>
      </c>
      <c r="GPF1" s="9" t="s">
        <v>417</v>
      </c>
      <c r="GPG1" s="9" t="s">
        <v>2414</v>
      </c>
      <c r="GPH1" s="9" t="s">
        <v>533</v>
      </c>
      <c r="GPI1" s="9" t="s">
        <v>158</v>
      </c>
      <c r="GPJ1" s="9" t="s">
        <v>154</v>
      </c>
      <c r="GPK1" s="9" t="s">
        <v>155</v>
      </c>
      <c r="GPL1" s="9" t="s">
        <v>156</v>
      </c>
      <c r="GPM1" s="9" t="s">
        <v>152</v>
      </c>
      <c r="GPN1" s="9" t="s">
        <v>340</v>
      </c>
      <c r="GPO1" s="9" t="s">
        <v>153</v>
      </c>
      <c r="GPP1" s="9" t="s">
        <v>414</v>
      </c>
      <c r="GPQ1" s="9" t="s">
        <v>417</v>
      </c>
      <c r="GPR1" s="9" t="s">
        <v>421</v>
      </c>
      <c r="GPS1" s="9" t="s">
        <v>158</v>
      </c>
      <c r="GPT1" s="9" t="s">
        <v>154</v>
      </c>
      <c r="GPU1" s="9" t="s">
        <v>155</v>
      </c>
      <c r="GPV1" s="9" t="s">
        <v>156</v>
      </c>
      <c r="GPW1" s="9" t="s">
        <v>152</v>
      </c>
      <c r="GPX1" s="9" t="s">
        <v>340</v>
      </c>
      <c r="GPY1" s="9" t="s">
        <v>153</v>
      </c>
      <c r="GPZ1" s="9" t="s">
        <v>414</v>
      </c>
      <c r="GQA1" s="9" t="s">
        <v>417</v>
      </c>
      <c r="GQB1" s="9" t="s">
        <v>336</v>
      </c>
      <c r="GQC1" s="9" t="s">
        <v>533</v>
      </c>
      <c r="GQD1" s="9" t="s">
        <v>158</v>
      </c>
      <c r="GQE1" s="9" t="s">
        <v>154</v>
      </c>
      <c r="GQF1" s="9" t="s">
        <v>155</v>
      </c>
      <c r="GQG1" s="9" t="s">
        <v>156</v>
      </c>
      <c r="GQH1" s="9" t="s">
        <v>152</v>
      </c>
      <c r="GQI1" s="9" t="s">
        <v>340</v>
      </c>
      <c r="GQJ1" s="9" t="s">
        <v>153</v>
      </c>
      <c r="GQK1" s="9" t="s">
        <v>414</v>
      </c>
      <c r="GQL1" s="9" t="s">
        <v>417</v>
      </c>
      <c r="GQM1" s="9" t="s">
        <v>336</v>
      </c>
      <c r="GQN1" s="9" t="s">
        <v>533</v>
      </c>
      <c r="GQO1" s="9" t="s">
        <v>158</v>
      </c>
      <c r="GQP1" s="9" t="s">
        <v>154</v>
      </c>
      <c r="GQQ1" s="9" t="s">
        <v>155</v>
      </c>
      <c r="GQR1" s="9" t="s">
        <v>156</v>
      </c>
      <c r="GQS1" s="9" t="s">
        <v>152</v>
      </c>
      <c r="GQT1" s="9" t="s">
        <v>340</v>
      </c>
      <c r="GQU1" s="9" t="s">
        <v>153</v>
      </c>
      <c r="GQV1" s="9" t="s">
        <v>414</v>
      </c>
      <c r="GQW1" s="9" t="s">
        <v>417</v>
      </c>
      <c r="GQX1" s="9" t="s">
        <v>1984</v>
      </c>
      <c r="GQY1" s="9" t="s">
        <v>158</v>
      </c>
      <c r="GQZ1" s="9" t="s">
        <v>154</v>
      </c>
      <c r="GRA1" s="9" t="s">
        <v>346</v>
      </c>
      <c r="GRB1" s="9" t="s">
        <v>155</v>
      </c>
      <c r="GRC1" s="9" t="s">
        <v>156</v>
      </c>
      <c r="GRD1" s="9" t="s">
        <v>152</v>
      </c>
      <c r="GRE1" s="9" t="s">
        <v>340</v>
      </c>
      <c r="GRF1" s="9" t="s">
        <v>153</v>
      </c>
      <c r="GRG1" s="9" t="s">
        <v>414</v>
      </c>
      <c r="GRH1" s="9" t="s">
        <v>417</v>
      </c>
      <c r="GRI1" s="9" t="s">
        <v>533</v>
      </c>
      <c r="GRJ1" s="9" t="s">
        <v>158</v>
      </c>
      <c r="GRK1" s="9" t="s">
        <v>154</v>
      </c>
      <c r="GRL1" s="9" t="s">
        <v>155</v>
      </c>
      <c r="GRM1" s="9" t="s">
        <v>156</v>
      </c>
      <c r="GRN1" s="9" t="s">
        <v>152</v>
      </c>
      <c r="GRO1" s="9" t="s">
        <v>340</v>
      </c>
      <c r="GRP1" s="9" t="s">
        <v>153</v>
      </c>
      <c r="GRQ1" s="9" t="s">
        <v>414</v>
      </c>
      <c r="GRR1" s="9" t="s">
        <v>417</v>
      </c>
      <c r="GRS1" s="9" t="s">
        <v>377</v>
      </c>
      <c r="GRT1" s="9" t="s">
        <v>158</v>
      </c>
      <c r="GRU1" s="9" t="s">
        <v>154</v>
      </c>
      <c r="GRV1" s="9" t="s">
        <v>155</v>
      </c>
      <c r="GRW1" s="9" t="s">
        <v>156</v>
      </c>
      <c r="GRX1" s="9" t="s">
        <v>152</v>
      </c>
      <c r="GRY1" s="9" t="s">
        <v>340</v>
      </c>
      <c r="GRZ1" s="9" t="s">
        <v>153</v>
      </c>
      <c r="GSA1" s="9" t="s">
        <v>414</v>
      </c>
      <c r="GSB1" s="9" t="s">
        <v>417</v>
      </c>
      <c r="GSC1" s="9" t="s">
        <v>377</v>
      </c>
      <c r="GSD1" s="9" t="s">
        <v>158</v>
      </c>
      <c r="GSE1" s="9" t="s">
        <v>154</v>
      </c>
      <c r="GSF1" s="9" t="s">
        <v>155</v>
      </c>
      <c r="GSG1" s="9" t="s">
        <v>156</v>
      </c>
      <c r="GSH1" s="9" t="s">
        <v>152</v>
      </c>
      <c r="GSI1" s="9" t="s">
        <v>340</v>
      </c>
      <c r="GSJ1" s="9" t="s">
        <v>153</v>
      </c>
      <c r="GSK1" s="9" t="s">
        <v>414</v>
      </c>
      <c r="GSL1" s="9" t="s">
        <v>417</v>
      </c>
      <c r="GSM1" s="9" t="s">
        <v>157</v>
      </c>
      <c r="GSN1" s="9" t="s">
        <v>158</v>
      </c>
      <c r="GSO1" s="9" t="s">
        <v>154</v>
      </c>
      <c r="GSP1" s="9" t="s">
        <v>155</v>
      </c>
      <c r="GSQ1" s="9" t="s">
        <v>156</v>
      </c>
      <c r="GSR1" s="9" t="s">
        <v>152</v>
      </c>
      <c r="GSS1" s="9" t="s">
        <v>340</v>
      </c>
      <c r="GST1" s="9" t="s">
        <v>153</v>
      </c>
      <c r="GSU1" s="9" t="s">
        <v>414</v>
      </c>
      <c r="GSV1" s="9" t="s">
        <v>417</v>
      </c>
      <c r="GSW1" s="9" t="s">
        <v>157</v>
      </c>
      <c r="GSX1" s="9" t="s">
        <v>158</v>
      </c>
      <c r="GSY1" s="9" t="s">
        <v>154</v>
      </c>
      <c r="GSZ1" s="9" t="s">
        <v>155</v>
      </c>
      <c r="GTA1" s="9" t="s">
        <v>156</v>
      </c>
      <c r="GTB1" s="9" t="s">
        <v>152</v>
      </c>
      <c r="GTC1" s="9" t="s">
        <v>340</v>
      </c>
      <c r="GTD1" s="9" t="s">
        <v>153</v>
      </c>
      <c r="GTE1" s="9" t="s">
        <v>414</v>
      </c>
      <c r="GTF1" s="9" t="s">
        <v>417</v>
      </c>
      <c r="GTG1" s="9" t="s">
        <v>157</v>
      </c>
      <c r="GTH1" s="9" t="s">
        <v>158</v>
      </c>
      <c r="GTI1" s="9" t="s">
        <v>154</v>
      </c>
      <c r="GTJ1" s="9" t="s">
        <v>155</v>
      </c>
      <c r="GTK1" s="9" t="s">
        <v>156</v>
      </c>
      <c r="GTL1" s="9" t="s">
        <v>2199</v>
      </c>
      <c r="GTM1" s="9" t="s">
        <v>152</v>
      </c>
      <c r="GTN1" s="9" t="s">
        <v>340</v>
      </c>
      <c r="GTO1" s="9" t="s">
        <v>153</v>
      </c>
      <c r="GTP1" s="9" t="s">
        <v>414</v>
      </c>
      <c r="GTQ1" s="9" t="s">
        <v>417</v>
      </c>
      <c r="GTR1" s="9" t="s">
        <v>336</v>
      </c>
      <c r="GTS1" s="9" t="s">
        <v>157</v>
      </c>
      <c r="GTT1" s="9" t="s">
        <v>158</v>
      </c>
      <c r="GTU1" s="9" t="s">
        <v>154</v>
      </c>
      <c r="GTV1" s="9" t="s">
        <v>155</v>
      </c>
      <c r="GTW1" s="9" t="s">
        <v>156</v>
      </c>
      <c r="GTX1" s="9" t="s">
        <v>152</v>
      </c>
      <c r="GTY1" s="9" t="s">
        <v>340</v>
      </c>
      <c r="GTZ1" s="9" t="s">
        <v>153</v>
      </c>
      <c r="GUA1" s="9" t="s">
        <v>414</v>
      </c>
      <c r="GUB1" s="9" t="s">
        <v>417</v>
      </c>
      <c r="GUC1" s="9" t="s">
        <v>403</v>
      </c>
      <c r="GUD1" s="9" t="s">
        <v>158</v>
      </c>
      <c r="GUE1" s="9" t="s">
        <v>154</v>
      </c>
      <c r="GUF1" s="9" t="s">
        <v>155</v>
      </c>
      <c r="GUG1" s="9" t="s">
        <v>156</v>
      </c>
      <c r="GUH1" s="9" t="s">
        <v>152</v>
      </c>
      <c r="GUI1" s="9" t="s">
        <v>340</v>
      </c>
      <c r="GUJ1" s="9" t="s">
        <v>153</v>
      </c>
      <c r="GUK1" s="9" t="s">
        <v>414</v>
      </c>
      <c r="GUL1" s="9" t="s">
        <v>417</v>
      </c>
      <c r="GUM1" s="9" t="s">
        <v>336</v>
      </c>
      <c r="GUN1" s="9" t="s">
        <v>157</v>
      </c>
      <c r="GUO1" s="9" t="s">
        <v>158</v>
      </c>
      <c r="GUP1" s="9" t="s">
        <v>154</v>
      </c>
      <c r="GUQ1" s="9" t="s">
        <v>155</v>
      </c>
      <c r="GUR1" s="9" t="s">
        <v>156</v>
      </c>
      <c r="GUS1" s="9" t="s">
        <v>152</v>
      </c>
      <c r="GUT1" s="9" t="s">
        <v>340</v>
      </c>
      <c r="GUU1" s="9" t="s">
        <v>153</v>
      </c>
      <c r="GUV1" s="9" t="s">
        <v>414</v>
      </c>
      <c r="GUW1" s="9" t="s">
        <v>417</v>
      </c>
      <c r="GUX1" s="9" t="s">
        <v>336</v>
      </c>
      <c r="GUY1" s="9" t="s">
        <v>157</v>
      </c>
      <c r="GUZ1" s="9" t="s">
        <v>158</v>
      </c>
      <c r="GVA1" s="9" t="s">
        <v>154</v>
      </c>
      <c r="GVB1" s="9" t="s">
        <v>155</v>
      </c>
      <c r="GVC1" s="9" t="s">
        <v>156</v>
      </c>
      <c r="GVD1" s="9" t="s">
        <v>152</v>
      </c>
      <c r="GVE1" s="9" t="s">
        <v>340</v>
      </c>
      <c r="GVF1" s="9" t="s">
        <v>153</v>
      </c>
      <c r="GVG1" s="9" t="s">
        <v>414</v>
      </c>
      <c r="GVH1" s="9" t="s">
        <v>417</v>
      </c>
      <c r="GVI1" s="9" t="s">
        <v>157</v>
      </c>
      <c r="GVJ1" s="9" t="s">
        <v>158</v>
      </c>
      <c r="GVK1" s="9" t="s">
        <v>154</v>
      </c>
      <c r="GVL1" s="9" t="s">
        <v>155</v>
      </c>
      <c r="GVM1" s="9" t="s">
        <v>156</v>
      </c>
      <c r="GVN1" s="9" t="s">
        <v>152</v>
      </c>
      <c r="GVO1" s="9" t="s">
        <v>340</v>
      </c>
      <c r="GVP1" s="9" t="s">
        <v>153</v>
      </c>
      <c r="GVQ1" s="9" t="s">
        <v>414</v>
      </c>
      <c r="GVR1" s="9" t="s">
        <v>417</v>
      </c>
      <c r="GVS1" s="9" t="s">
        <v>416</v>
      </c>
      <c r="GVT1" s="9" t="s">
        <v>158</v>
      </c>
      <c r="GVU1" s="9" t="s">
        <v>154</v>
      </c>
      <c r="GVV1" s="9" t="s">
        <v>155</v>
      </c>
      <c r="GVW1" s="9" t="s">
        <v>156</v>
      </c>
      <c r="GVX1" s="9" t="s">
        <v>152</v>
      </c>
      <c r="GVY1" s="9" t="s">
        <v>340</v>
      </c>
      <c r="GVZ1" s="9" t="s">
        <v>153</v>
      </c>
      <c r="GWA1" s="9" t="s">
        <v>414</v>
      </c>
      <c r="GWB1" s="9" t="s">
        <v>417</v>
      </c>
      <c r="GWC1" s="9" t="s">
        <v>336</v>
      </c>
      <c r="GWD1" s="9" t="s">
        <v>336</v>
      </c>
      <c r="GWE1" s="9" t="s">
        <v>336</v>
      </c>
      <c r="GWF1" s="9" t="s">
        <v>336</v>
      </c>
      <c r="GWG1" s="9" t="s">
        <v>336</v>
      </c>
      <c r="GWH1" s="9" t="s">
        <v>336</v>
      </c>
      <c r="GWI1" s="9" t="s">
        <v>336</v>
      </c>
      <c r="GWJ1" s="9" t="s">
        <v>336</v>
      </c>
      <c r="GWK1" s="9" t="s">
        <v>336</v>
      </c>
      <c r="GWL1" s="9" t="s">
        <v>336</v>
      </c>
      <c r="GWM1" s="9" t="s">
        <v>336</v>
      </c>
      <c r="GWN1" s="12" t="s">
        <v>1681</v>
      </c>
      <c r="GWO1" s="12" t="s">
        <v>136</v>
      </c>
      <c r="GWP1" s="12" t="s">
        <v>2201</v>
      </c>
      <c r="GWQ1" s="12" t="s">
        <v>743</v>
      </c>
      <c r="GWR1" s="12" t="s">
        <v>800</v>
      </c>
      <c r="GWS1" s="12" t="s">
        <v>2204</v>
      </c>
      <c r="GWT1" s="12" t="s">
        <v>1990</v>
      </c>
      <c r="GWU1" s="12" t="s">
        <v>326</v>
      </c>
      <c r="GWV1" s="12" t="s">
        <v>799</v>
      </c>
      <c r="GWW1" s="12" t="s">
        <v>1669</v>
      </c>
      <c r="GWX1" s="12" t="s">
        <v>466</v>
      </c>
      <c r="GWY1" s="12" t="s">
        <v>2243</v>
      </c>
      <c r="GWZ1" s="12" t="s">
        <v>2247</v>
      </c>
      <c r="GXA1" s="12" t="s">
        <v>816</v>
      </c>
      <c r="GXB1" s="12" t="s">
        <v>2434</v>
      </c>
      <c r="GXC1" s="12" t="s">
        <v>2208</v>
      </c>
      <c r="GXD1" s="12" t="s">
        <v>673</v>
      </c>
      <c r="GXE1" s="12" t="s">
        <v>2506</v>
      </c>
      <c r="GXF1" s="12" t="s">
        <v>2504</v>
      </c>
      <c r="GXG1" s="12" t="s">
        <v>464</v>
      </c>
      <c r="GXH1" s="12" t="s">
        <v>1651</v>
      </c>
      <c r="GXI1" s="12" t="s">
        <v>2205</v>
      </c>
      <c r="GXJ1" s="12" t="s">
        <v>1654</v>
      </c>
      <c r="GXK1" s="12" t="s">
        <v>2507</v>
      </c>
      <c r="GXL1" s="12" t="s">
        <v>2505</v>
      </c>
      <c r="GXM1" s="12" t="s">
        <v>1689</v>
      </c>
      <c r="GXN1" s="12" t="s">
        <v>669</v>
      </c>
      <c r="GXO1" s="12" t="s">
        <v>819</v>
      </c>
      <c r="GXP1" s="12" t="s">
        <v>2248</v>
      </c>
      <c r="GXQ1" s="12" t="s">
        <v>1989</v>
      </c>
      <c r="GXR1" s="12" t="s">
        <v>821</v>
      </c>
      <c r="GXS1" s="12" t="s">
        <v>820</v>
      </c>
      <c r="GXT1" s="12" t="s">
        <v>505</v>
      </c>
      <c r="GXU1" s="12" t="s">
        <v>1667</v>
      </c>
      <c r="GXV1" s="12" t="s">
        <v>1672</v>
      </c>
      <c r="GXW1" s="12" t="s">
        <v>382</v>
      </c>
      <c r="GXX1" s="12" t="s">
        <v>1664</v>
      </c>
      <c r="GXY1" s="12" t="s">
        <v>2007</v>
      </c>
      <c r="GXZ1" s="12" t="s">
        <v>697</v>
      </c>
      <c r="GYA1" s="12" t="s">
        <v>675</v>
      </c>
      <c r="GYB1" s="12" t="s">
        <v>712</v>
      </c>
      <c r="GYC1" s="12" t="s">
        <v>1996</v>
      </c>
      <c r="GYD1" s="12" t="s">
        <v>1708</v>
      </c>
      <c r="GYE1" s="12" t="s">
        <v>742</v>
      </c>
      <c r="GYF1" s="12" t="s">
        <v>515</v>
      </c>
      <c r="GYG1" s="12" t="s">
        <v>465</v>
      </c>
      <c r="GYH1" s="12" t="s">
        <v>693</v>
      </c>
      <c r="GYI1" s="12" t="s">
        <v>732</v>
      </c>
      <c r="GYJ1" s="12" t="s">
        <v>1655</v>
      </c>
      <c r="GYK1" s="12" t="s">
        <v>160</v>
      </c>
      <c r="GYL1" s="12" t="s">
        <v>161</v>
      </c>
      <c r="GYM1" s="12" t="s">
        <v>539</v>
      </c>
      <c r="GYN1" s="12" t="s">
        <v>2203</v>
      </c>
      <c r="GYO1" s="12" t="s">
        <v>2207</v>
      </c>
      <c r="GYP1" s="12" t="s">
        <v>2206</v>
      </c>
      <c r="GYQ1" s="12" t="s">
        <v>325</v>
      </c>
      <c r="GYR1" s="12" t="s">
        <v>446</v>
      </c>
      <c r="GYS1" s="12" t="s">
        <v>2246</v>
      </c>
      <c r="GYT1" s="12" t="s">
        <v>149</v>
      </c>
      <c r="GYU1" s="12" t="s">
        <v>60</v>
      </c>
      <c r="GYV1" s="12" t="s">
        <v>2202</v>
      </c>
      <c r="GYW1" s="12" t="s">
        <v>398</v>
      </c>
      <c r="GYX1" s="12" t="s">
        <v>396</v>
      </c>
      <c r="GYY1" s="12" t="s">
        <v>666</v>
      </c>
      <c r="GYZ1" s="12" t="s">
        <v>703</v>
      </c>
      <c r="GZA1" s="12" t="s">
        <v>363</v>
      </c>
      <c r="GZB1" s="12" t="s">
        <v>2222</v>
      </c>
      <c r="GZC1" s="12" t="s">
        <v>1997</v>
      </c>
      <c r="GZD1" s="12" t="s">
        <v>1697</v>
      </c>
      <c r="GZE1" s="12" t="s">
        <v>1670</v>
      </c>
      <c r="GZF1" s="12" t="s">
        <v>705</v>
      </c>
      <c r="GZG1" s="12" t="s">
        <v>817</v>
      </c>
      <c r="GZH1" s="12" t="s">
        <v>809</v>
      </c>
      <c r="GZI1" s="12" t="s">
        <v>324</v>
      </c>
      <c r="GZJ1" s="12" t="s">
        <v>695</v>
      </c>
      <c r="GZK1" s="12" t="s">
        <v>328</v>
      </c>
      <c r="GZL1" s="12" t="s">
        <v>1695</v>
      </c>
      <c r="GZM1" s="12" t="s">
        <v>452</v>
      </c>
      <c r="GZN1" s="12" t="s">
        <v>431</v>
      </c>
      <c r="GZO1" s="12" t="s">
        <v>1999</v>
      </c>
      <c r="GZP1" s="12" t="s">
        <v>514</v>
      </c>
      <c r="GZQ1" s="12" t="s">
        <v>2209</v>
      </c>
      <c r="GZR1" s="12" t="s">
        <v>1652</v>
      </c>
      <c r="GZS1" s="12" t="s">
        <v>818</v>
      </c>
      <c r="GZT1" s="12" t="s">
        <v>506</v>
      </c>
      <c r="GZU1" s="12" t="s">
        <v>2419</v>
      </c>
      <c r="GZV1" s="12" t="s">
        <v>509</v>
      </c>
      <c r="GZW1" s="12" t="s">
        <v>741</v>
      </c>
      <c r="GZX1" s="12" t="s">
        <v>1675</v>
      </c>
      <c r="GZY1" s="12" t="s">
        <v>2418</v>
      </c>
      <c r="GZZ1" s="12" t="s">
        <v>435</v>
      </c>
      <c r="HAA1" s="12" t="s">
        <v>678</v>
      </c>
      <c r="HAB1" s="12" t="s">
        <v>1684</v>
      </c>
      <c r="HAC1" s="12" t="s">
        <v>672</v>
      </c>
      <c r="HAD1" s="12" t="s">
        <v>670</v>
      </c>
      <c r="HAE1" s="12" t="s">
        <v>2005</v>
      </c>
      <c r="HAF1" s="12" t="s">
        <v>2006</v>
      </c>
      <c r="HAG1" s="12" t="s">
        <v>134</v>
      </c>
      <c r="HAH1" s="12" t="s">
        <v>453</v>
      </c>
      <c r="HAI1" s="12" t="s">
        <v>1691</v>
      </c>
      <c r="HAJ1" s="12" t="s">
        <v>457</v>
      </c>
      <c r="HAK1" s="12" t="s">
        <v>668</v>
      </c>
      <c r="HAL1" s="12" t="s">
        <v>671</v>
      </c>
      <c r="HAM1" s="12" t="s">
        <v>1682</v>
      </c>
      <c r="HAN1" s="12" t="s">
        <v>1649</v>
      </c>
      <c r="HAO1" s="12" t="s">
        <v>2417</v>
      </c>
      <c r="HAP1" s="12" t="s">
        <v>1683</v>
      </c>
      <c r="HAQ1" s="12" t="s">
        <v>2008</v>
      </c>
      <c r="HAR1" s="12" t="s">
        <v>1650</v>
      </c>
      <c r="HAS1" s="12" t="s">
        <v>1692</v>
      </c>
      <c r="HAT1" s="12" t="s">
        <v>674</v>
      </c>
      <c r="HAU1" s="12" t="s">
        <v>2019</v>
      </c>
      <c r="HAV1" s="12" t="s">
        <v>1690</v>
      </c>
      <c r="HAW1" s="12" t="s">
        <v>731</v>
      </c>
      <c r="HAX1" s="12" t="s">
        <v>1674</v>
      </c>
      <c r="HAY1" s="12" t="s">
        <v>2220</v>
      </c>
      <c r="HAZ1" s="12" t="s">
        <v>755</v>
      </c>
      <c r="HBA1" s="12" t="s">
        <v>667</v>
      </c>
      <c r="HBB1" s="12" t="s">
        <v>679</v>
      </c>
      <c r="HBC1" s="12" t="s">
        <v>2432</v>
      </c>
      <c r="HBD1" s="12" t="s">
        <v>822</v>
      </c>
      <c r="HBE1" s="12" t="s">
        <v>330</v>
      </c>
      <c r="HBF1" s="12" t="s">
        <v>548</v>
      </c>
      <c r="HBG1" s="12" t="s">
        <v>137</v>
      </c>
      <c r="HBH1" s="12" t="s">
        <v>135</v>
      </c>
      <c r="HBI1" s="12" t="s">
        <v>710</v>
      </c>
      <c r="HBJ1" s="12" t="s">
        <v>812</v>
      </c>
      <c r="HBK1" s="12" t="s">
        <v>757</v>
      </c>
      <c r="HBL1" s="12" t="s">
        <v>2000</v>
      </c>
      <c r="HBM1" s="12" t="s">
        <v>815</v>
      </c>
      <c r="HBN1" s="12" t="s">
        <v>2015</v>
      </c>
      <c r="HBO1" s="12" t="s">
        <v>1653</v>
      </c>
      <c r="HBP1" s="12" t="s">
        <v>138</v>
      </c>
      <c r="HBQ1" s="12" t="s">
        <v>2190</v>
      </c>
      <c r="HBR1" s="12" t="s">
        <v>709</v>
      </c>
      <c r="HBS1" s="12" t="s">
        <v>510</v>
      </c>
      <c r="HBT1" s="12" t="s">
        <v>511</v>
      </c>
      <c r="HBU1" s="12" t="s">
        <v>284</v>
      </c>
      <c r="HBV1" s="12" t="s">
        <v>275</v>
      </c>
      <c r="HBW1" s="12" t="s">
        <v>264</v>
      </c>
      <c r="HBX1" s="12" t="s">
        <v>281</v>
      </c>
      <c r="HBY1" s="12" t="s">
        <v>309</v>
      </c>
      <c r="HBZ1" s="12" t="s">
        <v>262</v>
      </c>
      <c r="HCA1" s="12" t="s">
        <v>205</v>
      </c>
      <c r="HCB1" s="12" t="s">
        <v>2004</v>
      </c>
      <c r="HCC1" s="12" t="s">
        <v>758</v>
      </c>
      <c r="HCD1" s="12" t="s">
        <v>536</v>
      </c>
      <c r="HCE1" s="12" t="s">
        <v>2416</v>
      </c>
      <c r="HCF1" s="12" t="s">
        <v>752</v>
      </c>
      <c r="HCG1" s="12" t="s">
        <v>745</v>
      </c>
      <c r="HCH1" s="12" t="s">
        <v>2237</v>
      </c>
      <c r="HCI1" s="12" t="s">
        <v>796</v>
      </c>
      <c r="HCJ1" s="12" t="s">
        <v>2415</v>
      </c>
      <c r="HCK1" s="12" t="s">
        <v>1686</v>
      </c>
      <c r="HCL1" s="12" t="s">
        <v>2219</v>
      </c>
      <c r="HCM1" s="12" t="s">
        <v>541</v>
      </c>
      <c r="HCN1" s="12" t="s">
        <v>1711</v>
      </c>
      <c r="HCO1" s="12" t="s">
        <v>798</v>
      </c>
      <c r="HCP1" s="12" t="s">
        <v>2231</v>
      </c>
      <c r="HCQ1" s="12" t="s">
        <v>1685</v>
      </c>
      <c r="HCR1" s="12" t="s">
        <v>1703</v>
      </c>
      <c r="HCS1" s="12" t="s">
        <v>547</v>
      </c>
      <c r="HCT1" s="12" t="s">
        <v>2420</v>
      </c>
      <c r="HCU1" s="12" t="s">
        <v>2421</v>
      </c>
      <c r="HCV1" s="12" t="s">
        <v>810</v>
      </c>
      <c r="HCW1" s="12" t="s">
        <v>677</v>
      </c>
      <c r="HCX1" s="12" t="s">
        <v>823</v>
      </c>
      <c r="HCY1" s="12" t="s">
        <v>2221</v>
      </c>
      <c r="HCZ1" s="12" t="s">
        <v>502</v>
      </c>
      <c r="HDA1" s="12" t="s">
        <v>734</v>
      </c>
      <c r="HDB1" s="12" t="s">
        <v>1694</v>
      </c>
      <c r="HDC1" s="12" t="s">
        <v>746</v>
      </c>
      <c r="HDD1" s="12" t="s">
        <v>1715</v>
      </c>
      <c r="HDE1" s="12" t="s">
        <v>753</v>
      </c>
      <c r="HDF1" s="12" t="s">
        <v>797</v>
      </c>
      <c r="HDG1" s="12" t="s">
        <v>811</v>
      </c>
      <c r="HDH1" s="12" t="s">
        <v>744</v>
      </c>
      <c r="HDI1" s="12" t="s">
        <v>713</v>
      </c>
      <c r="HDJ1" s="12" t="s">
        <v>251</v>
      </c>
      <c r="HDK1" s="12" t="s">
        <v>375</v>
      </c>
      <c r="HDL1" s="12" t="s">
        <v>2232</v>
      </c>
      <c r="HDM1" s="12" t="s">
        <v>754</v>
      </c>
      <c r="HDN1" s="12" t="s">
        <v>676</v>
      </c>
      <c r="HDO1" s="12" t="s">
        <v>813</v>
      </c>
      <c r="HDP1" s="12" t="s">
        <v>814</v>
      </c>
      <c r="HDQ1" s="12" t="s">
        <v>2217</v>
      </c>
      <c r="HDR1" s="12" t="s">
        <v>803</v>
      </c>
      <c r="HDS1" s="12" t="s">
        <v>2503</v>
      </c>
      <c r="HDT1" s="12" t="s">
        <v>555</v>
      </c>
      <c r="HDU1" s="12" t="s">
        <v>150</v>
      </c>
      <c r="HDV1" s="12" t="s">
        <v>400</v>
      </c>
      <c r="HDW1" s="12"/>
      <c r="HDX1" s="12"/>
      <c r="HDY1" s="13" t="s">
        <v>148</v>
      </c>
      <c r="HDZ1" s="13" t="s">
        <v>140</v>
      </c>
      <c r="HEA1" s="13" t="s">
        <v>317</v>
      </c>
      <c r="HEB1" s="13" t="s">
        <v>696</v>
      </c>
      <c r="HEC1" s="13" t="s">
        <v>699</v>
      </c>
      <c r="HED1" s="13" t="s">
        <v>304</v>
      </c>
      <c r="HEE1" s="13" t="s">
        <v>319</v>
      </c>
      <c r="HEF1" s="13" t="s">
        <v>188</v>
      </c>
      <c r="HEG1" s="13" t="s">
        <v>320</v>
      </c>
      <c r="HEH1" s="13" t="s">
        <v>178</v>
      </c>
      <c r="HEI1" s="13" t="s">
        <v>402</v>
      </c>
      <c r="HEJ1" s="13" t="s">
        <v>329</v>
      </c>
      <c r="HEK1" s="13" t="s">
        <v>716</v>
      </c>
      <c r="HEL1" s="13" t="s">
        <v>335</v>
      </c>
      <c r="HEM1" s="22" t="s">
        <v>458</v>
      </c>
      <c r="HEN1" s="13" t="s">
        <v>751</v>
      </c>
      <c r="HEO1" s="22" t="s">
        <v>680</v>
      </c>
      <c r="HEP1" s="22" t="s">
        <v>726</v>
      </c>
      <c r="HEQ1" s="22" t="s">
        <v>720</v>
      </c>
      <c r="HER1" s="13" t="s">
        <v>683</v>
      </c>
      <c r="HES1" s="13" t="s">
        <v>684</v>
      </c>
      <c r="HET1" s="13" t="s">
        <v>704</v>
      </c>
      <c r="HEU1" s="13" t="s">
        <v>331</v>
      </c>
      <c r="HEV1" s="13" t="s">
        <v>685</v>
      </c>
      <c r="HEW1" s="13" t="s">
        <v>711</v>
      </c>
      <c r="HEX1" s="13" t="s">
        <v>686</v>
      </c>
      <c r="HEY1" s="13" t="s">
        <v>2244</v>
      </c>
      <c r="HEZ1" s="13" t="s">
        <v>706</v>
      </c>
      <c r="HFA1" s="13" t="s">
        <v>702</v>
      </c>
      <c r="HFB1" s="13" t="s">
        <v>727</v>
      </c>
      <c r="HFC1" s="13" t="s">
        <v>707</v>
      </c>
      <c r="HFD1" s="13" t="s">
        <v>717</v>
      </c>
      <c r="HFE1" s="13" t="s">
        <v>149</v>
      </c>
      <c r="HFF1" s="13" t="s">
        <v>145</v>
      </c>
      <c r="HFG1" s="22" t="s">
        <v>144</v>
      </c>
      <c r="HFH1" s="22" t="s">
        <v>454</v>
      </c>
      <c r="HFI1" s="13" t="s">
        <v>455</v>
      </c>
      <c r="HFJ1" s="13" t="s">
        <v>459</v>
      </c>
      <c r="HFK1" s="13" t="s">
        <v>460</v>
      </c>
      <c r="HFL1" s="13" t="s">
        <v>461</v>
      </c>
      <c r="HFM1" s="13" t="s">
        <v>759</v>
      </c>
      <c r="HFN1" s="13" t="s">
        <v>456</v>
      </c>
      <c r="HFO1" s="13" t="s">
        <v>149</v>
      </c>
      <c r="HFP1" s="13" t="s">
        <v>357</v>
      </c>
      <c r="HFQ1" s="13" t="s">
        <v>144</v>
      </c>
      <c r="HFR1" s="13" t="s">
        <v>456</v>
      </c>
      <c r="HFS1" s="13" t="s">
        <v>394</v>
      </c>
      <c r="HFT1" s="13" t="s">
        <v>698</v>
      </c>
      <c r="HFU1" s="13" t="s">
        <v>147</v>
      </c>
      <c r="HFV1" s="13" t="s">
        <v>395</v>
      </c>
      <c r="HFW1" s="13" t="s">
        <v>150</v>
      </c>
      <c r="HFX1" s="13"/>
      <c r="HFY1" s="13" t="s">
        <v>149</v>
      </c>
      <c r="HFZ1" s="13" t="s">
        <v>698</v>
      </c>
      <c r="HGA1" s="13"/>
      <c r="HGB1" s="13"/>
      <c r="HGC1" s="13"/>
      <c r="HGD1" s="13"/>
      <c r="HGE1" s="13"/>
      <c r="HGF1" s="13"/>
      <c r="HGG1" s="13" t="s">
        <v>322</v>
      </c>
      <c r="HGH1" s="13" t="s">
        <v>150</v>
      </c>
      <c r="HGI1" s="13" t="s">
        <v>400</v>
      </c>
      <c r="HGJ1" s="13" t="s">
        <v>373</v>
      </c>
      <c r="HGK1" s="13" t="s">
        <v>459</v>
      </c>
      <c r="HGL1" s="13" t="s">
        <v>393</v>
      </c>
      <c r="HGM1" s="13" t="s">
        <v>550</v>
      </c>
      <c r="HGN1" s="13" t="s">
        <v>537</v>
      </c>
      <c r="HGO1" s="13" t="s">
        <v>145</v>
      </c>
      <c r="HGP1" s="13" t="s">
        <v>147</v>
      </c>
      <c r="HGQ1" s="13" t="s">
        <v>318</v>
      </c>
      <c r="HGR1" s="13" t="s">
        <v>357</v>
      </c>
      <c r="HGS1" s="13" t="s">
        <v>394</v>
      </c>
      <c r="HGT1" s="13" t="s">
        <v>358</v>
      </c>
      <c r="HGU1" s="13" t="s">
        <v>149</v>
      </c>
      <c r="HGV1" s="13" t="s">
        <v>144</v>
      </c>
      <c r="HGW1" s="13" t="s">
        <v>146</v>
      </c>
      <c r="HGX1" s="13" t="s">
        <v>151</v>
      </c>
      <c r="HGY1" s="13" t="s">
        <v>147</v>
      </c>
      <c r="HGZ1" s="13" t="s">
        <v>537</v>
      </c>
      <c r="HHA1" s="13" t="s">
        <v>145</v>
      </c>
      <c r="HHB1" s="13" t="s">
        <v>538</v>
      </c>
      <c r="HHC1" s="13" t="s">
        <v>357</v>
      </c>
      <c r="HHD1" s="13" t="s">
        <v>318</v>
      </c>
      <c r="HHE1" s="13" t="s">
        <v>162</v>
      </c>
      <c r="HHF1" s="13" t="s">
        <v>327</v>
      </c>
      <c r="HHG1" s="13" t="s">
        <v>400</v>
      </c>
      <c r="HHH1" s="13" t="s">
        <v>149</v>
      </c>
      <c r="HHI1" s="13" t="s">
        <v>357</v>
      </c>
      <c r="HHJ1" s="13" t="s">
        <v>714</v>
      </c>
      <c r="HHK1" s="13" t="s">
        <v>715</v>
      </c>
      <c r="HHL1" s="13" t="s">
        <v>149</v>
      </c>
      <c r="HHM1" s="13" t="s">
        <v>145</v>
      </c>
      <c r="HHN1" s="13" t="s">
        <v>150</v>
      </c>
      <c r="HHO1" s="13" t="s">
        <v>400</v>
      </c>
      <c r="HHP1" s="13" t="s">
        <v>459</v>
      </c>
      <c r="HHQ1" s="13" t="s">
        <v>149</v>
      </c>
      <c r="HHR1" s="13" t="s">
        <v>459</v>
      </c>
      <c r="HHS1" s="13"/>
      <c r="HHT1" s="13"/>
      <c r="HHU1" s="13"/>
      <c r="HHV1" s="13" t="s">
        <v>145</v>
      </c>
      <c r="HHW1" s="13" t="s">
        <v>718</v>
      </c>
      <c r="HHX1" s="13" t="s">
        <v>719</v>
      </c>
      <c r="HHY1" s="13" t="s">
        <v>357</v>
      </c>
      <c r="HHZ1" s="13"/>
      <c r="HIA1" s="13" t="s">
        <v>149</v>
      </c>
      <c r="HIB1" s="13"/>
      <c r="HIC1" s="13" t="s">
        <v>149</v>
      </c>
      <c r="HID1" s="13" t="s">
        <v>147</v>
      </c>
      <c r="HIE1" s="13"/>
      <c r="HIF1" s="13" t="s">
        <v>149</v>
      </c>
      <c r="HIG1" s="13" t="s">
        <v>357</v>
      </c>
      <c r="HIH1" s="13" t="s">
        <v>145</v>
      </c>
      <c r="HII1" s="13" t="s">
        <v>144</v>
      </c>
      <c r="HIJ1" s="13" t="s">
        <v>393</v>
      </c>
      <c r="HIK1" s="13" t="s">
        <v>462</v>
      </c>
      <c r="HIL1" s="13" t="s">
        <v>149</v>
      </c>
      <c r="HIM1" s="13" t="s">
        <v>461</v>
      </c>
      <c r="HIN1" s="13" t="s">
        <v>698</v>
      </c>
      <c r="HIO1" s="13" t="s">
        <v>1998</v>
      </c>
      <c r="HIP1" s="13"/>
      <c r="HIQ1" s="13" t="s">
        <v>149</v>
      </c>
      <c r="HIR1" s="13" t="s">
        <v>145</v>
      </c>
      <c r="HIS1" s="13" t="s">
        <v>144</v>
      </c>
      <c r="HIT1" s="13" t="s">
        <v>393</v>
      </c>
      <c r="HIU1" s="13" t="s">
        <v>462</v>
      </c>
      <c r="HIV1" s="13"/>
      <c r="HIW1" s="13" t="s">
        <v>149</v>
      </c>
      <c r="HIX1" s="13" t="s">
        <v>142</v>
      </c>
      <c r="HIY1" s="13" t="s">
        <v>143</v>
      </c>
      <c r="HIZ1" s="13" t="s">
        <v>147</v>
      </c>
      <c r="HJA1" s="13" t="s">
        <v>145</v>
      </c>
      <c r="HJB1" s="13" t="s">
        <v>142</v>
      </c>
      <c r="HJC1" s="13" t="s">
        <v>143</v>
      </c>
      <c r="HJD1" s="13"/>
      <c r="HJE1" s="13" t="s">
        <v>149</v>
      </c>
      <c r="HJF1" s="13" t="s">
        <v>357</v>
      </c>
      <c r="HJG1" s="13" t="s">
        <v>144</v>
      </c>
      <c r="HJH1" s="22" t="s">
        <v>692</v>
      </c>
      <c r="HJI1" s="13" t="s">
        <v>394</v>
      </c>
      <c r="HJJ1" s="13" t="s">
        <v>698</v>
      </c>
      <c r="HJK1" s="22" t="s">
        <v>145</v>
      </c>
      <c r="HJL1" s="22" t="s">
        <v>147</v>
      </c>
      <c r="HJM1" s="22" t="s">
        <v>150</v>
      </c>
      <c r="HJN1" s="22" t="s">
        <v>149</v>
      </c>
      <c r="HJO1" s="22" t="s">
        <v>698</v>
      </c>
      <c r="HJP1" s="22"/>
      <c r="HJQ1" s="22"/>
      <c r="HJR1" s="22"/>
      <c r="HJS1" s="22"/>
      <c r="HJT1" s="13" t="s">
        <v>700</v>
      </c>
      <c r="HJU1" s="13" t="s">
        <v>2218</v>
      </c>
      <c r="HJV1" s="13" t="s">
        <v>145</v>
      </c>
      <c r="HJW1" s="13" t="s">
        <v>318</v>
      </c>
      <c r="HJX1" s="13" t="s">
        <v>450</v>
      </c>
      <c r="HJY1" s="13" t="s">
        <v>451</v>
      </c>
      <c r="HJZ1" s="13" t="s">
        <v>149</v>
      </c>
      <c r="HKA1" s="13" t="s">
        <v>321</v>
      </c>
      <c r="HKB1" s="13" t="s">
        <v>145</v>
      </c>
      <c r="HKC1" s="13" t="s">
        <v>701</v>
      </c>
      <c r="HKD1" s="13" t="s">
        <v>149</v>
      </c>
      <c r="HKE1" s="13" t="s">
        <v>463</v>
      </c>
      <c r="HKF1" s="13"/>
      <c r="HKG1" s="13" t="s">
        <v>141</v>
      </c>
      <c r="HKH1" s="13" t="s">
        <v>708</v>
      </c>
      <c r="HKI1" s="13"/>
      <c r="HKJ1" s="13"/>
      <c r="HKK1" s="13"/>
      <c r="HKL1" s="13" t="s">
        <v>460</v>
      </c>
      <c r="HKM1" s="13"/>
      <c r="HKN1" s="13"/>
      <c r="HKO1" s="13"/>
      <c r="HKP1" s="13" t="s">
        <v>139</v>
      </c>
      <c r="HKQ1" s="13" t="s">
        <v>323</v>
      </c>
      <c r="HKR1" s="13"/>
      <c r="HKS1" s="13"/>
      <c r="HKT1" s="13"/>
      <c r="HKU1" s="13"/>
      <c r="HKV1" s="13"/>
      <c r="HKW1" s="13"/>
      <c r="HKX1" s="13"/>
      <c r="HKY1" s="13"/>
      <c r="HKZ1" s="13"/>
      <c r="HLA1" s="13"/>
      <c r="HLB1" s="13"/>
      <c r="HLC1" s="13"/>
      <c r="HLD1" s="13"/>
      <c r="HLE1" s="13"/>
      <c r="HLF1" s="13"/>
      <c r="HLG1" s="13"/>
      <c r="HLH1" s="13"/>
      <c r="HLI1" s="13"/>
      <c r="HLJ1" s="13"/>
      <c r="HLK1" s="13"/>
      <c r="HLL1" s="13"/>
      <c r="HLM1" s="13"/>
      <c r="HLN1" s="13"/>
      <c r="HLO1" s="13"/>
      <c r="HLP1" s="13"/>
      <c r="HLQ1" s="13"/>
      <c r="HLR1" s="13"/>
      <c r="HLS1" s="13"/>
      <c r="HLT1" s="13"/>
      <c r="HLU1" s="13"/>
      <c r="HLV1" s="13"/>
      <c r="HLW1" s="13"/>
      <c r="HLX1" s="13"/>
      <c r="HLY1" s="13"/>
      <c r="HLZ1" s="13"/>
      <c r="HMA1" s="13"/>
      <c r="HMB1" s="13"/>
      <c r="HMC1" s="13"/>
      <c r="HMD1" s="13"/>
      <c r="HME1" s="13"/>
      <c r="HMF1" s="13"/>
      <c r="HMG1" s="13"/>
      <c r="HMH1" s="13"/>
      <c r="HMI1" s="13"/>
      <c r="HMJ1" s="13"/>
      <c r="HMK1" s="13"/>
      <c r="HML1" s="13"/>
      <c r="HMM1" s="13"/>
      <c r="HMN1" s="24" t="s">
        <v>413</v>
      </c>
      <c r="HMO1" s="24" t="s">
        <v>542</v>
      </c>
      <c r="HMP1" s="24" t="s">
        <v>549</v>
      </c>
      <c r="HMQ1" s="24" t="s">
        <v>2239</v>
      </c>
      <c r="HMR1" s="24" t="s">
        <v>713</v>
      </c>
      <c r="HMS1" s="24" t="s">
        <v>543</v>
      </c>
      <c r="HMT1" s="24" t="s">
        <v>544</v>
      </c>
      <c r="HMU1" s="24" t="s">
        <v>758</v>
      </c>
      <c r="HMV1" s="24" t="s">
        <v>2232</v>
      </c>
      <c r="HMW1" s="24" t="s">
        <v>2236</v>
      </c>
      <c r="HMX1" s="24" t="s">
        <v>251</v>
      </c>
      <c r="HMY1" s="24" t="s">
        <v>545</v>
      </c>
      <c r="HMZ1" s="24" t="s">
        <v>546</v>
      </c>
      <c r="HNA1" s="24"/>
      <c r="HNB1" s="24"/>
      <c r="HNC1" s="24"/>
      <c r="HND1" s="24"/>
      <c r="HNE1" s="24"/>
      <c r="HNF1" s="24"/>
      <c r="HNG1" s="24"/>
      <c r="HNH1" s="24"/>
      <c r="HNI1" s="23" t="s">
        <v>410</v>
      </c>
      <c r="HNJ1" s="23" t="s">
        <v>407</v>
      </c>
      <c r="HNK1" s="23" t="s">
        <v>408</v>
      </c>
      <c r="HNL1" s="23" t="s">
        <v>409</v>
      </c>
      <c r="HNM1" s="23" t="s">
        <v>405</v>
      </c>
      <c r="HNN1" s="23" t="s">
        <v>366</v>
      </c>
      <c r="HNO1" s="23" t="s">
        <v>367</v>
      </c>
      <c r="HNP1" s="23" t="s">
        <v>368</v>
      </c>
      <c r="HNQ1" s="23" t="s">
        <v>665</v>
      </c>
      <c r="HNR1" s="23" t="s">
        <v>369</v>
      </c>
      <c r="HNS1" s="23" t="s">
        <v>406</v>
      </c>
      <c r="HNT1" s="23" t="s">
        <v>370</v>
      </c>
      <c r="HNU1" s="23" t="s">
        <v>729</v>
      </c>
      <c r="HNV1" s="23" t="s">
        <v>730</v>
      </c>
      <c r="HNW1" s="23" t="s">
        <v>335</v>
      </c>
      <c r="HNX1" s="23" t="s">
        <v>412</v>
      </c>
      <c r="HNY1" s="23" t="s">
        <v>411</v>
      </c>
      <c r="HNZ1" s="23" t="s">
        <v>691</v>
      </c>
      <c r="HOA1" s="23" t="s">
        <v>728</v>
      </c>
      <c r="HOB1" s="23" t="s">
        <v>2228</v>
      </c>
      <c r="HOC1" s="23"/>
      <c r="HOD1" s="23"/>
      <c r="HOE1" s="23"/>
      <c r="HOF1" s="23"/>
      <c r="HOG1" s="23"/>
      <c r="HOH1" s="23"/>
      <c r="HOI1" s="23"/>
      <c r="HOJ1" s="23"/>
      <c r="HOK1" s="23"/>
    </row>
    <row r="2" spans="1:5809" x14ac:dyDescent="0.25">
      <c r="A2" s="50" t="s">
        <v>2521</v>
      </c>
      <c r="B2" s="51" t="s">
        <v>4197</v>
      </c>
      <c r="C2" s="39" t="s">
        <v>2522</v>
      </c>
      <c r="D2" s="39" t="s">
        <v>2523</v>
      </c>
      <c r="E2" s="39" t="s">
        <v>2524</v>
      </c>
      <c r="F2" s="39" t="s">
        <v>2525</v>
      </c>
      <c r="G2" s="39" t="s">
        <v>2526</v>
      </c>
      <c r="H2" s="39" t="s">
        <v>2527</v>
      </c>
      <c r="I2" s="39" t="s">
        <v>2528</v>
      </c>
      <c r="J2" s="39" t="s">
        <v>2529</v>
      </c>
      <c r="K2" s="39" t="s">
        <v>2530</v>
      </c>
      <c r="L2" s="40" t="s">
        <v>2531</v>
      </c>
      <c r="M2" s="40" t="s">
        <v>2532</v>
      </c>
      <c r="N2" s="40" t="s">
        <v>2533</v>
      </c>
      <c r="O2" s="40" t="s">
        <v>2534</v>
      </c>
      <c r="P2" s="40" t="s">
        <v>2535</v>
      </c>
      <c r="Q2" s="40" t="s">
        <v>2536</v>
      </c>
      <c r="R2" s="40" t="s">
        <v>2537</v>
      </c>
      <c r="S2" s="40" t="s">
        <v>2538</v>
      </c>
      <c r="T2" s="40" t="s">
        <v>2539</v>
      </c>
      <c r="U2" s="40" t="s">
        <v>2540</v>
      </c>
      <c r="V2" s="40" t="s">
        <v>2541</v>
      </c>
      <c r="W2" s="40" t="s">
        <v>2542</v>
      </c>
      <c r="X2" s="40" t="s">
        <v>2543</v>
      </c>
      <c r="Y2" s="40" t="s">
        <v>2544</v>
      </c>
      <c r="Z2" s="40" t="s">
        <v>2545</v>
      </c>
      <c r="AA2" s="40" t="s">
        <v>2546</v>
      </c>
      <c r="AB2" s="40" t="s">
        <v>2547</v>
      </c>
      <c r="AC2" s="40" t="s">
        <v>2548</v>
      </c>
      <c r="AD2" s="40" t="s">
        <v>2548</v>
      </c>
      <c r="AE2" s="40" t="s">
        <v>2548</v>
      </c>
      <c r="AF2" s="40" t="s">
        <v>2549</v>
      </c>
      <c r="AG2" s="40" t="s">
        <v>2550</v>
      </c>
      <c r="AH2" s="40" t="s">
        <v>2551</v>
      </c>
      <c r="AI2" s="40" t="s">
        <v>2552</v>
      </c>
      <c r="AJ2" s="40" t="s">
        <v>2553</v>
      </c>
      <c r="AK2" s="40" t="s">
        <v>2554</v>
      </c>
      <c r="AL2" s="40" t="s">
        <v>2555</v>
      </c>
      <c r="AM2" s="40" t="s">
        <v>2556</v>
      </c>
      <c r="AN2" s="40" t="s">
        <v>2557</v>
      </c>
      <c r="AO2" s="40" t="s">
        <v>2558</v>
      </c>
      <c r="AP2" s="40" t="s">
        <v>2559</v>
      </c>
      <c r="AQ2" s="40" t="s">
        <v>2560</v>
      </c>
      <c r="AR2" s="40" t="s">
        <v>2561</v>
      </c>
      <c r="AS2" s="40" t="s">
        <v>2562</v>
      </c>
      <c r="AT2" s="40" t="s">
        <v>2563</v>
      </c>
      <c r="AU2" s="40" t="s">
        <v>2564</v>
      </c>
      <c r="AV2" s="40" t="s">
        <v>2565</v>
      </c>
      <c r="AW2" s="40" t="s">
        <v>2566</v>
      </c>
      <c r="AX2" s="40" t="s">
        <v>2567</v>
      </c>
      <c r="AY2" s="40" t="s">
        <v>2568</v>
      </c>
      <c r="AZ2" s="40" t="s">
        <v>2569</v>
      </c>
      <c r="BA2" s="40" t="s">
        <v>2570</v>
      </c>
      <c r="BB2" s="40" t="s">
        <v>2571</v>
      </c>
      <c r="BC2" s="40" t="s">
        <v>2572</v>
      </c>
      <c r="BD2" s="40" t="s">
        <v>2573</v>
      </c>
      <c r="BE2" s="40" t="s">
        <v>2574</v>
      </c>
      <c r="BF2" s="40" t="s">
        <v>2575</v>
      </c>
      <c r="BG2" s="40" t="s">
        <v>2576</v>
      </c>
      <c r="BH2" s="40" t="s">
        <v>2577</v>
      </c>
      <c r="BI2" s="40" t="s">
        <v>2578</v>
      </c>
      <c r="BJ2" s="40" t="s">
        <v>2579</v>
      </c>
      <c r="BK2" s="40" t="s">
        <v>2580</v>
      </c>
      <c r="BL2" s="40" t="s">
        <v>2581</v>
      </c>
      <c r="BM2" s="40" t="s">
        <v>2582</v>
      </c>
      <c r="BN2" s="40" t="s">
        <v>2583</v>
      </c>
      <c r="BO2" s="40" t="s">
        <v>2584</v>
      </c>
      <c r="BP2" s="40" t="s">
        <v>2585</v>
      </c>
      <c r="BQ2" s="40" t="s">
        <v>2586</v>
      </c>
      <c r="BR2" s="40" t="s">
        <v>2587</v>
      </c>
      <c r="BS2" s="40" t="s">
        <v>2588</v>
      </c>
      <c r="BT2" s="40" t="s">
        <v>2589</v>
      </c>
      <c r="BU2" s="40" t="s">
        <v>2590</v>
      </c>
      <c r="BV2" s="40" t="s">
        <v>2591</v>
      </c>
      <c r="BW2" s="40" t="s">
        <v>2592</v>
      </c>
      <c r="BX2" s="40" t="s">
        <v>2593</v>
      </c>
      <c r="BY2" s="40" t="s">
        <v>2594</v>
      </c>
      <c r="BZ2" s="40" t="s">
        <v>2595</v>
      </c>
      <c r="CA2" s="40" t="s">
        <v>2596</v>
      </c>
      <c r="CB2" s="40" t="s">
        <v>2597</v>
      </c>
      <c r="CC2" s="40" t="s">
        <v>2598</v>
      </c>
      <c r="CD2" s="40" t="s">
        <v>2599</v>
      </c>
      <c r="CE2" s="40" t="s">
        <v>2600</v>
      </c>
      <c r="CF2" s="40" t="s">
        <v>2601</v>
      </c>
      <c r="CG2" s="40" t="s">
        <v>2602</v>
      </c>
      <c r="CH2" s="40" t="s">
        <v>2603</v>
      </c>
      <c r="CI2" s="40" t="s">
        <v>2604</v>
      </c>
      <c r="CJ2" s="40" t="s">
        <v>2605</v>
      </c>
      <c r="CK2" s="40" t="s">
        <v>2606</v>
      </c>
      <c r="CL2" s="40" t="s">
        <v>2607</v>
      </c>
      <c r="CM2" s="40" t="s">
        <v>2608</v>
      </c>
      <c r="CN2" s="40" t="s">
        <v>2609</v>
      </c>
      <c r="CO2" s="40" t="s">
        <v>2610</v>
      </c>
      <c r="CP2" s="40" t="s">
        <v>2611</v>
      </c>
      <c r="CQ2" s="40" t="s">
        <v>2612</v>
      </c>
      <c r="CR2" s="40" t="s">
        <v>2613</v>
      </c>
      <c r="CS2" s="40" t="s">
        <v>2614</v>
      </c>
      <c r="CT2" s="40" t="s">
        <v>2615</v>
      </c>
      <c r="CU2" s="40" t="s">
        <v>2616</v>
      </c>
      <c r="CV2" s="40" t="s">
        <v>2617</v>
      </c>
      <c r="CW2" s="40" t="s">
        <v>2618</v>
      </c>
      <c r="CX2" s="40" t="s">
        <v>2619</v>
      </c>
      <c r="CY2" s="40" t="s">
        <v>2620</v>
      </c>
      <c r="CZ2" s="40" t="s">
        <v>2621</v>
      </c>
      <c r="DA2" s="40" t="s">
        <v>2622</v>
      </c>
      <c r="DB2" s="40" t="s">
        <v>2623</v>
      </c>
      <c r="DC2" s="40" t="s">
        <v>2624</v>
      </c>
      <c r="DD2" s="40" t="s">
        <v>2625</v>
      </c>
      <c r="DE2" s="40" t="s">
        <v>2626</v>
      </c>
      <c r="DF2" s="40" t="s">
        <v>2627</v>
      </c>
      <c r="DG2" s="40" t="s">
        <v>2628</v>
      </c>
      <c r="DH2" s="40" t="s">
        <v>2629</v>
      </c>
      <c r="DI2" s="40" t="s">
        <v>2630</v>
      </c>
      <c r="DJ2" s="40" t="s">
        <v>2631</v>
      </c>
      <c r="DK2" s="40" t="s">
        <v>2632</v>
      </c>
      <c r="DL2" s="40" t="s">
        <v>2633</v>
      </c>
      <c r="DM2" s="40" t="s">
        <v>2634</v>
      </c>
      <c r="DN2" s="40" t="s">
        <v>2635</v>
      </c>
      <c r="DO2" s="40" t="s">
        <v>2636</v>
      </c>
      <c r="DP2" s="40" t="s">
        <v>2637</v>
      </c>
      <c r="DQ2" s="40" t="s">
        <v>2638</v>
      </c>
      <c r="DR2" s="40" t="s">
        <v>2639</v>
      </c>
      <c r="DS2" s="40" t="s">
        <v>2640</v>
      </c>
      <c r="DT2" s="40" t="s">
        <v>2641</v>
      </c>
      <c r="DU2" s="40" t="s">
        <v>2642</v>
      </c>
      <c r="DV2" s="40" t="s">
        <v>2643</v>
      </c>
      <c r="DW2" s="40" t="s">
        <v>2644</v>
      </c>
      <c r="DX2" s="40" t="s">
        <v>2645</v>
      </c>
      <c r="DY2" s="40" t="s">
        <v>2646</v>
      </c>
      <c r="DZ2" s="40" t="s">
        <v>2647</v>
      </c>
      <c r="EA2" s="40" t="s">
        <v>2648</v>
      </c>
      <c r="EB2" s="40" t="s">
        <v>2649</v>
      </c>
      <c r="EC2" s="40" t="s">
        <v>2650</v>
      </c>
      <c r="ED2" s="40" t="s">
        <v>2651</v>
      </c>
      <c r="EE2" s="40" t="s">
        <v>2652</v>
      </c>
      <c r="EF2" s="40" t="s">
        <v>2653</v>
      </c>
      <c r="EG2" s="40" t="s">
        <v>2654</v>
      </c>
      <c r="EH2" s="40" t="s">
        <v>2655</v>
      </c>
      <c r="EI2" s="40" t="s">
        <v>2656</v>
      </c>
      <c r="EJ2" s="40" t="s">
        <v>2657</v>
      </c>
      <c r="EK2" s="40" t="s">
        <v>2658</v>
      </c>
      <c r="EL2" s="40" t="s">
        <v>2659</v>
      </c>
      <c r="EM2" s="40" t="s">
        <v>2660</v>
      </c>
      <c r="EN2" s="40" t="s">
        <v>2661</v>
      </c>
      <c r="EO2" s="40" t="s">
        <v>2662</v>
      </c>
      <c r="EP2" s="40" t="s">
        <v>2663</v>
      </c>
      <c r="EQ2" s="40" t="s">
        <v>2664</v>
      </c>
      <c r="ER2" s="40" t="s">
        <v>2665</v>
      </c>
      <c r="ES2" s="40" t="s">
        <v>2666</v>
      </c>
      <c r="ET2" s="40" t="s">
        <v>2667</v>
      </c>
      <c r="EU2" s="40" t="s">
        <v>2668</v>
      </c>
      <c r="EV2" s="40" t="s">
        <v>2669</v>
      </c>
      <c r="EW2" s="40" t="s">
        <v>2670</v>
      </c>
      <c r="EX2" s="40" t="s">
        <v>2671</v>
      </c>
      <c r="EY2" s="40" t="s">
        <v>2672</v>
      </c>
      <c r="EZ2" s="40" t="s">
        <v>2673</v>
      </c>
      <c r="FA2" s="40" t="s">
        <v>2674</v>
      </c>
      <c r="FB2" s="40" t="s">
        <v>2675</v>
      </c>
      <c r="FC2" s="40" t="s">
        <v>2676</v>
      </c>
      <c r="FD2" s="40" t="s">
        <v>2677</v>
      </c>
      <c r="FE2" s="40" t="s">
        <v>2678</v>
      </c>
      <c r="FF2" s="40" t="s">
        <v>2679</v>
      </c>
      <c r="FG2" s="40" t="s">
        <v>2680</v>
      </c>
      <c r="FH2" s="40" t="s">
        <v>2681</v>
      </c>
      <c r="FI2" s="40" t="s">
        <v>2682</v>
      </c>
      <c r="FJ2" s="40" t="s">
        <v>2683</v>
      </c>
      <c r="FK2" s="40" t="s">
        <v>2684</v>
      </c>
      <c r="FL2" s="40" t="s">
        <v>2685</v>
      </c>
      <c r="FM2" s="41" t="s">
        <v>2686</v>
      </c>
      <c r="FN2" s="41" t="s">
        <v>2687</v>
      </c>
      <c r="FO2" s="41" t="s">
        <v>2688</v>
      </c>
      <c r="FP2" s="41" t="s">
        <v>2689</v>
      </c>
      <c r="FQ2" s="41" t="s">
        <v>2690</v>
      </c>
      <c r="FR2" s="41" t="s">
        <v>2691</v>
      </c>
      <c r="FS2" s="41" t="s">
        <v>2692</v>
      </c>
      <c r="FT2" s="41" t="s">
        <v>2693</v>
      </c>
      <c r="FU2" s="41" t="s">
        <v>2694</v>
      </c>
      <c r="FV2" s="41" t="s">
        <v>2695</v>
      </c>
      <c r="FW2" s="41" t="s">
        <v>2696</v>
      </c>
      <c r="FX2" s="41" t="s">
        <v>2697</v>
      </c>
      <c r="FY2" s="41" t="s">
        <v>2698</v>
      </c>
      <c r="FZ2" s="41" t="s">
        <v>2699</v>
      </c>
      <c r="GA2" s="41" t="s">
        <v>2700</v>
      </c>
      <c r="GB2" s="41" t="s">
        <v>2701</v>
      </c>
      <c r="GC2" s="41" t="s">
        <v>2702</v>
      </c>
      <c r="GD2" s="41" t="s">
        <v>2703</v>
      </c>
      <c r="GE2" s="41" t="s">
        <v>2704</v>
      </c>
      <c r="GF2" s="41" t="s">
        <v>2705</v>
      </c>
      <c r="GG2" s="41" t="s">
        <v>2706</v>
      </c>
      <c r="GH2" s="41" t="s">
        <v>2707</v>
      </c>
      <c r="GI2" s="41" t="s">
        <v>2708</v>
      </c>
      <c r="GJ2" s="41" t="s">
        <v>2709</v>
      </c>
      <c r="GK2" s="41" t="s">
        <v>2710</v>
      </c>
      <c r="GL2" s="41" t="s">
        <v>2711</v>
      </c>
      <c r="GM2" s="41" t="s">
        <v>2712</v>
      </c>
      <c r="GN2" s="41" t="s">
        <v>2713</v>
      </c>
      <c r="GO2" s="41" t="s">
        <v>2714</v>
      </c>
      <c r="GP2" s="41" t="s">
        <v>2715</v>
      </c>
      <c r="GQ2" s="41" t="s">
        <v>2716</v>
      </c>
      <c r="GR2" s="41" t="s">
        <v>2717</v>
      </c>
      <c r="GS2" s="41" t="s">
        <v>2718</v>
      </c>
      <c r="GT2" s="41" t="s">
        <v>2719</v>
      </c>
      <c r="GU2" s="41" t="s">
        <v>2720</v>
      </c>
      <c r="GV2" s="41" t="s">
        <v>2721</v>
      </c>
      <c r="GW2" s="41" t="s">
        <v>2722</v>
      </c>
      <c r="GX2" s="41" t="s">
        <v>2723</v>
      </c>
      <c r="GY2" s="42" t="s">
        <v>2724</v>
      </c>
      <c r="GZ2" s="42" t="s">
        <v>2725</v>
      </c>
      <c r="HA2" s="42" t="s">
        <v>2726</v>
      </c>
      <c r="HB2" s="42" t="s">
        <v>2727</v>
      </c>
      <c r="HC2" s="42" t="s">
        <v>2728</v>
      </c>
      <c r="HD2" s="42" t="s">
        <v>2729</v>
      </c>
      <c r="HE2" s="42" t="s">
        <v>2730</v>
      </c>
      <c r="HF2" s="42" t="s">
        <v>2731</v>
      </c>
      <c r="HG2" s="42" t="s">
        <v>2732</v>
      </c>
      <c r="HH2" s="42" t="s">
        <v>2733</v>
      </c>
      <c r="HI2" s="42" t="s">
        <v>2734</v>
      </c>
      <c r="HJ2" s="42" t="s">
        <v>2735</v>
      </c>
      <c r="HK2" s="42" t="s">
        <v>2736</v>
      </c>
      <c r="HL2" s="42" t="s">
        <v>2737</v>
      </c>
      <c r="HM2" s="42" t="s">
        <v>2738</v>
      </c>
      <c r="HN2" s="42" t="s">
        <v>2739</v>
      </c>
      <c r="HO2" s="42" t="s">
        <v>2740</v>
      </c>
      <c r="HP2" s="42" t="s">
        <v>2741</v>
      </c>
      <c r="HQ2" s="41" t="s">
        <v>2742</v>
      </c>
      <c r="HR2" s="41" t="s">
        <v>2743</v>
      </c>
      <c r="HS2" s="41" t="s">
        <v>2744</v>
      </c>
      <c r="HT2" s="41" t="s">
        <v>2745</v>
      </c>
      <c r="HU2" s="41" t="s">
        <v>2746</v>
      </c>
      <c r="HV2" s="41" t="s">
        <v>2747</v>
      </c>
      <c r="HW2" s="41" t="s">
        <v>2748</v>
      </c>
      <c r="HX2" s="41" t="s">
        <v>2749</v>
      </c>
      <c r="HY2" s="41" t="s">
        <v>2750</v>
      </c>
      <c r="HZ2" s="41" t="s">
        <v>2751</v>
      </c>
      <c r="IA2" s="41" t="s">
        <v>2752</v>
      </c>
      <c r="IB2" s="41" t="s">
        <v>2753</v>
      </c>
      <c r="IC2" s="41" t="s">
        <v>2754</v>
      </c>
      <c r="ID2" s="41" t="s">
        <v>2755</v>
      </c>
      <c r="IE2" s="41" t="s">
        <v>2756</v>
      </c>
      <c r="IF2" s="41" t="s">
        <v>2757</v>
      </c>
      <c r="IG2" s="41" t="s">
        <v>2758</v>
      </c>
      <c r="IH2" s="41" t="s">
        <v>2759</v>
      </c>
      <c r="II2" s="41" t="s">
        <v>2760</v>
      </c>
      <c r="IJ2" s="41" t="s">
        <v>2761</v>
      </c>
      <c r="IK2" s="41" t="s">
        <v>2762</v>
      </c>
      <c r="IL2" s="41" t="s">
        <v>2763</v>
      </c>
      <c r="IM2" s="41" t="s">
        <v>2764</v>
      </c>
      <c r="IN2" s="41" t="s">
        <v>2765</v>
      </c>
      <c r="IO2" s="41" t="s">
        <v>2766</v>
      </c>
      <c r="IP2" s="41" t="s">
        <v>2767</v>
      </c>
      <c r="IQ2" s="41" t="s">
        <v>2768</v>
      </c>
      <c r="IR2" s="41" t="s">
        <v>2769</v>
      </c>
      <c r="IS2" s="41" t="s">
        <v>2770</v>
      </c>
      <c r="IT2" s="41" t="s">
        <v>2771</v>
      </c>
      <c r="IU2" s="41" t="s">
        <v>2772</v>
      </c>
      <c r="IV2" s="41" t="s">
        <v>2773</v>
      </c>
      <c r="IW2" s="41" t="s">
        <v>2774</v>
      </c>
      <c r="IX2" s="41" t="s">
        <v>2775</v>
      </c>
      <c r="IY2" s="41" t="s">
        <v>2776</v>
      </c>
      <c r="IZ2" s="41" t="s">
        <v>2777</v>
      </c>
      <c r="JA2" s="41" t="s">
        <v>2778</v>
      </c>
      <c r="JB2" s="41" t="s">
        <v>2779</v>
      </c>
      <c r="JC2" s="41" t="s">
        <v>2780</v>
      </c>
      <c r="JD2" s="41" t="s">
        <v>2781</v>
      </c>
      <c r="JE2" s="41" t="s">
        <v>2782</v>
      </c>
      <c r="JF2" s="41" t="s">
        <v>2783</v>
      </c>
      <c r="JG2" s="41" t="s">
        <v>2784</v>
      </c>
      <c r="JH2" s="41" t="s">
        <v>2785</v>
      </c>
      <c r="JI2" s="41" t="s">
        <v>2786</v>
      </c>
      <c r="JJ2" s="41" t="s">
        <v>2787</v>
      </c>
      <c r="JK2" s="41" t="s">
        <v>2788</v>
      </c>
      <c r="JL2" s="41" t="s">
        <v>2789</v>
      </c>
      <c r="JM2" s="41" t="s">
        <v>2790</v>
      </c>
      <c r="JN2" s="41" t="s">
        <v>2791</v>
      </c>
      <c r="JO2" s="41" t="s">
        <v>2792</v>
      </c>
      <c r="JP2" s="41" t="s">
        <v>2793</v>
      </c>
      <c r="JQ2" s="40" t="s">
        <v>2794</v>
      </c>
      <c r="JR2" s="40" t="s">
        <v>2795</v>
      </c>
      <c r="JS2" s="40" t="s">
        <v>2796</v>
      </c>
      <c r="JT2" s="40" t="s">
        <v>2797</v>
      </c>
      <c r="JU2" s="40" t="s">
        <v>2798</v>
      </c>
      <c r="JV2" s="40" t="s">
        <v>2799</v>
      </c>
      <c r="JW2" s="40" t="s">
        <v>2800</v>
      </c>
      <c r="JX2" s="40" t="s">
        <v>2801</v>
      </c>
      <c r="JY2" s="40" t="s">
        <v>2802</v>
      </c>
      <c r="JZ2" s="40" t="s">
        <v>2803</v>
      </c>
      <c r="KA2" s="40" t="s">
        <v>2804</v>
      </c>
      <c r="KB2" s="40" t="s">
        <v>2805</v>
      </c>
      <c r="KC2" s="40" t="s">
        <v>2806</v>
      </c>
      <c r="KD2" s="40" t="s">
        <v>2807</v>
      </c>
      <c r="KE2" s="40" t="s">
        <v>2808</v>
      </c>
      <c r="KF2" s="40" t="s">
        <v>2809</v>
      </c>
      <c r="KG2" s="40" t="s">
        <v>2810</v>
      </c>
      <c r="KH2" s="40" t="s">
        <v>2811</v>
      </c>
      <c r="KI2" s="40" t="s">
        <v>2812</v>
      </c>
      <c r="KJ2" s="40" t="s">
        <v>2813</v>
      </c>
      <c r="KK2" s="40" t="s">
        <v>2814</v>
      </c>
      <c r="KL2" s="40" t="s">
        <v>2815</v>
      </c>
      <c r="KM2" s="40" t="s">
        <v>2816</v>
      </c>
      <c r="KN2" s="40" t="s">
        <v>2817</v>
      </c>
      <c r="KO2" s="40" t="s">
        <v>2818</v>
      </c>
      <c r="KP2" s="40" t="s">
        <v>2819</v>
      </c>
      <c r="KQ2" s="40" t="s">
        <v>2820</v>
      </c>
      <c r="KR2" s="40" t="s">
        <v>2821</v>
      </c>
      <c r="KS2" s="43" t="s">
        <v>2822</v>
      </c>
      <c r="KT2" s="43" t="s">
        <v>2823</v>
      </c>
      <c r="KU2" s="44" t="s">
        <v>2824</v>
      </c>
      <c r="KV2" s="44" t="s">
        <v>2825</v>
      </c>
      <c r="KW2" s="44" t="s">
        <v>2826</v>
      </c>
      <c r="KX2" s="44" t="s">
        <v>2827</v>
      </c>
      <c r="KY2" s="44" t="s">
        <v>2828</v>
      </c>
      <c r="KZ2" s="44" t="s">
        <v>2829</v>
      </c>
      <c r="LA2" s="44" t="s">
        <v>2830</v>
      </c>
      <c r="LB2" s="44" t="s">
        <v>2831</v>
      </c>
      <c r="LC2" s="44" t="s">
        <v>2832</v>
      </c>
      <c r="LD2" s="44" t="s">
        <v>2833</v>
      </c>
      <c r="LE2" s="44" t="s">
        <v>2834</v>
      </c>
      <c r="LF2" s="44" t="s">
        <v>2835</v>
      </c>
      <c r="LG2" s="44" t="s">
        <v>2836</v>
      </c>
      <c r="LH2" s="44" t="s">
        <v>2837</v>
      </c>
      <c r="LI2" s="44" t="s">
        <v>2838</v>
      </c>
      <c r="LJ2" s="44" t="s">
        <v>2839</v>
      </c>
      <c r="LK2" s="44" t="s">
        <v>2840</v>
      </c>
      <c r="LL2" s="44" t="s">
        <v>2841</v>
      </c>
      <c r="LM2" s="44" t="s">
        <v>2842</v>
      </c>
      <c r="LN2" s="44" t="s">
        <v>2843</v>
      </c>
      <c r="LO2" s="44" t="s">
        <v>2844</v>
      </c>
      <c r="LP2" s="44" t="s">
        <v>2845</v>
      </c>
      <c r="LQ2" s="44" t="s">
        <v>2846</v>
      </c>
      <c r="LR2" s="44" t="s">
        <v>2847</v>
      </c>
      <c r="LS2" s="44" t="s">
        <v>2848</v>
      </c>
      <c r="LT2" s="44" t="s">
        <v>2849</v>
      </c>
      <c r="LU2" s="44" t="s">
        <v>2850</v>
      </c>
      <c r="LV2" s="44" t="s">
        <v>2851</v>
      </c>
      <c r="LW2" s="44" t="s">
        <v>2852</v>
      </c>
      <c r="LX2" s="44" t="s">
        <v>2853</v>
      </c>
      <c r="LY2" s="44" t="s">
        <v>2854</v>
      </c>
      <c r="LZ2" s="44" t="s">
        <v>2855</v>
      </c>
      <c r="MA2" s="44" t="s">
        <v>2856</v>
      </c>
      <c r="MB2" s="44" t="s">
        <v>2857</v>
      </c>
      <c r="MC2" s="44" t="s">
        <v>2858</v>
      </c>
      <c r="MD2" s="44" t="s">
        <v>2807</v>
      </c>
      <c r="ME2" s="44" t="s">
        <v>2859</v>
      </c>
      <c r="MF2" s="40" t="s">
        <v>2860</v>
      </c>
      <c r="MG2" s="40" t="s">
        <v>2861</v>
      </c>
      <c r="MH2" s="40" t="s">
        <v>2862</v>
      </c>
      <c r="MI2" s="40" t="s">
        <v>2863</v>
      </c>
      <c r="MJ2" s="40" t="s">
        <v>2864</v>
      </c>
      <c r="MK2" s="40" t="s">
        <v>2865</v>
      </c>
      <c r="ML2" s="40" t="s">
        <v>2866</v>
      </c>
      <c r="MM2" s="40" t="s">
        <v>2867</v>
      </c>
      <c r="MN2" s="40" t="s">
        <v>2868</v>
      </c>
      <c r="MO2" s="40" t="s">
        <v>2869</v>
      </c>
      <c r="MP2" s="40" t="s">
        <v>2870</v>
      </c>
      <c r="MQ2" s="40" t="s">
        <v>2871</v>
      </c>
      <c r="MR2" s="40" t="s">
        <v>2872</v>
      </c>
      <c r="MS2" s="40" t="s">
        <v>2873</v>
      </c>
      <c r="MT2" s="40" t="s">
        <v>2874</v>
      </c>
      <c r="MU2" s="40" t="s">
        <v>2875</v>
      </c>
      <c r="MV2" s="40" t="s">
        <v>2876</v>
      </c>
      <c r="MW2" s="40" t="s">
        <v>2877</v>
      </c>
      <c r="MX2" s="40" t="s">
        <v>2878</v>
      </c>
      <c r="MY2" s="40" t="s">
        <v>2879</v>
      </c>
      <c r="MZ2" s="40" t="s">
        <v>2880</v>
      </c>
      <c r="NA2" s="40" t="s">
        <v>2881</v>
      </c>
      <c r="NB2" s="40" t="s">
        <v>2882</v>
      </c>
      <c r="NC2" s="40" t="s">
        <v>2883</v>
      </c>
      <c r="ND2" s="40" t="s">
        <v>2884</v>
      </c>
      <c r="NE2" s="40" t="s">
        <v>2885</v>
      </c>
      <c r="NF2" s="40" t="s">
        <v>2886</v>
      </c>
      <c r="NG2" s="40" t="s">
        <v>2887</v>
      </c>
      <c r="NH2" s="40" t="s">
        <v>2888</v>
      </c>
      <c r="NI2" s="40" t="s">
        <v>2889</v>
      </c>
      <c r="NJ2" s="40" t="s">
        <v>2890</v>
      </c>
      <c r="NK2" s="40" t="s">
        <v>2891</v>
      </c>
      <c r="NL2" s="40" t="s">
        <v>2892</v>
      </c>
      <c r="NM2" s="40" t="s">
        <v>2893</v>
      </c>
      <c r="NN2" s="40" t="s">
        <v>2894</v>
      </c>
      <c r="NO2" s="40" t="s">
        <v>2895</v>
      </c>
      <c r="NP2" s="40" t="s">
        <v>2896</v>
      </c>
      <c r="NQ2" s="40" t="s">
        <v>2897</v>
      </c>
      <c r="NR2" s="40" t="s">
        <v>2898</v>
      </c>
      <c r="NS2" s="40" t="s">
        <v>2899</v>
      </c>
      <c r="NT2" s="40" t="s">
        <v>2900</v>
      </c>
      <c r="NU2" s="40" t="s">
        <v>2901</v>
      </c>
      <c r="NV2" s="40" t="s">
        <v>2902</v>
      </c>
      <c r="NW2" s="40" t="s">
        <v>2903</v>
      </c>
      <c r="NX2" s="40" t="s">
        <v>2904</v>
      </c>
      <c r="NY2" s="40" t="s">
        <v>2905</v>
      </c>
      <c r="NZ2" s="40" t="s">
        <v>2906</v>
      </c>
      <c r="OA2" s="40" t="s">
        <v>2907</v>
      </c>
      <c r="OB2" s="40" t="s">
        <v>2908</v>
      </c>
      <c r="OC2" s="40" t="s">
        <v>2909</v>
      </c>
      <c r="OD2" s="40" t="s">
        <v>2910</v>
      </c>
      <c r="OE2" s="40" t="s">
        <v>2911</v>
      </c>
      <c r="OF2" s="40" t="s">
        <v>2912</v>
      </c>
      <c r="OG2" s="40" t="s">
        <v>2913</v>
      </c>
      <c r="OH2" s="43" t="s">
        <v>2914</v>
      </c>
      <c r="OI2" s="40" t="s">
        <v>2915</v>
      </c>
      <c r="OJ2" s="40" t="s">
        <v>2916</v>
      </c>
      <c r="OK2" s="40" t="s">
        <v>2917</v>
      </c>
      <c r="OL2" s="40" t="s">
        <v>2918</v>
      </c>
      <c r="OM2" s="40" t="s">
        <v>2919</v>
      </c>
      <c r="ON2" s="40" t="s">
        <v>2920</v>
      </c>
      <c r="OO2" s="40" t="s">
        <v>2921</v>
      </c>
      <c r="OP2" s="40" t="s">
        <v>2922</v>
      </c>
      <c r="OQ2" s="40" t="s">
        <v>2923</v>
      </c>
      <c r="OR2" s="40" t="s">
        <v>2924</v>
      </c>
      <c r="OS2" s="40" t="s">
        <v>2925</v>
      </c>
      <c r="OT2" s="40" t="s">
        <v>2926</v>
      </c>
      <c r="OU2" s="40" t="s">
        <v>2927</v>
      </c>
      <c r="OV2" s="40" t="s">
        <v>2928</v>
      </c>
      <c r="OW2" s="40" t="s">
        <v>2929</v>
      </c>
      <c r="OX2" s="40" t="s">
        <v>2930</v>
      </c>
      <c r="OY2" s="40" t="s">
        <v>2931</v>
      </c>
      <c r="OZ2" s="40" t="s">
        <v>2932</v>
      </c>
      <c r="PA2" s="40" t="s">
        <v>2933</v>
      </c>
      <c r="PB2" s="40" t="s">
        <v>2934</v>
      </c>
      <c r="PC2" s="40" t="s">
        <v>2935</v>
      </c>
      <c r="PD2" s="40" t="s">
        <v>2936</v>
      </c>
      <c r="PE2" s="40" t="s">
        <v>2937</v>
      </c>
      <c r="PF2" s="40" t="s">
        <v>2938</v>
      </c>
      <c r="PG2" s="40" t="s">
        <v>2939</v>
      </c>
      <c r="PH2" s="40" t="s">
        <v>2940</v>
      </c>
      <c r="PI2" s="40" t="s">
        <v>2941</v>
      </c>
      <c r="PJ2" s="40" t="s">
        <v>2942</v>
      </c>
      <c r="PK2" s="40" t="s">
        <v>2943</v>
      </c>
      <c r="PL2" s="40" t="s">
        <v>2944</v>
      </c>
      <c r="PM2" s="40" t="s">
        <v>2945</v>
      </c>
      <c r="PN2" s="40" t="s">
        <v>2946</v>
      </c>
      <c r="PO2" s="40" t="s">
        <v>2947</v>
      </c>
      <c r="PP2" s="40" t="s">
        <v>2948</v>
      </c>
      <c r="PQ2" s="40" t="s">
        <v>2949</v>
      </c>
      <c r="PR2" s="40" t="s">
        <v>2950</v>
      </c>
      <c r="PS2" s="40" t="s">
        <v>2951</v>
      </c>
      <c r="PT2" s="40" t="s">
        <v>2952</v>
      </c>
      <c r="PU2" s="40" t="s">
        <v>2953</v>
      </c>
      <c r="PV2" s="40" t="s">
        <v>2954</v>
      </c>
      <c r="PW2" s="40" t="s">
        <v>2955</v>
      </c>
      <c r="PX2" s="39" t="s">
        <v>2956</v>
      </c>
      <c r="PY2" s="39" t="s">
        <v>2957</v>
      </c>
      <c r="PZ2" s="39" t="s">
        <v>2958</v>
      </c>
      <c r="QA2" s="39" t="s">
        <v>2959</v>
      </c>
      <c r="QB2" s="39" t="s">
        <v>2960</v>
      </c>
      <c r="QC2" s="39" t="s">
        <v>2961</v>
      </c>
      <c r="QD2" s="39" t="s">
        <v>2962</v>
      </c>
      <c r="QE2" s="39" t="s">
        <v>2963</v>
      </c>
      <c r="QF2" s="39" t="s">
        <v>2964</v>
      </c>
      <c r="QG2" s="39" t="s">
        <v>2965</v>
      </c>
      <c r="QH2" s="39" t="s">
        <v>2966</v>
      </c>
      <c r="QI2" s="39" t="s">
        <v>2967</v>
      </c>
      <c r="QJ2" s="39" t="s">
        <v>2968</v>
      </c>
      <c r="QK2" s="39" t="s">
        <v>2969</v>
      </c>
      <c r="QL2" s="39" t="s">
        <v>2970</v>
      </c>
      <c r="QM2" s="39" t="s">
        <v>2971</v>
      </c>
      <c r="QN2" s="39" t="s">
        <v>2972</v>
      </c>
      <c r="QO2" s="39" t="s">
        <v>2973</v>
      </c>
      <c r="QP2" s="39" t="s">
        <v>2974</v>
      </c>
      <c r="QQ2" s="39" t="s">
        <v>2975</v>
      </c>
      <c r="QR2" s="39" t="s">
        <v>2976</v>
      </c>
      <c r="QS2" s="39" t="s">
        <v>2977</v>
      </c>
      <c r="QT2" s="40" t="s">
        <v>2978</v>
      </c>
      <c r="QU2" s="40" t="s">
        <v>2979</v>
      </c>
      <c r="QV2" s="40" t="s">
        <v>2980</v>
      </c>
      <c r="QW2" s="40" t="s">
        <v>2981</v>
      </c>
      <c r="QX2" s="40" t="s">
        <v>2982</v>
      </c>
      <c r="QY2" s="40" t="s">
        <v>2983</v>
      </c>
      <c r="QZ2" s="40" t="s">
        <v>2984</v>
      </c>
      <c r="RA2" s="40" t="s">
        <v>2985</v>
      </c>
      <c r="RB2" s="40" t="s">
        <v>2986</v>
      </c>
      <c r="RC2" s="40" t="s">
        <v>2987</v>
      </c>
      <c r="RD2" s="40" t="s">
        <v>2988</v>
      </c>
      <c r="RE2" s="40" t="s">
        <v>2989</v>
      </c>
      <c r="RF2" s="40" t="s">
        <v>2990</v>
      </c>
      <c r="RG2" s="40" t="s">
        <v>2991</v>
      </c>
      <c r="RH2" s="40" t="s">
        <v>2992</v>
      </c>
      <c r="RI2" s="40" t="s">
        <v>2993</v>
      </c>
      <c r="RJ2" s="40" t="s">
        <v>2994</v>
      </c>
      <c r="RK2" s="40" t="s">
        <v>2995</v>
      </c>
      <c r="RL2" s="40" t="s">
        <v>2996</v>
      </c>
      <c r="RM2" s="40" t="s">
        <v>2997</v>
      </c>
      <c r="RN2" s="40" t="s">
        <v>2998</v>
      </c>
      <c r="RO2" s="40" t="s">
        <v>2999</v>
      </c>
      <c r="RP2" s="40" t="s">
        <v>3000</v>
      </c>
      <c r="RQ2" s="40" t="s">
        <v>3001</v>
      </c>
      <c r="RR2" s="40" t="s">
        <v>3002</v>
      </c>
      <c r="RS2" s="43" t="s">
        <v>3003</v>
      </c>
      <c r="RT2" s="44" t="s">
        <v>3004</v>
      </c>
      <c r="RU2" s="44" t="s">
        <v>3005</v>
      </c>
      <c r="RV2" s="44" t="s">
        <v>3006</v>
      </c>
      <c r="RW2" s="44" t="s">
        <v>3007</v>
      </c>
      <c r="RX2" s="44" t="s">
        <v>3008</v>
      </c>
      <c r="RY2" s="44" t="s">
        <v>3009</v>
      </c>
      <c r="RZ2" s="44" t="s">
        <v>3010</v>
      </c>
      <c r="SA2" s="44" t="s">
        <v>3011</v>
      </c>
      <c r="SB2" s="44" t="s">
        <v>3012</v>
      </c>
      <c r="SC2" s="44" t="s">
        <v>3013</v>
      </c>
      <c r="SD2" s="44" t="s">
        <v>3014</v>
      </c>
      <c r="SE2" s="44" t="s">
        <v>3015</v>
      </c>
      <c r="SF2" s="44" t="s">
        <v>3016</v>
      </c>
      <c r="SG2" s="44" t="s">
        <v>3017</v>
      </c>
      <c r="SH2" s="44" t="s">
        <v>3018</v>
      </c>
      <c r="SI2" s="44" t="s">
        <v>3019</v>
      </c>
      <c r="SJ2" s="44" t="s">
        <v>3020</v>
      </c>
      <c r="SK2" s="44" t="s">
        <v>3021</v>
      </c>
      <c r="SL2" s="44" t="s">
        <v>3022</v>
      </c>
      <c r="SM2" s="44" t="s">
        <v>3023</v>
      </c>
      <c r="SN2" s="44" t="s">
        <v>3024</v>
      </c>
      <c r="SO2" s="44" t="s">
        <v>3025</v>
      </c>
      <c r="SP2" s="44" t="s">
        <v>3026</v>
      </c>
      <c r="SQ2" s="44" t="s">
        <v>3027</v>
      </c>
      <c r="SR2" s="44" t="s">
        <v>3028</v>
      </c>
      <c r="SS2" s="44" t="s">
        <v>3029</v>
      </c>
      <c r="ST2" s="44" t="s">
        <v>3030</v>
      </c>
      <c r="SU2" s="44" t="s">
        <v>3031</v>
      </c>
      <c r="SV2" s="44" t="s">
        <v>3032</v>
      </c>
      <c r="SW2" s="44" t="s">
        <v>3033</v>
      </c>
      <c r="SX2" s="44" t="s">
        <v>3034</v>
      </c>
      <c r="SY2" s="44" t="s">
        <v>3035</v>
      </c>
      <c r="SZ2" s="45" t="s">
        <v>3036</v>
      </c>
      <c r="TA2" s="40" t="s">
        <v>3037</v>
      </c>
      <c r="TB2" s="40" t="s">
        <v>3038</v>
      </c>
      <c r="TC2" s="40" t="s">
        <v>3039</v>
      </c>
      <c r="TD2" s="40" t="s">
        <v>3040</v>
      </c>
      <c r="TE2" s="40" t="s">
        <v>3041</v>
      </c>
      <c r="TF2" s="40" t="s">
        <v>3042</v>
      </c>
      <c r="TG2" s="40" t="s">
        <v>3043</v>
      </c>
      <c r="TH2" s="40" t="s">
        <v>3044</v>
      </c>
      <c r="TI2" s="40" t="s">
        <v>3045</v>
      </c>
      <c r="TJ2" s="40" t="s">
        <v>3046</v>
      </c>
      <c r="TK2" s="40" t="s">
        <v>3047</v>
      </c>
      <c r="TL2" s="40" t="s">
        <v>3048</v>
      </c>
      <c r="TM2" s="40" t="s">
        <v>3049</v>
      </c>
      <c r="TN2" s="40" t="s">
        <v>3050</v>
      </c>
      <c r="TO2" s="40" t="s">
        <v>3051</v>
      </c>
      <c r="TP2" s="40" t="s">
        <v>3052</v>
      </c>
      <c r="TQ2" s="40" t="s">
        <v>3053</v>
      </c>
      <c r="TR2" s="40" t="s">
        <v>3054</v>
      </c>
      <c r="TS2" s="40" t="s">
        <v>3055</v>
      </c>
      <c r="TT2" s="40" t="s">
        <v>3056</v>
      </c>
      <c r="TU2" s="40" t="s">
        <v>3057</v>
      </c>
      <c r="TV2" s="40" t="s">
        <v>3058</v>
      </c>
      <c r="TW2" s="40" t="s">
        <v>3059</v>
      </c>
      <c r="TX2" s="40" t="s">
        <v>3060</v>
      </c>
      <c r="TY2" s="40" t="s">
        <v>3061</v>
      </c>
      <c r="TZ2" s="40" t="s">
        <v>3062</v>
      </c>
      <c r="UA2" s="40" t="s">
        <v>3063</v>
      </c>
      <c r="UB2" s="40" t="s">
        <v>3064</v>
      </c>
      <c r="UC2" s="40" t="s">
        <v>3065</v>
      </c>
      <c r="UD2" s="40" t="s">
        <v>3066</v>
      </c>
      <c r="UE2" s="40" t="s">
        <v>3067</v>
      </c>
      <c r="UF2" s="40" t="s">
        <v>3068</v>
      </c>
      <c r="UG2" s="40" t="s">
        <v>3069</v>
      </c>
      <c r="UH2" s="40" t="s">
        <v>3070</v>
      </c>
      <c r="UI2" s="40" t="s">
        <v>3071</v>
      </c>
      <c r="UJ2" s="40" t="s">
        <v>3072</v>
      </c>
      <c r="UK2" s="40" t="s">
        <v>3073</v>
      </c>
      <c r="UL2" s="40" t="s">
        <v>3074</v>
      </c>
      <c r="UM2" s="40" t="s">
        <v>3075</v>
      </c>
      <c r="UN2" s="40" t="s">
        <v>3076</v>
      </c>
      <c r="UO2" s="40" t="s">
        <v>3077</v>
      </c>
      <c r="UP2" s="40" t="s">
        <v>3078</v>
      </c>
      <c r="UQ2" s="40" t="s">
        <v>3079</v>
      </c>
      <c r="UR2" s="40" t="s">
        <v>3080</v>
      </c>
      <c r="US2" s="40" t="s">
        <v>3081</v>
      </c>
      <c r="UT2" s="40" t="s">
        <v>3082</v>
      </c>
      <c r="UU2" s="40" t="s">
        <v>3083</v>
      </c>
      <c r="UV2" s="40" t="s">
        <v>3084</v>
      </c>
      <c r="UW2" s="40" t="s">
        <v>3085</v>
      </c>
      <c r="UX2" s="40" t="s">
        <v>3086</v>
      </c>
      <c r="UY2" s="40" t="s">
        <v>3087</v>
      </c>
      <c r="UZ2" s="40" t="s">
        <v>3088</v>
      </c>
      <c r="VA2" s="40" t="s">
        <v>3089</v>
      </c>
      <c r="VB2" s="40" t="s">
        <v>3090</v>
      </c>
      <c r="VC2" s="40" t="s">
        <v>3091</v>
      </c>
      <c r="VD2" s="40" t="s">
        <v>3092</v>
      </c>
      <c r="VE2" s="40" t="s">
        <v>3093</v>
      </c>
      <c r="VF2" s="40" t="s">
        <v>3094</v>
      </c>
      <c r="VG2" s="40" t="s">
        <v>3095</v>
      </c>
      <c r="VH2" s="40" t="s">
        <v>3096</v>
      </c>
      <c r="VI2" s="40" t="s">
        <v>3097</v>
      </c>
      <c r="VJ2" s="40" t="s">
        <v>3098</v>
      </c>
      <c r="VK2" s="40" t="s">
        <v>3099</v>
      </c>
      <c r="VL2" s="40" t="s">
        <v>3100</v>
      </c>
      <c r="VM2" s="40" t="s">
        <v>3101</v>
      </c>
      <c r="VN2" s="40" t="s">
        <v>3102</v>
      </c>
      <c r="VO2" s="40" t="s">
        <v>3103</v>
      </c>
      <c r="VP2" s="40" t="s">
        <v>3104</v>
      </c>
      <c r="VQ2" s="40" t="s">
        <v>3105</v>
      </c>
      <c r="VR2" s="40" t="s">
        <v>3106</v>
      </c>
      <c r="VS2" s="40" t="s">
        <v>3107</v>
      </c>
      <c r="VT2" s="40" t="s">
        <v>3108</v>
      </c>
      <c r="VU2" s="40" t="s">
        <v>3109</v>
      </c>
      <c r="VV2" s="40" t="s">
        <v>3110</v>
      </c>
      <c r="VW2" s="40" t="s">
        <v>3111</v>
      </c>
      <c r="VX2" s="40" t="s">
        <v>3112</v>
      </c>
      <c r="VY2" s="40" t="s">
        <v>3113</v>
      </c>
      <c r="VZ2" s="40" t="s">
        <v>3114</v>
      </c>
      <c r="WA2" s="40" t="s">
        <v>3115</v>
      </c>
      <c r="WB2" s="40" t="s">
        <v>3116</v>
      </c>
      <c r="WC2" s="40" t="s">
        <v>3117</v>
      </c>
      <c r="WD2" s="40" t="s">
        <v>3118</v>
      </c>
      <c r="WE2" s="40" t="s">
        <v>3119</v>
      </c>
      <c r="WF2" s="40" t="s">
        <v>3120</v>
      </c>
      <c r="WG2" s="40" t="s">
        <v>3121</v>
      </c>
      <c r="WH2" s="40" t="s">
        <v>3122</v>
      </c>
      <c r="WI2" s="40" t="s">
        <v>3123</v>
      </c>
      <c r="WJ2" s="40" t="s">
        <v>3124</v>
      </c>
      <c r="WK2" s="40" t="s">
        <v>3125</v>
      </c>
      <c r="WL2" s="40" t="s">
        <v>3126</v>
      </c>
      <c r="WM2" s="40" t="s">
        <v>3127</v>
      </c>
      <c r="WN2" s="40" t="s">
        <v>3128</v>
      </c>
      <c r="WO2" s="40" t="s">
        <v>3129</v>
      </c>
      <c r="WP2" s="40" t="s">
        <v>3130</v>
      </c>
      <c r="WQ2" s="40" t="s">
        <v>3131</v>
      </c>
      <c r="WR2" s="40" t="s">
        <v>3132</v>
      </c>
      <c r="WS2" s="40" t="s">
        <v>3133</v>
      </c>
      <c r="WT2" s="40" t="s">
        <v>3134</v>
      </c>
      <c r="WU2" s="40" t="s">
        <v>3135</v>
      </c>
      <c r="WV2" s="40" t="s">
        <v>3136</v>
      </c>
      <c r="WW2" s="40" t="s">
        <v>3137</v>
      </c>
      <c r="WX2" s="40" t="s">
        <v>3138</v>
      </c>
      <c r="WY2" s="40" t="s">
        <v>3139</v>
      </c>
      <c r="WZ2" s="40" t="s">
        <v>3140</v>
      </c>
      <c r="XA2" s="46" t="s">
        <v>3141</v>
      </c>
      <c r="XB2" s="40" t="s">
        <v>3142</v>
      </c>
      <c r="XC2" s="40" t="s">
        <v>3143</v>
      </c>
      <c r="XD2" s="40" t="s">
        <v>3144</v>
      </c>
      <c r="XE2" s="40" t="s">
        <v>3145</v>
      </c>
      <c r="XF2" s="40" t="s">
        <v>3146</v>
      </c>
      <c r="XG2" s="40" t="s">
        <v>3147</v>
      </c>
      <c r="XH2" s="40" t="s">
        <v>3148</v>
      </c>
      <c r="XI2" s="40" t="s">
        <v>3149</v>
      </c>
      <c r="XJ2" s="40" t="s">
        <v>3150</v>
      </c>
      <c r="XK2" s="40" t="s">
        <v>3151</v>
      </c>
      <c r="XL2" s="40" t="s">
        <v>3152</v>
      </c>
      <c r="XM2" s="40" t="s">
        <v>3153</v>
      </c>
      <c r="XN2" s="40" t="s">
        <v>3154</v>
      </c>
      <c r="XO2" s="40" t="s">
        <v>3155</v>
      </c>
      <c r="XP2" s="40" t="s">
        <v>3156</v>
      </c>
      <c r="XQ2" s="40" t="s">
        <v>3157</v>
      </c>
      <c r="XR2" s="40" t="s">
        <v>3158</v>
      </c>
      <c r="XS2" s="40" t="s">
        <v>3159</v>
      </c>
      <c r="XT2" s="40" t="s">
        <v>3160</v>
      </c>
      <c r="XU2" s="40" t="s">
        <v>3161</v>
      </c>
      <c r="XV2" s="40" t="s">
        <v>3162</v>
      </c>
      <c r="XW2" s="40" t="s">
        <v>3163</v>
      </c>
      <c r="XX2" s="40" t="s">
        <v>3164</v>
      </c>
      <c r="XY2" s="40" t="s">
        <v>3165</v>
      </c>
      <c r="XZ2" s="40" t="s">
        <v>3166</v>
      </c>
      <c r="YA2" s="40" t="s">
        <v>3167</v>
      </c>
      <c r="YB2" s="40" t="s">
        <v>3168</v>
      </c>
      <c r="YC2" s="40" t="s">
        <v>3169</v>
      </c>
      <c r="YD2" s="40" t="s">
        <v>3170</v>
      </c>
      <c r="YE2" s="40" t="s">
        <v>3171</v>
      </c>
      <c r="YF2" s="40" t="s">
        <v>3172</v>
      </c>
      <c r="YG2" s="40" t="s">
        <v>3173</v>
      </c>
      <c r="YH2" s="40" t="s">
        <v>3174</v>
      </c>
      <c r="YI2" s="40" t="s">
        <v>3175</v>
      </c>
      <c r="YJ2" s="40" t="s">
        <v>3176</v>
      </c>
      <c r="YK2" s="40" t="s">
        <v>3177</v>
      </c>
      <c r="YL2" s="40" t="s">
        <v>3178</v>
      </c>
      <c r="YM2" s="40" t="s">
        <v>3179</v>
      </c>
      <c r="YN2" s="40" t="s">
        <v>3180</v>
      </c>
      <c r="YO2" s="40" t="s">
        <v>3181</v>
      </c>
      <c r="YP2" s="40" t="s">
        <v>3182</v>
      </c>
      <c r="YQ2" s="40" t="s">
        <v>3183</v>
      </c>
      <c r="YR2" s="40" t="s">
        <v>3184</v>
      </c>
      <c r="YS2" s="40" t="s">
        <v>3185</v>
      </c>
      <c r="YT2" s="40" t="s">
        <v>3186</v>
      </c>
      <c r="YU2" s="40" t="s">
        <v>3187</v>
      </c>
      <c r="YV2" s="40" t="s">
        <v>3188</v>
      </c>
      <c r="YW2" s="40" t="s">
        <v>3189</v>
      </c>
      <c r="YX2" s="40" t="s">
        <v>3190</v>
      </c>
      <c r="YY2" s="40" t="s">
        <v>3191</v>
      </c>
      <c r="YZ2" s="40" t="s">
        <v>3192</v>
      </c>
      <c r="ZA2" s="40" t="s">
        <v>3193</v>
      </c>
      <c r="ZB2" s="40" t="s">
        <v>3194</v>
      </c>
      <c r="ZC2" s="40" t="s">
        <v>3195</v>
      </c>
      <c r="ZD2" s="40" t="s">
        <v>3196</v>
      </c>
      <c r="ZE2" s="40" t="s">
        <v>3197</v>
      </c>
      <c r="ZF2" s="40" t="s">
        <v>3198</v>
      </c>
      <c r="ZG2" s="40" t="s">
        <v>3199</v>
      </c>
      <c r="ZH2" s="40" t="s">
        <v>3200</v>
      </c>
      <c r="ZI2" s="40" t="s">
        <v>3201</v>
      </c>
      <c r="ZJ2" s="40" t="s">
        <v>3202</v>
      </c>
      <c r="ZK2" s="40" t="s">
        <v>3203</v>
      </c>
      <c r="ZL2" s="40" t="s">
        <v>3204</v>
      </c>
      <c r="ZM2" s="40" t="s">
        <v>3205</v>
      </c>
      <c r="ZN2" s="40" t="s">
        <v>3206</v>
      </c>
      <c r="ZO2" s="40" t="s">
        <v>3207</v>
      </c>
      <c r="ZP2" s="40" t="s">
        <v>3208</v>
      </c>
      <c r="ZQ2" s="40" t="s">
        <v>3209</v>
      </c>
      <c r="ZR2" s="40" t="s">
        <v>3210</v>
      </c>
      <c r="ZS2" s="40" t="s">
        <v>3211</v>
      </c>
      <c r="ZT2" s="40" t="s">
        <v>3212</v>
      </c>
      <c r="ZU2" s="40" t="s">
        <v>3213</v>
      </c>
      <c r="ZV2" s="40" t="s">
        <v>3214</v>
      </c>
      <c r="ZW2" s="40" t="s">
        <v>3215</v>
      </c>
      <c r="ZX2" s="40" t="s">
        <v>3216</v>
      </c>
      <c r="ZY2" s="40" t="s">
        <v>3217</v>
      </c>
      <c r="ZZ2" s="40" t="s">
        <v>3218</v>
      </c>
      <c r="AAA2" s="40" t="s">
        <v>3219</v>
      </c>
      <c r="AAB2" s="40" t="s">
        <v>3220</v>
      </c>
      <c r="AAC2" s="40" t="s">
        <v>3221</v>
      </c>
      <c r="AAD2" s="40" t="s">
        <v>3222</v>
      </c>
      <c r="AAE2" s="40" t="s">
        <v>3223</v>
      </c>
      <c r="AAF2" s="40" t="s">
        <v>3224</v>
      </c>
      <c r="AAG2" s="40" t="s">
        <v>3225</v>
      </c>
      <c r="AAH2" s="40" t="s">
        <v>3226</v>
      </c>
      <c r="AAI2" s="40" t="s">
        <v>3227</v>
      </c>
      <c r="AAJ2" s="40" t="s">
        <v>3228</v>
      </c>
      <c r="AAK2" s="40" t="s">
        <v>3229</v>
      </c>
      <c r="AAL2" s="40" t="s">
        <v>3230</v>
      </c>
      <c r="AAM2" s="40" t="s">
        <v>3231</v>
      </c>
      <c r="AAN2" s="40" t="s">
        <v>3232</v>
      </c>
      <c r="AAO2" s="40" t="s">
        <v>3233</v>
      </c>
      <c r="AAP2" s="40" t="s">
        <v>3234</v>
      </c>
      <c r="AAQ2" s="40" t="s">
        <v>3235</v>
      </c>
      <c r="AAR2" s="40" t="s">
        <v>3236</v>
      </c>
      <c r="AAS2" s="40" t="s">
        <v>3237</v>
      </c>
      <c r="AAT2" s="40" t="s">
        <v>3238</v>
      </c>
      <c r="AAU2" s="40" t="s">
        <v>3239</v>
      </c>
      <c r="AAV2" s="40" t="s">
        <v>3240</v>
      </c>
      <c r="AAW2" s="40" t="s">
        <v>3241</v>
      </c>
      <c r="AAX2" s="40" t="s">
        <v>3242</v>
      </c>
      <c r="AAY2" s="40" t="s">
        <v>3243</v>
      </c>
      <c r="AAZ2" s="40" t="s">
        <v>3244</v>
      </c>
      <c r="ABA2" s="40" t="s">
        <v>3245</v>
      </c>
      <c r="ABB2" s="40" t="s">
        <v>3246</v>
      </c>
      <c r="ABC2" s="40" t="s">
        <v>3247</v>
      </c>
      <c r="ABD2" s="40" t="s">
        <v>3248</v>
      </c>
      <c r="ABE2" s="40" t="s">
        <v>3249</v>
      </c>
      <c r="ABF2" s="40" t="s">
        <v>3250</v>
      </c>
      <c r="ABG2" s="40" t="s">
        <v>3251</v>
      </c>
      <c r="ABH2" s="40" t="s">
        <v>3252</v>
      </c>
      <c r="ABI2" s="40" t="s">
        <v>3253</v>
      </c>
      <c r="ABJ2" s="40" t="s">
        <v>3254</v>
      </c>
      <c r="ABK2" s="40" t="s">
        <v>3255</v>
      </c>
      <c r="ABL2" s="40" t="s">
        <v>3256</v>
      </c>
      <c r="ABM2" s="40" t="s">
        <v>3257</v>
      </c>
      <c r="ABN2" s="40" t="s">
        <v>3258</v>
      </c>
      <c r="ABO2" s="40" t="s">
        <v>3259</v>
      </c>
      <c r="ABP2" s="40" t="s">
        <v>3260</v>
      </c>
      <c r="ABQ2" s="40" t="s">
        <v>3261</v>
      </c>
      <c r="ABR2" s="40" t="s">
        <v>3262</v>
      </c>
      <c r="ABS2" s="40" t="s">
        <v>3263</v>
      </c>
      <c r="ABT2" s="40" t="s">
        <v>3264</v>
      </c>
      <c r="ABU2" s="40" t="s">
        <v>3265</v>
      </c>
      <c r="ABV2" s="40" t="s">
        <v>3266</v>
      </c>
      <c r="ABW2" s="40" t="s">
        <v>3267</v>
      </c>
      <c r="ABX2" s="40" t="s">
        <v>3268</v>
      </c>
      <c r="ABY2" s="40" t="s">
        <v>3269</v>
      </c>
      <c r="ABZ2" s="40" t="s">
        <v>3270</v>
      </c>
      <c r="ACA2" s="40" t="s">
        <v>3271</v>
      </c>
      <c r="ACB2" s="40" t="s">
        <v>3272</v>
      </c>
      <c r="ACC2" s="40" t="s">
        <v>3273</v>
      </c>
      <c r="ACD2" s="40" t="s">
        <v>3274</v>
      </c>
      <c r="ACE2" s="40" t="s">
        <v>3275</v>
      </c>
      <c r="ACF2" s="40" t="s">
        <v>3276</v>
      </c>
      <c r="ACG2" s="40" t="s">
        <v>3277</v>
      </c>
      <c r="ACH2" s="40" t="s">
        <v>3278</v>
      </c>
      <c r="ACI2" s="40" t="s">
        <v>3279</v>
      </c>
      <c r="ACJ2" s="40" t="s">
        <v>3280</v>
      </c>
      <c r="ACK2" s="40" t="s">
        <v>3281</v>
      </c>
      <c r="ACL2" s="40" t="s">
        <v>3282</v>
      </c>
      <c r="ACM2" s="40" t="s">
        <v>3283</v>
      </c>
      <c r="ACN2" s="40" t="s">
        <v>3284</v>
      </c>
      <c r="ACO2" s="40" t="s">
        <v>3285</v>
      </c>
      <c r="ACP2" s="40" t="s">
        <v>3286</v>
      </c>
      <c r="ACQ2" s="40" t="s">
        <v>3287</v>
      </c>
      <c r="ACR2" s="40" t="s">
        <v>3288</v>
      </c>
      <c r="ACS2" s="40" t="s">
        <v>3289</v>
      </c>
      <c r="ACT2" s="40" t="s">
        <v>3290</v>
      </c>
      <c r="ACU2" s="40" t="s">
        <v>3291</v>
      </c>
      <c r="ACV2" s="40" t="s">
        <v>3292</v>
      </c>
      <c r="ACW2" s="40" t="s">
        <v>3293</v>
      </c>
      <c r="ACX2" s="40" t="s">
        <v>3294</v>
      </c>
      <c r="ACY2" s="40" t="s">
        <v>3295</v>
      </c>
      <c r="ACZ2" s="40" t="s">
        <v>3296</v>
      </c>
      <c r="ADA2" s="40" t="s">
        <v>3297</v>
      </c>
      <c r="ADB2" s="40" t="s">
        <v>3298</v>
      </c>
      <c r="ADC2" s="40" t="s">
        <v>3299</v>
      </c>
      <c r="ADD2" s="40" t="s">
        <v>3300</v>
      </c>
      <c r="ADE2" s="40" t="s">
        <v>3301</v>
      </c>
      <c r="ADF2" s="40" t="s">
        <v>3302</v>
      </c>
      <c r="ADG2" s="40" t="s">
        <v>3303</v>
      </c>
      <c r="ADH2" s="40" t="s">
        <v>3304</v>
      </c>
      <c r="ADI2" s="40" t="s">
        <v>3305</v>
      </c>
      <c r="ADJ2" s="40" t="s">
        <v>3306</v>
      </c>
      <c r="ADK2" s="40" t="s">
        <v>3307</v>
      </c>
      <c r="ADL2" s="40" t="s">
        <v>3308</v>
      </c>
      <c r="ADM2" s="40" t="s">
        <v>3309</v>
      </c>
      <c r="ADN2" s="40" t="s">
        <v>3310</v>
      </c>
      <c r="ADO2" s="40" t="s">
        <v>3311</v>
      </c>
      <c r="ADP2" s="40" t="s">
        <v>3312</v>
      </c>
      <c r="ADQ2" s="40" t="s">
        <v>3313</v>
      </c>
      <c r="ADR2" s="40" t="s">
        <v>3314</v>
      </c>
      <c r="ADS2" s="40" t="s">
        <v>3315</v>
      </c>
      <c r="ADT2" s="40" t="s">
        <v>3316</v>
      </c>
      <c r="ADU2" s="40" t="s">
        <v>3317</v>
      </c>
      <c r="ADV2" s="40" t="s">
        <v>3318</v>
      </c>
      <c r="ADW2" s="40" t="s">
        <v>3319</v>
      </c>
      <c r="ADX2" s="40" t="s">
        <v>3320</v>
      </c>
      <c r="ADY2" s="40" t="s">
        <v>3321</v>
      </c>
      <c r="ADZ2" s="40" t="s">
        <v>3322</v>
      </c>
      <c r="AEA2" s="40" t="s">
        <v>3323</v>
      </c>
      <c r="AEB2" s="40" t="s">
        <v>3324</v>
      </c>
      <c r="AEC2" s="40" t="s">
        <v>3325</v>
      </c>
      <c r="AED2" s="40" t="s">
        <v>3326</v>
      </c>
      <c r="AEE2" s="40" t="s">
        <v>3327</v>
      </c>
      <c r="AEF2" s="40" t="s">
        <v>3328</v>
      </c>
      <c r="AEG2" s="40" t="s">
        <v>3329</v>
      </c>
      <c r="AEH2" s="40" t="s">
        <v>3330</v>
      </c>
      <c r="AEI2" s="40" t="s">
        <v>3331</v>
      </c>
      <c r="AEJ2" s="40" t="s">
        <v>3332</v>
      </c>
      <c r="AEK2" s="40" t="s">
        <v>3333</v>
      </c>
      <c r="AEL2" s="40" t="s">
        <v>3334</v>
      </c>
      <c r="AEM2" s="40" t="s">
        <v>3335</v>
      </c>
      <c r="AEN2" s="40" t="s">
        <v>3336</v>
      </c>
      <c r="AEO2" s="47" t="s">
        <v>3337</v>
      </c>
      <c r="AEP2" s="47" t="s">
        <v>3338</v>
      </c>
      <c r="AEQ2" s="40" t="s">
        <v>3339</v>
      </c>
      <c r="AER2" s="40" t="s">
        <v>3340</v>
      </c>
      <c r="AES2" s="40" t="s">
        <v>3341</v>
      </c>
      <c r="AET2" s="40" t="s">
        <v>3342</v>
      </c>
      <c r="AEU2" s="40" t="s">
        <v>3343</v>
      </c>
      <c r="AEV2" s="40" t="s">
        <v>3344</v>
      </c>
      <c r="AEW2" s="40" t="s">
        <v>3345</v>
      </c>
      <c r="AEX2" s="40" t="s">
        <v>3346</v>
      </c>
      <c r="AEY2" s="40" t="s">
        <v>3347</v>
      </c>
      <c r="AEZ2" s="40" t="s">
        <v>3348</v>
      </c>
      <c r="AFA2" s="40" t="s">
        <v>3349</v>
      </c>
      <c r="AFB2" s="40" t="s">
        <v>3350</v>
      </c>
      <c r="AFC2" s="40" t="s">
        <v>3351</v>
      </c>
      <c r="AFD2" s="40" t="s">
        <v>3352</v>
      </c>
      <c r="AFE2" s="40" t="s">
        <v>3353</v>
      </c>
      <c r="AFF2" s="40" t="s">
        <v>3354</v>
      </c>
      <c r="AFG2" s="40" t="s">
        <v>3355</v>
      </c>
      <c r="AFH2" s="40" t="s">
        <v>3356</v>
      </c>
      <c r="AFI2" s="40" t="s">
        <v>3357</v>
      </c>
      <c r="AFJ2" s="40" t="s">
        <v>3358</v>
      </c>
      <c r="AFK2" s="40" t="s">
        <v>3359</v>
      </c>
      <c r="AFL2" s="40" t="s">
        <v>3360</v>
      </c>
      <c r="AFM2" s="40" t="s">
        <v>3361</v>
      </c>
      <c r="AFN2" s="40" t="s">
        <v>3362</v>
      </c>
      <c r="AFO2" s="40" t="s">
        <v>3363</v>
      </c>
      <c r="AFP2" s="40" t="s">
        <v>3364</v>
      </c>
      <c r="AFQ2" s="40" t="s">
        <v>3365</v>
      </c>
      <c r="AFR2" s="40" t="s">
        <v>3366</v>
      </c>
      <c r="AFS2" s="40" t="s">
        <v>3367</v>
      </c>
      <c r="AFT2" s="40" t="s">
        <v>3368</v>
      </c>
      <c r="AFU2" s="40" t="s">
        <v>3369</v>
      </c>
      <c r="AFV2" s="40" t="s">
        <v>3370</v>
      </c>
      <c r="AFW2" s="40" t="s">
        <v>3366</v>
      </c>
      <c r="AFX2" s="40" t="s">
        <v>3371</v>
      </c>
      <c r="AFY2" s="40" t="s">
        <v>3372</v>
      </c>
      <c r="AFZ2" s="40" t="s">
        <v>3373</v>
      </c>
      <c r="AGA2" s="40" t="s">
        <v>3374</v>
      </c>
      <c r="AGB2" s="40" t="s">
        <v>3375</v>
      </c>
      <c r="AGC2" s="40" t="s">
        <v>3376</v>
      </c>
      <c r="AGD2" s="40" t="s">
        <v>3377</v>
      </c>
      <c r="AGE2" s="40" t="s">
        <v>3378</v>
      </c>
      <c r="AGF2" s="40" t="s">
        <v>3379</v>
      </c>
      <c r="AGG2" s="40" t="s">
        <v>3380</v>
      </c>
      <c r="AGH2" s="40" t="s">
        <v>3381</v>
      </c>
      <c r="AGI2" s="40" t="s">
        <v>3382</v>
      </c>
      <c r="AGJ2" s="40" t="s">
        <v>3383</v>
      </c>
      <c r="AGK2" s="40" t="s">
        <v>3384</v>
      </c>
      <c r="AGL2" s="40" t="s">
        <v>3385</v>
      </c>
      <c r="AGM2" s="40" t="s">
        <v>3386</v>
      </c>
      <c r="AGN2" s="40" t="s">
        <v>3387</v>
      </c>
      <c r="AGO2" s="40" t="s">
        <v>3388</v>
      </c>
      <c r="AGP2" s="40" t="s">
        <v>3389</v>
      </c>
      <c r="AGQ2" s="40" t="s">
        <v>3390</v>
      </c>
      <c r="AGR2" s="40" t="s">
        <v>3391</v>
      </c>
      <c r="AGS2" s="40" t="s">
        <v>3392</v>
      </c>
      <c r="AGT2" s="40" t="s">
        <v>3393</v>
      </c>
      <c r="AGU2" s="40" t="s">
        <v>3394</v>
      </c>
      <c r="AGV2" s="40" t="s">
        <v>3395</v>
      </c>
      <c r="AGW2" s="40" t="s">
        <v>3396</v>
      </c>
      <c r="AGX2" s="40" t="s">
        <v>3397</v>
      </c>
      <c r="AGY2" s="40" t="s">
        <v>3398</v>
      </c>
      <c r="AGZ2" s="40" t="s">
        <v>3399</v>
      </c>
      <c r="AHA2" s="40" t="s">
        <v>3400</v>
      </c>
      <c r="AHB2" s="40" t="s">
        <v>3401</v>
      </c>
      <c r="AHC2" s="40" t="s">
        <v>3402</v>
      </c>
      <c r="AHD2" s="40" t="s">
        <v>3403</v>
      </c>
      <c r="AHE2" s="40" t="s">
        <v>3404</v>
      </c>
      <c r="AHF2" s="40" t="s">
        <v>3405</v>
      </c>
      <c r="AHG2" s="40" t="s">
        <v>3406</v>
      </c>
      <c r="AHH2" s="40" t="s">
        <v>3407</v>
      </c>
      <c r="AHI2" s="40" t="s">
        <v>3408</v>
      </c>
      <c r="AHJ2" s="40" t="s">
        <v>3409</v>
      </c>
      <c r="AHK2" s="40" t="s">
        <v>3410</v>
      </c>
      <c r="AHL2" s="40" t="s">
        <v>3411</v>
      </c>
      <c r="AHM2" s="40" t="s">
        <v>3412</v>
      </c>
      <c r="AHN2" s="40" t="s">
        <v>3413</v>
      </c>
      <c r="AHO2" s="40" t="s">
        <v>3414</v>
      </c>
      <c r="AHP2" s="40" t="s">
        <v>3415</v>
      </c>
      <c r="AHQ2" s="40" t="s">
        <v>3416</v>
      </c>
      <c r="AHR2" s="40" t="s">
        <v>3417</v>
      </c>
      <c r="AHS2" s="40" t="s">
        <v>3418</v>
      </c>
      <c r="AHT2" s="40" t="s">
        <v>3419</v>
      </c>
      <c r="AHU2" s="40" t="s">
        <v>3420</v>
      </c>
      <c r="AHV2" s="40" t="s">
        <v>3421</v>
      </c>
      <c r="AHW2" s="40" t="s">
        <v>3422</v>
      </c>
      <c r="AHX2" s="40" t="s">
        <v>3423</v>
      </c>
      <c r="AHY2" s="40" t="s">
        <v>3424</v>
      </c>
      <c r="AHZ2" s="40" t="s">
        <v>3425</v>
      </c>
      <c r="AIA2" s="40" t="s">
        <v>3426</v>
      </c>
      <c r="AIB2" s="40" t="s">
        <v>3427</v>
      </c>
      <c r="AIC2" s="40" t="s">
        <v>3428</v>
      </c>
      <c r="AID2" s="40" t="s">
        <v>3429</v>
      </c>
      <c r="AIE2" s="40" t="s">
        <v>3430</v>
      </c>
      <c r="AIF2" s="40" t="s">
        <v>3431</v>
      </c>
      <c r="AIG2" s="40" t="s">
        <v>3432</v>
      </c>
      <c r="AIH2" s="40" t="s">
        <v>3433</v>
      </c>
      <c r="AII2" s="40" t="s">
        <v>3434</v>
      </c>
      <c r="AIJ2" s="40" t="s">
        <v>3435</v>
      </c>
      <c r="AIK2" s="40" t="s">
        <v>3436</v>
      </c>
      <c r="AIL2" s="40" t="s">
        <v>3437</v>
      </c>
      <c r="AIM2" s="40" t="s">
        <v>3438</v>
      </c>
      <c r="AIN2" s="40" t="s">
        <v>3439</v>
      </c>
      <c r="AIO2" s="40" t="s">
        <v>3440</v>
      </c>
      <c r="AIP2" s="40" t="s">
        <v>3441</v>
      </c>
      <c r="AIQ2" s="40" t="s">
        <v>3442</v>
      </c>
      <c r="AIR2" s="40" t="s">
        <v>3443</v>
      </c>
      <c r="AIS2" s="40" t="s">
        <v>3444</v>
      </c>
      <c r="AIT2" s="40" t="s">
        <v>3445</v>
      </c>
      <c r="AIU2" s="40" t="s">
        <v>3446</v>
      </c>
      <c r="AIV2" s="40" t="s">
        <v>3447</v>
      </c>
      <c r="AIW2" s="40" t="s">
        <v>3448</v>
      </c>
      <c r="AIX2" s="40" t="s">
        <v>3449</v>
      </c>
      <c r="AIY2" s="40" t="s">
        <v>3450</v>
      </c>
      <c r="AIZ2" s="40" t="s">
        <v>3451</v>
      </c>
      <c r="AJA2" s="40" t="s">
        <v>3452</v>
      </c>
      <c r="AJB2" s="40" t="s">
        <v>3453</v>
      </c>
      <c r="AJC2" s="40" t="s">
        <v>3454</v>
      </c>
      <c r="AJD2" s="40" t="s">
        <v>3455</v>
      </c>
      <c r="AJE2" s="40" t="s">
        <v>3456</v>
      </c>
      <c r="AJF2" s="40" t="s">
        <v>3457</v>
      </c>
      <c r="AJG2" s="40" t="s">
        <v>3458</v>
      </c>
      <c r="AJH2" s="40" t="s">
        <v>3459</v>
      </c>
      <c r="AJI2" s="40" t="s">
        <v>3460</v>
      </c>
      <c r="AJJ2" s="40" t="s">
        <v>3461</v>
      </c>
      <c r="AJK2" s="40" t="s">
        <v>3462</v>
      </c>
      <c r="AJL2" s="40" t="s">
        <v>3463</v>
      </c>
      <c r="AJM2" s="40" t="s">
        <v>3464</v>
      </c>
      <c r="AJN2" s="40" t="s">
        <v>3465</v>
      </c>
      <c r="AJO2" s="40" t="s">
        <v>3466</v>
      </c>
      <c r="AJP2" s="40" t="s">
        <v>3467</v>
      </c>
      <c r="AJQ2" s="40" t="s">
        <v>3468</v>
      </c>
      <c r="AJR2" s="40" t="s">
        <v>3469</v>
      </c>
      <c r="AJS2" s="40" t="s">
        <v>3470</v>
      </c>
      <c r="AJT2" s="40" t="s">
        <v>3471</v>
      </c>
      <c r="AJU2" s="40" t="s">
        <v>3472</v>
      </c>
      <c r="AJV2" s="40" t="s">
        <v>3473</v>
      </c>
      <c r="AJW2" s="40" t="s">
        <v>3474</v>
      </c>
      <c r="AJX2" s="40" t="s">
        <v>3475</v>
      </c>
      <c r="AJY2" s="40" t="s">
        <v>3476</v>
      </c>
      <c r="AJZ2" s="40" t="s">
        <v>3477</v>
      </c>
      <c r="AKA2" s="40" t="s">
        <v>3478</v>
      </c>
      <c r="AKB2" s="40" t="s">
        <v>3479</v>
      </c>
      <c r="AKC2" s="40" t="s">
        <v>3480</v>
      </c>
      <c r="AKD2" s="40" t="s">
        <v>3481</v>
      </c>
      <c r="AKE2" s="40" t="s">
        <v>3482</v>
      </c>
      <c r="AKF2" s="40" t="s">
        <v>3483</v>
      </c>
      <c r="AKG2" s="40" t="s">
        <v>3484</v>
      </c>
      <c r="AKH2" s="40" t="s">
        <v>3485</v>
      </c>
      <c r="AKI2" s="40" t="s">
        <v>3486</v>
      </c>
      <c r="AKJ2" s="40" t="s">
        <v>3487</v>
      </c>
      <c r="AKK2" s="40" t="s">
        <v>3488</v>
      </c>
      <c r="AKL2" s="40" t="s">
        <v>3489</v>
      </c>
      <c r="AKM2" s="40" t="s">
        <v>3490</v>
      </c>
      <c r="AKN2" s="40" t="s">
        <v>3491</v>
      </c>
      <c r="AKO2" s="40" t="s">
        <v>3492</v>
      </c>
      <c r="AKP2" s="40" t="s">
        <v>3493</v>
      </c>
      <c r="AKQ2" s="40" t="s">
        <v>3494</v>
      </c>
      <c r="AKR2" s="40" t="s">
        <v>3495</v>
      </c>
      <c r="AKS2" s="40" t="s">
        <v>3496</v>
      </c>
      <c r="AKT2" s="40" t="s">
        <v>3497</v>
      </c>
      <c r="AKU2" s="40" t="s">
        <v>3498</v>
      </c>
      <c r="AKV2" s="40" t="s">
        <v>3499</v>
      </c>
      <c r="AKW2" s="40" t="s">
        <v>3500</v>
      </c>
      <c r="AKX2" s="40" t="s">
        <v>3501</v>
      </c>
      <c r="AKY2" s="40" t="s">
        <v>3502</v>
      </c>
      <c r="AKZ2" s="40" t="s">
        <v>3503</v>
      </c>
      <c r="ALA2" s="40" t="s">
        <v>3504</v>
      </c>
      <c r="ALB2" s="40" t="s">
        <v>3505</v>
      </c>
      <c r="ALC2" s="40" t="s">
        <v>3506</v>
      </c>
      <c r="ALD2" s="40" t="s">
        <v>3507</v>
      </c>
      <c r="ALE2" s="40" t="s">
        <v>3508</v>
      </c>
      <c r="ALF2" s="40" t="s">
        <v>3509</v>
      </c>
      <c r="ALG2" s="40" t="s">
        <v>3510</v>
      </c>
      <c r="ALH2" s="40" t="s">
        <v>3511</v>
      </c>
      <c r="ALI2" s="40" t="s">
        <v>3512</v>
      </c>
      <c r="ALJ2" s="40" t="s">
        <v>3513</v>
      </c>
      <c r="ALK2" s="40" t="s">
        <v>3514</v>
      </c>
      <c r="ALL2" s="40" t="s">
        <v>3515</v>
      </c>
      <c r="ALM2" s="40" t="s">
        <v>3516</v>
      </c>
      <c r="ALN2" s="40" t="s">
        <v>3517</v>
      </c>
      <c r="ALO2" s="40" t="s">
        <v>3518</v>
      </c>
      <c r="ALP2" s="40" t="s">
        <v>3519</v>
      </c>
      <c r="ALQ2" s="40" t="s">
        <v>3520</v>
      </c>
      <c r="ALR2" s="40" t="s">
        <v>3521</v>
      </c>
      <c r="ALS2" s="40" t="s">
        <v>3522</v>
      </c>
      <c r="ALT2" s="40" t="s">
        <v>3523</v>
      </c>
      <c r="ALU2" s="40" t="s">
        <v>3524</v>
      </c>
      <c r="ALV2" s="40" t="s">
        <v>3525</v>
      </c>
      <c r="ALW2" s="40" t="s">
        <v>3526</v>
      </c>
      <c r="ALX2" s="40" t="s">
        <v>3527</v>
      </c>
      <c r="ALY2" s="40" t="s">
        <v>3528</v>
      </c>
      <c r="ALZ2" s="40" t="s">
        <v>3529</v>
      </c>
      <c r="AMA2" s="40" t="s">
        <v>3530</v>
      </c>
      <c r="AMB2" s="40" t="s">
        <v>3531</v>
      </c>
      <c r="AMC2" s="40" t="s">
        <v>3532</v>
      </c>
      <c r="AMD2" s="40" t="s">
        <v>3533</v>
      </c>
      <c r="AME2" s="40" t="s">
        <v>3534</v>
      </c>
      <c r="AMF2" s="40" t="s">
        <v>3535</v>
      </c>
      <c r="AMG2" s="40" t="s">
        <v>3536</v>
      </c>
      <c r="AMH2" s="40" t="s">
        <v>3537</v>
      </c>
      <c r="AMI2" s="40" t="s">
        <v>3538</v>
      </c>
      <c r="AMJ2" s="40" t="s">
        <v>3539</v>
      </c>
      <c r="AMK2" s="40" t="s">
        <v>3540</v>
      </c>
      <c r="AML2" s="40" t="s">
        <v>3541</v>
      </c>
      <c r="AMM2" s="40" t="s">
        <v>3542</v>
      </c>
      <c r="AMN2" s="40" t="s">
        <v>3543</v>
      </c>
      <c r="AMO2" s="40" t="s">
        <v>3544</v>
      </c>
      <c r="AMP2" s="40" t="s">
        <v>3545</v>
      </c>
      <c r="AMQ2" s="40" t="s">
        <v>3546</v>
      </c>
      <c r="AMR2" s="40" t="s">
        <v>3547</v>
      </c>
      <c r="AMS2" s="40" t="s">
        <v>3548</v>
      </c>
      <c r="AMT2" s="40" t="s">
        <v>3549</v>
      </c>
      <c r="AMU2" s="40" t="s">
        <v>3550</v>
      </c>
      <c r="AMV2" s="40" t="s">
        <v>3551</v>
      </c>
      <c r="AMW2" s="40" t="s">
        <v>3552</v>
      </c>
      <c r="AMX2" s="40" t="s">
        <v>3553</v>
      </c>
      <c r="AMY2" s="40" t="s">
        <v>3554</v>
      </c>
      <c r="AMZ2" s="40" t="s">
        <v>3555</v>
      </c>
      <c r="ANA2" s="40" t="s">
        <v>3556</v>
      </c>
      <c r="ANB2" s="40" t="s">
        <v>3557</v>
      </c>
      <c r="ANC2" s="40" t="s">
        <v>3558</v>
      </c>
      <c r="AND2" s="40" t="s">
        <v>3559</v>
      </c>
      <c r="ANE2" s="40" t="s">
        <v>3560</v>
      </c>
      <c r="ANF2" s="40" t="s">
        <v>3561</v>
      </c>
      <c r="ANG2" s="40" t="s">
        <v>3562</v>
      </c>
      <c r="ANH2" s="40" t="s">
        <v>3563</v>
      </c>
      <c r="ANI2" s="40" t="s">
        <v>3564</v>
      </c>
      <c r="ANJ2" s="40" t="s">
        <v>3565</v>
      </c>
      <c r="ANK2" s="40" t="s">
        <v>3566</v>
      </c>
      <c r="ANL2" s="40" t="s">
        <v>3567</v>
      </c>
      <c r="ANM2" s="40" t="s">
        <v>3568</v>
      </c>
      <c r="ANN2" s="40" t="s">
        <v>3569</v>
      </c>
      <c r="ANO2" s="40" t="s">
        <v>3570</v>
      </c>
      <c r="ANP2" s="40" t="s">
        <v>3571</v>
      </c>
      <c r="ANQ2" s="40" t="s">
        <v>3572</v>
      </c>
      <c r="ANR2" s="40" t="s">
        <v>3573</v>
      </c>
      <c r="ANS2" s="40" t="s">
        <v>3574</v>
      </c>
      <c r="ANT2" s="40" t="s">
        <v>3575</v>
      </c>
      <c r="ANU2" s="40" t="s">
        <v>3576</v>
      </c>
      <c r="ANV2" s="40" t="s">
        <v>3577</v>
      </c>
      <c r="ANW2" s="40" t="s">
        <v>3578</v>
      </c>
      <c r="ANX2" s="40" t="s">
        <v>3579</v>
      </c>
      <c r="ANY2" s="40" t="s">
        <v>3580</v>
      </c>
      <c r="ANZ2" s="40" t="s">
        <v>3581</v>
      </c>
      <c r="AOA2" s="40" t="s">
        <v>3582</v>
      </c>
      <c r="AOB2" s="40" t="s">
        <v>3583</v>
      </c>
      <c r="AOC2" s="40" t="s">
        <v>3584</v>
      </c>
      <c r="AOD2" s="40" t="s">
        <v>3585</v>
      </c>
      <c r="AOE2" s="40" t="s">
        <v>3586</v>
      </c>
      <c r="AOF2" s="40" t="s">
        <v>3587</v>
      </c>
      <c r="AOG2" s="40" t="s">
        <v>3588</v>
      </c>
      <c r="AOH2" s="40" t="s">
        <v>3589</v>
      </c>
      <c r="AOI2" s="40" t="s">
        <v>3590</v>
      </c>
      <c r="AOJ2" s="40" t="s">
        <v>3591</v>
      </c>
      <c r="AOK2" s="40" t="s">
        <v>3592</v>
      </c>
      <c r="AOL2" s="40" t="s">
        <v>3593</v>
      </c>
      <c r="AOM2" s="40" t="s">
        <v>3594</v>
      </c>
      <c r="AON2" s="40" t="s">
        <v>3595</v>
      </c>
      <c r="AOO2" s="40" t="s">
        <v>3596</v>
      </c>
      <c r="AOP2" s="40" t="s">
        <v>3597</v>
      </c>
      <c r="AOQ2" s="40" t="s">
        <v>3598</v>
      </c>
      <c r="AOR2" s="40" t="s">
        <v>3599</v>
      </c>
      <c r="AOS2" s="40" t="s">
        <v>3600</v>
      </c>
      <c r="AOT2" s="40" t="s">
        <v>3601</v>
      </c>
      <c r="AOU2" s="40" t="s">
        <v>3602</v>
      </c>
      <c r="AOV2" s="40" t="s">
        <v>3603</v>
      </c>
      <c r="AOW2" s="40" t="s">
        <v>3604</v>
      </c>
      <c r="AOX2" s="40" t="s">
        <v>3605</v>
      </c>
      <c r="AOY2" s="40" t="s">
        <v>3606</v>
      </c>
      <c r="AOZ2" s="40" t="s">
        <v>3607</v>
      </c>
      <c r="APA2" s="40" t="s">
        <v>3608</v>
      </c>
      <c r="APB2" s="40" t="s">
        <v>3609</v>
      </c>
      <c r="APC2" s="40" t="s">
        <v>3610</v>
      </c>
      <c r="APD2" s="40" t="s">
        <v>3611</v>
      </c>
      <c r="APE2" s="40" t="s">
        <v>3612</v>
      </c>
      <c r="APF2" s="40" t="s">
        <v>3613</v>
      </c>
      <c r="APG2" s="40" t="s">
        <v>3614</v>
      </c>
      <c r="APH2" s="40" t="s">
        <v>3615</v>
      </c>
      <c r="API2" s="40" t="s">
        <v>3616</v>
      </c>
      <c r="APJ2" s="40" t="s">
        <v>3617</v>
      </c>
      <c r="APK2" s="40" t="s">
        <v>3618</v>
      </c>
      <c r="APL2" s="40" t="s">
        <v>3619</v>
      </c>
      <c r="APM2" s="40" t="s">
        <v>3620</v>
      </c>
      <c r="APN2" s="40" t="s">
        <v>3621</v>
      </c>
      <c r="APO2" s="40" t="s">
        <v>3622</v>
      </c>
      <c r="APP2" s="40" t="s">
        <v>3622</v>
      </c>
      <c r="APQ2" s="40" t="s">
        <v>3622</v>
      </c>
      <c r="APR2" s="40" t="s">
        <v>3622</v>
      </c>
      <c r="APS2" s="40" t="s">
        <v>3622</v>
      </c>
      <c r="APT2" s="40" t="s">
        <v>3623</v>
      </c>
      <c r="APU2" s="40" t="s">
        <v>3624</v>
      </c>
      <c r="APV2" s="40" t="s">
        <v>3625</v>
      </c>
      <c r="APW2" s="40" t="s">
        <v>3626</v>
      </c>
      <c r="APX2" s="40" t="s">
        <v>3627</v>
      </c>
      <c r="APY2" s="40" t="s">
        <v>3628</v>
      </c>
      <c r="APZ2" s="40" t="s">
        <v>3629</v>
      </c>
      <c r="AQA2" s="40" t="s">
        <v>3630</v>
      </c>
      <c r="AQB2" s="40" t="s">
        <v>3631</v>
      </c>
      <c r="AQC2" s="40" t="s">
        <v>3632</v>
      </c>
      <c r="AQD2" s="40" t="s">
        <v>3633</v>
      </c>
      <c r="AQE2" s="40" t="s">
        <v>3634</v>
      </c>
      <c r="AQF2" s="40" t="s">
        <v>3635</v>
      </c>
      <c r="AQG2" s="40" t="s">
        <v>3636</v>
      </c>
      <c r="AQH2" s="40" t="s">
        <v>3637</v>
      </c>
      <c r="AQI2" s="40" t="s">
        <v>3638</v>
      </c>
      <c r="AQJ2" s="40" t="s">
        <v>3639</v>
      </c>
      <c r="AQK2" s="40" t="s">
        <v>3640</v>
      </c>
      <c r="AQL2" s="40" t="s">
        <v>3641</v>
      </c>
      <c r="AQM2" s="40" t="s">
        <v>3642</v>
      </c>
      <c r="AQN2" s="40" t="s">
        <v>3643</v>
      </c>
      <c r="AQO2" s="40" t="s">
        <v>3644</v>
      </c>
      <c r="AQP2" s="40" t="s">
        <v>3645</v>
      </c>
      <c r="AQQ2" s="40" t="s">
        <v>3646</v>
      </c>
      <c r="AQR2" s="40" t="s">
        <v>3647</v>
      </c>
      <c r="AQS2" s="40" t="s">
        <v>3648</v>
      </c>
      <c r="AQT2" s="40" t="s">
        <v>3649</v>
      </c>
      <c r="AQU2" s="40" t="s">
        <v>3650</v>
      </c>
      <c r="AQV2" s="40" t="s">
        <v>3651</v>
      </c>
      <c r="AQW2" s="40" t="s">
        <v>3652</v>
      </c>
      <c r="AQX2" s="40" t="s">
        <v>3653</v>
      </c>
      <c r="AQY2" s="40" t="s">
        <v>3654</v>
      </c>
      <c r="AQZ2" s="40" t="s">
        <v>3655</v>
      </c>
      <c r="ARA2" s="40" t="s">
        <v>3656</v>
      </c>
      <c r="ARB2" s="40" t="s">
        <v>3657</v>
      </c>
      <c r="ARC2" s="40" t="s">
        <v>3658</v>
      </c>
      <c r="ARD2" s="40" t="s">
        <v>3659</v>
      </c>
      <c r="ARE2" s="40" t="s">
        <v>3660</v>
      </c>
      <c r="ARF2" s="40" t="s">
        <v>3661</v>
      </c>
      <c r="ARG2" s="40" t="s">
        <v>3662</v>
      </c>
      <c r="ARH2" s="40" t="s">
        <v>3663</v>
      </c>
      <c r="ARI2" s="40" t="s">
        <v>3664</v>
      </c>
      <c r="ARJ2" s="40" t="s">
        <v>3665</v>
      </c>
      <c r="ARK2" s="40" t="s">
        <v>3666</v>
      </c>
      <c r="ARL2" s="40" t="s">
        <v>3667</v>
      </c>
      <c r="ARM2" s="40" t="s">
        <v>3668</v>
      </c>
      <c r="ARN2" s="40" t="s">
        <v>3669</v>
      </c>
      <c r="ARO2" s="40" t="s">
        <v>3670</v>
      </c>
      <c r="ARP2" s="40" t="s">
        <v>3671</v>
      </c>
      <c r="ARQ2" s="40" t="s">
        <v>3672</v>
      </c>
      <c r="ARR2" s="40" t="s">
        <v>3673</v>
      </c>
      <c r="ARS2" s="40" t="s">
        <v>3674</v>
      </c>
      <c r="ART2" s="40" t="s">
        <v>3675</v>
      </c>
      <c r="ARU2" s="40" t="s">
        <v>3676</v>
      </c>
      <c r="ARV2" s="40" t="s">
        <v>3677</v>
      </c>
      <c r="ARW2" s="40" t="s">
        <v>3678</v>
      </c>
      <c r="ARX2" s="40" t="s">
        <v>3679</v>
      </c>
      <c r="ARY2" s="40" t="s">
        <v>3680</v>
      </c>
      <c r="ARZ2" s="40" t="s">
        <v>3681</v>
      </c>
      <c r="ASA2" s="40" t="s">
        <v>3682</v>
      </c>
      <c r="ASB2" s="40" t="s">
        <v>3683</v>
      </c>
      <c r="ASC2" s="40" t="s">
        <v>3684</v>
      </c>
      <c r="ASD2" s="40" t="s">
        <v>3685</v>
      </c>
      <c r="ASE2" s="40" t="s">
        <v>3686</v>
      </c>
      <c r="ASF2" s="40" t="s">
        <v>3687</v>
      </c>
      <c r="ASG2" s="40" t="s">
        <v>3688</v>
      </c>
      <c r="ASH2" s="40" t="s">
        <v>3689</v>
      </c>
      <c r="ASI2" s="40" t="s">
        <v>3690</v>
      </c>
      <c r="ASJ2" s="40" t="s">
        <v>3691</v>
      </c>
      <c r="ASK2" s="40" t="s">
        <v>3692</v>
      </c>
      <c r="ASL2" s="40" t="s">
        <v>3693</v>
      </c>
      <c r="ASM2" s="40" t="s">
        <v>3694</v>
      </c>
      <c r="ASN2" s="40" t="s">
        <v>3695</v>
      </c>
      <c r="ASO2" s="40" t="s">
        <v>3696</v>
      </c>
      <c r="ASP2" s="40" t="s">
        <v>3697</v>
      </c>
      <c r="ASQ2" s="40" t="s">
        <v>3698</v>
      </c>
      <c r="ASR2" s="40" t="s">
        <v>3699</v>
      </c>
      <c r="ASS2" s="40" t="s">
        <v>3700</v>
      </c>
      <c r="AST2" s="40" t="s">
        <v>3701</v>
      </c>
      <c r="ASU2" s="40" t="s">
        <v>3702</v>
      </c>
      <c r="ASV2" s="40" t="s">
        <v>3703</v>
      </c>
      <c r="ASW2" s="40" t="s">
        <v>3704</v>
      </c>
      <c r="ASX2" s="40" t="s">
        <v>3705</v>
      </c>
      <c r="ASY2" s="40" t="s">
        <v>3706</v>
      </c>
      <c r="ASZ2" s="40" t="s">
        <v>3707</v>
      </c>
      <c r="ATA2" s="40" t="s">
        <v>3708</v>
      </c>
      <c r="ATB2" s="40" t="s">
        <v>3709</v>
      </c>
      <c r="ATC2" s="40" t="s">
        <v>3710</v>
      </c>
      <c r="ATD2" s="40" t="s">
        <v>3711</v>
      </c>
      <c r="ATE2" s="40" t="s">
        <v>3712</v>
      </c>
      <c r="ATF2" s="40" t="s">
        <v>3713</v>
      </c>
      <c r="ATG2" s="40" t="s">
        <v>3714</v>
      </c>
      <c r="ATH2" s="40" t="s">
        <v>3715</v>
      </c>
      <c r="ATI2" s="40" t="s">
        <v>3716</v>
      </c>
      <c r="ATJ2" s="40" t="s">
        <v>3717</v>
      </c>
      <c r="ATK2" s="40" t="s">
        <v>3718</v>
      </c>
      <c r="ATL2" s="40" t="s">
        <v>3719</v>
      </c>
      <c r="ATM2" s="40" t="s">
        <v>3720</v>
      </c>
      <c r="ATN2" s="40" t="s">
        <v>3721</v>
      </c>
      <c r="ATO2" s="40" t="s">
        <v>3722</v>
      </c>
      <c r="ATP2" s="40" t="s">
        <v>3723</v>
      </c>
      <c r="ATQ2" s="40" t="s">
        <v>3724</v>
      </c>
      <c r="ATR2" s="40" t="s">
        <v>3725</v>
      </c>
      <c r="ATS2" s="40" t="s">
        <v>3726</v>
      </c>
      <c r="ATT2" s="40" t="s">
        <v>3727</v>
      </c>
      <c r="ATU2" s="40" t="s">
        <v>3728</v>
      </c>
      <c r="ATV2" s="40" t="s">
        <v>3729</v>
      </c>
      <c r="ATW2" s="40" t="s">
        <v>3730</v>
      </c>
      <c r="ATX2" s="40" t="s">
        <v>3731</v>
      </c>
      <c r="ATY2" s="40" t="s">
        <v>3732</v>
      </c>
      <c r="ATZ2" s="40" t="s">
        <v>3733</v>
      </c>
      <c r="AUA2" s="40" t="s">
        <v>3734</v>
      </c>
      <c r="AUB2" s="40" t="s">
        <v>3735</v>
      </c>
      <c r="AUC2" s="40" t="s">
        <v>3736</v>
      </c>
      <c r="AUD2" s="40" t="s">
        <v>3737</v>
      </c>
      <c r="AUE2" s="40" t="s">
        <v>3738</v>
      </c>
      <c r="AUF2" s="40" t="s">
        <v>3739</v>
      </c>
      <c r="AUG2" s="40" t="s">
        <v>3740</v>
      </c>
      <c r="AUH2" s="40" t="s">
        <v>3741</v>
      </c>
      <c r="AUI2" s="40" t="s">
        <v>3742</v>
      </c>
      <c r="AUJ2" s="40" t="s">
        <v>3743</v>
      </c>
      <c r="AUK2" s="40" t="s">
        <v>3744</v>
      </c>
      <c r="AUL2" s="40" t="s">
        <v>3745</v>
      </c>
      <c r="AUM2" s="40" t="s">
        <v>3746</v>
      </c>
      <c r="AUN2" s="40" t="s">
        <v>3747</v>
      </c>
      <c r="AUO2" s="40" t="s">
        <v>3748</v>
      </c>
      <c r="AUP2" s="40" t="s">
        <v>3749</v>
      </c>
      <c r="AUQ2" s="40" t="s">
        <v>3750</v>
      </c>
      <c r="AUR2" s="40" t="s">
        <v>3751</v>
      </c>
      <c r="AUS2" s="40" t="s">
        <v>3752</v>
      </c>
      <c r="AUT2" s="40" t="s">
        <v>3753</v>
      </c>
      <c r="AUU2" s="40" t="s">
        <v>3754</v>
      </c>
      <c r="AUV2" s="40" t="s">
        <v>3755</v>
      </c>
      <c r="AUW2" s="40" t="s">
        <v>3756</v>
      </c>
      <c r="AUX2" s="40" t="s">
        <v>3757</v>
      </c>
      <c r="AUY2" s="40" t="s">
        <v>3758</v>
      </c>
      <c r="AUZ2" s="40" t="s">
        <v>3759</v>
      </c>
      <c r="AVA2" s="40" t="s">
        <v>3760</v>
      </c>
      <c r="AVB2" s="40" t="s">
        <v>3761</v>
      </c>
      <c r="AVC2" s="40" t="s">
        <v>3762</v>
      </c>
      <c r="AVD2" s="40" t="s">
        <v>3763</v>
      </c>
      <c r="AVE2" s="40" t="s">
        <v>3764</v>
      </c>
      <c r="AVF2" s="40" t="s">
        <v>3765</v>
      </c>
      <c r="AVG2" s="40" t="s">
        <v>3766</v>
      </c>
      <c r="AVH2" s="40" t="s">
        <v>3767</v>
      </c>
      <c r="AVI2" s="40" t="s">
        <v>3768</v>
      </c>
      <c r="AVJ2" s="40" t="s">
        <v>3769</v>
      </c>
      <c r="AVK2" s="40" t="s">
        <v>3770</v>
      </c>
      <c r="AVL2" s="40" t="s">
        <v>3771</v>
      </c>
      <c r="AVM2" s="40" t="s">
        <v>3772</v>
      </c>
      <c r="AVN2" s="40" t="s">
        <v>3773</v>
      </c>
      <c r="AVO2" s="40" t="s">
        <v>3774</v>
      </c>
      <c r="AVP2" s="40" t="s">
        <v>3775</v>
      </c>
      <c r="AVQ2" s="40" t="s">
        <v>3776</v>
      </c>
      <c r="AVR2" s="40" t="s">
        <v>3777</v>
      </c>
      <c r="AVS2" s="40" t="s">
        <v>3778</v>
      </c>
      <c r="AVT2" s="40" t="s">
        <v>3779</v>
      </c>
      <c r="AVU2" s="40" t="s">
        <v>3780</v>
      </c>
      <c r="AVV2" s="40" t="s">
        <v>3781</v>
      </c>
      <c r="AVW2" s="40" t="s">
        <v>3782</v>
      </c>
      <c r="AVX2" s="40" t="s">
        <v>3783</v>
      </c>
      <c r="AVY2" s="40" t="s">
        <v>3784</v>
      </c>
      <c r="AVZ2" s="40" t="s">
        <v>3785</v>
      </c>
      <c r="AWA2" s="40" t="s">
        <v>3786</v>
      </c>
      <c r="AWB2" s="40" t="s">
        <v>3787</v>
      </c>
      <c r="AWC2" s="40" t="s">
        <v>3788</v>
      </c>
      <c r="AWD2" s="40" t="s">
        <v>3789</v>
      </c>
      <c r="AWE2" s="40" t="s">
        <v>3790</v>
      </c>
      <c r="AWF2" s="40" t="s">
        <v>3791</v>
      </c>
      <c r="AWG2" s="40" t="s">
        <v>3792</v>
      </c>
      <c r="AWH2" s="40" t="s">
        <v>3793</v>
      </c>
      <c r="AWI2" s="40" t="s">
        <v>3794</v>
      </c>
      <c r="AWJ2" s="40" t="s">
        <v>3795</v>
      </c>
      <c r="AWK2" s="40" t="s">
        <v>3796</v>
      </c>
      <c r="AWL2" s="40" t="s">
        <v>3797</v>
      </c>
      <c r="AWM2" s="40" t="s">
        <v>3798</v>
      </c>
      <c r="AWN2" s="40" t="s">
        <v>3799</v>
      </c>
      <c r="AWO2" s="40" t="s">
        <v>3800</v>
      </c>
      <c r="AWP2" s="40" t="s">
        <v>3801</v>
      </c>
      <c r="AWQ2" s="40" t="s">
        <v>3802</v>
      </c>
      <c r="AWR2" s="40" t="s">
        <v>3803</v>
      </c>
      <c r="AWS2" s="40" t="s">
        <v>3804</v>
      </c>
      <c r="AWT2" s="40" t="s">
        <v>3805</v>
      </c>
      <c r="AWU2" s="40" t="s">
        <v>3806</v>
      </c>
      <c r="AWV2" s="40" t="s">
        <v>3807</v>
      </c>
      <c r="AWW2" s="40" t="s">
        <v>3808</v>
      </c>
      <c r="AWX2" s="40" t="s">
        <v>3809</v>
      </c>
      <c r="AWY2" s="40" t="s">
        <v>3810</v>
      </c>
      <c r="AWZ2" s="40" t="s">
        <v>3811</v>
      </c>
      <c r="AXA2" s="40" t="s">
        <v>3812</v>
      </c>
      <c r="AXB2" s="40" t="s">
        <v>3813</v>
      </c>
      <c r="AXC2" s="40" t="s">
        <v>3814</v>
      </c>
      <c r="AXD2" s="40" t="s">
        <v>3815</v>
      </c>
      <c r="AXE2" s="40" t="s">
        <v>3816</v>
      </c>
      <c r="AXF2" s="40" t="s">
        <v>3817</v>
      </c>
      <c r="AXG2" s="40" t="s">
        <v>3818</v>
      </c>
      <c r="AXH2" s="40" t="s">
        <v>3819</v>
      </c>
      <c r="AXI2" s="40" t="s">
        <v>3820</v>
      </c>
      <c r="AXJ2" s="40" t="s">
        <v>3821</v>
      </c>
      <c r="AXK2" s="40" t="s">
        <v>3822</v>
      </c>
      <c r="AXL2" s="40" t="s">
        <v>3823</v>
      </c>
      <c r="AXM2" s="40" t="s">
        <v>3824</v>
      </c>
      <c r="AXN2" s="40" t="s">
        <v>3825</v>
      </c>
      <c r="AXO2" s="40" t="s">
        <v>3826</v>
      </c>
      <c r="AXP2" s="40" t="s">
        <v>3827</v>
      </c>
      <c r="AXQ2" s="40" t="s">
        <v>3828</v>
      </c>
      <c r="AXR2" s="40" t="s">
        <v>3829</v>
      </c>
      <c r="AXS2" s="40" t="s">
        <v>3830</v>
      </c>
      <c r="AXT2" s="40" t="s">
        <v>3831</v>
      </c>
      <c r="AXU2" s="40" t="s">
        <v>3832</v>
      </c>
      <c r="AXV2" s="40" t="s">
        <v>3833</v>
      </c>
      <c r="AXW2" s="40" t="s">
        <v>3834</v>
      </c>
      <c r="AXX2" s="40" t="s">
        <v>3835</v>
      </c>
      <c r="AXY2" s="40" t="s">
        <v>3836</v>
      </c>
      <c r="AXZ2" s="40" t="s">
        <v>3837</v>
      </c>
      <c r="AYA2" s="40" t="s">
        <v>3838</v>
      </c>
      <c r="AYB2" s="40" t="s">
        <v>3839</v>
      </c>
      <c r="AYC2" s="40" t="s">
        <v>3840</v>
      </c>
      <c r="AYD2" s="40" t="s">
        <v>3841</v>
      </c>
      <c r="AYE2" s="40" t="s">
        <v>3842</v>
      </c>
      <c r="AYF2" s="40" t="s">
        <v>3843</v>
      </c>
      <c r="AYG2" s="40" t="s">
        <v>3844</v>
      </c>
      <c r="AYH2" s="40" t="s">
        <v>3845</v>
      </c>
      <c r="AYI2" s="40" t="s">
        <v>3846</v>
      </c>
      <c r="AYJ2" s="40" t="s">
        <v>3847</v>
      </c>
      <c r="AYK2" s="40" t="s">
        <v>3848</v>
      </c>
      <c r="AYL2" s="40" t="s">
        <v>3849</v>
      </c>
      <c r="AYM2" s="40" t="s">
        <v>3850</v>
      </c>
      <c r="AYN2" s="40" t="s">
        <v>3851</v>
      </c>
      <c r="AYO2" s="40" t="s">
        <v>3852</v>
      </c>
      <c r="AYP2" s="40" t="s">
        <v>3853</v>
      </c>
      <c r="AYQ2" s="40" t="s">
        <v>3854</v>
      </c>
      <c r="AYR2" s="40" t="s">
        <v>3855</v>
      </c>
      <c r="AYS2" s="40" t="s">
        <v>3856</v>
      </c>
      <c r="AYT2" s="40" t="s">
        <v>3857</v>
      </c>
      <c r="AYU2" s="40" t="s">
        <v>3858</v>
      </c>
      <c r="AYV2" s="40" t="s">
        <v>3859</v>
      </c>
      <c r="AYW2" s="40" t="s">
        <v>3860</v>
      </c>
      <c r="AYX2" s="40" t="s">
        <v>3861</v>
      </c>
      <c r="AYY2" s="40" t="s">
        <v>3862</v>
      </c>
      <c r="AYZ2" s="40" t="s">
        <v>3863</v>
      </c>
      <c r="AZA2" s="40" t="s">
        <v>3864</v>
      </c>
      <c r="AZB2" s="40" t="s">
        <v>3865</v>
      </c>
      <c r="AZC2" s="40" t="s">
        <v>3866</v>
      </c>
      <c r="AZD2" s="40" t="s">
        <v>3867</v>
      </c>
      <c r="AZE2" s="40" t="s">
        <v>3868</v>
      </c>
      <c r="AZF2" s="40" t="s">
        <v>3869</v>
      </c>
      <c r="AZG2" s="40" t="s">
        <v>3870</v>
      </c>
      <c r="AZH2" s="40" t="s">
        <v>3871</v>
      </c>
      <c r="AZI2" s="40" t="s">
        <v>3872</v>
      </c>
      <c r="AZJ2" s="40" t="s">
        <v>3873</v>
      </c>
      <c r="AZK2" s="40" t="s">
        <v>3874</v>
      </c>
      <c r="AZL2" s="40" t="s">
        <v>3875</v>
      </c>
      <c r="AZM2" s="40" t="s">
        <v>3876</v>
      </c>
      <c r="AZN2" s="40" t="s">
        <v>3877</v>
      </c>
      <c r="AZO2" s="40" t="s">
        <v>3878</v>
      </c>
      <c r="AZP2" s="40" t="s">
        <v>3879</v>
      </c>
      <c r="AZQ2" s="40" t="s">
        <v>3880</v>
      </c>
      <c r="AZR2" s="40" t="s">
        <v>3881</v>
      </c>
      <c r="AZS2" s="40" t="s">
        <v>3882</v>
      </c>
      <c r="AZT2" s="40" t="s">
        <v>3883</v>
      </c>
      <c r="AZU2" s="40" t="s">
        <v>3884</v>
      </c>
      <c r="AZV2" s="40" t="s">
        <v>3885</v>
      </c>
      <c r="AZW2" s="40" t="s">
        <v>3886</v>
      </c>
      <c r="AZX2" s="40" t="s">
        <v>3887</v>
      </c>
      <c r="AZY2" s="40" t="s">
        <v>3888</v>
      </c>
      <c r="AZZ2" s="40" t="s">
        <v>3889</v>
      </c>
      <c r="BAA2" s="40" t="s">
        <v>3890</v>
      </c>
      <c r="BAB2" s="40" t="s">
        <v>3891</v>
      </c>
      <c r="BAC2" s="40" t="s">
        <v>3892</v>
      </c>
      <c r="BAD2" s="40" t="s">
        <v>3893</v>
      </c>
      <c r="BAE2" s="40" t="s">
        <v>3894</v>
      </c>
      <c r="BAF2" s="40" t="s">
        <v>3895</v>
      </c>
      <c r="BAG2" s="40" t="s">
        <v>3896</v>
      </c>
      <c r="BAH2" s="40" t="s">
        <v>3897</v>
      </c>
      <c r="BAI2" s="40" t="s">
        <v>3898</v>
      </c>
      <c r="BAJ2" s="40" t="s">
        <v>3899</v>
      </c>
      <c r="BAK2" s="40" t="s">
        <v>3900</v>
      </c>
      <c r="BAL2" s="40" t="s">
        <v>3901</v>
      </c>
      <c r="BAM2" s="40" t="s">
        <v>3902</v>
      </c>
      <c r="BAN2" s="40" t="s">
        <v>3903</v>
      </c>
      <c r="BAO2" s="40" t="s">
        <v>3904</v>
      </c>
      <c r="BAP2" s="40" t="s">
        <v>3905</v>
      </c>
      <c r="BAQ2" s="40" t="s">
        <v>3906</v>
      </c>
      <c r="BAR2" s="40" t="s">
        <v>3907</v>
      </c>
      <c r="BAS2" s="40" t="s">
        <v>3908</v>
      </c>
      <c r="BAT2" s="40" t="s">
        <v>3909</v>
      </c>
      <c r="BAU2" s="40" t="s">
        <v>3910</v>
      </c>
      <c r="BAV2" s="40" t="s">
        <v>3911</v>
      </c>
      <c r="BAW2" s="40" t="s">
        <v>3912</v>
      </c>
      <c r="BAX2" s="40" t="s">
        <v>3913</v>
      </c>
      <c r="BAY2" s="40" t="s">
        <v>3914</v>
      </c>
      <c r="BAZ2" s="40" t="s">
        <v>3915</v>
      </c>
      <c r="BBA2" s="40" t="s">
        <v>3916</v>
      </c>
      <c r="BBB2" s="40" t="s">
        <v>3917</v>
      </c>
      <c r="BBC2" s="40" t="s">
        <v>3918</v>
      </c>
      <c r="BBD2" s="40" t="s">
        <v>3919</v>
      </c>
      <c r="BBE2" s="40" t="s">
        <v>3920</v>
      </c>
      <c r="BBF2" s="40" t="s">
        <v>3921</v>
      </c>
      <c r="BBG2" s="40" t="s">
        <v>3922</v>
      </c>
      <c r="BBH2" s="40" t="s">
        <v>3923</v>
      </c>
      <c r="BBI2" s="40" t="s">
        <v>3924</v>
      </c>
      <c r="BBJ2" s="40" t="s">
        <v>3925</v>
      </c>
      <c r="BBK2" s="40" t="s">
        <v>3926</v>
      </c>
      <c r="BBL2" s="40" t="s">
        <v>3927</v>
      </c>
      <c r="BBM2" s="40" t="s">
        <v>3928</v>
      </c>
      <c r="BBN2" s="40" t="s">
        <v>3929</v>
      </c>
      <c r="BBO2" s="40" t="s">
        <v>3930</v>
      </c>
      <c r="BBP2" s="40" t="s">
        <v>3931</v>
      </c>
      <c r="BBQ2" s="40" t="s">
        <v>3932</v>
      </c>
      <c r="BBR2" s="40" t="s">
        <v>3933</v>
      </c>
      <c r="BBS2" s="40" t="s">
        <v>3934</v>
      </c>
      <c r="BBT2" s="40" t="s">
        <v>3935</v>
      </c>
      <c r="BBU2" s="40" t="s">
        <v>3936</v>
      </c>
      <c r="BBV2" s="40" t="s">
        <v>3937</v>
      </c>
      <c r="BBW2" s="40" t="s">
        <v>3938</v>
      </c>
      <c r="BBX2" s="40" t="s">
        <v>3939</v>
      </c>
      <c r="BBY2" s="40" t="s">
        <v>3940</v>
      </c>
      <c r="BBZ2" s="40" t="s">
        <v>3941</v>
      </c>
      <c r="BCA2" s="40" t="s">
        <v>3942</v>
      </c>
      <c r="BCB2" s="40" t="s">
        <v>3943</v>
      </c>
      <c r="BCC2" s="40" t="s">
        <v>3944</v>
      </c>
      <c r="BCD2" s="40" t="s">
        <v>3945</v>
      </c>
      <c r="BCE2" s="40" t="s">
        <v>3946</v>
      </c>
      <c r="BCF2" s="40" t="s">
        <v>3947</v>
      </c>
      <c r="BCG2" s="40" t="s">
        <v>3948</v>
      </c>
      <c r="BCH2" s="40" t="s">
        <v>3949</v>
      </c>
      <c r="BCI2" s="40" t="s">
        <v>3950</v>
      </c>
      <c r="BCJ2" s="40" t="s">
        <v>3951</v>
      </c>
      <c r="BCK2" s="40" t="s">
        <v>3952</v>
      </c>
      <c r="BCL2" s="40" t="s">
        <v>3953</v>
      </c>
      <c r="BCM2" s="40" t="s">
        <v>3954</v>
      </c>
      <c r="BCN2" s="40" t="s">
        <v>3955</v>
      </c>
      <c r="BCO2" s="40" t="s">
        <v>3956</v>
      </c>
      <c r="BCP2" s="40" t="s">
        <v>3957</v>
      </c>
      <c r="BCQ2" s="40" t="s">
        <v>3958</v>
      </c>
      <c r="BCR2" s="40" t="s">
        <v>3959</v>
      </c>
      <c r="BCS2" s="40" t="s">
        <v>3960</v>
      </c>
      <c r="BCT2" s="40" t="s">
        <v>3961</v>
      </c>
      <c r="BCU2" s="40" t="s">
        <v>3962</v>
      </c>
      <c r="BCV2" s="40" t="s">
        <v>3963</v>
      </c>
      <c r="BCW2" s="40" t="s">
        <v>3964</v>
      </c>
      <c r="BCX2" s="40" t="s">
        <v>3965</v>
      </c>
      <c r="BCY2" s="40" t="s">
        <v>3966</v>
      </c>
      <c r="BCZ2" s="40" t="s">
        <v>3967</v>
      </c>
      <c r="BDA2" s="40" t="s">
        <v>3968</v>
      </c>
      <c r="BDB2" s="40" t="s">
        <v>3969</v>
      </c>
      <c r="BDC2" s="40" t="s">
        <v>3970</v>
      </c>
      <c r="BDD2" s="40" t="s">
        <v>3971</v>
      </c>
      <c r="BDE2" s="40" t="s">
        <v>3972</v>
      </c>
      <c r="BDF2" s="40" t="s">
        <v>3973</v>
      </c>
      <c r="BDG2" s="40" t="s">
        <v>3974</v>
      </c>
      <c r="BDH2" s="40" t="s">
        <v>3975</v>
      </c>
      <c r="BDI2" s="40" t="s">
        <v>3976</v>
      </c>
      <c r="BDJ2" s="40" t="s">
        <v>3977</v>
      </c>
      <c r="BDK2" s="40" t="s">
        <v>3978</v>
      </c>
      <c r="BDL2" s="40" t="s">
        <v>3979</v>
      </c>
      <c r="BDM2" s="40" t="s">
        <v>3980</v>
      </c>
      <c r="BDN2" s="40" t="s">
        <v>3981</v>
      </c>
      <c r="BDO2" s="40" t="s">
        <v>3982</v>
      </c>
      <c r="BDP2" s="40" t="s">
        <v>3983</v>
      </c>
      <c r="BDQ2" s="40" t="s">
        <v>3984</v>
      </c>
      <c r="BDR2" s="40" t="s">
        <v>3985</v>
      </c>
      <c r="BDS2" s="40" t="s">
        <v>3986</v>
      </c>
      <c r="BDT2" s="40" t="s">
        <v>3987</v>
      </c>
      <c r="BDU2" s="40" t="s">
        <v>3988</v>
      </c>
      <c r="BDV2" s="40" t="s">
        <v>3989</v>
      </c>
      <c r="BDW2" s="40" t="s">
        <v>3990</v>
      </c>
      <c r="BDX2" s="40" t="s">
        <v>3991</v>
      </c>
      <c r="BDY2" s="40" t="s">
        <v>3992</v>
      </c>
      <c r="BDZ2" s="40" t="s">
        <v>3993</v>
      </c>
      <c r="BEA2" s="40" t="s">
        <v>3994</v>
      </c>
      <c r="BEB2" s="40" t="s">
        <v>3995</v>
      </c>
      <c r="BEC2" s="40" t="s">
        <v>3996</v>
      </c>
      <c r="BED2" s="40" t="s">
        <v>3997</v>
      </c>
      <c r="BEE2" s="40" t="s">
        <v>3998</v>
      </c>
      <c r="BEF2" s="40" t="s">
        <v>3999</v>
      </c>
      <c r="BEG2" s="40" t="s">
        <v>4000</v>
      </c>
      <c r="BEH2" s="40" t="s">
        <v>4001</v>
      </c>
      <c r="BEI2" s="40" t="s">
        <v>4002</v>
      </c>
      <c r="BEJ2" s="40" t="s">
        <v>4003</v>
      </c>
      <c r="BEK2" s="40" t="s">
        <v>4004</v>
      </c>
      <c r="BEL2" s="40" t="s">
        <v>4005</v>
      </c>
      <c r="BEM2" s="43"/>
      <c r="BEN2" s="43"/>
      <c r="BEO2" s="43"/>
      <c r="BEP2" s="43"/>
      <c r="BEQ2" s="43"/>
      <c r="BER2" s="43"/>
      <c r="BES2" s="43"/>
      <c r="BET2" s="43"/>
      <c r="BEU2" s="43"/>
      <c r="BEV2" s="43"/>
      <c r="BEW2" s="43"/>
      <c r="BEX2" s="43"/>
      <c r="BEY2" s="43"/>
      <c r="BEZ2" s="43"/>
      <c r="BFA2" s="43"/>
      <c r="BFB2" s="43"/>
      <c r="BFC2" s="43"/>
      <c r="BFD2" s="43"/>
      <c r="BFE2" s="43"/>
      <c r="BFF2" s="43"/>
      <c r="BFG2" s="43"/>
      <c r="BFH2" s="43"/>
      <c r="BFI2" s="43"/>
      <c r="BFJ2" s="43"/>
      <c r="BFK2" s="43"/>
      <c r="BFL2" s="43"/>
      <c r="BFM2" s="43"/>
      <c r="BFN2" s="43"/>
      <c r="BFO2" s="48"/>
      <c r="BFP2" s="40" t="s">
        <v>4006</v>
      </c>
      <c r="BFQ2" s="40" t="s">
        <v>4007</v>
      </c>
      <c r="BFR2" s="40" t="s">
        <v>4008</v>
      </c>
      <c r="BFS2" s="40" t="s">
        <v>4009</v>
      </c>
      <c r="BFT2" s="40" t="s">
        <v>4010</v>
      </c>
      <c r="BFU2" s="40" t="s">
        <v>4011</v>
      </c>
      <c r="BFV2" s="40" t="s">
        <v>4012</v>
      </c>
      <c r="BFW2" s="40" t="s">
        <v>4013</v>
      </c>
      <c r="BFX2" s="40" t="s">
        <v>4014</v>
      </c>
      <c r="BFY2" s="40" t="s">
        <v>4015</v>
      </c>
      <c r="BFZ2" s="40" t="s">
        <v>4016</v>
      </c>
      <c r="BGA2" s="40" t="s">
        <v>4017</v>
      </c>
      <c r="BGB2" s="40" t="s">
        <v>4018</v>
      </c>
      <c r="BGC2" s="40" t="s">
        <v>4019</v>
      </c>
      <c r="BGD2" s="40" t="s">
        <v>4020</v>
      </c>
      <c r="BGE2" s="40" t="s">
        <v>4021</v>
      </c>
      <c r="BGF2" s="40" t="s">
        <v>4022</v>
      </c>
      <c r="BGG2" s="40" t="s">
        <v>4023</v>
      </c>
      <c r="BGH2" s="40" t="s">
        <v>4024</v>
      </c>
      <c r="BGI2" s="40" t="s">
        <v>4025</v>
      </c>
      <c r="BGJ2" s="40" t="s">
        <v>4026</v>
      </c>
      <c r="BGK2" s="40" t="s">
        <v>4027</v>
      </c>
      <c r="BGL2" s="40" t="s">
        <v>4028</v>
      </c>
      <c r="BGM2" s="40" t="s">
        <v>4029</v>
      </c>
      <c r="BGN2" s="40" t="s">
        <v>4030</v>
      </c>
      <c r="BGO2" s="40" t="s">
        <v>4031</v>
      </c>
      <c r="BGP2" s="40" t="s">
        <v>4032</v>
      </c>
      <c r="BGQ2" s="40" t="s">
        <v>4033</v>
      </c>
      <c r="BGR2" s="40" t="s">
        <v>4034</v>
      </c>
      <c r="BGS2" s="40" t="s">
        <v>4035</v>
      </c>
      <c r="BGT2" s="40" t="s">
        <v>4036</v>
      </c>
      <c r="BGU2" s="40" t="s">
        <v>4037</v>
      </c>
      <c r="BGV2" s="40" t="s">
        <v>4038</v>
      </c>
      <c r="BGW2" s="40" t="s">
        <v>4039</v>
      </c>
      <c r="BGX2" s="40" t="s">
        <v>4040</v>
      </c>
      <c r="BGY2" s="40" t="s">
        <v>4041</v>
      </c>
      <c r="BGZ2" s="40" t="s">
        <v>4042</v>
      </c>
      <c r="BHA2" s="40" t="s">
        <v>4043</v>
      </c>
      <c r="BHB2" s="40" t="s">
        <v>4044</v>
      </c>
      <c r="BHC2" s="40" t="s">
        <v>4045</v>
      </c>
      <c r="BHD2" s="40" t="s">
        <v>4046</v>
      </c>
      <c r="BHE2" s="40" t="s">
        <v>4047</v>
      </c>
      <c r="BHF2" s="40" t="s">
        <v>4048</v>
      </c>
      <c r="BHG2" s="40" t="s">
        <v>4049</v>
      </c>
      <c r="BHH2" s="40" t="s">
        <v>4050</v>
      </c>
      <c r="BHI2" s="40" t="s">
        <v>4051</v>
      </c>
      <c r="BHJ2" s="40" t="s">
        <v>4052</v>
      </c>
      <c r="BHK2" s="40" t="s">
        <v>4053</v>
      </c>
      <c r="BHL2" s="40" t="s">
        <v>4054</v>
      </c>
      <c r="BHM2" s="40" t="s">
        <v>4055</v>
      </c>
      <c r="BHN2" s="40" t="s">
        <v>4056</v>
      </c>
      <c r="BHO2" s="40" t="s">
        <v>4057</v>
      </c>
      <c r="BHP2" s="40" t="s">
        <v>4058</v>
      </c>
      <c r="BHQ2" s="40" t="s">
        <v>4059</v>
      </c>
      <c r="BHR2" s="40" t="s">
        <v>4060</v>
      </c>
      <c r="BHS2" s="40" t="s">
        <v>4061</v>
      </c>
      <c r="BHT2" s="40" t="s">
        <v>4062</v>
      </c>
      <c r="BHU2" s="40" t="s">
        <v>4063</v>
      </c>
      <c r="BHV2" s="40" t="s">
        <v>4064</v>
      </c>
      <c r="BHW2" s="40" t="s">
        <v>4065</v>
      </c>
      <c r="BHX2" s="40" t="s">
        <v>4066</v>
      </c>
      <c r="BHY2" s="40" t="s">
        <v>4067</v>
      </c>
      <c r="BHZ2" s="40" t="s">
        <v>4068</v>
      </c>
      <c r="BIA2" s="40" t="s">
        <v>4069</v>
      </c>
      <c r="BIB2" s="40" t="s">
        <v>4070</v>
      </c>
      <c r="BIC2" s="40" t="s">
        <v>4071</v>
      </c>
      <c r="BID2" s="40" t="s">
        <v>4072</v>
      </c>
      <c r="BIE2" s="40" t="s">
        <v>4073</v>
      </c>
      <c r="BIF2" s="40" t="s">
        <v>4074</v>
      </c>
      <c r="BIG2" s="40" t="s">
        <v>4075</v>
      </c>
      <c r="BIH2" s="40" t="s">
        <v>4076</v>
      </c>
      <c r="BII2" s="40" t="s">
        <v>4077</v>
      </c>
      <c r="BIJ2" s="40" t="s">
        <v>4078</v>
      </c>
      <c r="BIK2" s="40" t="s">
        <v>4079</v>
      </c>
      <c r="BIL2" s="40" t="s">
        <v>4080</v>
      </c>
      <c r="BIM2" s="40" t="s">
        <v>4081</v>
      </c>
      <c r="BIN2" s="40" t="s">
        <v>4082</v>
      </c>
      <c r="BIO2" s="40" t="s">
        <v>4083</v>
      </c>
      <c r="BIP2" s="40" t="s">
        <v>4084</v>
      </c>
      <c r="BIQ2" s="40" t="s">
        <v>4085</v>
      </c>
      <c r="BIR2" s="40" t="s">
        <v>4086</v>
      </c>
      <c r="BIS2" s="40" t="s">
        <v>4087</v>
      </c>
      <c r="BIT2" s="40" t="s">
        <v>4088</v>
      </c>
      <c r="BIU2" s="40" t="s">
        <v>4089</v>
      </c>
      <c r="BIV2" s="40" t="s">
        <v>4090</v>
      </c>
      <c r="BIW2" s="40" t="s">
        <v>4091</v>
      </c>
      <c r="BIX2" s="40" t="s">
        <v>4092</v>
      </c>
      <c r="BIY2" s="40" t="s">
        <v>4093</v>
      </c>
      <c r="BIZ2" s="40" t="s">
        <v>4094</v>
      </c>
      <c r="BJA2" s="40" t="s">
        <v>4095</v>
      </c>
      <c r="BJB2" s="40" t="s">
        <v>4096</v>
      </c>
      <c r="BJC2" s="40" t="s">
        <v>4097</v>
      </c>
      <c r="BJD2" s="40" t="s">
        <v>4098</v>
      </c>
      <c r="BJE2" s="40" t="s">
        <v>4099</v>
      </c>
      <c r="BJF2" s="40" t="s">
        <v>4100</v>
      </c>
      <c r="BJG2" s="40" t="s">
        <v>4101</v>
      </c>
      <c r="BJH2" s="40" t="s">
        <v>4101</v>
      </c>
      <c r="BJI2" s="40" t="s">
        <v>4102</v>
      </c>
      <c r="BJJ2" s="40" t="s">
        <v>4103</v>
      </c>
      <c r="BJK2" s="40" t="s">
        <v>4104</v>
      </c>
      <c r="BJL2" s="40" t="s">
        <v>4105</v>
      </c>
      <c r="BJM2" s="40" t="s">
        <v>4106</v>
      </c>
      <c r="BJN2" s="40" t="s">
        <v>4107</v>
      </c>
      <c r="BJO2" s="40" t="s">
        <v>4108</v>
      </c>
      <c r="BJP2" s="40" t="s">
        <v>4109</v>
      </c>
      <c r="BJQ2" s="40" t="s">
        <v>4110</v>
      </c>
      <c r="BJR2" s="40" t="s">
        <v>4111</v>
      </c>
      <c r="BJS2" s="40" t="s">
        <v>4112</v>
      </c>
      <c r="BJT2" s="40" t="s">
        <v>4113</v>
      </c>
      <c r="BJU2" s="40" t="s">
        <v>4114</v>
      </c>
      <c r="BJV2" s="40" t="s">
        <v>4115</v>
      </c>
      <c r="BJW2" s="40" t="s">
        <v>4116</v>
      </c>
      <c r="BJX2" s="40" t="s">
        <v>4117</v>
      </c>
      <c r="BJY2" s="40" t="s">
        <v>4118</v>
      </c>
      <c r="BJZ2" s="40" t="s">
        <v>4119</v>
      </c>
      <c r="BKA2" s="40" t="s">
        <v>4120</v>
      </c>
      <c r="BKB2" s="40" t="s">
        <v>4121</v>
      </c>
      <c r="BKC2" s="40" t="s">
        <v>4122</v>
      </c>
      <c r="BKD2" s="40" t="s">
        <v>4123</v>
      </c>
      <c r="BKE2" s="40" t="s">
        <v>4124</v>
      </c>
      <c r="BKF2" s="40" t="s">
        <v>4125</v>
      </c>
      <c r="BKG2" s="40" t="s">
        <v>4126</v>
      </c>
      <c r="BKH2" s="40" t="s">
        <v>4127</v>
      </c>
      <c r="BKI2" s="40" t="s">
        <v>4128</v>
      </c>
      <c r="BKJ2" s="40" t="s">
        <v>4129</v>
      </c>
      <c r="BKK2" s="40" t="s">
        <v>4130</v>
      </c>
      <c r="BKL2" s="40" t="s">
        <v>4131</v>
      </c>
      <c r="BKM2" s="40" t="s">
        <v>4132</v>
      </c>
      <c r="BKN2" s="40" t="s">
        <v>4133</v>
      </c>
      <c r="BKO2" s="40" t="s">
        <v>4134</v>
      </c>
      <c r="BKP2" s="40" t="s">
        <v>4135</v>
      </c>
      <c r="BKQ2" s="40" t="s">
        <v>4136</v>
      </c>
      <c r="BKR2" s="40" t="s">
        <v>4137</v>
      </c>
      <c r="BKS2" s="40" t="s">
        <v>4138</v>
      </c>
      <c r="BKT2" s="40" t="s">
        <v>4139</v>
      </c>
      <c r="BKU2" s="40" t="s">
        <v>4140</v>
      </c>
      <c r="BKV2" s="40" t="s">
        <v>4141</v>
      </c>
      <c r="BKW2" s="40" t="s">
        <v>4142</v>
      </c>
      <c r="BKX2" s="40" t="s">
        <v>4143</v>
      </c>
      <c r="BKY2" s="40" t="s">
        <v>4144</v>
      </c>
      <c r="BKZ2" s="40" t="s">
        <v>4145</v>
      </c>
      <c r="BLA2" s="40" t="s">
        <v>4146</v>
      </c>
      <c r="BLB2" s="40" t="s">
        <v>4147</v>
      </c>
      <c r="BLC2" s="40" t="s">
        <v>4148</v>
      </c>
      <c r="BLD2" s="40" t="s">
        <v>4149</v>
      </c>
      <c r="BLE2" s="40" t="s">
        <v>4150</v>
      </c>
      <c r="BLF2" s="40" t="s">
        <v>4151</v>
      </c>
      <c r="BLG2" s="40" t="s">
        <v>4152</v>
      </c>
      <c r="BLH2" s="40" t="s">
        <v>4153</v>
      </c>
      <c r="BLI2" s="40" t="s">
        <v>4154</v>
      </c>
      <c r="BLJ2" s="40" t="s">
        <v>4155</v>
      </c>
      <c r="BLK2" s="40" t="s">
        <v>4156</v>
      </c>
      <c r="BLL2" s="40" t="s">
        <v>4157</v>
      </c>
      <c r="BLM2" s="40" t="s">
        <v>4158</v>
      </c>
      <c r="BLN2" s="40" t="s">
        <v>4159</v>
      </c>
      <c r="BLO2" s="40" t="s">
        <v>4160</v>
      </c>
      <c r="BLP2" s="40" t="s">
        <v>4161</v>
      </c>
      <c r="BLQ2" s="40" t="s">
        <v>4162</v>
      </c>
      <c r="BLR2" s="40" t="s">
        <v>4163</v>
      </c>
      <c r="BLS2" s="40" t="s">
        <v>4164</v>
      </c>
      <c r="BLT2" s="40" t="s">
        <v>4165</v>
      </c>
      <c r="BLU2" s="40" t="s">
        <v>4166</v>
      </c>
      <c r="BLV2" s="40" t="s">
        <v>4167</v>
      </c>
      <c r="BLW2" s="40" t="s">
        <v>4168</v>
      </c>
      <c r="BLX2" s="40" t="s">
        <v>4169</v>
      </c>
      <c r="BLY2" s="40" t="s">
        <v>4170</v>
      </c>
      <c r="BLZ2" s="40" t="s">
        <v>4171</v>
      </c>
      <c r="BMA2" s="40" t="s">
        <v>4172</v>
      </c>
      <c r="BMB2" s="40" t="s">
        <v>4173</v>
      </c>
      <c r="BMC2" s="40" t="s">
        <v>4174</v>
      </c>
      <c r="BMD2" s="40" t="s">
        <v>4175</v>
      </c>
      <c r="BME2" s="40" t="s">
        <v>4176</v>
      </c>
      <c r="BMF2" s="40" t="s">
        <v>4177</v>
      </c>
      <c r="BMG2" s="40" t="s">
        <v>4178</v>
      </c>
      <c r="BMH2" s="40" t="s">
        <v>4179</v>
      </c>
      <c r="BMI2" s="40" t="s">
        <v>4180</v>
      </c>
      <c r="BMJ2" s="40" t="s">
        <v>4181</v>
      </c>
      <c r="BMK2" s="40" t="s">
        <v>4182</v>
      </c>
      <c r="BML2" s="49" t="s">
        <v>4183</v>
      </c>
      <c r="BMM2" s="49" t="s">
        <v>4183</v>
      </c>
      <c r="BMN2" s="49" t="s">
        <v>4183</v>
      </c>
      <c r="BMO2" s="49" t="s">
        <v>4184</v>
      </c>
      <c r="BMP2" s="49" t="s">
        <v>4185</v>
      </c>
      <c r="BMQ2" s="49" t="s">
        <v>4186</v>
      </c>
      <c r="BOH2" t="s">
        <v>4516</v>
      </c>
      <c r="BOI2" t="s">
        <v>4517</v>
      </c>
      <c r="BOJ2" t="s">
        <v>4518</v>
      </c>
      <c r="BOK2" t="s">
        <v>4519</v>
      </c>
      <c r="BOL2" t="s">
        <v>4520</v>
      </c>
      <c r="BOM2" t="s">
        <v>4521</v>
      </c>
      <c r="BON2" t="s">
        <v>4522</v>
      </c>
      <c r="BOO2" t="s">
        <v>4523</v>
      </c>
      <c r="BOP2" t="s">
        <v>4524</v>
      </c>
      <c r="BOQ2" t="s">
        <v>4525</v>
      </c>
      <c r="BOR2" t="s">
        <v>4526</v>
      </c>
      <c r="BOS2" t="s">
        <v>4527</v>
      </c>
      <c r="BOT2" t="s">
        <v>4528</v>
      </c>
      <c r="BOU2" t="s">
        <v>4529</v>
      </c>
      <c r="BOV2" t="s">
        <v>4530</v>
      </c>
      <c r="BOW2" t="s">
        <v>4531</v>
      </c>
      <c r="BOX2" t="s">
        <v>4532</v>
      </c>
      <c r="BOY2" t="s">
        <v>4533</v>
      </c>
      <c r="BOZ2" t="s">
        <v>4534</v>
      </c>
      <c r="BPA2" t="s">
        <v>4535</v>
      </c>
      <c r="BPB2" t="s">
        <v>4536</v>
      </c>
      <c r="BPC2" t="s">
        <v>4537</v>
      </c>
      <c r="BPD2" t="s">
        <v>4538</v>
      </c>
      <c r="BPE2" t="s">
        <v>4539</v>
      </c>
      <c r="BPF2" t="s">
        <v>4540</v>
      </c>
      <c r="BPG2" t="s">
        <v>4541</v>
      </c>
      <c r="BPH2" t="s">
        <v>4542</v>
      </c>
      <c r="BPI2" t="s">
        <v>4543</v>
      </c>
      <c r="BPJ2" t="s">
        <v>4544</v>
      </c>
      <c r="BPK2" t="s">
        <v>4545</v>
      </c>
      <c r="BPL2" t="s">
        <v>4546</v>
      </c>
      <c r="BPM2" t="s">
        <v>4547</v>
      </c>
      <c r="BPN2" t="s">
        <v>4548</v>
      </c>
      <c r="BPO2" t="s">
        <v>4549</v>
      </c>
      <c r="BPP2" t="s">
        <v>4550</v>
      </c>
      <c r="BPQ2" t="s">
        <v>4551</v>
      </c>
      <c r="BPR2" t="s">
        <v>4552</v>
      </c>
      <c r="BPS2" t="s">
        <v>4553</v>
      </c>
      <c r="BPT2" t="s">
        <v>4554</v>
      </c>
      <c r="BPU2" t="s">
        <v>4555</v>
      </c>
      <c r="BPV2" t="s">
        <v>4556</v>
      </c>
      <c r="BPW2" t="s">
        <v>4557</v>
      </c>
      <c r="BPX2" t="s">
        <v>4558</v>
      </c>
      <c r="BPY2" t="s">
        <v>4559</v>
      </c>
      <c r="BPZ2" t="s">
        <v>4560</v>
      </c>
      <c r="BQA2" t="s">
        <v>4561</v>
      </c>
      <c r="BQB2" t="s">
        <v>4562</v>
      </c>
      <c r="BQC2" t="s">
        <v>4563</v>
      </c>
      <c r="BQD2" t="s">
        <v>4564</v>
      </c>
      <c r="BQE2" t="s">
        <v>4565</v>
      </c>
      <c r="BQF2" t="s">
        <v>4566</v>
      </c>
      <c r="BQG2" t="s">
        <v>4567</v>
      </c>
      <c r="BQH2" t="s">
        <v>4568</v>
      </c>
      <c r="BQI2" t="s">
        <v>4569</v>
      </c>
      <c r="BQJ2" t="s">
        <v>4570</v>
      </c>
      <c r="BQK2" t="s">
        <v>4571</v>
      </c>
      <c r="BQL2" t="s">
        <v>4572</v>
      </c>
      <c r="BQM2" t="s">
        <v>4573</v>
      </c>
      <c r="BQN2" t="s">
        <v>4574</v>
      </c>
      <c r="BQO2" t="s">
        <v>4575</v>
      </c>
      <c r="BQP2" t="s">
        <v>4576</v>
      </c>
      <c r="BQQ2" t="s">
        <v>4577</v>
      </c>
      <c r="BQR2" t="s">
        <v>4578</v>
      </c>
      <c r="BQS2" t="s">
        <v>4579</v>
      </c>
      <c r="BQT2" t="s">
        <v>4580</v>
      </c>
      <c r="BQU2" t="s">
        <v>4581</v>
      </c>
      <c r="BQV2" t="s">
        <v>4582</v>
      </c>
      <c r="BQW2" t="s">
        <v>4583</v>
      </c>
      <c r="BQX2" t="s">
        <v>4584</v>
      </c>
      <c r="BQY2" t="s">
        <v>4585</v>
      </c>
      <c r="BQZ2" t="s">
        <v>4586</v>
      </c>
      <c r="BRA2" t="s">
        <v>4587</v>
      </c>
      <c r="BRB2" t="s">
        <v>4588</v>
      </c>
      <c r="BRC2" t="s">
        <v>4589</v>
      </c>
      <c r="BRD2" t="s">
        <v>4590</v>
      </c>
      <c r="BRE2" t="s">
        <v>4591</v>
      </c>
      <c r="BRF2" t="s">
        <v>4592</v>
      </c>
      <c r="BRG2" t="s">
        <v>4593</v>
      </c>
      <c r="BRH2" t="s">
        <v>4594</v>
      </c>
      <c r="BRI2" t="s">
        <v>4595</v>
      </c>
      <c r="BRJ2" t="s">
        <v>4596</v>
      </c>
      <c r="BRK2" t="s">
        <v>4597</v>
      </c>
      <c r="BRL2" t="s">
        <v>4598</v>
      </c>
      <c r="BRM2" t="s">
        <v>4599</v>
      </c>
      <c r="BRN2" t="s">
        <v>4600</v>
      </c>
      <c r="BRO2" t="s">
        <v>4601</v>
      </c>
      <c r="BRP2" t="s">
        <v>4602</v>
      </c>
      <c r="BRQ2" t="s">
        <v>4603</v>
      </c>
      <c r="BRR2" t="s">
        <v>4604</v>
      </c>
      <c r="BRS2" t="s">
        <v>4605</v>
      </c>
      <c r="BRT2" t="s">
        <v>4606</v>
      </c>
      <c r="BRU2" t="s">
        <v>4607</v>
      </c>
      <c r="BRV2" t="s">
        <v>4608</v>
      </c>
      <c r="BRW2" t="s">
        <v>4609</v>
      </c>
      <c r="BRX2" t="s">
        <v>4610</v>
      </c>
      <c r="BRY2" t="s">
        <v>4611</v>
      </c>
      <c r="BRZ2" t="s">
        <v>4612</v>
      </c>
      <c r="BSA2" t="s">
        <v>4613</v>
      </c>
      <c r="BSB2" t="s">
        <v>4614</v>
      </c>
      <c r="BSC2" t="s">
        <v>4615</v>
      </c>
      <c r="BSD2" t="s">
        <v>4616</v>
      </c>
      <c r="BSE2" t="s">
        <v>4617</v>
      </c>
      <c r="BSF2" t="s">
        <v>4618</v>
      </c>
      <c r="BSG2" t="s">
        <v>4619</v>
      </c>
      <c r="BSH2" t="s">
        <v>4620</v>
      </c>
      <c r="BSI2" t="s">
        <v>4621</v>
      </c>
      <c r="BSJ2" t="s">
        <v>4622</v>
      </c>
      <c r="BSK2" t="s">
        <v>4623</v>
      </c>
      <c r="BSL2" t="s">
        <v>4624</v>
      </c>
      <c r="BSM2" t="s">
        <v>4625</v>
      </c>
      <c r="BSN2" t="s">
        <v>4626</v>
      </c>
      <c r="BSO2" t="s">
        <v>4627</v>
      </c>
      <c r="BSP2" t="s">
        <v>4628</v>
      </c>
      <c r="BSQ2" t="s">
        <v>4629</v>
      </c>
      <c r="BSR2" t="s">
        <v>4620</v>
      </c>
      <c r="BSS2" t="s">
        <v>4630</v>
      </c>
      <c r="BST2" t="s">
        <v>4631</v>
      </c>
      <c r="BSU2" t="s">
        <v>4632</v>
      </c>
      <c r="BSV2" t="s">
        <v>4633</v>
      </c>
      <c r="BSW2" t="s">
        <v>4634</v>
      </c>
      <c r="BSX2" t="s">
        <v>4635</v>
      </c>
      <c r="BSY2" t="s">
        <v>4636</v>
      </c>
      <c r="BSZ2" t="s">
        <v>4637</v>
      </c>
      <c r="BTA2" t="s">
        <v>4638</v>
      </c>
      <c r="BTB2" t="s">
        <v>4639</v>
      </c>
      <c r="BTC2" t="s">
        <v>4640</v>
      </c>
      <c r="BTD2" t="s">
        <v>4641</v>
      </c>
      <c r="BTE2" t="s">
        <v>4642</v>
      </c>
      <c r="BTF2" t="s">
        <v>4643</v>
      </c>
      <c r="BTG2" t="s">
        <v>4644</v>
      </c>
      <c r="BTH2" t="s">
        <v>4645</v>
      </c>
      <c r="BTI2" t="s">
        <v>4646</v>
      </c>
      <c r="BTJ2" t="s">
        <v>4647</v>
      </c>
      <c r="BTK2" t="s">
        <v>4648</v>
      </c>
      <c r="BTL2" t="s">
        <v>4649</v>
      </c>
      <c r="BTM2" t="s">
        <v>4650</v>
      </c>
      <c r="BTN2" t="s">
        <v>4651</v>
      </c>
      <c r="BTO2" t="s">
        <v>4652</v>
      </c>
      <c r="BTP2" t="s">
        <v>4653</v>
      </c>
      <c r="BTQ2" t="s">
        <v>4654</v>
      </c>
      <c r="BTR2" t="s">
        <v>4655</v>
      </c>
      <c r="BTS2" t="s">
        <v>4656</v>
      </c>
      <c r="BTT2" t="s">
        <v>4657</v>
      </c>
      <c r="BTU2" t="s">
        <v>4658</v>
      </c>
      <c r="BTV2" t="s">
        <v>4659</v>
      </c>
      <c r="BTW2" t="s">
        <v>4660</v>
      </c>
      <c r="BTX2" t="s">
        <v>4661</v>
      </c>
      <c r="BTY2" t="s">
        <v>4662</v>
      </c>
      <c r="BTZ2" t="s">
        <v>4663</v>
      </c>
      <c r="BUA2" t="s">
        <v>4664</v>
      </c>
      <c r="BUB2" t="s">
        <v>4665</v>
      </c>
      <c r="BUC2" t="s">
        <v>4666</v>
      </c>
      <c r="BUD2" t="s">
        <v>4667</v>
      </c>
      <c r="BUE2" t="s">
        <v>4668</v>
      </c>
      <c r="BUF2" t="s">
        <v>4669</v>
      </c>
      <c r="BUG2" t="s">
        <v>4670</v>
      </c>
      <c r="BUH2" t="s">
        <v>4671</v>
      </c>
      <c r="BUI2" t="s">
        <v>4672</v>
      </c>
      <c r="BUJ2" t="s">
        <v>4673</v>
      </c>
      <c r="BUK2" t="s">
        <v>4674</v>
      </c>
      <c r="BUL2" t="s">
        <v>4675</v>
      </c>
      <c r="BUM2" t="s">
        <v>4676</v>
      </c>
      <c r="BUN2" t="s">
        <v>4677</v>
      </c>
      <c r="BUO2" t="s">
        <v>4678</v>
      </c>
      <c r="BUP2" t="s">
        <v>4679</v>
      </c>
      <c r="BUQ2" t="s">
        <v>4680</v>
      </c>
      <c r="BUR2" t="s">
        <v>4681</v>
      </c>
      <c r="BUS2" t="s">
        <v>4682</v>
      </c>
      <c r="BUT2" t="s">
        <v>4683</v>
      </c>
      <c r="BUU2" t="s">
        <v>4684</v>
      </c>
      <c r="BUV2" t="s">
        <v>4685</v>
      </c>
      <c r="BUW2" t="s">
        <v>4686</v>
      </c>
      <c r="BUX2" t="s">
        <v>4687</v>
      </c>
      <c r="BUY2" t="s">
        <v>4688</v>
      </c>
      <c r="BUZ2" t="s">
        <v>4689</v>
      </c>
      <c r="BVA2" t="s">
        <v>4690</v>
      </c>
      <c r="BVB2" t="s">
        <v>4691</v>
      </c>
      <c r="BVC2" t="s">
        <v>4692</v>
      </c>
      <c r="BVD2" t="s">
        <v>4693</v>
      </c>
      <c r="BVE2" t="s">
        <v>4694</v>
      </c>
      <c r="BVF2" t="s">
        <v>4695</v>
      </c>
      <c r="BVG2" t="s">
        <v>4696</v>
      </c>
      <c r="BVH2" t="s">
        <v>4697</v>
      </c>
      <c r="BVI2" t="s">
        <v>4698</v>
      </c>
      <c r="BVJ2" t="s">
        <v>4699</v>
      </c>
      <c r="BVK2" t="s">
        <v>4694</v>
      </c>
      <c r="BVL2" t="s">
        <v>4700</v>
      </c>
      <c r="BVM2" t="s">
        <v>4701</v>
      </c>
      <c r="BVN2" t="s">
        <v>4702</v>
      </c>
      <c r="BVO2" t="s">
        <v>4703</v>
      </c>
      <c r="BVP2" t="s">
        <v>4704</v>
      </c>
      <c r="BVQ2" t="s">
        <v>4705</v>
      </c>
      <c r="BVR2" t="s">
        <v>4706</v>
      </c>
      <c r="BVS2" t="s">
        <v>4707</v>
      </c>
      <c r="BVT2" t="s">
        <v>4708</v>
      </c>
      <c r="BVU2" t="s">
        <v>4709</v>
      </c>
      <c r="BVV2" t="s">
        <v>4710</v>
      </c>
      <c r="BVW2" t="s">
        <v>4711</v>
      </c>
      <c r="BVX2" t="s">
        <v>4712</v>
      </c>
      <c r="BVY2" t="s">
        <v>4713</v>
      </c>
      <c r="BVZ2" t="s">
        <v>4714</v>
      </c>
      <c r="BWA2" t="s">
        <v>4715</v>
      </c>
      <c r="BWB2" t="s">
        <v>4716</v>
      </c>
      <c r="BWC2" t="s">
        <v>4717</v>
      </c>
      <c r="BWD2" t="s">
        <v>4718</v>
      </c>
      <c r="BWE2" t="s">
        <v>4719</v>
      </c>
      <c r="BWF2" t="s">
        <v>4720</v>
      </c>
      <c r="BWG2" t="s">
        <v>4721</v>
      </c>
      <c r="BWH2" t="s">
        <v>4722</v>
      </c>
      <c r="BWI2" t="s">
        <v>4723</v>
      </c>
      <c r="BWJ2" t="s">
        <v>4724</v>
      </c>
      <c r="BWK2" t="s">
        <v>4725</v>
      </c>
      <c r="BWL2" t="s">
        <v>4726</v>
      </c>
      <c r="BWM2" t="s">
        <v>4727</v>
      </c>
      <c r="BWN2" t="s">
        <v>4728</v>
      </c>
      <c r="BWO2" t="s">
        <v>4729</v>
      </c>
      <c r="BWP2" t="s">
        <v>4730</v>
      </c>
      <c r="BWQ2" t="s">
        <v>4731</v>
      </c>
      <c r="BWR2" t="s">
        <v>4732</v>
      </c>
      <c r="BWS2" t="s">
        <v>4733</v>
      </c>
      <c r="BWT2" t="s">
        <v>4734</v>
      </c>
      <c r="BWU2" t="s">
        <v>4735</v>
      </c>
      <c r="BWV2" t="s">
        <v>4736</v>
      </c>
      <c r="BWW2" t="s">
        <v>4737</v>
      </c>
      <c r="BWX2" t="s">
        <v>4738</v>
      </c>
      <c r="BWY2" t="s">
        <v>4739</v>
      </c>
      <c r="BWZ2" t="s">
        <v>4740</v>
      </c>
      <c r="BXA2" t="s">
        <v>4741</v>
      </c>
      <c r="BXB2" t="s">
        <v>4742</v>
      </c>
      <c r="BXC2" t="s">
        <v>4743</v>
      </c>
      <c r="BXD2" t="s">
        <v>4744</v>
      </c>
      <c r="BXE2" t="s">
        <v>4745</v>
      </c>
      <c r="BXF2" t="s">
        <v>4746</v>
      </c>
      <c r="BXG2" t="s">
        <v>4747</v>
      </c>
      <c r="BXH2" t="s">
        <v>4748</v>
      </c>
      <c r="BXI2" t="s">
        <v>4749</v>
      </c>
      <c r="BXJ2" t="s">
        <v>4750</v>
      </c>
      <c r="BXK2" t="s">
        <v>4751</v>
      </c>
      <c r="BXL2" t="s">
        <v>4752</v>
      </c>
      <c r="BXM2" t="s">
        <v>4753</v>
      </c>
      <c r="BXN2" t="s">
        <v>4754</v>
      </c>
      <c r="BXO2" t="s">
        <v>4755</v>
      </c>
      <c r="BXP2" t="s">
        <v>4756</v>
      </c>
      <c r="BXQ2" t="s">
        <v>4757</v>
      </c>
      <c r="BXR2" t="s">
        <v>4758</v>
      </c>
      <c r="BXS2" t="s">
        <v>4759</v>
      </c>
      <c r="BXT2" t="s">
        <v>4760</v>
      </c>
      <c r="BXU2" t="s">
        <v>4761</v>
      </c>
      <c r="BXV2" t="s">
        <v>4762</v>
      </c>
      <c r="BXW2" t="s">
        <v>4763</v>
      </c>
      <c r="BXX2" t="s">
        <v>4764</v>
      </c>
      <c r="BXY2" t="s">
        <v>4765</v>
      </c>
      <c r="BXZ2" t="s">
        <v>4766</v>
      </c>
      <c r="BYA2" t="s">
        <v>4767</v>
      </c>
      <c r="BYB2" t="s">
        <v>4768</v>
      </c>
      <c r="BYC2" t="s">
        <v>4769</v>
      </c>
      <c r="BYD2" t="s">
        <v>4770</v>
      </c>
      <c r="BYE2" t="s">
        <v>4771</v>
      </c>
      <c r="BYF2" t="s">
        <v>4772</v>
      </c>
      <c r="BYG2" t="s">
        <v>4773</v>
      </c>
      <c r="BYH2" t="s">
        <v>4774</v>
      </c>
      <c r="BYI2" t="s">
        <v>4775</v>
      </c>
      <c r="BYJ2" s="54" t="s">
        <v>4776</v>
      </c>
      <c r="BYK2" s="54" t="s">
        <v>4777</v>
      </c>
      <c r="BYL2" s="54" t="s">
        <v>4778</v>
      </c>
      <c r="BYM2" s="54" t="s">
        <v>4779</v>
      </c>
      <c r="BYN2" s="54" t="s">
        <v>4780</v>
      </c>
      <c r="BYO2" s="54" t="s">
        <v>4781</v>
      </c>
      <c r="BYP2" s="54" t="s">
        <v>4782</v>
      </c>
      <c r="BYQ2" s="54" t="s">
        <v>4783</v>
      </c>
      <c r="BYR2" s="54" t="s">
        <v>4784</v>
      </c>
      <c r="BYS2" s="54" t="s">
        <v>4785</v>
      </c>
      <c r="BYT2" s="54" t="s">
        <v>4786</v>
      </c>
      <c r="BYU2" s="54" t="s">
        <v>4787</v>
      </c>
      <c r="BYV2" s="54" t="s">
        <v>4788</v>
      </c>
      <c r="BYW2" s="54" t="s">
        <v>4789</v>
      </c>
      <c r="BYX2" s="54" t="s">
        <v>4790</v>
      </c>
      <c r="BYY2" s="54" t="s">
        <v>4791</v>
      </c>
      <c r="BYZ2" s="54" t="s">
        <v>4792</v>
      </c>
      <c r="BZA2" s="54" t="s">
        <v>4793</v>
      </c>
      <c r="BZB2" s="54" t="s">
        <v>4794</v>
      </c>
      <c r="BZC2" s="54" t="s">
        <v>4795</v>
      </c>
      <c r="BZD2" s="54" t="s">
        <v>4796</v>
      </c>
      <c r="BZE2" s="54" t="s">
        <v>4797</v>
      </c>
      <c r="BZF2" s="54" t="s">
        <v>4798</v>
      </c>
      <c r="BZG2" s="54" t="s">
        <v>4799</v>
      </c>
      <c r="BZH2" s="54" t="s">
        <v>4800</v>
      </c>
      <c r="BZI2" s="54" t="s">
        <v>4801</v>
      </c>
      <c r="BZJ2" s="54" t="s">
        <v>4802</v>
      </c>
      <c r="BZK2" s="54" t="s">
        <v>4803</v>
      </c>
      <c r="BZL2" s="54" t="s">
        <v>4804</v>
      </c>
      <c r="BZM2" s="54" t="s">
        <v>4805</v>
      </c>
      <c r="BZN2" s="54" t="s">
        <v>4806</v>
      </c>
      <c r="BZO2" s="54" t="s">
        <v>4807</v>
      </c>
      <c r="BZP2" s="54" t="s">
        <v>4808</v>
      </c>
      <c r="BZQ2" s="54" t="s">
        <v>4809</v>
      </c>
      <c r="BZR2" s="54" t="s">
        <v>4810</v>
      </c>
      <c r="BZS2" s="54" t="s">
        <v>4811</v>
      </c>
      <c r="BZT2" s="54" t="s">
        <v>4812</v>
      </c>
      <c r="BZU2" s="54" t="s">
        <v>4813</v>
      </c>
      <c r="BZV2" s="54" t="s">
        <v>4814</v>
      </c>
      <c r="BZW2" s="54" t="s">
        <v>4815</v>
      </c>
      <c r="BZX2" s="54" t="s">
        <v>4816</v>
      </c>
      <c r="BZY2" s="54" t="s">
        <v>4817</v>
      </c>
      <c r="BZZ2" s="54" t="s">
        <v>4818</v>
      </c>
      <c r="CAA2" s="54" t="s">
        <v>4819</v>
      </c>
      <c r="CAB2" s="54" t="s">
        <v>4820</v>
      </c>
      <c r="CAC2" s="54" t="s">
        <v>4821</v>
      </c>
      <c r="CAD2" s="54" t="s">
        <v>4822</v>
      </c>
      <c r="CAE2" s="54" t="s">
        <v>4823</v>
      </c>
      <c r="CAF2" s="54" t="s">
        <v>4824</v>
      </c>
      <c r="CAG2" s="54" t="s">
        <v>4825</v>
      </c>
      <c r="CAH2" s="54" t="s">
        <v>4826</v>
      </c>
      <c r="CAI2" s="54" t="s">
        <v>4827</v>
      </c>
      <c r="CAJ2" s="54" t="s">
        <v>4828</v>
      </c>
      <c r="CAK2" s="54" t="s">
        <v>4829</v>
      </c>
      <c r="CAL2" s="54" t="s">
        <v>4830</v>
      </c>
      <c r="CAM2" s="54" t="s">
        <v>4831</v>
      </c>
      <c r="CAN2" s="54" t="s">
        <v>4832</v>
      </c>
      <c r="CAO2" s="54" t="s">
        <v>4833</v>
      </c>
      <c r="CAP2" s="54" t="s">
        <v>4834</v>
      </c>
      <c r="CAQ2" s="54" t="s">
        <v>4835</v>
      </c>
      <c r="CAR2" s="54" t="s">
        <v>4836</v>
      </c>
      <c r="CAS2" s="54" t="s">
        <v>4837</v>
      </c>
      <c r="CAT2" s="54" t="s">
        <v>4838</v>
      </c>
      <c r="CAU2" s="54" t="s">
        <v>4839</v>
      </c>
      <c r="CAV2" s="54" t="s">
        <v>4840</v>
      </c>
      <c r="CAW2" s="54" t="s">
        <v>4841</v>
      </c>
      <c r="CAX2" s="54" t="s">
        <v>4842</v>
      </c>
      <c r="CAY2" s="54" t="s">
        <v>4843</v>
      </c>
      <c r="CAZ2" s="54" t="s">
        <v>4844</v>
      </c>
      <c r="CBA2" s="54" t="s">
        <v>4845</v>
      </c>
      <c r="CBB2" s="54" t="s">
        <v>4846</v>
      </c>
      <c r="CBC2" s="54" t="s">
        <v>4847</v>
      </c>
      <c r="CBD2" s="54" t="s">
        <v>4848</v>
      </c>
      <c r="CBE2" s="54" t="s">
        <v>4849</v>
      </c>
      <c r="CBF2" s="54" t="s">
        <v>4850</v>
      </c>
      <c r="CBG2" s="54" t="s">
        <v>4851</v>
      </c>
      <c r="CBH2" s="54" t="s">
        <v>4852</v>
      </c>
      <c r="CBI2" s="54" t="s">
        <v>4853</v>
      </c>
      <c r="CBJ2" s="54" t="s">
        <v>4854</v>
      </c>
      <c r="CBK2" s="54" t="s">
        <v>4855</v>
      </c>
      <c r="CBL2" s="54" t="s">
        <v>4856</v>
      </c>
      <c r="CBM2" s="54" t="s">
        <v>4857</v>
      </c>
      <c r="CBN2" s="54" t="s">
        <v>4858</v>
      </c>
      <c r="CBO2" s="54" t="s">
        <v>4859</v>
      </c>
      <c r="CBP2" s="54" t="s">
        <v>4860</v>
      </c>
      <c r="CBQ2" s="54" t="s">
        <v>4861</v>
      </c>
      <c r="CBR2" s="54" t="s">
        <v>4862</v>
      </c>
      <c r="CBS2" s="54" t="s">
        <v>4863</v>
      </c>
      <c r="CBT2" s="54" t="s">
        <v>4864</v>
      </c>
      <c r="CBU2" s="54" t="s">
        <v>4865</v>
      </c>
      <c r="CBV2" s="54" t="s">
        <v>4866</v>
      </c>
      <c r="CBW2" s="54" t="s">
        <v>4867</v>
      </c>
      <c r="CBX2" s="54" t="s">
        <v>4868</v>
      </c>
      <c r="CBY2" s="54" t="s">
        <v>4869</v>
      </c>
      <c r="CBZ2" s="54" t="s">
        <v>4870</v>
      </c>
      <c r="CCA2" s="54" t="s">
        <v>4871</v>
      </c>
      <c r="CCB2" s="54" t="s">
        <v>4872</v>
      </c>
      <c r="CCC2" s="54" t="s">
        <v>4873</v>
      </c>
      <c r="CCD2" s="54" t="s">
        <v>4874</v>
      </c>
      <c r="CCE2" s="54" t="s">
        <v>4875</v>
      </c>
      <c r="CCF2" s="54" t="s">
        <v>4876</v>
      </c>
      <c r="CCG2" s="54" t="s">
        <v>4877</v>
      </c>
      <c r="CCH2" s="54" t="s">
        <v>4878</v>
      </c>
      <c r="CCI2" s="54" t="s">
        <v>4879</v>
      </c>
      <c r="CCJ2" s="54" t="s">
        <v>4880</v>
      </c>
      <c r="CCK2" s="54" t="s">
        <v>4881</v>
      </c>
      <c r="CCL2" s="54" t="s">
        <v>4882</v>
      </c>
      <c r="CCM2" s="54" t="s">
        <v>4883</v>
      </c>
      <c r="CCN2" s="54" t="s">
        <v>4884</v>
      </c>
      <c r="CCO2" s="54" t="s">
        <v>4885</v>
      </c>
      <c r="CCP2" s="54" t="s">
        <v>4886</v>
      </c>
      <c r="CCQ2" s="54" t="s">
        <v>4887</v>
      </c>
      <c r="CCR2" s="54" t="s">
        <v>4888</v>
      </c>
      <c r="CCS2" s="55" t="s">
        <v>4889</v>
      </c>
      <c r="CCT2" s="55" t="s">
        <v>4890</v>
      </c>
      <c r="CCU2" s="55" t="s">
        <v>4891</v>
      </c>
      <c r="CCV2" s="55" t="s">
        <v>4892</v>
      </c>
      <c r="CCW2" s="55" t="s">
        <v>4893</v>
      </c>
      <c r="CCX2" s="55" t="s">
        <v>4894</v>
      </c>
      <c r="CCY2" s="55" t="s">
        <v>4895</v>
      </c>
      <c r="CCZ2" s="55" t="s">
        <v>4896</v>
      </c>
      <c r="CDA2" s="55" t="s">
        <v>4897</v>
      </c>
      <c r="CDB2" s="55" t="s">
        <v>4898</v>
      </c>
      <c r="CDC2" s="55" t="s">
        <v>4899</v>
      </c>
      <c r="CDD2" s="54" t="s">
        <v>4900</v>
      </c>
      <c r="CDE2" s="54" t="s">
        <v>4901</v>
      </c>
      <c r="CDF2" s="54" t="s">
        <v>4902</v>
      </c>
      <c r="CDG2" s="54" t="s">
        <v>4903</v>
      </c>
      <c r="CDH2" s="54" t="s">
        <v>4904</v>
      </c>
      <c r="CDI2" s="54" t="s">
        <v>4905</v>
      </c>
      <c r="CDJ2" s="54" t="s">
        <v>4906</v>
      </c>
      <c r="CDK2" s="54" t="s">
        <v>4907</v>
      </c>
      <c r="CDL2" s="54" t="s">
        <v>4908</v>
      </c>
      <c r="CDM2" s="54" t="s">
        <v>4909</v>
      </c>
      <c r="CDN2" s="54" t="s">
        <v>4910</v>
      </c>
      <c r="CDO2" s="54" t="s">
        <v>4911</v>
      </c>
      <c r="CDP2" s="54" t="s">
        <v>4912</v>
      </c>
      <c r="CDQ2" s="54" t="s">
        <v>4913</v>
      </c>
      <c r="CDR2" s="54" t="s">
        <v>4914</v>
      </c>
      <c r="CDS2" s="54" t="s">
        <v>4915</v>
      </c>
      <c r="CDT2" s="54" t="s">
        <v>4916</v>
      </c>
      <c r="CDU2" s="54" t="s">
        <v>4917</v>
      </c>
      <c r="CDV2" s="54" t="s">
        <v>4918</v>
      </c>
      <c r="CDW2" s="54" t="s">
        <v>4919</v>
      </c>
      <c r="CDX2" s="54" t="s">
        <v>4920</v>
      </c>
      <c r="CDY2" s="54" t="s">
        <v>4921</v>
      </c>
      <c r="CDZ2" s="54" t="s">
        <v>4922</v>
      </c>
      <c r="CEA2" s="54" t="s">
        <v>4923</v>
      </c>
      <c r="CEB2" s="54" t="s">
        <v>4924</v>
      </c>
      <c r="CEC2" s="54" t="s">
        <v>4925</v>
      </c>
      <c r="CED2" s="54" t="s">
        <v>4926</v>
      </c>
      <c r="CEE2" s="54" t="s">
        <v>4927</v>
      </c>
      <c r="CEF2" s="54" t="s">
        <v>4928</v>
      </c>
      <c r="CEG2" s="54" t="s">
        <v>4929</v>
      </c>
      <c r="CEH2" s="54" t="s">
        <v>4930</v>
      </c>
      <c r="CEI2" s="54" t="s">
        <v>4931</v>
      </c>
      <c r="CEJ2" s="54" t="s">
        <v>4932</v>
      </c>
      <c r="CEK2" s="54" t="s">
        <v>4933</v>
      </c>
      <c r="CEL2" s="54" t="s">
        <v>4934</v>
      </c>
      <c r="CEM2" s="54" t="s">
        <v>4935</v>
      </c>
      <c r="CEN2" s="54" t="s">
        <v>4936</v>
      </c>
      <c r="CEO2" s="54" t="s">
        <v>4937</v>
      </c>
      <c r="CEP2" s="54" t="s">
        <v>4938</v>
      </c>
      <c r="CEQ2" s="54" t="s">
        <v>4939</v>
      </c>
      <c r="CER2" s="54" t="s">
        <v>4940</v>
      </c>
      <c r="CES2" s="54" t="s">
        <v>4941</v>
      </c>
      <c r="CET2" s="54" t="s">
        <v>4942</v>
      </c>
      <c r="CEU2" s="54" t="s">
        <v>4943</v>
      </c>
      <c r="CEV2" s="54" t="s">
        <v>4944</v>
      </c>
      <c r="CEW2" s="54" t="s">
        <v>4945</v>
      </c>
      <c r="CEX2" s="54" t="s">
        <v>4946</v>
      </c>
      <c r="CEY2" s="54" t="s">
        <v>4947</v>
      </c>
      <c r="CEZ2" s="54" t="s">
        <v>4948</v>
      </c>
      <c r="CFA2" s="54" t="s">
        <v>4949</v>
      </c>
      <c r="CFB2" s="54" t="s">
        <v>4950</v>
      </c>
      <c r="CFC2" s="54" t="s">
        <v>4951</v>
      </c>
      <c r="CFD2" s="54" t="s">
        <v>4952</v>
      </c>
      <c r="CFE2" s="54" t="s">
        <v>4953</v>
      </c>
      <c r="CFF2" s="54" t="s">
        <v>4954</v>
      </c>
      <c r="CFG2" s="54" t="s">
        <v>4955</v>
      </c>
      <c r="CFH2" s="54" t="s">
        <v>4956</v>
      </c>
      <c r="CFI2" s="54" t="s">
        <v>4957</v>
      </c>
      <c r="CFJ2" s="54" t="s">
        <v>4958</v>
      </c>
      <c r="CFK2" s="54" t="s">
        <v>4959</v>
      </c>
      <c r="CFL2" s="54" t="s">
        <v>4960</v>
      </c>
      <c r="CFM2" s="54" t="s">
        <v>4961</v>
      </c>
      <c r="CFN2" s="54" t="s">
        <v>4962</v>
      </c>
      <c r="CFO2" s="54" t="s">
        <v>4963</v>
      </c>
      <c r="CFP2" s="54" t="s">
        <v>4964</v>
      </c>
      <c r="CFQ2" s="54" t="s">
        <v>4965</v>
      </c>
      <c r="CFR2" s="54" t="s">
        <v>4966</v>
      </c>
      <c r="CFS2" s="54" t="s">
        <v>4967</v>
      </c>
      <c r="CFT2" s="54" t="s">
        <v>4968</v>
      </c>
      <c r="CFU2" s="54" t="s">
        <v>4969</v>
      </c>
      <c r="CFV2" s="54" t="s">
        <v>4970</v>
      </c>
      <c r="CFW2" s="54" t="s">
        <v>4971</v>
      </c>
      <c r="CFX2" s="54" t="s">
        <v>4972</v>
      </c>
      <c r="CFY2" s="54" t="s">
        <v>4973</v>
      </c>
      <c r="CFZ2" s="54" t="s">
        <v>4974</v>
      </c>
      <c r="CGA2" s="54" t="s">
        <v>4975</v>
      </c>
      <c r="CGB2" s="54" t="s">
        <v>4976</v>
      </c>
      <c r="CGC2" s="54" t="s">
        <v>4977</v>
      </c>
      <c r="CGD2" s="54" t="s">
        <v>4978</v>
      </c>
      <c r="CGE2" s="54" t="s">
        <v>4979</v>
      </c>
      <c r="CGF2" s="54" t="s">
        <v>4980</v>
      </c>
      <c r="CGG2" s="54" t="s">
        <v>4981</v>
      </c>
      <c r="CGH2" s="54" t="s">
        <v>4982</v>
      </c>
      <c r="CGI2" s="54" t="s">
        <v>4983</v>
      </c>
      <c r="CGJ2" s="54" t="s">
        <v>4201</v>
      </c>
      <c r="CGT2" s="54" t="s">
        <v>4202</v>
      </c>
      <c r="CHD2" s="54" t="s">
        <v>4203</v>
      </c>
      <c r="CHO2" s="54" t="s">
        <v>4204</v>
      </c>
      <c r="CHY2" s="54" t="s">
        <v>4205</v>
      </c>
      <c r="CII2" s="54" t="s">
        <v>4206</v>
      </c>
      <c r="CIT2" s="54" t="s">
        <v>4207</v>
      </c>
      <c r="CJD2" s="54" t="s">
        <v>4208</v>
      </c>
      <c r="CJN2" s="54" t="s">
        <v>4209</v>
      </c>
      <c r="CJX2" s="54" t="s">
        <v>4210</v>
      </c>
      <c r="CKH2" t="s">
        <v>4211</v>
      </c>
      <c r="CKR2" t="s">
        <v>4212</v>
      </c>
      <c r="CLB2" s="54" t="s">
        <v>4213</v>
      </c>
      <c r="CLM2" s="54" t="s">
        <v>4214</v>
      </c>
      <c r="CLW2" s="54" t="s">
        <v>4215</v>
      </c>
      <c r="CMG2" s="54" t="s">
        <v>4216</v>
      </c>
      <c r="CMQ2" s="54" t="s">
        <v>4217</v>
      </c>
      <c r="CNA2" s="54" t="s">
        <v>4218</v>
      </c>
      <c r="CNK2" s="54" t="s">
        <v>4219</v>
      </c>
      <c r="CNU2" s="54" t="s">
        <v>4220</v>
      </c>
      <c r="COE2" s="54" t="s">
        <v>4221</v>
      </c>
      <c r="COP2" s="54" t="s">
        <v>4222</v>
      </c>
      <c r="COZ2" s="54" t="s">
        <v>4223</v>
      </c>
      <c r="CPJ2" s="54" t="s">
        <v>4224</v>
      </c>
      <c r="CPT2" s="54" t="s">
        <v>4225</v>
      </c>
      <c r="CQD2" s="54" t="s">
        <v>4226</v>
      </c>
      <c r="CQN2" s="54" t="s">
        <v>4227</v>
      </c>
      <c r="CQX2" s="54" t="s">
        <v>4228</v>
      </c>
      <c r="CRH2" s="54" t="s">
        <v>4229</v>
      </c>
      <c r="CRR2" s="54" t="s">
        <v>4230</v>
      </c>
      <c r="CSB2" s="54" t="s">
        <v>4231</v>
      </c>
      <c r="CSL2" s="54" t="s">
        <v>4232</v>
      </c>
      <c r="CSV2" s="54" t="s">
        <v>4233</v>
      </c>
      <c r="CTG2" s="54" t="s">
        <v>4234</v>
      </c>
      <c r="CTR2" s="54" t="s">
        <v>4235</v>
      </c>
      <c r="CUB2" s="54" t="s">
        <v>4236</v>
      </c>
      <c r="CUL2" s="54" t="s">
        <v>4237</v>
      </c>
      <c r="CUV2" s="54" t="s">
        <v>4238</v>
      </c>
      <c r="CVF2" s="54" t="s">
        <v>4239</v>
      </c>
      <c r="CVP2" s="54" t="s">
        <v>4240</v>
      </c>
      <c r="CVZ2" s="54" t="s">
        <v>4241</v>
      </c>
      <c r="CWJ2" s="54" t="s">
        <v>4242</v>
      </c>
      <c r="CWU2" s="54" t="s">
        <v>4243</v>
      </c>
      <c r="CXF2" s="54" t="s">
        <v>4244</v>
      </c>
      <c r="CXQ2" s="54" t="s">
        <v>4245</v>
      </c>
      <c r="CYA2" s="54" t="s">
        <v>4246</v>
      </c>
      <c r="CYK2" s="54" t="s">
        <v>4247</v>
      </c>
      <c r="CYU2" s="54" t="s">
        <v>4248</v>
      </c>
      <c r="CZE2" s="54" t="s">
        <v>4249</v>
      </c>
      <c r="CZP2" t="s">
        <v>4250</v>
      </c>
      <c r="CZZ2" s="54" t="s">
        <v>4251</v>
      </c>
      <c r="DAK2" s="54" t="s">
        <v>4252</v>
      </c>
      <c r="DAU2" s="54" t="s">
        <v>4253</v>
      </c>
      <c r="DBE2" s="54" t="s">
        <v>4254</v>
      </c>
      <c r="DBO2" s="54" t="s">
        <v>4255</v>
      </c>
      <c r="DBY2" s="54" t="s">
        <v>4256</v>
      </c>
      <c r="DCI2" s="54" t="s">
        <v>4257</v>
      </c>
      <c r="DCT2" s="54" t="s">
        <v>4258</v>
      </c>
      <c r="DDE2" s="54" t="s">
        <v>4259</v>
      </c>
      <c r="DDP2" s="54" t="s">
        <v>4260</v>
      </c>
      <c r="DDZ2" s="54" t="s">
        <v>4261</v>
      </c>
      <c r="DEJ2" s="54" t="s">
        <v>4262</v>
      </c>
      <c r="DET2" s="54" t="s">
        <v>4263</v>
      </c>
      <c r="DFD2" s="54" t="s">
        <v>4264</v>
      </c>
      <c r="DFN2" s="54" t="s">
        <v>4265</v>
      </c>
      <c r="DFX2" s="54" t="s">
        <v>4266</v>
      </c>
      <c r="DGH2" s="54" t="s">
        <v>4267</v>
      </c>
      <c r="DGR2" s="54" t="s">
        <v>4268</v>
      </c>
      <c r="DHB2" s="54" t="s">
        <v>4269</v>
      </c>
      <c r="DHL2" s="54" t="s">
        <v>4270</v>
      </c>
      <c r="DHV2" s="54" t="s">
        <v>4271</v>
      </c>
      <c r="DIF2" s="54" t="s">
        <v>4272</v>
      </c>
      <c r="DIP2" s="54" t="s">
        <v>4273</v>
      </c>
      <c r="DIZ2" s="54" t="s">
        <v>4274</v>
      </c>
      <c r="DJJ2" s="54" t="s">
        <v>4275</v>
      </c>
      <c r="DJU2" s="54" t="s">
        <v>4276</v>
      </c>
      <c r="DKE2" s="54" t="s">
        <v>4277</v>
      </c>
      <c r="DKO2" s="54" t="s">
        <v>4278</v>
      </c>
      <c r="DKY2" s="54" t="s">
        <v>4279</v>
      </c>
      <c r="DLI2" s="54" t="s">
        <v>4280</v>
      </c>
      <c r="DLS2" s="54" t="s">
        <v>4281</v>
      </c>
      <c r="DMC2" s="54" t="s">
        <v>4282</v>
      </c>
      <c r="DMM2" s="54" t="s">
        <v>4283</v>
      </c>
      <c r="DMW2" s="54" t="s">
        <v>4284</v>
      </c>
      <c r="DNG2" s="54" t="s">
        <v>4285</v>
      </c>
      <c r="DNQ2" t="s">
        <v>4286</v>
      </c>
      <c r="DOA2" s="54" t="s">
        <v>4287</v>
      </c>
      <c r="DOK2" s="54" t="s">
        <v>4288</v>
      </c>
      <c r="DOU2" s="54" t="s">
        <v>4289</v>
      </c>
      <c r="DPF2" s="54" t="s">
        <v>4290</v>
      </c>
      <c r="DPP2" s="54" t="s">
        <v>4291</v>
      </c>
      <c r="DPZ2" s="54" t="s">
        <v>4292</v>
      </c>
      <c r="DQJ2" s="54" t="s">
        <v>4293</v>
      </c>
      <c r="DQU2" s="54" t="s">
        <v>4294</v>
      </c>
      <c r="DRE2" s="54" t="s">
        <v>4295</v>
      </c>
      <c r="DRO2" s="54" t="s">
        <v>4296</v>
      </c>
      <c r="DRZ2" t="s">
        <v>4297</v>
      </c>
      <c r="DSJ2" s="54" t="s">
        <v>4298</v>
      </c>
      <c r="DST2" s="54" t="s">
        <v>4299</v>
      </c>
      <c r="DTD2" s="54" t="s">
        <v>4300</v>
      </c>
      <c r="DTN2" s="54" t="s">
        <v>4301</v>
      </c>
      <c r="DTY2" t="s">
        <v>4302</v>
      </c>
      <c r="DUI2" t="s">
        <v>4303</v>
      </c>
      <c r="DUS2" s="54" t="s">
        <v>4304</v>
      </c>
      <c r="DVC2" s="54" t="s">
        <v>4305</v>
      </c>
      <c r="DVM2" s="54" t="s">
        <v>4306</v>
      </c>
      <c r="DVX2" s="54" t="s">
        <v>4307</v>
      </c>
      <c r="DWH2" s="54" t="s">
        <v>4308</v>
      </c>
      <c r="DWR2" s="54" t="s">
        <v>4309</v>
      </c>
      <c r="DXB2" s="54" t="s">
        <v>4310</v>
      </c>
      <c r="DXM2" s="54" t="s">
        <v>4311</v>
      </c>
      <c r="DXX2" s="54" t="s">
        <v>4312</v>
      </c>
      <c r="DYI2" s="54" t="s">
        <v>4313</v>
      </c>
      <c r="DYT2" t="s">
        <v>4314</v>
      </c>
      <c r="DZE2" s="54" t="s">
        <v>4315</v>
      </c>
      <c r="DZQ2" s="54" t="s">
        <v>4316</v>
      </c>
      <c r="EAA2" t="s">
        <v>4317</v>
      </c>
      <c r="EAK2" s="54" t="s">
        <v>4318</v>
      </c>
      <c r="EAW2" s="54" t="s">
        <v>4319</v>
      </c>
      <c r="EBG2" s="54" t="s">
        <v>4320</v>
      </c>
      <c r="EBQ2" s="54" t="s">
        <v>4321</v>
      </c>
      <c r="ECA2" s="54" t="s">
        <v>4322</v>
      </c>
      <c r="ECK2" s="54" t="s">
        <v>4323</v>
      </c>
      <c r="ECV2" s="54" t="s">
        <v>4324</v>
      </c>
      <c r="EDF2" s="54" t="s">
        <v>4325</v>
      </c>
      <c r="EDP2" s="54" t="s">
        <v>4326</v>
      </c>
      <c r="EDZ2" s="55" t="s">
        <v>4327</v>
      </c>
      <c r="EEK2" s="55" t="s">
        <v>4328</v>
      </c>
      <c r="EEV2" s="54" t="s">
        <v>4329</v>
      </c>
      <c r="EFH2" s="54" t="s">
        <v>4330</v>
      </c>
      <c r="EFT2" s="54" t="s">
        <v>4331</v>
      </c>
      <c r="EGD2" t="s">
        <v>4332</v>
      </c>
      <c r="EGN2" s="54" t="s">
        <v>4333</v>
      </c>
      <c r="EGX2" s="54" t="s">
        <v>4334</v>
      </c>
      <c r="EHH2" s="54" t="s">
        <v>4335</v>
      </c>
      <c r="EHR2" s="54" t="s">
        <v>4336</v>
      </c>
      <c r="EIB2" s="54" t="s">
        <v>4337</v>
      </c>
      <c r="EIL2" s="54" t="s">
        <v>4338</v>
      </c>
      <c r="EIV2" s="54" t="s">
        <v>4339</v>
      </c>
      <c r="EJF2" s="54" t="s">
        <v>4340</v>
      </c>
      <c r="EJP2" s="54" t="s">
        <v>4341</v>
      </c>
      <c r="EJZ2" s="54" t="s">
        <v>4342</v>
      </c>
      <c r="EKJ2" s="54" t="s">
        <v>4343</v>
      </c>
      <c r="EKT2" s="54" t="s">
        <v>4344</v>
      </c>
      <c r="ELD2" s="54" t="s">
        <v>4345</v>
      </c>
      <c r="ELN2" s="54" t="s">
        <v>4346</v>
      </c>
      <c r="ELX2" s="54" t="s">
        <v>4347</v>
      </c>
      <c r="EMI2" s="54" t="s">
        <v>4348</v>
      </c>
      <c r="EMS2" s="54" t="s">
        <v>4349</v>
      </c>
      <c r="ENC2" s="54" t="s">
        <v>4346</v>
      </c>
      <c r="ENM2" s="54" t="s">
        <v>4350</v>
      </c>
      <c r="ENW2" s="54" t="s">
        <v>4351</v>
      </c>
      <c r="EOG2" t="s">
        <v>4352</v>
      </c>
      <c r="EOQ2" s="54" t="s">
        <v>4353</v>
      </c>
      <c r="EPA2" s="54" t="s">
        <v>4354</v>
      </c>
      <c r="EPL2" s="54" t="s">
        <v>4355</v>
      </c>
      <c r="EPW2" s="54" t="s">
        <v>4356</v>
      </c>
      <c r="EQG2" s="54" t="s">
        <v>4357</v>
      </c>
      <c r="EQQ2" s="54" t="s">
        <v>4358</v>
      </c>
      <c r="ERB2" t="s">
        <v>4359</v>
      </c>
      <c r="ERL2" s="54" t="s">
        <v>4360</v>
      </c>
      <c r="ERV2" s="54" t="s">
        <v>4361</v>
      </c>
      <c r="ESF2" s="54" t="s">
        <v>4362</v>
      </c>
      <c r="ESP2" s="54" t="s">
        <v>4363</v>
      </c>
      <c r="ESX2" s="54" t="s">
        <v>4364</v>
      </c>
      <c r="ETI2" s="54" t="s">
        <v>4365</v>
      </c>
      <c r="ETS2" s="54" t="s">
        <v>4366</v>
      </c>
      <c r="EUC2" t="s">
        <v>4367</v>
      </c>
      <c r="EUN2" s="54" t="s">
        <v>4368</v>
      </c>
      <c r="EUX2" s="54" t="s">
        <v>4369</v>
      </c>
      <c r="EVH2" s="54" t="s">
        <v>4370</v>
      </c>
      <c r="EVR2" s="54" t="s">
        <v>4371</v>
      </c>
      <c r="EWB2" t="s">
        <v>4372</v>
      </c>
      <c r="EWL2" s="54" t="s">
        <v>4373</v>
      </c>
      <c r="EWW2" s="54" t="s">
        <v>4374</v>
      </c>
      <c r="EXH2" t="s">
        <v>4375</v>
      </c>
      <c r="EXR2" s="54" t="s">
        <v>4376</v>
      </c>
      <c r="EYB2" s="54" t="s">
        <v>4377</v>
      </c>
      <c r="EYL2" s="54" t="s">
        <v>4378</v>
      </c>
      <c r="EYV2" s="54" t="s">
        <v>4379</v>
      </c>
      <c r="EZF2" s="54" t="s">
        <v>4380</v>
      </c>
      <c r="EZQ2" s="54" t="s">
        <v>4381</v>
      </c>
      <c r="FAA2" t="s">
        <v>4382</v>
      </c>
      <c r="FAK2" s="54" t="s">
        <v>4383</v>
      </c>
      <c r="FAU2" s="54" t="s">
        <v>4384</v>
      </c>
      <c r="FBE2" s="54" t="s">
        <v>4385</v>
      </c>
      <c r="FBP2" s="54" t="s">
        <v>4386</v>
      </c>
      <c r="FBZ2" s="54" t="s">
        <v>4387</v>
      </c>
      <c r="FCJ2" s="54" t="s">
        <v>4388</v>
      </c>
      <c r="FCT2" t="s">
        <v>4389</v>
      </c>
      <c r="FDD2" s="54" t="s">
        <v>4390</v>
      </c>
      <c r="FDN2" t="s">
        <v>4391</v>
      </c>
      <c r="FDX2" s="54" t="s">
        <v>4392</v>
      </c>
      <c r="FEH2" s="54" t="s">
        <v>4393</v>
      </c>
      <c r="FES2" s="54" t="s">
        <v>4394</v>
      </c>
      <c r="FFC2" s="54" t="s">
        <v>4395</v>
      </c>
      <c r="FFM2" s="54" t="s">
        <v>4396</v>
      </c>
      <c r="FFW2" s="54" t="s">
        <v>4397</v>
      </c>
      <c r="FGG2" s="54" t="s">
        <v>4398</v>
      </c>
      <c r="FGQ2" s="54" t="s">
        <v>4399</v>
      </c>
      <c r="FHB2" s="54" t="s">
        <v>4400</v>
      </c>
      <c r="FHL2" s="54" t="s">
        <v>4401</v>
      </c>
      <c r="FHV2" s="54" t="s">
        <v>4402</v>
      </c>
      <c r="FIF2" s="54" t="s">
        <v>4403</v>
      </c>
      <c r="FIP2" s="54" t="s">
        <v>4404</v>
      </c>
      <c r="FIZ2" s="54" t="s">
        <v>4405</v>
      </c>
      <c r="FJK2" s="54" t="s">
        <v>4406</v>
      </c>
      <c r="FJU2" s="54" t="s">
        <v>4407</v>
      </c>
      <c r="FKE2" t="s">
        <v>4408</v>
      </c>
      <c r="FKO2" s="54" t="s">
        <v>4409</v>
      </c>
      <c r="FKY2" s="54" t="s">
        <v>4410</v>
      </c>
      <c r="FLI2" s="54" t="s">
        <v>4411</v>
      </c>
      <c r="FLS2" s="54" t="s">
        <v>4412</v>
      </c>
      <c r="FMC2" s="54" t="s">
        <v>4413</v>
      </c>
      <c r="FMM2" s="54" t="s">
        <v>4414</v>
      </c>
      <c r="FMX2" s="54" t="s">
        <v>4415</v>
      </c>
      <c r="FNH2" s="54" t="s">
        <v>4416</v>
      </c>
      <c r="FNR2" s="54" t="s">
        <v>4417</v>
      </c>
      <c r="FOB2" s="54" t="s">
        <v>4418</v>
      </c>
      <c r="FOL2" s="54" t="s">
        <v>4419</v>
      </c>
      <c r="FOV2" s="54" t="s">
        <v>4420</v>
      </c>
      <c r="FPF2" s="54" t="s">
        <v>4421</v>
      </c>
      <c r="FPP2" t="s">
        <v>4422</v>
      </c>
      <c r="FPZ2" s="54" t="s">
        <v>4423</v>
      </c>
      <c r="FQJ2" s="54" t="s">
        <v>4424</v>
      </c>
      <c r="FQT2" s="54" t="s">
        <v>4425</v>
      </c>
      <c r="FRD2" s="54" t="s">
        <v>4426</v>
      </c>
      <c r="FRN2" t="s">
        <v>4427</v>
      </c>
      <c r="FRX2" s="54" t="s">
        <v>4428</v>
      </c>
      <c r="FSH2" s="54" t="s">
        <v>4429</v>
      </c>
      <c r="FSR2" s="54" t="s">
        <v>4430</v>
      </c>
      <c r="FTB2" s="54" t="s">
        <v>4431</v>
      </c>
      <c r="FTL2" s="54" t="s">
        <v>4432</v>
      </c>
      <c r="FTV2" s="54" t="s">
        <v>4433</v>
      </c>
      <c r="FUF2" s="54" t="s">
        <v>4434</v>
      </c>
      <c r="FUN2" s="54" t="s">
        <v>4435</v>
      </c>
      <c r="FUX2" t="s">
        <v>4436</v>
      </c>
      <c r="FVF2" s="54" t="s">
        <v>4437</v>
      </c>
      <c r="FVP2" s="54" t="s">
        <v>4438</v>
      </c>
      <c r="FVZ2" s="54" t="s">
        <v>4439</v>
      </c>
      <c r="FWJ2" s="54" t="s">
        <v>4440</v>
      </c>
      <c r="FWT2" s="56" t="s">
        <v>4441</v>
      </c>
      <c r="FXD2" s="54" t="s">
        <v>4442</v>
      </c>
      <c r="FXO2" s="54" t="s">
        <v>4443</v>
      </c>
      <c r="FXY2" s="54" t="s">
        <v>4444</v>
      </c>
      <c r="FYI2" s="54" t="s">
        <v>4445</v>
      </c>
      <c r="FYS2" s="54" t="s">
        <v>4446</v>
      </c>
      <c r="FZC2" t="s">
        <v>4447</v>
      </c>
      <c r="FZM2" s="54" t="s">
        <v>4448</v>
      </c>
      <c r="FZW2" s="54" t="s">
        <v>4449</v>
      </c>
      <c r="GAG2" s="54" t="s">
        <v>4450</v>
      </c>
      <c r="GAR2" s="54" t="s">
        <v>4451</v>
      </c>
      <c r="GBB2" s="54" t="s">
        <v>4452</v>
      </c>
      <c r="GBL2" s="54" t="s">
        <v>4453</v>
      </c>
      <c r="GBV2" s="54" t="s">
        <v>4454</v>
      </c>
      <c r="GCF2" s="54" t="s">
        <v>4455</v>
      </c>
      <c r="GCP2" s="54" t="s">
        <v>4456</v>
      </c>
      <c r="GDA2" s="54" t="s">
        <v>4457</v>
      </c>
      <c r="GDK2" s="54" t="s">
        <v>4458</v>
      </c>
      <c r="GDU2" s="54" t="s">
        <v>4459</v>
      </c>
      <c r="GEF2" s="54" t="s">
        <v>4460</v>
      </c>
      <c r="GEQ2" s="54" t="s">
        <v>4461</v>
      </c>
      <c r="GFB2" s="54" t="s">
        <v>4462</v>
      </c>
      <c r="GFL2" s="54" t="s">
        <v>4463</v>
      </c>
      <c r="GFV2" s="54" t="s">
        <v>4464</v>
      </c>
      <c r="GGF2" s="54" t="s">
        <v>4465</v>
      </c>
      <c r="GGQ2" t="s">
        <v>4466</v>
      </c>
      <c r="GHA2" s="54" t="s">
        <v>4467</v>
      </c>
      <c r="GHK2" t="s">
        <v>4468</v>
      </c>
      <c r="GHU2" s="54" t="s">
        <v>4469</v>
      </c>
      <c r="GIE2" t="s">
        <v>4470</v>
      </c>
      <c r="GIO2" s="54" t="s">
        <v>4471</v>
      </c>
      <c r="GIY2" s="54" t="s">
        <v>4472</v>
      </c>
      <c r="GJI2" s="54" t="s">
        <v>4473</v>
      </c>
      <c r="GJS2" s="54" t="s">
        <v>4474</v>
      </c>
      <c r="GKC2" s="54" t="s">
        <v>4475</v>
      </c>
      <c r="GKM2" s="54" t="s">
        <v>4476</v>
      </c>
      <c r="GKW2" s="54" t="s">
        <v>4477</v>
      </c>
      <c r="GLG2" s="54" t="s">
        <v>4478</v>
      </c>
      <c r="GLQ2" s="54" t="s">
        <v>4479</v>
      </c>
      <c r="GMB2" s="54" t="s">
        <v>4480</v>
      </c>
      <c r="GML2" s="54" t="s">
        <v>4481</v>
      </c>
      <c r="GMV2" t="s">
        <v>4482</v>
      </c>
      <c r="GNF2" s="54" t="s">
        <v>4483</v>
      </c>
      <c r="GNP2" s="54" t="s">
        <v>4484</v>
      </c>
      <c r="GOA2" s="54" t="s">
        <v>4485</v>
      </c>
      <c r="GOL2" s="54" t="s">
        <v>4486</v>
      </c>
      <c r="GOV2" s="54" t="s">
        <v>4487</v>
      </c>
      <c r="GPG2" s="54" t="s">
        <v>4488</v>
      </c>
      <c r="GPR2" s="54" t="s">
        <v>4489</v>
      </c>
      <c r="GQB2" s="54" t="s">
        <v>4490</v>
      </c>
      <c r="GQM2" s="54" t="s">
        <v>4491</v>
      </c>
      <c r="GQX2" s="54" t="s">
        <v>4492</v>
      </c>
      <c r="GRI2" s="54" t="s">
        <v>4493</v>
      </c>
      <c r="GRS2" s="54" t="s">
        <v>4494</v>
      </c>
      <c r="GSC2" s="54" t="s">
        <v>4495</v>
      </c>
      <c r="GSM2" t="s">
        <v>4496</v>
      </c>
      <c r="GSW2" s="54" t="s">
        <v>4497</v>
      </c>
      <c r="GTG2" s="54" t="s">
        <v>4498</v>
      </c>
      <c r="GTR2" s="56" t="s">
        <v>4499</v>
      </c>
      <c r="GUC2" t="s">
        <v>4500</v>
      </c>
      <c r="GUM2" s="54" t="s">
        <v>4501</v>
      </c>
      <c r="GUX2" s="54" t="s">
        <v>4502</v>
      </c>
      <c r="GVI2" s="54" t="s">
        <v>4503</v>
      </c>
      <c r="GVS2" s="54" t="s">
        <v>4504</v>
      </c>
      <c r="GWC2" t="s">
        <v>4505</v>
      </c>
      <c r="GWD2" t="s">
        <v>4506</v>
      </c>
      <c r="GWE2" t="s">
        <v>4507</v>
      </c>
      <c r="GWF2" t="s">
        <v>4508</v>
      </c>
      <c r="GWG2" t="s">
        <v>4509</v>
      </c>
      <c r="GWI2" s="57" t="s">
        <v>4510</v>
      </c>
      <c r="GWJ2" s="56" t="s">
        <v>4511</v>
      </c>
      <c r="GWK2" s="56" t="s">
        <v>4512</v>
      </c>
      <c r="GWL2" t="s">
        <v>4513</v>
      </c>
      <c r="GWM2" t="s">
        <v>4514</v>
      </c>
      <c r="GWN2" t="s">
        <v>4984</v>
      </c>
      <c r="GWO2" t="s">
        <v>4985</v>
      </c>
      <c r="GWP2" t="s">
        <v>4986</v>
      </c>
      <c r="GWQ2" t="s">
        <v>4987</v>
      </c>
      <c r="GWR2" t="s">
        <v>4988</v>
      </c>
      <c r="GWS2" t="s">
        <v>4989</v>
      </c>
      <c r="GWT2" t="s">
        <v>4990</v>
      </c>
      <c r="GWU2" t="s">
        <v>4991</v>
      </c>
      <c r="GWV2" t="s">
        <v>4992</v>
      </c>
      <c r="GWW2" t="s">
        <v>4993</v>
      </c>
      <c r="GWX2" t="s">
        <v>4994</v>
      </c>
      <c r="GWY2" t="s">
        <v>4995</v>
      </c>
      <c r="GWZ2" t="s">
        <v>4996</v>
      </c>
      <c r="GXA2" t="s">
        <v>4997</v>
      </c>
      <c r="GXB2" t="s">
        <v>4998</v>
      </c>
      <c r="GXC2" t="s">
        <v>4999</v>
      </c>
      <c r="GXD2" t="s">
        <v>5000</v>
      </c>
      <c r="GXE2" t="s">
        <v>5001</v>
      </c>
      <c r="GXF2" t="s">
        <v>5002</v>
      </c>
      <c r="GXG2" t="s">
        <v>5003</v>
      </c>
      <c r="GXH2" t="s">
        <v>5004</v>
      </c>
      <c r="GXI2" t="s">
        <v>5005</v>
      </c>
      <c r="GXJ2" t="s">
        <v>5006</v>
      </c>
      <c r="GXK2" t="s">
        <v>5007</v>
      </c>
      <c r="GXL2" t="s">
        <v>5008</v>
      </c>
      <c r="GXM2" t="s">
        <v>5009</v>
      </c>
      <c r="GXN2" t="s">
        <v>5010</v>
      </c>
      <c r="GXO2" t="s">
        <v>5011</v>
      </c>
      <c r="GXP2" t="s">
        <v>5012</v>
      </c>
      <c r="GXQ2" t="s">
        <v>5013</v>
      </c>
      <c r="GXR2" t="s">
        <v>5014</v>
      </c>
      <c r="GXS2" t="s">
        <v>5015</v>
      </c>
      <c r="GXT2" t="s">
        <v>5016</v>
      </c>
      <c r="GXU2" t="s">
        <v>5017</v>
      </c>
      <c r="GXV2" t="s">
        <v>5018</v>
      </c>
      <c r="GXW2" t="s">
        <v>5019</v>
      </c>
      <c r="GXX2" t="s">
        <v>5020</v>
      </c>
      <c r="GXY2" t="s">
        <v>5021</v>
      </c>
      <c r="GXZ2" t="s">
        <v>5022</v>
      </c>
      <c r="GYA2" t="s">
        <v>5023</v>
      </c>
      <c r="GYB2" t="s">
        <v>5024</v>
      </c>
      <c r="GYC2" t="s">
        <v>5025</v>
      </c>
      <c r="GYD2" t="s">
        <v>5026</v>
      </c>
      <c r="GYE2" t="s">
        <v>5027</v>
      </c>
      <c r="GYF2" t="s">
        <v>5028</v>
      </c>
      <c r="GYG2" t="s">
        <v>5029</v>
      </c>
      <c r="GYH2" t="s">
        <v>5030</v>
      </c>
      <c r="GYI2" t="s">
        <v>5031</v>
      </c>
      <c r="GYJ2" t="s">
        <v>5032</v>
      </c>
      <c r="GYK2" t="s">
        <v>5033</v>
      </c>
      <c r="GYL2" t="s">
        <v>5034</v>
      </c>
      <c r="GYM2" t="s">
        <v>5035</v>
      </c>
      <c r="GYN2" t="s">
        <v>5036</v>
      </c>
      <c r="GYO2" t="s">
        <v>5037</v>
      </c>
      <c r="GYP2" t="s">
        <v>5038</v>
      </c>
      <c r="GYQ2" t="s">
        <v>5039</v>
      </c>
      <c r="GYR2" t="s">
        <v>5040</v>
      </c>
      <c r="GYS2" t="s">
        <v>5041</v>
      </c>
      <c r="GYT2" t="s">
        <v>5042</v>
      </c>
      <c r="GYU2" t="s">
        <v>5043</v>
      </c>
      <c r="GYV2" t="s">
        <v>5044</v>
      </c>
      <c r="GYW2" t="s">
        <v>5045</v>
      </c>
      <c r="GYX2" t="s">
        <v>5046</v>
      </c>
      <c r="GYY2" t="s">
        <v>5047</v>
      </c>
      <c r="GYZ2" t="s">
        <v>5048</v>
      </c>
      <c r="GZA2" t="s">
        <v>5049</v>
      </c>
      <c r="GZB2" t="s">
        <v>5050</v>
      </c>
      <c r="GZC2" t="s">
        <v>5051</v>
      </c>
      <c r="GZD2" t="s">
        <v>5052</v>
      </c>
      <c r="GZE2" t="s">
        <v>5053</v>
      </c>
      <c r="GZF2" t="s">
        <v>5054</v>
      </c>
      <c r="GZG2" t="s">
        <v>5055</v>
      </c>
      <c r="GZH2" t="s">
        <v>5056</v>
      </c>
      <c r="GZI2" t="s">
        <v>5057</v>
      </c>
      <c r="GZJ2" t="s">
        <v>5058</v>
      </c>
      <c r="GZK2" t="s">
        <v>5059</v>
      </c>
      <c r="GZL2" t="s">
        <v>5060</v>
      </c>
      <c r="GZM2" t="s">
        <v>5061</v>
      </c>
      <c r="GZN2" t="s">
        <v>5062</v>
      </c>
      <c r="GZO2" t="s">
        <v>5063</v>
      </c>
      <c r="GZP2" t="s">
        <v>5064</v>
      </c>
      <c r="GZQ2" t="s">
        <v>5065</v>
      </c>
      <c r="GZR2" t="s">
        <v>5066</v>
      </c>
      <c r="GZS2" t="s">
        <v>5067</v>
      </c>
      <c r="GZT2" t="s">
        <v>5068</v>
      </c>
      <c r="GZU2" t="s">
        <v>5069</v>
      </c>
      <c r="GZV2" t="s">
        <v>5070</v>
      </c>
      <c r="GZW2" t="s">
        <v>5071</v>
      </c>
      <c r="GZX2" t="s">
        <v>5072</v>
      </c>
      <c r="GZY2" t="s">
        <v>5073</v>
      </c>
      <c r="GZZ2" t="s">
        <v>5074</v>
      </c>
      <c r="HAA2" t="s">
        <v>5075</v>
      </c>
      <c r="HAB2" t="s">
        <v>5076</v>
      </c>
      <c r="HAC2" t="s">
        <v>5077</v>
      </c>
      <c r="HAD2" t="s">
        <v>5078</v>
      </c>
      <c r="HAE2" t="s">
        <v>5079</v>
      </c>
      <c r="HAF2" t="s">
        <v>5080</v>
      </c>
      <c r="HAG2" t="s">
        <v>5081</v>
      </c>
      <c r="HAH2" t="s">
        <v>5082</v>
      </c>
      <c r="HAI2" t="s">
        <v>5083</v>
      </c>
      <c r="HAJ2" t="s">
        <v>5084</v>
      </c>
      <c r="HAK2" t="s">
        <v>5085</v>
      </c>
      <c r="HAL2" t="s">
        <v>5086</v>
      </c>
      <c r="HAM2" t="s">
        <v>5087</v>
      </c>
      <c r="HAN2" t="s">
        <v>5088</v>
      </c>
      <c r="HAO2" t="s">
        <v>5089</v>
      </c>
      <c r="HAP2" t="s">
        <v>5090</v>
      </c>
      <c r="HAQ2" t="s">
        <v>5091</v>
      </c>
      <c r="HAR2" t="s">
        <v>5092</v>
      </c>
      <c r="HAS2" t="s">
        <v>5093</v>
      </c>
      <c r="HAT2" t="s">
        <v>5094</v>
      </c>
      <c r="HAU2" t="s">
        <v>5095</v>
      </c>
      <c r="HAV2" t="s">
        <v>5096</v>
      </c>
      <c r="HAW2" t="s">
        <v>5097</v>
      </c>
      <c r="HAX2" t="s">
        <v>5098</v>
      </c>
      <c r="HAY2" t="s">
        <v>5099</v>
      </c>
      <c r="HAZ2" t="s">
        <v>5100</v>
      </c>
      <c r="HBA2" t="s">
        <v>5101</v>
      </c>
      <c r="HBB2" t="s">
        <v>5102</v>
      </c>
      <c r="HBC2" t="s">
        <v>5103</v>
      </c>
      <c r="HBD2" t="s">
        <v>5104</v>
      </c>
      <c r="HBE2" t="s">
        <v>5105</v>
      </c>
      <c r="HBF2" t="s">
        <v>5106</v>
      </c>
      <c r="HBG2" t="s">
        <v>5107</v>
      </c>
      <c r="HBH2" t="s">
        <v>5108</v>
      </c>
      <c r="HBI2" t="s">
        <v>5109</v>
      </c>
      <c r="HBJ2" t="s">
        <v>5110</v>
      </c>
      <c r="HBK2" t="s">
        <v>5111</v>
      </c>
      <c r="HBL2" t="s">
        <v>5112</v>
      </c>
      <c r="HBM2" t="s">
        <v>5113</v>
      </c>
      <c r="HBN2" t="s">
        <v>5114</v>
      </c>
      <c r="HBO2" t="s">
        <v>5115</v>
      </c>
      <c r="HBP2" t="s">
        <v>5116</v>
      </c>
      <c r="HBQ2" t="s">
        <v>5117</v>
      </c>
      <c r="HBR2" t="s">
        <v>5118</v>
      </c>
      <c r="HBS2" t="s">
        <v>5119</v>
      </c>
      <c r="HBT2" t="s">
        <v>5120</v>
      </c>
      <c r="HBU2" t="s">
        <v>5121</v>
      </c>
      <c r="HBV2" t="s">
        <v>5122</v>
      </c>
      <c r="HBW2" t="s">
        <v>5123</v>
      </c>
      <c r="HBX2" t="s">
        <v>5124</v>
      </c>
      <c r="HBY2" t="s">
        <v>5125</v>
      </c>
      <c r="HBZ2" t="s">
        <v>5126</v>
      </c>
      <c r="HCA2" t="s">
        <v>5127</v>
      </c>
      <c r="HCB2" t="s">
        <v>5128</v>
      </c>
      <c r="HCC2" t="s">
        <v>5129</v>
      </c>
      <c r="HCD2" t="s">
        <v>5130</v>
      </c>
      <c r="HCE2" t="s">
        <v>5131</v>
      </c>
      <c r="HCF2" t="s">
        <v>5132</v>
      </c>
      <c r="HCG2" t="s">
        <v>5133</v>
      </c>
      <c r="HCH2" t="s">
        <v>5134</v>
      </c>
      <c r="HCI2" t="s">
        <v>5135</v>
      </c>
      <c r="HCJ2" t="s">
        <v>5136</v>
      </c>
      <c r="HCK2" t="s">
        <v>5137</v>
      </c>
      <c r="HCL2" t="s">
        <v>5138</v>
      </c>
      <c r="HCM2" t="s">
        <v>5139</v>
      </c>
      <c r="HCN2" t="s">
        <v>5140</v>
      </c>
      <c r="HCO2" t="s">
        <v>5141</v>
      </c>
      <c r="HCP2" t="s">
        <v>5142</v>
      </c>
      <c r="HCQ2" t="s">
        <v>5143</v>
      </c>
      <c r="HCR2" t="s">
        <v>5144</v>
      </c>
      <c r="HCS2" t="s">
        <v>5145</v>
      </c>
      <c r="HCT2" t="s">
        <v>5146</v>
      </c>
      <c r="HCU2" t="s">
        <v>5147</v>
      </c>
      <c r="HCV2" t="s">
        <v>5148</v>
      </c>
      <c r="HCW2" t="s">
        <v>5149</v>
      </c>
      <c r="HCX2" t="s">
        <v>5150</v>
      </c>
      <c r="HCY2" t="s">
        <v>5151</v>
      </c>
      <c r="HCZ2" t="s">
        <v>5152</v>
      </c>
      <c r="HDA2" t="s">
        <v>5153</v>
      </c>
      <c r="HDB2" t="s">
        <v>5154</v>
      </c>
      <c r="HDC2" t="s">
        <v>5155</v>
      </c>
      <c r="HDD2" t="s">
        <v>5156</v>
      </c>
      <c r="HDE2" t="s">
        <v>5157</v>
      </c>
      <c r="HDF2" t="s">
        <v>5158</v>
      </c>
      <c r="HDG2" t="s">
        <v>5159</v>
      </c>
      <c r="HDH2" t="s">
        <v>5160</v>
      </c>
      <c r="HDI2" t="s">
        <v>5161</v>
      </c>
      <c r="HDJ2" t="s">
        <v>5162</v>
      </c>
      <c r="HDK2" t="s">
        <v>5163</v>
      </c>
      <c r="HDL2" t="s">
        <v>5164</v>
      </c>
      <c r="HDM2" t="s">
        <v>5165</v>
      </c>
      <c r="HDN2" t="s">
        <v>5166</v>
      </c>
      <c r="HDO2" t="s">
        <v>5167</v>
      </c>
      <c r="HDP2" t="s">
        <v>5168</v>
      </c>
      <c r="HDQ2" t="s">
        <v>5169</v>
      </c>
      <c r="HDR2" t="s">
        <v>5170</v>
      </c>
      <c r="HDS2" t="s">
        <v>5171</v>
      </c>
      <c r="HDT2" t="s">
        <v>5172</v>
      </c>
      <c r="HDU2" t="s">
        <v>5173</v>
      </c>
      <c r="HDV2" t="s">
        <v>5174</v>
      </c>
    </row>
    <row r="3" spans="1:5809" s="63" customFormat="1" x14ac:dyDescent="0.25">
      <c r="A3" s="63">
        <v>7072184</v>
      </c>
      <c r="B3" s="89" t="s">
        <v>4188</v>
      </c>
      <c r="K3" s="63">
        <v>12.441000000000001</v>
      </c>
      <c r="L3" s="91"/>
      <c r="M3" s="91"/>
      <c r="N3" s="91"/>
      <c r="O3" s="91"/>
      <c r="P3" s="91"/>
      <c r="Q3" s="91"/>
      <c r="R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63">
        <v>2.9</v>
      </c>
      <c r="DS3" s="63">
        <v>18</v>
      </c>
      <c r="EF3" s="63">
        <v>108.5</v>
      </c>
      <c r="EG3" s="91"/>
      <c r="EH3" s="91"/>
      <c r="EI3" s="91"/>
      <c r="EJ3" s="91"/>
      <c r="EK3" s="91"/>
      <c r="EL3" s="91"/>
      <c r="EM3" s="91"/>
      <c r="EN3" s="91"/>
      <c r="EO3" s="91"/>
      <c r="EP3" s="91"/>
      <c r="EQ3" s="91"/>
      <c r="ER3" s="91"/>
      <c r="ES3" s="91"/>
      <c r="ET3" s="91"/>
      <c r="EU3" s="91"/>
      <c r="EV3" s="91"/>
      <c r="EW3" s="91"/>
      <c r="EX3" s="91"/>
      <c r="EY3" s="91"/>
      <c r="EZ3" s="91"/>
      <c r="FA3" s="91"/>
      <c r="FB3" s="91"/>
      <c r="FC3" s="91"/>
      <c r="FD3" s="91"/>
      <c r="FE3" s="91"/>
      <c r="FF3" s="91"/>
      <c r="FG3" s="91"/>
      <c r="FH3" s="91"/>
      <c r="FI3" s="91"/>
      <c r="FJ3" s="91"/>
      <c r="FK3" s="91"/>
      <c r="FL3" s="91"/>
      <c r="FM3" s="91"/>
      <c r="FN3" s="91"/>
      <c r="FO3" s="91"/>
      <c r="FP3" s="91"/>
      <c r="FQ3" s="91"/>
      <c r="FR3" s="91"/>
      <c r="FS3" s="63">
        <v>2.4660000000000002</v>
      </c>
      <c r="FX3" s="63">
        <v>17</v>
      </c>
      <c r="GB3" s="63">
        <v>282</v>
      </c>
      <c r="GI3" s="63">
        <v>415</v>
      </c>
      <c r="GX3" s="63">
        <v>69</v>
      </c>
      <c r="HA3" s="91"/>
      <c r="HB3" s="91"/>
      <c r="HC3" s="91"/>
      <c r="HD3" s="91"/>
      <c r="HE3" s="91"/>
      <c r="HF3" s="91"/>
      <c r="HG3" s="91"/>
      <c r="HH3" s="91"/>
      <c r="HI3" s="91"/>
      <c r="HJ3" s="91"/>
      <c r="HK3" s="91"/>
      <c r="HL3" s="91"/>
      <c r="HM3" s="91"/>
      <c r="HN3" s="91"/>
      <c r="HO3" s="91"/>
      <c r="HP3" s="63">
        <v>39600</v>
      </c>
      <c r="HQ3" s="91"/>
      <c r="HR3" s="91"/>
      <c r="HS3" s="91"/>
      <c r="HT3" s="91"/>
      <c r="HU3" s="91"/>
      <c r="HV3" s="91"/>
      <c r="HW3" s="91"/>
      <c r="HX3" s="91"/>
      <c r="HY3" s="91"/>
      <c r="HZ3" s="91"/>
      <c r="IA3" s="91"/>
      <c r="IB3" s="91"/>
      <c r="IC3" s="91"/>
      <c r="ID3" s="91"/>
      <c r="IE3" s="91"/>
      <c r="IF3" s="91"/>
      <c r="IG3" s="91"/>
      <c r="IH3" s="91"/>
      <c r="II3" s="91"/>
      <c r="IJ3" s="91"/>
      <c r="IK3" s="91"/>
      <c r="IL3" s="91"/>
      <c r="IM3" s="91"/>
      <c r="IN3" s="91"/>
      <c r="IO3" s="91"/>
      <c r="IP3" s="91"/>
      <c r="IQ3" s="91"/>
      <c r="IR3" s="91"/>
      <c r="IS3" s="91"/>
      <c r="IT3" s="91"/>
      <c r="IU3" s="91"/>
      <c r="IV3" s="91"/>
      <c r="IW3" s="91"/>
      <c r="IX3" s="91"/>
      <c r="JP3" s="63">
        <v>916</v>
      </c>
      <c r="JR3" s="91"/>
      <c r="JS3" s="91"/>
      <c r="JT3" s="91"/>
      <c r="JU3" s="91"/>
      <c r="JV3" s="91"/>
      <c r="JW3" s="91"/>
      <c r="JX3" s="91"/>
      <c r="JY3" s="91"/>
      <c r="JZ3" s="91"/>
      <c r="KA3" s="91"/>
      <c r="KB3" s="91"/>
      <c r="KC3" s="91"/>
      <c r="KD3" s="91"/>
      <c r="KE3" s="91"/>
      <c r="KF3" s="91"/>
      <c r="KG3" s="91"/>
      <c r="KH3" s="91"/>
      <c r="KI3" s="91"/>
      <c r="KJ3" s="91"/>
      <c r="KK3" s="91"/>
      <c r="KL3" s="91"/>
      <c r="KM3" s="91"/>
      <c r="KN3" s="91"/>
      <c r="KO3" s="91"/>
      <c r="KP3" s="91"/>
      <c r="KQ3" s="91"/>
      <c r="KR3" s="91"/>
      <c r="KS3" s="91"/>
      <c r="KT3" s="91"/>
      <c r="KU3" s="91"/>
      <c r="KV3" s="91"/>
      <c r="KW3" s="91"/>
      <c r="KX3" s="91"/>
      <c r="KY3" s="91"/>
      <c r="KZ3" s="91"/>
      <c r="LA3" s="91"/>
      <c r="LB3" s="91"/>
      <c r="LC3" s="91"/>
      <c r="LD3" s="91"/>
      <c r="LE3" s="91"/>
      <c r="LF3" s="91"/>
      <c r="LG3" s="91"/>
      <c r="LH3" s="91"/>
      <c r="LI3" s="91"/>
      <c r="LJ3" s="91"/>
      <c r="LK3" s="91"/>
      <c r="LL3" s="91"/>
      <c r="LM3" s="91"/>
      <c r="LN3" s="91"/>
      <c r="LO3" s="91"/>
      <c r="LP3" s="91"/>
      <c r="LQ3" s="91"/>
      <c r="LR3" s="91"/>
      <c r="LS3" s="91"/>
      <c r="LT3" s="91"/>
      <c r="LU3" s="91"/>
      <c r="LV3" s="91"/>
      <c r="LW3" s="91"/>
      <c r="LX3" s="91"/>
      <c r="LY3" s="91"/>
      <c r="LZ3" s="91"/>
      <c r="MA3" s="91"/>
      <c r="MB3" s="91"/>
      <c r="MC3" s="91"/>
      <c r="MD3" s="91"/>
      <c r="ME3" s="91"/>
      <c r="MF3" s="91"/>
      <c r="MG3" s="91"/>
      <c r="MH3" s="91"/>
      <c r="NE3" s="63">
        <v>190</v>
      </c>
      <c r="NF3" s="91"/>
      <c r="NG3" s="91"/>
      <c r="NH3" s="91"/>
      <c r="NI3" s="91"/>
      <c r="NJ3" s="91"/>
      <c r="NK3" s="91"/>
      <c r="NL3" s="91"/>
      <c r="NM3" s="91"/>
      <c r="NN3" s="91"/>
      <c r="NO3" s="91"/>
      <c r="NP3" s="91"/>
      <c r="NQ3" s="91"/>
      <c r="NR3" s="91"/>
      <c r="NS3" s="91"/>
      <c r="NT3" s="91"/>
      <c r="NU3" s="91"/>
      <c r="NV3" s="91"/>
      <c r="NW3" s="91"/>
      <c r="NX3" s="91"/>
      <c r="NY3" s="91"/>
      <c r="NZ3" s="91"/>
      <c r="OA3" s="91"/>
      <c r="OB3" s="91"/>
      <c r="OC3" s="91"/>
      <c r="OD3" s="91"/>
      <c r="OE3" s="91"/>
      <c r="OF3" s="91"/>
      <c r="OG3" s="91"/>
      <c r="OH3" s="91"/>
      <c r="OI3" s="91"/>
      <c r="OJ3" s="91"/>
      <c r="OK3" s="91"/>
      <c r="OL3" s="91"/>
      <c r="OM3" s="91"/>
      <c r="ON3" s="91"/>
      <c r="OO3" s="91"/>
      <c r="OP3" s="91"/>
      <c r="OQ3" s="91"/>
      <c r="OR3" s="91"/>
      <c r="OS3" s="91"/>
      <c r="OT3" s="91"/>
      <c r="OU3" s="91"/>
      <c r="OV3" s="91"/>
      <c r="OW3" s="91"/>
      <c r="OX3" s="91"/>
      <c r="OY3" s="91"/>
      <c r="OZ3" s="91"/>
      <c r="PA3" s="91"/>
      <c r="PB3" s="91"/>
      <c r="PC3" s="91"/>
      <c r="PD3" s="91"/>
      <c r="PE3" s="91"/>
      <c r="PF3" s="91"/>
      <c r="PG3" s="91"/>
      <c r="PH3" s="91"/>
      <c r="PI3" s="91"/>
      <c r="PJ3" s="91"/>
      <c r="PK3" s="91"/>
      <c r="PL3" s="91"/>
      <c r="PM3" s="91"/>
      <c r="PN3" s="91"/>
      <c r="PO3" s="91"/>
      <c r="PP3" s="91"/>
      <c r="PQ3" s="91"/>
      <c r="PR3" s="91"/>
      <c r="PS3" s="91"/>
      <c r="PT3" s="91"/>
      <c r="PU3" s="91"/>
      <c r="PV3" s="91"/>
      <c r="PW3" s="91"/>
      <c r="PX3" s="91"/>
      <c r="PY3" s="91"/>
      <c r="PZ3" s="91"/>
      <c r="QA3" s="91"/>
      <c r="QB3" s="91"/>
      <c r="QC3" s="91"/>
      <c r="QD3" s="91"/>
      <c r="QE3" s="91"/>
      <c r="QF3" s="91"/>
      <c r="QG3" s="91"/>
      <c r="QH3" s="91"/>
      <c r="QI3" s="91"/>
      <c r="QJ3" s="91"/>
      <c r="QK3" s="91"/>
      <c r="QL3" s="91"/>
      <c r="QM3" s="91"/>
      <c r="QN3" s="91"/>
      <c r="QO3" s="91"/>
      <c r="QP3" s="91"/>
      <c r="QQ3" s="91"/>
      <c r="QR3" s="91"/>
      <c r="QS3" s="91"/>
      <c r="QT3" s="91"/>
      <c r="QU3" s="91"/>
      <c r="QV3" s="91"/>
      <c r="QW3" s="91"/>
      <c r="QX3" s="91"/>
      <c r="QY3" s="91"/>
      <c r="QZ3" s="91"/>
      <c r="RA3" s="91"/>
      <c r="RB3" s="91"/>
      <c r="RC3" s="91"/>
      <c r="RD3" s="91"/>
      <c r="RE3" s="91"/>
      <c r="RF3" s="91"/>
      <c r="RG3" s="91"/>
      <c r="RH3" s="91"/>
      <c r="RI3" s="91"/>
      <c r="RJ3" s="91"/>
      <c r="RK3" s="91"/>
      <c r="RL3" s="91"/>
      <c r="RM3" s="91"/>
      <c r="RN3" s="91"/>
      <c r="RO3" s="91"/>
      <c r="RP3" s="91"/>
      <c r="RQ3" s="91"/>
      <c r="RR3" s="91"/>
      <c r="RS3" s="91"/>
      <c r="RT3" s="91"/>
      <c r="RU3" s="91"/>
      <c r="RV3" s="91"/>
      <c r="RW3" s="91"/>
      <c r="RX3" s="91"/>
      <c r="RY3" s="91"/>
      <c r="RZ3" s="91"/>
      <c r="SA3" s="91"/>
      <c r="SB3" s="91"/>
      <c r="SC3" s="91"/>
      <c r="SD3" s="91"/>
      <c r="SE3" s="91"/>
      <c r="SF3" s="91"/>
      <c r="SG3" s="91"/>
      <c r="SH3" s="91"/>
      <c r="SI3" s="91"/>
      <c r="SJ3" s="91"/>
      <c r="SK3" s="91"/>
      <c r="SL3" s="91"/>
      <c r="SM3" s="91"/>
      <c r="SN3" s="91"/>
      <c r="SO3" s="91"/>
      <c r="SP3" s="91"/>
      <c r="SQ3" s="91"/>
      <c r="SR3" s="91"/>
      <c r="SS3" s="91"/>
      <c r="ST3" s="91"/>
      <c r="SU3" s="91"/>
      <c r="SV3" s="91"/>
      <c r="SW3" s="91"/>
      <c r="SX3" s="91"/>
      <c r="SY3" s="91"/>
      <c r="SZ3" s="91"/>
      <c r="TA3" s="91"/>
      <c r="TB3" s="91"/>
      <c r="TK3" s="63">
        <v>5.423</v>
      </c>
      <c r="TM3" s="91"/>
      <c r="TN3" s="91"/>
      <c r="TO3" s="91"/>
      <c r="TP3" s="91"/>
      <c r="TQ3" s="91"/>
      <c r="TR3" s="91"/>
      <c r="TS3" s="91"/>
      <c r="TT3" s="91"/>
      <c r="TU3" s="91"/>
      <c r="TV3" s="91"/>
      <c r="TW3" s="91"/>
      <c r="TX3" s="91"/>
      <c r="TY3" s="91"/>
      <c r="TZ3" s="91"/>
      <c r="UA3" s="91"/>
      <c r="UB3" s="91"/>
      <c r="UC3" s="91"/>
      <c r="UD3" s="91"/>
      <c r="UE3" s="91"/>
      <c r="UF3" s="91"/>
      <c r="UG3" s="91"/>
      <c r="UH3" s="91"/>
      <c r="UI3" s="91"/>
      <c r="UJ3" s="91"/>
      <c r="UK3" s="91"/>
      <c r="UL3" s="91"/>
      <c r="UM3" s="91"/>
      <c r="UN3" s="91"/>
      <c r="UO3" s="91"/>
      <c r="UP3" s="91"/>
      <c r="UQ3" s="91"/>
      <c r="UR3" s="91"/>
      <c r="US3" s="91"/>
      <c r="UT3" s="91"/>
      <c r="UU3" s="91"/>
      <c r="UV3" s="91"/>
      <c r="UW3" s="91"/>
      <c r="UX3" s="91"/>
      <c r="UY3" s="91"/>
      <c r="UZ3" s="91"/>
      <c r="VA3" s="91"/>
      <c r="VB3" s="91"/>
      <c r="VC3" s="91"/>
      <c r="VD3" s="91"/>
      <c r="VE3" s="91"/>
      <c r="VF3" s="91"/>
      <c r="VG3" s="91"/>
      <c r="VH3" s="91"/>
      <c r="VI3" s="91"/>
      <c r="VJ3" s="91"/>
      <c r="VK3" s="91"/>
      <c r="VL3" s="91"/>
      <c r="VM3" s="91"/>
      <c r="VN3" s="91"/>
      <c r="VO3" s="91"/>
      <c r="VP3" s="91"/>
      <c r="VQ3" s="91"/>
      <c r="VR3" s="91"/>
      <c r="VS3" s="91"/>
      <c r="VT3" s="91"/>
      <c r="VU3" s="91"/>
      <c r="VV3" s="91"/>
      <c r="VW3" s="91"/>
      <c r="VX3" s="91"/>
      <c r="VY3" s="91"/>
      <c r="VZ3" s="91"/>
      <c r="WA3" s="91"/>
      <c r="WB3" s="91"/>
      <c r="WC3" s="91"/>
      <c r="WD3" s="91"/>
      <c r="WE3" s="91"/>
      <c r="WF3" s="91"/>
      <c r="WG3" s="91"/>
      <c r="WH3" s="91"/>
      <c r="WI3" s="91"/>
      <c r="WJ3" s="91"/>
      <c r="WK3" s="91"/>
      <c r="WL3" s="91"/>
      <c r="WM3" s="91"/>
      <c r="WN3" s="91"/>
      <c r="WO3" s="91"/>
      <c r="WP3" s="91"/>
      <c r="WQ3" s="91"/>
      <c r="WR3" s="91"/>
      <c r="WS3" s="91"/>
      <c r="WT3" s="91"/>
      <c r="WU3" s="91"/>
      <c r="WV3" s="91"/>
      <c r="WW3" s="91"/>
      <c r="WX3" s="91"/>
      <c r="WY3" s="91"/>
      <c r="WZ3" s="91"/>
      <c r="XA3" s="91"/>
      <c r="XB3" s="91"/>
      <c r="XC3" s="91"/>
      <c r="XK3" s="63">
        <v>11</v>
      </c>
      <c r="XL3" s="91"/>
      <c r="XM3" s="91"/>
      <c r="XN3" s="91"/>
      <c r="XO3" s="91"/>
      <c r="XP3" s="91"/>
      <c r="XQ3" s="91"/>
      <c r="XR3" s="91"/>
      <c r="XS3" s="91"/>
      <c r="XT3" s="91"/>
      <c r="XU3" s="91"/>
      <c r="XV3" s="91"/>
      <c r="XW3" s="91"/>
      <c r="XX3" s="91"/>
      <c r="XY3" s="91"/>
      <c r="XZ3" s="91"/>
      <c r="YA3" s="91"/>
      <c r="YB3" s="91"/>
      <c r="YC3" s="91"/>
      <c r="YD3" s="91"/>
      <c r="YE3" s="91"/>
      <c r="YF3" s="91"/>
      <c r="YG3" s="91"/>
      <c r="YH3" s="91"/>
      <c r="YI3" s="91"/>
      <c r="YJ3" s="91"/>
      <c r="YK3" s="91"/>
      <c r="YL3" s="91"/>
      <c r="YM3" s="91"/>
      <c r="YN3" s="91"/>
      <c r="YO3" s="91"/>
      <c r="YP3" s="91"/>
      <c r="YQ3" s="91"/>
      <c r="YR3" s="91"/>
      <c r="YS3" s="91"/>
      <c r="YT3" s="91"/>
      <c r="YU3" s="91"/>
      <c r="YV3" s="91"/>
      <c r="YW3" s="91"/>
      <c r="YX3" s="91"/>
      <c r="YY3" s="91"/>
      <c r="YZ3" s="91"/>
      <c r="ZA3" s="91"/>
      <c r="ZB3" s="91"/>
      <c r="ZC3" s="91"/>
      <c r="ZD3" s="91"/>
      <c r="ZE3" s="91"/>
      <c r="ZF3" s="91"/>
      <c r="ZG3" s="91"/>
      <c r="ZH3" s="91"/>
      <c r="ZI3" s="91"/>
      <c r="ZJ3" s="91"/>
      <c r="ZK3" s="91"/>
      <c r="ZL3" s="91"/>
      <c r="ZM3" s="91"/>
      <c r="ZN3" s="91"/>
      <c r="ZO3" s="91"/>
      <c r="ZP3" s="91"/>
      <c r="ZQ3" s="91"/>
      <c r="ZR3" s="63">
        <v>8</v>
      </c>
      <c r="AAX3" s="91"/>
      <c r="AAY3" s="91"/>
      <c r="AAZ3" s="91"/>
      <c r="ABA3" s="91"/>
      <c r="ABB3" s="91"/>
      <c r="ABC3" s="91"/>
      <c r="ABD3" s="91"/>
      <c r="ABE3" s="91"/>
      <c r="ABF3" s="91"/>
      <c r="ABG3" s="91"/>
      <c r="ABH3" s="91"/>
      <c r="ABI3" s="91"/>
      <c r="ABJ3" s="91"/>
      <c r="ABK3" s="91"/>
      <c r="ABL3" s="91"/>
      <c r="ABM3" s="91"/>
      <c r="ABN3" s="91"/>
      <c r="ABO3" s="91"/>
      <c r="ABP3" s="91"/>
      <c r="ABQ3" s="91"/>
      <c r="ABR3" s="91"/>
      <c r="ABS3" s="91"/>
      <c r="ABT3" s="91"/>
      <c r="ABU3" s="91"/>
      <c r="ABV3" s="91"/>
      <c r="ABW3" s="91"/>
      <c r="ABX3" s="91"/>
      <c r="ABY3" s="91"/>
      <c r="ABZ3" s="91"/>
      <c r="ACA3" s="91"/>
      <c r="ACB3" s="91"/>
      <c r="ACC3" s="91"/>
      <c r="ACD3" s="91"/>
      <c r="ACE3" s="91"/>
      <c r="ACF3" s="91"/>
      <c r="ACG3" s="91"/>
      <c r="ACH3" s="91"/>
      <c r="ACI3" s="91"/>
      <c r="ACJ3" s="91"/>
      <c r="ACK3" s="91"/>
      <c r="ACL3" s="91"/>
      <c r="ACM3" s="91"/>
      <c r="ACN3" s="91"/>
      <c r="ACO3" s="91"/>
      <c r="ACP3" s="91"/>
      <c r="ACQ3" s="91"/>
      <c r="ACR3" s="91"/>
      <c r="ACS3" s="91"/>
      <c r="ACT3" s="91"/>
      <c r="ACU3" s="91"/>
      <c r="ACV3" s="91"/>
      <c r="ACW3" s="91"/>
      <c r="ACX3" s="91"/>
      <c r="ACY3" s="91"/>
      <c r="ACZ3" s="91"/>
      <c r="ADA3" s="91"/>
      <c r="ADB3" s="91"/>
      <c r="ADC3" s="91"/>
      <c r="ADD3" s="91"/>
      <c r="ADE3" s="91"/>
      <c r="ADF3" s="91"/>
      <c r="ADG3" s="91"/>
      <c r="ADH3" s="91"/>
      <c r="ADI3" s="91"/>
      <c r="ADJ3" s="91"/>
      <c r="ADK3" s="91"/>
      <c r="ADL3" s="91"/>
      <c r="ADM3" s="91"/>
      <c r="ADN3" s="91"/>
      <c r="ADO3" s="91"/>
      <c r="ADP3" s="91"/>
      <c r="ADQ3" s="91"/>
      <c r="ADR3" s="91"/>
      <c r="ADS3" s="91"/>
      <c r="ADT3" s="91"/>
      <c r="ADU3" s="91"/>
      <c r="ADV3" s="91"/>
      <c r="ADW3" s="91"/>
      <c r="ADX3" s="91"/>
      <c r="ADY3" s="91"/>
      <c r="ADZ3" s="91"/>
      <c r="AEA3" s="91"/>
      <c r="AEB3" s="91"/>
      <c r="AEC3" s="91"/>
      <c r="AED3" s="91"/>
      <c r="AEE3" s="91"/>
      <c r="AEF3" s="91"/>
      <c r="AEG3" s="91"/>
      <c r="AEH3" s="91"/>
      <c r="AEI3" s="91"/>
      <c r="AEJ3" s="91"/>
      <c r="AEK3" s="91"/>
      <c r="AEL3" s="91"/>
      <c r="AEM3" s="91"/>
      <c r="AEN3" s="91"/>
      <c r="AEO3" s="91"/>
      <c r="AEP3" s="91"/>
      <c r="AEQ3" s="91"/>
      <c r="AER3" s="91"/>
      <c r="AES3" s="91"/>
      <c r="AET3" s="91"/>
      <c r="AEU3" s="63">
        <v>3.3</v>
      </c>
      <c r="AGG3" s="91"/>
      <c r="AGH3" s="91"/>
      <c r="AGI3" s="91"/>
      <c r="AGJ3" s="91"/>
      <c r="AGK3" s="91"/>
      <c r="AGL3" s="91"/>
      <c r="AGM3" s="91"/>
      <c r="AGN3" s="91"/>
      <c r="AGO3" s="91"/>
      <c r="AGP3" s="91"/>
      <c r="AGQ3" s="91"/>
      <c r="AGR3" s="91"/>
      <c r="AGS3" s="91"/>
      <c r="AGT3" s="91"/>
      <c r="AGU3" s="91"/>
      <c r="AGV3" s="91"/>
      <c r="AGW3" s="91"/>
      <c r="AGX3" s="91"/>
      <c r="AGY3" s="91"/>
      <c r="AGZ3" s="91"/>
      <c r="AHA3" s="91"/>
      <c r="AHB3" s="91"/>
      <c r="AHC3" s="91"/>
      <c r="AHD3" s="91"/>
      <c r="AHE3" s="91"/>
      <c r="AHF3" s="91"/>
      <c r="AHG3" s="91"/>
      <c r="AHH3" s="91"/>
      <c r="AHI3" s="91"/>
      <c r="AHJ3" s="91"/>
      <c r="AHK3" s="91"/>
      <c r="AHL3" s="91"/>
      <c r="AHM3" s="91"/>
      <c r="AHN3" s="91"/>
      <c r="AHO3" s="91"/>
      <c r="AHP3" s="91"/>
      <c r="AHQ3" s="91"/>
      <c r="AHR3" s="91"/>
      <c r="AHS3" s="91"/>
      <c r="AHT3" s="91"/>
      <c r="AHU3" s="91"/>
      <c r="AHV3" s="91"/>
      <c r="AHW3" s="91"/>
      <c r="AHX3" s="91"/>
      <c r="AHY3" s="91"/>
      <c r="AHZ3" s="91"/>
      <c r="AIA3" s="91"/>
      <c r="AIB3" s="91"/>
      <c r="AIC3" s="91"/>
      <c r="AID3" s="91"/>
      <c r="AIE3" s="91"/>
      <c r="AIF3" s="91"/>
      <c r="AIG3" s="92"/>
      <c r="AIH3" s="92"/>
      <c r="AII3" s="92"/>
      <c r="AIJ3" s="91"/>
      <c r="AIK3" s="91"/>
      <c r="AIL3" s="91"/>
      <c r="AIM3" s="91"/>
      <c r="AIN3" s="91"/>
      <c r="AIO3" s="91"/>
      <c r="AIP3" s="91"/>
      <c r="AIQ3" s="91"/>
      <c r="AIR3" s="91"/>
      <c r="AIS3" s="91"/>
      <c r="AIT3" s="91"/>
      <c r="AIU3" s="91"/>
      <c r="AIV3" s="91"/>
      <c r="AIW3" s="91"/>
      <c r="AIX3" s="91"/>
      <c r="AIY3" s="91"/>
      <c r="AIZ3" s="91"/>
      <c r="AJA3" s="91"/>
      <c r="AJB3" s="91"/>
      <c r="AJC3" s="91"/>
      <c r="AJD3" s="91"/>
      <c r="AJE3" s="91"/>
      <c r="AJF3" s="91"/>
      <c r="AJG3" s="91"/>
      <c r="AJH3" s="91"/>
      <c r="AJI3" s="91"/>
      <c r="AJJ3" s="91"/>
      <c r="AJK3" s="91"/>
      <c r="AJL3" s="91"/>
      <c r="AJM3" s="91"/>
      <c r="AJN3" s="63">
        <v>2.4</v>
      </c>
      <c r="AJQ3" s="91"/>
      <c r="AJR3" s="91"/>
      <c r="AJS3" s="91"/>
      <c r="AJT3" s="91"/>
      <c r="AJU3" s="91"/>
      <c r="AJV3" s="91"/>
      <c r="AJW3" s="91"/>
      <c r="AJX3" s="91"/>
      <c r="AJY3" s="91"/>
      <c r="AJZ3" s="91"/>
      <c r="AKA3" s="91"/>
      <c r="AKB3" s="91"/>
      <c r="AKC3" s="91"/>
      <c r="AKD3" s="91"/>
      <c r="AKE3" s="91"/>
      <c r="AKF3" s="91"/>
      <c r="AKG3" s="91"/>
      <c r="AKH3" s="91"/>
      <c r="AKI3" s="91"/>
      <c r="AKJ3" s="91"/>
      <c r="AKK3" s="91"/>
      <c r="AKL3" s="91"/>
      <c r="AKM3" s="91"/>
      <c r="AKN3" s="91"/>
      <c r="AKO3" s="91"/>
      <c r="AKP3" s="91"/>
      <c r="AKQ3" s="91"/>
      <c r="AKR3" s="91"/>
      <c r="AKS3" s="91"/>
      <c r="AKT3" s="91"/>
      <c r="AKU3" s="91"/>
      <c r="AKV3" s="91"/>
      <c r="AKW3" s="91"/>
      <c r="AKX3" s="92"/>
      <c r="AKY3" s="92"/>
      <c r="AKZ3" s="91"/>
      <c r="ALA3" s="91"/>
      <c r="ALB3" s="91"/>
      <c r="ALC3" s="91"/>
      <c r="ALD3" s="91"/>
      <c r="ALE3" s="91"/>
      <c r="ALF3" s="91"/>
      <c r="ALG3" s="91"/>
      <c r="ALH3" s="91"/>
      <c r="ALI3" s="91"/>
      <c r="ALJ3" s="91"/>
      <c r="ALK3" s="91"/>
      <c r="ALL3" s="91"/>
      <c r="ALM3" s="91"/>
      <c r="ALN3" s="91"/>
      <c r="ALO3" s="91"/>
      <c r="ALP3" s="91"/>
      <c r="ALQ3" s="91"/>
      <c r="ALR3" s="91"/>
      <c r="ALS3" s="91"/>
      <c r="ALT3" s="91"/>
      <c r="ALU3" s="91"/>
      <c r="ALV3" s="91"/>
      <c r="ALW3" s="91"/>
      <c r="ALX3" s="91"/>
      <c r="ALY3" s="91"/>
      <c r="ALZ3" s="91"/>
      <c r="AMA3" s="91"/>
      <c r="AMB3" s="91"/>
      <c r="AMC3" s="91"/>
      <c r="AMD3" s="91"/>
      <c r="AME3" s="91"/>
      <c r="AMF3" s="91"/>
      <c r="AMG3" s="91"/>
      <c r="AMH3" s="91"/>
      <c r="AMI3" s="91"/>
      <c r="AMJ3" s="91"/>
      <c r="AMK3" s="91"/>
      <c r="AML3" s="91"/>
      <c r="AMM3" s="91"/>
      <c r="AMN3" s="91"/>
      <c r="AMO3" s="91"/>
      <c r="AMP3" s="91"/>
      <c r="AMQ3" s="91"/>
      <c r="AMR3" s="91"/>
      <c r="AMS3" s="91"/>
      <c r="AMT3" s="91"/>
      <c r="AMU3" s="91"/>
      <c r="AMV3" s="91"/>
      <c r="AMW3" s="91"/>
      <c r="AMX3" s="91"/>
      <c r="AMY3" s="91"/>
      <c r="AMZ3" s="91"/>
      <c r="ANA3" s="91"/>
      <c r="ANB3" s="91"/>
      <c r="ANC3" s="91"/>
      <c r="AND3" s="91"/>
      <c r="ANE3" s="91"/>
      <c r="ANF3" s="91">
        <v>537</v>
      </c>
      <c r="ANG3" s="91"/>
      <c r="ANH3" s="91"/>
      <c r="ANI3" s="91"/>
      <c r="ANJ3" s="91"/>
      <c r="ANK3" s="91"/>
      <c r="ANL3" s="91"/>
      <c r="ANM3" s="91"/>
      <c r="ANN3" s="91"/>
      <c r="ANO3" s="91"/>
      <c r="ANP3" s="91"/>
      <c r="ANQ3" s="91"/>
      <c r="ANR3" s="91"/>
      <c r="ANS3" s="91"/>
      <c r="ANT3" s="91"/>
      <c r="ANU3" s="91"/>
      <c r="ANV3" s="91"/>
      <c r="ANW3" s="91"/>
      <c r="ANX3" s="91"/>
      <c r="ANY3" s="91"/>
      <c r="ANZ3" s="91"/>
      <c r="AOA3" s="91"/>
      <c r="AOB3" s="91"/>
      <c r="AOC3" s="91"/>
      <c r="AOD3" s="91"/>
      <c r="AOE3" s="91"/>
      <c r="AOF3" s="91"/>
      <c r="AOG3" s="91"/>
      <c r="AOH3" s="91"/>
      <c r="AOI3" s="91"/>
      <c r="AOJ3" s="91"/>
      <c r="AOK3" s="91"/>
      <c r="AOL3" s="91"/>
      <c r="AOM3" s="91"/>
      <c r="AON3" s="91"/>
      <c r="AOO3" s="91"/>
      <c r="AOP3" s="91"/>
      <c r="AOQ3" s="91"/>
      <c r="AOR3" s="91"/>
      <c r="AOS3" s="91"/>
      <c r="AOT3" s="91"/>
      <c r="AOU3" s="91"/>
      <c r="AOV3" s="91"/>
      <c r="AOW3" s="91"/>
      <c r="AOX3" s="91"/>
      <c r="AOY3" s="91"/>
      <c r="AOZ3" s="91"/>
      <c r="APA3" s="91"/>
      <c r="APB3" s="91"/>
      <c r="APC3" s="91"/>
      <c r="APD3" s="91"/>
      <c r="APE3" s="91"/>
      <c r="APF3" s="91"/>
      <c r="APG3" s="91"/>
      <c r="APH3" s="91"/>
      <c r="API3" s="91"/>
      <c r="APJ3" s="91"/>
      <c r="APK3" s="91"/>
      <c r="APL3" s="91"/>
      <c r="APM3" s="91"/>
      <c r="APN3" s="91"/>
      <c r="APO3" s="91"/>
      <c r="APP3" s="91"/>
      <c r="APQ3" s="91"/>
      <c r="APR3" s="91"/>
      <c r="APS3" s="91"/>
      <c r="APT3" s="91"/>
      <c r="APU3" s="91"/>
      <c r="APV3" s="91"/>
      <c r="APW3" s="91"/>
      <c r="APX3" s="91"/>
      <c r="APY3" s="91"/>
      <c r="APZ3" s="91"/>
      <c r="AQA3" s="91"/>
      <c r="AQB3" s="91"/>
      <c r="AQC3" s="91"/>
      <c r="AQD3" s="91"/>
      <c r="AQE3" s="91"/>
      <c r="ASC3" s="63">
        <v>23000</v>
      </c>
      <c r="ASD3" s="91"/>
      <c r="ASE3" s="91"/>
      <c r="ASF3" s="91"/>
      <c r="ASG3" s="91"/>
      <c r="ASH3" s="91"/>
      <c r="ASI3" s="91"/>
      <c r="ASJ3" s="91"/>
      <c r="ASK3" s="91"/>
      <c r="ASL3" s="91"/>
      <c r="ASM3" s="91"/>
      <c r="ASN3" s="91"/>
      <c r="ASO3" s="91"/>
      <c r="ASP3" s="91"/>
      <c r="ASQ3" s="91"/>
      <c r="ASR3" s="91"/>
      <c r="ASS3" s="91"/>
      <c r="AST3" s="91"/>
      <c r="ASU3" s="91"/>
      <c r="ASV3" s="91"/>
      <c r="ASW3" s="91"/>
      <c r="ASX3" s="91"/>
      <c r="ASY3" s="91"/>
      <c r="ASZ3" s="91"/>
      <c r="ATA3" s="91"/>
      <c r="ATB3" s="91"/>
      <c r="ATC3" s="91"/>
      <c r="ATD3" s="91"/>
      <c r="ATE3" s="91"/>
      <c r="ATF3" s="91"/>
      <c r="ATG3" s="91"/>
      <c r="ATH3" s="91"/>
      <c r="ATI3" s="91"/>
      <c r="ATJ3" s="91"/>
      <c r="ATK3" s="91"/>
      <c r="ATL3" s="91"/>
      <c r="ATM3" s="91"/>
      <c r="ATN3" s="91"/>
      <c r="ATO3" s="91"/>
      <c r="ATP3" s="91"/>
      <c r="ATQ3" s="92"/>
      <c r="ATR3" s="92"/>
      <c r="ATS3" s="92"/>
      <c r="ATT3" s="92"/>
      <c r="ATU3" s="92"/>
      <c r="ATV3" s="91"/>
      <c r="ATW3" s="91"/>
      <c r="ATX3" s="91"/>
      <c r="ATY3" s="91"/>
      <c r="ATZ3" s="91"/>
      <c r="AUA3" s="91"/>
      <c r="AUB3" s="91"/>
      <c r="AUC3" s="91"/>
      <c r="AUD3" s="91"/>
      <c r="AUE3" s="91"/>
      <c r="AUF3" s="91"/>
      <c r="AUG3" s="91"/>
      <c r="AUH3" s="91"/>
      <c r="AUI3" s="91"/>
      <c r="AUJ3" s="91"/>
      <c r="AUK3" s="91"/>
      <c r="AUL3" s="91"/>
      <c r="AUM3" s="91"/>
      <c r="AUN3" s="91"/>
      <c r="AUO3" s="91"/>
      <c r="AUP3" s="91"/>
      <c r="AUQ3" s="91"/>
      <c r="AUR3" s="91"/>
      <c r="AUS3" s="91"/>
      <c r="AUT3" s="91"/>
      <c r="AUU3" s="91"/>
      <c r="AUV3" s="91"/>
      <c r="AUW3" s="91"/>
      <c r="AUX3" s="91"/>
      <c r="AUY3" s="91"/>
      <c r="AUZ3" s="91"/>
      <c r="AVA3" s="91"/>
      <c r="AVB3" s="91"/>
      <c r="AVC3" s="63">
        <v>80</v>
      </c>
      <c r="AWN3" s="91"/>
      <c r="AWO3" s="91"/>
      <c r="AWP3" s="91"/>
      <c r="AWQ3" s="91"/>
      <c r="AWR3" s="91"/>
      <c r="AWS3" s="91"/>
      <c r="AWT3" s="91"/>
      <c r="AWU3" s="91"/>
      <c r="AWV3" s="91"/>
      <c r="AWW3" s="91"/>
      <c r="AWX3" s="91"/>
      <c r="AWY3" s="91"/>
      <c r="AWZ3" s="91"/>
      <c r="AXA3" s="91"/>
      <c r="AXB3" s="91"/>
      <c r="AXC3" s="91"/>
      <c r="AXD3" s="91"/>
      <c r="AXE3" s="91"/>
      <c r="AXF3" s="91"/>
      <c r="AXG3" s="91"/>
      <c r="AXH3" s="91"/>
      <c r="AXI3" s="91"/>
      <c r="AXJ3" s="91"/>
      <c r="AXK3" s="91"/>
      <c r="AXL3" s="91"/>
      <c r="AXM3" s="91"/>
      <c r="AXN3" s="91"/>
      <c r="AXO3" s="91"/>
      <c r="AXP3" s="91"/>
      <c r="AXQ3" s="91"/>
      <c r="AXR3" s="91"/>
      <c r="AXS3" s="91"/>
      <c r="AXT3" s="91"/>
      <c r="AXU3" s="91"/>
      <c r="AXV3" s="91"/>
      <c r="AXW3" s="91"/>
      <c r="AXX3" s="91"/>
      <c r="AXY3" s="91"/>
      <c r="AXZ3" s="91"/>
      <c r="AYA3" s="91"/>
      <c r="AYB3" s="91"/>
      <c r="AYC3" s="91"/>
      <c r="AYD3" s="91"/>
      <c r="AYE3" s="91"/>
      <c r="AYF3" s="91"/>
      <c r="AYG3" s="91"/>
      <c r="AYH3" s="91"/>
      <c r="AYI3" s="91"/>
      <c r="AYJ3" s="91"/>
      <c r="AYK3" s="91"/>
      <c r="AYL3" s="91"/>
      <c r="AYM3" s="91"/>
      <c r="AYN3" s="91"/>
      <c r="AYO3" s="91"/>
      <c r="AYP3" s="91"/>
      <c r="AYQ3" s="91"/>
      <c r="AYR3" s="91"/>
      <c r="AYS3" s="91"/>
      <c r="AYT3" s="91"/>
      <c r="AYU3" s="91"/>
      <c r="AYV3" s="91"/>
      <c r="AYW3" s="91"/>
      <c r="AYX3" s="91"/>
      <c r="AYY3" s="91"/>
      <c r="AYZ3" s="91"/>
      <c r="AZA3" s="91"/>
      <c r="AZB3" s="91"/>
      <c r="AZC3" s="91"/>
      <c r="AZD3" s="91"/>
      <c r="AZE3" s="91"/>
      <c r="AZF3" s="91"/>
      <c r="AZG3" s="91"/>
      <c r="AZH3" s="91"/>
      <c r="AZI3" s="91"/>
      <c r="AZJ3" s="91"/>
      <c r="AZK3" s="91"/>
      <c r="AZL3" s="91"/>
      <c r="AZM3" s="91"/>
      <c r="AZN3" s="91"/>
      <c r="AZO3" s="91"/>
      <c r="AZP3" s="91"/>
      <c r="AZQ3" s="91"/>
      <c r="AZR3" s="91"/>
      <c r="AZS3" s="91"/>
      <c r="AZT3" s="91"/>
      <c r="AZU3" s="91"/>
      <c r="AZV3" s="91"/>
      <c r="AZW3" s="91"/>
      <c r="AZX3" s="91"/>
      <c r="AZY3" s="91"/>
      <c r="AZZ3" s="91"/>
      <c r="BAA3" s="91"/>
      <c r="BAB3" s="91"/>
      <c r="BAC3" s="91"/>
      <c r="BAD3" s="91"/>
      <c r="BAE3" s="91"/>
      <c r="BAF3" s="91"/>
      <c r="BAG3" s="91"/>
      <c r="BAH3" s="91"/>
      <c r="BAI3" s="91"/>
      <c r="BAJ3" s="91"/>
      <c r="BAK3" s="91"/>
      <c r="BAL3" s="91"/>
      <c r="BAM3" s="91"/>
      <c r="BAN3" s="91"/>
      <c r="BAO3" s="91"/>
      <c r="BAP3" s="91"/>
      <c r="BAQ3" s="91"/>
      <c r="BAR3" s="91"/>
      <c r="BAS3" s="91"/>
      <c r="BAT3" s="91"/>
      <c r="BAU3" s="91"/>
      <c r="BAV3" s="91"/>
      <c r="BAW3" s="91"/>
      <c r="BAX3" s="91"/>
      <c r="BAY3" s="91"/>
      <c r="BAZ3" s="91"/>
      <c r="BBA3" s="91"/>
      <c r="BBB3" s="91"/>
      <c r="BBC3" s="91"/>
      <c r="BBD3" s="91"/>
      <c r="BBE3" s="91"/>
      <c r="BBF3" s="91"/>
      <c r="BBG3" s="91"/>
      <c r="BBH3" s="91"/>
      <c r="BBI3" s="91"/>
      <c r="BBJ3" s="91"/>
      <c r="BBK3" s="91"/>
      <c r="BBL3" s="91"/>
      <c r="BBM3" s="91"/>
      <c r="BBN3" s="91"/>
      <c r="BBO3" s="91"/>
      <c r="BBP3" s="91"/>
      <c r="BBQ3" s="91"/>
      <c r="BBR3" s="91"/>
      <c r="BBS3" s="91"/>
      <c r="BBT3" s="91"/>
      <c r="BBU3" s="91"/>
      <c r="BBV3" s="91"/>
      <c r="BBW3" s="91"/>
      <c r="BBX3" s="91"/>
      <c r="BBY3" s="91"/>
      <c r="BBZ3" s="91"/>
      <c r="BCA3" s="91"/>
      <c r="BCB3" s="91"/>
      <c r="BCC3" s="91"/>
      <c r="BCD3" s="91"/>
      <c r="BCE3" s="91"/>
      <c r="BCF3" s="91"/>
      <c r="BCG3" s="91"/>
      <c r="BCH3" s="91"/>
      <c r="BCI3" s="91"/>
      <c r="BCJ3" s="91"/>
      <c r="BCK3" s="91"/>
      <c r="BCL3" s="91"/>
      <c r="BCM3" s="91"/>
      <c r="BCN3" s="91"/>
      <c r="BCO3" s="91"/>
      <c r="BCP3" s="91"/>
      <c r="BCQ3" s="91"/>
      <c r="BCR3" s="91"/>
      <c r="BCS3" s="91"/>
      <c r="BCT3" s="91"/>
      <c r="BCU3" s="91"/>
      <c r="BCV3" s="91"/>
      <c r="BCW3" s="91"/>
      <c r="BCX3" s="91"/>
      <c r="BCY3" s="91"/>
      <c r="BCZ3" s="91"/>
      <c r="BDA3" s="91"/>
      <c r="BDB3" s="91"/>
      <c r="BDC3" s="91"/>
      <c r="BDD3" s="91"/>
      <c r="BDE3" s="91"/>
      <c r="BDF3" s="91"/>
      <c r="BDG3" s="91"/>
      <c r="BDH3" s="91"/>
      <c r="BDI3" s="91"/>
      <c r="BDJ3" s="91"/>
      <c r="BDK3" s="91"/>
      <c r="BDL3" s="91"/>
      <c r="BDM3" s="91"/>
      <c r="BDN3" s="91"/>
      <c r="BDO3" s="91"/>
      <c r="BDP3" s="91"/>
      <c r="BDQ3" s="91"/>
      <c r="BDR3" s="91"/>
      <c r="BDS3" s="91"/>
      <c r="BDT3" s="91"/>
      <c r="BDU3" s="91"/>
      <c r="BDV3" s="91"/>
      <c r="BDW3" s="91"/>
      <c r="BDX3" s="91"/>
      <c r="BDY3" s="91"/>
      <c r="BDZ3" s="91"/>
      <c r="BEA3" s="91"/>
      <c r="BEB3" s="91"/>
      <c r="BEC3" s="91"/>
      <c r="BED3" s="91"/>
      <c r="BEE3" s="91"/>
      <c r="BEF3" s="91"/>
      <c r="BEG3" s="91"/>
      <c r="BEH3" s="91"/>
      <c r="BEI3" s="91"/>
      <c r="BEJ3" s="91"/>
      <c r="BEK3" s="91"/>
      <c r="BEL3" s="91"/>
      <c r="BEM3" s="91"/>
      <c r="BEN3" s="91"/>
      <c r="BEO3" s="91"/>
      <c r="BEP3" s="91"/>
      <c r="BEQ3" s="91"/>
      <c r="BER3" s="91"/>
      <c r="BES3" s="91"/>
      <c r="BOA3" s="63">
        <v>39</v>
      </c>
      <c r="BOB3" s="63">
        <v>1</v>
      </c>
      <c r="BOE3" s="63">
        <v>1</v>
      </c>
      <c r="BOL3" s="63">
        <v>1</v>
      </c>
      <c r="BYL3" s="63">
        <v>75</v>
      </c>
      <c r="BYM3" s="63">
        <v>1</v>
      </c>
      <c r="BYO3" s="63">
        <v>1</v>
      </c>
      <c r="BYS3" s="63">
        <v>1</v>
      </c>
      <c r="BYU3" s="63">
        <v>0</v>
      </c>
      <c r="GWO3" s="63">
        <v>1</v>
      </c>
      <c r="HAG3" s="63">
        <v>1</v>
      </c>
      <c r="HBG3" s="63">
        <v>1</v>
      </c>
      <c r="HBH3" s="63">
        <v>1</v>
      </c>
      <c r="HBP3" s="63">
        <v>1</v>
      </c>
      <c r="HDY3" s="63">
        <v>45</v>
      </c>
      <c r="HDZ3" s="63">
        <v>1</v>
      </c>
      <c r="HFO3" s="63">
        <v>1</v>
      </c>
      <c r="HGH3" s="63">
        <v>1</v>
      </c>
      <c r="HGV3" s="63">
        <v>1</v>
      </c>
      <c r="HGW3" s="63">
        <v>1</v>
      </c>
      <c r="HGX3" s="63">
        <v>1</v>
      </c>
      <c r="HGY3" s="63">
        <v>1</v>
      </c>
      <c r="HHA3" s="63">
        <v>1</v>
      </c>
      <c r="HHC3" s="63">
        <v>1</v>
      </c>
      <c r="HIX3" s="63">
        <v>1</v>
      </c>
      <c r="HIY3" s="63">
        <v>1</v>
      </c>
      <c r="HJB3" s="63">
        <v>1</v>
      </c>
      <c r="HJC3" s="63">
        <v>1</v>
      </c>
      <c r="HKG3" s="63">
        <v>1</v>
      </c>
      <c r="HKP3" s="63">
        <v>1</v>
      </c>
      <c r="HMN3" s="63">
        <v>1</v>
      </c>
      <c r="HNI3" s="63">
        <v>1</v>
      </c>
      <c r="HNK3" s="63">
        <v>1</v>
      </c>
      <c r="HNR3" s="63">
        <v>1</v>
      </c>
      <c r="HNX3" s="63">
        <v>1</v>
      </c>
      <c r="HNY3" s="63">
        <v>1</v>
      </c>
    </row>
    <row r="4" spans="1:5809" s="59" customFormat="1" x14ac:dyDescent="0.25">
      <c r="A4" s="59">
        <v>9108231</v>
      </c>
      <c r="B4" s="60" t="s">
        <v>4188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  <c r="BA4" s="62"/>
      <c r="BB4" s="62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2"/>
      <c r="DL4" s="62"/>
      <c r="DM4" s="62"/>
      <c r="DN4" s="62"/>
      <c r="DO4" s="62"/>
      <c r="DP4" s="62"/>
      <c r="DQ4" s="62"/>
      <c r="DR4" s="62"/>
      <c r="DS4" s="62"/>
      <c r="DT4" s="62"/>
      <c r="DU4" s="62"/>
      <c r="DV4" s="62"/>
      <c r="DW4" s="62"/>
      <c r="DX4" s="62"/>
      <c r="DY4" s="62"/>
      <c r="DZ4" s="62"/>
      <c r="EA4" s="62"/>
      <c r="EB4" s="62"/>
      <c r="EC4" s="62"/>
      <c r="ED4" s="62"/>
      <c r="EE4" s="62"/>
      <c r="EF4" s="62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  <c r="GH4" s="61"/>
      <c r="GI4" s="61"/>
      <c r="GJ4" s="61"/>
      <c r="GK4" s="61"/>
      <c r="GL4" s="61"/>
      <c r="GM4" s="61"/>
      <c r="GN4" s="61"/>
      <c r="GO4" s="61"/>
      <c r="GP4" s="61"/>
      <c r="GQ4" s="61"/>
      <c r="GR4" s="61"/>
      <c r="GS4" s="61"/>
      <c r="GT4" s="61"/>
      <c r="GU4" s="61"/>
      <c r="GV4" s="61"/>
      <c r="GW4" s="61"/>
      <c r="GX4" s="62"/>
      <c r="GY4" s="62"/>
      <c r="GZ4" s="62"/>
      <c r="HA4" s="61"/>
      <c r="HB4" s="61"/>
      <c r="HC4" s="61"/>
      <c r="HD4" s="61"/>
      <c r="HE4" s="61"/>
      <c r="HF4" s="61"/>
      <c r="HG4" s="61"/>
      <c r="HH4" s="61"/>
      <c r="HI4" s="61"/>
      <c r="HJ4" s="61"/>
      <c r="HK4" s="61"/>
      <c r="HL4" s="61"/>
      <c r="HM4" s="61"/>
      <c r="HN4" s="61"/>
      <c r="HO4" s="61"/>
      <c r="HP4" s="61">
        <v>13120</v>
      </c>
      <c r="HQ4" s="61"/>
      <c r="HR4" s="61"/>
      <c r="HS4" s="61"/>
      <c r="HT4" s="61"/>
      <c r="HU4" s="61"/>
      <c r="HV4" s="61"/>
      <c r="HW4" s="61"/>
      <c r="HX4" s="61"/>
      <c r="HY4" s="61"/>
      <c r="HZ4" s="61"/>
      <c r="IA4" s="61"/>
      <c r="IB4" s="61"/>
      <c r="IC4" s="61"/>
      <c r="ID4" s="61"/>
      <c r="IE4" s="61"/>
      <c r="IF4" s="61"/>
      <c r="IG4" s="61"/>
      <c r="IH4" s="61"/>
      <c r="II4" s="61"/>
      <c r="IJ4" s="61"/>
      <c r="IK4" s="61"/>
      <c r="IL4" s="61"/>
      <c r="IM4" s="61"/>
      <c r="IN4" s="61"/>
      <c r="IO4" s="61"/>
      <c r="IP4" s="61"/>
      <c r="IQ4" s="61"/>
      <c r="IR4" s="61"/>
      <c r="IS4" s="61"/>
      <c r="IT4" s="61"/>
      <c r="IU4" s="61"/>
      <c r="IV4" s="61"/>
      <c r="IW4" s="61"/>
      <c r="IX4" s="61"/>
      <c r="JA4" s="61"/>
      <c r="JB4" s="61"/>
      <c r="JC4" s="61"/>
      <c r="JD4" s="61"/>
      <c r="JE4" s="61"/>
      <c r="JF4" s="61"/>
      <c r="JG4" s="61"/>
      <c r="JH4" s="61"/>
      <c r="JI4" s="61"/>
      <c r="JJ4" s="61"/>
      <c r="JK4" s="61"/>
      <c r="JL4" s="61"/>
      <c r="JM4" s="61"/>
      <c r="JN4" s="61"/>
      <c r="JO4" s="61"/>
      <c r="JP4" s="61"/>
      <c r="JQ4" s="61"/>
      <c r="JR4" s="61"/>
      <c r="JS4" s="61"/>
      <c r="JT4" s="61"/>
      <c r="JU4" s="61"/>
      <c r="JV4" s="61"/>
      <c r="JW4" s="61"/>
      <c r="JX4" s="61"/>
      <c r="JY4" s="61"/>
      <c r="JZ4" s="61"/>
      <c r="KA4" s="61"/>
      <c r="KB4" s="61"/>
      <c r="KC4" s="61"/>
      <c r="KD4" s="61"/>
      <c r="KE4" s="61"/>
      <c r="KF4" s="61"/>
      <c r="KG4" s="61"/>
      <c r="KH4" s="61"/>
      <c r="KI4" s="61"/>
      <c r="KJ4" s="61"/>
      <c r="KK4" s="61"/>
      <c r="KL4" s="61"/>
      <c r="KM4" s="61"/>
      <c r="KN4" s="61"/>
      <c r="KO4" s="61"/>
      <c r="KP4" s="61"/>
      <c r="KQ4" s="61"/>
      <c r="KR4" s="61"/>
      <c r="KS4" s="61"/>
      <c r="KT4" s="61"/>
      <c r="KU4" s="61"/>
      <c r="KV4" s="61"/>
      <c r="KW4" s="61"/>
      <c r="KX4" s="61"/>
      <c r="KY4" s="61"/>
      <c r="KZ4" s="61"/>
      <c r="LA4" s="61"/>
      <c r="LB4" s="61"/>
      <c r="LC4" s="61"/>
      <c r="LD4" s="61"/>
      <c r="LE4" s="61"/>
      <c r="LF4" s="61"/>
      <c r="LG4" s="61"/>
      <c r="LH4" s="61"/>
      <c r="LI4" s="61"/>
      <c r="LJ4" s="61"/>
      <c r="LK4" s="61"/>
      <c r="LL4" s="61"/>
      <c r="LM4" s="61"/>
      <c r="LN4" s="61"/>
      <c r="LO4" s="61"/>
      <c r="LP4" s="61"/>
      <c r="LQ4" s="61"/>
      <c r="LR4" s="61"/>
      <c r="LS4" s="61"/>
      <c r="LT4" s="61"/>
      <c r="LU4" s="61"/>
      <c r="LV4" s="61"/>
      <c r="LW4" s="61"/>
      <c r="LX4" s="61"/>
      <c r="LY4" s="61"/>
      <c r="LZ4" s="61"/>
      <c r="MA4" s="61"/>
      <c r="MB4" s="61"/>
      <c r="MC4" s="61"/>
      <c r="MD4" s="61"/>
      <c r="ME4" s="61"/>
      <c r="MF4" s="61"/>
      <c r="MG4" s="61"/>
      <c r="MH4" s="61"/>
      <c r="MI4" s="61"/>
      <c r="MJ4" s="61"/>
      <c r="MK4" s="61"/>
      <c r="ML4" s="61"/>
      <c r="MM4" s="61"/>
      <c r="MN4" s="61"/>
      <c r="MO4" s="61"/>
      <c r="MP4" s="61"/>
      <c r="MQ4" s="61"/>
      <c r="MR4" s="61"/>
      <c r="MS4" s="61"/>
      <c r="MT4" s="61"/>
      <c r="MU4" s="61"/>
      <c r="MV4" s="61"/>
      <c r="MW4" s="61"/>
      <c r="MX4" s="61"/>
      <c r="MY4" s="61"/>
      <c r="MZ4" s="61"/>
      <c r="NA4" s="61"/>
      <c r="NB4" s="61"/>
      <c r="NC4" s="61"/>
      <c r="ND4" s="61"/>
      <c r="NE4" s="61"/>
      <c r="NF4" s="61"/>
      <c r="NG4" s="61"/>
      <c r="NH4" s="61"/>
      <c r="NI4" s="61"/>
      <c r="NJ4" s="61"/>
      <c r="NK4" s="61"/>
      <c r="NL4" s="61"/>
      <c r="NM4" s="61"/>
      <c r="NN4" s="61"/>
      <c r="NO4" s="61"/>
      <c r="NP4" s="61"/>
      <c r="NQ4" s="61"/>
      <c r="NR4" s="61"/>
      <c r="NS4" s="61"/>
      <c r="NT4" s="61"/>
      <c r="NU4" s="61"/>
      <c r="NV4" s="61"/>
      <c r="NW4" s="61"/>
      <c r="NX4" s="61"/>
      <c r="NY4" s="61"/>
      <c r="NZ4" s="61"/>
      <c r="OA4" s="61"/>
      <c r="OB4" s="61"/>
      <c r="OC4" s="61"/>
      <c r="OD4" s="61"/>
      <c r="OE4" s="61"/>
      <c r="OF4" s="61"/>
      <c r="OG4" s="61"/>
      <c r="OH4" s="61"/>
      <c r="OI4" s="61"/>
      <c r="OJ4" s="61"/>
      <c r="OK4" s="61"/>
      <c r="OL4" s="61"/>
      <c r="OM4" s="61"/>
      <c r="ON4" s="61"/>
      <c r="OO4" s="61"/>
      <c r="OP4" s="61"/>
      <c r="OQ4" s="61"/>
      <c r="OR4" s="61"/>
      <c r="OS4" s="61"/>
      <c r="OT4" s="61"/>
      <c r="OU4" s="61"/>
      <c r="OV4" s="61"/>
      <c r="OW4" s="61"/>
      <c r="OX4" s="61"/>
      <c r="OY4" s="61"/>
      <c r="OZ4" s="61"/>
      <c r="PA4" s="61"/>
      <c r="PB4" s="61"/>
      <c r="PC4" s="61"/>
      <c r="PD4" s="61"/>
      <c r="PE4" s="61"/>
      <c r="PF4" s="61"/>
      <c r="PG4" s="61"/>
      <c r="PH4" s="61"/>
      <c r="PI4" s="61"/>
      <c r="PJ4" s="61"/>
      <c r="PK4" s="61"/>
      <c r="PL4" s="61"/>
      <c r="PM4" s="61"/>
      <c r="PN4" s="61"/>
      <c r="PO4" s="61"/>
      <c r="PP4" s="61"/>
      <c r="PQ4" s="61"/>
      <c r="PR4" s="61"/>
      <c r="PS4" s="61"/>
      <c r="PT4" s="61"/>
      <c r="PU4" s="61"/>
      <c r="PV4" s="61"/>
      <c r="PW4" s="61"/>
      <c r="PX4" s="61"/>
      <c r="PY4" s="61"/>
      <c r="PZ4" s="61"/>
      <c r="QA4" s="61"/>
      <c r="QB4" s="61"/>
      <c r="QC4" s="61"/>
      <c r="QD4" s="61"/>
      <c r="QE4" s="61"/>
      <c r="QF4" s="61"/>
      <c r="QG4" s="61"/>
      <c r="QH4" s="61"/>
      <c r="QI4" s="61"/>
      <c r="QJ4" s="61"/>
      <c r="QK4" s="61"/>
      <c r="QL4" s="61"/>
      <c r="QM4" s="61"/>
      <c r="QN4" s="61"/>
      <c r="QO4" s="61"/>
      <c r="QP4" s="61"/>
      <c r="QQ4" s="61"/>
      <c r="QR4" s="61"/>
      <c r="QS4" s="61"/>
      <c r="QT4" s="61"/>
      <c r="QU4" s="61"/>
      <c r="QV4" s="61"/>
      <c r="QW4" s="61"/>
      <c r="QX4" s="61"/>
      <c r="QY4" s="61"/>
      <c r="QZ4" s="61"/>
      <c r="RA4" s="61"/>
      <c r="RB4" s="61"/>
      <c r="RC4" s="61"/>
      <c r="RD4" s="61"/>
      <c r="RE4" s="61"/>
      <c r="RF4" s="61"/>
      <c r="RG4" s="61"/>
      <c r="RH4" s="61"/>
      <c r="RI4" s="61"/>
      <c r="RJ4" s="61"/>
      <c r="RK4" s="61"/>
      <c r="RL4" s="61"/>
      <c r="RM4" s="61"/>
      <c r="RN4" s="61"/>
      <c r="RO4" s="61"/>
      <c r="RP4" s="61"/>
      <c r="RQ4" s="61"/>
      <c r="RR4" s="61"/>
      <c r="RS4" s="61"/>
      <c r="RT4" s="61"/>
      <c r="RU4" s="61"/>
      <c r="RV4" s="61"/>
      <c r="RW4" s="61"/>
      <c r="RX4" s="61"/>
      <c r="RY4" s="61"/>
      <c r="RZ4" s="61"/>
      <c r="SA4" s="61"/>
      <c r="SB4" s="61"/>
      <c r="SC4" s="61"/>
      <c r="SD4" s="61"/>
      <c r="SE4" s="61"/>
      <c r="SF4" s="61"/>
      <c r="SG4" s="61"/>
      <c r="SH4" s="61"/>
      <c r="SI4" s="61"/>
      <c r="SJ4" s="61"/>
      <c r="SK4" s="61"/>
      <c r="SL4" s="61"/>
      <c r="SM4" s="61"/>
      <c r="SN4" s="61"/>
      <c r="SO4" s="61"/>
      <c r="SP4" s="61"/>
      <c r="SQ4" s="61"/>
      <c r="SR4" s="61"/>
      <c r="SS4" s="61"/>
      <c r="ST4" s="61"/>
      <c r="SU4" s="61"/>
      <c r="SV4" s="61"/>
      <c r="SW4" s="61"/>
      <c r="SX4" s="61"/>
      <c r="SY4" s="61"/>
      <c r="SZ4" s="61"/>
      <c r="TA4" s="61"/>
      <c r="TB4" s="61"/>
      <c r="TC4" s="66"/>
      <c r="TD4" s="66"/>
      <c r="TE4" s="66"/>
      <c r="TF4" s="66"/>
      <c r="TG4" s="66"/>
      <c r="TH4" s="66"/>
      <c r="TI4" s="66"/>
      <c r="TJ4" s="66"/>
      <c r="TK4" s="66"/>
      <c r="TL4" s="66"/>
      <c r="TM4" s="61"/>
      <c r="TN4" s="61"/>
      <c r="TO4" s="61"/>
      <c r="TP4" s="61"/>
      <c r="TQ4" s="61"/>
      <c r="TR4" s="61"/>
      <c r="TS4" s="61"/>
      <c r="TT4" s="61"/>
      <c r="TU4" s="61"/>
      <c r="TV4" s="61"/>
      <c r="TW4" s="61"/>
      <c r="TX4" s="61"/>
      <c r="TY4" s="61"/>
      <c r="TZ4" s="61"/>
      <c r="UA4" s="61"/>
      <c r="UB4" s="61"/>
      <c r="UC4" s="61"/>
      <c r="UD4" s="61"/>
      <c r="UE4" s="61"/>
      <c r="UF4" s="61"/>
      <c r="UG4" s="61"/>
      <c r="UH4" s="61"/>
      <c r="UI4" s="61"/>
      <c r="UJ4" s="61"/>
      <c r="UK4" s="61"/>
      <c r="UL4" s="61"/>
      <c r="UM4" s="61"/>
      <c r="UN4" s="61"/>
      <c r="UO4" s="61"/>
      <c r="UP4" s="61"/>
      <c r="UQ4" s="61"/>
      <c r="UR4" s="61"/>
      <c r="US4" s="61"/>
      <c r="UT4" s="61"/>
      <c r="UU4" s="61"/>
      <c r="UV4" s="61"/>
      <c r="UW4" s="61"/>
      <c r="UX4" s="61"/>
      <c r="UY4" s="61"/>
      <c r="UZ4" s="61"/>
      <c r="VA4" s="61"/>
      <c r="VB4" s="61"/>
      <c r="VC4" s="61"/>
      <c r="VD4" s="61"/>
      <c r="VE4" s="61"/>
      <c r="VF4" s="61"/>
      <c r="VG4" s="61"/>
      <c r="VH4" s="61"/>
      <c r="VI4" s="61"/>
      <c r="VJ4" s="61"/>
      <c r="VK4" s="61"/>
      <c r="VL4" s="61"/>
      <c r="VM4" s="61"/>
      <c r="VN4" s="61"/>
      <c r="VO4" s="61"/>
      <c r="VP4" s="61"/>
      <c r="VQ4" s="61"/>
      <c r="VR4" s="61"/>
      <c r="VS4" s="61"/>
      <c r="VT4" s="61"/>
      <c r="VU4" s="61"/>
      <c r="VV4" s="61"/>
      <c r="VW4" s="61"/>
      <c r="VX4" s="61"/>
      <c r="VY4" s="61"/>
      <c r="VZ4" s="61"/>
      <c r="WA4" s="61"/>
      <c r="WB4" s="61"/>
      <c r="WC4" s="61"/>
      <c r="WD4" s="61"/>
      <c r="WE4" s="61"/>
      <c r="WF4" s="61"/>
      <c r="WG4" s="61"/>
      <c r="WH4" s="61"/>
      <c r="WI4" s="61"/>
      <c r="WJ4" s="61"/>
      <c r="WK4" s="61"/>
      <c r="WL4" s="61"/>
      <c r="WM4" s="61"/>
      <c r="WN4" s="61"/>
      <c r="WO4" s="61"/>
      <c r="WP4" s="61"/>
      <c r="WQ4" s="61"/>
      <c r="WR4" s="61"/>
      <c r="WS4" s="61"/>
      <c r="WT4" s="61"/>
      <c r="WU4" s="61"/>
      <c r="WV4" s="61"/>
      <c r="WW4" s="61"/>
      <c r="WX4" s="61"/>
      <c r="WY4" s="61"/>
      <c r="WZ4" s="61"/>
      <c r="XA4" s="61"/>
      <c r="XB4" s="61"/>
      <c r="XC4" s="61"/>
      <c r="XD4" s="61"/>
      <c r="XE4" s="61"/>
      <c r="XF4" s="61"/>
      <c r="XG4" s="61"/>
      <c r="XH4" s="61"/>
      <c r="XI4" s="61"/>
      <c r="XJ4" s="61"/>
      <c r="XK4" s="61"/>
      <c r="XL4" s="61"/>
      <c r="XM4" s="61"/>
      <c r="XN4" s="61"/>
      <c r="XO4" s="61"/>
      <c r="XP4" s="61"/>
      <c r="XQ4" s="61"/>
      <c r="XR4" s="61"/>
      <c r="XS4" s="61"/>
      <c r="XT4" s="61"/>
      <c r="XU4" s="61"/>
      <c r="XV4" s="61"/>
      <c r="XW4" s="61"/>
      <c r="XX4" s="61"/>
      <c r="XY4" s="61"/>
      <c r="XZ4" s="61"/>
      <c r="YA4" s="61"/>
      <c r="YB4" s="61"/>
      <c r="YC4" s="61"/>
      <c r="YD4" s="61"/>
      <c r="YE4" s="61"/>
      <c r="YF4" s="61"/>
      <c r="YG4" s="61"/>
      <c r="YH4" s="61"/>
      <c r="YI4" s="61"/>
      <c r="YJ4" s="61"/>
      <c r="YK4" s="61"/>
      <c r="YL4" s="61"/>
      <c r="YM4" s="61"/>
      <c r="YN4" s="61"/>
      <c r="YO4" s="61"/>
      <c r="YP4" s="61"/>
      <c r="YQ4" s="61"/>
      <c r="YR4" s="61"/>
      <c r="YS4" s="61"/>
      <c r="YT4" s="61"/>
      <c r="YU4" s="61"/>
      <c r="YV4" s="61"/>
      <c r="YW4" s="61"/>
      <c r="YX4" s="61"/>
      <c r="YY4" s="61"/>
      <c r="YZ4" s="61"/>
      <c r="ZA4" s="61"/>
      <c r="ZB4" s="61"/>
      <c r="ZC4" s="61"/>
      <c r="ZD4" s="61"/>
      <c r="ZE4" s="61"/>
      <c r="ZF4" s="61"/>
      <c r="ZG4" s="61"/>
      <c r="ZH4" s="61"/>
      <c r="ZI4" s="61"/>
      <c r="ZJ4" s="61"/>
      <c r="ZK4" s="61"/>
      <c r="ZL4" s="61"/>
      <c r="ZM4" s="61"/>
      <c r="ZN4" s="61"/>
      <c r="ZO4" s="61"/>
      <c r="ZP4" s="61"/>
      <c r="ZQ4" s="61"/>
      <c r="ZR4" s="62"/>
      <c r="ZS4" s="62"/>
      <c r="ZT4" s="62"/>
      <c r="ZU4" s="62"/>
      <c r="ZV4" s="62"/>
      <c r="ZW4" s="62"/>
      <c r="ZX4" s="62"/>
      <c r="ZY4" s="62"/>
      <c r="ZZ4" s="62"/>
      <c r="AAA4" s="62"/>
      <c r="AAB4" s="62"/>
      <c r="AAC4" s="62"/>
      <c r="AAD4" s="62"/>
      <c r="AAE4" s="62"/>
      <c r="AAF4" s="62"/>
      <c r="AAG4" s="62"/>
      <c r="AAH4" s="62"/>
      <c r="AAI4" s="62"/>
      <c r="AAJ4" s="62"/>
      <c r="AAK4" s="62"/>
      <c r="AAL4" s="62"/>
      <c r="AAM4" s="62"/>
      <c r="AAN4" s="62"/>
      <c r="AAO4" s="62"/>
      <c r="AAP4" s="62"/>
      <c r="AAQ4" s="62"/>
      <c r="AAR4" s="62"/>
      <c r="AAS4" s="62"/>
      <c r="AAT4" s="62"/>
      <c r="AAU4" s="62"/>
      <c r="AAV4" s="62"/>
      <c r="AAW4" s="62"/>
      <c r="AAX4" s="61"/>
      <c r="AAY4" s="61"/>
      <c r="AAZ4" s="61"/>
      <c r="ABA4" s="61"/>
      <c r="ABB4" s="61"/>
      <c r="ABC4" s="61"/>
      <c r="ABD4" s="61"/>
      <c r="ABE4" s="61"/>
      <c r="ABF4" s="61"/>
      <c r="ABG4" s="61"/>
      <c r="ABH4" s="61"/>
      <c r="ABI4" s="61"/>
      <c r="ABJ4" s="61"/>
      <c r="ABK4" s="61"/>
      <c r="ABL4" s="61"/>
      <c r="ABM4" s="61"/>
      <c r="ABN4" s="61"/>
      <c r="ABO4" s="61"/>
      <c r="ABP4" s="61"/>
      <c r="ABQ4" s="61"/>
      <c r="ABR4" s="61"/>
      <c r="ABS4" s="61"/>
      <c r="ABT4" s="61"/>
      <c r="ABU4" s="61"/>
      <c r="ABV4" s="61"/>
      <c r="ABW4" s="61"/>
      <c r="ABX4" s="61"/>
      <c r="ABY4" s="61"/>
      <c r="ABZ4" s="61"/>
      <c r="ACA4" s="61"/>
      <c r="ACB4" s="61"/>
      <c r="ACC4" s="61"/>
      <c r="ACD4" s="61"/>
      <c r="ACE4" s="61"/>
      <c r="ACF4" s="61"/>
      <c r="ACG4" s="61"/>
      <c r="ACH4" s="61"/>
      <c r="ACI4" s="61"/>
      <c r="ACJ4" s="61"/>
      <c r="ACK4" s="61"/>
      <c r="ACL4" s="61"/>
      <c r="ACM4" s="61"/>
      <c r="ACN4" s="61"/>
      <c r="ACO4" s="61"/>
      <c r="ACP4" s="61"/>
      <c r="ACQ4" s="61"/>
      <c r="ACR4" s="61"/>
      <c r="ACS4" s="61"/>
      <c r="ACT4" s="61"/>
      <c r="ACU4" s="61"/>
      <c r="ACV4" s="61"/>
      <c r="ACW4" s="61"/>
      <c r="ACX4" s="61"/>
      <c r="ACY4" s="61"/>
      <c r="ACZ4" s="61"/>
      <c r="ADA4" s="61"/>
      <c r="ADB4" s="61"/>
      <c r="ADC4" s="61"/>
      <c r="ADD4" s="61"/>
      <c r="ADE4" s="61"/>
      <c r="ADF4" s="61"/>
      <c r="ADG4" s="61"/>
      <c r="ADH4" s="61"/>
      <c r="ADI4" s="61"/>
      <c r="ADJ4" s="61"/>
      <c r="ADK4" s="61"/>
      <c r="ADL4" s="61"/>
      <c r="ADM4" s="61"/>
      <c r="ADN4" s="61"/>
      <c r="ADO4" s="61"/>
      <c r="ADP4" s="61"/>
      <c r="ADQ4" s="61"/>
      <c r="ADR4" s="61"/>
      <c r="ADS4" s="61"/>
      <c r="ADT4" s="61"/>
      <c r="ADU4" s="61"/>
      <c r="ADV4" s="61"/>
      <c r="ADW4" s="61"/>
      <c r="ADX4" s="61"/>
      <c r="ADY4" s="61"/>
      <c r="ADZ4" s="61"/>
      <c r="AEA4" s="61"/>
      <c r="AEB4" s="61"/>
      <c r="AEC4" s="61"/>
      <c r="AED4" s="61"/>
      <c r="AEE4" s="61"/>
      <c r="AEF4" s="61"/>
      <c r="AEG4" s="61"/>
      <c r="AEH4" s="61"/>
      <c r="AEI4" s="61"/>
      <c r="AEJ4" s="61"/>
      <c r="AEK4" s="61"/>
      <c r="AEL4" s="61"/>
      <c r="AEM4" s="61"/>
      <c r="AEN4" s="61"/>
      <c r="AEO4" s="61"/>
      <c r="AEP4" s="61"/>
      <c r="AEQ4" s="61"/>
      <c r="AER4" s="61"/>
      <c r="AES4" s="61"/>
      <c r="AET4" s="61"/>
      <c r="AEU4" s="62"/>
      <c r="AEV4" s="62"/>
      <c r="AEW4" s="62"/>
      <c r="AEX4" s="62"/>
      <c r="AEY4" s="62"/>
      <c r="AEZ4" s="62"/>
      <c r="AFA4" s="62"/>
      <c r="AFB4" s="62"/>
      <c r="AFC4" s="62"/>
      <c r="AFD4" s="62"/>
      <c r="AFE4" s="62"/>
      <c r="AFF4" s="62"/>
      <c r="AFG4" s="62"/>
      <c r="AFH4" s="62"/>
      <c r="AFI4" s="62"/>
      <c r="AFJ4" s="62"/>
      <c r="AFK4" s="62"/>
      <c r="AFL4" s="62"/>
      <c r="AFM4" s="62"/>
      <c r="AFN4" s="62"/>
      <c r="AFO4" s="62"/>
      <c r="AFP4" s="62"/>
      <c r="AFQ4" s="62"/>
      <c r="AFR4" s="62"/>
      <c r="AFS4" s="62"/>
      <c r="AFT4" s="62"/>
      <c r="AFU4" s="62"/>
      <c r="AFV4" s="62"/>
      <c r="AFW4" s="62"/>
      <c r="AFX4" s="62"/>
      <c r="AFY4" s="62"/>
      <c r="AFZ4" s="62"/>
      <c r="AGA4" s="62"/>
      <c r="AGB4" s="62"/>
      <c r="AGC4" s="62"/>
      <c r="AGD4" s="62"/>
      <c r="AGE4" s="62"/>
      <c r="AGF4" s="62"/>
      <c r="AGG4" s="61"/>
      <c r="AGH4" s="61"/>
      <c r="AGI4" s="61"/>
      <c r="AGJ4" s="61"/>
      <c r="AGK4" s="61"/>
      <c r="AGL4" s="61"/>
      <c r="AGM4" s="61"/>
      <c r="AGN4" s="61"/>
      <c r="AGO4" s="61"/>
      <c r="AGP4" s="61"/>
      <c r="AGQ4" s="61"/>
      <c r="AGR4" s="61"/>
      <c r="AGS4" s="61"/>
      <c r="AGT4" s="61"/>
      <c r="AGU4" s="61"/>
      <c r="AGV4" s="61"/>
      <c r="AGW4" s="61"/>
      <c r="AGX4" s="61"/>
      <c r="AGY4" s="61"/>
      <c r="AGZ4" s="61"/>
      <c r="AHA4" s="61"/>
      <c r="AHB4" s="61"/>
      <c r="AHC4" s="61"/>
      <c r="AHD4" s="61"/>
      <c r="AHE4" s="61"/>
      <c r="AHF4" s="61"/>
      <c r="AHG4" s="61"/>
      <c r="AHH4" s="61"/>
      <c r="AHI4" s="61"/>
      <c r="AHJ4" s="61"/>
      <c r="AHK4" s="61"/>
      <c r="AHL4" s="61"/>
      <c r="AHM4" s="61"/>
      <c r="AHN4" s="61"/>
      <c r="AHO4" s="61"/>
      <c r="AHP4" s="61"/>
      <c r="AHQ4" s="61"/>
      <c r="AHR4" s="61"/>
      <c r="AHS4" s="61"/>
      <c r="AHT4" s="61"/>
      <c r="AHU4" s="61"/>
      <c r="AHV4" s="61"/>
      <c r="AHW4" s="61"/>
      <c r="AHX4" s="61"/>
      <c r="AHY4" s="61"/>
      <c r="AHZ4" s="61"/>
      <c r="AIA4" s="61"/>
      <c r="AIB4" s="61"/>
      <c r="AIC4" s="61"/>
      <c r="AID4" s="61"/>
      <c r="AIE4" s="61"/>
      <c r="AIF4" s="61"/>
      <c r="AIG4" s="62"/>
      <c r="AIH4" s="62"/>
      <c r="AII4" s="62"/>
      <c r="AIJ4" s="61"/>
      <c r="AIK4" s="61"/>
      <c r="AIL4" s="61"/>
      <c r="AIM4" s="61"/>
      <c r="AIN4" s="61"/>
      <c r="AIO4" s="61"/>
      <c r="AIP4" s="61"/>
      <c r="AIQ4" s="61"/>
      <c r="AIR4" s="61"/>
      <c r="AIS4" s="61"/>
      <c r="AIT4" s="61"/>
      <c r="AIU4" s="61"/>
      <c r="AIV4" s="61"/>
      <c r="AIW4" s="61"/>
      <c r="AIX4" s="61"/>
      <c r="AIY4" s="61"/>
      <c r="AIZ4" s="61"/>
      <c r="AJA4" s="61"/>
      <c r="AJB4" s="61"/>
      <c r="AJC4" s="61"/>
      <c r="AJD4" s="61"/>
      <c r="AJE4" s="61"/>
      <c r="AJF4" s="61"/>
      <c r="AJG4" s="61"/>
      <c r="AJH4" s="61"/>
      <c r="AJI4" s="61"/>
      <c r="AJJ4" s="61"/>
      <c r="AJK4" s="61"/>
      <c r="AJL4" s="61"/>
      <c r="AJM4" s="61"/>
      <c r="AJN4" s="62"/>
      <c r="AJO4" s="62"/>
      <c r="AJP4" s="62"/>
      <c r="AJQ4" s="61"/>
      <c r="AJR4" s="61"/>
      <c r="AJS4" s="61"/>
      <c r="AJT4" s="61"/>
      <c r="AJU4" s="61"/>
      <c r="AJV4" s="61"/>
      <c r="AJW4" s="61"/>
      <c r="AJX4" s="61"/>
      <c r="AJY4" s="61"/>
      <c r="AJZ4" s="61"/>
      <c r="AKA4" s="61"/>
      <c r="AKB4" s="61"/>
      <c r="AKC4" s="61"/>
      <c r="AKD4" s="61"/>
      <c r="AKE4" s="61"/>
      <c r="AKF4" s="61"/>
      <c r="AKG4" s="61"/>
      <c r="AKH4" s="61"/>
      <c r="AKI4" s="61"/>
      <c r="AKJ4" s="61"/>
      <c r="AKK4" s="61"/>
      <c r="AKL4" s="61"/>
      <c r="AKM4" s="61"/>
      <c r="AKN4" s="61"/>
      <c r="AKO4" s="61"/>
      <c r="AKP4" s="61"/>
      <c r="AKQ4" s="61"/>
      <c r="AKR4" s="61"/>
      <c r="AKS4" s="61"/>
      <c r="AKT4" s="61"/>
      <c r="AKU4" s="61"/>
      <c r="AKV4" s="61"/>
      <c r="AKW4" s="61"/>
      <c r="AKX4" s="62"/>
      <c r="AKY4" s="62"/>
      <c r="AKZ4" s="61"/>
      <c r="ALA4" s="61"/>
      <c r="ALB4" s="61"/>
      <c r="ALC4" s="61"/>
      <c r="ALD4" s="61"/>
      <c r="ALE4" s="61"/>
      <c r="ALF4" s="61"/>
      <c r="ALG4" s="61"/>
      <c r="ALH4" s="61"/>
      <c r="ALI4" s="61"/>
      <c r="ALJ4" s="61"/>
      <c r="ALK4" s="61"/>
      <c r="ALL4" s="61"/>
      <c r="ALM4" s="61"/>
      <c r="ALN4" s="61"/>
      <c r="ALO4" s="61"/>
      <c r="ALP4" s="61"/>
      <c r="ALQ4" s="61"/>
      <c r="ALR4" s="61"/>
      <c r="ALS4" s="61"/>
      <c r="ALT4" s="61"/>
      <c r="ALU4" s="61"/>
      <c r="ALV4" s="61"/>
      <c r="ALW4" s="61"/>
      <c r="ALX4" s="61"/>
      <c r="ALY4" s="61"/>
      <c r="ALZ4" s="61"/>
      <c r="AMA4" s="61"/>
      <c r="AMB4" s="61"/>
      <c r="AMC4" s="61"/>
      <c r="AMD4" s="61"/>
      <c r="AME4" s="61"/>
      <c r="AMF4" s="61"/>
      <c r="AMG4" s="61"/>
      <c r="AMH4" s="61"/>
      <c r="AMI4" s="61"/>
      <c r="AMJ4" s="61"/>
      <c r="AMK4" s="61"/>
      <c r="AML4" s="61"/>
      <c r="AMM4" s="61"/>
      <c r="AMN4" s="61"/>
      <c r="AMO4" s="61"/>
      <c r="AMP4" s="61"/>
      <c r="AMQ4" s="61"/>
      <c r="AMR4" s="61"/>
      <c r="AMS4" s="61"/>
      <c r="AMT4" s="61"/>
      <c r="AMU4" s="61"/>
      <c r="AMV4" s="61"/>
      <c r="AMW4" s="61"/>
      <c r="AMX4" s="61"/>
      <c r="AMY4" s="61"/>
      <c r="ANF4" s="59">
        <v>193</v>
      </c>
      <c r="ANJ4" s="61"/>
      <c r="ANK4" s="61"/>
      <c r="ANL4" s="61"/>
      <c r="ANM4" s="61"/>
      <c r="ANN4" s="61"/>
      <c r="ANO4" s="61"/>
      <c r="ANP4" s="61"/>
      <c r="ANQ4" s="61"/>
      <c r="ANR4" s="61"/>
      <c r="ANS4" s="61"/>
      <c r="ANT4" s="61"/>
      <c r="ANU4" s="61"/>
      <c r="ANV4" s="61"/>
      <c r="ANW4" s="61"/>
      <c r="ANX4" s="61"/>
      <c r="ANY4" s="61"/>
      <c r="ANZ4" s="61"/>
      <c r="AOA4" s="61"/>
      <c r="AOB4" s="61"/>
      <c r="AOC4" s="61"/>
      <c r="AOD4" s="61"/>
      <c r="AOE4" s="61"/>
      <c r="AOF4" s="61"/>
      <c r="AOG4" s="61"/>
      <c r="AOH4" s="61"/>
      <c r="AOI4" s="61"/>
      <c r="AOJ4" s="61"/>
      <c r="AOK4" s="61"/>
      <c r="AOL4" s="61"/>
      <c r="AOM4" s="61"/>
      <c r="AON4" s="61"/>
      <c r="AOO4" s="61"/>
      <c r="AOP4" s="61"/>
      <c r="AOQ4" s="61"/>
      <c r="AOR4" s="61"/>
      <c r="AOS4" s="61"/>
      <c r="AOT4" s="61"/>
      <c r="AOU4" s="61"/>
      <c r="AOV4" s="61"/>
      <c r="AOW4" s="61"/>
      <c r="AOX4" s="61"/>
      <c r="AOY4" s="61"/>
      <c r="AOZ4" s="61"/>
      <c r="APA4" s="61"/>
      <c r="APB4" s="61"/>
      <c r="APC4" s="61"/>
      <c r="APD4" s="61"/>
      <c r="APE4" s="61"/>
      <c r="APF4" s="61"/>
      <c r="APG4" s="61"/>
      <c r="APH4" s="61"/>
      <c r="API4" s="61"/>
      <c r="APJ4" s="61"/>
      <c r="APK4" s="61"/>
      <c r="APL4" s="61"/>
      <c r="APM4" s="61"/>
      <c r="APN4" s="61"/>
      <c r="APO4" s="61"/>
      <c r="APP4" s="61"/>
      <c r="APQ4" s="61"/>
      <c r="APR4" s="61"/>
      <c r="APS4" s="61"/>
      <c r="APT4" s="61"/>
      <c r="APU4" s="61"/>
      <c r="APV4" s="61"/>
      <c r="APW4" s="61"/>
      <c r="APX4" s="61"/>
      <c r="APY4" s="61"/>
      <c r="APZ4" s="61"/>
      <c r="AQA4" s="61"/>
      <c r="AQB4" s="61"/>
      <c r="AQC4" s="61"/>
      <c r="AQD4" s="61"/>
      <c r="AQE4" s="61"/>
      <c r="ARV4" s="66"/>
      <c r="ARW4" s="66"/>
      <c r="ARX4" s="66"/>
      <c r="ARY4" s="66"/>
      <c r="ARZ4" s="66"/>
      <c r="ASA4" s="66"/>
      <c r="ASB4" s="66"/>
      <c r="ASC4" s="66"/>
      <c r="ASD4" s="61"/>
      <c r="ASE4" s="61"/>
      <c r="ASF4" s="61"/>
      <c r="ASG4" s="61"/>
      <c r="ASH4" s="61"/>
      <c r="ASI4" s="61"/>
      <c r="ASJ4" s="61"/>
      <c r="ASK4" s="61"/>
      <c r="ASL4" s="61"/>
      <c r="ASM4" s="61"/>
      <c r="ASN4" s="61"/>
      <c r="ASO4" s="61"/>
      <c r="ASP4" s="61"/>
      <c r="ASQ4" s="61"/>
      <c r="ASR4" s="61"/>
      <c r="ASS4" s="61"/>
      <c r="AST4" s="61"/>
      <c r="ASU4" s="61"/>
      <c r="ASV4" s="61"/>
      <c r="ASW4" s="61"/>
      <c r="ASX4" s="61"/>
      <c r="ASY4" s="61"/>
      <c r="ASZ4" s="61"/>
      <c r="ATA4" s="61"/>
      <c r="ATB4" s="61"/>
      <c r="ATC4" s="61"/>
      <c r="ATD4" s="61"/>
      <c r="ATE4" s="61"/>
      <c r="ATF4" s="61"/>
      <c r="ATG4" s="61"/>
      <c r="ATH4" s="61"/>
      <c r="ATI4" s="61"/>
      <c r="ATJ4" s="61"/>
      <c r="ATK4" s="61"/>
      <c r="ATL4" s="61"/>
      <c r="ATM4" s="61"/>
      <c r="ATN4" s="61"/>
      <c r="ATO4" s="61"/>
      <c r="ATP4" s="61"/>
      <c r="ATQ4" s="62"/>
      <c r="ATR4" s="62"/>
      <c r="ATS4" s="62"/>
      <c r="ATT4" s="62"/>
      <c r="ATU4" s="62"/>
      <c r="ATV4" s="61"/>
      <c r="ATW4" s="61"/>
      <c r="ATX4" s="61"/>
      <c r="ATY4" s="61"/>
      <c r="ATZ4" s="61"/>
      <c r="AUA4" s="61"/>
      <c r="AUB4" s="61"/>
      <c r="AUC4" s="61"/>
      <c r="AUD4" s="61"/>
      <c r="AUE4" s="61"/>
      <c r="AUF4" s="61"/>
      <c r="AUG4" s="61"/>
      <c r="AUH4" s="61"/>
      <c r="AUI4" s="61"/>
      <c r="AUJ4" s="61"/>
      <c r="AUK4" s="61"/>
      <c r="AUL4" s="61"/>
      <c r="AUM4" s="61"/>
      <c r="AUN4" s="61"/>
      <c r="AUO4" s="61"/>
      <c r="AUP4" s="61"/>
      <c r="AUQ4" s="61"/>
      <c r="AUR4" s="61"/>
      <c r="AUS4" s="61"/>
      <c r="AUT4" s="61"/>
      <c r="AUU4" s="61"/>
      <c r="AUV4" s="61"/>
      <c r="AUW4" s="61"/>
      <c r="AUX4" s="61"/>
      <c r="AUY4" s="61"/>
      <c r="AUZ4" s="61"/>
      <c r="AVA4" s="61"/>
      <c r="AVB4" s="61"/>
      <c r="AVC4" s="61"/>
      <c r="AVD4" s="61"/>
      <c r="AVE4" s="61"/>
      <c r="AVF4" s="61"/>
      <c r="AVG4" s="61"/>
      <c r="AVH4" s="61"/>
      <c r="AVI4" s="61"/>
      <c r="AVJ4" s="61"/>
      <c r="AVK4" s="61"/>
      <c r="AVL4" s="61"/>
      <c r="AVM4" s="61"/>
      <c r="AVN4" s="61"/>
      <c r="AVO4" s="61"/>
      <c r="AVP4" s="61"/>
      <c r="AVQ4" s="61"/>
      <c r="AVR4" s="61"/>
      <c r="AVS4" s="61"/>
      <c r="AVT4" s="61"/>
      <c r="AVU4" s="61"/>
      <c r="AVV4" s="61"/>
      <c r="AVW4" s="61"/>
      <c r="AVX4" s="61"/>
      <c r="AVY4" s="61"/>
      <c r="AVZ4" s="61"/>
      <c r="AWA4" s="61"/>
      <c r="AWB4" s="61"/>
      <c r="AWC4" s="61"/>
      <c r="AWD4" s="61"/>
      <c r="AWE4" s="61"/>
      <c r="AWF4" s="61"/>
      <c r="AWG4" s="61"/>
      <c r="AWH4" s="61"/>
      <c r="AWI4" s="61"/>
      <c r="AWJ4" s="61"/>
      <c r="AWK4" s="61"/>
      <c r="AWL4" s="61"/>
      <c r="AWM4" s="61"/>
      <c r="AWN4" s="61"/>
      <c r="AWO4" s="61"/>
      <c r="AWP4" s="61"/>
      <c r="AWQ4" s="61"/>
      <c r="AWR4" s="61"/>
      <c r="AWS4" s="61"/>
      <c r="AWT4" s="61"/>
      <c r="AWU4" s="61"/>
      <c r="AWV4" s="61"/>
      <c r="AWW4" s="61"/>
      <c r="AWX4" s="61"/>
      <c r="AWY4" s="61"/>
      <c r="AWZ4" s="61"/>
      <c r="AXA4" s="61"/>
      <c r="AXB4" s="61"/>
      <c r="AXC4" s="61"/>
      <c r="AXD4" s="61"/>
      <c r="AXE4" s="61"/>
      <c r="AXF4" s="61"/>
      <c r="AXG4" s="61"/>
      <c r="AXH4" s="61"/>
      <c r="AXI4" s="61"/>
      <c r="AXJ4" s="61"/>
      <c r="AXK4" s="61"/>
      <c r="AXL4" s="61"/>
      <c r="AXM4" s="61"/>
      <c r="AXN4" s="61"/>
      <c r="AXO4" s="61"/>
      <c r="AXP4" s="61"/>
      <c r="AXQ4" s="61"/>
      <c r="AXR4" s="61"/>
      <c r="AXS4" s="61"/>
      <c r="AXT4" s="61"/>
      <c r="AXU4" s="61"/>
      <c r="AXV4" s="61"/>
      <c r="AXW4" s="61"/>
      <c r="AXX4" s="61"/>
      <c r="AXY4" s="61"/>
      <c r="AXZ4" s="61"/>
      <c r="AYA4" s="61"/>
      <c r="AYB4" s="61"/>
      <c r="AYC4" s="61"/>
      <c r="AYD4" s="61"/>
      <c r="AYE4" s="61"/>
      <c r="AYF4" s="61"/>
      <c r="AYG4" s="61"/>
      <c r="AYH4" s="61"/>
      <c r="AYI4" s="61"/>
      <c r="AYJ4" s="61"/>
      <c r="AYK4" s="61"/>
      <c r="AYL4" s="61"/>
      <c r="AYM4" s="61"/>
      <c r="AYN4" s="61"/>
      <c r="AYO4" s="61"/>
      <c r="AYP4" s="61"/>
      <c r="AYQ4" s="61"/>
      <c r="AYR4" s="61"/>
      <c r="AYS4" s="61"/>
      <c r="AYT4" s="61"/>
      <c r="AYU4" s="61"/>
      <c r="AYV4" s="61"/>
      <c r="AYW4" s="61"/>
      <c r="AYX4" s="61"/>
      <c r="AYY4" s="61"/>
      <c r="AYZ4" s="61"/>
      <c r="AZA4" s="61"/>
      <c r="AZB4" s="61"/>
      <c r="AZC4" s="61"/>
      <c r="AZD4" s="61"/>
      <c r="AZE4" s="61"/>
      <c r="AZF4" s="61"/>
      <c r="AZG4" s="61"/>
      <c r="AZH4" s="61"/>
      <c r="AZI4" s="61"/>
      <c r="AZJ4" s="61"/>
      <c r="AZK4" s="61"/>
      <c r="AZL4" s="61"/>
      <c r="AZM4" s="61"/>
      <c r="AZN4" s="61"/>
      <c r="AZO4" s="61"/>
      <c r="AZP4" s="61"/>
      <c r="AZQ4" s="61"/>
      <c r="AZR4" s="61"/>
      <c r="AZS4" s="61"/>
      <c r="AZT4" s="61"/>
      <c r="AZU4" s="61"/>
      <c r="AZV4" s="61"/>
      <c r="AZW4" s="61"/>
      <c r="AZX4" s="61"/>
      <c r="AZY4" s="61"/>
      <c r="AZZ4" s="61"/>
      <c r="BAA4" s="61"/>
      <c r="BAB4" s="61"/>
      <c r="BAC4" s="61"/>
      <c r="BAD4" s="61"/>
      <c r="BAE4" s="61"/>
      <c r="BAF4" s="61"/>
      <c r="BAG4" s="61"/>
      <c r="BAH4" s="61"/>
      <c r="BAI4" s="61"/>
      <c r="BAJ4" s="61"/>
      <c r="BAK4" s="61"/>
      <c r="BAL4" s="61"/>
      <c r="BAM4" s="61"/>
      <c r="BAN4" s="61"/>
      <c r="BAO4" s="61"/>
      <c r="BAP4" s="61"/>
      <c r="BAQ4" s="61"/>
      <c r="BAR4" s="61"/>
      <c r="BAS4" s="61"/>
      <c r="BAT4" s="61"/>
      <c r="BAU4" s="61"/>
      <c r="BAV4" s="61"/>
      <c r="BAW4" s="61"/>
      <c r="BAX4" s="61"/>
      <c r="BAY4" s="61"/>
      <c r="BAZ4" s="61"/>
      <c r="BBA4" s="61"/>
      <c r="BBB4" s="61"/>
      <c r="BBC4" s="61"/>
      <c r="BBD4" s="61"/>
      <c r="BBE4" s="61"/>
      <c r="BBF4" s="61"/>
      <c r="BBG4" s="61"/>
      <c r="BBH4" s="61"/>
      <c r="BBI4" s="61"/>
      <c r="BBJ4" s="61"/>
      <c r="BBK4" s="61"/>
      <c r="BBL4" s="61"/>
      <c r="BBM4" s="61"/>
      <c r="BBN4" s="61"/>
      <c r="BBO4" s="61"/>
      <c r="BBP4" s="61"/>
      <c r="BBQ4" s="61"/>
      <c r="BBR4" s="61"/>
      <c r="BBS4" s="61"/>
      <c r="BBT4" s="61"/>
      <c r="BBU4" s="61"/>
      <c r="BBV4" s="61"/>
      <c r="BBW4" s="61"/>
      <c r="BBX4" s="61"/>
      <c r="BBY4" s="61"/>
      <c r="BBZ4" s="61"/>
      <c r="BCA4" s="61"/>
      <c r="BCB4" s="61"/>
      <c r="BCC4" s="61"/>
      <c r="BCD4" s="61"/>
      <c r="BCE4" s="61"/>
      <c r="BCF4" s="61"/>
      <c r="BCG4" s="61"/>
      <c r="BCH4" s="61"/>
      <c r="BCI4" s="61"/>
      <c r="BCJ4" s="61"/>
      <c r="BCK4" s="61"/>
      <c r="BCL4" s="61"/>
      <c r="BCM4" s="61"/>
      <c r="BCN4" s="61"/>
      <c r="BCO4" s="61"/>
      <c r="BCP4" s="61"/>
      <c r="BCQ4" s="61"/>
      <c r="BCR4" s="61"/>
      <c r="BCS4" s="61"/>
      <c r="BCT4" s="61"/>
      <c r="BCU4" s="61"/>
      <c r="BCV4" s="61"/>
      <c r="BCW4" s="61"/>
      <c r="BCX4" s="61"/>
      <c r="BCY4" s="61"/>
      <c r="BCZ4" s="61"/>
      <c r="BDA4" s="61"/>
      <c r="BDB4" s="61"/>
      <c r="BDC4" s="61"/>
      <c r="BDD4" s="61"/>
      <c r="BDE4" s="61"/>
      <c r="BDF4" s="61"/>
      <c r="BDG4" s="61"/>
      <c r="BDH4" s="61"/>
      <c r="BDI4" s="61"/>
      <c r="BDJ4" s="61"/>
      <c r="BDK4" s="61"/>
      <c r="BDL4" s="61"/>
      <c r="BDM4" s="61"/>
      <c r="BDN4" s="61"/>
      <c r="BDO4" s="61"/>
      <c r="BDP4" s="61"/>
      <c r="BDQ4" s="61"/>
      <c r="BDR4" s="61"/>
      <c r="BDS4" s="61"/>
      <c r="BDT4" s="61"/>
      <c r="BDU4" s="61"/>
      <c r="BDV4" s="61"/>
      <c r="BDW4" s="61"/>
      <c r="BDX4" s="61"/>
      <c r="BDY4" s="61"/>
      <c r="BDZ4" s="61"/>
      <c r="BEA4" s="61"/>
      <c r="BEB4" s="61"/>
      <c r="BEC4" s="61"/>
      <c r="BED4" s="61"/>
      <c r="BEE4" s="61"/>
      <c r="BEF4" s="61"/>
      <c r="BEG4" s="61"/>
      <c r="BEH4" s="61"/>
      <c r="BEI4" s="61"/>
      <c r="BEJ4" s="61"/>
      <c r="BEK4" s="61"/>
      <c r="BEL4" s="61"/>
      <c r="BEM4" s="61"/>
      <c r="BEN4" s="61"/>
      <c r="BEO4" s="61"/>
      <c r="BEP4" s="61"/>
      <c r="BEQ4" s="61"/>
      <c r="BER4" s="61"/>
      <c r="BES4" s="61"/>
      <c r="BOA4" s="59">
        <v>24</v>
      </c>
      <c r="BOC4" s="59">
        <v>1</v>
      </c>
      <c r="BOF4" s="59">
        <v>1</v>
      </c>
      <c r="BOL4" s="59">
        <v>1</v>
      </c>
      <c r="BPN4" s="59">
        <v>1</v>
      </c>
      <c r="BTY4" s="59">
        <v>1</v>
      </c>
      <c r="BUB4" s="59">
        <v>1</v>
      </c>
      <c r="BYJ4" s="65"/>
      <c r="BYL4" s="59">
        <v>50</v>
      </c>
      <c r="BYM4" s="59">
        <v>3</v>
      </c>
      <c r="BYP4" s="59">
        <v>1</v>
      </c>
      <c r="BZD4" s="59">
        <v>1</v>
      </c>
      <c r="BZF4" s="59">
        <v>3</v>
      </c>
      <c r="BZQ4" s="59">
        <v>1</v>
      </c>
      <c r="BZS4" s="59">
        <v>3</v>
      </c>
      <c r="CAC4" s="59">
        <v>1</v>
      </c>
      <c r="CAD4" s="59">
        <v>3</v>
      </c>
      <c r="CMG4" s="59">
        <v>1000</v>
      </c>
      <c r="CMH4" s="59">
        <v>3</v>
      </c>
      <c r="CMK4" s="59">
        <v>1</v>
      </c>
      <c r="GYE4" s="59">
        <v>1</v>
      </c>
      <c r="GYK4" s="59">
        <v>1</v>
      </c>
      <c r="GYL4" s="59">
        <v>1</v>
      </c>
      <c r="GZK4" s="59">
        <v>1</v>
      </c>
      <c r="HEH4" s="59">
        <v>1</v>
      </c>
      <c r="HEJ4" s="59">
        <v>1</v>
      </c>
      <c r="HFU4" s="59">
        <v>1</v>
      </c>
      <c r="HHA4" s="59">
        <v>1</v>
      </c>
      <c r="HHE4" s="59">
        <v>1</v>
      </c>
      <c r="HHF4" s="59">
        <v>1</v>
      </c>
      <c r="HIZ4" s="59">
        <v>1</v>
      </c>
    </row>
    <row r="5" spans="1:5809" s="59" customFormat="1" x14ac:dyDescent="0.25">
      <c r="A5" s="63">
        <v>12061933</v>
      </c>
      <c r="B5" s="60" t="s">
        <v>4188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2"/>
      <c r="DL5" s="62"/>
      <c r="DM5" s="62"/>
      <c r="DN5" s="62"/>
      <c r="DO5" s="62"/>
      <c r="DP5" s="62"/>
      <c r="DQ5" s="62"/>
      <c r="DR5" s="62"/>
      <c r="DS5" s="62"/>
      <c r="DT5" s="62"/>
      <c r="DU5" s="62"/>
      <c r="DV5" s="62"/>
      <c r="DW5" s="62"/>
      <c r="DX5" s="62"/>
      <c r="DY5" s="62"/>
      <c r="DZ5" s="62"/>
      <c r="EA5" s="62"/>
      <c r="EB5" s="62"/>
      <c r="EC5" s="62"/>
      <c r="ED5" s="62"/>
      <c r="EE5" s="62"/>
      <c r="EF5" s="62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2"/>
      <c r="GY5" s="62"/>
      <c r="GZ5" s="62"/>
      <c r="HA5" s="62"/>
      <c r="HB5" s="62"/>
      <c r="HC5" s="62"/>
      <c r="HD5" s="62"/>
      <c r="HE5" s="62"/>
      <c r="HF5" s="62"/>
      <c r="HG5" s="62"/>
      <c r="HH5" s="62"/>
      <c r="HI5" s="62"/>
      <c r="HJ5" s="62"/>
      <c r="HK5" s="62"/>
      <c r="HL5" s="62"/>
      <c r="HM5" s="62"/>
      <c r="HN5" s="62"/>
      <c r="HO5" s="62"/>
      <c r="HP5" s="62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61"/>
      <c r="IM5" s="61"/>
      <c r="IN5" s="61"/>
      <c r="IO5" s="61"/>
      <c r="IP5" s="61"/>
      <c r="IQ5" s="61"/>
      <c r="IR5" s="61"/>
      <c r="IS5" s="61"/>
      <c r="IT5" s="61"/>
      <c r="IU5" s="61"/>
      <c r="IV5" s="61"/>
      <c r="IW5" s="61"/>
      <c r="IX5" s="61"/>
      <c r="JA5" s="61"/>
      <c r="JB5" s="61"/>
      <c r="JC5" s="61"/>
      <c r="JD5" s="61"/>
      <c r="JE5" s="61"/>
      <c r="JF5" s="61"/>
      <c r="JG5" s="61"/>
      <c r="JH5" s="61"/>
      <c r="JI5" s="61"/>
      <c r="JJ5" s="61"/>
      <c r="JK5" s="61"/>
      <c r="JL5" s="61"/>
      <c r="JM5" s="61"/>
      <c r="JN5" s="61"/>
      <c r="JO5" s="61"/>
      <c r="JP5" s="61"/>
      <c r="JQ5" s="61"/>
      <c r="JR5" s="61"/>
      <c r="JS5" s="61"/>
      <c r="JT5" s="61"/>
      <c r="JU5" s="61"/>
      <c r="JV5" s="61"/>
      <c r="JW5" s="61"/>
      <c r="JX5" s="61"/>
      <c r="JY5" s="61"/>
      <c r="JZ5" s="61"/>
      <c r="KA5" s="61"/>
      <c r="KB5" s="61"/>
      <c r="KC5" s="61"/>
      <c r="KD5" s="61"/>
      <c r="KE5" s="61"/>
      <c r="KF5" s="61"/>
      <c r="KG5" s="61"/>
      <c r="KH5" s="61"/>
      <c r="KI5" s="61"/>
      <c r="KJ5" s="61"/>
      <c r="KK5" s="61"/>
      <c r="KL5" s="61"/>
      <c r="KM5" s="61"/>
      <c r="KN5" s="61"/>
      <c r="KO5" s="61"/>
      <c r="KP5" s="61"/>
      <c r="KQ5" s="61"/>
      <c r="KR5" s="61"/>
      <c r="KS5" s="61"/>
      <c r="KT5" s="61"/>
      <c r="KU5" s="61"/>
      <c r="KV5" s="61"/>
      <c r="KW5" s="61"/>
      <c r="KX5" s="61"/>
      <c r="KY5" s="61"/>
      <c r="KZ5" s="61"/>
      <c r="LA5" s="61"/>
      <c r="LB5" s="61"/>
      <c r="LC5" s="61"/>
      <c r="LD5" s="61"/>
      <c r="LE5" s="61"/>
      <c r="LF5" s="61"/>
      <c r="LG5" s="61"/>
      <c r="LH5" s="61"/>
      <c r="LI5" s="61"/>
      <c r="LJ5" s="61"/>
      <c r="LK5" s="61"/>
      <c r="LL5" s="61"/>
      <c r="LM5" s="61"/>
      <c r="LN5" s="61"/>
      <c r="LO5" s="61"/>
      <c r="LP5" s="61"/>
      <c r="LQ5" s="61"/>
      <c r="LR5" s="61"/>
      <c r="LS5" s="61"/>
      <c r="LT5" s="61"/>
      <c r="LU5" s="61"/>
      <c r="LV5" s="61"/>
      <c r="LW5" s="61"/>
      <c r="LX5" s="61"/>
      <c r="LY5" s="61"/>
      <c r="LZ5" s="61"/>
      <c r="MA5" s="61"/>
      <c r="MB5" s="61"/>
      <c r="MC5" s="61"/>
      <c r="MD5" s="61"/>
      <c r="ME5" s="61"/>
      <c r="MF5" s="61"/>
      <c r="MG5" s="61"/>
      <c r="MH5" s="61"/>
      <c r="MI5" s="61"/>
      <c r="MJ5" s="61"/>
      <c r="MK5" s="61"/>
      <c r="ML5" s="61"/>
      <c r="MM5" s="61"/>
      <c r="MN5" s="61"/>
      <c r="MO5" s="61"/>
      <c r="MP5" s="61"/>
      <c r="MQ5" s="61"/>
      <c r="MR5" s="61"/>
      <c r="MS5" s="61"/>
      <c r="MT5" s="61"/>
      <c r="MU5" s="61"/>
      <c r="MV5" s="61"/>
      <c r="MW5" s="61"/>
      <c r="MX5" s="61"/>
      <c r="MY5" s="61"/>
      <c r="MZ5" s="61"/>
      <c r="NA5" s="61"/>
      <c r="NB5" s="61"/>
      <c r="NC5" s="61"/>
      <c r="ND5" s="61"/>
      <c r="NE5" s="61"/>
      <c r="NF5" s="61"/>
      <c r="NG5" s="61"/>
      <c r="NH5" s="61"/>
      <c r="NI5" s="61"/>
      <c r="NJ5" s="61"/>
      <c r="NK5" s="61"/>
      <c r="NL5" s="61"/>
      <c r="NM5" s="61"/>
      <c r="NN5" s="61"/>
      <c r="NO5" s="61"/>
      <c r="NP5" s="61"/>
      <c r="NQ5" s="61"/>
      <c r="NR5" s="61"/>
      <c r="NS5" s="61"/>
      <c r="NT5" s="61"/>
      <c r="NU5" s="61"/>
      <c r="NV5" s="61"/>
      <c r="NW5" s="61"/>
      <c r="NX5" s="61"/>
      <c r="NY5" s="61"/>
      <c r="NZ5" s="61"/>
      <c r="OA5" s="61"/>
      <c r="OB5" s="61"/>
      <c r="OC5" s="61"/>
      <c r="OD5" s="61"/>
      <c r="OE5" s="61"/>
      <c r="OF5" s="61"/>
      <c r="OG5" s="61"/>
      <c r="OH5" s="61"/>
      <c r="OI5" s="61"/>
      <c r="OJ5" s="61"/>
      <c r="OK5" s="61"/>
      <c r="OL5" s="61"/>
      <c r="OM5" s="61"/>
      <c r="ON5" s="61"/>
      <c r="OO5" s="61"/>
      <c r="OP5" s="61"/>
      <c r="OQ5" s="61"/>
      <c r="OR5" s="61"/>
      <c r="OS5" s="61"/>
      <c r="OT5" s="61"/>
      <c r="OU5" s="61"/>
      <c r="OV5" s="61"/>
      <c r="OW5" s="61"/>
      <c r="OX5" s="61"/>
      <c r="OY5" s="61"/>
      <c r="OZ5" s="61"/>
      <c r="PA5" s="61"/>
      <c r="PB5" s="61"/>
      <c r="PC5" s="61"/>
      <c r="PD5" s="61"/>
      <c r="PE5" s="61"/>
      <c r="PF5" s="61"/>
      <c r="PG5" s="61"/>
      <c r="PH5" s="61"/>
      <c r="PI5" s="61"/>
      <c r="PJ5" s="61"/>
      <c r="PK5" s="61"/>
      <c r="PL5" s="61"/>
      <c r="PM5" s="61"/>
      <c r="PN5" s="61"/>
      <c r="PO5" s="61"/>
      <c r="PP5" s="61"/>
      <c r="PQ5" s="61"/>
      <c r="PR5" s="61"/>
      <c r="PS5" s="61"/>
      <c r="PT5" s="61"/>
      <c r="PU5" s="61"/>
      <c r="PV5" s="61"/>
      <c r="PW5" s="61"/>
      <c r="PX5" s="61"/>
      <c r="PY5" s="61"/>
      <c r="PZ5" s="61"/>
      <c r="QA5" s="61"/>
      <c r="QB5" s="61"/>
      <c r="QC5" s="61"/>
      <c r="QD5" s="61"/>
      <c r="QE5" s="61"/>
      <c r="QF5" s="61"/>
      <c r="QG5" s="61"/>
      <c r="QH5" s="61"/>
      <c r="QI5" s="61"/>
      <c r="QJ5" s="61"/>
      <c r="QK5" s="61"/>
      <c r="QL5" s="61"/>
      <c r="QM5" s="61"/>
      <c r="QN5" s="61"/>
      <c r="QO5" s="61"/>
      <c r="QP5" s="61"/>
      <c r="QQ5" s="61"/>
      <c r="QR5" s="61"/>
      <c r="QS5" s="61"/>
      <c r="QT5" s="61"/>
      <c r="QU5" s="61"/>
      <c r="QV5" s="61"/>
      <c r="QW5" s="61"/>
      <c r="QX5" s="61"/>
      <c r="QY5" s="61"/>
      <c r="QZ5" s="61"/>
      <c r="RA5" s="61"/>
      <c r="RB5" s="61"/>
      <c r="RC5" s="61"/>
      <c r="RD5" s="61"/>
      <c r="RE5" s="61"/>
      <c r="RF5" s="61"/>
      <c r="RG5" s="61"/>
      <c r="RH5" s="61"/>
      <c r="RI5" s="61"/>
      <c r="RJ5" s="61"/>
      <c r="RK5" s="61"/>
      <c r="RL5" s="61"/>
      <c r="RM5" s="61"/>
      <c r="RN5" s="61"/>
      <c r="RO5" s="61"/>
      <c r="RP5" s="61"/>
      <c r="RQ5" s="61"/>
      <c r="RR5" s="61"/>
      <c r="RS5" s="61"/>
      <c r="RT5" s="61"/>
      <c r="RU5" s="61"/>
      <c r="RV5" s="61"/>
      <c r="RW5" s="61"/>
      <c r="RX5" s="61"/>
      <c r="RY5" s="61"/>
      <c r="RZ5" s="61"/>
      <c r="SA5" s="61"/>
      <c r="SB5" s="61"/>
      <c r="SC5" s="61"/>
      <c r="SD5" s="61"/>
      <c r="SE5" s="61"/>
      <c r="SF5" s="61"/>
      <c r="SG5" s="61"/>
      <c r="SH5" s="61"/>
      <c r="SI5" s="61"/>
      <c r="SJ5" s="61"/>
      <c r="SK5" s="61"/>
      <c r="SL5" s="61"/>
      <c r="SM5" s="61"/>
      <c r="SN5" s="61"/>
      <c r="SO5" s="61"/>
      <c r="SP5" s="61"/>
      <c r="SQ5" s="61"/>
      <c r="SR5" s="61"/>
      <c r="SS5" s="61"/>
      <c r="ST5" s="61"/>
      <c r="SU5" s="61"/>
      <c r="SV5" s="61"/>
      <c r="SW5" s="61"/>
      <c r="SX5" s="61"/>
      <c r="SY5" s="61"/>
      <c r="SZ5" s="61"/>
      <c r="TA5" s="61"/>
      <c r="TB5" s="61"/>
      <c r="TC5" s="66"/>
      <c r="TD5" s="66"/>
      <c r="TE5" s="66"/>
      <c r="TF5" s="66"/>
      <c r="TG5" s="66"/>
      <c r="TH5" s="66"/>
      <c r="TI5" s="66"/>
      <c r="TJ5" s="66"/>
      <c r="TK5" s="66"/>
      <c r="TL5" s="66"/>
      <c r="TM5" s="61"/>
      <c r="TN5" s="61"/>
      <c r="TO5" s="61"/>
      <c r="TP5" s="61"/>
      <c r="TQ5" s="61"/>
      <c r="TR5" s="61"/>
      <c r="TS5" s="61"/>
      <c r="TT5" s="61"/>
      <c r="TU5" s="61"/>
      <c r="TV5" s="61"/>
      <c r="TW5" s="61"/>
      <c r="TX5" s="61"/>
      <c r="TY5" s="61"/>
      <c r="TZ5" s="61"/>
      <c r="UA5" s="61"/>
      <c r="UB5" s="61"/>
      <c r="UC5" s="61"/>
      <c r="UD5" s="61"/>
      <c r="UE5" s="61"/>
      <c r="UF5" s="61"/>
      <c r="UG5" s="61"/>
      <c r="UH5" s="61"/>
      <c r="UI5" s="61"/>
      <c r="UJ5" s="61"/>
      <c r="UK5" s="61"/>
      <c r="UL5" s="61"/>
      <c r="UM5" s="61"/>
      <c r="UN5" s="61"/>
      <c r="UO5" s="61"/>
      <c r="UP5" s="61"/>
      <c r="UQ5" s="61"/>
      <c r="UR5" s="61"/>
      <c r="US5" s="61"/>
      <c r="UT5" s="61"/>
      <c r="UU5" s="61"/>
      <c r="UV5" s="61"/>
      <c r="UW5" s="61"/>
      <c r="UX5" s="61"/>
      <c r="UY5" s="61"/>
      <c r="UZ5" s="61"/>
      <c r="VA5" s="61"/>
      <c r="VB5" s="61"/>
      <c r="VC5" s="61"/>
      <c r="VD5" s="61"/>
      <c r="VE5" s="61"/>
      <c r="VF5" s="61"/>
      <c r="VG5" s="61"/>
      <c r="VH5" s="61"/>
      <c r="VI5" s="61"/>
      <c r="VJ5" s="61"/>
      <c r="VK5" s="61"/>
      <c r="VL5" s="61"/>
      <c r="VM5" s="61"/>
      <c r="VN5" s="61"/>
      <c r="VO5" s="61"/>
      <c r="VP5" s="61"/>
      <c r="VQ5" s="61"/>
      <c r="VR5" s="61"/>
      <c r="VS5" s="61"/>
      <c r="VT5" s="61"/>
      <c r="VU5" s="61"/>
      <c r="VV5" s="61"/>
      <c r="VW5" s="61"/>
      <c r="VX5" s="61"/>
      <c r="VY5" s="61"/>
      <c r="VZ5" s="61"/>
      <c r="WA5" s="61"/>
      <c r="WB5" s="61"/>
      <c r="WC5" s="61"/>
      <c r="WD5" s="61"/>
      <c r="WE5" s="61"/>
      <c r="WF5" s="61"/>
      <c r="WG5" s="61"/>
      <c r="WH5" s="61"/>
      <c r="WI5" s="61"/>
      <c r="WJ5" s="61"/>
      <c r="WK5" s="61"/>
      <c r="WL5" s="61"/>
      <c r="WM5" s="61"/>
      <c r="WN5" s="61"/>
      <c r="WO5" s="61"/>
      <c r="WP5" s="61"/>
      <c r="WQ5" s="61"/>
      <c r="WR5" s="61"/>
      <c r="WS5" s="61"/>
      <c r="WT5" s="61"/>
      <c r="WU5" s="61"/>
      <c r="WV5" s="61"/>
      <c r="WW5" s="61"/>
      <c r="WX5" s="61"/>
      <c r="WY5" s="61"/>
      <c r="WZ5" s="61"/>
      <c r="XA5" s="61"/>
      <c r="XB5" s="61"/>
      <c r="XC5" s="61"/>
      <c r="XD5" s="61"/>
      <c r="XE5" s="61"/>
      <c r="XF5" s="61"/>
      <c r="XG5" s="61"/>
      <c r="XH5" s="61"/>
      <c r="XI5" s="61"/>
      <c r="XJ5" s="61"/>
      <c r="XK5" s="61"/>
      <c r="XL5" s="61"/>
      <c r="XM5" s="61"/>
      <c r="XN5" s="61"/>
      <c r="XO5" s="61"/>
      <c r="XP5" s="61"/>
      <c r="XQ5" s="61"/>
      <c r="XR5" s="61"/>
      <c r="XS5" s="61"/>
      <c r="XT5" s="61"/>
      <c r="XU5" s="61"/>
      <c r="XV5" s="61"/>
      <c r="XW5" s="61"/>
      <c r="XX5" s="61"/>
      <c r="XY5" s="61"/>
      <c r="XZ5" s="61"/>
      <c r="YA5" s="61"/>
      <c r="YB5" s="61"/>
      <c r="YC5" s="61"/>
      <c r="YD5" s="61"/>
      <c r="YE5" s="61"/>
      <c r="YF5" s="61"/>
      <c r="YG5" s="61"/>
      <c r="YH5" s="61"/>
      <c r="YI5" s="61"/>
      <c r="YJ5" s="61"/>
      <c r="YK5" s="61"/>
      <c r="YL5" s="61"/>
      <c r="YM5" s="61"/>
      <c r="YN5" s="61"/>
      <c r="YO5" s="61"/>
      <c r="YP5" s="61"/>
      <c r="YQ5" s="61"/>
      <c r="YR5" s="61"/>
      <c r="YS5" s="61"/>
      <c r="YT5" s="61"/>
      <c r="YU5" s="61"/>
      <c r="YV5" s="61"/>
      <c r="YW5" s="61"/>
      <c r="YX5" s="61"/>
      <c r="YY5" s="61"/>
      <c r="YZ5" s="61"/>
      <c r="ZA5" s="61"/>
      <c r="ZB5" s="61"/>
      <c r="ZC5" s="61"/>
      <c r="ZD5" s="61"/>
      <c r="ZE5" s="61"/>
      <c r="ZF5" s="61"/>
      <c r="ZG5" s="61"/>
      <c r="ZH5" s="61"/>
      <c r="ZI5" s="61"/>
      <c r="ZJ5" s="61"/>
      <c r="ZK5" s="61"/>
      <c r="ZL5" s="61"/>
      <c r="ZM5" s="61"/>
      <c r="ZN5" s="61"/>
      <c r="ZO5" s="61"/>
      <c r="ZP5" s="61"/>
      <c r="ZQ5" s="61"/>
      <c r="ZR5" s="62"/>
      <c r="ZS5" s="62"/>
      <c r="ZT5" s="62"/>
      <c r="ZU5" s="62"/>
      <c r="ZV5" s="62"/>
      <c r="ZW5" s="62"/>
      <c r="ZX5" s="62"/>
      <c r="ZY5" s="62"/>
      <c r="ZZ5" s="62"/>
      <c r="AAA5" s="62"/>
      <c r="AAB5" s="62"/>
      <c r="AAC5" s="62"/>
      <c r="AAD5" s="62"/>
      <c r="AAE5" s="62"/>
      <c r="AAF5" s="62"/>
      <c r="AAG5" s="62"/>
      <c r="AAH5" s="62"/>
      <c r="AAI5" s="62"/>
      <c r="AAJ5" s="62"/>
      <c r="AAK5" s="62"/>
      <c r="AAL5" s="62"/>
      <c r="AAM5" s="62"/>
      <c r="AAN5" s="62"/>
      <c r="AAO5" s="62"/>
      <c r="AAP5" s="62"/>
      <c r="AAQ5" s="62"/>
      <c r="AAR5" s="62"/>
      <c r="AAS5" s="62"/>
      <c r="AAT5" s="62"/>
      <c r="AAU5" s="62"/>
      <c r="AAV5" s="62"/>
      <c r="AAW5" s="62"/>
      <c r="AAX5" s="61"/>
      <c r="AAY5" s="61"/>
      <c r="AAZ5" s="61"/>
      <c r="ABA5" s="61"/>
      <c r="ABB5" s="61"/>
      <c r="ABC5" s="61"/>
      <c r="ABD5" s="61"/>
      <c r="ABE5" s="61"/>
      <c r="ABF5" s="61"/>
      <c r="ABG5" s="61"/>
      <c r="ABH5" s="61"/>
      <c r="ABI5" s="61"/>
      <c r="ABJ5" s="61"/>
      <c r="ABK5" s="61"/>
      <c r="ABL5" s="61"/>
      <c r="ABM5" s="61"/>
      <c r="ABN5" s="61"/>
      <c r="ABO5" s="61"/>
      <c r="ABP5" s="61"/>
      <c r="ABQ5" s="61"/>
      <c r="ABR5" s="61"/>
      <c r="ABS5" s="61"/>
      <c r="ABT5" s="61"/>
      <c r="ABU5" s="61"/>
      <c r="ABV5" s="61"/>
      <c r="ABW5" s="61"/>
      <c r="ABX5" s="61"/>
      <c r="ABY5" s="61"/>
      <c r="ABZ5" s="61"/>
      <c r="ACA5" s="61"/>
      <c r="ACB5" s="61"/>
      <c r="ACC5" s="61"/>
      <c r="ACD5" s="61"/>
      <c r="ACE5" s="61"/>
      <c r="ACF5" s="61"/>
      <c r="ACG5" s="61"/>
      <c r="ACH5" s="61"/>
      <c r="ACI5" s="61"/>
      <c r="ACJ5" s="61"/>
      <c r="ACK5" s="61"/>
      <c r="ACL5" s="61"/>
      <c r="ACM5" s="61"/>
      <c r="ACN5" s="61"/>
      <c r="ACO5" s="61"/>
      <c r="ACP5" s="61"/>
      <c r="ACQ5" s="61"/>
      <c r="ACR5" s="61"/>
      <c r="ACS5" s="61"/>
      <c r="ACT5" s="61"/>
      <c r="ACU5" s="61"/>
      <c r="ACV5" s="61"/>
      <c r="ACW5" s="61"/>
      <c r="ACX5" s="61"/>
      <c r="ACY5" s="61"/>
      <c r="ACZ5" s="61"/>
      <c r="ADA5" s="61"/>
      <c r="ADB5" s="61"/>
      <c r="ADC5" s="61"/>
      <c r="ADD5" s="61"/>
      <c r="ADE5" s="61"/>
      <c r="ADF5" s="61"/>
      <c r="ADG5" s="61"/>
      <c r="ADH5" s="61"/>
      <c r="ADI5" s="61"/>
      <c r="ADJ5" s="61"/>
      <c r="ADK5" s="61"/>
      <c r="ADL5" s="61"/>
      <c r="ADM5" s="61"/>
      <c r="ADN5" s="61"/>
      <c r="ADO5" s="61"/>
      <c r="ADP5" s="61"/>
      <c r="ADQ5" s="61"/>
      <c r="ADR5" s="61"/>
      <c r="ADS5" s="61"/>
      <c r="ADT5" s="61"/>
      <c r="ADU5" s="61"/>
      <c r="ADV5" s="61"/>
      <c r="ADW5" s="61"/>
      <c r="ADX5" s="61"/>
      <c r="ADY5" s="61"/>
      <c r="ADZ5" s="61"/>
      <c r="AEA5" s="61"/>
      <c r="AEB5" s="61"/>
      <c r="AEC5" s="61"/>
      <c r="AED5" s="61"/>
      <c r="AEE5" s="61"/>
      <c r="AEF5" s="61"/>
      <c r="AEG5" s="61"/>
      <c r="AEH5" s="61"/>
      <c r="AEI5" s="61"/>
      <c r="AEJ5" s="61"/>
      <c r="AEK5" s="61"/>
      <c r="AEL5" s="61"/>
      <c r="AEM5" s="61"/>
      <c r="AEN5" s="61"/>
      <c r="AEO5" s="61"/>
      <c r="AEP5" s="61"/>
      <c r="AEQ5" s="61"/>
      <c r="AER5" s="61"/>
      <c r="AES5" s="61"/>
      <c r="AET5" s="61"/>
      <c r="AEU5" s="62"/>
      <c r="AEV5" s="62"/>
      <c r="AEW5" s="62"/>
      <c r="AEX5" s="62"/>
      <c r="AEY5" s="62"/>
      <c r="AEZ5" s="62"/>
      <c r="AFA5" s="62"/>
      <c r="AFB5" s="62"/>
      <c r="AFC5" s="62"/>
      <c r="AFD5" s="62"/>
      <c r="AFE5" s="62"/>
      <c r="AFF5" s="62"/>
      <c r="AFG5" s="62"/>
      <c r="AFH5" s="62"/>
      <c r="AFI5" s="62"/>
      <c r="AFJ5" s="62"/>
      <c r="AFK5" s="62"/>
      <c r="AFL5" s="62"/>
      <c r="AFM5" s="62"/>
      <c r="AFN5" s="62"/>
      <c r="AFO5" s="62"/>
      <c r="AFP5" s="62"/>
      <c r="AFQ5" s="62"/>
      <c r="AFR5" s="62"/>
      <c r="AFS5" s="62"/>
      <c r="AFT5" s="62"/>
      <c r="AFU5" s="62"/>
      <c r="AFV5" s="62"/>
      <c r="AFW5" s="62"/>
      <c r="AFX5" s="62"/>
      <c r="AFY5" s="62"/>
      <c r="AFZ5" s="62"/>
      <c r="AGA5" s="62"/>
      <c r="AGB5" s="62"/>
      <c r="AGC5" s="62"/>
      <c r="AGD5" s="62"/>
      <c r="AGE5" s="62"/>
      <c r="AGF5" s="62"/>
      <c r="AGG5" s="61"/>
      <c r="AGH5" s="61"/>
      <c r="AGI5" s="61"/>
      <c r="AGJ5" s="61"/>
      <c r="AGK5" s="61"/>
      <c r="AGL5" s="61"/>
      <c r="AGM5" s="61"/>
      <c r="AGN5" s="61"/>
      <c r="AGO5" s="61"/>
      <c r="AGP5" s="61"/>
      <c r="AGQ5" s="61"/>
      <c r="AGR5" s="61"/>
      <c r="AGS5" s="61"/>
      <c r="AGT5" s="61"/>
      <c r="AGU5" s="61"/>
      <c r="AGV5" s="61"/>
      <c r="AGW5" s="61"/>
      <c r="AGX5" s="61"/>
      <c r="AGY5" s="61"/>
      <c r="AGZ5" s="61"/>
      <c r="AHA5" s="61"/>
      <c r="AHB5" s="61"/>
      <c r="AHC5" s="61"/>
      <c r="AHD5" s="61"/>
      <c r="AHE5" s="61"/>
      <c r="AHF5" s="61"/>
      <c r="AHG5" s="61"/>
      <c r="AHH5" s="61"/>
      <c r="AHI5" s="61"/>
      <c r="AHJ5" s="61"/>
      <c r="AHK5" s="61"/>
      <c r="AHL5" s="61"/>
      <c r="AHM5" s="61"/>
      <c r="AHN5" s="61"/>
      <c r="AHO5" s="61"/>
      <c r="AHP5" s="61"/>
      <c r="AHQ5" s="61"/>
      <c r="AHR5" s="61"/>
      <c r="AHS5" s="61"/>
      <c r="AHT5" s="61"/>
      <c r="AHU5" s="61"/>
      <c r="AHV5" s="61"/>
      <c r="AHW5" s="61"/>
      <c r="AHX5" s="61"/>
      <c r="AHY5" s="61"/>
      <c r="AHZ5" s="61"/>
      <c r="AIA5" s="61"/>
      <c r="AIB5" s="61"/>
      <c r="AIC5" s="61"/>
      <c r="AID5" s="61"/>
      <c r="AIE5" s="61"/>
      <c r="AIF5" s="61"/>
      <c r="AIG5" s="62"/>
      <c r="AIH5" s="62"/>
      <c r="AII5" s="62"/>
      <c r="AIJ5" s="61"/>
      <c r="AIK5" s="61"/>
      <c r="AIL5" s="61"/>
      <c r="AIM5" s="61"/>
      <c r="AIN5" s="61"/>
      <c r="AIO5" s="61"/>
      <c r="AIP5" s="61"/>
      <c r="AIQ5" s="61"/>
      <c r="AIR5" s="61"/>
      <c r="AIS5" s="61"/>
      <c r="AIT5" s="61"/>
      <c r="AIU5" s="61"/>
      <c r="AIV5" s="61"/>
      <c r="AIW5" s="61"/>
      <c r="AIX5" s="61"/>
      <c r="AIY5" s="61"/>
      <c r="AIZ5" s="61"/>
      <c r="AJA5" s="61"/>
      <c r="AJB5" s="61"/>
      <c r="AJC5" s="61"/>
      <c r="AJD5" s="61"/>
      <c r="AJE5" s="61"/>
      <c r="AJF5" s="61"/>
      <c r="AJG5" s="61"/>
      <c r="AJH5" s="61"/>
      <c r="AJI5" s="61"/>
      <c r="AJJ5" s="61"/>
      <c r="AJK5" s="61"/>
      <c r="AJL5" s="61"/>
      <c r="AJM5" s="61"/>
      <c r="AJN5" s="62"/>
      <c r="AJO5" s="62"/>
      <c r="AJP5" s="62"/>
      <c r="AJQ5" s="61"/>
      <c r="AJR5" s="61"/>
      <c r="AJS5" s="61"/>
      <c r="AJT5" s="61"/>
      <c r="AJU5" s="61"/>
      <c r="AJV5" s="61"/>
      <c r="AJW5" s="61"/>
      <c r="AJX5" s="61"/>
      <c r="AJY5" s="61"/>
      <c r="AJZ5" s="61"/>
      <c r="AKA5" s="61"/>
      <c r="AKB5" s="61"/>
      <c r="AKC5" s="61"/>
      <c r="AKD5" s="61"/>
      <c r="AKE5" s="61"/>
      <c r="AKF5" s="61"/>
      <c r="AKG5" s="61"/>
      <c r="AKH5" s="61"/>
      <c r="AKI5" s="61"/>
      <c r="AKJ5" s="61"/>
      <c r="AKK5" s="61"/>
      <c r="AKL5" s="61"/>
      <c r="AKM5" s="61"/>
      <c r="AKN5" s="61"/>
      <c r="AKO5" s="61"/>
      <c r="AKP5" s="61"/>
      <c r="AKQ5" s="61"/>
      <c r="AKR5" s="61"/>
      <c r="AKS5" s="61"/>
      <c r="AKT5" s="61"/>
      <c r="AKU5" s="61"/>
      <c r="AKV5" s="61"/>
      <c r="AKW5" s="61"/>
      <c r="AKX5" s="62"/>
      <c r="AKY5" s="62"/>
      <c r="AKZ5" s="61"/>
      <c r="ALA5" s="61"/>
      <c r="ALB5" s="61"/>
      <c r="ALC5" s="61"/>
      <c r="ALD5" s="61"/>
      <c r="ALE5" s="61"/>
      <c r="ALF5" s="61"/>
      <c r="ALG5" s="61"/>
      <c r="ALH5" s="61"/>
      <c r="ALI5" s="61"/>
      <c r="ALJ5" s="61"/>
      <c r="ALK5" s="61"/>
      <c r="ALL5" s="61"/>
      <c r="ALM5" s="61"/>
      <c r="ALN5" s="61"/>
      <c r="ALO5" s="61"/>
      <c r="ALP5" s="61"/>
      <c r="ALQ5" s="61"/>
      <c r="ALR5" s="61"/>
      <c r="ALS5" s="61"/>
      <c r="ALT5" s="61"/>
      <c r="ALU5" s="61"/>
      <c r="ALV5" s="61"/>
      <c r="ALW5" s="61"/>
      <c r="ALX5" s="61"/>
      <c r="ALY5" s="61"/>
      <c r="ALZ5" s="61"/>
      <c r="AMA5" s="61"/>
      <c r="AMB5" s="61"/>
      <c r="AMC5" s="61"/>
      <c r="AMD5" s="61"/>
      <c r="AME5" s="61"/>
      <c r="AMF5" s="61"/>
      <c r="AMG5" s="61"/>
      <c r="AMH5" s="61"/>
      <c r="AMI5" s="61"/>
      <c r="AMJ5" s="61"/>
      <c r="AMK5" s="61"/>
      <c r="AML5" s="61"/>
      <c r="AMM5" s="61"/>
      <c r="AMN5" s="61"/>
      <c r="AMO5" s="61"/>
      <c r="AMP5" s="61"/>
      <c r="AMQ5" s="61"/>
      <c r="AMR5" s="61"/>
      <c r="AMS5" s="61"/>
      <c r="AMT5" s="61"/>
      <c r="AMU5" s="61"/>
      <c r="AMV5" s="61"/>
      <c r="AMW5" s="61"/>
      <c r="AMX5" s="61"/>
      <c r="AMY5" s="61"/>
      <c r="AMZ5" s="61"/>
      <c r="ANA5" s="61"/>
      <c r="ANB5" s="61"/>
      <c r="ANC5" s="61"/>
      <c r="AND5" s="61"/>
      <c r="ANE5" s="61"/>
      <c r="ANF5" s="61"/>
      <c r="ANG5" s="61"/>
      <c r="ANH5" s="61"/>
      <c r="ANI5" s="61"/>
      <c r="ANJ5" s="61"/>
      <c r="ANK5" s="61"/>
      <c r="ANL5" s="61"/>
      <c r="ANM5" s="61"/>
      <c r="ANN5" s="61"/>
      <c r="ANO5" s="61"/>
      <c r="ANP5" s="61"/>
      <c r="ANQ5" s="61"/>
      <c r="ANR5" s="61"/>
      <c r="ANS5" s="61"/>
      <c r="ANT5" s="61"/>
      <c r="ANU5" s="61"/>
      <c r="ANV5" s="61"/>
      <c r="ANW5" s="61"/>
      <c r="ANX5" s="61"/>
      <c r="ANY5" s="61"/>
      <c r="ANZ5" s="61"/>
      <c r="AOA5" s="61"/>
      <c r="AOB5" s="61"/>
      <c r="AOC5" s="61"/>
      <c r="AOD5" s="61"/>
      <c r="AOE5" s="61"/>
      <c r="AOF5" s="61"/>
      <c r="AOG5" s="61"/>
      <c r="AOH5" s="61"/>
      <c r="AOI5" s="61"/>
      <c r="AOJ5" s="61"/>
      <c r="AOK5" s="61"/>
      <c r="AOL5" s="61"/>
      <c r="AOM5" s="61"/>
      <c r="AON5" s="61"/>
      <c r="AOO5" s="61"/>
      <c r="AOP5" s="61"/>
      <c r="AOQ5" s="61"/>
      <c r="AOR5" s="61"/>
      <c r="AOS5" s="61"/>
      <c r="AOT5" s="61"/>
      <c r="AOU5" s="61"/>
      <c r="AOV5" s="61"/>
      <c r="AOW5" s="61"/>
      <c r="AOX5" s="61"/>
      <c r="AOY5" s="61"/>
      <c r="AOZ5" s="61"/>
      <c r="APA5" s="61"/>
      <c r="APB5" s="61"/>
      <c r="APC5" s="61"/>
      <c r="APD5" s="61"/>
      <c r="APE5" s="61"/>
      <c r="APF5" s="61"/>
      <c r="APG5" s="61"/>
      <c r="APH5" s="61"/>
      <c r="API5" s="61"/>
      <c r="APJ5" s="61"/>
      <c r="APK5" s="61"/>
      <c r="APL5" s="61"/>
      <c r="APM5" s="61"/>
      <c r="APN5" s="61"/>
      <c r="APO5" s="61"/>
      <c r="APP5" s="61"/>
      <c r="APQ5" s="61"/>
      <c r="APR5" s="61"/>
      <c r="APS5" s="61"/>
      <c r="APT5" s="61"/>
      <c r="APU5" s="61"/>
      <c r="APV5" s="61"/>
      <c r="APW5" s="61"/>
      <c r="APX5" s="61"/>
      <c r="APY5" s="61"/>
      <c r="APZ5" s="61"/>
      <c r="AQA5" s="61"/>
      <c r="AQB5" s="61"/>
      <c r="AQC5" s="61"/>
      <c r="AQD5" s="61"/>
      <c r="AQE5" s="61"/>
      <c r="ARV5" s="66"/>
      <c r="ARW5" s="66"/>
      <c r="ARX5" s="66"/>
      <c r="ARY5" s="66"/>
      <c r="ARZ5" s="66"/>
      <c r="ASA5" s="66"/>
      <c r="ASB5" s="66"/>
      <c r="ASC5" s="66"/>
      <c r="ASD5" s="61"/>
      <c r="ASE5" s="61"/>
      <c r="ASF5" s="61"/>
      <c r="ASG5" s="61"/>
      <c r="ASH5" s="61"/>
      <c r="ASI5" s="61"/>
      <c r="ASJ5" s="61"/>
      <c r="ASK5" s="61"/>
      <c r="ASL5" s="61"/>
      <c r="ASM5" s="61"/>
      <c r="ASN5" s="61"/>
      <c r="ASO5" s="61"/>
      <c r="ASP5" s="61"/>
      <c r="ASQ5" s="61"/>
      <c r="ASR5" s="61"/>
      <c r="ASS5" s="61"/>
      <c r="AST5" s="61"/>
      <c r="ASU5" s="61"/>
      <c r="ASV5" s="61"/>
      <c r="ASW5" s="61"/>
      <c r="ASX5" s="61"/>
      <c r="ASY5" s="61"/>
      <c r="ASZ5" s="61"/>
      <c r="ATA5" s="61"/>
      <c r="ATB5" s="61"/>
      <c r="ATC5" s="61"/>
      <c r="ATD5" s="61"/>
      <c r="ATE5" s="61"/>
      <c r="ATF5" s="61"/>
      <c r="ATG5" s="61"/>
      <c r="ATH5" s="61"/>
      <c r="ATI5" s="61"/>
      <c r="ATJ5" s="61"/>
      <c r="ATK5" s="61"/>
      <c r="ATL5" s="61"/>
      <c r="ATM5" s="61"/>
      <c r="ATN5" s="61"/>
      <c r="ATO5" s="61"/>
      <c r="ATP5" s="61"/>
      <c r="ATQ5" s="62"/>
      <c r="ATR5" s="62"/>
      <c r="ATS5" s="62"/>
      <c r="ATT5" s="62"/>
      <c r="ATU5" s="62"/>
      <c r="ATV5" s="61"/>
      <c r="ATW5" s="61"/>
      <c r="ATX5" s="61"/>
      <c r="ATY5" s="61"/>
      <c r="ATZ5" s="61"/>
      <c r="AUA5" s="61"/>
      <c r="AUB5" s="61"/>
      <c r="AUC5" s="61"/>
      <c r="AUD5" s="61"/>
      <c r="AUE5" s="61"/>
      <c r="AUF5" s="61"/>
      <c r="AUG5" s="61"/>
      <c r="AUH5" s="61"/>
      <c r="AUI5" s="61"/>
      <c r="AUJ5" s="61"/>
      <c r="AUK5" s="61"/>
      <c r="AUL5" s="61"/>
      <c r="AUM5" s="61"/>
      <c r="AUN5" s="61"/>
      <c r="AUO5" s="61"/>
      <c r="AUP5" s="61"/>
      <c r="AUQ5" s="61"/>
      <c r="AUR5" s="61"/>
      <c r="AUS5" s="61"/>
      <c r="AUT5" s="61"/>
      <c r="AUU5" s="61"/>
      <c r="AUV5" s="61"/>
      <c r="AUW5" s="61"/>
      <c r="AUX5" s="61"/>
      <c r="AUY5" s="61"/>
      <c r="AUZ5" s="61"/>
      <c r="AVA5" s="61"/>
      <c r="AVB5" s="61"/>
      <c r="AVC5" s="61"/>
      <c r="AVD5" s="61"/>
      <c r="AVE5" s="61"/>
      <c r="AVF5" s="61"/>
      <c r="AVG5" s="61"/>
      <c r="AVH5" s="61"/>
      <c r="AVI5" s="61"/>
      <c r="AVJ5" s="61"/>
      <c r="AVK5" s="61"/>
      <c r="AVL5" s="61"/>
      <c r="AVM5" s="61"/>
      <c r="AVN5" s="61"/>
      <c r="AVO5" s="61"/>
      <c r="AVP5" s="61"/>
      <c r="AVQ5" s="61"/>
      <c r="AVR5" s="61"/>
      <c r="AVS5" s="61"/>
      <c r="AVT5" s="61"/>
      <c r="AVU5" s="61"/>
      <c r="AVV5" s="61"/>
      <c r="AVW5" s="61"/>
      <c r="AVX5" s="61"/>
      <c r="AVY5" s="61"/>
      <c r="AVZ5" s="61"/>
      <c r="AWA5" s="61"/>
      <c r="AWB5" s="61"/>
      <c r="AWC5" s="61"/>
      <c r="AWD5" s="61"/>
      <c r="AWE5" s="61"/>
      <c r="AWF5" s="61"/>
      <c r="AWG5" s="61"/>
      <c r="AWH5" s="61"/>
      <c r="AWI5" s="61"/>
      <c r="AWJ5" s="61"/>
      <c r="AWK5" s="61"/>
      <c r="AWL5" s="61"/>
      <c r="AWM5" s="61"/>
      <c r="AWN5" s="61"/>
      <c r="AWO5" s="61"/>
      <c r="AWP5" s="61"/>
      <c r="AWQ5" s="61"/>
      <c r="AWR5" s="61"/>
      <c r="AWS5" s="61"/>
      <c r="AWT5" s="61"/>
      <c r="AWU5" s="61"/>
      <c r="AWV5" s="61"/>
      <c r="AWW5" s="61"/>
      <c r="AWX5" s="61"/>
      <c r="AWY5" s="61"/>
      <c r="AWZ5" s="61"/>
      <c r="AXA5" s="61"/>
      <c r="AXB5" s="61"/>
      <c r="AXC5" s="61"/>
      <c r="AXD5" s="61"/>
      <c r="AXE5" s="61"/>
      <c r="AXF5" s="61"/>
      <c r="AXG5" s="61"/>
      <c r="AXH5" s="61"/>
      <c r="AXI5" s="61"/>
      <c r="AXJ5" s="61"/>
      <c r="AXK5" s="61"/>
      <c r="AXL5" s="61"/>
      <c r="AXM5" s="61"/>
      <c r="AXN5" s="61"/>
      <c r="AXO5" s="61"/>
      <c r="AXP5" s="61"/>
      <c r="AXQ5" s="61"/>
      <c r="AXR5" s="61"/>
      <c r="AXS5" s="61"/>
      <c r="AXT5" s="61"/>
      <c r="AXU5" s="61"/>
      <c r="AXV5" s="61"/>
      <c r="AXW5" s="61"/>
      <c r="AXX5" s="61"/>
      <c r="AXY5" s="61"/>
      <c r="AXZ5" s="61"/>
      <c r="AYA5" s="61"/>
      <c r="AYB5" s="61"/>
      <c r="AYC5" s="61"/>
      <c r="AYD5" s="61"/>
      <c r="AYE5" s="61"/>
      <c r="AYF5" s="61"/>
      <c r="AYG5" s="61"/>
      <c r="AYH5" s="61"/>
      <c r="AYI5" s="61"/>
      <c r="AYJ5" s="61"/>
      <c r="AYK5" s="61"/>
      <c r="AYL5" s="61"/>
      <c r="AYM5" s="61"/>
      <c r="AYN5" s="61"/>
      <c r="AYO5" s="61"/>
      <c r="AYP5" s="61"/>
      <c r="AYQ5" s="61"/>
      <c r="AYR5" s="61"/>
      <c r="AYS5" s="61"/>
      <c r="AYT5" s="61"/>
      <c r="AYU5" s="61"/>
      <c r="AYV5" s="61"/>
      <c r="AYW5" s="61"/>
      <c r="AYX5" s="61"/>
      <c r="AYY5" s="61"/>
      <c r="AYZ5" s="61"/>
      <c r="AZA5" s="61"/>
      <c r="AZB5" s="61"/>
      <c r="AZC5" s="61"/>
      <c r="AZD5" s="61"/>
      <c r="AZE5" s="61"/>
      <c r="AZF5" s="61"/>
      <c r="AZG5" s="61"/>
      <c r="AZH5" s="61"/>
      <c r="AZI5" s="61"/>
      <c r="AZJ5" s="61"/>
      <c r="AZK5" s="61"/>
      <c r="AZL5" s="61"/>
      <c r="AZM5" s="61"/>
      <c r="AZN5" s="61"/>
      <c r="AZO5" s="61"/>
      <c r="AZP5" s="61"/>
      <c r="AZQ5" s="61"/>
      <c r="AZR5" s="61"/>
      <c r="AZS5" s="61"/>
      <c r="AZT5" s="61"/>
      <c r="AZU5" s="61"/>
      <c r="AZV5" s="61"/>
      <c r="AZW5" s="61"/>
      <c r="AZX5" s="61"/>
      <c r="AZY5" s="61"/>
      <c r="AZZ5" s="61"/>
      <c r="BAA5" s="61"/>
      <c r="BAB5" s="61"/>
      <c r="BAC5" s="61"/>
      <c r="BAD5" s="61"/>
      <c r="BAE5" s="61"/>
      <c r="BAF5" s="61"/>
      <c r="BAG5" s="61"/>
      <c r="BAH5" s="61"/>
      <c r="BAI5" s="61"/>
      <c r="BAJ5" s="61"/>
      <c r="BAK5" s="61"/>
      <c r="BAL5" s="61"/>
      <c r="BAM5" s="61"/>
      <c r="BAN5" s="61"/>
      <c r="BAO5" s="61"/>
      <c r="BAP5" s="61"/>
      <c r="BAQ5" s="61"/>
      <c r="BAR5" s="61"/>
      <c r="BAS5" s="61"/>
      <c r="BAT5" s="61"/>
      <c r="BAU5" s="61"/>
      <c r="BAV5" s="61"/>
      <c r="BAW5" s="61"/>
      <c r="BAX5" s="61"/>
      <c r="BAY5" s="61"/>
      <c r="BAZ5" s="61"/>
      <c r="BBA5" s="61"/>
      <c r="BBB5" s="61"/>
      <c r="BBC5" s="61"/>
      <c r="BBD5" s="61"/>
      <c r="BBE5" s="61"/>
      <c r="BBF5" s="61"/>
      <c r="BBG5" s="61"/>
      <c r="BBH5" s="61"/>
      <c r="BBI5" s="61"/>
      <c r="BBJ5" s="61"/>
      <c r="BBK5" s="61"/>
      <c r="BBL5" s="61"/>
      <c r="BBM5" s="61"/>
      <c r="BBN5" s="61"/>
      <c r="BBO5" s="61"/>
      <c r="BBP5" s="61"/>
      <c r="BBQ5" s="61"/>
      <c r="BBR5" s="61"/>
      <c r="BBS5" s="61"/>
      <c r="BBT5" s="61"/>
      <c r="BBU5" s="61"/>
      <c r="BBV5" s="61"/>
      <c r="BBW5" s="61"/>
      <c r="BBX5" s="61"/>
      <c r="BBY5" s="61"/>
      <c r="BBZ5" s="61"/>
      <c r="BCA5" s="61"/>
      <c r="BCB5" s="61"/>
      <c r="BCC5" s="61"/>
      <c r="BCD5" s="61"/>
      <c r="BCE5" s="61"/>
      <c r="BCF5" s="61"/>
      <c r="BCG5" s="61"/>
      <c r="BCH5" s="61"/>
      <c r="BCI5" s="61"/>
      <c r="BCJ5" s="61"/>
      <c r="BCK5" s="61"/>
      <c r="BCL5" s="61"/>
      <c r="BCM5" s="61"/>
      <c r="BCN5" s="61"/>
      <c r="BCO5" s="61"/>
      <c r="BCP5" s="61"/>
      <c r="BCQ5" s="61"/>
      <c r="BCR5" s="61"/>
      <c r="BCS5" s="61"/>
      <c r="BCT5" s="61"/>
      <c r="BCU5" s="61"/>
      <c r="BCV5" s="61"/>
      <c r="BCW5" s="61"/>
      <c r="BCX5" s="61"/>
      <c r="BCY5" s="61"/>
      <c r="BCZ5" s="61"/>
      <c r="BDA5" s="61"/>
      <c r="BDB5" s="61"/>
      <c r="BDC5" s="61"/>
      <c r="BDD5" s="61"/>
      <c r="BDE5" s="61"/>
      <c r="BDF5" s="61"/>
      <c r="BDG5" s="61"/>
      <c r="BDH5" s="61"/>
      <c r="BDI5" s="61"/>
      <c r="BDJ5" s="61"/>
      <c r="BDK5" s="61"/>
      <c r="BDL5" s="61"/>
      <c r="BDM5" s="61"/>
      <c r="BDN5" s="61"/>
      <c r="BDO5" s="61"/>
      <c r="BDP5" s="61"/>
      <c r="BDQ5" s="61"/>
      <c r="BDR5" s="61"/>
      <c r="BDS5" s="61"/>
      <c r="BDT5" s="61"/>
      <c r="BDU5" s="61"/>
      <c r="BDV5" s="61"/>
      <c r="BDW5" s="61"/>
      <c r="BDX5" s="61"/>
      <c r="BDY5" s="61"/>
      <c r="BDZ5" s="61"/>
      <c r="BEA5" s="61"/>
      <c r="BEB5" s="61"/>
      <c r="BEC5" s="61"/>
      <c r="BED5" s="61"/>
      <c r="BEE5" s="61"/>
      <c r="BEF5" s="61"/>
      <c r="BEG5" s="61"/>
      <c r="BEH5" s="61"/>
      <c r="BEI5" s="61"/>
      <c r="BEJ5" s="61"/>
      <c r="BEK5" s="61"/>
      <c r="BEL5" s="61"/>
      <c r="BEM5" s="61"/>
      <c r="BEN5" s="61"/>
      <c r="BEO5" s="61"/>
      <c r="BEP5" s="61"/>
      <c r="BEQ5" s="61"/>
      <c r="BER5" s="61"/>
      <c r="BES5" s="61"/>
      <c r="BEV5" s="59" t="s">
        <v>1</v>
      </c>
      <c r="BEW5" s="63">
        <v>1</v>
      </c>
      <c r="BEX5" s="63">
        <v>0</v>
      </c>
      <c r="BEY5" s="63">
        <v>1</v>
      </c>
      <c r="BEZ5" s="63">
        <v>1</v>
      </c>
      <c r="BOA5" s="59">
        <v>31</v>
      </c>
      <c r="BOC5" s="59">
        <v>1</v>
      </c>
      <c r="BOF5" s="59">
        <v>1</v>
      </c>
      <c r="BTH5" s="59">
        <v>1</v>
      </c>
      <c r="BTK5" s="59">
        <v>1</v>
      </c>
      <c r="BTO5" s="59">
        <v>1</v>
      </c>
      <c r="BTQ5" s="59">
        <v>1</v>
      </c>
      <c r="BTX5" s="59">
        <v>1</v>
      </c>
      <c r="BYJ5" s="65">
        <v>1</v>
      </c>
      <c r="CCS5" s="59">
        <v>1</v>
      </c>
      <c r="EDZ5" s="59">
        <v>1</v>
      </c>
      <c r="EEK5" s="59">
        <v>1</v>
      </c>
      <c r="HEA5" s="59">
        <v>1</v>
      </c>
      <c r="HEE5" s="59">
        <v>1</v>
      </c>
      <c r="HEG5" s="59">
        <v>1</v>
      </c>
      <c r="HEL5" s="59">
        <v>1</v>
      </c>
      <c r="HFO5" s="59">
        <v>1</v>
      </c>
      <c r="HGG5" s="59">
        <v>1</v>
      </c>
      <c r="HGN5" s="59">
        <v>1</v>
      </c>
      <c r="HGO5" s="59">
        <v>1</v>
      </c>
      <c r="HGP5" s="59">
        <v>1</v>
      </c>
      <c r="HGQ5" s="59">
        <v>1</v>
      </c>
      <c r="HGU5" s="59">
        <v>1</v>
      </c>
      <c r="HGY5" s="59">
        <v>1</v>
      </c>
      <c r="HGZ5" s="59">
        <v>1</v>
      </c>
      <c r="HHD5" s="59">
        <v>1</v>
      </c>
      <c r="HJV5" s="59">
        <v>1</v>
      </c>
      <c r="HJW5" s="59">
        <v>1</v>
      </c>
      <c r="HKA5" s="59">
        <v>1</v>
      </c>
      <c r="HKQ5" s="59">
        <v>1</v>
      </c>
      <c r="HNI5" s="59">
        <v>1</v>
      </c>
      <c r="HNK5" s="59">
        <v>1</v>
      </c>
      <c r="HNL5" s="59">
        <v>1</v>
      </c>
      <c r="HNW5" s="59">
        <v>1</v>
      </c>
    </row>
    <row r="6" spans="1:5809" s="59" customFormat="1" x14ac:dyDescent="0.25">
      <c r="A6" s="63">
        <v>95005911</v>
      </c>
      <c r="B6" s="60" t="s">
        <v>4188</v>
      </c>
      <c r="G6" s="67"/>
      <c r="H6" s="67"/>
      <c r="I6" s="67"/>
      <c r="J6" s="67"/>
      <c r="K6" s="67"/>
      <c r="NE6" s="59">
        <v>40</v>
      </c>
      <c r="QS6" s="59">
        <v>70</v>
      </c>
      <c r="XP6" s="59">
        <v>16</v>
      </c>
      <c r="ANF6" s="59">
        <v>5.3</v>
      </c>
      <c r="BOA6" s="59">
        <v>56</v>
      </c>
      <c r="BOC6" s="59">
        <v>1</v>
      </c>
      <c r="BOD6" s="59">
        <v>26</v>
      </c>
      <c r="BOG6" s="59">
        <v>26</v>
      </c>
      <c r="BOH6" s="59">
        <v>1</v>
      </c>
      <c r="BRX6" s="59">
        <v>1</v>
      </c>
      <c r="BSP6" s="59">
        <v>1</v>
      </c>
      <c r="BUS6" s="59">
        <v>1</v>
      </c>
      <c r="BYJ6" s="65">
        <v>1</v>
      </c>
      <c r="BYN6" s="59">
        <v>1</v>
      </c>
      <c r="BYS6" s="59">
        <v>3</v>
      </c>
      <c r="BYT6" s="59">
        <v>18</v>
      </c>
      <c r="BYU6" s="59">
        <v>15</v>
      </c>
      <c r="BYV6" s="59">
        <v>0</v>
      </c>
      <c r="BYW6" s="59">
        <v>3</v>
      </c>
      <c r="BYY6" s="59">
        <v>0</v>
      </c>
      <c r="BZL6" s="59">
        <v>0</v>
      </c>
      <c r="BZY6" s="59">
        <v>100</v>
      </c>
      <c r="CAC6" s="59">
        <v>1</v>
      </c>
      <c r="CAD6" s="59">
        <v>22</v>
      </c>
      <c r="CAE6" s="59">
        <v>18</v>
      </c>
      <c r="CAF6" s="59">
        <v>0</v>
      </c>
      <c r="CAG6" s="59">
        <v>3</v>
      </c>
      <c r="CAH6" s="59">
        <v>4</v>
      </c>
      <c r="CAI6" s="59">
        <v>1</v>
      </c>
      <c r="CAL6" s="59">
        <v>1</v>
      </c>
      <c r="CAO6" s="59">
        <v>3</v>
      </c>
      <c r="CAP6" s="59">
        <v>18</v>
      </c>
      <c r="CAQ6" s="59">
        <v>15</v>
      </c>
      <c r="CAR6" s="59">
        <v>0</v>
      </c>
      <c r="CAS6" s="59">
        <v>5</v>
      </c>
      <c r="CHD6" s="59">
        <v>1</v>
      </c>
      <c r="CHG6" s="59">
        <v>1</v>
      </c>
      <c r="CHJ6" s="59">
        <v>3</v>
      </c>
      <c r="CHK6" s="59">
        <v>18</v>
      </c>
      <c r="CHL6" s="59">
        <v>15</v>
      </c>
      <c r="CHM6" s="59">
        <v>0</v>
      </c>
      <c r="CHN6" s="59">
        <v>5</v>
      </c>
      <c r="CZE6" s="59">
        <v>1</v>
      </c>
      <c r="CZJ6" s="59">
        <v>1</v>
      </c>
      <c r="CZK6" s="68">
        <v>27</v>
      </c>
      <c r="CZL6" s="59">
        <v>999</v>
      </c>
      <c r="CZM6" s="59">
        <v>0</v>
      </c>
      <c r="CZN6" s="59">
        <v>2</v>
      </c>
      <c r="CZO6" s="59">
        <v>5</v>
      </c>
      <c r="ESX6" s="59">
        <v>1</v>
      </c>
      <c r="ETA6" s="59">
        <v>1</v>
      </c>
      <c r="EWW6" s="59">
        <v>1</v>
      </c>
      <c r="EXB6" s="59">
        <v>1</v>
      </c>
      <c r="EXC6" s="69">
        <v>24</v>
      </c>
      <c r="EXD6" s="59">
        <v>18</v>
      </c>
      <c r="EXE6" s="59">
        <v>0</v>
      </c>
      <c r="EXF6" s="59">
        <v>999</v>
      </c>
      <c r="EXG6" s="59">
        <v>6</v>
      </c>
      <c r="FGQ6" s="59">
        <v>1</v>
      </c>
      <c r="FGV6" s="59">
        <v>1</v>
      </c>
      <c r="FGW6" s="59">
        <v>22</v>
      </c>
      <c r="FGX6" s="59">
        <v>18</v>
      </c>
      <c r="FGY6" s="59">
        <v>0</v>
      </c>
      <c r="FGZ6" s="59">
        <v>3</v>
      </c>
      <c r="FHA6" s="59">
        <v>4</v>
      </c>
      <c r="GUM6" s="59">
        <v>1</v>
      </c>
      <c r="GUR6" s="59">
        <v>1</v>
      </c>
      <c r="GUS6" s="68">
        <v>29</v>
      </c>
      <c r="GUT6" s="59">
        <v>999</v>
      </c>
      <c r="GUU6" s="59">
        <v>0</v>
      </c>
      <c r="GUV6" s="59">
        <v>999</v>
      </c>
      <c r="GUW6" s="59">
        <v>6</v>
      </c>
      <c r="GUX6" s="59">
        <v>1</v>
      </c>
      <c r="GVA6" s="59">
        <v>1</v>
      </c>
      <c r="GVD6" s="59">
        <v>3</v>
      </c>
      <c r="GVE6" s="59">
        <v>18</v>
      </c>
      <c r="GVF6" s="59">
        <v>15</v>
      </c>
      <c r="GVG6" s="59">
        <v>0</v>
      </c>
      <c r="GVH6" s="59">
        <v>6</v>
      </c>
    </row>
    <row r="7" spans="1:5809" s="59" customFormat="1" x14ac:dyDescent="0.25">
      <c r="A7" s="63">
        <v>99001908</v>
      </c>
      <c r="B7" s="60" t="s">
        <v>4188</v>
      </c>
      <c r="QS7" s="59">
        <v>25</v>
      </c>
      <c r="TK7" s="59">
        <v>253</v>
      </c>
      <c r="BOA7" s="59">
        <v>81</v>
      </c>
      <c r="BOC7" s="59">
        <v>1</v>
      </c>
      <c r="BOD7" s="59">
        <v>24.6</v>
      </c>
      <c r="BOF7" s="59">
        <v>1</v>
      </c>
      <c r="BOG7" s="59">
        <v>46</v>
      </c>
      <c r="BPC7" s="59">
        <v>1</v>
      </c>
      <c r="BPI7" s="59">
        <v>1</v>
      </c>
      <c r="BQB7" s="59">
        <v>1</v>
      </c>
      <c r="BUP7" s="59">
        <v>1</v>
      </c>
      <c r="BUQ7" s="59">
        <v>1</v>
      </c>
      <c r="BYJ7" s="65"/>
      <c r="BYM7" s="59">
        <v>1</v>
      </c>
      <c r="BYP7" s="59">
        <v>1</v>
      </c>
      <c r="BYS7" s="68">
        <v>19</v>
      </c>
      <c r="BYT7" s="70">
        <v>999</v>
      </c>
      <c r="BYU7" s="59">
        <v>9</v>
      </c>
      <c r="BYV7" s="59">
        <v>0</v>
      </c>
      <c r="BYW7" s="59">
        <v>4</v>
      </c>
      <c r="BYY7" s="59">
        <v>0</v>
      </c>
      <c r="BZL7" s="59">
        <v>0</v>
      </c>
      <c r="CLF7" s="59">
        <v>1</v>
      </c>
      <c r="CLH7" s="59">
        <v>4</v>
      </c>
      <c r="CLI7" s="59">
        <v>19</v>
      </c>
      <c r="CLJ7" s="59">
        <v>11</v>
      </c>
      <c r="CLK7" s="59">
        <v>0</v>
      </c>
      <c r="CLL7" s="59">
        <v>5</v>
      </c>
      <c r="DCV7" s="59">
        <v>1</v>
      </c>
      <c r="DCY7" s="59">
        <v>1</v>
      </c>
      <c r="DCZ7" s="71">
        <v>29</v>
      </c>
      <c r="DDA7" s="59">
        <v>999</v>
      </c>
      <c r="DDB7" s="59">
        <v>0</v>
      </c>
      <c r="DDC7" s="59">
        <v>999</v>
      </c>
      <c r="DDD7" s="59">
        <v>5</v>
      </c>
      <c r="DFX7" s="59">
        <v>5</v>
      </c>
      <c r="DFY7" s="59">
        <v>2</v>
      </c>
      <c r="DGB7" s="59">
        <v>1</v>
      </c>
      <c r="DGC7" s="71">
        <v>29</v>
      </c>
      <c r="DGD7" s="59">
        <v>999</v>
      </c>
      <c r="DGE7" s="59">
        <v>0</v>
      </c>
      <c r="DGF7" s="59">
        <v>999</v>
      </c>
      <c r="DGG7" s="59">
        <v>6</v>
      </c>
      <c r="GHY7" s="59">
        <v>1</v>
      </c>
      <c r="GHZ7" s="69">
        <v>9</v>
      </c>
      <c r="GIA7" s="59">
        <v>7</v>
      </c>
      <c r="GIB7" s="59">
        <v>0</v>
      </c>
      <c r="GIC7" s="59">
        <v>999</v>
      </c>
      <c r="GID7" s="59">
        <v>6</v>
      </c>
      <c r="GVJ7" s="59">
        <v>2</v>
      </c>
      <c r="GVM7" s="59">
        <v>1</v>
      </c>
      <c r="GVN7" s="69">
        <v>9</v>
      </c>
      <c r="GVO7" s="59">
        <v>7</v>
      </c>
      <c r="GVP7" s="59">
        <v>0</v>
      </c>
      <c r="GVQ7" s="59">
        <v>999</v>
      </c>
      <c r="GVR7" s="59">
        <v>6</v>
      </c>
      <c r="GVS7" s="59">
        <v>1</v>
      </c>
      <c r="GVT7" s="59">
        <v>2</v>
      </c>
      <c r="GVX7" s="71">
        <v>29</v>
      </c>
      <c r="GVY7" s="59">
        <v>999</v>
      </c>
      <c r="GVZ7" s="59">
        <v>0</v>
      </c>
      <c r="GWA7" s="59">
        <v>999</v>
      </c>
      <c r="GWB7" s="59">
        <v>6</v>
      </c>
      <c r="GYE7" s="59">
        <v>1</v>
      </c>
      <c r="GYL7" s="59">
        <v>1</v>
      </c>
      <c r="GZP7" s="59">
        <v>1</v>
      </c>
      <c r="HFE7" s="59">
        <v>1</v>
      </c>
      <c r="HHC7" s="59">
        <v>1</v>
      </c>
      <c r="HHD7" s="59">
        <v>1</v>
      </c>
    </row>
    <row r="8" spans="1:5809" s="59" customFormat="1" x14ac:dyDescent="0.25">
      <c r="A8" s="63">
        <v>99004067</v>
      </c>
      <c r="B8" s="60" t="s">
        <v>4188</v>
      </c>
      <c r="G8" s="67"/>
      <c r="H8" s="67"/>
      <c r="I8" s="67"/>
      <c r="J8" s="67"/>
      <c r="K8" s="67"/>
      <c r="HA8" s="63"/>
      <c r="HB8" s="63"/>
      <c r="HC8" s="63"/>
      <c r="HD8" s="63"/>
      <c r="HP8" s="63"/>
      <c r="JP8" s="59">
        <v>20</v>
      </c>
      <c r="NE8" s="59">
        <v>22</v>
      </c>
      <c r="QS8" s="59">
        <v>106</v>
      </c>
      <c r="XK8" s="59">
        <v>21.5</v>
      </c>
      <c r="AJN8" s="59">
        <v>1.45</v>
      </c>
      <c r="AOS8" s="59">
        <v>114.2</v>
      </c>
      <c r="BOA8" s="59">
        <v>68</v>
      </c>
      <c r="BOC8" s="59">
        <v>1</v>
      </c>
      <c r="BOD8" s="59">
        <v>25.1</v>
      </c>
      <c r="BOF8" s="59">
        <v>1</v>
      </c>
      <c r="BOG8" s="59">
        <v>24</v>
      </c>
      <c r="BOL8" s="59">
        <v>1</v>
      </c>
      <c r="BOP8" s="59">
        <v>1</v>
      </c>
      <c r="BPI8" s="59">
        <v>1</v>
      </c>
      <c r="BQB8" s="59">
        <v>1</v>
      </c>
      <c r="BSH8" s="59">
        <v>1</v>
      </c>
      <c r="BTA8" s="59">
        <v>1</v>
      </c>
      <c r="BYJ8" s="65"/>
      <c r="BYL8" s="59">
        <v>46.5</v>
      </c>
      <c r="BYM8" s="63">
        <v>0.56999999999999995</v>
      </c>
      <c r="BYP8" s="59">
        <v>1</v>
      </c>
      <c r="BYS8" s="71">
        <v>29</v>
      </c>
      <c r="BYT8" s="59">
        <v>999</v>
      </c>
      <c r="BYU8" s="59">
        <v>0</v>
      </c>
      <c r="BYV8" s="59">
        <v>999</v>
      </c>
      <c r="BYW8" s="59">
        <v>4</v>
      </c>
      <c r="BYY8" s="59">
        <v>0</v>
      </c>
      <c r="BZL8" s="59">
        <v>0</v>
      </c>
      <c r="BZY8" s="59">
        <v>500</v>
      </c>
      <c r="BZZ8" s="59">
        <v>0.25</v>
      </c>
      <c r="CAC8" s="59">
        <v>1</v>
      </c>
      <c r="CAD8" s="59">
        <v>29</v>
      </c>
      <c r="CAE8" s="59">
        <v>999</v>
      </c>
      <c r="CAF8" s="59">
        <v>0</v>
      </c>
      <c r="CAG8" s="59">
        <v>999</v>
      </c>
      <c r="CAH8" s="59">
        <v>5</v>
      </c>
      <c r="CQD8" s="59">
        <v>500</v>
      </c>
      <c r="CQE8" s="59">
        <v>2</v>
      </c>
      <c r="CQH8" s="59">
        <v>1</v>
      </c>
      <c r="CQI8" s="59">
        <v>14</v>
      </c>
      <c r="CQJ8" s="59">
        <v>11</v>
      </c>
      <c r="CQK8" s="59">
        <v>0</v>
      </c>
      <c r="CQL8" s="59">
        <v>2</v>
      </c>
      <c r="CQM8" s="59">
        <v>4</v>
      </c>
      <c r="CYU8" s="59">
        <v>10</v>
      </c>
      <c r="CYV8" s="59">
        <v>1</v>
      </c>
      <c r="CYY8" s="59">
        <v>1</v>
      </c>
      <c r="CYZ8" s="59">
        <v>29</v>
      </c>
      <c r="CZA8" s="59">
        <v>999</v>
      </c>
      <c r="CZB8" s="59">
        <v>0</v>
      </c>
      <c r="CZC8" s="59">
        <v>999</v>
      </c>
      <c r="CZD8" s="59">
        <v>5</v>
      </c>
      <c r="DDF8" s="59">
        <v>60</v>
      </c>
      <c r="DDG8" s="59">
        <v>1</v>
      </c>
      <c r="DDJ8" s="59">
        <v>1</v>
      </c>
      <c r="DDK8" s="71">
        <v>29</v>
      </c>
      <c r="DDL8" s="59">
        <v>999</v>
      </c>
      <c r="DDM8" s="59">
        <v>0</v>
      </c>
      <c r="DDN8" s="59">
        <v>999</v>
      </c>
      <c r="DDO8" s="59">
        <v>5</v>
      </c>
      <c r="DOV8" s="59">
        <v>3</v>
      </c>
      <c r="DOY8" s="59">
        <v>1</v>
      </c>
      <c r="DPA8" s="69">
        <v>15</v>
      </c>
      <c r="DPB8" s="59">
        <v>11</v>
      </c>
      <c r="DPC8" s="59">
        <v>0</v>
      </c>
      <c r="DPD8" s="59">
        <v>999</v>
      </c>
      <c r="DPE8" s="59">
        <v>5</v>
      </c>
      <c r="DTE8" s="59">
        <v>1</v>
      </c>
      <c r="DTH8" s="59">
        <v>1</v>
      </c>
      <c r="DTI8" s="71">
        <v>29</v>
      </c>
      <c r="DTJ8" s="59">
        <v>999</v>
      </c>
      <c r="DTK8" s="59">
        <v>0</v>
      </c>
      <c r="DTL8" s="59">
        <v>999</v>
      </c>
      <c r="DTM8" s="59">
        <v>6</v>
      </c>
      <c r="EFI8" s="59">
        <v>96</v>
      </c>
      <c r="EFM8" s="59">
        <v>1</v>
      </c>
      <c r="EFO8" s="71">
        <v>29</v>
      </c>
      <c r="EFP8" s="59">
        <v>999</v>
      </c>
      <c r="EFQ8" s="59">
        <v>0</v>
      </c>
      <c r="EFR8" s="59">
        <v>999</v>
      </c>
      <c r="EFS8" s="59">
        <v>6</v>
      </c>
      <c r="EFT8" s="59">
        <v>2</v>
      </c>
      <c r="EFU8" s="59">
        <v>1</v>
      </c>
      <c r="EFX8" s="59">
        <v>1</v>
      </c>
      <c r="EFY8" s="71">
        <v>29</v>
      </c>
      <c r="EFZ8" s="59">
        <v>999</v>
      </c>
      <c r="EGA8" s="59">
        <v>0</v>
      </c>
      <c r="EGB8" s="59">
        <v>999</v>
      </c>
      <c r="EGC8" s="59">
        <v>6</v>
      </c>
      <c r="EGX8" s="59">
        <v>1.25</v>
      </c>
      <c r="EGY8" s="59">
        <v>3</v>
      </c>
      <c r="EHB8" s="59">
        <v>1</v>
      </c>
      <c r="EHC8" s="69">
        <v>15</v>
      </c>
      <c r="EHD8" s="59">
        <v>11</v>
      </c>
      <c r="EHE8" s="59">
        <v>0</v>
      </c>
      <c r="EHF8" s="59">
        <v>999</v>
      </c>
      <c r="EHG8" s="59">
        <v>5</v>
      </c>
      <c r="EUN8" s="59">
        <v>200</v>
      </c>
      <c r="EUO8" s="59">
        <v>3</v>
      </c>
      <c r="EUR8" s="59">
        <v>1</v>
      </c>
      <c r="EUS8" s="59">
        <v>14</v>
      </c>
      <c r="EUT8" s="59">
        <v>11</v>
      </c>
      <c r="EUU8" s="59">
        <v>0</v>
      </c>
      <c r="EUV8" s="59">
        <v>2</v>
      </c>
      <c r="EUW8" s="59">
        <v>5</v>
      </c>
      <c r="FTW8" s="72">
        <v>3</v>
      </c>
      <c r="FTZ8" s="59">
        <v>1</v>
      </c>
      <c r="FUA8" s="69">
        <v>15</v>
      </c>
      <c r="FUB8" s="59">
        <v>11</v>
      </c>
      <c r="FUC8" s="59">
        <v>0</v>
      </c>
      <c r="FUD8" s="59">
        <v>999</v>
      </c>
      <c r="FUE8" s="59">
        <v>5</v>
      </c>
      <c r="HFE8" s="59">
        <v>1</v>
      </c>
      <c r="HHA8" s="59">
        <v>1</v>
      </c>
    </row>
    <row r="9" spans="1:5809" s="59" customFormat="1" x14ac:dyDescent="0.25">
      <c r="A9" s="63">
        <v>97002136</v>
      </c>
      <c r="B9" s="60" t="s">
        <v>4188</v>
      </c>
      <c r="JP9" s="59">
        <v>189</v>
      </c>
      <c r="NE9" s="59">
        <v>44</v>
      </c>
      <c r="QS9" s="59">
        <v>440</v>
      </c>
      <c r="TK9" s="59">
        <v>462</v>
      </c>
      <c r="BER9" s="59">
        <v>1</v>
      </c>
      <c r="BES9" s="59">
        <v>1</v>
      </c>
      <c r="BOA9" s="59">
        <v>71</v>
      </c>
      <c r="BOC9" s="59">
        <v>1</v>
      </c>
      <c r="BOD9" s="59">
        <v>24.4</v>
      </c>
      <c r="BOG9" s="59">
        <v>45</v>
      </c>
      <c r="BOL9" s="59">
        <v>1</v>
      </c>
      <c r="BRY9" s="59">
        <v>1</v>
      </c>
      <c r="BVG9" s="59">
        <v>1</v>
      </c>
      <c r="BYJ9" s="65"/>
      <c r="BYR9" s="59">
        <v>1</v>
      </c>
      <c r="BYS9" s="69">
        <v>22</v>
      </c>
      <c r="BYT9" s="59">
        <v>17</v>
      </c>
      <c r="BYU9" s="59">
        <v>0</v>
      </c>
      <c r="BYV9" s="59">
        <v>999</v>
      </c>
      <c r="BYW9" s="59">
        <v>6</v>
      </c>
      <c r="BYY9" s="59">
        <v>0</v>
      </c>
      <c r="BZL9" s="59">
        <v>0</v>
      </c>
      <c r="DDZ9" s="59">
        <v>1</v>
      </c>
      <c r="DEA9" s="59">
        <v>1</v>
      </c>
      <c r="DED9" s="59">
        <v>1</v>
      </c>
      <c r="DEE9" s="68">
        <v>28</v>
      </c>
      <c r="DEF9" s="59">
        <v>24</v>
      </c>
      <c r="DEG9" s="59">
        <v>0</v>
      </c>
      <c r="DEH9" s="59">
        <v>3</v>
      </c>
      <c r="DEI9" s="59">
        <v>6</v>
      </c>
      <c r="DFE9" s="59">
        <v>1</v>
      </c>
      <c r="DFH9" s="59">
        <v>1</v>
      </c>
      <c r="DFI9" s="69">
        <v>21</v>
      </c>
      <c r="DFJ9" s="59">
        <v>17</v>
      </c>
      <c r="DFK9" s="59">
        <v>0</v>
      </c>
      <c r="DFL9" s="59">
        <v>999</v>
      </c>
      <c r="DFM9" s="59">
        <v>2</v>
      </c>
      <c r="GYL9" s="59">
        <v>1</v>
      </c>
      <c r="HGO9" s="59">
        <v>1</v>
      </c>
      <c r="HHA9" s="59">
        <v>1</v>
      </c>
      <c r="HHL9" s="59">
        <v>1</v>
      </c>
      <c r="HIA9" s="59">
        <v>1</v>
      </c>
    </row>
    <row r="10" spans="1:5809" s="59" customFormat="1" x14ac:dyDescent="0.25">
      <c r="A10" s="59">
        <v>1502</v>
      </c>
      <c r="B10" s="60" t="s">
        <v>4188</v>
      </c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1"/>
      <c r="HR10" s="61"/>
      <c r="HS10" s="59">
        <v>8700</v>
      </c>
      <c r="HT10" s="61"/>
      <c r="HU10" s="59">
        <v>7700</v>
      </c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59">
        <v>52</v>
      </c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59">
        <v>82</v>
      </c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59">
        <v>112</v>
      </c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6"/>
      <c r="TD10" s="66"/>
      <c r="TE10" s="66"/>
      <c r="TF10" s="66"/>
      <c r="TG10" s="66"/>
      <c r="TH10" s="66"/>
      <c r="TI10" s="66"/>
      <c r="TJ10" s="66"/>
      <c r="TK10" s="66"/>
      <c r="TL10" s="66"/>
      <c r="TM10" s="61"/>
      <c r="TN10" s="61"/>
      <c r="TO10" s="61"/>
      <c r="TP10" s="59">
        <v>351</v>
      </c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59">
        <v>12.6</v>
      </c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2"/>
      <c r="AIH10" s="62"/>
      <c r="AII10" s="62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2"/>
      <c r="AJO10" s="62"/>
      <c r="AJP10" s="62"/>
      <c r="AJQ10" s="61"/>
      <c r="AJR10" s="61"/>
      <c r="AJS10" s="59">
        <v>0.9</v>
      </c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2"/>
      <c r="AKY10" s="62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RV10" s="66"/>
      <c r="ARW10" s="66"/>
      <c r="ARX10" s="66"/>
      <c r="ARY10" s="66"/>
      <c r="ARZ10" s="66"/>
      <c r="ASA10" s="66"/>
      <c r="ASB10" s="66"/>
      <c r="ASC10" s="66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2"/>
      <c r="ATR10" s="62"/>
      <c r="ATS10" s="62"/>
      <c r="ATT10" s="62"/>
      <c r="ATU10" s="62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OA10" s="59">
        <v>79</v>
      </c>
      <c r="BOC10" s="59">
        <v>1</v>
      </c>
      <c r="BOD10" s="59">
        <v>25.9</v>
      </c>
      <c r="BOG10" s="59">
        <v>48</v>
      </c>
      <c r="BSG10" s="59">
        <v>1</v>
      </c>
      <c r="BSH10" s="59">
        <v>1</v>
      </c>
      <c r="BTU10" s="59">
        <v>1</v>
      </c>
      <c r="BVQ10" s="59">
        <v>1</v>
      </c>
      <c r="BYJ10" s="65"/>
      <c r="BYM10" s="59">
        <v>2</v>
      </c>
      <c r="BYP10" s="59">
        <v>1</v>
      </c>
      <c r="BYS10" s="59">
        <v>10</v>
      </c>
      <c r="BYT10" s="59">
        <v>21</v>
      </c>
      <c r="BYU10" s="59">
        <v>12</v>
      </c>
      <c r="BYV10" s="72">
        <v>0</v>
      </c>
      <c r="BYW10" s="59">
        <v>3</v>
      </c>
      <c r="BYY10" s="59">
        <v>0</v>
      </c>
      <c r="BZL10" s="59">
        <v>0</v>
      </c>
      <c r="CBE10" s="59">
        <v>40</v>
      </c>
      <c r="CBF10" s="59">
        <v>4</v>
      </c>
      <c r="CBI10" s="59">
        <v>1</v>
      </c>
      <c r="CBJ10" s="59">
        <v>22</v>
      </c>
      <c r="CBK10" s="59">
        <v>21</v>
      </c>
      <c r="CBL10" s="59">
        <v>0</v>
      </c>
      <c r="CBM10" s="72">
        <v>0</v>
      </c>
      <c r="CBN10" s="59">
        <v>3</v>
      </c>
      <c r="CGT10" s="59">
        <v>30</v>
      </c>
      <c r="CGU10" s="59">
        <v>2</v>
      </c>
      <c r="CGX10" s="59">
        <v>1</v>
      </c>
      <c r="CGY10" s="59">
        <v>7</v>
      </c>
      <c r="CGZ10" s="59">
        <v>14</v>
      </c>
      <c r="CHA10" s="59">
        <v>8</v>
      </c>
      <c r="CHB10" s="72">
        <v>0</v>
      </c>
      <c r="CHC10" s="59">
        <v>5</v>
      </c>
      <c r="CIX10" s="59">
        <v>1</v>
      </c>
      <c r="CIY10" s="59">
        <v>8</v>
      </c>
      <c r="CIZ10" s="59">
        <v>21</v>
      </c>
      <c r="CJA10" s="59">
        <v>14</v>
      </c>
      <c r="CJB10" s="72">
        <v>0</v>
      </c>
      <c r="CJC10" s="59">
        <v>6</v>
      </c>
      <c r="CSL10" s="59">
        <v>200</v>
      </c>
      <c r="CSM10" s="59">
        <v>2</v>
      </c>
      <c r="CSP10" s="59">
        <v>1</v>
      </c>
      <c r="CSQ10" s="69">
        <v>7</v>
      </c>
      <c r="CSR10" s="59">
        <v>27</v>
      </c>
      <c r="CSS10" s="59">
        <v>23</v>
      </c>
      <c r="CSU10" s="59">
        <v>4</v>
      </c>
      <c r="CTA10" s="59">
        <v>1</v>
      </c>
      <c r="CTB10" s="59">
        <v>4</v>
      </c>
      <c r="CTC10" s="59">
        <v>24</v>
      </c>
      <c r="CTD10" s="59">
        <v>21</v>
      </c>
      <c r="CTF10" s="59">
        <v>7</v>
      </c>
      <c r="CTH10" s="59">
        <v>2000</v>
      </c>
      <c r="CTI10" s="59">
        <v>2</v>
      </c>
      <c r="CTJ10" s="59">
        <v>1</v>
      </c>
      <c r="CTM10" s="59">
        <v>3</v>
      </c>
      <c r="CTN10" s="59">
        <v>3</v>
      </c>
      <c r="CTO10" s="59">
        <v>1</v>
      </c>
      <c r="CTQ10" s="59">
        <v>4</v>
      </c>
      <c r="CTR10" s="59">
        <v>500</v>
      </c>
      <c r="CTS10" s="59">
        <v>2</v>
      </c>
      <c r="CTT10" s="59">
        <v>1</v>
      </c>
      <c r="CTW10" s="59">
        <v>1</v>
      </c>
      <c r="CTX10" s="59">
        <v>0</v>
      </c>
      <c r="CTY10" s="59">
        <v>0</v>
      </c>
      <c r="CTZ10" s="72">
        <v>0</v>
      </c>
      <c r="CUA10" s="59">
        <v>7</v>
      </c>
      <c r="DED10" s="59">
        <v>1</v>
      </c>
      <c r="DEE10" s="59">
        <v>29</v>
      </c>
      <c r="DEF10" s="59">
        <v>28</v>
      </c>
      <c r="DEG10" s="59">
        <v>0</v>
      </c>
      <c r="DEH10" s="72">
        <v>0</v>
      </c>
      <c r="DEI10" s="59">
        <v>6</v>
      </c>
      <c r="DMX10" s="59">
        <v>1</v>
      </c>
      <c r="DNA10" s="59">
        <v>1</v>
      </c>
      <c r="DNB10" s="69">
        <v>22</v>
      </c>
      <c r="DNC10" s="59">
        <v>21</v>
      </c>
      <c r="DND10" s="59">
        <v>0</v>
      </c>
      <c r="DNF10" s="59">
        <v>5</v>
      </c>
      <c r="DRP10" s="59">
        <v>0.2</v>
      </c>
      <c r="DRT10" s="59">
        <v>1</v>
      </c>
      <c r="DRU10" s="59">
        <v>29</v>
      </c>
      <c r="DRV10" s="59">
        <v>28</v>
      </c>
      <c r="DRW10" s="59">
        <v>0</v>
      </c>
      <c r="DRX10" s="72">
        <v>0</v>
      </c>
      <c r="DRY10" s="59">
        <v>6</v>
      </c>
      <c r="DSN10" s="59">
        <v>1</v>
      </c>
      <c r="DSO10" s="59">
        <v>29</v>
      </c>
      <c r="DSP10" s="59">
        <v>28</v>
      </c>
      <c r="DSQ10" s="59">
        <v>0</v>
      </c>
      <c r="DSR10" s="72">
        <v>0</v>
      </c>
      <c r="DSS10" s="59">
        <v>6</v>
      </c>
      <c r="DSY10" s="59">
        <v>29</v>
      </c>
      <c r="DSZ10" s="59">
        <v>28</v>
      </c>
      <c r="DTA10" s="59">
        <v>0</v>
      </c>
      <c r="DTB10" s="72">
        <v>0</v>
      </c>
      <c r="DTC10" s="59">
        <v>5</v>
      </c>
      <c r="FHL10" s="59">
        <v>200</v>
      </c>
      <c r="FHM10" s="59">
        <v>2</v>
      </c>
      <c r="FHP10" s="59">
        <v>1</v>
      </c>
      <c r="FHQ10" s="59">
        <v>21</v>
      </c>
      <c r="FHR10" s="59">
        <v>20</v>
      </c>
      <c r="FHS10" s="59">
        <v>0</v>
      </c>
      <c r="FHT10" s="72">
        <v>0</v>
      </c>
      <c r="FHU10" s="59">
        <v>3</v>
      </c>
      <c r="FTD10" s="73">
        <v>1</v>
      </c>
      <c r="FTF10" s="59">
        <v>1</v>
      </c>
      <c r="FTG10" s="59">
        <v>4</v>
      </c>
      <c r="FTH10" s="59">
        <v>24</v>
      </c>
      <c r="FTI10" s="59">
        <v>21</v>
      </c>
      <c r="FTJ10" s="72">
        <v>0</v>
      </c>
      <c r="FTK10" s="59">
        <v>7</v>
      </c>
      <c r="FXY10" s="59">
        <v>2</v>
      </c>
      <c r="FXZ10" s="59">
        <v>3</v>
      </c>
      <c r="FYC10" s="59">
        <v>1</v>
      </c>
      <c r="FYD10" s="59">
        <v>1</v>
      </c>
      <c r="FYE10" s="59">
        <v>0</v>
      </c>
      <c r="FYF10" s="59">
        <v>0</v>
      </c>
      <c r="FYG10" s="72">
        <v>0</v>
      </c>
      <c r="FYH10" s="59">
        <v>7</v>
      </c>
      <c r="GHB10" s="59">
        <v>2</v>
      </c>
      <c r="GHC10" s="59">
        <v>1</v>
      </c>
      <c r="GHF10" s="59">
        <v>22</v>
      </c>
      <c r="GHG10" s="59">
        <v>21</v>
      </c>
      <c r="GHH10" s="59">
        <v>0</v>
      </c>
      <c r="GHI10" s="72">
        <v>0</v>
      </c>
      <c r="GHJ10" s="59">
        <v>5</v>
      </c>
      <c r="GWL10" s="59">
        <v>1</v>
      </c>
      <c r="GYE10" s="59">
        <v>1</v>
      </c>
      <c r="GZP10" s="59">
        <v>1</v>
      </c>
      <c r="HFE10" s="59">
        <v>1</v>
      </c>
      <c r="HFW10" s="59">
        <v>1</v>
      </c>
      <c r="HGG10" s="59">
        <v>1</v>
      </c>
      <c r="HHA10" s="59">
        <v>1</v>
      </c>
      <c r="HHC10" s="59">
        <v>1</v>
      </c>
      <c r="HJM10" s="59">
        <v>1</v>
      </c>
    </row>
    <row r="11" spans="1:5809" s="59" customFormat="1" x14ac:dyDescent="0.25">
      <c r="A11" s="59">
        <v>4003543</v>
      </c>
      <c r="B11" s="60" t="s">
        <v>4188</v>
      </c>
      <c r="G11" s="74"/>
      <c r="H11" s="74"/>
      <c r="I11" s="74"/>
      <c r="J11" s="74"/>
      <c r="K11" s="74"/>
      <c r="L11" s="75"/>
      <c r="M11" s="75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1"/>
      <c r="HR11" s="61"/>
      <c r="HT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T11" s="61"/>
      <c r="JU11" s="61"/>
      <c r="JV11" s="61"/>
      <c r="JW11" s="61"/>
      <c r="JX11" s="59">
        <v>39</v>
      </c>
      <c r="KA11" s="61"/>
      <c r="KB11" s="59">
        <v>25</v>
      </c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I11" s="61"/>
      <c r="NJ11" s="61"/>
      <c r="NK11" s="61"/>
      <c r="NL11" s="61"/>
      <c r="NM11" s="59">
        <v>53</v>
      </c>
      <c r="NP11" s="61"/>
      <c r="NQ11" s="59">
        <v>38</v>
      </c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6"/>
      <c r="TD11" s="66"/>
      <c r="TE11" s="66"/>
      <c r="TF11" s="66"/>
      <c r="TG11" s="66"/>
      <c r="TH11" s="66"/>
      <c r="TI11" s="66"/>
      <c r="TJ11" s="66"/>
      <c r="TK11" s="66"/>
      <c r="TL11" s="66"/>
      <c r="TM11" s="61"/>
      <c r="TN11" s="61"/>
      <c r="TO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2"/>
      <c r="AIH11" s="62"/>
      <c r="AII11" s="62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2"/>
      <c r="AJO11" s="62"/>
      <c r="AJP11" s="62"/>
      <c r="AJQ11" s="61"/>
      <c r="AJR11" s="61"/>
      <c r="AJT11" s="61"/>
      <c r="AJU11" s="61"/>
      <c r="AJV11" s="59">
        <v>1.2</v>
      </c>
      <c r="AJY11" s="61"/>
      <c r="AJZ11" s="59">
        <v>0.9</v>
      </c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2"/>
      <c r="AKY11" s="62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>
        <v>71.2</v>
      </c>
      <c r="ANO11" s="61"/>
      <c r="ANP11" s="61"/>
      <c r="ANQ11" s="61"/>
      <c r="ANR11" s="61">
        <v>10.3</v>
      </c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RV11" s="66"/>
      <c r="ARW11" s="66"/>
      <c r="ARX11" s="66"/>
      <c r="ARY11" s="66"/>
      <c r="ARZ11" s="66"/>
      <c r="ASA11" s="66"/>
      <c r="ASB11" s="66"/>
      <c r="ASC11" s="66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2"/>
      <c r="ATR11" s="62"/>
      <c r="ATS11" s="62"/>
      <c r="ATT11" s="62"/>
      <c r="ATU11" s="62"/>
      <c r="ATV11" s="59">
        <v>67</v>
      </c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OA11" s="59">
        <v>62</v>
      </c>
      <c r="BOC11" s="59">
        <v>1</v>
      </c>
      <c r="BOF11" s="59">
        <v>1</v>
      </c>
      <c r="BOG11" s="59">
        <v>14</v>
      </c>
      <c r="BSG11" s="59">
        <v>1</v>
      </c>
      <c r="BTN11" s="59">
        <v>1</v>
      </c>
      <c r="BUJ11" s="59">
        <v>1</v>
      </c>
      <c r="BYJ11" s="65"/>
      <c r="BYM11" s="59">
        <v>2</v>
      </c>
      <c r="BYP11" s="59">
        <v>1</v>
      </c>
      <c r="BYS11" s="59">
        <v>1</v>
      </c>
      <c r="BYT11" s="59">
        <v>10</v>
      </c>
      <c r="BYU11" s="59">
        <v>10</v>
      </c>
      <c r="BYV11" s="59">
        <v>0</v>
      </c>
      <c r="BYY11" s="59">
        <v>0</v>
      </c>
      <c r="BZL11" s="59">
        <v>0</v>
      </c>
      <c r="BZQ11" s="59">
        <v>1</v>
      </c>
      <c r="BZS11" s="59">
        <v>4</v>
      </c>
      <c r="BZT11" s="59">
        <v>11</v>
      </c>
      <c r="BZU11" s="59">
        <v>5</v>
      </c>
      <c r="BZV11" s="72">
        <v>0</v>
      </c>
      <c r="DJJ11" s="59">
        <v>1</v>
      </c>
      <c r="EEL11" s="72">
        <v>250</v>
      </c>
      <c r="EEM11" s="59">
        <v>1</v>
      </c>
      <c r="EEP11" s="59">
        <v>1</v>
      </c>
      <c r="EEQ11" s="59">
        <v>12</v>
      </c>
      <c r="EER11" s="59">
        <v>7</v>
      </c>
      <c r="EES11" s="59">
        <v>0</v>
      </c>
      <c r="EET11" s="59">
        <v>4</v>
      </c>
      <c r="FYJ11" s="59">
        <v>1</v>
      </c>
      <c r="FYK11" s="59">
        <v>1</v>
      </c>
      <c r="FYN11" s="59">
        <v>1</v>
      </c>
      <c r="FYO11" s="59">
        <v>7</v>
      </c>
      <c r="FYP11" s="59">
        <v>7</v>
      </c>
      <c r="FYQ11" s="59">
        <v>0</v>
      </c>
      <c r="GYE11" s="59">
        <v>1</v>
      </c>
      <c r="GYF11" s="59">
        <v>1</v>
      </c>
      <c r="GYK11" s="59">
        <v>1</v>
      </c>
      <c r="GYL11" s="59">
        <v>1</v>
      </c>
      <c r="GZP11" s="59">
        <v>1</v>
      </c>
      <c r="HFE11" s="59">
        <v>1</v>
      </c>
      <c r="HHA11" s="59">
        <v>1</v>
      </c>
      <c r="HIF11" s="59">
        <v>1</v>
      </c>
      <c r="HJL11" s="59">
        <v>1</v>
      </c>
      <c r="HJZ11" s="59">
        <v>1</v>
      </c>
    </row>
    <row r="12" spans="1:5809" s="63" customFormat="1" x14ac:dyDescent="0.25">
      <c r="A12" s="63">
        <v>4900261</v>
      </c>
      <c r="B12" s="89" t="s">
        <v>4188</v>
      </c>
      <c r="G12" s="63">
        <v>18973</v>
      </c>
      <c r="H12" s="63">
        <v>12480</v>
      </c>
      <c r="I12" s="63">
        <v>13564</v>
      </c>
      <c r="K12" s="63">
        <v>18000</v>
      </c>
      <c r="L12" s="63">
        <v>7207</v>
      </c>
      <c r="N12" s="94"/>
      <c r="O12" s="94"/>
      <c r="P12" s="94"/>
      <c r="Q12" s="91"/>
      <c r="R12" s="63">
        <v>4544</v>
      </c>
      <c r="S12" s="94"/>
      <c r="T12" s="94"/>
      <c r="U12" s="94"/>
      <c r="V12" s="94"/>
      <c r="W12" s="94"/>
      <c r="X12" s="94"/>
      <c r="Y12" s="94"/>
      <c r="Z12" s="63">
        <v>341</v>
      </c>
      <c r="AC12" s="63">
        <v>258</v>
      </c>
      <c r="AD12" s="63">
        <v>165</v>
      </c>
      <c r="AE12" s="63">
        <v>132</v>
      </c>
      <c r="AF12" s="63">
        <v>106</v>
      </c>
      <c r="AK12" s="63">
        <v>71</v>
      </c>
      <c r="AQ12" s="63">
        <v>24</v>
      </c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2"/>
      <c r="DL12" s="92"/>
      <c r="DM12" s="92"/>
      <c r="DN12" s="92"/>
      <c r="DO12" s="92"/>
      <c r="DP12" s="92"/>
      <c r="DQ12" s="92"/>
      <c r="DR12" s="92"/>
      <c r="DS12" s="92"/>
      <c r="DT12" s="92"/>
      <c r="DU12" s="92"/>
      <c r="DV12" s="92"/>
      <c r="DW12" s="92"/>
      <c r="DX12" s="92"/>
      <c r="DY12" s="92"/>
      <c r="DZ12" s="92"/>
      <c r="EA12" s="92"/>
      <c r="EB12" s="92"/>
      <c r="EC12" s="92"/>
      <c r="ED12" s="92"/>
      <c r="EE12" s="92"/>
      <c r="EF12" s="92"/>
      <c r="EG12" s="91"/>
      <c r="EH12" s="91"/>
      <c r="EI12" s="91"/>
      <c r="EJ12" s="91"/>
      <c r="EK12" s="91"/>
      <c r="EL12" s="91"/>
      <c r="EM12" s="91"/>
      <c r="EN12" s="91"/>
      <c r="EO12" s="91"/>
      <c r="EP12" s="91"/>
      <c r="EQ12" s="91"/>
      <c r="ER12" s="91"/>
      <c r="ES12" s="91"/>
      <c r="ET12" s="91"/>
      <c r="EU12" s="91"/>
      <c r="EV12" s="91"/>
      <c r="EW12" s="91"/>
      <c r="EX12" s="91"/>
      <c r="EY12" s="91"/>
      <c r="EZ12" s="91"/>
      <c r="FA12" s="91"/>
      <c r="FB12" s="91"/>
      <c r="FC12" s="91"/>
      <c r="FD12" s="91"/>
      <c r="FE12" s="91"/>
      <c r="FF12" s="91"/>
      <c r="FG12" s="91"/>
      <c r="FH12" s="91"/>
      <c r="FI12" s="91"/>
      <c r="FJ12" s="91"/>
      <c r="FK12" s="91"/>
      <c r="FL12" s="91"/>
      <c r="FM12" s="91"/>
      <c r="FN12" s="91"/>
      <c r="FO12" s="91"/>
      <c r="FP12" s="91"/>
      <c r="FQ12" s="91"/>
      <c r="FR12" s="91"/>
      <c r="FS12" s="91"/>
      <c r="FT12" s="91"/>
      <c r="FU12" s="91"/>
      <c r="FV12" s="91"/>
      <c r="FW12" s="91"/>
      <c r="FX12" s="91"/>
      <c r="FY12" s="91"/>
      <c r="FZ12" s="91"/>
      <c r="GA12" s="91"/>
      <c r="GB12" s="91"/>
      <c r="GC12" s="91"/>
      <c r="GD12" s="91"/>
      <c r="GE12" s="91"/>
      <c r="GF12" s="91"/>
      <c r="GG12" s="91"/>
      <c r="GH12" s="91"/>
      <c r="GI12" s="91"/>
      <c r="GJ12" s="91"/>
      <c r="GK12" s="91"/>
      <c r="GL12" s="91"/>
      <c r="GM12" s="91"/>
      <c r="GN12" s="91"/>
      <c r="GO12" s="91"/>
      <c r="GP12" s="91"/>
      <c r="GQ12" s="91"/>
      <c r="GR12" s="91"/>
      <c r="GS12" s="91"/>
      <c r="GT12" s="91"/>
      <c r="GU12" s="91"/>
      <c r="GV12" s="91"/>
      <c r="GW12" s="91"/>
      <c r="GX12" s="92"/>
      <c r="GY12" s="92"/>
      <c r="GZ12" s="92"/>
      <c r="HA12" s="92"/>
      <c r="HB12" s="92"/>
      <c r="HC12" s="92"/>
      <c r="HD12" s="92"/>
      <c r="HE12" s="92"/>
      <c r="HF12" s="92"/>
      <c r="HG12" s="92"/>
      <c r="HH12" s="92"/>
      <c r="HI12" s="92"/>
      <c r="HJ12" s="92"/>
      <c r="HK12" s="92"/>
      <c r="HL12" s="92"/>
      <c r="HM12" s="92"/>
      <c r="HN12" s="92"/>
      <c r="HO12" s="92"/>
      <c r="HP12" s="92"/>
      <c r="HQ12" s="91"/>
      <c r="HR12" s="91"/>
      <c r="HT12" s="91"/>
      <c r="HV12" s="91"/>
      <c r="HW12" s="91"/>
      <c r="HX12" s="91"/>
      <c r="HY12" s="91"/>
      <c r="HZ12" s="91"/>
      <c r="IA12" s="91"/>
      <c r="IB12" s="91"/>
      <c r="IC12" s="91"/>
      <c r="ID12" s="91"/>
      <c r="IE12" s="91"/>
      <c r="IF12" s="91"/>
      <c r="IG12" s="91"/>
      <c r="IH12" s="91"/>
      <c r="II12" s="91"/>
      <c r="IJ12" s="91"/>
      <c r="IK12" s="91"/>
      <c r="IL12" s="91"/>
      <c r="IM12" s="91"/>
      <c r="IN12" s="91"/>
      <c r="IO12" s="91"/>
      <c r="IP12" s="91"/>
      <c r="IQ12" s="91"/>
      <c r="IR12" s="91"/>
      <c r="IS12" s="91"/>
      <c r="IT12" s="91"/>
      <c r="IU12" s="91"/>
      <c r="IV12" s="91"/>
      <c r="IW12" s="91"/>
      <c r="IX12" s="91"/>
      <c r="JA12" s="91"/>
      <c r="JB12" s="91"/>
      <c r="JC12" s="91"/>
      <c r="JD12" s="91"/>
      <c r="JE12" s="91"/>
      <c r="JF12" s="91"/>
      <c r="JG12" s="91"/>
      <c r="JH12" s="91"/>
      <c r="JJ12" s="91"/>
      <c r="JK12" s="91"/>
      <c r="JL12" s="63">
        <v>668</v>
      </c>
      <c r="JM12" s="63">
        <v>454</v>
      </c>
      <c r="JP12" s="91"/>
      <c r="JQ12" s="91"/>
      <c r="JR12" s="91"/>
      <c r="JV12" s="91"/>
      <c r="JW12" s="63">
        <v>184</v>
      </c>
      <c r="JX12" s="91"/>
      <c r="JY12" s="91"/>
      <c r="JZ12" s="91"/>
      <c r="KA12" s="91"/>
      <c r="KB12" s="91"/>
      <c r="KC12" s="91"/>
      <c r="KD12" s="91"/>
      <c r="KE12" s="91"/>
      <c r="KF12" s="91"/>
      <c r="KG12" s="91"/>
      <c r="KH12" s="91"/>
      <c r="KI12" s="91"/>
      <c r="KJ12" s="91"/>
      <c r="KK12" s="91"/>
      <c r="KL12" s="91"/>
      <c r="KM12" s="91"/>
      <c r="KN12" s="91"/>
      <c r="KO12" s="91"/>
      <c r="KP12" s="91"/>
      <c r="KQ12" s="91"/>
      <c r="KR12" s="91"/>
      <c r="KS12" s="91"/>
      <c r="KT12" s="91"/>
      <c r="KU12" s="91"/>
      <c r="KV12" s="91"/>
      <c r="KW12" s="91"/>
      <c r="KX12" s="91"/>
      <c r="KY12" s="91"/>
      <c r="KZ12" s="91"/>
      <c r="LA12" s="91"/>
      <c r="LB12" s="91"/>
      <c r="LC12" s="91"/>
      <c r="LD12" s="91"/>
      <c r="LE12" s="91"/>
      <c r="LF12" s="91"/>
      <c r="LG12" s="91"/>
      <c r="LH12" s="91"/>
      <c r="LI12" s="91"/>
      <c r="LJ12" s="91"/>
      <c r="LK12" s="91"/>
      <c r="LL12" s="91"/>
      <c r="LM12" s="91"/>
      <c r="LN12" s="91"/>
      <c r="LO12" s="91"/>
      <c r="LP12" s="91"/>
      <c r="LQ12" s="91"/>
      <c r="LR12" s="91"/>
      <c r="LS12" s="91"/>
      <c r="LT12" s="91"/>
      <c r="LU12" s="91"/>
      <c r="LV12" s="91"/>
      <c r="LW12" s="91"/>
      <c r="LX12" s="91"/>
      <c r="LY12" s="91"/>
      <c r="LZ12" s="91"/>
      <c r="MA12" s="91"/>
      <c r="MB12" s="91"/>
      <c r="MC12" s="91"/>
      <c r="MD12" s="91"/>
      <c r="ME12" s="91"/>
      <c r="MF12" s="91"/>
      <c r="MG12" s="91"/>
      <c r="MH12" s="91"/>
      <c r="MI12" s="91"/>
      <c r="MJ12" s="91"/>
      <c r="MK12" s="91"/>
      <c r="ML12" s="91"/>
      <c r="MM12" s="91"/>
      <c r="MN12" s="91"/>
      <c r="MO12" s="91"/>
      <c r="MP12" s="91"/>
      <c r="MQ12" s="91"/>
      <c r="MR12" s="91"/>
      <c r="MS12" s="91"/>
      <c r="MT12" s="91"/>
      <c r="MU12" s="91"/>
      <c r="MV12" s="91"/>
      <c r="MW12" s="91"/>
      <c r="MX12" s="91"/>
      <c r="MY12" s="91"/>
      <c r="MZ12" s="91"/>
      <c r="NA12" s="91"/>
      <c r="NB12" s="91"/>
      <c r="NC12" s="91"/>
      <c r="ND12" s="91"/>
      <c r="NE12" s="91"/>
      <c r="NF12" s="91"/>
      <c r="NG12" s="91"/>
      <c r="NI12" s="91"/>
      <c r="NJ12" s="91"/>
      <c r="NK12" s="91"/>
      <c r="NL12" s="91"/>
      <c r="NM12" s="91"/>
      <c r="NN12" s="91"/>
      <c r="NO12" s="91"/>
      <c r="NP12" s="91"/>
      <c r="NQ12" s="91"/>
      <c r="NR12" s="91"/>
      <c r="NS12" s="91"/>
      <c r="NT12" s="91"/>
      <c r="NU12" s="91"/>
      <c r="NV12" s="91"/>
      <c r="NW12" s="91"/>
      <c r="NX12" s="91"/>
      <c r="NY12" s="91"/>
      <c r="NZ12" s="91"/>
      <c r="OA12" s="91"/>
      <c r="OB12" s="91"/>
      <c r="OC12" s="91"/>
      <c r="OD12" s="91"/>
      <c r="OE12" s="91"/>
      <c r="OF12" s="91"/>
      <c r="OG12" s="91"/>
      <c r="OH12" s="91"/>
      <c r="OI12" s="91"/>
      <c r="OJ12" s="91"/>
      <c r="OK12" s="91"/>
      <c r="OL12" s="91"/>
      <c r="OM12" s="91"/>
      <c r="ON12" s="91"/>
      <c r="OO12" s="91"/>
      <c r="OP12" s="91"/>
      <c r="OQ12" s="91"/>
      <c r="OR12" s="91"/>
      <c r="OS12" s="91"/>
      <c r="OT12" s="91"/>
      <c r="OU12" s="91"/>
      <c r="OV12" s="91"/>
      <c r="OW12" s="91"/>
      <c r="OX12" s="91"/>
      <c r="OY12" s="91"/>
      <c r="OZ12" s="91"/>
      <c r="PA12" s="91"/>
      <c r="PB12" s="91"/>
      <c r="PC12" s="91"/>
      <c r="PD12" s="91"/>
      <c r="PE12" s="91"/>
      <c r="PF12" s="91"/>
      <c r="PG12" s="91"/>
      <c r="PH12" s="91"/>
      <c r="PI12" s="91"/>
      <c r="PJ12" s="91"/>
      <c r="PK12" s="91"/>
      <c r="PL12" s="91"/>
      <c r="PM12" s="91"/>
      <c r="PN12" s="91"/>
      <c r="PO12" s="91"/>
      <c r="PP12" s="91"/>
      <c r="PQ12" s="91"/>
      <c r="PR12" s="91"/>
      <c r="PS12" s="91"/>
      <c r="PT12" s="91"/>
      <c r="PU12" s="91"/>
      <c r="PV12" s="91"/>
      <c r="PW12" s="91"/>
      <c r="PX12" s="91"/>
      <c r="PY12" s="91"/>
      <c r="PZ12" s="91"/>
      <c r="QA12" s="91"/>
      <c r="QB12" s="91"/>
      <c r="QC12" s="91"/>
      <c r="QD12" s="91"/>
      <c r="QE12" s="91"/>
      <c r="QF12" s="91"/>
      <c r="QG12" s="91"/>
      <c r="QH12" s="91"/>
      <c r="QI12" s="91"/>
      <c r="QJ12" s="91"/>
      <c r="QK12" s="91"/>
      <c r="QL12" s="91"/>
      <c r="QM12" s="91"/>
      <c r="QN12" s="91"/>
      <c r="QO12" s="91"/>
      <c r="QP12" s="91"/>
      <c r="QQ12" s="91"/>
      <c r="QR12" s="91"/>
      <c r="QS12" s="91"/>
      <c r="QT12" s="91"/>
      <c r="QU12" s="91"/>
      <c r="QV12" s="91"/>
      <c r="QW12" s="91"/>
      <c r="QY12" s="91"/>
      <c r="QZ12" s="91"/>
      <c r="RA12" s="91"/>
      <c r="RB12" s="91"/>
      <c r="RC12" s="91"/>
      <c r="RD12" s="91"/>
      <c r="RE12" s="91"/>
      <c r="RF12" s="91"/>
      <c r="RG12" s="91"/>
      <c r="RH12" s="91"/>
      <c r="RI12" s="91"/>
      <c r="RJ12" s="91"/>
      <c r="RK12" s="91"/>
      <c r="RL12" s="91"/>
      <c r="RM12" s="91"/>
      <c r="RN12" s="91"/>
      <c r="RO12" s="91"/>
      <c r="RP12" s="91"/>
      <c r="RQ12" s="91"/>
      <c r="RR12" s="91"/>
      <c r="RS12" s="91"/>
      <c r="RT12" s="91"/>
      <c r="RU12" s="91"/>
      <c r="RV12" s="91"/>
      <c r="RW12" s="91"/>
      <c r="RX12" s="91"/>
      <c r="RY12" s="91"/>
      <c r="RZ12" s="91"/>
      <c r="SA12" s="91"/>
      <c r="SB12" s="91"/>
      <c r="SC12" s="91"/>
      <c r="SD12" s="91"/>
      <c r="SE12" s="91"/>
      <c r="SF12" s="91"/>
      <c r="SG12" s="91"/>
      <c r="SH12" s="91"/>
      <c r="SI12" s="91"/>
      <c r="SJ12" s="91"/>
      <c r="SK12" s="91"/>
      <c r="SL12" s="91"/>
      <c r="SM12" s="91"/>
      <c r="SN12" s="91"/>
      <c r="SO12" s="91"/>
      <c r="SP12" s="91"/>
      <c r="SQ12" s="91"/>
      <c r="SR12" s="91"/>
      <c r="SS12" s="91"/>
      <c r="ST12" s="91"/>
      <c r="SU12" s="91"/>
      <c r="SV12" s="91"/>
      <c r="SW12" s="91"/>
      <c r="SX12" s="91"/>
      <c r="SY12" s="91"/>
      <c r="SZ12" s="91"/>
      <c r="TA12" s="91"/>
      <c r="TB12" s="91"/>
      <c r="TC12" s="93"/>
      <c r="TD12" s="93"/>
      <c r="TE12" s="93"/>
      <c r="TF12" s="93"/>
      <c r="TG12" s="63">
        <v>1151</v>
      </c>
      <c r="TH12" s="63">
        <v>804</v>
      </c>
      <c r="TI12" s="63">
        <v>847</v>
      </c>
      <c r="TK12" s="93"/>
      <c r="TL12" s="63">
        <v>772</v>
      </c>
      <c r="TM12" s="91"/>
      <c r="TQ12" s="91"/>
      <c r="TR12" s="91"/>
      <c r="TS12" s="63">
        <v>577</v>
      </c>
      <c r="TY12" s="91"/>
      <c r="TZ12" s="91"/>
      <c r="UA12" s="91"/>
      <c r="UB12" s="63">
        <v>365</v>
      </c>
      <c r="UF12" s="91"/>
      <c r="UG12" s="91"/>
      <c r="UH12" s="91"/>
      <c r="UI12" s="91"/>
      <c r="UJ12" s="91"/>
      <c r="UK12" s="91"/>
      <c r="UL12" s="91"/>
      <c r="UM12" s="91"/>
      <c r="UN12" s="91"/>
      <c r="UO12" s="91"/>
      <c r="UP12" s="91"/>
      <c r="UQ12" s="91"/>
      <c r="UR12" s="91"/>
      <c r="US12" s="91"/>
      <c r="UT12" s="91"/>
      <c r="UU12" s="91"/>
      <c r="UV12" s="91"/>
      <c r="UW12" s="91"/>
      <c r="UX12" s="91"/>
      <c r="UY12" s="91"/>
      <c r="UZ12" s="91"/>
      <c r="VA12" s="91"/>
      <c r="VB12" s="91"/>
      <c r="VC12" s="91"/>
      <c r="VD12" s="91"/>
      <c r="VE12" s="91"/>
      <c r="VF12" s="91"/>
      <c r="VG12" s="91"/>
      <c r="VH12" s="91"/>
      <c r="VI12" s="91"/>
      <c r="VJ12" s="91"/>
      <c r="VK12" s="91"/>
      <c r="VL12" s="91"/>
      <c r="VM12" s="91"/>
      <c r="VN12" s="91"/>
      <c r="VO12" s="91"/>
      <c r="VP12" s="91"/>
      <c r="VQ12" s="91"/>
      <c r="VR12" s="91"/>
      <c r="VS12" s="91"/>
      <c r="VT12" s="91"/>
      <c r="VU12" s="91"/>
      <c r="VV12" s="91"/>
      <c r="VW12" s="91"/>
      <c r="VX12" s="91"/>
      <c r="VY12" s="91"/>
      <c r="VZ12" s="91"/>
      <c r="WA12" s="91"/>
      <c r="WB12" s="91"/>
      <c r="WC12" s="91"/>
      <c r="WD12" s="91"/>
      <c r="WE12" s="91"/>
      <c r="WF12" s="91"/>
      <c r="WG12" s="91"/>
      <c r="WH12" s="91"/>
      <c r="WI12" s="91"/>
      <c r="WJ12" s="91"/>
      <c r="WK12" s="91"/>
      <c r="WL12" s="91"/>
      <c r="WM12" s="91"/>
      <c r="WN12" s="91"/>
      <c r="WO12" s="91"/>
      <c r="WP12" s="91"/>
      <c r="WQ12" s="91"/>
      <c r="WR12" s="91"/>
      <c r="WS12" s="91"/>
      <c r="WT12" s="91"/>
      <c r="WU12" s="91"/>
      <c r="WV12" s="91"/>
      <c r="WW12" s="91"/>
      <c r="WX12" s="91"/>
      <c r="WY12" s="91"/>
      <c r="WZ12" s="91"/>
      <c r="XA12" s="91"/>
      <c r="XB12" s="91"/>
      <c r="XC12" s="91"/>
      <c r="XD12" s="91"/>
      <c r="XE12" s="91"/>
      <c r="XF12" s="91"/>
      <c r="XG12" s="91"/>
      <c r="XH12" s="91"/>
      <c r="XI12" s="91"/>
      <c r="XJ12" s="91"/>
      <c r="XK12" s="91"/>
      <c r="XL12" s="91"/>
      <c r="XM12" s="91"/>
      <c r="XN12" s="91"/>
      <c r="XO12" s="91"/>
      <c r="XT12" s="91"/>
      <c r="XU12" s="91"/>
      <c r="XV12" s="91"/>
      <c r="XW12" s="91"/>
      <c r="XX12" s="91"/>
      <c r="XY12" s="91"/>
      <c r="XZ12" s="91"/>
      <c r="YA12" s="91"/>
      <c r="YB12" s="91"/>
      <c r="YC12" s="91"/>
      <c r="YD12" s="91"/>
      <c r="YE12" s="91"/>
      <c r="YF12" s="91"/>
      <c r="YG12" s="91"/>
      <c r="YH12" s="91"/>
      <c r="YI12" s="91"/>
      <c r="YJ12" s="91"/>
      <c r="YK12" s="91"/>
      <c r="YL12" s="91"/>
      <c r="YM12" s="91"/>
      <c r="YN12" s="91"/>
      <c r="YO12" s="91"/>
      <c r="YP12" s="91"/>
      <c r="YQ12" s="91"/>
      <c r="YR12" s="91"/>
      <c r="YS12" s="91"/>
      <c r="YT12" s="91"/>
      <c r="YU12" s="91"/>
      <c r="YV12" s="91"/>
      <c r="YW12" s="91"/>
      <c r="YX12" s="91"/>
      <c r="YY12" s="91"/>
      <c r="YZ12" s="91"/>
      <c r="ZA12" s="91"/>
      <c r="ZB12" s="91"/>
      <c r="ZC12" s="91"/>
      <c r="ZD12" s="91"/>
      <c r="ZE12" s="91"/>
      <c r="ZF12" s="91"/>
      <c r="ZG12" s="91"/>
      <c r="ZH12" s="91"/>
      <c r="ZI12" s="91"/>
      <c r="ZJ12" s="91"/>
      <c r="ZK12" s="91"/>
      <c r="ZL12" s="91"/>
      <c r="ZM12" s="91"/>
      <c r="ZN12" s="91"/>
      <c r="ZO12" s="91"/>
      <c r="ZP12" s="91"/>
      <c r="ZQ12" s="91"/>
      <c r="ZR12" s="92"/>
      <c r="ZS12" s="92"/>
      <c r="ZT12" s="92"/>
      <c r="ZU12" s="92"/>
      <c r="ZV12" s="92"/>
      <c r="ZW12" s="92"/>
      <c r="ZX12" s="92"/>
      <c r="ZY12" s="92"/>
      <c r="ZZ12" s="92"/>
      <c r="AAA12" s="92"/>
      <c r="AAB12" s="92"/>
      <c r="AAC12" s="92"/>
      <c r="AAD12" s="92"/>
      <c r="AAE12" s="92"/>
      <c r="AAF12" s="92"/>
      <c r="AAG12" s="92"/>
      <c r="AAH12" s="92"/>
      <c r="AAI12" s="92"/>
      <c r="AAJ12" s="92"/>
      <c r="AAK12" s="92"/>
      <c r="AAL12" s="92"/>
      <c r="AAM12" s="92"/>
      <c r="AAN12" s="92"/>
      <c r="AAO12" s="92"/>
      <c r="AAP12" s="92"/>
      <c r="AAQ12" s="92"/>
      <c r="AAR12" s="92"/>
      <c r="AAS12" s="92"/>
      <c r="AAT12" s="92"/>
      <c r="AAU12" s="92"/>
      <c r="AAV12" s="92"/>
      <c r="AAW12" s="92"/>
      <c r="AAX12" s="91"/>
      <c r="AAY12" s="91"/>
      <c r="AAZ12" s="91"/>
      <c r="ABA12" s="91"/>
      <c r="ABB12" s="91"/>
      <c r="ABC12" s="91"/>
      <c r="ABD12" s="91"/>
      <c r="ABE12" s="91"/>
      <c r="ABF12" s="91"/>
      <c r="ABG12" s="91"/>
      <c r="ABH12" s="91"/>
      <c r="ABI12" s="91"/>
      <c r="ABJ12" s="91"/>
      <c r="ABK12" s="91"/>
      <c r="ABL12" s="91"/>
      <c r="ABM12" s="91"/>
      <c r="ABN12" s="91"/>
      <c r="ABO12" s="91"/>
      <c r="ABP12" s="91"/>
      <c r="ABQ12" s="91"/>
      <c r="ABR12" s="91"/>
      <c r="ABS12" s="91"/>
      <c r="ABT12" s="91"/>
      <c r="ABU12" s="91"/>
      <c r="ABV12" s="91"/>
      <c r="ABW12" s="91"/>
      <c r="ABX12" s="91"/>
      <c r="ABY12" s="91"/>
      <c r="ABZ12" s="91"/>
      <c r="ACA12" s="91"/>
      <c r="ACB12" s="91"/>
      <c r="ACC12" s="91"/>
      <c r="ACD12" s="91"/>
      <c r="ACE12" s="91"/>
      <c r="ACF12" s="91"/>
      <c r="ACG12" s="91"/>
      <c r="ACH12" s="91"/>
      <c r="ACI12" s="91"/>
      <c r="ACJ12" s="91"/>
      <c r="ACK12" s="91"/>
      <c r="ACL12" s="91"/>
      <c r="ACM12" s="91"/>
      <c r="ACN12" s="91"/>
      <c r="ACO12" s="91"/>
      <c r="ACP12" s="91"/>
      <c r="ACQ12" s="91"/>
      <c r="ACR12" s="91"/>
      <c r="ACS12" s="91"/>
      <c r="ACT12" s="91"/>
      <c r="ACU12" s="91"/>
      <c r="ACV12" s="91"/>
      <c r="ACW12" s="91"/>
      <c r="ACX12" s="91"/>
      <c r="ACY12" s="91"/>
      <c r="ACZ12" s="91"/>
      <c r="ADA12" s="91"/>
      <c r="ADB12" s="91"/>
      <c r="ADC12" s="91"/>
      <c r="ADD12" s="91"/>
      <c r="ADE12" s="91"/>
      <c r="ADF12" s="91"/>
      <c r="ADG12" s="91"/>
      <c r="ADH12" s="91"/>
      <c r="ADI12" s="91"/>
      <c r="ADJ12" s="91"/>
      <c r="ADK12" s="91"/>
      <c r="ADL12" s="91"/>
      <c r="ADM12" s="91"/>
      <c r="ADN12" s="91"/>
      <c r="ADO12" s="91"/>
      <c r="ADP12" s="91"/>
      <c r="ADQ12" s="91"/>
      <c r="ADR12" s="91"/>
      <c r="ADS12" s="91"/>
      <c r="ADT12" s="91"/>
      <c r="ADU12" s="91"/>
      <c r="ADV12" s="91"/>
      <c r="ADW12" s="91"/>
      <c r="ADX12" s="91"/>
      <c r="ADY12" s="91"/>
      <c r="ADZ12" s="91"/>
      <c r="AEA12" s="91"/>
      <c r="AEB12" s="91"/>
      <c r="AEC12" s="91"/>
      <c r="AED12" s="91"/>
      <c r="AEE12" s="91"/>
      <c r="AEF12" s="91"/>
      <c r="AEG12" s="91"/>
      <c r="AEH12" s="91"/>
      <c r="AEI12" s="91"/>
      <c r="AEJ12" s="91"/>
      <c r="AEK12" s="91"/>
      <c r="AEL12" s="91"/>
      <c r="AEM12" s="91"/>
      <c r="AEN12" s="91"/>
      <c r="AEO12" s="91"/>
      <c r="AEP12" s="91"/>
      <c r="AEQ12" s="91"/>
      <c r="AER12" s="91"/>
      <c r="AES12" s="91"/>
      <c r="AET12" s="91"/>
      <c r="AEU12" s="92"/>
      <c r="AEV12" s="92"/>
      <c r="AEW12" s="92"/>
      <c r="AEX12" s="92"/>
      <c r="AEY12" s="92"/>
      <c r="AEZ12" s="92"/>
      <c r="AFA12" s="92"/>
      <c r="AFB12" s="92"/>
      <c r="AFC12" s="92"/>
      <c r="AFD12" s="92"/>
      <c r="AFE12" s="92"/>
      <c r="AFF12" s="92"/>
      <c r="AFG12" s="92"/>
      <c r="AFH12" s="92"/>
      <c r="AFI12" s="92"/>
      <c r="AFJ12" s="92"/>
      <c r="AFK12" s="92"/>
      <c r="AFL12" s="92"/>
      <c r="AFM12" s="92"/>
      <c r="AFN12" s="92"/>
      <c r="AFO12" s="92"/>
      <c r="AFP12" s="92"/>
      <c r="AFQ12" s="92"/>
      <c r="AFR12" s="92"/>
      <c r="AFS12" s="92"/>
      <c r="AFT12" s="92"/>
      <c r="AFU12" s="92"/>
      <c r="AFV12" s="92"/>
      <c r="AFW12" s="92"/>
      <c r="AFX12" s="92"/>
      <c r="AFY12" s="92"/>
      <c r="AFZ12" s="92"/>
      <c r="AGA12" s="92"/>
      <c r="AGB12" s="92"/>
      <c r="AGC12" s="92"/>
      <c r="AGD12" s="92"/>
      <c r="AGE12" s="92"/>
      <c r="AGF12" s="92"/>
      <c r="AGG12" s="91"/>
      <c r="AGH12" s="91"/>
      <c r="AGI12" s="91"/>
      <c r="AGJ12" s="91"/>
      <c r="AGK12" s="91"/>
      <c r="AGL12" s="91"/>
      <c r="AGM12" s="91"/>
      <c r="AGN12" s="91"/>
      <c r="AGO12" s="91"/>
      <c r="AGP12" s="91"/>
      <c r="AGQ12" s="91"/>
      <c r="AGR12" s="91"/>
      <c r="AGS12" s="91"/>
      <c r="AGT12" s="91"/>
      <c r="AGU12" s="91"/>
      <c r="AGV12" s="91"/>
      <c r="AGW12" s="91"/>
      <c r="AGX12" s="91"/>
      <c r="AGY12" s="91"/>
      <c r="AGZ12" s="91"/>
      <c r="AHA12" s="91"/>
      <c r="AHB12" s="91"/>
      <c r="AHC12" s="91"/>
      <c r="AHD12" s="91"/>
      <c r="AHE12" s="91"/>
      <c r="AHF12" s="91"/>
      <c r="AHG12" s="91"/>
      <c r="AHH12" s="91"/>
      <c r="AHI12" s="91"/>
      <c r="AHJ12" s="91"/>
      <c r="AHK12" s="91"/>
      <c r="AHL12" s="91"/>
      <c r="AHM12" s="91"/>
      <c r="AHN12" s="91"/>
      <c r="AHO12" s="91"/>
      <c r="AHP12" s="91"/>
      <c r="AHQ12" s="91"/>
      <c r="AHR12" s="91"/>
      <c r="AHS12" s="91"/>
      <c r="AHT12" s="91"/>
      <c r="AHU12" s="91"/>
      <c r="AHV12" s="91"/>
      <c r="AHW12" s="91"/>
      <c r="AHX12" s="91"/>
      <c r="AHY12" s="91"/>
      <c r="AHZ12" s="91"/>
      <c r="AIA12" s="91"/>
      <c r="AIB12" s="91"/>
      <c r="AIC12" s="91"/>
      <c r="AID12" s="91"/>
      <c r="AIE12" s="91"/>
      <c r="AIF12" s="91"/>
      <c r="AIG12" s="92"/>
      <c r="AIH12" s="92"/>
      <c r="AII12" s="92"/>
      <c r="AIJ12" s="91"/>
      <c r="AIK12" s="91"/>
      <c r="AIL12" s="91"/>
      <c r="AIM12" s="91"/>
      <c r="AIN12" s="91"/>
      <c r="AIO12" s="91"/>
      <c r="AIP12" s="91"/>
      <c r="AIQ12" s="91"/>
      <c r="AIR12" s="91"/>
      <c r="AIS12" s="91"/>
      <c r="AIT12" s="91"/>
      <c r="AIU12" s="91"/>
      <c r="AIV12" s="91"/>
      <c r="AIW12" s="91"/>
      <c r="AIX12" s="91"/>
      <c r="AIY12" s="91"/>
      <c r="AIZ12" s="91"/>
      <c r="AJA12" s="91"/>
      <c r="AJB12" s="91"/>
      <c r="AJC12" s="91"/>
      <c r="AJD12" s="91"/>
      <c r="AJE12" s="91"/>
      <c r="AJF12" s="91"/>
      <c r="AJG12" s="91"/>
      <c r="AJH12" s="91"/>
      <c r="AJI12" s="91"/>
      <c r="AJJ12" s="63">
        <v>0.76</v>
      </c>
      <c r="AJK12" s="63">
        <v>0.53</v>
      </c>
      <c r="AJL12" s="63">
        <v>0.86</v>
      </c>
      <c r="AJN12" s="92"/>
      <c r="AJO12" s="63">
        <v>0.71</v>
      </c>
      <c r="AJT12" s="91"/>
      <c r="AJU12" s="63">
        <v>0.79</v>
      </c>
      <c r="AJY12" s="91"/>
      <c r="AJZ12" s="91"/>
      <c r="AKC12" s="91"/>
      <c r="AKD12" s="91"/>
      <c r="AKE12" s="63">
        <v>0.69</v>
      </c>
      <c r="AKK12" s="91"/>
      <c r="AKL12" s="91"/>
      <c r="AKM12" s="91"/>
      <c r="AKN12" s="91"/>
      <c r="AKO12" s="91"/>
      <c r="AKP12" s="91"/>
      <c r="AKQ12" s="91"/>
      <c r="AKR12" s="91"/>
      <c r="AKS12" s="91"/>
      <c r="AKT12" s="91"/>
      <c r="AKU12" s="91"/>
      <c r="AKV12" s="91"/>
      <c r="AKW12" s="91"/>
      <c r="AKX12" s="92"/>
      <c r="AKY12" s="92"/>
      <c r="AKZ12" s="91"/>
      <c r="ALA12" s="91"/>
      <c r="ALB12" s="91"/>
      <c r="ALC12" s="91"/>
      <c r="ALD12" s="91"/>
      <c r="ALE12" s="91"/>
      <c r="ALF12" s="91"/>
      <c r="ALG12" s="91"/>
      <c r="ALH12" s="91"/>
      <c r="ALI12" s="91"/>
      <c r="ALJ12" s="91"/>
      <c r="ALK12" s="91"/>
      <c r="ALL12" s="91"/>
      <c r="ALM12" s="91"/>
      <c r="ALN12" s="91"/>
      <c r="ALO12" s="91"/>
      <c r="ALP12" s="91"/>
      <c r="ALQ12" s="91"/>
      <c r="ALR12" s="91"/>
      <c r="ALS12" s="91"/>
      <c r="ALT12" s="91"/>
      <c r="ALU12" s="91"/>
      <c r="ALV12" s="91"/>
      <c r="ALW12" s="91"/>
      <c r="ALX12" s="91"/>
      <c r="ALY12" s="91"/>
      <c r="ALZ12" s="91"/>
      <c r="AMA12" s="91"/>
      <c r="AMB12" s="91"/>
      <c r="AMC12" s="91"/>
      <c r="AMD12" s="91"/>
      <c r="AME12" s="91"/>
      <c r="AMF12" s="91"/>
      <c r="AMG12" s="91"/>
      <c r="AMH12" s="91"/>
      <c r="AMI12" s="91"/>
      <c r="AMJ12" s="91"/>
      <c r="AMK12" s="91"/>
      <c r="AML12" s="91"/>
      <c r="AMM12" s="91"/>
      <c r="AMN12" s="91"/>
      <c r="AMO12" s="91"/>
      <c r="AMP12" s="91"/>
      <c r="AMQ12" s="91"/>
      <c r="AMR12" s="91"/>
      <c r="AMS12" s="91"/>
      <c r="AMT12" s="91"/>
      <c r="AMU12" s="91"/>
      <c r="AMV12" s="91"/>
      <c r="AMW12" s="91"/>
      <c r="AMX12" s="91"/>
      <c r="AMY12" s="91"/>
      <c r="AMZ12" s="91"/>
      <c r="ANA12" s="91"/>
      <c r="ANB12" s="91"/>
      <c r="ANC12" s="91"/>
      <c r="AND12" s="91"/>
      <c r="ANE12" s="91"/>
      <c r="ANF12" s="91"/>
      <c r="ANG12" s="91"/>
      <c r="ANH12" s="91"/>
      <c r="ANI12" s="91"/>
      <c r="ANJ12" s="91"/>
      <c r="ANK12" s="91"/>
      <c r="ANL12" s="91"/>
      <c r="ANM12" s="91"/>
      <c r="ANN12" s="91"/>
      <c r="ANO12" s="91"/>
      <c r="ANP12" s="91"/>
      <c r="ANQ12" s="91"/>
      <c r="ANR12" s="91"/>
      <c r="ANS12" s="91"/>
      <c r="ANT12" s="91"/>
      <c r="ANU12" s="91"/>
      <c r="ANV12" s="91"/>
      <c r="ANW12" s="91"/>
      <c r="ANX12" s="91"/>
      <c r="ANY12" s="91"/>
      <c r="ANZ12" s="91"/>
      <c r="AOA12" s="91"/>
      <c r="AOB12" s="91"/>
      <c r="AOC12" s="91"/>
      <c r="AOD12" s="91"/>
      <c r="AOE12" s="91"/>
      <c r="AOF12" s="91"/>
      <c r="AOG12" s="91"/>
      <c r="AOH12" s="91"/>
      <c r="AOI12" s="91"/>
      <c r="AOJ12" s="91"/>
      <c r="AOK12" s="91"/>
      <c r="AOL12" s="91"/>
      <c r="AOM12" s="91"/>
      <c r="AON12" s="91"/>
      <c r="AOO12" s="91"/>
      <c r="AOP12" s="91"/>
      <c r="AOQ12" s="91"/>
      <c r="AOR12" s="91"/>
      <c r="AOS12" s="91"/>
      <c r="AOT12" s="91"/>
      <c r="AOU12" s="91"/>
      <c r="AOV12" s="91"/>
      <c r="AOW12" s="91"/>
      <c r="AOX12" s="91"/>
      <c r="AOY12" s="91"/>
      <c r="AOZ12" s="91"/>
      <c r="APA12" s="91"/>
      <c r="APB12" s="91"/>
      <c r="APC12" s="91"/>
      <c r="APD12" s="91"/>
      <c r="APE12" s="91"/>
      <c r="APF12" s="91"/>
      <c r="APG12" s="91"/>
      <c r="APH12" s="91"/>
      <c r="API12" s="91"/>
      <c r="APJ12" s="91"/>
      <c r="APK12" s="91"/>
      <c r="APL12" s="91"/>
      <c r="APM12" s="91"/>
      <c r="APN12" s="91"/>
      <c r="APO12" s="91"/>
      <c r="APP12" s="91"/>
      <c r="APQ12" s="91"/>
      <c r="APR12" s="91"/>
      <c r="APS12" s="91"/>
      <c r="APT12" s="91"/>
      <c r="APU12" s="91"/>
      <c r="APV12" s="91"/>
      <c r="APW12" s="91"/>
      <c r="APX12" s="91"/>
      <c r="APY12" s="91"/>
      <c r="APZ12" s="91"/>
      <c r="AQA12" s="91"/>
      <c r="AQB12" s="91"/>
      <c r="AQC12" s="91"/>
      <c r="AQD12" s="91"/>
      <c r="AQE12" s="91"/>
      <c r="ARV12" s="93"/>
      <c r="ARW12" s="93"/>
      <c r="ARX12" s="93"/>
      <c r="ARY12" s="93"/>
      <c r="ARZ12" s="93"/>
      <c r="ASA12" s="93"/>
      <c r="ASB12" s="93"/>
      <c r="ASC12" s="93"/>
      <c r="ASD12" s="91"/>
      <c r="ASE12" s="91"/>
      <c r="ASF12" s="91"/>
      <c r="ASG12" s="91"/>
      <c r="ASH12" s="91"/>
      <c r="ASI12" s="91"/>
      <c r="ASJ12" s="91"/>
      <c r="ASK12" s="91"/>
      <c r="ASL12" s="91"/>
      <c r="ASM12" s="91"/>
      <c r="ASN12" s="91"/>
      <c r="ASO12" s="91"/>
      <c r="ASP12" s="91"/>
      <c r="ASQ12" s="91"/>
      <c r="ASR12" s="91"/>
      <c r="ASS12" s="91"/>
      <c r="AST12" s="91"/>
      <c r="ASU12" s="91"/>
      <c r="ASV12" s="91"/>
      <c r="ASW12" s="91"/>
      <c r="ASX12" s="91"/>
      <c r="ASY12" s="91"/>
      <c r="ASZ12" s="91"/>
      <c r="ATA12" s="91"/>
      <c r="ATB12" s="91"/>
      <c r="ATC12" s="91"/>
      <c r="ATD12" s="91"/>
      <c r="ATE12" s="91"/>
      <c r="ATF12" s="91"/>
      <c r="ATG12" s="91"/>
      <c r="ATH12" s="91"/>
      <c r="ATI12" s="91"/>
      <c r="ATJ12" s="91"/>
      <c r="ATK12" s="91"/>
      <c r="ATL12" s="91"/>
      <c r="ATM12" s="91"/>
      <c r="ATN12" s="91"/>
      <c r="ATO12" s="91"/>
      <c r="ATP12" s="91"/>
      <c r="ATQ12" s="92"/>
      <c r="ATR12" s="92"/>
      <c r="ATS12" s="92"/>
      <c r="ATT12" s="92"/>
      <c r="ATU12" s="92"/>
      <c r="ATV12" s="91"/>
      <c r="ATW12" s="91"/>
      <c r="ATX12" s="91"/>
      <c r="ATY12" s="91"/>
      <c r="ATZ12" s="91"/>
      <c r="AUA12" s="91"/>
      <c r="AUB12" s="91"/>
      <c r="AUC12" s="91"/>
      <c r="AUD12" s="91"/>
      <c r="AUE12" s="91"/>
      <c r="AUF12" s="91"/>
      <c r="AUG12" s="91"/>
      <c r="AUH12" s="91"/>
      <c r="AUI12" s="91"/>
      <c r="AUJ12" s="91"/>
      <c r="AUK12" s="91"/>
      <c r="AUL12" s="91"/>
      <c r="AUM12" s="91"/>
      <c r="AUN12" s="91"/>
      <c r="AUO12" s="91"/>
      <c r="AUP12" s="91"/>
      <c r="AUQ12" s="91"/>
      <c r="AUR12" s="91"/>
      <c r="AUS12" s="91"/>
      <c r="AUT12" s="91"/>
      <c r="AUU12" s="91"/>
      <c r="AUV12" s="91"/>
      <c r="AUW12" s="91"/>
      <c r="AUX12" s="91"/>
      <c r="AUY12" s="91"/>
      <c r="AUZ12" s="91"/>
      <c r="AVA12" s="91"/>
      <c r="AVB12" s="91"/>
      <c r="AVC12" s="91"/>
      <c r="AVD12" s="91"/>
      <c r="AVE12" s="91"/>
      <c r="AVF12" s="91"/>
      <c r="AVG12" s="91"/>
      <c r="AVH12" s="91"/>
      <c r="AVI12" s="91"/>
      <c r="AVJ12" s="91"/>
      <c r="AVK12" s="91"/>
      <c r="AVL12" s="91"/>
      <c r="AVM12" s="91"/>
      <c r="AVN12" s="91"/>
      <c r="AVO12" s="91"/>
      <c r="AVP12" s="91"/>
      <c r="AVQ12" s="91"/>
      <c r="AVR12" s="91"/>
      <c r="AVS12" s="91"/>
      <c r="AVT12" s="91"/>
      <c r="AVU12" s="91"/>
      <c r="AVV12" s="91"/>
      <c r="AVW12" s="91"/>
      <c r="AVX12" s="91"/>
      <c r="AVY12" s="91"/>
      <c r="AVZ12" s="91"/>
      <c r="AWA12" s="91"/>
      <c r="AWB12" s="91"/>
      <c r="AWC12" s="91"/>
      <c r="AWD12" s="91"/>
      <c r="AWE12" s="91"/>
      <c r="AWF12" s="91"/>
      <c r="AWG12" s="91"/>
      <c r="AWH12" s="91"/>
      <c r="AWI12" s="91"/>
      <c r="AWJ12" s="91"/>
      <c r="AWK12" s="91"/>
      <c r="AWL12" s="91"/>
      <c r="AWM12" s="91"/>
      <c r="AWN12" s="91"/>
      <c r="AWO12" s="91"/>
      <c r="AWP12" s="91"/>
      <c r="AWQ12" s="91"/>
      <c r="AWR12" s="91"/>
      <c r="AWS12" s="91"/>
      <c r="AWT12" s="91"/>
      <c r="AWU12" s="91"/>
      <c r="AWV12" s="91"/>
      <c r="AWW12" s="91"/>
      <c r="AWX12" s="91"/>
      <c r="AWY12" s="91"/>
      <c r="AWZ12" s="91"/>
      <c r="AXA12" s="91"/>
      <c r="AXB12" s="91"/>
      <c r="AXC12" s="91"/>
      <c r="AXD12" s="91"/>
      <c r="AXE12" s="91"/>
      <c r="AXF12" s="91"/>
      <c r="AXG12" s="91"/>
      <c r="AXH12" s="91"/>
      <c r="AXI12" s="91"/>
      <c r="AXJ12" s="91"/>
      <c r="AXK12" s="91"/>
      <c r="AXL12" s="91"/>
      <c r="AXM12" s="91"/>
      <c r="AXN12" s="91"/>
      <c r="AXO12" s="91"/>
      <c r="AXP12" s="91"/>
      <c r="AXQ12" s="91"/>
      <c r="AXR12" s="91"/>
      <c r="AXS12" s="91"/>
      <c r="AXT12" s="91"/>
      <c r="AXU12" s="91"/>
      <c r="AXV12" s="91"/>
      <c r="AXW12" s="91"/>
      <c r="AXX12" s="91"/>
      <c r="AXY12" s="91"/>
      <c r="AXZ12" s="91"/>
      <c r="AYA12" s="91"/>
      <c r="AYB12" s="91"/>
      <c r="AYC12" s="91"/>
      <c r="AYD12" s="91"/>
      <c r="AYE12" s="91"/>
      <c r="AYF12" s="91"/>
      <c r="AYG12" s="91"/>
      <c r="AYH12" s="91"/>
      <c r="AYI12" s="91"/>
      <c r="AYJ12" s="91"/>
      <c r="AYK12" s="91"/>
      <c r="AYL12" s="91"/>
      <c r="AYM12" s="91"/>
      <c r="AYN12" s="91"/>
      <c r="AYO12" s="91"/>
      <c r="AYP12" s="91"/>
      <c r="AYQ12" s="91"/>
      <c r="AYR12" s="91"/>
      <c r="AYS12" s="91"/>
      <c r="AYT12" s="91"/>
      <c r="AYU12" s="91"/>
      <c r="AYV12" s="91"/>
      <c r="AYW12" s="91"/>
      <c r="AYX12" s="91"/>
      <c r="AYY12" s="91"/>
      <c r="AYZ12" s="91"/>
      <c r="AZA12" s="91"/>
      <c r="AZB12" s="91"/>
      <c r="AZC12" s="91"/>
      <c r="AZD12" s="91"/>
      <c r="AZE12" s="91"/>
      <c r="AZF12" s="91"/>
      <c r="AZG12" s="91"/>
      <c r="AZH12" s="91"/>
      <c r="AZI12" s="91"/>
      <c r="AZJ12" s="91"/>
      <c r="AZK12" s="91"/>
      <c r="AZL12" s="91"/>
      <c r="AZM12" s="91"/>
      <c r="AZN12" s="91"/>
      <c r="AZO12" s="91"/>
      <c r="AZP12" s="91"/>
      <c r="AZQ12" s="91"/>
      <c r="AZR12" s="91"/>
      <c r="AZS12" s="91"/>
      <c r="AZT12" s="91"/>
      <c r="AZU12" s="91"/>
      <c r="AZV12" s="91"/>
      <c r="AZW12" s="91"/>
      <c r="AZX12" s="91"/>
      <c r="AZY12" s="91"/>
      <c r="AZZ12" s="91"/>
      <c r="BAA12" s="91"/>
      <c r="BAB12" s="91"/>
      <c r="BAC12" s="91"/>
      <c r="BAD12" s="91"/>
      <c r="BAE12" s="91"/>
      <c r="BAF12" s="91"/>
      <c r="BAG12" s="91"/>
      <c r="BAH12" s="91"/>
      <c r="BAI12" s="91"/>
      <c r="BAJ12" s="91"/>
      <c r="BAK12" s="91"/>
      <c r="BAL12" s="91"/>
      <c r="BAM12" s="91"/>
      <c r="BAN12" s="91"/>
      <c r="BAO12" s="91"/>
      <c r="BAP12" s="91"/>
      <c r="BAQ12" s="91"/>
      <c r="BAR12" s="91"/>
      <c r="BAS12" s="91"/>
      <c r="BAT12" s="91"/>
      <c r="BAU12" s="91"/>
      <c r="BAV12" s="91"/>
      <c r="BAW12" s="91"/>
      <c r="BAX12" s="91"/>
      <c r="BAY12" s="91"/>
      <c r="BAZ12" s="91"/>
      <c r="BBA12" s="91"/>
      <c r="BBB12" s="91"/>
      <c r="BBC12" s="91"/>
      <c r="BBD12" s="91"/>
      <c r="BBE12" s="91"/>
      <c r="BBF12" s="91"/>
      <c r="BBG12" s="91"/>
      <c r="BBH12" s="91"/>
      <c r="BBI12" s="91"/>
      <c r="BBJ12" s="91"/>
      <c r="BBK12" s="91"/>
      <c r="BBL12" s="91"/>
      <c r="BBM12" s="91"/>
      <c r="BBN12" s="91"/>
      <c r="BBO12" s="91"/>
      <c r="BBP12" s="91"/>
      <c r="BBQ12" s="91"/>
      <c r="BBR12" s="91"/>
      <c r="BBS12" s="91"/>
      <c r="BBT12" s="91"/>
      <c r="BBU12" s="91"/>
      <c r="BBV12" s="91"/>
      <c r="BBW12" s="91"/>
      <c r="BBX12" s="91"/>
      <c r="BBY12" s="91"/>
      <c r="BBZ12" s="91"/>
      <c r="BCA12" s="91"/>
      <c r="BCB12" s="91"/>
      <c r="BCC12" s="91"/>
      <c r="BCD12" s="91"/>
      <c r="BCE12" s="91"/>
      <c r="BCF12" s="91"/>
      <c r="BCG12" s="91"/>
      <c r="BCH12" s="91"/>
      <c r="BCI12" s="91"/>
      <c r="BCJ12" s="91"/>
      <c r="BCK12" s="91"/>
      <c r="BCL12" s="91"/>
      <c r="BCM12" s="91"/>
      <c r="BCN12" s="91"/>
      <c r="BCO12" s="91"/>
      <c r="BCP12" s="91"/>
      <c r="BCQ12" s="91"/>
      <c r="BCR12" s="91"/>
      <c r="BCS12" s="91"/>
      <c r="BCT12" s="91"/>
      <c r="BCU12" s="91"/>
      <c r="BCV12" s="91"/>
      <c r="BCW12" s="91"/>
      <c r="BCX12" s="91"/>
      <c r="BCY12" s="91"/>
      <c r="BCZ12" s="91"/>
      <c r="BDA12" s="91"/>
      <c r="BDB12" s="91"/>
      <c r="BDC12" s="91"/>
      <c r="BDD12" s="91"/>
      <c r="BDE12" s="91"/>
      <c r="BDF12" s="91"/>
      <c r="BDG12" s="91"/>
      <c r="BDH12" s="91"/>
      <c r="BDI12" s="91"/>
      <c r="BDJ12" s="91"/>
      <c r="BDK12" s="91"/>
      <c r="BDL12" s="91"/>
      <c r="BDM12" s="91"/>
      <c r="BDN12" s="91"/>
      <c r="BDO12" s="91"/>
      <c r="BDP12" s="91"/>
      <c r="BDQ12" s="91"/>
      <c r="BDR12" s="91"/>
      <c r="BDS12" s="91"/>
      <c r="BDT12" s="91"/>
      <c r="BDU12" s="91"/>
      <c r="BDV12" s="91"/>
      <c r="BDW12" s="91"/>
      <c r="BDX12" s="91"/>
      <c r="BDY12" s="91"/>
      <c r="BDZ12" s="91"/>
      <c r="BEA12" s="91"/>
      <c r="BEB12" s="91"/>
      <c r="BEC12" s="91"/>
      <c r="BED12" s="91"/>
      <c r="BEE12" s="91"/>
      <c r="BEF12" s="91"/>
      <c r="BEG12" s="91"/>
      <c r="BEH12" s="91"/>
      <c r="BEI12" s="91"/>
      <c r="BEJ12" s="91"/>
      <c r="BEK12" s="91"/>
      <c r="BEL12" s="91"/>
      <c r="BEM12" s="91"/>
      <c r="BEN12" s="91"/>
      <c r="BEO12" s="91"/>
      <c r="BEP12" s="91"/>
      <c r="BEQ12" s="91"/>
      <c r="BER12" s="91"/>
      <c r="BES12" s="91"/>
      <c r="BOA12" s="63">
        <v>78</v>
      </c>
      <c r="BOB12" s="63">
        <v>1</v>
      </c>
      <c r="BOD12" s="63">
        <v>23</v>
      </c>
      <c r="BOF12" s="63">
        <v>1</v>
      </c>
      <c r="BSG12" s="63">
        <v>1</v>
      </c>
      <c r="BVM12" s="63">
        <v>1</v>
      </c>
      <c r="BYP12" s="63">
        <v>1</v>
      </c>
      <c r="BYT12" s="63">
        <v>4</v>
      </c>
      <c r="BYW12" s="63">
        <v>3</v>
      </c>
      <c r="BYY12" s="63">
        <v>0</v>
      </c>
      <c r="BZL12" s="63">
        <v>0</v>
      </c>
      <c r="BZY12" s="63">
        <v>100</v>
      </c>
      <c r="CAD12" s="63">
        <v>999</v>
      </c>
      <c r="CAE12" s="63">
        <v>999</v>
      </c>
      <c r="CAF12" s="63">
        <v>0</v>
      </c>
      <c r="CAG12" s="63">
        <v>999</v>
      </c>
      <c r="GOV12" s="63">
        <v>1</v>
      </c>
      <c r="GWE12" s="63">
        <v>1</v>
      </c>
      <c r="GWX12" s="63">
        <v>1</v>
      </c>
      <c r="GYG12" s="63">
        <v>1</v>
      </c>
      <c r="GYV12" s="63">
        <v>1</v>
      </c>
      <c r="HAG12" s="63">
        <v>1</v>
      </c>
      <c r="HIM12" s="63">
        <v>1</v>
      </c>
    </row>
    <row r="13" spans="1:5809" s="59" customFormat="1" x14ac:dyDescent="0.25">
      <c r="B13" s="60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2"/>
      <c r="GY13" s="62"/>
      <c r="GZ13" s="62"/>
      <c r="HA13" s="62"/>
      <c r="HB13" s="62"/>
      <c r="HC13" s="62"/>
      <c r="HD13" s="62"/>
      <c r="HE13" s="62"/>
      <c r="HF13" s="62"/>
      <c r="HG13" s="62"/>
      <c r="HH13" s="62"/>
      <c r="HI13" s="62"/>
      <c r="HJ13" s="62"/>
      <c r="HK13" s="62"/>
      <c r="HL13" s="62"/>
      <c r="HM13" s="62"/>
      <c r="HN13" s="62"/>
      <c r="HO13" s="62"/>
      <c r="HP13" s="62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1"/>
      <c r="IE13" s="61"/>
      <c r="IF13" s="61"/>
      <c r="IG13" s="61"/>
      <c r="IH13" s="61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1"/>
      <c r="JA13" s="61"/>
      <c r="JB13" s="61"/>
      <c r="JC13" s="61"/>
      <c r="JD13" s="61"/>
      <c r="JE13" s="61"/>
      <c r="JF13" s="61"/>
      <c r="JG13" s="61"/>
      <c r="JH13" s="61"/>
      <c r="JI13" s="61"/>
      <c r="JJ13" s="61"/>
      <c r="JK13" s="61"/>
      <c r="JL13" s="61"/>
      <c r="JM13" s="61"/>
      <c r="JN13" s="61"/>
      <c r="JO13" s="61"/>
      <c r="JP13" s="61"/>
      <c r="JQ13" s="61"/>
      <c r="JR13" s="61"/>
      <c r="JS13" s="61"/>
      <c r="JT13" s="61"/>
      <c r="JU13" s="61"/>
      <c r="JV13" s="61"/>
      <c r="JW13" s="61"/>
      <c r="JX13" s="61"/>
      <c r="JY13" s="61"/>
      <c r="JZ13" s="61"/>
      <c r="KA13" s="61"/>
      <c r="KB13" s="61"/>
      <c r="KC13" s="61"/>
      <c r="KD13" s="61"/>
      <c r="KE13" s="61"/>
      <c r="KF13" s="61"/>
      <c r="KG13" s="61"/>
      <c r="KH13" s="61"/>
      <c r="KI13" s="61"/>
      <c r="KJ13" s="61"/>
      <c r="KK13" s="61"/>
      <c r="KL13" s="61"/>
      <c r="KM13" s="61"/>
      <c r="KN13" s="61"/>
      <c r="KO13" s="61"/>
      <c r="KP13" s="61"/>
      <c r="KQ13" s="61"/>
      <c r="KR13" s="61"/>
      <c r="KS13" s="61"/>
      <c r="KT13" s="61"/>
      <c r="KU13" s="61"/>
      <c r="KV13" s="61"/>
      <c r="KW13" s="61"/>
      <c r="KX13" s="61"/>
      <c r="KY13" s="61"/>
      <c r="KZ13" s="61"/>
      <c r="LA13" s="61"/>
      <c r="LB13" s="61"/>
      <c r="LC13" s="61"/>
      <c r="LD13" s="61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  <c r="MS13" s="61"/>
      <c r="MT13" s="61"/>
      <c r="MU13" s="61"/>
      <c r="MV13" s="61"/>
      <c r="MW13" s="61"/>
      <c r="MX13" s="61"/>
      <c r="MY13" s="61"/>
      <c r="MZ13" s="61"/>
      <c r="NA13" s="61"/>
      <c r="NB13" s="61"/>
      <c r="NC13" s="61"/>
      <c r="ND13" s="61"/>
      <c r="NE13" s="61"/>
      <c r="NF13" s="61"/>
      <c r="NG13" s="61"/>
      <c r="NH13" s="61"/>
      <c r="NI13" s="61"/>
      <c r="NJ13" s="61"/>
      <c r="NK13" s="61"/>
      <c r="NL13" s="61"/>
      <c r="NM13" s="61"/>
      <c r="NN13" s="61"/>
      <c r="NO13" s="61"/>
      <c r="NP13" s="61"/>
      <c r="NQ13" s="61"/>
      <c r="NR13" s="61"/>
      <c r="NS13" s="61"/>
      <c r="NT13" s="61"/>
      <c r="NU13" s="61"/>
      <c r="NV13" s="61"/>
      <c r="NW13" s="61"/>
      <c r="NX13" s="61"/>
      <c r="NY13" s="61"/>
      <c r="NZ13" s="61"/>
      <c r="OA13" s="61"/>
      <c r="OB13" s="61"/>
      <c r="OC13" s="61"/>
      <c r="OD13" s="61"/>
      <c r="OE13" s="61"/>
      <c r="OF13" s="61"/>
      <c r="OG13" s="61"/>
      <c r="OH13" s="61"/>
      <c r="OI13" s="61"/>
      <c r="OJ13" s="61"/>
      <c r="OK13" s="61"/>
      <c r="OL13" s="61"/>
      <c r="OM13" s="61"/>
      <c r="ON13" s="61"/>
      <c r="OO13" s="61"/>
      <c r="OP13" s="61"/>
      <c r="OQ13" s="61"/>
      <c r="OR13" s="61"/>
      <c r="OS13" s="61"/>
      <c r="OT13" s="61"/>
      <c r="OU13" s="61"/>
      <c r="OV13" s="61"/>
      <c r="OW13" s="61"/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6"/>
      <c r="TD13" s="66"/>
      <c r="TE13" s="66"/>
      <c r="TF13" s="66"/>
      <c r="TG13" s="66"/>
      <c r="TH13" s="66"/>
      <c r="TI13" s="66"/>
      <c r="TJ13" s="66"/>
      <c r="TK13" s="66"/>
      <c r="TL13" s="66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/>
      <c r="WG13" s="61"/>
      <c r="WH13" s="61"/>
      <c r="WI13" s="61"/>
      <c r="WJ13" s="61"/>
      <c r="WK13" s="61"/>
      <c r="WL13" s="61"/>
      <c r="WM13" s="61"/>
      <c r="WN13" s="61"/>
      <c r="WO13" s="61"/>
      <c r="WP13" s="61"/>
      <c r="WQ13" s="61"/>
      <c r="WR13" s="61"/>
      <c r="WS13" s="61"/>
      <c r="WT13" s="61"/>
      <c r="WU13" s="61"/>
      <c r="WV13" s="61"/>
      <c r="WW13" s="61"/>
      <c r="WX13" s="61"/>
      <c r="WY13" s="61"/>
      <c r="WZ13" s="61"/>
      <c r="XA13" s="61"/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2"/>
      <c r="ZS13" s="62"/>
      <c r="ZT13" s="62"/>
      <c r="ZU13" s="62"/>
      <c r="ZV13" s="62"/>
      <c r="ZW13" s="62"/>
      <c r="ZX13" s="62"/>
      <c r="ZY13" s="62"/>
      <c r="ZZ13" s="62"/>
      <c r="AAA13" s="62"/>
      <c r="AAB13" s="62"/>
      <c r="AAC13" s="62"/>
      <c r="AAD13" s="62"/>
      <c r="AAE13" s="62"/>
      <c r="AAF13" s="62"/>
      <c r="AAG13" s="62"/>
      <c r="AAH13" s="62"/>
      <c r="AAI13" s="62"/>
      <c r="AAJ13" s="62"/>
      <c r="AAK13" s="62"/>
      <c r="AAL13" s="62"/>
      <c r="AAM13" s="62"/>
      <c r="AAN13" s="62"/>
      <c r="AAO13" s="62"/>
      <c r="AAP13" s="62"/>
      <c r="AAQ13" s="62"/>
      <c r="AAR13" s="62"/>
      <c r="AAS13" s="62"/>
      <c r="AAT13" s="62"/>
      <c r="AAU13" s="62"/>
      <c r="AAV13" s="62"/>
      <c r="AAW13" s="62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/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/>
      <c r="ACH13" s="61"/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/>
      <c r="ADE13" s="61"/>
      <c r="ADF13" s="61"/>
      <c r="ADG13" s="61"/>
      <c r="ADH13" s="61"/>
      <c r="ADI13" s="61"/>
      <c r="ADJ13" s="61"/>
      <c r="ADK13" s="61"/>
      <c r="ADL13" s="61"/>
      <c r="ADM13" s="61"/>
      <c r="ADN13" s="61"/>
      <c r="ADO13" s="61"/>
      <c r="ADP13" s="61"/>
      <c r="ADQ13" s="61"/>
      <c r="ADR13" s="61"/>
      <c r="ADS13" s="61"/>
      <c r="ADT13" s="61"/>
      <c r="ADU13" s="61"/>
      <c r="ADV13" s="61"/>
      <c r="ADW13" s="61"/>
      <c r="ADX13" s="61"/>
      <c r="ADY13" s="61"/>
      <c r="ADZ13" s="61"/>
      <c r="AEA13" s="61"/>
      <c r="AEB13" s="61"/>
      <c r="AEC13" s="61"/>
      <c r="AED13" s="61"/>
      <c r="AEE13" s="61"/>
      <c r="AEF13" s="61"/>
      <c r="AEG13" s="61"/>
      <c r="AEH13" s="61"/>
      <c r="AEI13" s="61"/>
      <c r="AEJ13" s="61"/>
      <c r="AEK13" s="61"/>
      <c r="AEL13" s="61"/>
      <c r="AEM13" s="61"/>
      <c r="AEN13" s="61"/>
      <c r="AEO13" s="61"/>
      <c r="AEP13" s="61"/>
      <c r="AEQ13" s="61"/>
      <c r="AER13" s="61"/>
      <c r="AES13" s="61"/>
      <c r="AET13" s="61"/>
      <c r="AEU13" s="62"/>
      <c r="AEV13" s="62"/>
      <c r="AEW13" s="62"/>
      <c r="AEX13" s="62"/>
      <c r="AEY13" s="62"/>
      <c r="AEZ13" s="62"/>
      <c r="AFA13" s="62"/>
      <c r="AFB13" s="62"/>
      <c r="AFC13" s="62"/>
      <c r="AFD13" s="62"/>
      <c r="AFE13" s="62"/>
      <c r="AFF13" s="62"/>
      <c r="AFG13" s="62"/>
      <c r="AFH13" s="62"/>
      <c r="AFI13" s="62"/>
      <c r="AFJ13" s="62"/>
      <c r="AFK13" s="62"/>
      <c r="AFL13" s="62"/>
      <c r="AFM13" s="62"/>
      <c r="AFN13" s="62"/>
      <c r="AFO13" s="62"/>
      <c r="AFP13" s="62"/>
      <c r="AFQ13" s="62"/>
      <c r="AFR13" s="62"/>
      <c r="AFS13" s="62"/>
      <c r="AFT13" s="62"/>
      <c r="AFU13" s="62"/>
      <c r="AFV13" s="62"/>
      <c r="AFW13" s="62"/>
      <c r="AFX13" s="62"/>
      <c r="AFY13" s="62"/>
      <c r="AFZ13" s="62"/>
      <c r="AGA13" s="62"/>
      <c r="AGB13" s="62"/>
      <c r="AGC13" s="62"/>
      <c r="AGD13" s="62"/>
      <c r="AGE13" s="62"/>
      <c r="AGF13" s="62"/>
      <c r="AGG13" s="61"/>
      <c r="AGH13" s="61"/>
      <c r="AGI13" s="61"/>
      <c r="AGJ13" s="61"/>
      <c r="AGK13" s="61"/>
      <c r="AGL13" s="61"/>
      <c r="AGM13" s="61"/>
      <c r="AGN13" s="61"/>
      <c r="AGO13" s="61"/>
      <c r="AGP13" s="61"/>
      <c r="AGQ13" s="61"/>
      <c r="AGR13" s="61"/>
      <c r="AGS13" s="61"/>
      <c r="AGT13" s="61"/>
      <c r="AGU13" s="61"/>
      <c r="AGV13" s="61"/>
      <c r="AGW13" s="61"/>
      <c r="AGX13" s="61"/>
      <c r="AGY13" s="61"/>
      <c r="AGZ13" s="61"/>
      <c r="AHA13" s="61"/>
      <c r="AHB13" s="61"/>
      <c r="AHC13" s="61"/>
      <c r="AHD13" s="61"/>
      <c r="AHE13" s="61"/>
      <c r="AHF13" s="61"/>
      <c r="AHG13" s="61"/>
      <c r="AHH13" s="61"/>
      <c r="AHI13" s="61"/>
      <c r="AHJ13" s="61"/>
      <c r="AHK13" s="61"/>
      <c r="AHL13" s="61"/>
      <c r="AHM13" s="61"/>
      <c r="AHN13" s="61"/>
      <c r="AHO13" s="61"/>
      <c r="AHP13" s="61"/>
      <c r="AHQ13" s="61"/>
      <c r="AHR13" s="61"/>
      <c r="AHS13" s="61"/>
      <c r="AHT13" s="61"/>
      <c r="AHU13" s="61"/>
      <c r="AHV13" s="61"/>
      <c r="AHW13" s="61"/>
      <c r="AHX13" s="61"/>
      <c r="AHY13" s="61"/>
      <c r="AHZ13" s="61"/>
      <c r="AIA13" s="61"/>
      <c r="AIB13" s="61"/>
      <c r="AIC13" s="61"/>
      <c r="AID13" s="61"/>
      <c r="AIE13" s="61"/>
      <c r="AIF13" s="61"/>
      <c r="AIG13" s="62"/>
      <c r="AIH13" s="62"/>
      <c r="AII13" s="62"/>
      <c r="AIJ13" s="61"/>
      <c r="AIK13" s="61"/>
      <c r="AIL13" s="61"/>
      <c r="AIM13" s="61"/>
      <c r="AIN13" s="61"/>
      <c r="AIO13" s="61"/>
      <c r="AIP13" s="61"/>
      <c r="AIQ13" s="61"/>
      <c r="AIR13" s="61"/>
      <c r="AIS13" s="61"/>
      <c r="AIT13" s="61"/>
      <c r="AIU13" s="61"/>
      <c r="AIV13" s="61"/>
      <c r="AIW13" s="61"/>
      <c r="AIX13" s="61"/>
      <c r="AIY13" s="61"/>
      <c r="AIZ13" s="61"/>
      <c r="AJA13" s="61"/>
      <c r="AJB13" s="61"/>
      <c r="AJC13" s="61"/>
      <c r="AJD13" s="61"/>
      <c r="AJE13" s="61"/>
      <c r="AJF13" s="61"/>
      <c r="AJG13" s="61"/>
      <c r="AJH13" s="61"/>
      <c r="AJI13" s="61"/>
      <c r="AJJ13" s="61"/>
      <c r="AJK13" s="61"/>
      <c r="AJL13" s="61"/>
      <c r="AJM13" s="61"/>
      <c r="AJN13" s="62"/>
      <c r="AJO13" s="62"/>
      <c r="AJP13" s="62"/>
      <c r="AJQ13" s="61"/>
      <c r="AJR13" s="61"/>
      <c r="AJS13" s="61"/>
      <c r="AJT13" s="61"/>
      <c r="AJU13" s="61"/>
      <c r="AJV13" s="61"/>
      <c r="AJW13" s="61"/>
      <c r="AJX13" s="61"/>
      <c r="AJY13" s="61"/>
      <c r="AJZ13" s="61"/>
      <c r="AKA13" s="61"/>
      <c r="AKB13" s="61"/>
      <c r="AKC13" s="61"/>
      <c r="AKD13" s="61"/>
      <c r="AKE13" s="61"/>
      <c r="AKF13" s="61"/>
      <c r="AKG13" s="61"/>
      <c r="AKH13" s="61"/>
      <c r="AKI13" s="61"/>
      <c r="AKJ13" s="61"/>
      <c r="AKK13" s="61"/>
      <c r="AKL13" s="61"/>
      <c r="AKM13" s="61"/>
      <c r="AKN13" s="61"/>
      <c r="AKO13" s="61"/>
      <c r="AKP13" s="61"/>
      <c r="AKQ13" s="61"/>
      <c r="AKR13" s="61"/>
      <c r="AKS13" s="61"/>
      <c r="AKT13" s="61"/>
      <c r="AKU13" s="61"/>
      <c r="AKV13" s="61"/>
      <c r="AKW13" s="61"/>
      <c r="AKX13" s="62"/>
      <c r="AKY13" s="62"/>
      <c r="AKZ13" s="61"/>
      <c r="ALA13" s="61"/>
      <c r="ALB13" s="61"/>
      <c r="ALC13" s="61"/>
      <c r="ALD13" s="61"/>
      <c r="ALE13" s="61"/>
      <c r="ALF13" s="61"/>
      <c r="ALG13" s="61"/>
      <c r="ALH13" s="61"/>
      <c r="ALI13" s="61"/>
      <c r="ALJ13" s="61"/>
      <c r="ALK13" s="61"/>
      <c r="ALL13" s="61"/>
      <c r="ALM13" s="61"/>
      <c r="ALN13" s="61"/>
      <c r="ALO13" s="61"/>
      <c r="ALP13" s="61"/>
      <c r="ALQ13" s="61"/>
      <c r="ALR13" s="61"/>
      <c r="ALS13" s="61"/>
      <c r="ALT13" s="61"/>
      <c r="ALU13" s="61"/>
      <c r="ALV13" s="61"/>
      <c r="ALW13" s="61"/>
      <c r="ALX13" s="61"/>
      <c r="ALY13" s="61"/>
      <c r="ALZ13" s="61"/>
      <c r="AMA13" s="61"/>
      <c r="AMB13" s="61"/>
      <c r="AMC13" s="61"/>
      <c r="AMD13" s="61"/>
      <c r="AME13" s="61"/>
      <c r="AMF13" s="61"/>
      <c r="AMG13" s="61"/>
      <c r="AMH13" s="61"/>
      <c r="AMI13" s="61"/>
      <c r="AMJ13" s="61"/>
      <c r="AMK13" s="61"/>
      <c r="AML13" s="61"/>
      <c r="AMM13" s="61"/>
      <c r="AMN13" s="61"/>
      <c r="AMO13" s="61"/>
      <c r="AMP13" s="61"/>
      <c r="AMQ13" s="61"/>
      <c r="AMR13" s="61"/>
      <c r="AMS13" s="61"/>
      <c r="AMT13" s="61"/>
      <c r="AMU13" s="61"/>
      <c r="AMV13" s="61"/>
      <c r="AMW13" s="61"/>
      <c r="AMX13" s="61"/>
      <c r="AMY13" s="61"/>
      <c r="AMZ13" s="61"/>
      <c r="ANA13" s="61"/>
      <c r="ANB13" s="61"/>
      <c r="ANC13" s="61"/>
      <c r="AND13" s="61"/>
      <c r="ANE13" s="61"/>
      <c r="ANF13" s="61"/>
      <c r="ANG13" s="61"/>
      <c r="ANH13" s="61"/>
      <c r="ANI13" s="61"/>
      <c r="ANJ13" s="61"/>
      <c r="ANK13" s="61"/>
      <c r="ANL13" s="61"/>
      <c r="ANM13" s="61"/>
      <c r="ANN13" s="61"/>
      <c r="ANO13" s="61"/>
      <c r="ANP13" s="61"/>
      <c r="ANQ13" s="61"/>
      <c r="ANR13" s="61"/>
      <c r="ANS13" s="61"/>
      <c r="ANT13" s="61"/>
      <c r="ANU13" s="61"/>
      <c r="ANV13" s="61"/>
      <c r="ANW13" s="61"/>
      <c r="ANX13" s="61"/>
      <c r="ANY13" s="61"/>
      <c r="ANZ13" s="61"/>
      <c r="AOA13" s="61"/>
      <c r="AOB13" s="61"/>
      <c r="AOC13" s="61"/>
      <c r="AOD13" s="61"/>
      <c r="AOE13" s="61"/>
      <c r="AOF13" s="61"/>
      <c r="AOG13" s="61"/>
      <c r="AOH13" s="61"/>
      <c r="AOI13" s="61"/>
      <c r="AOJ13" s="61"/>
      <c r="AOK13" s="61"/>
      <c r="AOL13" s="61"/>
      <c r="AOM13" s="61"/>
      <c r="AON13" s="61"/>
      <c r="AOO13" s="61"/>
      <c r="AOP13" s="61"/>
      <c r="AOQ13" s="61"/>
      <c r="AOR13" s="61"/>
      <c r="AOS13" s="61"/>
      <c r="AOT13" s="61"/>
      <c r="AOU13" s="61"/>
      <c r="AOV13" s="61"/>
      <c r="AOW13" s="61"/>
      <c r="AOX13" s="61"/>
      <c r="AOY13" s="61"/>
      <c r="AOZ13" s="61"/>
      <c r="APA13" s="61"/>
      <c r="APB13" s="61"/>
      <c r="APC13" s="61"/>
      <c r="APD13" s="61"/>
      <c r="APE13" s="61"/>
      <c r="APF13" s="61"/>
      <c r="APG13" s="61"/>
      <c r="APH13" s="61"/>
      <c r="API13" s="61"/>
      <c r="APJ13" s="61"/>
      <c r="APK13" s="61"/>
      <c r="APL13" s="61"/>
      <c r="APM13" s="61"/>
      <c r="APN13" s="61"/>
      <c r="APO13" s="61"/>
      <c r="APP13" s="61"/>
      <c r="APQ13" s="61"/>
      <c r="APR13" s="61"/>
      <c r="APS13" s="61"/>
      <c r="APT13" s="61"/>
      <c r="APU13" s="61"/>
      <c r="APV13" s="61"/>
      <c r="APW13" s="61"/>
      <c r="APX13" s="61"/>
      <c r="APY13" s="61"/>
      <c r="APZ13" s="61"/>
      <c r="AQA13" s="61"/>
      <c r="AQB13" s="61"/>
      <c r="AQC13" s="61"/>
      <c r="AQD13" s="61"/>
      <c r="AQE13" s="61"/>
      <c r="ARV13" s="66"/>
      <c r="ARW13" s="66"/>
      <c r="ARX13" s="66"/>
      <c r="ARY13" s="66"/>
      <c r="ARZ13" s="66"/>
      <c r="ASA13" s="66"/>
      <c r="ASB13" s="66"/>
      <c r="ASC13" s="66"/>
      <c r="ASD13" s="61"/>
      <c r="ASE13" s="61"/>
      <c r="ASF13" s="61"/>
      <c r="ASG13" s="61"/>
      <c r="ASH13" s="61"/>
      <c r="ASI13" s="61"/>
      <c r="ASJ13" s="61"/>
      <c r="ASK13" s="61"/>
      <c r="ASL13" s="61"/>
      <c r="ASM13" s="61"/>
      <c r="ASN13" s="61"/>
      <c r="ASO13" s="61"/>
      <c r="ASP13" s="61"/>
      <c r="ASQ13" s="61"/>
      <c r="ASR13" s="61"/>
      <c r="ASS13" s="61"/>
      <c r="AST13" s="61"/>
      <c r="ASU13" s="61"/>
      <c r="ASV13" s="61"/>
      <c r="ASW13" s="61"/>
      <c r="ASX13" s="61"/>
      <c r="ASY13" s="61"/>
      <c r="ASZ13" s="61"/>
      <c r="ATA13" s="61"/>
      <c r="ATB13" s="61"/>
      <c r="ATC13" s="61"/>
      <c r="ATD13" s="61"/>
      <c r="ATE13" s="61"/>
      <c r="ATF13" s="61"/>
      <c r="ATG13" s="61"/>
      <c r="ATH13" s="61"/>
      <c r="ATI13" s="61"/>
      <c r="ATJ13" s="61"/>
      <c r="ATK13" s="61"/>
      <c r="ATL13" s="61"/>
      <c r="ATM13" s="61"/>
      <c r="ATN13" s="61"/>
      <c r="ATO13" s="61"/>
      <c r="ATP13" s="61"/>
      <c r="ATQ13" s="62"/>
      <c r="ATR13" s="62"/>
      <c r="ATS13" s="62"/>
      <c r="ATT13" s="62"/>
      <c r="ATU13" s="62"/>
      <c r="ATV13" s="61"/>
      <c r="ATW13" s="61"/>
      <c r="ATX13" s="61"/>
      <c r="ATY13" s="61"/>
      <c r="ATZ13" s="61"/>
      <c r="AUA13" s="61"/>
      <c r="AUB13" s="61"/>
      <c r="AUC13" s="61"/>
      <c r="AUD13" s="61"/>
      <c r="AUE13" s="61"/>
      <c r="AUF13" s="61"/>
      <c r="AUG13" s="61"/>
      <c r="AUH13" s="61"/>
      <c r="AUI13" s="61"/>
      <c r="AUJ13" s="61"/>
      <c r="AUK13" s="61"/>
      <c r="AUL13" s="61"/>
      <c r="AUM13" s="61"/>
      <c r="AUN13" s="61"/>
      <c r="AUO13" s="61"/>
      <c r="AUP13" s="61"/>
      <c r="AUQ13" s="61"/>
      <c r="AUR13" s="61"/>
      <c r="AUS13" s="61"/>
      <c r="AUT13" s="61"/>
      <c r="AUU13" s="61"/>
      <c r="AUV13" s="61"/>
      <c r="AUW13" s="61"/>
      <c r="AUX13" s="61"/>
      <c r="AUY13" s="61"/>
      <c r="AUZ13" s="61"/>
      <c r="AVA13" s="61"/>
      <c r="AVB13" s="61"/>
      <c r="AVC13" s="61"/>
      <c r="AVD13" s="61"/>
      <c r="AVE13" s="61"/>
      <c r="AVF13" s="61"/>
      <c r="AVG13" s="61"/>
      <c r="AVH13" s="61"/>
      <c r="AVI13" s="61"/>
      <c r="AVJ13" s="61"/>
      <c r="AVK13" s="61"/>
      <c r="AVL13" s="61"/>
      <c r="AVM13" s="61"/>
      <c r="AVN13" s="61"/>
      <c r="AVO13" s="61"/>
      <c r="AVP13" s="61"/>
      <c r="AVQ13" s="61"/>
      <c r="AVR13" s="61"/>
      <c r="AVS13" s="61"/>
      <c r="AVT13" s="61"/>
      <c r="AVU13" s="61"/>
      <c r="AVV13" s="61"/>
      <c r="AVW13" s="61"/>
      <c r="AVX13" s="61"/>
      <c r="AVY13" s="61"/>
      <c r="AVZ13" s="61"/>
      <c r="AWA13" s="61"/>
      <c r="AWB13" s="61"/>
      <c r="AWC13" s="61"/>
      <c r="AWD13" s="61"/>
      <c r="AWE13" s="61"/>
      <c r="AWF13" s="61"/>
      <c r="AWG13" s="61"/>
      <c r="AWH13" s="61"/>
      <c r="AWI13" s="61"/>
      <c r="AWJ13" s="61"/>
      <c r="AWK13" s="61"/>
      <c r="AWL13" s="61"/>
      <c r="AWM13" s="61"/>
      <c r="AWN13" s="61"/>
      <c r="AWO13" s="61"/>
      <c r="AWP13" s="61"/>
      <c r="AWQ13" s="61"/>
      <c r="AWR13" s="61"/>
      <c r="AWS13" s="61"/>
      <c r="AWT13" s="61"/>
      <c r="AWU13" s="61"/>
      <c r="AWV13" s="61"/>
      <c r="AWW13" s="61"/>
      <c r="AWX13" s="61"/>
      <c r="AWY13" s="61"/>
      <c r="AWZ13" s="61"/>
      <c r="AXA13" s="61"/>
      <c r="AXB13" s="61"/>
      <c r="AXC13" s="61"/>
      <c r="AXD13" s="61"/>
      <c r="AXE13" s="61"/>
      <c r="AXF13" s="61"/>
      <c r="AXG13" s="61"/>
      <c r="AXH13" s="61"/>
      <c r="AXI13" s="61"/>
      <c r="AXJ13" s="61"/>
      <c r="AXK13" s="61"/>
      <c r="AXL13" s="61"/>
      <c r="AXM13" s="61"/>
      <c r="AXN13" s="61"/>
      <c r="AXO13" s="61"/>
      <c r="AXP13" s="61"/>
      <c r="AXQ13" s="61"/>
      <c r="AXR13" s="61"/>
      <c r="AXS13" s="61"/>
      <c r="AXT13" s="61"/>
      <c r="AXU13" s="61"/>
      <c r="AXV13" s="61"/>
      <c r="AXW13" s="61"/>
      <c r="AXX13" s="61"/>
      <c r="AXY13" s="61"/>
      <c r="AXZ13" s="61"/>
      <c r="AYA13" s="61"/>
      <c r="AYB13" s="61"/>
      <c r="AYC13" s="61"/>
      <c r="AYD13" s="61"/>
      <c r="AYE13" s="61"/>
      <c r="AYF13" s="61"/>
      <c r="AYG13" s="61"/>
      <c r="AYH13" s="61"/>
      <c r="AYI13" s="61"/>
      <c r="AYJ13" s="61"/>
      <c r="AYK13" s="61"/>
      <c r="AYL13" s="61"/>
      <c r="AYM13" s="61"/>
      <c r="AYN13" s="61"/>
      <c r="AYO13" s="61"/>
      <c r="AYP13" s="61"/>
      <c r="AYQ13" s="61"/>
      <c r="AYR13" s="61"/>
      <c r="AYS13" s="61"/>
      <c r="AYT13" s="61"/>
      <c r="AYU13" s="61"/>
      <c r="AYV13" s="61"/>
      <c r="AYW13" s="61"/>
      <c r="AYX13" s="61"/>
      <c r="AYY13" s="61"/>
      <c r="AYZ13" s="61"/>
      <c r="AZA13" s="61"/>
      <c r="AZB13" s="61"/>
      <c r="AZC13" s="61"/>
      <c r="AZD13" s="61"/>
      <c r="AZE13" s="61"/>
      <c r="AZF13" s="61"/>
      <c r="AZG13" s="61"/>
      <c r="AZH13" s="61"/>
      <c r="AZI13" s="61"/>
      <c r="AZJ13" s="61"/>
      <c r="AZK13" s="61"/>
      <c r="AZL13" s="61"/>
      <c r="AZM13" s="61"/>
      <c r="AZN13" s="61"/>
      <c r="AZO13" s="61"/>
      <c r="AZP13" s="61"/>
      <c r="AZQ13" s="61"/>
      <c r="AZR13" s="61"/>
      <c r="AZS13" s="61"/>
      <c r="AZT13" s="61"/>
      <c r="AZU13" s="61"/>
      <c r="AZV13" s="61"/>
      <c r="AZW13" s="61"/>
      <c r="AZX13" s="61"/>
      <c r="AZY13" s="61"/>
      <c r="AZZ13" s="61"/>
      <c r="BAA13" s="61"/>
      <c r="BAB13" s="61"/>
      <c r="BAC13" s="61"/>
      <c r="BAD13" s="61"/>
      <c r="BAE13" s="61"/>
      <c r="BAF13" s="61"/>
      <c r="BAG13" s="61"/>
      <c r="BAH13" s="61"/>
      <c r="BAI13" s="61"/>
      <c r="BAJ13" s="61"/>
      <c r="BAK13" s="61"/>
      <c r="BAL13" s="61"/>
      <c r="BAM13" s="61"/>
      <c r="BAN13" s="61"/>
      <c r="BAO13" s="61"/>
      <c r="BAP13" s="61"/>
      <c r="BAQ13" s="61"/>
      <c r="BAR13" s="61"/>
      <c r="BAS13" s="61"/>
      <c r="BAT13" s="61"/>
      <c r="BAU13" s="61"/>
      <c r="BAV13" s="61"/>
      <c r="BAW13" s="61"/>
      <c r="BAX13" s="61"/>
      <c r="BAY13" s="61"/>
      <c r="BAZ13" s="61"/>
      <c r="BBA13" s="61"/>
      <c r="BBB13" s="61"/>
      <c r="BBC13" s="61"/>
      <c r="BBD13" s="61"/>
      <c r="BBE13" s="61"/>
      <c r="BBF13" s="61"/>
      <c r="BBG13" s="61"/>
      <c r="BBH13" s="61"/>
      <c r="BBI13" s="61"/>
      <c r="BBJ13" s="61"/>
      <c r="BBK13" s="61"/>
      <c r="BBL13" s="61"/>
      <c r="BBM13" s="61"/>
      <c r="BBN13" s="61"/>
      <c r="BBO13" s="61"/>
      <c r="BBP13" s="61"/>
      <c r="BBQ13" s="61"/>
      <c r="BBR13" s="61"/>
      <c r="BBS13" s="61"/>
      <c r="BBT13" s="61"/>
      <c r="BBU13" s="61"/>
      <c r="BBV13" s="61"/>
      <c r="BBW13" s="61"/>
      <c r="BBX13" s="61"/>
      <c r="BBY13" s="61"/>
      <c r="BBZ13" s="61"/>
      <c r="BCA13" s="61"/>
      <c r="BCB13" s="61"/>
      <c r="BCC13" s="61"/>
      <c r="BCD13" s="61"/>
      <c r="BCE13" s="61"/>
      <c r="BCF13" s="61"/>
      <c r="BCG13" s="61"/>
      <c r="BCH13" s="61"/>
      <c r="BCI13" s="61"/>
      <c r="BCJ13" s="61"/>
      <c r="BCK13" s="61"/>
      <c r="BCL13" s="61"/>
      <c r="BCM13" s="61"/>
      <c r="BCN13" s="61"/>
      <c r="BCO13" s="61"/>
      <c r="BCP13" s="61"/>
      <c r="BCQ13" s="61"/>
      <c r="BCR13" s="61"/>
      <c r="BCS13" s="61"/>
      <c r="BCT13" s="61"/>
      <c r="BCU13" s="61"/>
      <c r="BCV13" s="61"/>
      <c r="BCW13" s="61"/>
      <c r="BCX13" s="61"/>
      <c r="BCY13" s="61"/>
      <c r="BCZ13" s="61"/>
      <c r="BDA13" s="61"/>
      <c r="BDB13" s="61"/>
      <c r="BDC13" s="61"/>
      <c r="BDD13" s="61"/>
      <c r="BDE13" s="61"/>
      <c r="BDF13" s="61"/>
      <c r="BDG13" s="61"/>
      <c r="BDH13" s="61"/>
      <c r="BDI13" s="61"/>
      <c r="BDJ13" s="61"/>
      <c r="BDK13" s="61"/>
      <c r="BDL13" s="61"/>
      <c r="BDM13" s="61"/>
      <c r="BDN13" s="61"/>
      <c r="BDO13" s="61"/>
      <c r="BDP13" s="61"/>
      <c r="BDQ13" s="61"/>
      <c r="BDR13" s="61"/>
      <c r="BDS13" s="61"/>
      <c r="BDT13" s="61"/>
      <c r="BDU13" s="61"/>
      <c r="BDV13" s="61"/>
      <c r="BDW13" s="61"/>
      <c r="BDX13" s="61"/>
      <c r="BDY13" s="61"/>
      <c r="BDZ13" s="61"/>
      <c r="BEA13" s="61"/>
      <c r="BEB13" s="61"/>
      <c r="BEC13" s="61"/>
      <c r="BED13" s="61"/>
      <c r="BEE13" s="61"/>
      <c r="BEF13" s="61"/>
      <c r="BEG13" s="61"/>
      <c r="BEH13" s="61"/>
      <c r="BEI13" s="61"/>
      <c r="BEJ13" s="61"/>
      <c r="BEK13" s="61"/>
      <c r="BEL13" s="61"/>
      <c r="BEM13" s="61"/>
      <c r="BEN13" s="61"/>
      <c r="BEO13" s="61"/>
      <c r="BEP13" s="61"/>
      <c r="BEQ13" s="61"/>
      <c r="BER13" s="61"/>
      <c r="BES13" s="61"/>
      <c r="BYJ13" s="65"/>
      <c r="BYY13" s="59">
        <v>0</v>
      </c>
      <c r="BZL13" s="59">
        <v>0</v>
      </c>
    </row>
    <row r="14" spans="1:5809" s="59" customFormat="1" x14ac:dyDescent="0.25">
      <c r="A14" s="59">
        <v>14242856</v>
      </c>
      <c r="B14" s="60" t="s">
        <v>4189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2"/>
      <c r="GY14" s="62"/>
      <c r="GZ14" s="62"/>
      <c r="HA14" s="61"/>
      <c r="HB14" s="61"/>
      <c r="HC14" s="61"/>
      <c r="HD14" s="61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1">
        <v>6770</v>
      </c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>
        <v>80</v>
      </c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NE14" s="59">
        <v>145</v>
      </c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6"/>
      <c r="TD14" s="66"/>
      <c r="TE14" s="66"/>
      <c r="TF14" s="66"/>
      <c r="TG14" s="66"/>
      <c r="TH14" s="66"/>
      <c r="TI14" s="66"/>
      <c r="TJ14" s="66"/>
      <c r="TK14" s="66"/>
      <c r="TL14" s="66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K14" s="59">
        <v>25</v>
      </c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59">
        <v>12.1</v>
      </c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>
        <v>5</v>
      </c>
      <c r="AEV14" s="61"/>
      <c r="AEW14" s="61"/>
      <c r="AEX14" s="61"/>
      <c r="AEY14" s="62"/>
      <c r="AEZ14" s="62"/>
      <c r="AFA14" s="62"/>
      <c r="AFB14" s="62"/>
      <c r="AFC14" s="62"/>
      <c r="AFD14" s="62"/>
      <c r="AFE14" s="62"/>
      <c r="AFF14" s="62"/>
      <c r="AFG14" s="62"/>
      <c r="AFH14" s="62"/>
      <c r="AFI14" s="62"/>
      <c r="AFJ14" s="62"/>
      <c r="AFK14" s="62"/>
      <c r="AFL14" s="62"/>
      <c r="AFM14" s="62"/>
      <c r="AFN14" s="62"/>
      <c r="AFO14" s="62"/>
      <c r="AFP14" s="62"/>
      <c r="AFQ14" s="62"/>
      <c r="AFR14" s="62"/>
      <c r="AFS14" s="62"/>
      <c r="AFT14" s="62"/>
      <c r="AFU14" s="62"/>
      <c r="AFV14" s="62"/>
      <c r="AFW14" s="62"/>
      <c r="AFX14" s="62"/>
      <c r="AFY14" s="62"/>
      <c r="AFZ14" s="62"/>
      <c r="AGA14" s="62"/>
      <c r="AGB14" s="62"/>
      <c r="AGC14" s="62"/>
      <c r="AGD14" s="62"/>
      <c r="AGE14" s="62"/>
      <c r="AGF14" s="62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2"/>
      <c r="AIH14" s="62"/>
      <c r="AII14" s="62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2"/>
      <c r="AJO14" s="62"/>
      <c r="AJP14" s="62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2"/>
      <c r="AKY14" s="62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>
        <v>330</v>
      </c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RV14" s="66"/>
      <c r="ARW14" s="66"/>
      <c r="ARX14" s="66"/>
      <c r="ARY14" s="66"/>
      <c r="ARZ14" s="66"/>
      <c r="ASA14" s="66"/>
      <c r="ASB14" s="66"/>
      <c r="ASC14" s="66">
        <v>466000</v>
      </c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2"/>
      <c r="ATR14" s="62"/>
      <c r="ATS14" s="62"/>
      <c r="ATT14" s="62"/>
      <c r="ATU14" s="62"/>
      <c r="ATV14" s="61"/>
      <c r="ATW14" s="61"/>
      <c r="ATX14" s="59">
        <v>1</v>
      </c>
      <c r="AUI14" s="59">
        <v>4</v>
      </c>
      <c r="AVC14" s="59">
        <v>80</v>
      </c>
      <c r="AWN14" s="61">
        <v>22</v>
      </c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OA14" s="59">
        <v>21</v>
      </c>
      <c r="BOC14" s="59">
        <v>1</v>
      </c>
      <c r="BOF14" s="59">
        <v>1</v>
      </c>
      <c r="BOG14" s="59">
        <v>28</v>
      </c>
      <c r="BOL14" s="59">
        <v>1</v>
      </c>
      <c r="BOP14" s="59">
        <v>1</v>
      </c>
      <c r="BWM14" s="59">
        <v>1</v>
      </c>
      <c r="BYJ14" s="65"/>
      <c r="BYX14" s="59">
        <v>1</v>
      </c>
      <c r="BYY14" s="59">
        <v>0</v>
      </c>
      <c r="BZL14" s="59">
        <v>0</v>
      </c>
      <c r="HDY14" s="59">
        <v>80</v>
      </c>
      <c r="HDZ14" s="59">
        <v>1</v>
      </c>
      <c r="HEA14" s="59">
        <v>1</v>
      </c>
      <c r="HFO14" s="59">
        <v>1</v>
      </c>
      <c r="HGG14" s="59">
        <v>1</v>
      </c>
      <c r="HGO14" s="59">
        <v>1</v>
      </c>
      <c r="HGR14" s="59">
        <v>1</v>
      </c>
      <c r="HGT14" s="59">
        <v>1</v>
      </c>
    </row>
    <row r="15" spans="1:5809" s="59" customFormat="1" x14ac:dyDescent="0.25">
      <c r="A15" s="59">
        <v>99001183</v>
      </c>
      <c r="B15" s="60" t="s">
        <v>4189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1"/>
      <c r="FW15" s="61"/>
      <c r="FX15" s="61"/>
      <c r="FY15" s="61"/>
      <c r="FZ15" s="61"/>
      <c r="GA15" s="61"/>
      <c r="GB15" s="61"/>
      <c r="GC15" s="61"/>
      <c r="GD15" s="61"/>
      <c r="GE15" s="61"/>
      <c r="GF15" s="61"/>
      <c r="GG15" s="61"/>
      <c r="GH15" s="61"/>
      <c r="GI15" s="61"/>
      <c r="GJ15" s="61"/>
      <c r="GK15" s="61"/>
      <c r="GL15" s="61"/>
      <c r="GM15" s="61"/>
      <c r="GN15" s="61"/>
      <c r="GO15" s="61"/>
      <c r="GP15" s="61"/>
      <c r="GQ15" s="61"/>
      <c r="GR15" s="61"/>
      <c r="GS15" s="61"/>
      <c r="GT15" s="61"/>
      <c r="GU15" s="61"/>
      <c r="GV15" s="61"/>
      <c r="GW15" s="61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1"/>
      <c r="HR15" s="61"/>
      <c r="HS15" s="61"/>
      <c r="HT15" s="61"/>
      <c r="HU15" s="61"/>
      <c r="HV15" s="61"/>
      <c r="HW15" s="61"/>
      <c r="HX15" s="61">
        <v>116000</v>
      </c>
      <c r="HY15" s="61"/>
      <c r="HZ15" s="61"/>
      <c r="IA15" s="61"/>
      <c r="IB15" s="61"/>
      <c r="IC15" s="61"/>
      <c r="ID15" s="61"/>
      <c r="IE15" s="61"/>
      <c r="IF15" s="61"/>
      <c r="IG15" s="61"/>
      <c r="IH15" s="61"/>
      <c r="II15" s="61"/>
      <c r="IJ15" s="61"/>
      <c r="IK15" s="61"/>
      <c r="IL15" s="61"/>
      <c r="IM15" s="61"/>
      <c r="IN15" s="61"/>
      <c r="IO15" s="61"/>
      <c r="IP15" s="61"/>
      <c r="IQ15" s="61"/>
      <c r="IR15" s="61"/>
      <c r="IS15" s="61"/>
      <c r="IT15" s="61"/>
      <c r="IU15" s="61"/>
      <c r="IV15" s="61"/>
      <c r="IW15" s="61"/>
      <c r="IX15" s="61"/>
      <c r="JA15" s="61"/>
      <c r="JB15" s="61"/>
      <c r="JC15" s="61"/>
      <c r="JD15" s="61"/>
      <c r="JE15" s="61"/>
      <c r="JF15" s="61"/>
      <c r="JG15" s="61"/>
      <c r="JH15" s="61"/>
      <c r="JI15" s="61"/>
      <c r="JJ15" s="61"/>
      <c r="JK15" s="61"/>
      <c r="JL15" s="61"/>
      <c r="JM15" s="61"/>
      <c r="JN15" s="61"/>
      <c r="JO15" s="61"/>
      <c r="JP15" s="61"/>
      <c r="JQ15" s="61"/>
      <c r="JR15" s="61"/>
      <c r="JS15" s="61"/>
      <c r="JT15" s="61"/>
      <c r="JU15" s="61"/>
      <c r="JV15" s="61"/>
      <c r="JW15" s="61"/>
      <c r="JX15" s="61"/>
      <c r="JY15" s="61"/>
      <c r="JZ15" s="61"/>
      <c r="KA15" s="61"/>
      <c r="KB15" s="61"/>
      <c r="KC15" s="61"/>
      <c r="KD15" s="61"/>
      <c r="KE15" s="61"/>
      <c r="KF15" s="61"/>
      <c r="KG15" s="61"/>
      <c r="KH15" s="61"/>
      <c r="KI15" s="61"/>
      <c r="KJ15" s="61"/>
      <c r="KK15" s="61"/>
      <c r="KL15" s="61"/>
      <c r="KM15" s="61"/>
      <c r="KN15" s="61"/>
      <c r="KO15" s="61"/>
      <c r="KP15" s="61"/>
      <c r="KQ15" s="61"/>
      <c r="KR15" s="61"/>
      <c r="KS15" s="61"/>
      <c r="KT15" s="61"/>
      <c r="KU15" s="61"/>
      <c r="KV15" s="61"/>
      <c r="KW15" s="61"/>
      <c r="KX15" s="61"/>
      <c r="KY15" s="61"/>
      <c r="KZ15" s="61"/>
      <c r="LA15" s="61"/>
      <c r="LB15" s="61"/>
      <c r="LC15" s="61"/>
      <c r="LD15" s="61"/>
      <c r="LE15" s="61"/>
      <c r="LF15" s="61"/>
      <c r="LG15" s="61"/>
      <c r="LH15" s="61"/>
      <c r="LI15" s="61"/>
      <c r="LJ15" s="61"/>
      <c r="LK15" s="61"/>
      <c r="LL15" s="61"/>
      <c r="LM15" s="61"/>
      <c r="LN15" s="61"/>
      <c r="LO15" s="61"/>
      <c r="LP15" s="61"/>
      <c r="LQ15" s="61"/>
      <c r="LR15" s="61"/>
      <c r="LS15" s="61"/>
      <c r="LT15" s="61"/>
      <c r="LU15" s="61"/>
      <c r="LV15" s="61"/>
      <c r="LW15" s="61"/>
      <c r="LX15" s="61"/>
      <c r="LY15" s="61"/>
      <c r="LZ15" s="61"/>
      <c r="MA15" s="61"/>
      <c r="MB15" s="61"/>
      <c r="MC15" s="61"/>
      <c r="MD15" s="61"/>
      <c r="ME15" s="61"/>
      <c r="MF15" s="61"/>
      <c r="MG15" s="61"/>
      <c r="MH15" s="61"/>
      <c r="NF15" s="61"/>
      <c r="NG15" s="61"/>
      <c r="NH15" s="61"/>
      <c r="NI15" s="61"/>
      <c r="NJ15" s="61"/>
      <c r="NK15" s="61"/>
      <c r="NL15" s="61"/>
      <c r="NM15" s="61">
        <v>23</v>
      </c>
      <c r="NN15" s="61"/>
      <c r="NO15" s="61"/>
      <c r="NP15" s="61"/>
      <c r="NQ15" s="61"/>
      <c r="NR15" s="61"/>
      <c r="NS15" s="61"/>
      <c r="NU15" s="61"/>
      <c r="NV15" s="61"/>
      <c r="NW15" s="61"/>
      <c r="NX15" s="61"/>
      <c r="NY15" s="61"/>
      <c r="NZ15" s="61"/>
      <c r="OA15" s="61"/>
      <c r="OB15" s="61"/>
      <c r="OC15" s="61"/>
      <c r="OD15" s="61"/>
      <c r="OE15" s="61"/>
      <c r="OF15" s="61"/>
      <c r="OG15" s="61"/>
      <c r="OH15" s="61"/>
      <c r="OI15" s="61"/>
      <c r="OJ15" s="61"/>
      <c r="OK15" s="61"/>
      <c r="OL15" s="61"/>
      <c r="OM15" s="61"/>
      <c r="ON15" s="61"/>
      <c r="OO15" s="61"/>
      <c r="OP15" s="61"/>
      <c r="OQ15" s="61"/>
      <c r="OR15" s="61"/>
      <c r="OS15" s="61"/>
      <c r="OT15" s="61"/>
      <c r="OU15" s="61"/>
      <c r="OV15" s="61"/>
      <c r="OW15" s="61"/>
      <c r="OX15" s="61"/>
      <c r="OY15" s="61"/>
      <c r="OZ15" s="61"/>
      <c r="PA15" s="61"/>
      <c r="PB15" s="61"/>
      <c r="PC15" s="61"/>
      <c r="PD15" s="61"/>
      <c r="PE15" s="61"/>
      <c r="PF15" s="61"/>
      <c r="PG15" s="61"/>
      <c r="PH15" s="61"/>
      <c r="PI15" s="61"/>
      <c r="PJ15" s="61"/>
      <c r="PK15" s="61"/>
      <c r="PL15" s="61"/>
      <c r="PM15" s="61"/>
      <c r="PN15" s="61"/>
      <c r="PO15" s="61"/>
      <c r="PP15" s="61"/>
      <c r="PQ15" s="61"/>
      <c r="PR15" s="61"/>
      <c r="PS15" s="61"/>
      <c r="PT15" s="61"/>
      <c r="PU15" s="61"/>
      <c r="PV15" s="61"/>
      <c r="PW15" s="61"/>
      <c r="PX15" s="61"/>
      <c r="PY15" s="61"/>
      <c r="PZ15" s="61"/>
      <c r="QA15" s="61"/>
      <c r="QB15" s="61"/>
      <c r="QC15" s="61"/>
      <c r="QD15" s="61"/>
      <c r="QE15" s="61"/>
      <c r="QF15" s="61"/>
      <c r="QG15" s="61"/>
      <c r="QH15" s="61"/>
      <c r="QI15" s="61"/>
      <c r="QJ15" s="61"/>
      <c r="QK15" s="61"/>
      <c r="QL15" s="61"/>
      <c r="QM15" s="61"/>
      <c r="QN15" s="61"/>
      <c r="QO15" s="61"/>
      <c r="QP15" s="61"/>
      <c r="QQ15" s="61"/>
      <c r="QR15" s="61"/>
      <c r="QS15" s="61"/>
      <c r="QT15" s="61"/>
      <c r="QU15" s="61"/>
      <c r="QV15" s="61"/>
      <c r="QW15" s="61"/>
      <c r="QX15" s="61"/>
      <c r="QY15" s="61"/>
      <c r="QZ15" s="61"/>
      <c r="RA15" s="61">
        <v>56</v>
      </c>
      <c r="RB15" s="61"/>
      <c r="RC15" s="61"/>
      <c r="RD15" s="61"/>
      <c r="RE15" s="61"/>
      <c r="RF15" s="61"/>
      <c r="RG15" s="61"/>
      <c r="RJ15" s="61"/>
      <c r="RK15" s="61"/>
      <c r="RL15" s="61"/>
      <c r="RM15" s="61"/>
      <c r="RN15" s="61"/>
      <c r="RO15" s="61"/>
      <c r="RP15" s="61"/>
      <c r="RQ15" s="61"/>
      <c r="RR15" s="61"/>
      <c r="RS15" s="61"/>
      <c r="RT15" s="61"/>
      <c r="RU15" s="61"/>
      <c r="RV15" s="61"/>
      <c r="RW15" s="61"/>
      <c r="RX15" s="61"/>
      <c r="RY15" s="61"/>
      <c r="RZ15" s="61"/>
      <c r="SA15" s="61"/>
      <c r="SB15" s="61"/>
      <c r="SC15" s="61"/>
      <c r="SD15" s="61"/>
      <c r="SE15" s="61"/>
      <c r="SF15" s="61"/>
      <c r="SG15" s="61"/>
      <c r="SH15" s="61"/>
      <c r="SI15" s="61"/>
      <c r="SJ15" s="61"/>
      <c r="SK15" s="61"/>
      <c r="SL15" s="61"/>
      <c r="SM15" s="61"/>
      <c r="SN15" s="61"/>
      <c r="SO15" s="61"/>
      <c r="SP15" s="61"/>
      <c r="SQ15" s="61"/>
      <c r="SR15" s="61"/>
      <c r="SS15" s="61"/>
      <c r="ST15" s="61"/>
      <c r="SU15" s="61"/>
      <c r="SV15" s="61"/>
      <c r="SW15" s="61"/>
      <c r="SX15" s="61"/>
      <c r="SY15" s="61"/>
      <c r="SZ15" s="61"/>
      <c r="TA15" s="61"/>
      <c r="TB15" s="61"/>
      <c r="TC15" s="66"/>
      <c r="TD15" s="66"/>
      <c r="TE15" s="66"/>
      <c r="TF15" s="66"/>
      <c r="TG15" s="66"/>
      <c r="TH15" s="66"/>
      <c r="TI15" s="66"/>
      <c r="TJ15" s="66"/>
      <c r="TK15" s="66"/>
      <c r="TL15" s="66"/>
      <c r="TM15" s="61"/>
      <c r="TN15" s="61"/>
      <c r="TO15" s="61"/>
      <c r="TP15" s="61"/>
      <c r="TQ15" s="61"/>
      <c r="TR15" s="61"/>
      <c r="TS15" s="61"/>
      <c r="TT15" s="61"/>
      <c r="TU15" s="61"/>
      <c r="TV15" s="61"/>
      <c r="TW15" s="61"/>
      <c r="TX15" s="61"/>
      <c r="TY15" s="61"/>
      <c r="TZ15" s="61"/>
      <c r="UA15" s="61"/>
      <c r="UB15" s="61"/>
      <c r="UC15" s="61"/>
      <c r="UD15" s="61"/>
      <c r="UE15" s="61"/>
      <c r="UF15" s="61"/>
      <c r="UG15" s="61"/>
      <c r="UH15" s="61"/>
      <c r="UI15" s="61"/>
      <c r="UJ15" s="61"/>
      <c r="UK15" s="61"/>
      <c r="UL15" s="61"/>
      <c r="UM15" s="61"/>
      <c r="UN15" s="61"/>
      <c r="UO15" s="61"/>
      <c r="UP15" s="61"/>
      <c r="UQ15" s="61"/>
      <c r="UR15" s="61"/>
      <c r="US15" s="61"/>
      <c r="UT15" s="61"/>
      <c r="UU15" s="61"/>
      <c r="UV15" s="61"/>
      <c r="UW15" s="61"/>
      <c r="UX15" s="61"/>
      <c r="UY15" s="61"/>
      <c r="UZ15" s="61"/>
      <c r="VA15" s="61"/>
      <c r="VB15" s="61"/>
      <c r="VC15" s="61"/>
      <c r="VD15" s="61"/>
      <c r="VE15" s="61"/>
      <c r="VF15" s="61"/>
      <c r="VG15" s="61"/>
      <c r="VH15" s="61"/>
      <c r="VI15" s="61"/>
      <c r="VJ15" s="61"/>
      <c r="VK15" s="61"/>
      <c r="VL15" s="61"/>
      <c r="VM15" s="61"/>
      <c r="VN15" s="61"/>
      <c r="VO15" s="61"/>
      <c r="VP15" s="61"/>
      <c r="VQ15" s="61"/>
      <c r="VR15" s="61"/>
      <c r="VS15" s="61"/>
      <c r="VT15" s="61"/>
      <c r="VU15" s="61"/>
      <c r="VV15" s="61"/>
      <c r="VW15" s="61"/>
      <c r="VX15" s="61"/>
      <c r="VY15" s="61"/>
      <c r="VZ15" s="61"/>
      <c r="WA15" s="61"/>
      <c r="WB15" s="61"/>
      <c r="WC15" s="61"/>
      <c r="WD15" s="61"/>
      <c r="WE15" s="61"/>
      <c r="WF15" s="61"/>
      <c r="WG15" s="61"/>
      <c r="WH15" s="61"/>
      <c r="WI15" s="61"/>
      <c r="WJ15" s="61"/>
      <c r="WK15" s="61"/>
      <c r="WL15" s="61"/>
      <c r="WM15" s="61"/>
      <c r="WN15" s="61"/>
      <c r="WO15" s="61"/>
      <c r="WP15" s="61"/>
      <c r="WQ15" s="61"/>
      <c r="WR15" s="61"/>
      <c r="WS15" s="61"/>
      <c r="WT15" s="61"/>
      <c r="WU15" s="61"/>
      <c r="WV15" s="61"/>
      <c r="WW15" s="61"/>
      <c r="WX15" s="61"/>
      <c r="WY15" s="61"/>
      <c r="WZ15" s="61"/>
      <c r="XA15" s="61"/>
      <c r="XB15" s="61"/>
      <c r="XC15" s="61"/>
      <c r="XL15" s="61"/>
      <c r="XM15" s="61"/>
      <c r="XN15" s="61"/>
      <c r="XO15" s="61"/>
      <c r="XP15" s="61"/>
      <c r="XQ15" s="61"/>
      <c r="XR15" s="61"/>
      <c r="XS15" s="61"/>
      <c r="XT15" s="61"/>
      <c r="XU15" s="61"/>
      <c r="XV15" s="61"/>
      <c r="XW15" s="61"/>
      <c r="XX15" s="61"/>
      <c r="XY15" s="61"/>
      <c r="XZ15" s="61"/>
      <c r="YA15" s="61"/>
      <c r="YB15" s="61"/>
      <c r="YC15" s="61"/>
      <c r="YD15" s="61"/>
      <c r="YE15" s="61"/>
      <c r="YF15" s="61"/>
      <c r="YG15" s="61"/>
      <c r="YH15" s="61"/>
      <c r="YI15" s="61"/>
      <c r="YJ15" s="61"/>
      <c r="YK15" s="61"/>
      <c r="YL15" s="61"/>
      <c r="YM15" s="61"/>
      <c r="YN15" s="61"/>
      <c r="YO15" s="61"/>
      <c r="YP15" s="61"/>
      <c r="YQ15" s="61"/>
      <c r="YR15" s="61"/>
      <c r="YS15" s="61"/>
      <c r="YT15" s="61"/>
      <c r="YU15" s="61"/>
      <c r="YV15" s="61"/>
      <c r="YW15" s="61"/>
      <c r="YX15" s="61"/>
      <c r="YY15" s="61"/>
      <c r="YZ15" s="61"/>
      <c r="ZA15" s="61"/>
      <c r="ZB15" s="61"/>
      <c r="ZC15" s="61"/>
      <c r="ZD15" s="61"/>
      <c r="ZE15" s="61"/>
      <c r="ZF15" s="61"/>
      <c r="ZG15" s="61"/>
      <c r="ZH15" s="61"/>
      <c r="ZI15" s="61"/>
      <c r="ZJ15" s="61"/>
      <c r="ZK15" s="61"/>
      <c r="ZL15" s="61"/>
      <c r="ZM15" s="61"/>
      <c r="ZN15" s="61"/>
      <c r="ZO15" s="61"/>
      <c r="ZP15" s="61"/>
      <c r="ZQ15" s="61"/>
      <c r="AAX15" s="61"/>
      <c r="AAY15" s="61"/>
      <c r="AAZ15" s="61"/>
      <c r="ABA15" s="61"/>
      <c r="ABB15" s="61"/>
      <c r="ABC15" s="61"/>
      <c r="ABD15" s="61"/>
      <c r="ABE15" s="61"/>
      <c r="ABF15" s="61"/>
      <c r="ABG15" s="61"/>
      <c r="ABH15" s="61"/>
      <c r="ABI15" s="61"/>
      <c r="ABJ15" s="61"/>
      <c r="ABK15" s="61"/>
      <c r="ABL15" s="61"/>
      <c r="ABM15" s="61"/>
      <c r="ABN15" s="61"/>
      <c r="ABO15" s="61"/>
      <c r="ABP15" s="61"/>
      <c r="ABQ15" s="61"/>
      <c r="ABR15" s="61"/>
      <c r="ABS15" s="61"/>
      <c r="ABT15" s="61"/>
      <c r="ABU15" s="61"/>
      <c r="ABV15" s="61"/>
      <c r="ABW15" s="61"/>
      <c r="ABX15" s="61"/>
      <c r="ABY15" s="61"/>
      <c r="ABZ15" s="61"/>
      <c r="ACA15" s="61"/>
      <c r="ACB15" s="61"/>
      <c r="ACC15" s="61"/>
      <c r="ACD15" s="61"/>
      <c r="ACE15" s="61"/>
      <c r="ACF15" s="61"/>
      <c r="ACG15" s="61"/>
      <c r="ACH15" s="61"/>
      <c r="ACI15" s="61"/>
      <c r="ACJ15" s="61"/>
      <c r="ACK15" s="61"/>
      <c r="ACL15" s="61"/>
      <c r="ACM15" s="61"/>
      <c r="ACN15" s="61"/>
      <c r="ACO15" s="61"/>
      <c r="ACP15" s="61"/>
      <c r="ACQ15" s="61"/>
      <c r="ACR15" s="61"/>
      <c r="ACS15" s="61"/>
      <c r="ACT15" s="61"/>
      <c r="ACU15" s="61"/>
      <c r="ACV15" s="61"/>
      <c r="ACW15" s="61"/>
      <c r="ACX15" s="61"/>
      <c r="ACY15" s="61"/>
      <c r="ACZ15" s="61"/>
      <c r="ADA15" s="61"/>
      <c r="ADB15" s="61"/>
      <c r="ADC15" s="61"/>
      <c r="ADD15" s="61"/>
      <c r="ADE15" s="61"/>
      <c r="ADF15" s="61"/>
      <c r="ADG15" s="61"/>
      <c r="ADH15" s="61"/>
      <c r="ADI15" s="61"/>
      <c r="ADJ15" s="61"/>
      <c r="ADK15" s="61"/>
      <c r="ADL15" s="61"/>
      <c r="ADM15" s="61"/>
      <c r="ADN15" s="61"/>
      <c r="ADO15" s="61"/>
      <c r="ADP15" s="61"/>
      <c r="ADQ15" s="61"/>
      <c r="ADR15" s="61"/>
      <c r="ADS15" s="61"/>
      <c r="ADT15" s="61"/>
      <c r="ADU15" s="61"/>
      <c r="ADV15" s="61"/>
      <c r="ADW15" s="61"/>
      <c r="ADX15" s="61"/>
      <c r="ADY15" s="61"/>
      <c r="ADZ15" s="61"/>
      <c r="AEA15" s="61"/>
      <c r="AEB15" s="61"/>
      <c r="AEC15" s="61"/>
      <c r="AED15" s="61"/>
      <c r="AEE15" s="61"/>
      <c r="AEF15" s="61"/>
      <c r="AEG15" s="61"/>
      <c r="AEH15" s="61"/>
      <c r="AEI15" s="61"/>
      <c r="AEJ15" s="61"/>
      <c r="AEK15" s="61"/>
      <c r="AEL15" s="61"/>
      <c r="AEM15" s="61"/>
      <c r="AEN15" s="61"/>
      <c r="AEO15" s="61"/>
      <c r="AEP15" s="61"/>
      <c r="AEQ15" s="61"/>
      <c r="AER15" s="61"/>
      <c r="AES15" s="61"/>
      <c r="AET15" s="61"/>
      <c r="AEU15" s="62"/>
      <c r="AEV15" s="62"/>
      <c r="AEW15" s="62"/>
      <c r="AEX15" s="62"/>
      <c r="AEY15" s="62"/>
      <c r="AEZ15" s="62"/>
      <c r="AFA15" s="62"/>
      <c r="AFB15" s="62"/>
      <c r="AFC15" s="62"/>
      <c r="AFD15" s="62"/>
      <c r="AFE15" s="62"/>
      <c r="AFF15" s="62"/>
      <c r="AFG15" s="62"/>
      <c r="AFH15" s="62"/>
      <c r="AFI15" s="62"/>
      <c r="AFJ15" s="62"/>
      <c r="AFK15" s="62"/>
      <c r="AFL15" s="62"/>
      <c r="AFM15" s="62"/>
      <c r="AFN15" s="62"/>
      <c r="AFO15" s="62"/>
      <c r="AFP15" s="62"/>
      <c r="AFQ15" s="62"/>
      <c r="AFR15" s="62"/>
      <c r="AFS15" s="62"/>
      <c r="AFT15" s="62"/>
      <c r="AFU15" s="62"/>
      <c r="AFV15" s="62"/>
      <c r="AFW15" s="62"/>
      <c r="AFX15" s="62"/>
      <c r="AFY15" s="62"/>
      <c r="AFZ15" s="62"/>
      <c r="AGA15" s="62"/>
      <c r="AGB15" s="62"/>
      <c r="AGC15" s="62"/>
      <c r="AGD15" s="62"/>
      <c r="AGE15" s="62"/>
      <c r="AGF15" s="62"/>
      <c r="AGG15" s="61"/>
      <c r="AGH15" s="61"/>
      <c r="AGI15" s="61"/>
      <c r="AGJ15" s="61"/>
      <c r="AGK15" s="61"/>
      <c r="AGL15" s="61"/>
      <c r="AGM15" s="61"/>
      <c r="AGN15" s="61"/>
      <c r="AGO15" s="61"/>
      <c r="AGP15" s="61"/>
      <c r="AGQ15" s="61"/>
      <c r="AGR15" s="61"/>
      <c r="AGS15" s="61"/>
      <c r="AGT15" s="61"/>
      <c r="AGU15" s="61"/>
      <c r="AGV15" s="61"/>
      <c r="AGW15" s="61"/>
      <c r="AGX15" s="61"/>
      <c r="AGY15" s="61"/>
      <c r="AGZ15" s="61"/>
      <c r="AHA15" s="61"/>
      <c r="AHB15" s="61"/>
      <c r="AHC15" s="61"/>
      <c r="AHD15" s="61"/>
      <c r="AHE15" s="61"/>
      <c r="AHF15" s="61"/>
      <c r="AHG15" s="61"/>
      <c r="AHH15" s="61"/>
      <c r="AHI15" s="61"/>
      <c r="AHJ15" s="61"/>
      <c r="AHK15" s="61"/>
      <c r="AHL15" s="61"/>
      <c r="AHM15" s="61"/>
      <c r="AHN15" s="61"/>
      <c r="AHO15" s="61"/>
      <c r="AHP15" s="61"/>
      <c r="AHQ15" s="61"/>
      <c r="AHR15" s="61"/>
      <c r="AHS15" s="61"/>
      <c r="AHT15" s="61"/>
      <c r="AHU15" s="61"/>
      <c r="AHV15" s="61"/>
      <c r="AHW15" s="61"/>
      <c r="AHX15" s="61"/>
      <c r="AHY15" s="61"/>
      <c r="AHZ15" s="61"/>
      <c r="AIA15" s="61"/>
      <c r="AIB15" s="61"/>
      <c r="AIC15" s="61"/>
      <c r="AID15" s="61"/>
      <c r="AIE15" s="61"/>
      <c r="AIF15" s="61"/>
      <c r="AIG15" s="62"/>
      <c r="AIH15" s="62"/>
      <c r="AII15" s="62"/>
      <c r="AIJ15" s="61"/>
      <c r="AIK15" s="61"/>
      <c r="AIL15" s="61"/>
      <c r="AIM15" s="61"/>
      <c r="AIN15" s="61"/>
      <c r="AIO15" s="61"/>
      <c r="AIP15" s="61"/>
      <c r="AIQ15" s="61"/>
      <c r="AIR15" s="61"/>
      <c r="AIS15" s="61"/>
      <c r="AIT15" s="61"/>
      <c r="AIU15" s="61"/>
      <c r="AIV15" s="61"/>
      <c r="AIW15" s="61"/>
      <c r="AIX15" s="61"/>
      <c r="AIY15" s="61"/>
      <c r="AIZ15" s="61"/>
      <c r="AJA15" s="61"/>
      <c r="AJB15" s="61"/>
      <c r="AJC15" s="61"/>
      <c r="AJD15" s="61"/>
      <c r="AJE15" s="61"/>
      <c r="AJF15" s="61"/>
      <c r="AJG15" s="61"/>
      <c r="AJH15" s="61"/>
      <c r="AJI15" s="61"/>
      <c r="AJJ15" s="61"/>
      <c r="AJK15" s="61"/>
      <c r="AJL15" s="61"/>
      <c r="AJM15" s="61"/>
      <c r="AJN15" s="62"/>
      <c r="AJO15" s="62"/>
      <c r="AJP15" s="62"/>
      <c r="AJQ15" s="61"/>
      <c r="AJR15" s="61"/>
      <c r="AJS15" s="61"/>
      <c r="AJT15" s="61"/>
      <c r="AJU15" s="61"/>
      <c r="AJV15" s="61"/>
      <c r="AJW15" s="61"/>
      <c r="AJX15" s="61"/>
      <c r="AJY15" s="61"/>
      <c r="AJZ15" s="61"/>
      <c r="AKA15" s="61"/>
      <c r="AKB15" s="61"/>
      <c r="AKC15" s="61"/>
      <c r="AKD15" s="61"/>
      <c r="AKE15" s="61"/>
      <c r="AKF15" s="61"/>
      <c r="AKG15" s="61"/>
      <c r="AKH15" s="61"/>
      <c r="AKI15" s="61"/>
      <c r="AKJ15" s="61"/>
      <c r="AKK15" s="61"/>
      <c r="AKL15" s="61"/>
      <c r="AKM15" s="61"/>
      <c r="AKN15" s="61"/>
      <c r="AKO15" s="61"/>
      <c r="AKP15" s="61"/>
      <c r="AKQ15" s="61"/>
      <c r="AKR15" s="61"/>
      <c r="AKS15" s="61"/>
      <c r="AKT15" s="61"/>
      <c r="AKU15" s="61"/>
      <c r="AKV15" s="61"/>
      <c r="AKW15" s="61"/>
      <c r="AKX15" s="62"/>
      <c r="AKY15" s="62"/>
      <c r="AKZ15" s="61"/>
      <c r="ALA15" s="61"/>
      <c r="ALB15" s="61"/>
      <c r="ALC15" s="61"/>
      <c r="ALD15" s="61"/>
      <c r="ALE15" s="61"/>
      <c r="ALF15" s="61"/>
      <c r="ALG15" s="61"/>
      <c r="ALH15" s="61"/>
      <c r="ALI15" s="61"/>
      <c r="ALJ15" s="61"/>
      <c r="ALK15" s="61"/>
      <c r="ALL15" s="61"/>
      <c r="ALM15" s="61"/>
      <c r="ALN15" s="61"/>
      <c r="ALO15" s="61"/>
      <c r="ALP15" s="61"/>
      <c r="ALQ15" s="61"/>
      <c r="ALR15" s="61"/>
      <c r="ALS15" s="61"/>
      <c r="ALT15" s="61"/>
      <c r="ALU15" s="61"/>
      <c r="ALV15" s="61"/>
      <c r="ALW15" s="61"/>
      <c r="ALX15" s="61"/>
      <c r="ALY15" s="61"/>
      <c r="ALZ15" s="61"/>
      <c r="AMA15" s="61"/>
      <c r="AMB15" s="61"/>
      <c r="AMC15" s="61"/>
      <c r="AMD15" s="61"/>
      <c r="AME15" s="61"/>
      <c r="AMF15" s="61"/>
      <c r="AMG15" s="61"/>
      <c r="AMH15" s="61"/>
      <c r="AMI15" s="61"/>
      <c r="AMJ15" s="61"/>
      <c r="AMK15" s="61"/>
      <c r="AML15" s="61"/>
      <c r="AMM15" s="61"/>
      <c r="AMN15" s="61"/>
      <c r="AMO15" s="61"/>
      <c r="AMP15" s="61"/>
      <c r="AMQ15" s="61"/>
      <c r="AMR15" s="61"/>
      <c r="AMS15" s="61"/>
      <c r="AMT15" s="61"/>
      <c r="AMU15" s="61"/>
      <c r="AMV15" s="61"/>
      <c r="AMW15" s="61"/>
      <c r="AMX15" s="61"/>
      <c r="AMY15" s="61"/>
      <c r="AMZ15" s="61"/>
      <c r="ANA15" s="61"/>
      <c r="ANB15" s="61"/>
      <c r="ANC15" s="61"/>
      <c r="AND15" s="61"/>
      <c r="ANE15" s="61"/>
      <c r="ANF15" s="61"/>
      <c r="ANG15" s="61"/>
      <c r="ANH15" s="61"/>
      <c r="ANI15" s="61"/>
      <c r="ANJ15" s="61"/>
      <c r="ANK15" s="61"/>
      <c r="ANL15" s="61"/>
      <c r="ANM15" s="61"/>
      <c r="ANN15" s="61"/>
      <c r="ANO15" s="61"/>
      <c r="ANP15" s="61"/>
      <c r="ANQ15" s="61"/>
      <c r="ANR15" s="61"/>
      <c r="ANS15" s="61"/>
      <c r="ANT15" s="61"/>
      <c r="ANU15" s="61"/>
      <c r="ANV15" s="61"/>
      <c r="ANW15" s="61"/>
      <c r="ANX15" s="61"/>
      <c r="ANY15" s="61"/>
      <c r="ANZ15" s="61"/>
      <c r="AOA15" s="61"/>
      <c r="AOB15" s="61"/>
      <c r="AOC15" s="61"/>
      <c r="AOD15" s="61"/>
      <c r="AOE15" s="61"/>
      <c r="AOF15" s="61"/>
      <c r="AOG15" s="61"/>
      <c r="AOH15" s="61"/>
      <c r="AOI15" s="61"/>
      <c r="AOJ15" s="61"/>
      <c r="AOK15" s="61"/>
      <c r="AOL15" s="61"/>
      <c r="AOM15" s="61"/>
      <c r="AON15" s="61"/>
      <c r="AOO15" s="61"/>
      <c r="AOP15" s="61"/>
      <c r="AOQ15" s="61"/>
      <c r="AOR15" s="61"/>
      <c r="AOS15" s="61"/>
      <c r="AOT15" s="61"/>
      <c r="AOU15" s="61"/>
      <c r="AOV15" s="61"/>
      <c r="AOW15" s="61"/>
      <c r="AOX15" s="61"/>
      <c r="AOY15" s="61"/>
      <c r="AOZ15" s="61"/>
      <c r="APA15" s="61"/>
      <c r="APB15" s="61"/>
      <c r="APC15" s="61"/>
      <c r="APD15" s="61"/>
      <c r="APE15" s="61"/>
      <c r="APF15" s="61"/>
      <c r="APG15" s="61"/>
      <c r="APH15" s="61"/>
      <c r="API15" s="61"/>
      <c r="APJ15" s="61"/>
      <c r="APK15" s="61"/>
      <c r="APL15" s="61"/>
      <c r="APM15" s="61"/>
      <c r="APN15" s="61"/>
      <c r="APO15" s="61"/>
      <c r="APP15" s="61"/>
      <c r="APQ15" s="61"/>
      <c r="APR15" s="61"/>
      <c r="APS15" s="61"/>
      <c r="APT15" s="61"/>
      <c r="APU15" s="61"/>
      <c r="APV15" s="61"/>
      <c r="APW15" s="61"/>
      <c r="APX15" s="61"/>
      <c r="APY15" s="61"/>
      <c r="APZ15" s="61"/>
      <c r="AQA15" s="61"/>
      <c r="AQB15" s="61"/>
      <c r="AQC15" s="61"/>
      <c r="AQD15" s="61"/>
      <c r="AQE15" s="61"/>
      <c r="ARV15" s="66"/>
      <c r="ARW15" s="66"/>
      <c r="ARX15" s="66"/>
      <c r="ARY15" s="66"/>
      <c r="ARZ15" s="66"/>
      <c r="ASA15" s="66"/>
      <c r="ASB15" s="66"/>
      <c r="ASC15" s="66"/>
      <c r="ASD15" s="61"/>
      <c r="ASE15" s="61"/>
      <c r="ASF15" s="61"/>
      <c r="ASG15" s="61"/>
      <c r="ASH15" s="61"/>
      <c r="ASI15" s="61"/>
      <c r="ASJ15" s="61"/>
      <c r="ASK15" s="61"/>
      <c r="ASL15" s="61"/>
      <c r="ASM15" s="61"/>
      <c r="ASN15" s="61"/>
      <c r="ASO15" s="61"/>
      <c r="ASP15" s="61"/>
      <c r="ASQ15" s="61"/>
      <c r="ASR15" s="61"/>
      <c r="ASS15" s="61"/>
      <c r="AST15" s="61"/>
      <c r="ASU15" s="61"/>
      <c r="ASV15" s="61"/>
      <c r="ASW15" s="61"/>
      <c r="ASX15" s="61"/>
      <c r="ASY15" s="61"/>
      <c r="ASZ15" s="61"/>
      <c r="ATA15" s="61"/>
      <c r="ATB15" s="61"/>
      <c r="ATC15" s="61"/>
      <c r="ATD15" s="61"/>
      <c r="ATE15" s="61"/>
      <c r="ATF15" s="61"/>
      <c r="ATG15" s="61"/>
      <c r="ATH15" s="61"/>
      <c r="ATI15" s="61"/>
      <c r="ATJ15" s="61"/>
      <c r="ATK15" s="61"/>
      <c r="ATL15" s="61"/>
      <c r="ATM15" s="61"/>
      <c r="ATN15" s="61"/>
      <c r="ATO15" s="61"/>
      <c r="ATP15" s="61"/>
      <c r="ATQ15" s="62"/>
      <c r="ATR15" s="62"/>
      <c r="ATS15" s="62"/>
      <c r="ATT15" s="62"/>
      <c r="ATU15" s="62"/>
      <c r="ATV15" s="61"/>
      <c r="ATW15" s="61"/>
      <c r="AWN15" s="61"/>
      <c r="AWO15" s="61"/>
      <c r="AWP15" s="61"/>
      <c r="AWQ15" s="61"/>
      <c r="AWR15" s="61"/>
      <c r="AWS15" s="61"/>
      <c r="AWT15" s="61"/>
      <c r="AWU15" s="61"/>
      <c r="AWV15" s="61"/>
      <c r="AWW15" s="61"/>
      <c r="AWX15" s="61"/>
      <c r="AWY15" s="61"/>
      <c r="AWZ15" s="61"/>
      <c r="AXA15" s="61"/>
      <c r="AXB15" s="61"/>
      <c r="AXC15" s="61"/>
      <c r="AXD15" s="61"/>
      <c r="AXE15" s="61"/>
      <c r="AXF15" s="61"/>
      <c r="AXG15" s="61"/>
      <c r="AXH15" s="61"/>
      <c r="AXI15" s="61"/>
      <c r="AXJ15" s="61"/>
      <c r="AXK15" s="61"/>
      <c r="AXL15" s="61"/>
      <c r="AXM15" s="61"/>
      <c r="AXN15" s="61"/>
      <c r="AXO15" s="61"/>
      <c r="AXP15" s="61"/>
      <c r="AXQ15" s="61"/>
      <c r="AXR15" s="61"/>
      <c r="AXS15" s="61"/>
      <c r="AXT15" s="61"/>
      <c r="AXU15" s="61"/>
      <c r="AXV15" s="61"/>
      <c r="AXW15" s="61"/>
      <c r="AXX15" s="61"/>
      <c r="AXY15" s="61"/>
      <c r="AXZ15" s="61"/>
      <c r="AYA15" s="61"/>
      <c r="AYB15" s="61"/>
      <c r="AYC15" s="61"/>
      <c r="AYD15" s="61"/>
      <c r="AYE15" s="61"/>
      <c r="AYF15" s="61"/>
      <c r="AYG15" s="61"/>
      <c r="AYH15" s="61"/>
      <c r="AYI15" s="61"/>
      <c r="AYJ15" s="61"/>
      <c r="AYK15" s="61"/>
      <c r="AYL15" s="61"/>
      <c r="AYM15" s="61"/>
      <c r="AYN15" s="61"/>
      <c r="AYO15" s="61"/>
      <c r="AYP15" s="61"/>
      <c r="AYQ15" s="61"/>
      <c r="AYR15" s="61"/>
      <c r="AYS15" s="61"/>
      <c r="AYT15" s="61"/>
      <c r="AYU15" s="61"/>
      <c r="AYV15" s="61"/>
      <c r="AYW15" s="61"/>
      <c r="AYX15" s="61"/>
      <c r="AYY15" s="61"/>
      <c r="AYZ15" s="61"/>
      <c r="AZA15" s="61"/>
      <c r="AZB15" s="61"/>
      <c r="AZC15" s="61"/>
      <c r="AZD15" s="61"/>
      <c r="AZE15" s="61"/>
      <c r="AZF15" s="61"/>
      <c r="AZG15" s="61"/>
      <c r="AZH15" s="61"/>
      <c r="AZI15" s="61"/>
      <c r="AZJ15" s="61"/>
      <c r="AZK15" s="61"/>
      <c r="AZL15" s="61"/>
      <c r="AZM15" s="61"/>
      <c r="AZN15" s="61"/>
      <c r="AZO15" s="61"/>
      <c r="AZP15" s="61"/>
      <c r="AZQ15" s="61"/>
      <c r="AZR15" s="61"/>
      <c r="AZS15" s="61"/>
      <c r="AZT15" s="61"/>
      <c r="AZU15" s="61"/>
      <c r="AZV15" s="61"/>
      <c r="AZW15" s="61"/>
      <c r="AZX15" s="61"/>
      <c r="AZY15" s="61"/>
      <c r="AZZ15" s="61"/>
      <c r="BAA15" s="61"/>
      <c r="BAB15" s="61"/>
      <c r="BAC15" s="61"/>
      <c r="BAD15" s="61"/>
      <c r="BAE15" s="61"/>
      <c r="BAF15" s="61"/>
      <c r="BAG15" s="61"/>
      <c r="BAH15" s="61"/>
      <c r="BAI15" s="61"/>
      <c r="BAJ15" s="61"/>
      <c r="BAK15" s="61"/>
      <c r="BAL15" s="61"/>
      <c r="BAM15" s="61"/>
      <c r="BAN15" s="61"/>
      <c r="BAO15" s="61"/>
      <c r="BAP15" s="61"/>
      <c r="BAQ15" s="61"/>
      <c r="BAR15" s="61"/>
      <c r="BAS15" s="61"/>
      <c r="BAT15" s="61"/>
      <c r="BAU15" s="61"/>
      <c r="BAV15" s="61"/>
      <c r="BAW15" s="61"/>
      <c r="BAX15" s="61"/>
      <c r="BAY15" s="61"/>
      <c r="BAZ15" s="61"/>
      <c r="BBA15" s="61"/>
      <c r="BBB15" s="61"/>
      <c r="BBC15" s="61"/>
      <c r="BBD15" s="61"/>
      <c r="BBE15" s="61"/>
      <c r="BBF15" s="61"/>
      <c r="BBG15" s="61"/>
      <c r="BBH15" s="61"/>
      <c r="BBI15" s="61"/>
      <c r="BBJ15" s="61"/>
      <c r="BBK15" s="61"/>
      <c r="BBL15" s="61"/>
      <c r="BBM15" s="61"/>
      <c r="BBN15" s="61"/>
      <c r="BBO15" s="61"/>
      <c r="BBP15" s="61"/>
      <c r="BBQ15" s="61"/>
      <c r="BBR15" s="61"/>
      <c r="BBS15" s="61"/>
      <c r="BBT15" s="61"/>
      <c r="BBU15" s="61"/>
      <c r="BBV15" s="61"/>
      <c r="BBW15" s="61"/>
      <c r="BBX15" s="61"/>
      <c r="BBY15" s="61"/>
      <c r="BBZ15" s="61"/>
      <c r="BCA15" s="61"/>
      <c r="BCB15" s="61"/>
      <c r="BCC15" s="61"/>
      <c r="BCD15" s="61"/>
      <c r="BCE15" s="61"/>
      <c r="BCF15" s="61"/>
      <c r="BCG15" s="61"/>
      <c r="BCH15" s="61"/>
      <c r="BCI15" s="61"/>
      <c r="BCJ15" s="61"/>
      <c r="BCK15" s="61"/>
      <c r="BCL15" s="61"/>
      <c r="BCM15" s="61"/>
      <c r="BCN15" s="61"/>
      <c r="BCO15" s="61"/>
      <c r="BCP15" s="61"/>
      <c r="BCQ15" s="61"/>
      <c r="BCR15" s="61"/>
      <c r="BCS15" s="61"/>
      <c r="BCT15" s="61"/>
      <c r="BCU15" s="61"/>
      <c r="BCV15" s="61"/>
      <c r="BCW15" s="61"/>
      <c r="BCX15" s="61"/>
      <c r="BCY15" s="61"/>
      <c r="BCZ15" s="61"/>
      <c r="BDA15" s="61"/>
      <c r="BDB15" s="61"/>
      <c r="BDC15" s="61"/>
      <c r="BDD15" s="61"/>
      <c r="BDE15" s="61"/>
      <c r="BDF15" s="61"/>
      <c r="BDG15" s="61"/>
      <c r="BDH15" s="61"/>
      <c r="BDI15" s="61"/>
      <c r="BDJ15" s="61"/>
      <c r="BDK15" s="61"/>
      <c r="BDL15" s="61"/>
      <c r="BDM15" s="61"/>
      <c r="BDN15" s="61"/>
      <c r="BDO15" s="61"/>
      <c r="BDP15" s="61"/>
      <c r="BDQ15" s="61"/>
      <c r="BDR15" s="61"/>
      <c r="BDS15" s="61"/>
      <c r="BDT15" s="61"/>
      <c r="BDU15" s="61"/>
      <c r="BDV15" s="61"/>
      <c r="BDW15" s="61"/>
      <c r="BDX15" s="61"/>
      <c r="BDY15" s="61"/>
      <c r="BDZ15" s="61"/>
      <c r="BEA15" s="61"/>
      <c r="BEB15" s="61"/>
      <c r="BEC15" s="61"/>
      <c r="BED15" s="61"/>
      <c r="BEE15" s="61"/>
      <c r="BEF15" s="61"/>
      <c r="BEG15" s="61"/>
      <c r="BEH15" s="61"/>
      <c r="BEI15" s="61"/>
      <c r="BEJ15" s="61"/>
      <c r="BEK15" s="61"/>
      <c r="BEL15" s="61"/>
      <c r="BEM15" s="61"/>
      <c r="BEN15" s="61"/>
      <c r="BEO15" s="61"/>
      <c r="BEP15" s="61"/>
      <c r="BEQ15" s="61"/>
      <c r="BER15" s="61"/>
      <c r="BES15" s="61"/>
      <c r="BOA15" s="59">
        <v>69</v>
      </c>
      <c r="BOC15" s="59">
        <v>1</v>
      </c>
      <c r="BOD15" s="59">
        <v>20.100000000000001</v>
      </c>
      <c r="BOF15" s="59">
        <v>1</v>
      </c>
      <c r="BOG15" s="59">
        <v>16</v>
      </c>
      <c r="BRN15" s="59">
        <v>1</v>
      </c>
      <c r="BSG15" s="59">
        <v>1</v>
      </c>
      <c r="BSM15" s="59">
        <v>1</v>
      </c>
      <c r="BYJ15" s="65"/>
      <c r="BYY15" s="59">
        <v>1000</v>
      </c>
      <c r="BYZ15" s="59">
        <v>500</v>
      </c>
      <c r="BZA15" s="59">
        <v>1</v>
      </c>
      <c r="BZD15" s="59">
        <v>1</v>
      </c>
      <c r="BZF15" s="69">
        <v>10</v>
      </c>
      <c r="BZG15" s="59">
        <v>2</v>
      </c>
      <c r="BZH15" s="59">
        <v>0</v>
      </c>
      <c r="BZI15" s="59">
        <v>999</v>
      </c>
      <c r="BZJ15" s="59">
        <v>2</v>
      </c>
      <c r="BZL15" s="59">
        <v>0</v>
      </c>
      <c r="DMD15" s="59">
        <v>1</v>
      </c>
      <c r="DMG15" s="59">
        <v>1</v>
      </c>
      <c r="DMH15" s="71">
        <v>29</v>
      </c>
      <c r="DMI15" s="59">
        <v>999</v>
      </c>
      <c r="DMJ15" s="59">
        <v>0</v>
      </c>
      <c r="DMK15" s="59">
        <v>999</v>
      </c>
      <c r="DML15" s="59">
        <v>6</v>
      </c>
      <c r="FYT15" s="59">
        <v>1</v>
      </c>
      <c r="FYW15" s="59">
        <v>1</v>
      </c>
      <c r="FYX15" s="71">
        <v>29</v>
      </c>
      <c r="FYY15" s="59">
        <v>999</v>
      </c>
      <c r="FYZ15" s="59">
        <v>0</v>
      </c>
      <c r="FZA15" s="59">
        <v>999</v>
      </c>
      <c r="FZB15" s="59">
        <v>6</v>
      </c>
      <c r="GYL15" s="59">
        <v>1</v>
      </c>
      <c r="GZA15" s="59">
        <v>1</v>
      </c>
      <c r="HFE15" s="59">
        <v>1</v>
      </c>
      <c r="HGG15" s="59">
        <v>1</v>
      </c>
    </row>
    <row r="16" spans="1:5809" s="59" customFormat="1" x14ac:dyDescent="0.25">
      <c r="A16" s="59">
        <v>3000983</v>
      </c>
      <c r="B16" s="60" t="s">
        <v>4189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1"/>
      <c r="FW16" s="61"/>
      <c r="FX16" s="61"/>
      <c r="FY16" s="61"/>
      <c r="FZ16" s="61"/>
      <c r="GA16" s="61"/>
      <c r="GB16" s="61"/>
      <c r="GC16" s="61"/>
      <c r="GD16" s="61"/>
      <c r="GE16" s="61"/>
      <c r="GF16" s="61"/>
      <c r="GG16" s="61"/>
      <c r="GH16" s="61"/>
      <c r="GI16" s="61"/>
      <c r="GJ16" s="61"/>
      <c r="GK16" s="61"/>
      <c r="GL16" s="61"/>
      <c r="GM16" s="61"/>
      <c r="GN16" s="61"/>
      <c r="GO16" s="61"/>
      <c r="GP16" s="61"/>
      <c r="GQ16" s="61"/>
      <c r="GR16" s="61"/>
      <c r="GS16" s="61"/>
      <c r="GT16" s="61"/>
      <c r="GU16" s="61"/>
      <c r="GV16" s="61"/>
      <c r="GW16" s="61"/>
      <c r="GX16" s="62"/>
      <c r="GY16" s="62"/>
      <c r="GZ16" s="62"/>
      <c r="HA16" s="62"/>
      <c r="HB16" s="62"/>
      <c r="HC16" s="62"/>
      <c r="HD16" s="62"/>
      <c r="HE16" s="62"/>
      <c r="HF16" s="62"/>
      <c r="HG16" s="62"/>
      <c r="HH16" s="62"/>
      <c r="HI16" s="62"/>
      <c r="HJ16" s="62"/>
      <c r="HK16" s="62"/>
      <c r="HL16" s="62"/>
      <c r="HM16" s="62"/>
      <c r="HN16" s="62"/>
      <c r="HO16" s="62"/>
      <c r="HP16" s="62"/>
      <c r="HQ16" s="61"/>
      <c r="HR16" s="61"/>
      <c r="HS16" s="61"/>
      <c r="HT16" s="61"/>
      <c r="HU16" s="61">
        <v>7900</v>
      </c>
      <c r="HV16" s="59">
        <v>10000</v>
      </c>
      <c r="HW16" s="61"/>
      <c r="HX16" s="61"/>
      <c r="HY16" s="61"/>
      <c r="HZ16" s="61"/>
      <c r="IA16" s="61"/>
      <c r="IB16" s="61"/>
      <c r="IC16" s="61"/>
      <c r="ID16" s="61"/>
      <c r="IE16" s="61"/>
      <c r="IF16" s="61"/>
      <c r="IG16" s="61"/>
      <c r="IH16" s="61"/>
      <c r="II16" s="61"/>
      <c r="IJ16" s="61"/>
      <c r="IK16" s="61"/>
      <c r="IL16" s="61"/>
      <c r="IM16" s="61"/>
      <c r="IN16" s="59">
        <v>8000</v>
      </c>
      <c r="JA16" s="61"/>
      <c r="JB16" s="61"/>
      <c r="JC16" s="61"/>
      <c r="JD16" s="61"/>
      <c r="JE16" s="61"/>
      <c r="JF16" s="61"/>
      <c r="JG16" s="61"/>
      <c r="JH16" s="61"/>
      <c r="JI16" s="61"/>
      <c r="JJ16" s="61"/>
      <c r="JK16" s="61"/>
      <c r="JL16" s="61"/>
      <c r="JM16" s="61"/>
      <c r="JN16" s="61"/>
      <c r="JO16" s="61"/>
      <c r="JP16" s="61"/>
      <c r="JQ16" s="61"/>
      <c r="JR16" s="61"/>
      <c r="JS16" s="61"/>
      <c r="JT16" s="61"/>
      <c r="JU16" s="59">
        <v>28</v>
      </c>
      <c r="JV16" s="59">
        <v>131</v>
      </c>
      <c r="JW16" s="61"/>
      <c r="JX16" s="61"/>
      <c r="JY16" s="61"/>
      <c r="JZ16" s="61"/>
      <c r="KA16" s="61"/>
      <c r="KB16" s="61"/>
      <c r="KC16" s="61"/>
      <c r="KD16" s="61"/>
      <c r="KE16" s="61"/>
      <c r="KF16" s="61"/>
      <c r="KG16" s="61"/>
      <c r="KH16" s="61"/>
      <c r="KI16" s="61"/>
      <c r="KJ16" s="61"/>
      <c r="KK16" s="61"/>
      <c r="KL16" s="61"/>
      <c r="KM16" s="61"/>
      <c r="KN16" s="61"/>
      <c r="KO16" s="61"/>
      <c r="KP16" s="61"/>
      <c r="KQ16" s="61"/>
      <c r="KR16" s="61"/>
      <c r="KS16" s="59">
        <v>135</v>
      </c>
      <c r="KT16" s="61"/>
      <c r="KU16" s="61"/>
      <c r="KV16" s="61"/>
      <c r="KW16" s="61"/>
      <c r="KX16" s="61"/>
      <c r="KY16" s="61"/>
      <c r="KZ16" s="61"/>
      <c r="LA16" s="61"/>
      <c r="LB16" s="61"/>
      <c r="LC16" s="61"/>
      <c r="LD16" s="61"/>
      <c r="LE16" s="61"/>
      <c r="LF16" s="61"/>
      <c r="LG16" s="61"/>
      <c r="LH16" s="61"/>
      <c r="LI16" s="61"/>
      <c r="LJ16" s="61"/>
      <c r="LK16" s="61"/>
      <c r="LL16" s="61"/>
      <c r="LM16" s="61"/>
      <c r="LN16" s="61"/>
      <c r="LO16" s="61"/>
      <c r="LP16" s="61"/>
      <c r="LQ16" s="61"/>
      <c r="LR16" s="61"/>
      <c r="LS16" s="61"/>
      <c r="LT16" s="61"/>
      <c r="LU16" s="61"/>
      <c r="LV16" s="61"/>
      <c r="LW16" s="61"/>
      <c r="LX16" s="61"/>
      <c r="LY16" s="61"/>
      <c r="LZ16" s="61"/>
      <c r="MA16" s="61"/>
      <c r="MB16" s="61"/>
      <c r="MC16" s="61"/>
      <c r="MD16" s="61"/>
      <c r="ME16" s="61"/>
      <c r="MF16" s="61"/>
      <c r="MG16" s="61"/>
      <c r="MH16" s="61"/>
      <c r="MI16" s="61"/>
      <c r="MJ16" s="61"/>
      <c r="MK16" s="61"/>
      <c r="ML16" s="61"/>
      <c r="MM16" s="61"/>
      <c r="MN16" s="61"/>
      <c r="MO16" s="61"/>
      <c r="MP16" s="61"/>
      <c r="MQ16" s="61"/>
      <c r="MR16" s="61"/>
      <c r="MS16" s="61"/>
      <c r="MT16" s="61"/>
      <c r="MU16" s="61"/>
      <c r="MV16" s="61"/>
      <c r="MW16" s="61"/>
      <c r="MX16" s="61"/>
      <c r="MY16" s="61"/>
      <c r="MZ16" s="61"/>
      <c r="NA16" s="61"/>
      <c r="NB16" s="61"/>
      <c r="NC16" s="61"/>
      <c r="ND16" s="61"/>
      <c r="NE16" s="61"/>
      <c r="NF16" s="61"/>
      <c r="NG16" s="61"/>
      <c r="NH16" s="61"/>
      <c r="NI16" s="61"/>
      <c r="NJ16" s="59">
        <v>28</v>
      </c>
      <c r="NK16" s="59">
        <v>241</v>
      </c>
      <c r="NL16" s="61"/>
      <c r="NM16" s="61"/>
      <c r="NN16" s="61"/>
      <c r="NO16" s="61"/>
      <c r="NP16" s="61"/>
      <c r="NQ16" s="61"/>
      <c r="NR16" s="61"/>
      <c r="NS16" s="61"/>
      <c r="NT16" s="61"/>
      <c r="NU16" s="61"/>
      <c r="NV16" s="61"/>
      <c r="NW16" s="61"/>
      <c r="NX16" s="61"/>
      <c r="NY16" s="61"/>
      <c r="NZ16" s="61"/>
      <c r="OA16" s="61"/>
      <c r="OB16" s="61"/>
      <c r="OC16" s="61"/>
      <c r="OD16" s="61"/>
      <c r="OE16" s="61"/>
      <c r="OF16" s="61"/>
      <c r="OG16" s="61"/>
      <c r="OH16" s="59">
        <v>264</v>
      </c>
      <c r="PZ16" s="61"/>
      <c r="QA16" s="61"/>
      <c r="QB16" s="61"/>
      <c r="QC16" s="61"/>
      <c r="QD16" s="61"/>
      <c r="QE16" s="61"/>
      <c r="QF16" s="61"/>
      <c r="QG16" s="61"/>
      <c r="QH16" s="61"/>
      <c r="QI16" s="61"/>
      <c r="QJ16" s="61"/>
      <c r="QK16" s="61"/>
      <c r="QL16" s="61"/>
      <c r="QM16" s="61"/>
      <c r="QN16" s="61"/>
      <c r="QO16" s="61"/>
      <c r="QP16" s="61"/>
      <c r="QQ16" s="61"/>
      <c r="QR16" s="61"/>
      <c r="QS16" s="61"/>
      <c r="QT16" s="61"/>
      <c r="QU16" s="61"/>
      <c r="QV16" s="61"/>
      <c r="QW16" s="61"/>
      <c r="QX16" s="59">
        <v>22</v>
      </c>
      <c r="QY16" s="59">
        <v>943</v>
      </c>
      <c r="RA16" s="61"/>
      <c r="RB16" s="61"/>
      <c r="RC16" s="61"/>
      <c r="RD16" s="61"/>
      <c r="RE16" s="61"/>
      <c r="RF16" s="61"/>
      <c r="RG16" s="61"/>
      <c r="RH16" s="61"/>
      <c r="RI16" s="61"/>
      <c r="RJ16" s="61"/>
      <c r="RK16" s="61"/>
      <c r="RL16" s="61"/>
      <c r="RM16" s="61"/>
      <c r="RN16" s="61"/>
      <c r="RO16" s="61"/>
      <c r="RP16" s="61"/>
      <c r="RQ16" s="61"/>
      <c r="RR16" s="61"/>
      <c r="RS16" s="61"/>
      <c r="RT16" s="59">
        <v>847</v>
      </c>
      <c r="TC16" s="66"/>
      <c r="TD16" s="66"/>
      <c r="TE16" s="66"/>
      <c r="TF16" s="66"/>
      <c r="TG16" s="66"/>
      <c r="TH16" s="66"/>
      <c r="TI16" s="66"/>
      <c r="TJ16" s="66"/>
      <c r="TK16" s="66"/>
      <c r="TL16" s="66"/>
      <c r="TM16" s="61"/>
      <c r="TN16" s="61"/>
      <c r="TO16" s="61"/>
      <c r="TP16" s="59">
        <v>511</v>
      </c>
      <c r="TQ16" s="59">
        <v>511</v>
      </c>
      <c r="TR16" s="61"/>
      <c r="TS16" s="61"/>
      <c r="TT16" s="61"/>
      <c r="TU16" s="61"/>
      <c r="TV16" s="61"/>
      <c r="TW16" s="61"/>
      <c r="TX16" s="61"/>
      <c r="TY16" s="61"/>
      <c r="TZ16" s="61"/>
      <c r="UA16" s="61"/>
      <c r="UB16" s="61"/>
      <c r="UC16" s="61"/>
      <c r="UD16" s="61"/>
      <c r="UE16" s="61"/>
      <c r="UF16" s="61"/>
      <c r="UG16" s="61"/>
      <c r="UH16" s="61"/>
      <c r="UI16" s="61"/>
      <c r="UJ16" s="61"/>
      <c r="UK16" s="61"/>
      <c r="UL16" s="61"/>
      <c r="VJ16" s="61"/>
      <c r="VK16" s="61"/>
      <c r="VL16" s="61"/>
      <c r="VM16" s="61"/>
      <c r="VN16" s="61"/>
      <c r="VO16" s="61"/>
      <c r="VP16" s="61"/>
      <c r="VQ16" s="61"/>
      <c r="VR16" s="61"/>
      <c r="VS16" s="61"/>
      <c r="VT16" s="61"/>
      <c r="VU16" s="61"/>
      <c r="VV16" s="61"/>
      <c r="VW16" s="61"/>
      <c r="VX16" s="61"/>
      <c r="VY16" s="61"/>
      <c r="VZ16" s="61"/>
      <c r="WA16" s="61"/>
      <c r="WB16" s="61"/>
      <c r="WC16" s="61"/>
      <c r="WD16" s="61"/>
      <c r="WE16" s="61"/>
      <c r="WF16" s="61"/>
      <c r="WG16" s="61"/>
      <c r="WH16" s="61"/>
      <c r="WI16" s="61"/>
      <c r="WJ16" s="61"/>
      <c r="WK16" s="61"/>
      <c r="WL16" s="61"/>
      <c r="WM16" s="61"/>
      <c r="WN16" s="61"/>
      <c r="WO16" s="61"/>
      <c r="WP16" s="61"/>
      <c r="WQ16" s="61"/>
      <c r="WR16" s="61"/>
      <c r="WS16" s="61"/>
      <c r="WT16" s="61"/>
      <c r="WU16" s="61"/>
      <c r="WV16" s="61"/>
      <c r="WW16" s="61"/>
      <c r="WX16" s="61"/>
      <c r="WY16" s="61"/>
      <c r="WZ16" s="61"/>
      <c r="XA16" s="61"/>
      <c r="XB16" s="61"/>
      <c r="XC16" s="61"/>
      <c r="XD16" s="61"/>
      <c r="XE16" s="61"/>
      <c r="XF16" s="61"/>
      <c r="XG16" s="61"/>
      <c r="XH16" s="61"/>
      <c r="XI16" s="61"/>
      <c r="XJ16" s="61"/>
      <c r="XK16" s="61"/>
      <c r="XL16" s="61"/>
      <c r="XM16" s="61"/>
      <c r="XN16" s="61"/>
      <c r="XO16" s="61"/>
      <c r="XP16" s="61"/>
      <c r="XQ16" s="61"/>
      <c r="XR16" s="61"/>
      <c r="XS16" s="61"/>
      <c r="XT16" s="61"/>
      <c r="XU16" s="61"/>
      <c r="XV16" s="61"/>
      <c r="XW16" s="61"/>
      <c r="XX16" s="61"/>
      <c r="XY16" s="61"/>
      <c r="XZ16" s="61"/>
      <c r="YA16" s="61"/>
      <c r="YB16" s="61"/>
      <c r="YC16" s="61"/>
      <c r="YD16" s="61"/>
      <c r="YE16" s="61"/>
      <c r="YF16" s="61"/>
      <c r="YG16" s="61"/>
      <c r="YH16" s="61"/>
      <c r="YI16" s="61"/>
      <c r="YJ16" s="61"/>
      <c r="YK16" s="61"/>
      <c r="YL16" s="61"/>
      <c r="YM16" s="61"/>
      <c r="YN16" s="61"/>
      <c r="YO16" s="61"/>
      <c r="YP16" s="61"/>
      <c r="YQ16" s="61"/>
      <c r="YR16" s="61"/>
      <c r="YS16" s="61"/>
      <c r="YT16" s="61"/>
      <c r="YU16" s="61"/>
      <c r="YV16" s="61"/>
      <c r="YW16" s="61"/>
      <c r="YX16" s="61"/>
      <c r="YY16" s="61"/>
      <c r="YZ16" s="61"/>
      <c r="ZA16" s="61"/>
      <c r="ZB16" s="61"/>
      <c r="ZC16" s="61"/>
      <c r="ZD16" s="61"/>
      <c r="ZE16" s="61"/>
      <c r="ZF16" s="61"/>
      <c r="ZG16" s="61"/>
      <c r="ZH16" s="61"/>
      <c r="ZI16" s="61"/>
      <c r="ZJ16" s="61"/>
      <c r="ZK16" s="61"/>
      <c r="ZL16" s="61"/>
      <c r="ZM16" s="61"/>
      <c r="ZN16" s="61"/>
      <c r="ZO16" s="61"/>
      <c r="ZP16" s="61"/>
      <c r="ZQ16" s="61"/>
      <c r="ZR16" s="62"/>
      <c r="ZS16" s="62"/>
      <c r="ZT16" s="62"/>
      <c r="ZU16" s="62"/>
      <c r="ZV16" s="62"/>
      <c r="ZW16" s="59">
        <v>14.1</v>
      </c>
      <c r="ZX16" s="59">
        <v>8</v>
      </c>
      <c r="AAO16" s="59">
        <v>12.3</v>
      </c>
      <c r="AAX16" s="61"/>
      <c r="AAY16" s="61"/>
      <c r="AAZ16" s="61"/>
      <c r="ABA16" s="61"/>
      <c r="ABB16" s="61"/>
      <c r="ABC16" s="61"/>
      <c r="ABD16" s="61"/>
      <c r="ABE16" s="61"/>
      <c r="ABF16" s="61"/>
      <c r="ABG16" s="61"/>
      <c r="ABH16" s="61"/>
      <c r="ABI16" s="61"/>
      <c r="ABJ16" s="61"/>
      <c r="ABK16" s="61"/>
      <c r="ABL16" s="61"/>
      <c r="ABM16" s="61"/>
      <c r="ABN16" s="61"/>
      <c r="ABO16" s="61"/>
      <c r="ABP16" s="61"/>
      <c r="ABQ16" s="61"/>
      <c r="ABR16" s="61"/>
      <c r="ABS16" s="61"/>
      <c r="ABT16" s="61"/>
      <c r="ABU16" s="61"/>
      <c r="ABV16" s="61"/>
      <c r="ABW16" s="61"/>
      <c r="ABX16" s="61"/>
      <c r="ABY16" s="61"/>
      <c r="ABZ16" s="61"/>
      <c r="ACA16" s="61"/>
      <c r="ACB16" s="61"/>
      <c r="ACC16" s="61"/>
      <c r="ACD16" s="61"/>
      <c r="ACE16" s="61"/>
      <c r="ACF16" s="61"/>
      <c r="ACG16" s="61"/>
      <c r="ACH16" s="61"/>
      <c r="ACI16" s="61"/>
      <c r="ACJ16" s="61"/>
      <c r="ACK16" s="61"/>
      <c r="ACL16" s="61"/>
      <c r="ACM16" s="61"/>
      <c r="ACN16" s="61"/>
      <c r="ACO16" s="61"/>
      <c r="ACP16" s="61"/>
      <c r="ACQ16" s="61"/>
      <c r="ACR16" s="61"/>
      <c r="ACS16" s="61"/>
      <c r="ACT16" s="61"/>
      <c r="ACU16" s="61"/>
      <c r="ACV16" s="61"/>
      <c r="ACW16" s="61"/>
      <c r="ACX16" s="61"/>
      <c r="ACY16" s="61"/>
      <c r="ACZ16" s="61"/>
      <c r="ADA16" s="61"/>
      <c r="ADB16" s="61"/>
      <c r="ADC16" s="61"/>
      <c r="ADD16" s="61"/>
      <c r="ADE16" s="61"/>
      <c r="ADF16" s="61"/>
      <c r="ADG16" s="61"/>
      <c r="ADH16" s="61"/>
      <c r="ADI16" s="61"/>
      <c r="ADJ16" s="61"/>
      <c r="ADK16" s="61"/>
      <c r="ADL16" s="61"/>
      <c r="ADM16" s="61"/>
      <c r="ADN16" s="61"/>
      <c r="ADO16" s="61"/>
      <c r="ADP16" s="61"/>
      <c r="ADQ16" s="61"/>
      <c r="ADR16" s="61"/>
      <c r="ADS16" s="61"/>
      <c r="ADT16" s="61"/>
      <c r="ADU16" s="61"/>
      <c r="ADV16" s="61"/>
      <c r="ADW16" s="61"/>
      <c r="ADX16" s="61"/>
      <c r="ADY16" s="61"/>
      <c r="ADZ16" s="61"/>
      <c r="AEA16" s="61"/>
      <c r="AEB16" s="61"/>
      <c r="AEC16" s="61"/>
      <c r="AED16" s="61"/>
      <c r="AEE16" s="61"/>
      <c r="AEF16" s="61"/>
      <c r="AEG16" s="61"/>
      <c r="AEH16" s="61"/>
      <c r="AEI16" s="61"/>
      <c r="AEJ16" s="61"/>
      <c r="AEK16" s="61"/>
      <c r="AEL16" s="61"/>
      <c r="AEM16" s="61"/>
      <c r="AEN16" s="61"/>
      <c r="AEO16" s="61"/>
      <c r="AEP16" s="61"/>
      <c r="AEQ16" s="61"/>
      <c r="AER16" s="61"/>
      <c r="AES16" s="61"/>
      <c r="AET16" s="61"/>
      <c r="AEU16" s="62"/>
      <c r="AEV16" s="62"/>
      <c r="AEW16" s="62"/>
      <c r="AEX16" s="62"/>
      <c r="AEY16" s="62"/>
      <c r="AEZ16" s="62"/>
      <c r="AFA16" s="62"/>
      <c r="AFB16" s="62"/>
      <c r="AFC16" s="62"/>
      <c r="AFD16" s="62"/>
      <c r="AFE16" s="62"/>
      <c r="AFF16" s="62"/>
      <c r="AFG16" s="62"/>
      <c r="AFH16" s="62"/>
      <c r="AFI16" s="62"/>
      <c r="AFJ16" s="62"/>
      <c r="AFK16" s="62"/>
      <c r="AFL16" s="62"/>
      <c r="AFM16" s="62"/>
      <c r="AFN16" s="62"/>
      <c r="AFO16" s="62"/>
      <c r="AFP16" s="62"/>
      <c r="AFQ16" s="62"/>
      <c r="AFR16" s="62"/>
      <c r="AFS16" s="62"/>
      <c r="AFT16" s="62"/>
      <c r="AFU16" s="62"/>
      <c r="AFV16" s="62"/>
      <c r="AFW16" s="62"/>
      <c r="AFX16" s="62"/>
      <c r="AFY16" s="62"/>
      <c r="AFZ16" s="62"/>
      <c r="AGA16" s="62"/>
      <c r="AGB16" s="62"/>
      <c r="AGC16" s="62"/>
      <c r="AGD16" s="62"/>
      <c r="AGE16" s="62"/>
      <c r="AGF16" s="62"/>
      <c r="AGG16" s="61"/>
      <c r="AGH16" s="61"/>
      <c r="AGI16" s="61"/>
      <c r="AGJ16" s="61"/>
      <c r="AGK16" s="59">
        <v>408</v>
      </c>
      <c r="AGQ16" s="61"/>
      <c r="AGR16" s="61"/>
      <c r="AGS16" s="61"/>
      <c r="AGT16" s="61"/>
      <c r="AGU16" s="61"/>
      <c r="AGV16" s="61"/>
      <c r="AGW16" s="61"/>
      <c r="AGX16" s="61"/>
      <c r="AGY16" s="61"/>
      <c r="AGZ16" s="61"/>
      <c r="AHA16" s="61"/>
      <c r="AHB16" s="61"/>
      <c r="AHC16" s="61"/>
      <c r="AHD16" s="61"/>
      <c r="AHE16" s="61"/>
      <c r="AHF16" s="61"/>
      <c r="AHG16" s="59">
        <v>293</v>
      </c>
      <c r="AIG16" s="62"/>
      <c r="AIH16" s="62"/>
      <c r="AII16" s="62"/>
      <c r="AIJ16" s="61"/>
      <c r="AIK16" s="61"/>
      <c r="AIL16" s="61"/>
      <c r="AIM16" s="61"/>
      <c r="AIN16" s="61"/>
      <c r="AIO16" s="61"/>
      <c r="AIP16" s="61"/>
      <c r="AIQ16" s="61"/>
      <c r="AIR16" s="61"/>
      <c r="AIS16" s="61"/>
      <c r="AIT16" s="61"/>
      <c r="AIU16" s="61"/>
      <c r="AIV16" s="61"/>
      <c r="AIW16" s="61"/>
      <c r="AIX16" s="61"/>
      <c r="AIY16" s="61"/>
      <c r="AIZ16" s="61"/>
      <c r="AJA16" s="61"/>
      <c r="AJB16" s="61"/>
      <c r="AJC16" s="61"/>
      <c r="AJD16" s="61"/>
      <c r="AJE16" s="61"/>
      <c r="AJF16" s="61"/>
      <c r="AJG16" s="61"/>
      <c r="AJH16" s="61"/>
      <c r="AJI16" s="61"/>
      <c r="AJJ16" s="61"/>
      <c r="AJK16" s="61"/>
      <c r="AJL16" s="61"/>
      <c r="AJM16" s="61"/>
      <c r="AJN16" s="62"/>
      <c r="AJO16" s="62"/>
      <c r="AJP16" s="62"/>
      <c r="AJQ16" s="61"/>
      <c r="AJR16" s="61"/>
      <c r="AJS16" s="61"/>
      <c r="AJT16" s="61"/>
      <c r="AJU16" s="61"/>
      <c r="AJV16" s="61"/>
      <c r="AJW16" s="61"/>
      <c r="AJX16" s="61"/>
      <c r="AJY16" s="61"/>
      <c r="AJZ16" s="61"/>
      <c r="AKA16" s="61"/>
      <c r="AKB16" s="61"/>
      <c r="AKC16" s="61"/>
      <c r="AKD16" s="61"/>
      <c r="AKE16" s="61"/>
      <c r="AKF16" s="61"/>
      <c r="AKG16" s="61"/>
      <c r="AKH16" s="61"/>
      <c r="AKI16" s="61"/>
      <c r="AKJ16" s="61"/>
      <c r="AKK16" s="61"/>
      <c r="AKL16" s="61"/>
      <c r="AKM16" s="61"/>
      <c r="AKN16" s="61"/>
      <c r="AKO16" s="61"/>
      <c r="AKP16" s="61"/>
      <c r="AKQ16" s="61"/>
      <c r="AKR16" s="61"/>
      <c r="AKS16" s="61"/>
      <c r="AKT16" s="61"/>
      <c r="AKU16" s="61"/>
      <c r="AKV16" s="61"/>
      <c r="AKW16" s="61"/>
      <c r="AKX16" s="62"/>
      <c r="AKY16" s="62"/>
      <c r="AKZ16" s="61"/>
      <c r="ALA16" s="61"/>
      <c r="ALB16" s="61"/>
      <c r="ALC16" s="61"/>
      <c r="ALD16" s="61"/>
      <c r="ALE16" s="61"/>
      <c r="ALF16" s="61"/>
      <c r="ALG16" s="61"/>
      <c r="ALH16" s="61"/>
      <c r="ALI16" s="61"/>
      <c r="ALJ16" s="61"/>
      <c r="ALK16" s="61"/>
      <c r="ALL16" s="61"/>
      <c r="ALM16" s="61"/>
      <c r="ALN16" s="61"/>
      <c r="ALO16" s="61"/>
      <c r="ALP16" s="61"/>
      <c r="ALQ16" s="61"/>
      <c r="ALR16" s="61"/>
      <c r="ALS16" s="61"/>
      <c r="ALT16" s="61"/>
      <c r="ALU16" s="61"/>
      <c r="ALV16" s="61"/>
      <c r="ALW16" s="61"/>
      <c r="ALX16" s="61"/>
      <c r="ALY16" s="61"/>
      <c r="ALZ16" s="61"/>
      <c r="AMA16" s="61"/>
      <c r="AMB16" s="59">
        <v>632</v>
      </c>
      <c r="AMN16" s="59">
        <v>162</v>
      </c>
      <c r="AMZ16" s="61"/>
      <c r="ANA16" s="61"/>
      <c r="ANB16" s="61"/>
      <c r="ANC16" s="61"/>
      <c r="AND16" s="61"/>
      <c r="ANE16" s="61"/>
      <c r="ANF16" s="61"/>
      <c r="ANG16" s="61"/>
      <c r="ANH16" s="61"/>
      <c r="ANI16" s="61"/>
      <c r="ANJ16" s="61"/>
      <c r="ANK16" s="61"/>
      <c r="ANL16" s="59">
        <v>182</v>
      </c>
      <c r="ANN16" s="61"/>
      <c r="ANO16" s="61"/>
      <c r="ANP16" s="61"/>
      <c r="ANQ16" s="61"/>
      <c r="ANR16" s="61"/>
      <c r="ANS16" s="61"/>
      <c r="ANT16" s="61"/>
      <c r="ANU16" s="61"/>
      <c r="ANV16" s="61"/>
      <c r="ANW16" s="61"/>
      <c r="ANX16" s="61"/>
      <c r="ANY16" s="61"/>
      <c r="ANZ16" s="61"/>
      <c r="AOA16" s="61"/>
      <c r="AOB16" s="61"/>
      <c r="AOC16" s="61"/>
      <c r="AOD16" s="61"/>
      <c r="AOE16" s="61"/>
      <c r="AOF16" s="61"/>
      <c r="AOG16" s="61"/>
      <c r="AOH16" s="61"/>
      <c r="AOI16" s="61"/>
      <c r="AOJ16" s="61"/>
      <c r="AOK16" s="61"/>
      <c r="AOL16" s="61"/>
      <c r="AOM16" s="61"/>
      <c r="AON16" s="61"/>
      <c r="AOO16" s="61"/>
      <c r="AOP16" s="61"/>
      <c r="AOQ16" s="61"/>
      <c r="AOR16" s="61"/>
      <c r="AOS16" s="61"/>
      <c r="AOT16" s="61"/>
      <c r="AOU16" s="61"/>
      <c r="AOV16" s="61"/>
      <c r="AOW16" s="61"/>
      <c r="AOX16" s="61"/>
      <c r="AOY16" s="61"/>
      <c r="AOZ16" s="61"/>
      <c r="APA16" s="61"/>
      <c r="APB16" s="61"/>
      <c r="APC16" s="61"/>
      <c r="APD16" s="61"/>
      <c r="APE16" s="61"/>
      <c r="APF16" s="61"/>
      <c r="APG16" s="61"/>
      <c r="APH16" s="61"/>
      <c r="API16" s="61"/>
      <c r="APJ16" s="61"/>
      <c r="APK16" s="61"/>
      <c r="APL16" s="61"/>
      <c r="APM16" s="61"/>
      <c r="APN16" s="61"/>
      <c r="APO16" s="61"/>
      <c r="APP16" s="61"/>
      <c r="APQ16" s="61"/>
      <c r="APR16" s="61"/>
      <c r="APS16" s="61"/>
      <c r="APT16" s="61"/>
      <c r="APU16" s="61"/>
      <c r="APV16" s="61"/>
      <c r="APW16" s="61"/>
      <c r="APX16" s="61"/>
      <c r="APY16" s="61"/>
      <c r="APZ16" s="61"/>
      <c r="AQA16" s="61"/>
      <c r="AQB16" s="61"/>
      <c r="AQC16" s="61"/>
      <c r="AQD16" s="61"/>
      <c r="AQE16" s="61"/>
      <c r="ARV16" s="66"/>
      <c r="ARW16" s="66"/>
      <c r="ARX16" s="66"/>
      <c r="ARY16" s="66"/>
      <c r="ARZ16" s="66"/>
      <c r="ASA16" s="66"/>
      <c r="ASB16" s="66"/>
      <c r="ASC16" s="66"/>
      <c r="ASD16" s="61"/>
      <c r="ASE16" s="61"/>
      <c r="ASF16" s="61"/>
      <c r="ASG16" s="59">
        <v>121000</v>
      </c>
      <c r="ASR16" s="61"/>
      <c r="ASS16" s="61"/>
      <c r="AST16" s="61"/>
      <c r="ASU16" s="61"/>
      <c r="ASV16" s="61"/>
      <c r="ASW16" s="61"/>
      <c r="ASX16" s="61"/>
      <c r="ASY16" s="61"/>
      <c r="ASZ16" s="61"/>
      <c r="ATA16" s="59">
        <v>396000</v>
      </c>
      <c r="ATQ16" s="62"/>
      <c r="ATR16" s="62"/>
      <c r="ATS16" s="62"/>
      <c r="ATT16" s="62"/>
      <c r="ATU16" s="62"/>
      <c r="ATV16" s="61"/>
      <c r="ATW16" s="61"/>
      <c r="ATX16" s="61"/>
      <c r="ATY16" s="61"/>
      <c r="ATZ16" s="61"/>
      <c r="AUA16" s="61"/>
      <c r="AUB16" s="61"/>
      <c r="AUC16" s="61"/>
      <c r="AUD16" s="61"/>
      <c r="AUE16" s="61"/>
      <c r="AUF16" s="61"/>
      <c r="AUG16" s="61"/>
      <c r="AUH16" s="61"/>
      <c r="AUI16" s="61"/>
      <c r="AUJ16" s="61"/>
      <c r="AUK16" s="61"/>
      <c r="AUL16" s="61"/>
      <c r="AUM16" s="61"/>
      <c r="AUN16" s="61"/>
      <c r="AUO16" s="61"/>
      <c r="AUP16" s="61"/>
      <c r="AUQ16" s="61"/>
      <c r="AUR16" s="61"/>
      <c r="AUS16" s="61"/>
      <c r="AUT16" s="61"/>
      <c r="AUU16" s="61"/>
      <c r="AUV16" s="61"/>
      <c r="AUW16" s="61"/>
      <c r="AUX16" s="61"/>
      <c r="AUY16" s="61"/>
      <c r="AUZ16" s="61"/>
      <c r="AVA16" s="61"/>
      <c r="AVB16" s="61"/>
      <c r="AVC16" s="61"/>
      <c r="AVD16" s="61"/>
      <c r="AVE16" s="61"/>
      <c r="AVF16" s="61"/>
      <c r="AVG16" s="61"/>
      <c r="AVH16" s="61"/>
      <c r="AVI16" s="61"/>
      <c r="AVJ16" s="61"/>
      <c r="AVK16" s="61"/>
      <c r="AVL16" s="61"/>
      <c r="AVM16" s="61"/>
      <c r="AVN16" s="61"/>
      <c r="AVO16" s="61"/>
      <c r="AVP16" s="61"/>
      <c r="AVQ16" s="61"/>
      <c r="AVR16" s="61"/>
      <c r="AVS16" s="61"/>
      <c r="AVT16" s="61"/>
      <c r="AVU16" s="61"/>
      <c r="AVV16" s="61"/>
      <c r="AVW16" s="61"/>
      <c r="AVX16" s="61"/>
      <c r="AVY16" s="61"/>
      <c r="AVZ16" s="61"/>
      <c r="AWA16" s="61"/>
      <c r="AWB16" s="61"/>
      <c r="AWC16" s="61"/>
      <c r="AWD16" s="61"/>
      <c r="AWE16" s="61"/>
      <c r="AWF16" s="61"/>
      <c r="AWG16" s="61"/>
      <c r="AWH16" s="61"/>
      <c r="AWI16" s="61"/>
      <c r="AWJ16" s="61"/>
      <c r="AWK16" s="61"/>
      <c r="AWL16" s="61"/>
      <c r="AWM16" s="61"/>
      <c r="AWN16" s="61"/>
      <c r="AWO16" s="61"/>
      <c r="AWP16" s="61"/>
      <c r="AWQ16" s="61"/>
      <c r="AWR16" s="61"/>
      <c r="AWS16" s="61"/>
      <c r="AWT16" s="61"/>
      <c r="AWU16" s="61"/>
      <c r="AWV16" s="61"/>
      <c r="AWW16" s="61"/>
      <c r="AWX16" s="61"/>
      <c r="AWY16" s="61"/>
      <c r="AWZ16" s="61"/>
      <c r="AXA16" s="61"/>
      <c r="AXB16" s="61"/>
      <c r="AXC16" s="61"/>
      <c r="AXD16" s="61"/>
      <c r="AXE16" s="61"/>
      <c r="AXF16" s="61"/>
      <c r="AXG16" s="61"/>
      <c r="AXH16" s="61"/>
      <c r="AXI16" s="61"/>
      <c r="AXJ16" s="61"/>
      <c r="AXK16" s="61"/>
      <c r="AXL16" s="61"/>
      <c r="AXM16" s="61"/>
      <c r="AXN16" s="61"/>
      <c r="AXO16" s="61"/>
      <c r="AXP16" s="61"/>
      <c r="AXQ16" s="61"/>
      <c r="AXR16" s="61"/>
      <c r="AXS16" s="61"/>
      <c r="AXT16" s="61"/>
      <c r="AXU16" s="61"/>
      <c r="AXV16" s="61"/>
      <c r="AXW16" s="61"/>
      <c r="AXX16" s="61"/>
      <c r="AXY16" s="61"/>
      <c r="AXZ16" s="61"/>
      <c r="AYA16" s="61"/>
      <c r="AYB16" s="61"/>
      <c r="AYC16" s="61"/>
      <c r="AYD16" s="61"/>
      <c r="AYE16" s="61"/>
      <c r="AYF16" s="61"/>
      <c r="AYG16" s="61"/>
      <c r="AYH16" s="61"/>
      <c r="AYI16" s="61"/>
      <c r="AYJ16" s="61"/>
      <c r="AYK16" s="61"/>
      <c r="AYL16" s="61"/>
      <c r="AYM16" s="61"/>
      <c r="AYN16" s="61"/>
      <c r="AYO16" s="61"/>
      <c r="AYP16" s="61"/>
      <c r="AYQ16" s="61"/>
      <c r="AYR16" s="61"/>
      <c r="AYS16" s="61"/>
      <c r="AYT16" s="61"/>
      <c r="AYU16" s="61"/>
      <c r="AYV16" s="61"/>
      <c r="AYW16" s="61"/>
      <c r="AYX16" s="61"/>
      <c r="AYY16" s="61"/>
      <c r="AYZ16" s="61"/>
      <c r="AZA16" s="61"/>
      <c r="AZB16" s="61"/>
      <c r="AZC16" s="61"/>
      <c r="AZD16" s="61"/>
      <c r="AZE16" s="61"/>
      <c r="AZF16" s="61"/>
      <c r="AZG16" s="61"/>
      <c r="AZH16" s="61"/>
      <c r="AZI16" s="61"/>
      <c r="AZJ16" s="61"/>
      <c r="AZK16" s="61"/>
      <c r="AZL16" s="61"/>
      <c r="AZM16" s="61"/>
      <c r="AZN16" s="61"/>
      <c r="AZO16" s="61"/>
      <c r="AZP16" s="61"/>
      <c r="AZQ16" s="61"/>
      <c r="AZR16" s="61"/>
      <c r="AZS16" s="61"/>
      <c r="AZT16" s="61"/>
      <c r="AZU16" s="61"/>
      <c r="AZV16" s="61"/>
      <c r="AZW16" s="61"/>
      <c r="AZX16" s="61"/>
      <c r="AZY16" s="61"/>
      <c r="AZZ16" s="61"/>
      <c r="BAA16" s="61"/>
      <c r="BAB16" s="61"/>
      <c r="BAC16" s="61"/>
      <c r="BAD16" s="61"/>
      <c r="BAE16" s="61"/>
      <c r="BAF16" s="61"/>
      <c r="BAG16" s="61"/>
      <c r="BAH16" s="61"/>
      <c r="BAI16" s="61"/>
      <c r="BAJ16" s="61"/>
      <c r="BAK16" s="61"/>
      <c r="BAL16" s="61"/>
      <c r="BAM16" s="61"/>
      <c r="BAN16" s="61"/>
      <c r="BAO16" s="61"/>
      <c r="BAP16" s="61"/>
      <c r="BAQ16" s="61"/>
      <c r="BAR16" s="61"/>
      <c r="BAS16" s="61"/>
      <c r="BAT16" s="61"/>
      <c r="BAU16" s="61"/>
      <c r="BAV16" s="61"/>
      <c r="BAW16" s="61"/>
      <c r="BAX16" s="61"/>
      <c r="BAY16" s="61"/>
      <c r="BAZ16" s="61"/>
      <c r="BBA16" s="61"/>
      <c r="BBB16" s="61"/>
      <c r="BBC16" s="61"/>
      <c r="BBD16" s="61"/>
      <c r="BBE16" s="61"/>
      <c r="BBF16" s="61"/>
      <c r="BBG16" s="61"/>
      <c r="BBH16" s="61"/>
      <c r="BBI16" s="61"/>
      <c r="BBJ16" s="61"/>
      <c r="BBK16" s="61"/>
      <c r="BBL16" s="61"/>
      <c r="BBM16" s="61"/>
      <c r="BBN16" s="61"/>
      <c r="BBO16" s="61"/>
      <c r="BBP16" s="61"/>
      <c r="BBQ16" s="61"/>
      <c r="BBR16" s="61"/>
      <c r="BBS16" s="61"/>
      <c r="BBT16" s="61"/>
      <c r="BBU16" s="61"/>
      <c r="BBV16" s="61"/>
      <c r="BBW16" s="61"/>
      <c r="BBX16" s="61"/>
      <c r="BBY16" s="61"/>
      <c r="BBZ16" s="61"/>
      <c r="BCA16" s="61"/>
      <c r="BCB16" s="61"/>
      <c r="BCC16" s="61"/>
      <c r="BCD16" s="61"/>
      <c r="BCE16" s="61"/>
      <c r="BCF16" s="61"/>
      <c r="BCG16" s="61"/>
      <c r="BCH16" s="61"/>
      <c r="BCI16" s="61"/>
      <c r="BCJ16" s="61"/>
      <c r="BCK16" s="61"/>
      <c r="BCL16" s="61"/>
      <c r="BCM16" s="61"/>
      <c r="BCN16" s="61"/>
      <c r="BCO16" s="61"/>
      <c r="BCP16" s="61"/>
      <c r="BCQ16" s="61"/>
      <c r="BCR16" s="61"/>
      <c r="BCS16" s="61"/>
      <c r="BCT16" s="61"/>
      <c r="BCU16" s="61"/>
      <c r="BCV16" s="61"/>
      <c r="BCW16" s="61"/>
      <c r="BCX16" s="61"/>
      <c r="BCY16" s="61"/>
      <c r="BCZ16" s="61"/>
      <c r="BDA16" s="61"/>
      <c r="BDB16" s="61"/>
      <c r="BDC16" s="61"/>
      <c r="BDD16" s="61"/>
      <c r="BDE16" s="61"/>
      <c r="BDF16" s="61"/>
      <c r="BDG16" s="61"/>
      <c r="BDH16" s="61"/>
      <c r="BDI16" s="61"/>
      <c r="BDJ16" s="61"/>
      <c r="BDK16" s="61"/>
      <c r="BDL16" s="61"/>
      <c r="BDM16" s="61"/>
      <c r="BDN16" s="61"/>
      <c r="BDO16" s="61"/>
      <c r="BDP16" s="61"/>
      <c r="BDQ16" s="61"/>
      <c r="BDR16" s="61"/>
      <c r="BDS16" s="61"/>
      <c r="BDT16" s="61"/>
      <c r="BDU16" s="61"/>
      <c r="BDV16" s="61"/>
      <c r="BDW16" s="61"/>
      <c r="BDX16" s="61"/>
      <c r="BDY16" s="61"/>
      <c r="BDZ16" s="61"/>
      <c r="BEA16" s="61"/>
      <c r="BEB16" s="61"/>
      <c r="BEC16" s="61"/>
      <c r="BED16" s="61"/>
      <c r="BEE16" s="61"/>
      <c r="BEF16" s="61"/>
      <c r="BEG16" s="61"/>
      <c r="BEH16" s="61"/>
      <c r="BEI16" s="61"/>
      <c r="BEJ16" s="61"/>
      <c r="BEK16" s="61"/>
      <c r="BEL16" s="61"/>
      <c r="BEM16" s="61"/>
      <c r="BEN16" s="61"/>
      <c r="BEO16" s="61"/>
      <c r="BEP16" s="61"/>
      <c r="BEQ16" s="61"/>
      <c r="BER16" s="61"/>
      <c r="BES16" s="61"/>
      <c r="BOA16" s="59">
        <v>21</v>
      </c>
      <c r="BOC16" s="59">
        <v>1</v>
      </c>
      <c r="BOD16" s="59">
        <v>26.73</v>
      </c>
      <c r="BOF16" s="59">
        <v>1</v>
      </c>
      <c r="BOM16" s="59">
        <v>1</v>
      </c>
      <c r="BTT16" s="59">
        <v>1</v>
      </c>
      <c r="BUG16" s="59">
        <v>1</v>
      </c>
      <c r="BUJ16" s="59">
        <v>1</v>
      </c>
      <c r="BUK16" s="59">
        <v>1</v>
      </c>
      <c r="BYJ16" s="65"/>
      <c r="BYY16" s="59">
        <v>1600</v>
      </c>
      <c r="BYZ16" s="59">
        <v>800</v>
      </c>
      <c r="BZA16" s="59">
        <v>1</v>
      </c>
      <c r="BZD16" s="59">
        <v>1</v>
      </c>
      <c r="BZF16" s="59">
        <v>2</v>
      </c>
      <c r="BZG16" s="59">
        <v>2</v>
      </c>
      <c r="BZH16" s="59">
        <v>1</v>
      </c>
      <c r="BZI16" s="72">
        <v>0</v>
      </c>
      <c r="BZL16" s="59">
        <v>0</v>
      </c>
      <c r="BZX16" s="59">
        <v>1</v>
      </c>
      <c r="GFV16" s="59">
        <v>1000</v>
      </c>
      <c r="GFW16" s="59">
        <v>1</v>
      </c>
      <c r="GFZ16" s="59">
        <v>1</v>
      </c>
      <c r="GGA16" s="59">
        <v>2</v>
      </c>
      <c r="GGB16" s="59">
        <v>2</v>
      </c>
      <c r="GGC16" s="59">
        <v>1</v>
      </c>
      <c r="GGD16" s="72">
        <v>0</v>
      </c>
      <c r="GHP16" s="59">
        <v>2</v>
      </c>
      <c r="GHQ16" s="59">
        <v>3</v>
      </c>
      <c r="GHR16" s="59">
        <v>2</v>
      </c>
      <c r="GHS16" s="72">
        <v>0</v>
      </c>
      <c r="GIO16" s="59">
        <v>1000</v>
      </c>
      <c r="GIP16" s="59">
        <v>1</v>
      </c>
      <c r="GIS16" s="59">
        <v>1</v>
      </c>
      <c r="GIT16" s="59">
        <v>2</v>
      </c>
      <c r="GIU16" s="59">
        <v>2</v>
      </c>
      <c r="GIV16" s="59">
        <v>1</v>
      </c>
      <c r="GIW16" s="72">
        <v>0</v>
      </c>
      <c r="GWX16" s="59">
        <v>1</v>
      </c>
      <c r="GXG16" s="59">
        <v>1</v>
      </c>
      <c r="GXL16" s="59">
        <v>1</v>
      </c>
      <c r="GXP16" s="59">
        <v>1</v>
      </c>
      <c r="GYE16" s="59">
        <v>1</v>
      </c>
      <c r="GYG16" s="59">
        <v>1</v>
      </c>
      <c r="GYT16" s="59">
        <v>1</v>
      </c>
      <c r="GZM16" s="59">
        <v>1</v>
      </c>
      <c r="HAH16" s="59">
        <v>1</v>
      </c>
      <c r="HAJ16" s="59">
        <v>1</v>
      </c>
      <c r="HDY16" s="59">
        <v>50</v>
      </c>
      <c r="HEH16" s="59">
        <v>1</v>
      </c>
      <c r="HEM16" s="59">
        <v>1</v>
      </c>
      <c r="HFE16" s="59">
        <v>1</v>
      </c>
      <c r="HFF16" s="59">
        <v>1</v>
      </c>
      <c r="HFG16" s="59">
        <v>1</v>
      </c>
      <c r="HFH16" s="59">
        <v>1</v>
      </c>
      <c r="HFI16" s="59">
        <v>1</v>
      </c>
      <c r="HFJ16" s="59">
        <v>1</v>
      </c>
      <c r="HFK16" s="59">
        <v>1</v>
      </c>
      <c r="HFL16" s="59">
        <v>1</v>
      </c>
      <c r="HFN16" s="59">
        <v>1</v>
      </c>
      <c r="HGG16" s="59">
        <v>1</v>
      </c>
      <c r="HIH16" s="59">
        <v>1</v>
      </c>
      <c r="HII16" s="59">
        <v>1</v>
      </c>
      <c r="HIJ16" s="59">
        <v>1</v>
      </c>
      <c r="HIK16" s="59">
        <v>1</v>
      </c>
      <c r="HIR16" s="59">
        <v>1</v>
      </c>
      <c r="HIS16" s="59">
        <v>1</v>
      </c>
      <c r="HIT16" s="59">
        <v>1</v>
      </c>
      <c r="HIU16" s="59">
        <v>1</v>
      </c>
      <c r="HJV16" s="59">
        <v>1</v>
      </c>
      <c r="HJX16" s="59">
        <v>1</v>
      </c>
      <c r="HJY16" s="59">
        <v>1</v>
      </c>
      <c r="HKE16" s="59">
        <v>1</v>
      </c>
    </row>
    <row r="17" spans="1:2984 3117:4093 4097:4980 5166:5792" s="63" customFormat="1" x14ac:dyDescent="0.25">
      <c r="A17" s="63">
        <v>10064335</v>
      </c>
      <c r="B17" s="89" t="s">
        <v>4189</v>
      </c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  <c r="EC17" s="92"/>
      <c r="ED17" s="92"/>
      <c r="EE17" s="92"/>
      <c r="EF17" s="92"/>
      <c r="EG17" s="91"/>
      <c r="EH17" s="91"/>
      <c r="EI17" s="91"/>
      <c r="EJ17" s="91"/>
      <c r="EK17" s="91"/>
      <c r="EL17" s="91"/>
      <c r="EM17" s="91"/>
      <c r="EN17" s="91"/>
      <c r="EO17" s="91"/>
      <c r="EP17" s="91"/>
      <c r="EQ17" s="91"/>
      <c r="ER17" s="91"/>
      <c r="ES17" s="91"/>
      <c r="ET17" s="91"/>
      <c r="EU17" s="91"/>
      <c r="EV17" s="91"/>
      <c r="EW17" s="91"/>
      <c r="EX17" s="91"/>
      <c r="EY17" s="91"/>
      <c r="EZ17" s="91"/>
      <c r="FA17" s="91"/>
      <c r="FB17" s="91"/>
      <c r="FC17" s="91"/>
      <c r="FD17" s="91"/>
      <c r="FE17" s="91"/>
      <c r="FF17" s="91"/>
      <c r="FG17" s="91"/>
      <c r="FH17" s="91"/>
      <c r="FI17" s="91"/>
      <c r="FJ17" s="91"/>
      <c r="FK17" s="91"/>
      <c r="FL17" s="91"/>
      <c r="FM17" s="91"/>
      <c r="FN17" s="91"/>
      <c r="FO17" s="91"/>
      <c r="FP17" s="91"/>
      <c r="FQ17" s="91"/>
      <c r="FR17" s="91"/>
      <c r="FS17" s="91"/>
      <c r="FT17" s="91"/>
      <c r="FU17" s="91"/>
      <c r="FV17" s="91"/>
      <c r="FW17" s="91"/>
      <c r="FX17" s="91"/>
      <c r="FY17" s="91"/>
      <c r="FZ17" s="91"/>
      <c r="GA17" s="91"/>
      <c r="GB17" s="91"/>
      <c r="GC17" s="91"/>
      <c r="GD17" s="91"/>
      <c r="GE17" s="91"/>
      <c r="GF17" s="91"/>
      <c r="GG17" s="91"/>
      <c r="GH17" s="91"/>
      <c r="GI17" s="91"/>
      <c r="GJ17" s="91"/>
      <c r="GK17" s="91"/>
      <c r="GL17" s="91"/>
      <c r="GM17" s="91"/>
      <c r="GN17" s="91"/>
      <c r="GO17" s="91"/>
      <c r="GP17" s="91"/>
      <c r="GQ17" s="91"/>
      <c r="GR17" s="91"/>
      <c r="GS17" s="91"/>
      <c r="GT17" s="91"/>
      <c r="GU17" s="91"/>
      <c r="GV17" s="91"/>
      <c r="GW17" s="91"/>
      <c r="GX17" s="92"/>
      <c r="GY17" s="92"/>
      <c r="GZ17" s="92"/>
      <c r="HA17" s="92"/>
      <c r="HB17" s="92"/>
      <c r="HC17" s="92"/>
      <c r="HD17" s="92"/>
      <c r="HE17" s="92"/>
      <c r="HF17" s="92"/>
      <c r="HG17" s="92"/>
      <c r="HH17" s="92"/>
      <c r="HI17" s="92"/>
      <c r="HJ17" s="92"/>
      <c r="HK17" s="92"/>
      <c r="HL17" s="92"/>
      <c r="HM17" s="92"/>
      <c r="HN17" s="92"/>
      <c r="HO17" s="92"/>
      <c r="HP17" s="92"/>
      <c r="HQ17" s="91"/>
      <c r="HR17" s="91"/>
      <c r="HS17" s="91"/>
      <c r="HT17" s="91"/>
      <c r="HU17" s="91"/>
      <c r="HV17" s="91"/>
      <c r="HW17" s="91"/>
      <c r="HX17" s="91"/>
      <c r="HY17" s="91"/>
      <c r="HZ17" s="91"/>
      <c r="IA17" s="91"/>
      <c r="IB17" s="91"/>
      <c r="IC17" s="91"/>
      <c r="ID17" s="91"/>
      <c r="IE17" s="91"/>
      <c r="IF17" s="91"/>
      <c r="IG17" s="91"/>
      <c r="IH17" s="91"/>
      <c r="II17" s="91"/>
      <c r="IJ17" s="91"/>
      <c r="IK17" s="91"/>
      <c r="IL17" s="91"/>
      <c r="IM17" s="91"/>
      <c r="IN17" s="91"/>
      <c r="IO17" s="91"/>
      <c r="IP17" s="91"/>
      <c r="IQ17" s="91"/>
      <c r="IR17" s="91"/>
      <c r="IS17" s="91"/>
      <c r="IT17" s="91"/>
      <c r="IU17" s="91"/>
      <c r="IV17" s="91"/>
      <c r="IW17" s="91"/>
      <c r="IX17" s="91"/>
      <c r="JA17" s="91"/>
      <c r="JB17" s="91"/>
      <c r="JC17" s="91"/>
      <c r="JD17" s="91"/>
      <c r="JE17" s="91"/>
      <c r="JF17" s="91"/>
      <c r="JG17" s="91"/>
      <c r="JH17" s="91"/>
      <c r="JI17" s="91"/>
      <c r="JJ17" s="91"/>
      <c r="JK17" s="91"/>
      <c r="JL17" s="91"/>
      <c r="JM17" s="91"/>
      <c r="JN17" s="91"/>
      <c r="JO17" s="91"/>
      <c r="JP17" s="91"/>
      <c r="JQ17" s="91"/>
      <c r="JR17" s="91"/>
      <c r="JS17" s="91"/>
      <c r="JT17" s="91"/>
      <c r="JU17" s="91"/>
      <c r="JV17" s="91"/>
      <c r="JW17" s="91"/>
      <c r="JX17" s="91"/>
      <c r="JY17" s="91"/>
      <c r="JZ17" s="91"/>
      <c r="KA17" s="63">
        <v>75</v>
      </c>
      <c r="KE17" s="63">
        <v>69</v>
      </c>
      <c r="KF17" s="91"/>
      <c r="KG17" s="63">
        <v>47</v>
      </c>
      <c r="KS17" s="63">
        <v>191</v>
      </c>
      <c r="KU17" s="63">
        <v>19</v>
      </c>
      <c r="MI17" s="91"/>
      <c r="MJ17" s="91"/>
      <c r="MK17" s="91"/>
      <c r="ML17" s="91"/>
      <c r="MM17" s="91"/>
      <c r="MN17" s="91"/>
      <c r="MO17" s="91"/>
      <c r="MP17" s="91"/>
      <c r="MQ17" s="91"/>
      <c r="MR17" s="91"/>
      <c r="MS17" s="91"/>
      <c r="MT17" s="91"/>
      <c r="MU17" s="91"/>
      <c r="MV17" s="91"/>
      <c r="MW17" s="91"/>
      <c r="MX17" s="91"/>
      <c r="MY17" s="91"/>
      <c r="MZ17" s="91"/>
      <c r="NA17" s="91"/>
      <c r="NB17" s="91"/>
      <c r="NC17" s="91"/>
      <c r="ND17" s="91"/>
      <c r="NE17" s="91"/>
      <c r="NF17" s="91"/>
      <c r="NG17" s="91"/>
      <c r="NH17" s="91"/>
      <c r="NI17" s="91"/>
      <c r="NJ17" s="91"/>
      <c r="NK17" s="91"/>
      <c r="NL17" s="91"/>
      <c r="NM17" s="91"/>
      <c r="NN17" s="91"/>
      <c r="NO17" s="91"/>
      <c r="NP17" s="63">
        <v>52</v>
      </c>
      <c r="NT17" s="63">
        <v>101</v>
      </c>
      <c r="NU17" s="91"/>
      <c r="NV17" s="63">
        <v>113</v>
      </c>
      <c r="OH17" s="63">
        <v>32</v>
      </c>
      <c r="OI17" s="63">
        <v>32</v>
      </c>
      <c r="PZ17" s="91"/>
      <c r="QA17" s="91"/>
      <c r="QB17" s="91"/>
      <c r="QC17" s="91"/>
      <c r="QD17" s="91"/>
      <c r="QE17" s="91"/>
      <c r="QF17" s="91"/>
      <c r="QG17" s="91"/>
      <c r="QH17" s="91"/>
      <c r="QI17" s="91"/>
      <c r="QJ17" s="91"/>
      <c r="QK17" s="91"/>
      <c r="QL17" s="91"/>
      <c r="QM17" s="91"/>
      <c r="QN17" s="91"/>
      <c r="QO17" s="91"/>
      <c r="QP17" s="91"/>
      <c r="QQ17" s="91"/>
      <c r="QR17" s="91"/>
      <c r="QS17" s="91"/>
      <c r="QT17" s="91"/>
      <c r="QU17" s="91"/>
      <c r="QV17" s="91"/>
      <c r="QW17" s="91"/>
      <c r="QX17" s="91"/>
      <c r="QY17" s="91"/>
      <c r="QZ17" s="91"/>
      <c r="RA17" s="91"/>
      <c r="RB17" s="91"/>
      <c r="RC17" s="91"/>
      <c r="RD17" s="63">
        <v>126</v>
      </c>
      <c r="RH17" s="63">
        <v>140</v>
      </c>
      <c r="RJ17" s="63">
        <v>171</v>
      </c>
      <c r="RT17" s="63">
        <v>183</v>
      </c>
      <c r="TC17" s="93"/>
      <c r="TD17" s="93"/>
      <c r="TE17" s="93"/>
      <c r="TF17" s="93"/>
      <c r="TG17" s="93"/>
      <c r="TH17" s="93"/>
      <c r="TI17" s="93"/>
      <c r="TJ17" s="93"/>
      <c r="TK17" s="93"/>
      <c r="TL17" s="93"/>
      <c r="TM17" s="91"/>
      <c r="TN17" s="91"/>
      <c r="TO17" s="91"/>
      <c r="TP17" s="91"/>
      <c r="TQ17" s="91"/>
      <c r="TR17" s="91"/>
      <c r="TS17" s="91"/>
      <c r="TT17" s="91"/>
      <c r="TU17" s="91"/>
      <c r="TV17" s="91"/>
      <c r="TW17" s="91"/>
      <c r="TX17" s="91"/>
      <c r="TY17" s="63">
        <v>433</v>
      </c>
      <c r="UA17" s="63">
        <v>384</v>
      </c>
      <c r="UD17" s="91"/>
      <c r="UE17" s="91"/>
      <c r="UF17" s="63">
        <v>263</v>
      </c>
      <c r="XD17" s="91"/>
      <c r="XE17" s="91"/>
      <c r="XF17" s="91"/>
      <c r="XG17" s="91"/>
      <c r="XH17" s="91"/>
      <c r="XI17" s="91"/>
      <c r="XJ17" s="91"/>
      <c r="XK17" s="91"/>
      <c r="XL17" s="91"/>
      <c r="XM17" s="91"/>
      <c r="XN17" s="91"/>
      <c r="XO17" s="91"/>
      <c r="XP17" s="91"/>
      <c r="XQ17" s="91"/>
      <c r="XR17" s="91"/>
      <c r="XS17" s="91"/>
      <c r="XT17" s="91">
        <v>7</v>
      </c>
      <c r="XU17" s="91"/>
      <c r="XV17" s="91"/>
      <c r="XW17" s="91">
        <v>7</v>
      </c>
      <c r="XX17" s="91"/>
      <c r="XY17" s="91"/>
      <c r="XZ17" s="91"/>
      <c r="YA17" s="91"/>
      <c r="YB17" s="91"/>
      <c r="YC17" s="91"/>
      <c r="YD17" s="91"/>
      <c r="YE17" s="91"/>
      <c r="YF17" s="91"/>
      <c r="YG17" s="91"/>
      <c r="YH17" s="91"/>
      <c r="YI17" s="91"/>
      <c r="YJ17" s="91"/>
      <c r="YK17" s="91"/>
      <c r="YL17" s="91"/>
      <c r="YM17" s="91"/>
      <c r="YN17" s="91"/>
      <c r="YO17" s="91"/>
      <c r="YP17" s="91"/>
      <c r="YQ17" s="91"/>
      <c r="YR17" s="91"/>
      <c r="YS17" s="91"/>
      <c r="YT17" s="91"/>
      <c r="YU17" s="91"/>
      <c r="YV17" s="91"/>
      <c r="YW17" s="91"/>
      <c r="YX17" s="91"/>
      <c r="YY17" s="91"/>
      <c r="YZ17" s="91"/>
      <c r="ZA17" s="91"/>
      <c r="ZB17" s="91"/>
      <c r="ZC17" s="91"/>
      <c r="ZD17" s="91"/>
      <c r="ZE17" s="91"/>
      <c r="ZF17" s="91"/>
      <c r="ZG17" s="91"/>
      <c r="ZH17" s="91"/>
      <c r="ZI17" s="91"/>
      <c r="ZJ17" s="91"/>
      <c r="ZK17" s="91"/>
      <c r="ZL17" s="91"/>
      <c r="ZM17" s="91"/>
      <c r="ZN17" s="91"/>
      <c r="ZO17" s="91"/>
      <c r="ZP17" s="91"/>
      <c r="ZQ17" s="91"/>
      <c r="ZR17" s="92"/>
      <c r="ZS17" s="92"/>
      <c r="ZT17" s="92"/>
      <c r="ZU17" s="92"/>
      <c r="ZV17" s="92"/>
      <c r="ZW17" s="92"/>
      <c r="ZX17" s="92"/>
      <c r="ZY17" s="92"/>
      <c r="ZZ17" s="92"/>
      <c r="AAA17" s="92"/>
      <c r="AAB17" s="92"/>
      <c r="AAC17" s="92"/>
      <c r="AAD17" s="92"/>
      <c r="AAE17" s="92"/>
      <c r="AAF17" s="92"/>
      <c r="AAG17" s="92"/>
      <c r="AAH17" s="92"/>
      <c r="AAI17" s="92"/>
      <c r="AAJ17" s="92"/>
      <c r="AAK17" s="92"/>
      <c r="AAL17" s="92"/>
      <c r="AAM17" s="92"/>
      <c r="AAN17" s="92"/>
      <c r="AAO17" s="92"/>
      <c r="AAP17" s="92"/>
      <c r="AAQ17" s="92"/>
      <c r="AAR17" s="92"/>
      <c r="AAS17" s="92"/>
      <c r="AAT17" s="92"/>
      <c r="AAU17" s="92"/>
      <c r="AAV17" s="92"/>
      <c r="AAW17" s="92"/>
      <c r="AAX17" s="91"/>
      <c r="AAY17" s="91"/>
      <c r="AAZ17" s="91"/>
      <c r="ABA17" s="91"/>
      <c r="ABB17" s="91"/>
      <c r="ABC17" s="91"/>
      <c r="ABD17" s="91"/>
      <c r="ABE17" s="91"/>
      <c r="ABF17" s="91"/>
      <c r="ABG17" s="91"/>
      <c r="ABH17" s="91"/>
      <c r="ABI17" s="91"/>
      <c r="ABJ17" s="91"/>
      <c r="ABK17" s="91"/>
      <c r="ABL17" s="91"/>
      <c r="ABM17" s="91"/>
      <c r="ABN17" s="91"/>
      <c r="ABO17" s="91"/>
      <c r="ABP17" s="91"/>
      <c r="ABQ17" s="91"/>
      <c r="ABR17" s="91"/>
      <c r="ABS17" s="91"/>
      <c r="ABT17" s="91"/>
      <c r="ABU17" s="91"/>
      <c r="ABV17" s="91"/>
      <c r="ABW17" s="91"/>
      <c r="ABX17" s="91"/>
      <c r="ABY17" s="91"/>
      <c r="ABZ17" s="91"/>
      <c r="ACA17" s="91"/>
      <c r="ACB17" s="91"/>
      <c r="ACC17" s="91"/>
      <c r="ACD17" s="91"/>
      <c r="ACE17" s="91"/>
      <c r="ACF17" s="91"/>
      <c r="ACG17" s="91"/>
      <c r="ACH17" s="91"/>
      <c r="ACI17" s="91"/>
      <c r="ACJ17" s="91"/>
      <c r="ACK17" s="91"/>
      <c r="ACL17" s="91"/>
      <c r="ACM17" s="91"/>
      <c r="ACN17" s="91"/>
      <c r="ACO17" s="91"/>
      <c r="ACP17" s="91"/>
      <c r="ACQ17" s="91"/>
      <c r="ACR17" s="91"/>
      <c r="ACS17" s="91"/>
      <c r="ACT17" s="91"/>
      <c r="ACU17" s="91"/>
      <c r="ACV17" s="91"/>
      <c r="ACW17" s="91"/>
      <c r="ACX17" s="91"/>
      <c r="ACY17" s="91"/>
      <c r="ACZ17" s="91"/>
      <c r="ADA17" s="91"/>
      <c r="ADB17" s="91"/>
      <c r="ADC17" s="91"/>
      <c r="ADD17" s="91"/>
      <c r="ADE17" s="91"/>
      <c r="ADF17" s="91"/>
      <c r="ADG17" s="91"/>
      <c r="ADH17" s="91"/>
      <c r="ADI17" s="91"/>
      <c r="ADJ17" s="91"/>
      <c r="ADK17" s="91"/>
      <c r="ADL17" s="91"/>
      <c r="ADM17" s="91"/>
      <c r="ADN17" s="91"/>
      <c r="ADO17" s="91"/>
      <c r="ADP17" s="91"/>
      <c r="ADQ17" s="91"/>
      <c r="ADR17" s="91"/>
      <c r="ADS17" s="91"/>
      <c r="ADT17" s="91"/>
      <c r="ADU17" s="91"/>
      <c r="ADV17" s="91"/>
      <c r="ADW17" s="91"/>
      <c r="ADX17" s="91"/>
      <c r="ADY17" s="91"/>
      <c r="ADZ17" s="91"/>
      <c r="AEA17" s="91"/>
      <c r="AEB17" s="91"/>
      <c r="AEC17" s="91"/>
      <c r="AED17" s="91"/>
      <c r="AEE17" s="91"/>
      <c r="AEF17" s="91"/>
      <c r="AEG17" s="91"/>
      <c r="AEH17" s="91"/>
      <c r="AEI17" s="91"/>
      <c r="AEJ17" s="91"/>
      <c r="AEK17" s="91"/>
      <c r="AEL17" s="91"/>
      <c r="AEM17" s="91"/>
      <c r="AEN17" s="91"/>
      <c r="AEO17" s="91"/>
      <c r="AEP17" s="91"/>
      <c r="AEQ17" s="91"/>
      <c r="AER17" s="91"/>
      <c r="AES17" s="91"/>
      <c r="AET17" s="91"/>
      <c r="AEU17" s="92"/>
      <c r="AEV17" s="92"/>
      <c r="AEW17" s="92"/>
      <c r="AEX17" s="92"/>
      <c r="AEY17" s="92"/>
      <c r="AEZ17" s="92"/>
      <c r="AFA17" s="92"/>
      <c r="AFB17" s="92"/>
      <c r="AFC17" s="92"/>
      <c r="AFD17" s="92"/>
      <c r="AFE17" s="92"/>
      <c r="AFF17" s="92"/>
      <c r="AFG17" s="92"/>
      <c r="AFH17" s="92"/>
      <c r="AFI17" s="92"/>
      <c r="AFJ17" s="92"/>
      <c r="AFK17" s="92"/>
      <c r="AFL17" s="92"/>
      <c r="AFM17" s="92"/>
      <c r="AFN17" s="92"/>
      <c r="AFO17" s="92"/>
      <c r="AFP17" s="92"/>
      <c r="AFQ17" s="92"/>
      <c r="AFR17" s="92"/>
      <c r="AFS17" s="92"/>
      <c r="AFT17" s="92"/>
      <c r="AFU17" s="92"/>
      <c r="AFV17" s="92"/>
      <c r="AFW17" s="92"/>
      <c r="AFX17" s="92"/>
      <c r="AFY17" s="92"/>
      <c r="AFZ17" s="92"/>
      <c r="AGA17" s="92"/>
      <c r="AGB17" s="92"/>
      <c r="AGC17" s="92"/>
      <c r="AGD17" s="92"/>
      <c r="AGE17" s="92"/>
      <c r="AGF17" s="92"/>
      <c r="AGG17" s="91"/>
      <c r="AGH17" s="91"/>
      <c r="AGI17" s="91"/>
      <c r="AGJ17" s="91"/>
      <c r="AGK17" s="91"/>
      <c r="AGL17" s="91"/>
      <c r="AGM17" s="91"/>
      <c r="AGN17" s="91"/>
      <c r="AGO17" s="91"/>
      <c r="AGP17" s="91"/>
      <c r="AGQ17" s="91"/>
      <c r="AGR17" s="91"/>
      <c r="AGS17" s="91"/>
      <c r="AGT17" s="91"/>
      <c r="AGU17" s="91"/>
      <c r="AGV17" s="91"/>
      <c r="AGW17" s="91"/>
      <c r="AGX17" s="91"/>
      <c r="AGY17" s="91"/>
      <c r="AGZ17" s="91"/>
      <c r="AHA17" s="91"/>
      <c r="AHB17" s="91"/>
      <c r="AHC17" s="91"/>
      <c r="AHD17" s="91"/>
      <c r="AHE17" s="91"/>
      <c r="AHF17" s="91"/>
      <c r="AHG17" s="91"/>
      <c r="AHH17" s="91"/>
      <c r="AHI17" s="91"/>
      <c r="AHJ17" s="91"/>
      <c r="AHK17" s="91"/>
      <c r="AHL17" s="91"/>
      <c r="AHM17" s="91"/>
      <c r="AHN17" s="91"/>
      <c r="AHO17" s="91"/>
      <c r="AHP17" s="91"/>
      <c r="AHQ17" s="91"/>
      <c r="AHR17" s="91"/>
      <c r="AHS17" s="91"/>
      <c r="AHT17" s="91"/>
      <c r="AHU17" s="91"/>
      <c r="AHV17" s="91"/>
      <c r="AHW17" s="91"/>
      <c r="AHX17" s="91"/>
      <c r="AHY17" s="91"/>
      <c r="AHZ17" s="91"/>
      <c r="AIA17" s="91"/>
      <c r="AIB17" s="91"/>
      <c r="AIC17" s="91"/>
      <c r="AID17" s="91"/>
      <c r="AIE17" s="91"/>
      <c r="AIF17" s="91"/>
      <c r="AIG17" s="92"/>
      <c r="AIH17" s="92"/>
      <c r="AII17" s="92"/>
      <c r="AIJ17" s="91"/>
      <c r="AIK17" s="91"/>
      <c r="AIL17" s="91"/>
      <c r="AIM17" s="91"/>
      <c r="AIN17" s="91"/>
      <c r="AIO17" s="91"/>
      <c r="AIP17" s="91"/>
      <c r="AIQ17" s="91"/>
      <c r="AIR17" s="91"/>
      <c r="AIS17" s="91"/>
      <c r="AIT17" s="91"/>
      <c r="AIU17" s="91"/>
      <c r="AIV17" s="91"/>
      <c r="AIW17" s="91"/>
      <c r="AIX17" s="91"/>
      <c r="AIY17" s="91"/>
      <c r="AIZ17" s="91"/>
      <c r="AJA17" s="91"/>
      <c r="AJB17" s="91"/>
      <c r="AJC17" s="91"/>
      <c r="AJD17" s="91"/>
      <c r="AJE17" s="91"/>
      <c r="AJF17" s="91"/>
      <c r="AJG17" s="91"/>
      <c r="AJH17" s="91"/>
      <c r="AJI17" s="91"/>
      <c r="AJJ17" s="91"/>
      <c r="AJK17" s="91"/>
      <c r="AJL17" s="91"/>
      <c r="AJM17" s="91"/>
      <c r="AJN17" s="92"/>
      <c r="AJO17" s="92"/>
      <c r="AJP17" s="92"/>
      <c r="AJQ17" s="91"/>
      <c r="AJR17" s="91"/>
      <c r="AJS17" s="91"/>
      <c r="AJT17" s="91"/>
      <c r="AJU17" s="91"/>
      <c r="AJV17" s="91"/>
      <c r="AJW17" s="91"/>
      <c r="AJX17" s="91"/>
      <c r="AJY17" s="63">
        <v>2.2599999999999998</v>
      </c>
      <c r="AKC17" s="63">
        <v>1.6</v>
      </c>
      <c r="AKD17" s="63">
        <v>1.51</v>
      </c>
      <c r="AKH17" s="91"/>
      <c r="AKI17" s="91"/>
      <c r="AKJ17" s="91"/>
      <c r="AKK17" s="63">
        <v>1.56</v>
      </c>
      <c r="AKL17" s="63">
        <v>1.8</v>
      </c>
      <c r="AKX17" s="92"/>
      <c r="AKY17" s="92"/>
      <c r="AKZ17" s="91"/>
      <c r="ALA17" s="91"/>
      <c r="ALB17" s="91"/>
      <c r="ALC17" s="91"/>
      <c r="ALD17" s="91"/>
      <c r="ALE17" s="91"/>
      <c r="ALF17" s="91"/>
      <c r="ALG17" s="91"/>
      <c r="ALH17" s="91"/>
      <c r="ALI17" s="91"/>
      <c r="ALJ17" s="91"/>
      <c r="ALK17" s="91"/>
      <c r="ALL17" s="91"/>
      <c r="ALM17" s="91"/>
      <c r="ALN17" s="91"/>
      <c r="ALO17" s="91"/>
      <c r="ALP17" s="91"/>
      <c r="ALQ17" s="91"/>
      <c r="ALR17" s="91"/>
      <c r="ALS17" s="91"/>
      <c r="ALT17" s="91"/>
      <c r="ALU17" s="91"/>
      <c r="ALV17" s="91"/>
      <c r="ALW17" s="91"/>
      <c r="ALX17" s="91"/>
      <c r="ALY17" s="91"/>
      <c r="ALZ17" s="91"/>
      <c r="AMA17" s="91"/>
      <c r="AMB17" s="91"/>
      <c r="AMC17" s="91"/>
      <c r="AMD17" s="91"/>
      <c r="AME17" s="91"/>
      <c r="AMF17" s="91"/>
      <c r="AMG17" s="91"/>
      <c r="AMH17" s="91"/>
      <c r="AMI17" s="91"/>
      <c r="AMJ17" s="91"/>
      <c r="AMK17" s="91"/>
      <c r="AML17" s="91"/>
      <c r="AMM17" s="91"/>
      <c r="AMN17" s="91"/>
      <c r="AMO17" s="91"/>
      <c r="AMP17" s="91"/>
      <c r="AMQ17" s="91"/>
      <c r="AMR17" s="91"/>
      <c r="AMS17" s="91"/>
      <c r="AMT17" s="91"/>
      <c r="AMU17" s="91"/>
      <c r="AMV17" s="91"/>
      <c r="AMW17" s="91"/>
      <c r="AMX17" s="91"/>
      <c r="AMY17" s="91"/>
      <c r="AMZ17" s="91"/>
      <c r="ANA17" s="91"/>
      <c r="ANB17" s="91"/>
      <c r="ANC17" s="91"/>
      <c r="AND17" s="91"/>
      <c r="ANE17" s="91"/>
      <c r="ANF17" s="91"/>
      <c r="ANG17" s="91"/>
      <c r="ANH17" s="91"/>
      <c r="ANI17" s="91"/>
      <c r="ANJ17" s="91"/>
      <c r="ANK17" s="91"/>
      <c r="ANL17" s="91"/>
      <c r="ANM17" s="91"/>
      <c r="ANN17" s="91"/>
      <c r="ANO17" s="91"/>
      <c r="ANP17" s="91"/>
      <c r="ANQ17" s="91"/>
      <c r="ANR17" s="91"/>
      <c r="ANS17" s="91"/>
      <c r="ANT17" s="91"/>
      <c r="ANU17" s="91"/>
      <c r="ANV17" s="91"/>
      <c r="ANW17" s="91"/>
      <c r="ANX17" s="91"/>
      <c r="ANY17" s="91"/>
      <c r="ANZ17" s="91"/>
      <c r="AOA17" s="91"/>
      <c r="AOB17" s="91"/>
      <c r="AOC17" s="91"/>
      <c r="AOD17" s="91"/>
      <c r="AOE17" s="91"/>
      <c r="AOF17" s="91"/>
      <c r="AOG17" s="91"/>
      <c r="AOH17" s="91"/>
      <c r="AOI17" s="91"/>
      <c r="AOJ17" s="91"/>
      <c r="AOK17" s="91"/>
      <c r="AOL17" s="91"/>
      <c r="AOM17" s="91"/>
      <c r="AON17" s="91"/>
      <c r="AOO17" s="91"/>
      <c r="AOP17" s="91"/>
      <c r="AOQ17" s="91"/>
      <c r="AOR17" s="91"/>
      <c r="AOS17" s="91"/>
      <c r="AOT17" s="91"/>
      <c r="AOU17" s="91"/>
      <c r="AOV17" s="91"/>
      <c r="AOW17" s="91"/>
      <c r="AOX17" s="91"/>
      <c r="AOY17" s="91"/>
      <c r="AOZ17" s="91"/>
      <c r="APA17" s="91"/>
      <c r="APB17" s="63">
        <v>125</v>
      </c>
      <c r="APE17" s="63">
        <v>140</v>
      </c>
      <c r="APG17" s="63">
        <v>107</v>
      </c>
      <c r="APK17" s="63">
        <v>98</v>
      </c>
      <c r="ARV17" s="93"/>
      <c r="ARW17" s="93"/>
      <c r="ARX17" s="93"/>
      <c r="ARY17" s="93"/>
      <c r="ARZ17" s="93"/>
      <c r="ASA17" s="93"/>
      <c r="ASB17" s="93"/>
      <c r="ASC17" s="93"/>
      <c r="ASD17" s="91"/>
      <c r="ASE17" s="91"/>
      <c r="ASF17" s="91"/>
      <c r="ASG17" s="91"/>
      <c r="ASH17" s="91"/>
      <c r="ASI17" s="91"/>
      <c r="ASJ17" s="91"/>
      <c r="ASK17" s="91"/>
      <c r="ASL17" s="91"/>
      <c r="ASM17" s="91"/>
      <c r="ASN17" s="91"/>
      <c r="ASO17" s="91"/>
      <c r="ASP17" s="91"/>
      <c r="ASQ17" s="91"/>
      <c r="ASR17" s="63">
        <v>250000</v>
      </c>
      <c r="ATA17" s="91">
        <v>60000</v>
      </c>
      <c r="ATB17" s="91"/>
      <c r="ATC17" s="91"/>
      <c r="ATD17" s="91"/>
      <c r="ATE17" s="91"/>
      <c r="ATF17" s="91"/>
      <c r="ATG17" s="91"/>
      <c r="ATH17" s="91"/>
      <c r="ATI17" s="91"/>
      <c r="ATJ17" s="91"/>
      <c r="ATK17" s="91"/>
      <c r="ATL17" s="91"/>
      <c r="ATM17" s="91"/>
      <c r="ATN17" s="91"/>
      <c r="ATO17" s="91"/>
      <c r="ATP17" s="91"/>
      <c r="ATQ17" s="92"/>
      <c r="ATR17" s="92"/>
      <c r="ATS17" s="92"/>
      <c r="ATT17" s="92"/>
      <c r="ATU17" s="92"/>
      <c r="ATV17" s="91"/>
      <c r="ATW17" s="91"/>
      <c r="ATX17" s="91"/>
      <c r="ATY17" s="91"/>
      <c r="ATZ17" s="91"/>
      <c r="AUA17" s="91"/>
      <c r="AUB17" s="91"/>
      <c r="AUC17" s="91"/>
      <c r="AUD17" s="91"/>
      <c r="AUE17" s="91"/>
      <c r="AUF17" s="91"/>
      <c r="AUG17" s="91"/>
      <c r="AUH17" s="91"/>
      <c r="AUI17" s="91"/>
      <c r="AUJ17" s="91"/>
      <c r="AUK17" s="91"/>
      <c r="AUL17" s="91"/>
      <c r="AUM17" s="91"/>
      <c r="AUN17" s="91"/>
      <c r="AUO17" s="91"/>
      <c r="AUP17" s="91"/>
      <c r="AUQ17" s="91"/>
      <c r="AUR17" s="91"/>
      <c r="AUS17" s="91"/>
      <c r="AUT17" s="91"/>
      <c r="AUU17" s="91"/>
      <c r="AUV17" s="91"/>
      <c r="AUW17" s="91"/>
      <c r="AUX17" s="91"/>
      <c r="AUY17" s="91"/>
      <c r="AUZ17" s="91"/>
      <c r="AVA17" s="91"/>
      <c r="AVB17" s="91"/>
      <c r="AVC17" s="91"/>
      <c r="AVD17" s="91"/>
      <c r="AVE17" s="91"/>
      <c r="AVF17" s="91"/>
      <c r="AVG17" s="91"/>
      <c r="AVH17" s="91"/>
      <c r="AVI17" s="91"/>
      <c r="AVJ17" s="91"/>
      <c r="AVK17" s="91"/>
      <c r="AVL17" s="91"/>
      <c r="AVM17" s="91"/>
      <c r="AVN17" s="91"/>
      <c r="AVO17" s="91"/>
      <c r="AVP17" s="91"/>
      <c r="AVQ17" s="91"/>
      <c r="AVR17" s="91"/>
      <c r="AVS17" s="91"/>
      <c r="AVT17" s="91"/>
      <c r="AVU17" s="91"/>
      <c r="AVV17" s="91"/>
      <c r="AVW17" s="91"/>
      <c r="AVX17" s="91"/>
      <c r="AVY17" s="91"/>
      <c r="AVZ17" s="91"/>
      <c r="AWA17" s="91"/>
      <c r="AWB17" s="91"/>
      <c r="AWC17" s="91"/>
      <c r="AWD17" s="91"/>
      <c r="AWE17" s="91"/>
      <c r="AWF17" s="91"/>
      <c r="AWG17" s="91"/>
      <c r="AWH17" s="91"/>
      <c r="AWI17" s="91"/>
      <c r="AWJ17" s="91"/>
      <c r="AWK17" s="91"/>
      <c r="AWL17" s="91"/>
      <c r="AWM17" s="91"/>
      <c r="AWN17" s="91"/>
      <c r="AWO17" s="91"/>
      <c r="AWP17" s="91"/>
      <c r="AWQ17" s="91"/>
      <c r="AWR17" s="91"/>
      <c r="AWS17" s="91"/>
      <c r="AWT17" s="91"/>
      <c r="AWU17" s="91"/>
      <c r="AWV17" s="91"/>
      <c r="AWW17" s="91"/>
      <c r="AWX17" s="91"/>
      <c r="AWY17" s="91"/>
      <c r="AWZ17" s="91"/>
      <c r="AXA17" s="91"/>
      <c r="AXB17" s="91"/>
      <c r="AXC17" s="91"/>
      <c r="AXD17" s="91"/>
      <c r="AXE17" s="91"/>
      <c r="AXF17" s="91"/>
      <c r="AXG17" s="91"/>
      <c r="AXH17" s="91"/>
      <c r="AXI17" s="91"/>
      <c r="AXJ17" s="91"/>
      <c r="AXK17" s="91"/>
      <c r="AXL17" s="91"/>
      <c r="AXM17" s="91"/>
      <c r="AXN17" s="91"/>
      <c r="AXO17" s="91"/>
      <c r="AXP17" s="91"/>
      <c r="AXQ17" s="91"/>
      <c r="AXR17" s="91"/>
      <c r="AXS17" s="91"/>
      <c r="AXT17" s="91"/>
      <c r="AXU17" s="91"/>
      <c r="AXV17" s="91"/>
      <c r="AXW17" s="91"/>
      <c r="AXX17" s="91"/>
      <c r="AXY17" s="91"/>
      <c r="AXZ17" s="91"/>
      <c r="AYA17" s="91"/>
      <c r="AYB17" s="91"/>
      <c r="AYC17" s="91"/>
      <c r="AYD17" s="91"/>
      <c r="AYE17" s="91"/>
      <c r="AYF17" s="91"/>
      <c r="AYG17" s="91"/>
      <c r="AYH17" s="91"/>
      <c r="AYI17" s="91"/>
      <c r="AYJ17" s="91"/>
      <c r="AYK17" s="91"/>
      <c r="AYL17" s="91"/>
      <c r="AYM17" s="91"/>
      <c r="AYN17" s="91"/>
      <c r="AYO17" s="91"/>
      <c r="AYP17" s="91"/>
      <c r="AYQ17" s="91"/>
      <c r="AYR17" s="91"/>
      <c r="AYS17" s="91"/>
      <c r="AYT17" s="91"/>
      <c r="AYU17" s="91"/>
      <c r="AYV17" s="91"/>
      <c r="AYW17" s="91"/>
      <c r="AYX17" s="91"/>
      <c r="AYY17" s="91"/>
      <c r="AYZ17" s="91"/>
      <c r="AZA17" s="91"/>
      <c r="AZB17" s="91"/>
      <c r="AZC17" s="91"/>
      <c r="AZD17" s="91"/>
      <c r="AZE17" s="91"/>
      <c r="AZF17" s="91"/>
      <c r="AZG17" s="91"/>
      <c r="AZH17" s="91"/>
      <c r="AZI17" s="91"/>
      <c r="AZJ17" s="91"/>
      <c r="AZK17" s="91"/>
      <c r="AZL17" s="91"/>
      <c r="AZM17" s="91"/>
      <c r="AZN17" s="91"/>
      <c r="AZO17" s="91"/>
      <c r="AZP17" s="91"/>
      <c r="AZQ17" s="91"/>
      <c r="AZR17" s="91"/>
      <c r="AZS17" s="91"/>
      <c r="AZT17" s="91"/>
      <c r="AZU17" s="91"/>
      <c r="AZV17" s="91"/>
      <c r="AZW17" s="91"/>
      <c r="AZX17" s="91"/>
      <c r="AZY17" s="91"/>
      <c r="AZZ17" s="91"/>
      <c r="BAA17" s="91"/>
      <c r="BAB17" s="91"/>
      <c r="BAC17" s="91"/>
      <c r="BAD17" s="91"/>
      <c r="BAE17" s="91"/>
      <c r="BAF17" s="91"/>
      <c r="BAG17" s="91"/>
      <c r="BAH17" s="91"/>
      <c r="BAI17" s="91"/>
      <c r="BAJ17" s="91"/>
      <c r="BAK17" s="91"/>
      <c r="BAL17" s="91"/>
      <c r="BAM17" s="91"/>
      <c r="BAN17" s="91"/>
      <c r="BAO17" s="91"/>
      <c r="BAP17" s="91"/>
      <c r="BAQ17" s="91"/>
      <c r="BAR17" s="91"/>
      <c r="BAS17" s="91"/>
      <c r="BAT17" s="91"/>
      <c r="BAU17" s="91"/>
      <c r="BAV17" s="91"/>
      <c r="BAW17" s="91"/>
      <c r="BAX17" s="91"/>
      <c r="BAY17" s="91"/>
      <c r="BAZ17" s="91"/>
      <c r="BBA17" s="91"/>
      <c r="BBB17" s="91"/>
      <c r="BBC17" s="91"/>
      <c r="BBD17" s="91"/>
      <c r="BBE17" s="91"/>
      <c r="BBF17" s="91"/>
      <c r="BBG17" s="91"/>
      <c r="BBH17" s="91"/>
      <c r="BBI17" s="91"/>
      <c r="BBJ17" s="91"/>
      <c r="BBK17" s="91"/>
      <c r="BBL17" s="91"/>
      <c r="BBM17" s="91"/>
      <c r="BBN17" s="91"/>
      <c r="BBO17" s="91"/>
      <c r="BBP17" s="91"/>
      <c r="BBQ17" s="91"/>
      <c r="BBR17" s="91"/>
      <c r="BBS17" s="91"/>
      <c r="BBT17" s="91"/>
      <c r="BBU17" s="91"/>
      <c r="BBV17" s="91"/>
      <c r="BBW17" s="91"/>
      <c r="BBX17" s="91"/>
      <c r="BBY17" s="91"/>
      <c r="BBZ17" s="91"/>
      <c r="BCA17" s="91"/>
      <c r="BCB17" s="91"/>
      <c r="BCC17" s="91"/>
      <c r="BCD17" s="91"/>
      <c r="BCE17" s="91"/>
      <c r="BCF17" s="91"/>
      <c r="BCG17" s="91"/>
      <c r="BCH17" s="91"/>
      <c r="BCI17" s="91"/>
      <c r="BCJ17" s="91"/>
      <c r="BCK17" s="91"/>
      <c r="BCL17" s="91"/>
      <c r="BCM17" s="91"/>
      <c r="BCN17" s="91"/>
      <c r="BCO17" s="91"/>
      <c r="BCP17" s="91"/>
      <c r="BCQ17" s="91"/>
      <c r="BCR17" s="91"/>
      <c r="BCS17" s="91"/>
      <c r="BCT17" s="91"/>
      <c r="BCU17" s="91"/>
      <c r="BCV17" s="91"/>
      <c r="BCW17" s="91"/>
      <c r="BCX17" s="91"/>
      <c r="BCY17" s="91"/>
      <c r="BCZ17" s="91"/>
      <c r="BDA17" s="91"/>
      <c r="BDB17" s="91"/>
      <c r="BDC17" s="91"/>
      <c r="BDD17" s="91"/>
      <c r="BDE17" s="91"/>
      <c r="BDF17" s="91"/>
      <c r="BDG17" s="91"/>
      <c r="BDH17" s="91"/>
      <c r="BDI17" s="91"/>
      <c r="BDJ17" s="91"/>
      <c r="BDK17" s="91"/>
      <c r="BDL17" s="91"/>
      <c r="BDM17" s="91"/>
      <c r="BDN17" s="91"/>
      <c r="BDO17" s="91"/>
      <c r="BDP17" s="91"/>
      <c r="BDQ17" s="91"/>
      <c r="BDR17" s="91"/>
      <c r="BDS17" s="91"/>
      <c r="BDT17" s="91"/>
      <c r="BDU17" s="91"/>
      <c r="BDV17" s="91"/>
      <c r="BDW17" s="91"/>
      <c r="BDX17" s="91"/>
      <c r="BDY17" s="91"/>
      <c r="BDZ17" s="91"/>
      <c r="BEA17" s="91"/>
      <c r="BEB17" s="91"/>
      <c r="BEC17" s="91"/>
      <c r="BED17" s="91"/>
      <c r="BEE17" s="91"/>
      <c r="BEF17" s="91"/>
      <c r="BEG17" s="91"/>
      <c r="BEH17" s="91"/>
      <c r="BEI17" s="91"/>
      <c r="BEJ17" s="91"/>
      <c r="BEK17" s="91"/>
      <c r="BEL17" s="91"/>
      <c r="BEM17" s="91"/>
      <c r="BEN17" s="91"/>
      <c r="BEO17" s="91"/>
      <c r="BEP17" s="91"/>
      <c r="BEQ17" s="91"/>
      <c r="BER17" s="91"/>
      <c r="BES17" s="91"/>
      <c r="BOA17" s="63">
        <v>86</v>
      </c>
      <c r="BOB17" s="63">
        <v>1</v>
      </c>
      <c r="BOE17" s="63">
        <v>1</v>
      </c>
      <c r="BOH17" s="63">
        <v>1</v>
      </c>
      <c r="BOI17" s="63">
        <v>1</v>
      </c>
      <c r="BPB17" s="63">
        <v>1</v>
      </c>
      <c r="BQW17" s="63">
        <v>1</v>
      </c>
      <c r="BQX17" s="63">
        <v>1</v>
      </c>
      <c r="BRF17" s="63">
        <v>1</v>
      </c>
      <c r="BSG17" s="63">
        <v>1</v>
      </c>
      <c r="BSH17" s="63">
        <v>1</v>
      </c>
      <c r="BST17" s="63">
        <v>1</v>
      </c>
      <c r="BSU17" s="63">
        <v>1</v>
      </c>
      <c r="BSV17" s="63">
        <v>1</v>
      </c>
      <c r="BTI17" s="63">
        <v>1</v>
      </c>
      <c r="BTJ17" s="63">
        <v>1</v>
      </c>
      <c r="BYY17" s="63">
        <v>0</v>
      </c>
      <c r="BZD17" s="63">
        <v>1</v>
      </c>
      <c r="BZG17" s="63">
        <v>22</v>
      </c>
      <c r="BZJ17" s="63">
        <v>5</v>
      </c>
      <c r="BZL17" s="63">
        <v>0</v>
      </c>
      <c r="BZY17" s="63">
        <v>100</v>
      </c>
      <c r="BZZ17" s="63">
        <v>1</v>
      </c>
      <c r="CAC17" s="63">
        <v>1</v>
      </c>
      <c r="CAE17" s="63">
        <v>22</v>
      </c>
      <c r="CAH17" s="63">
        <v>5</v>
      </c>
      <c r="DFD17" s="63">
        <v>300</v>
      </c>
      <c r="DFE17" s="63">
        <v>1</v>
      </c>
      <c r="DFH17" s="63">
        <v>1</v>
      </c>
      <c r="DFJ17" s="63">
        <v>25</v>
      </c>
      <c r="DFM17" s="63">
        <v>2</v>
      </c>
      <c r="DRI17" s="63">
        <v>1</v>
      </c>
      <c r="DRK17" s="63">
        <v>21</v>
      </c>
      <c r="DRN17" s="63">
        <v>5</v>
      </c>
      <c r="DRP17" s="63">
        <v>0.2</v>
      </c>
      <c r="DRQ17" s="63">
        <v>1</v>
      </c>
      <c r="DRT17" s="63">
        <v>1</v>
      </c>
      <c r="DRV17" s="63">
        <v>22</v>
      </c>
      <c r="DRY17" s="63">
        <v>5</v>
      </c>
      <c r="DWH17" s="63">
        <v>10</v>
      </c>
      <c r="DWL17" s="63">
        <v>1</v>
      </c>
      <c r="DWN17" s="63">
        <v>999</v>
      </c>
      <c r="DXS17" s="63">
        <v>2</v>
      </c>
      <c r="DXT17" s="63">
        <v>30</v>
      </c>
      <c r="DXU17" s="63">
        <v>29</v>
      </c>
      <c r="DXV17" s="94">
        <v>0</v>
      </c>
      <c r="EFB17" s="63">
        <v>1</v>
      </c>
      <c r="EFD17" s="63">
        <v>25</v>
      </c>
      <c r="EFF17" s="94"/>
      <c r="ETS17" s="63">
        <v>2</v>
      </c>
      <c r="ETW17" s="63">
        <v>1</v>
      </c>
      <c r="ETY17" s="63">
        <v>22</v>
      </c>
      <c r="EUB17" s="63">
        <v>5</v>
      </c>
      <c r="GWD17" s="63">
        <v>1</v>
      </c>
      <c r="GWG17" s="63">
        <v>1</v>
      </c>
      <c r="GYL17" s="63">
        <v>1</v>
      </c>
      <c r="GZT17" s="63">
        <v>1</v>
      </c>
      <c r="GZV17" s="63">
        <v>1</v>
      </c>
      <c r="HAC17" s="63">
        <v>1</v>
      </c>
      <c r="HBS17" s="63">
        <v>1</v>
      </c>
      <c r="HBT17" s="63">
        <v>1</v>
      </c>
      <c r="HBV17" s="63">
        <v>1</v>
      </c>
      <c r="HGG17" s="63">
        <v>1</v>
      </c>
      <c r="HGY17" s="63">
        <v>1</v>
      </c>
      <c r="HHA17" s="63">
        <v>1</v>
      </c>
    </row>
    <row r="18" spans="1:2984 3117:4093 4097:4980 5166:5792" s="59" customFormat="1" x14ac:dyDescent="0.25">
      <c r="A18" s="61"/>
      <c r="B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1"/>
      <c r="HR18" s="61"/>
      <c r="HS18" s="61"/>
      <c r="HT18" s="61"/>
      <c r="HU18" s="61"/>
      <c r="HV18" s="61"/>
      <c r="HW18" s="61"/>
      <c r="HX18" s="61"/>
      <c r="HY18" s="61"/>
      <c r="HZ18" s="61"/>
      <c r="IA18" s="61"/>
      <c r="IB18" s="61"/>
      <c r="IC18" s="61"/>
      <c r="ID18" s="61"/>
      <c r="IE18" s="61"/>
      <c r="IF18" s="61"/>
      <c r="IG18" s="61"/>
      <c r="IH18" s="61"/>
      <c r="II18" s="61"/>
      <c r="IJ18" s="61"/>
      <c r="IK18" s="61"/>
      <c r="IL18" s="61"/>
      <c r="IM18" s="61"/>
      <c r="IN18" s="61"/>
      <c r="IO18" s="61"/>
      <c r="IP18" s="61"/>
      <c r="IQ18" s="61"/>
      <c r="IR18" s="61"/>
      <c r="IS18" s="61"/>
      <c r="IT18" s="61"/>
      <c r="IU18" s="61"/>
      <c r="IV18" s="61"/>
      <c r="IW18" s="61"/>
      <c r="IX18" s="61"/>
      <c r="JA18" s="61"/>
      <c r="JB18" s="61"/>
      <c r="JC18" s="61"/>
      <c r="JD18" s="61"/>
      <c r="JE18" s="61"/>
      <c r="JF18" s="61"/>
      <c r="JG18" s="61"/>
      <c r="JH18" s="61"/>
      <c r="JI18" s="61"/>
      <c r="JJ18" s="61"/>
      <c r="JK18" s="61"/>
      <c r="JL18" s="61"/>
      <c r="JM18" s="61"/>
      <c r="JN18" s="61"/>
      <c r="JO18" s="61"/>
      <c r="JP18" s="61"/>
      <c r="JQ18" s="61"/>
      <c r="JR18" s="61"/>
      <c r="JS18" s="61"/>
      <c r="JT18" s="61"/>
      <c r="JU18" s="61"/>
      <c r="JV18" s="61"/>
      <c r="JW18" s="61"/>
      <c r="JX18" s="61"/>
      <c r="JY18" s="61"/>
      <c r="JZ18" s="61"/>
      <c r="KA18" s="61"/>
      <c r="KB18" s="61"/>
      <c r="KC18" s="61"/>
      <c r="KD18" s="61"/>
      <c r="KE18" s="61"/>
      <c r="KF18" s="61"/>
      <c r="KG18" s="61"/>
      <c r="KH18" s="61"/>
      <c r="KI18" s="61"/>
      <c r="KJ18" s="61"/>
      <c r="KK18" s="61"/>
      <c r="KL18" s="61"/>
      <c r="KM18" s="61"/>
      <c r="KN18" s="61"/>
      <c r="KO18" s="61"/>
      <c r="KP18" s="61"/>
      <c r="KQ18" s="61"/>
      <c r="KR18" s="61"/>
      <c r="KS18" s="61"/>
      <c r="KT18" s="61"/>
      <c r="KU18" s="61"/>
      <c r="KV18" s="61"/>
      <c r="KW18" s="61"/>
      <c r="KX18" s="61"/>
      <c r="KY18" s="61"/>
      <c r="KZ18" s="61"/>
      <c r="LA18" s="61"/>
      <c r="LB18" s="61"/>
      <c r="LC18" s="61"/>
      <c r="LD18" s="61"/>
      <c r="LE18" s="61"/>
      <c r="LF18" s="61"/>
      <c r="LG18" s="61"/>
      <c r="LH18" s="61"/>
      <c r="LI18" s="61"/>
      <c r="LJ18" s="61"/>
      <c r="LK18" s="61"/>
      <c r="LL18" s="61"/>
      <c r="LM18" s="61"/>
      <c r="LN18" s="61"/>
      <c r="LO18" s="61"/>
      <c r="LP18" s="61"/>
      <c r="LQ18" s="61"/>
      <c r="LR18" s="61"/>
      <c r="LS18" s="61"/>
      <c r="LT18" s="61"/>
      <c r="LU18" s="61"/>
      <c r="LV18" s="61"/>
      <c r="LW18" s="61"/>
      <c r="LX18" s="61"/>
      <c r="LY18" s="61"/>
      <c r="LZ18" s="61"/>
      <c r="MA18" s="61"/>
      <c r="MB18" s="61"/>
      <c r="MC18" s="61"/>
      <c r="MD18" s="61"/>
      <c r="ME18" s="61"/>
      <c r="MF18" s="61"/>
      <c r="MG18" s="61"/>
      <c r="MH18" s="61"/>
      <c r="MI18" s="61"/>
      <c r="MJ18" s="61"/>
      <c r="MK18" s="61"/>
      <c r="ML18" s="61"/>
      <c r="MM18" s="61"/>
      <c r="MN18" s="61"/>
      <c r="MO18" s="61"/>
      <c r="MP18" s="61"/>
      <c r="MQ18" s="61"/>
      <c r="MR18" s="61"/>
      <c r="MS18" s="61"/>
      <c r="MT18" s="61"/>
      <c r="MU18" s="61"/>
      <c r="MV18" s="61"/>
      <c r="MW18" s="61"/>
      <c r="MX18" s="61"/>
      <c r="MY18" s="61"/>
      <c r="MZ18" s="61"/>
      <c r="NA18" s="61"/>
      <c r="NB18" s="61"/>
      <c r="NC18" s="61"/>
      <c r="ND18" s="61"/>
      <c r="NE18" s="61"/>
      <c r="NF18" s="61"/>
      <c r="NG18" s="61"/>
      <c r="NH18" s="61"/>
      <c r="NI18" s="61"/>
      <c r="NJ18" s="61"/>
      <c r="NK18" s="61"/>
      <c r="NL18" s="61"/>
      <c r="NM18" s="61"/>
      <c r="NN18" s="61"/>
      <c r="NO18" s="61"/>
      <c r="NP18" s="61"/>
      <c r="NQ18" s="61"/>
      <c r="NR18" s="61"/>
      <c r="NS18" s="61"/>
      <c r="NT18" s="61"/>
      <c r="NU18" s="61"/>
      <c r="NV18" s="61"/>
      <c r="NW18" s="61"/>
      <c r="NX18" s="61"/>
      <c r="NY18" s="61"/>
      <c r="NZ18" s="61"/>
      <c r="OA18" s="61"/>
      <c r="OB18" s="61"/>
      <c r="OC18" s="61"/>
      <c r="OD18" s="61"/>
      <c r="OE18" s="61"/>
      <c r="OF18" s="61"/>
      <c r="OG18" s="61"/>
      <c r="OH18" s="61"/>
      <c r="OI18" s="61"/>
      <c r="OJ18" s="61"/>
      <c r="OK18" s="61"/>
      <c r="OL18" s="61"/>
      <c r="OM18" s="61"/>
      <c r="ON18" s="61"/>
      <c r="OO18" s="61"/>
      <c r="OP18" s="61"/>
      <c r="OQ18" s="61"/>
      <c r="OR18" s="61"/>
      <c r="OS18" s="61"/>
      <c r="OT18" s="61"/>
      <c r="OU18" s="61"/>
      <c r="OV18" s="61"/>
      <c r="OW18" s="61"/>
      <c r="OX18" s="61"/>
      <c r="OY18" s="61"/>
      <c r="OZ18" s="61"/>
      <c r="PA18" s="61"/>
      <c r="PB18" s="61"/>
      <c r="PC18" s="61"/>
      <c r="PD18" s="61"/>
      <c r="PE18" s="61"/>
      <c r="PF18" s="61"/>
      <c r="PG18" s="61"/>
      <c r="PH18" s="61"/>
      <c r="PI18" s="61"/>
      <c r="PJ18" s="61"/>
      <c r="PK18" s="61"/>
      <c r="PL18" s="61"/>
      <c r="PM18" s="61"/>
      <c r="PN18" s="61"/>
      <c r="PO18" s="61"/>
      <c r="PP18" s="61"/>
      <c r="PQ18" s="61"/>
      <c r="PR18" s="61"/>
      <c r="PS18" s="61"/>
      <c r="PT18" s="61"/>
      <c r="PU18" s="61"/>
      <c r="PV18" s="61"/>
      <c r="PW18" s="61"/>
      <c r="PX18" s="61"/>
      <c r="PY18" s="61"/>
      <c r="PZ18" s="61"/>
      <c r="QA18" s="61"/>
      <c r="QB18" s="61"/>
      <c r="QC18" s="61"/>
      <c r="QD18" s="61"/>
      <c r="QE18" s="61"/>
      <c r="QF18" s="61"/>
      <c r="QG18" s="61"/>
      <c r="QH18" s="61"/>
      <c r="QI18" s="61"/>
      <c r="QJ18" s="61"/>
      <c r="QK18" s="61"/>
      <c r="QL18" s="61"/>
      <c r="QM18" s="61"/>
      <c r="QN18" s="61"/>
      <c r="QO18" s="61"/>
      <c r="QP18" s="61"/>
      <c r="QQ18" s="61"/>
      <c r="QR18" s="61"/>
      <c r="QS18" s="61"/>
      <c r="QT18" s="61"/>
      <c r="QU18" s="61"/>
      <c r="QV18" s="61"/>
      <c r="QW18" s="61"/>
      <c r="QX18" s="61"/>
      <c r="QY18" s="61"/>
      <c r="QZ18" s="61"/>
      <c r="RA18" s="61"/>
      <c r="RB18" s="61"/>
      <c r="RC18" s="61"/>
      <c r="RD18" s="61"/>
      <c r="RE18" s="61"/>
      <c r="RF18" s="61"/>
      <c r="RG18" s="61"/>
      <c r="RH18" s="61"/>
      <c r="RI18" s="61"/>
      <c r="RJ18" s="61"/>
      <c r="RK18" s="61"/>
      <c r="RL18" s="61"/>
      <c r="RM18" s="61"/>
      <c r="RN18" s="61"/>
      <c r="RO18" s="61"/>
      <c r="RP18" s="61"/>
      <c r="RQ18" s="61"/>
      <c r="RR18" s="61"/>
      <c r="RS18" s="61"/>
      <c r="RT18" s="61"/>
      <c r="RU18" s="61"/>
      <c r="RV18" s="61"/>
      <c r="RW18" s="61"/>
      <c r="RX18" s="61"/>
      <c r="RY18" s="61"/>
      <c r="RZ18" s="61"/>
      <c r="SA18" s="61"/>
      <c r="SB18" s="61"/>
      <c r="SC18" s="61"/>
      <c r="SD18" s="61"/>
      <c r="SE18" s="61"/>
      <c r="SF18" s="61"/>
      <c r="SG18" s="61"/>
      <c r="SH18" s="61"/>
      <c r="SI18" s="61"/>
      <c r="SJ18" s="61"/>
      <c r="SK18" s="61"/>
      <c r="SL18" s="61"/>
      <c r="SM18" s="61"/>
      <c r="SN18" s="61"/>
      <c r="SO18" s="61"/>
      <c r="SP18" s="61"/>
      <c r="SQ18" s="61"/>
      <c r="SR18" s="61"/>
      <c r="SS18" s="61"/>
      <c r="ST18" s="61"/>
      <c r="SU18" s="61"/>
      <c r="SV18" s="61"/>
      <c r="SW18" s="61"/>
      <c r="SX18" s="61"/>
      <c r="SY18" s="61"/>
      <c r="SZ18" s="61"/>
      <c r="TA18" s="61"/>
      <c r="TB18" s="61"/>
      <c r="TC18" s="66"/>
      <c r="TD18" s="66"/>
      <c r="TE18" s="66"/>
      <c r="TF18" s="66"/>
      <c r="TG18" s="66"/>
      <c r="TH18" s="66"/>
      <c r="TI18" s="66"/>
      <c r="TJ18" s="66"/>
      <c r="TK18" s="66"/>
      <c r="TL18" s="66"/>
      <c r="TM18" s="61"/>
      <c r="TN18" s="61"/>
      <c r="TO18" s="61"/>
      <c r="TP18" s="61"/>
      <c r="TQ18" s="61"/>
      <c r="TR18" s="61"/>
      <c r="TS18" s="61"/>
      <c r="TT18" s="61"/>
      <c r="TU18" s="61"/>
      <c r="TV18" s="61"/>
      <c r="TW18" s="61"/>
      <c r="TX18" s="61"/>
      <c r="TY18" s="61"/>
      <c r="TZ18" s="61"/>
      <c r="UA18" s="61"/>
      <c r="UB18" s="61"/>
      <c r="UC18" s="61"/>
      <c r="UD18" s="61"/>
      <c r="UE18" s="61"/>
      <c r="UF18" s="61"/>
      <c r="UG18" s="61"/>
      <c r="UH18" s="61"/>
      <c r="UI18" s="61"/>
      <c r="UJ18" s="61"/>
      <c r="UK18" s="61"/>
      <c r="UL18" s="61"/>
      <c r="UM18" s="61"/>
      <c r="UN18" s="61"/>
      <c r="UO18" s="61"/>
      <c r="UP18" s="61"/>
      <c r="UQ18" s="61"/>
      <c r="UR18" s="61"/>
      <c r="US18" s="61"/>
      <c r="UT18" s="61"/>
      <c r="UU18" s="61"/>
      <c r="UV18" s="61"/>
      <c r="UW18" s="61"/>
      <c r="UX18" s="61"/>
      <c r="UY18" s="61"/>
      <c r="UZ18" s="61"/>
      <c r="VA18" s="61"/>
      <c r="VB18" s="61"/>
      <c r="VC18" s="61"/>
      <c r="VD18" s="61"/>
      <c r="VE18" s="61"/>
      <c r="VF18" s="61"/>
      <c r="VG18" s="61"/>
      <c r="VH18" s="61"/>
      <c r="VI18" s="61"/>
      <c r="VJ18" s="61"/>
      <c r="VK18" s="61"/>
      <c r="VL18" s="61"/>
      <c r="VM18" s="61"/>
      <c r="VN18" s="61"/>
      <c r="VO18" s="61"/>
      <c r="VP18" s="61"/>
      <c r="VQ18" s="61"/>
      <c r="VR18" s="61"/>
      <c r="VS18" s="61"/>
      <c r="VT18" s="61"/>
      <c r="VU18" s="61"/>
      <c r="VV18" s="61"/>
      <c r="VW18" s="61"/>
      <c r="VX18" s="61"/>
      <c r="VY18" s="61"/>
      <c r="VZ18" s="61"/>
      <c r="WA18" s="61"/>
      <c r="WB18" s="61"/>
      <c r="WC18" s="61"/>
      <c r="WD18" s="61"/>
      <c r="WE18" s="61"/>
      <c r="WF18" s="61"/>
      <c r="WG18" s="61"/>
      <c r="WH18" s="61"/>
      <c r="WI18" s="61"/>
      <c r="WJ18" s="61"/>
      <c r="WK18" s="61"/>
      <c r="WL18" s="61"/>
      <c r="WM18" s="61"/>
      <c r="WN18" s="61"/>
      <c r="WO18" s="61"/>
      <c r="WP18" s="61"/>
      <c r="WQ18" s="61"/>
      <c r="WR18" s="61"/>
      <c r="WS18" s="61"/>
      <c r="WT18" s="61"/>
      <c r="WU18" s="61"/>
      <c r="WV18" s="61"/>
      <c r="WW18" s="61"/>
      <c r="WX18" s="61"/>
      <c r="WY18" s="61"/>
      <c r="WZ18" s="61"/>
      <c r="XA18" s="61"/>
      <c r="XB18" s="61"/>
      <c r="XC18" s="61"/>
      <c r="XD18" s="61"/>
      <c r="XE18" s="61"/>
      <c r="XF18" s="61"/>
      <c r="XG18" s="61"/>
      <c r="XH18" s="61"/>
      <c r="XI18" s="61"/>
      <c r="XJ18" s="61"/>
      <c r="XK18" s="61"/>
      <c r="XL18" s="61"/>
      <c r="XM18" s="61"/>
      <c r="XN18" s="61"/>
      <c r="XO18" s="61"/>
      <c r="XP18" s="61"/>
      <c r="XQ18" s="61"/>
      <c r="XR18" s="61"/>
      <c r="XS18" s="61"/>
      <c r="XT18" s="61"/>
      <c r="XU18" s="61"/>
      <c r="XV18" s="61"/>
      <c r="XW18" s="61"/>
      <c r="XX18" s="61"/>
      <c r="XY18" s="61"/>
      <c r="XZ18" s="61"/>
      <c r="YA18" s="61"/>
      <c r="YB18" s="61"/>
      <c r="YC18" s="61"/>
      <c r="YD18" s="61"/>
      <c r="YE18" s="61"/>
      <c r="YF18" s="61"/>
      <c r="YG18" s="61"/>
      <c r="YH18" s="61"/>
      <c r="YI18" s="61"/>
      <c r="YJ18" s="61"/>
      <c r="YK18" s="61"/>
      <c r="YL18" s="61"/>
      <c r="YM18" s="61"/>
      <c r="YN18" s="61"/>
      <c r="YO18" s="61"/>
      <c r="YP18" s="61"/>
      <c r="YQ18" s="61"/>
      <c r="YR18" s="61"/>
      <c r="YS18" s="61"/>
      <c r="YT18" s="61"/>
      <c r="YU18" s="61"/>
      <c r="YV18" s="61"/>
      <c r="YW18" s="61"/>
      <c r="YX18" s="61"/>
      <c r="YY18" s="61"/>
      <c r="YZ18" s="61"/>
      <c r="ZA18" s="61"/>
      <c r="ZB18" s="61"/>
      <c r="ZC18" s="61"/>
      <c r="ZD18" s="61"/>
      <c r="ZE18" s="61"/>
      <c r="ZF18" s="61"/>
      <c r="ZG18" s="61"/>
      <c r="ZH18" s="61"/>
      <c r="ZI18" s="61"/>
      <c r="ZJ18" s="61"/>
      <c r="ZK18" s="61"/>
      <c r="ZL18" s="61"/>
      <c r="ZM18" s="61"/>
      <c r="ZN18" s="61"/>
      <c r="ZO18" s="61"/>
      <c r="ZP18" s="61"/>
      <c r="ZQ18" s="61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1"/>
      <c r="AAY18" s="61"/>
      <c r="AAZ18" s="61"/>
      <c r="ABA18" s="61"/>
      <c r="ABB18" s="61"/>
      <c r="ABC18" s="61"/>
      <c r="ABD18" s="61"/>
      <c r="ABE18" s="61"/>
      <c r="ABF18" s="61"/>
      <c r="ABG18" s="61"/>
      <c r="ABH18" s="61"/>
      <c r="ABI18" s="61"/>
      <c r="ABJ18" s="61"/>
      <c r="ABK18" s="61"/>
      <c r="ABL18" s="61"/>
      <c r="ABM18" s="61"/>
      <c r="ABN18" s="61"/>
      <c r="ABO18" s="61"/>
      <c r="ABP18" s="61"/>
      <c r="ABQ18" s="61"/>
      <c r="ABR18" s="61"/>
      <c r="ABS18" s="61"/>
      <c r="ABT18" s="61"/>
      <c r="ABU18" s="61"/>
      <c r="ABV18" s="61"/>
      <c r="ABW18" s="61"/>
      <c r="ABX18" s="61"/>
      <c r="ABY18" s="61"/>
      <c r="ABZ18" s="61"/>
      <c r="ACA18" s="61"/>
      <c r="ACB18" s="61"/>
      <c r="ACC18" s="61"/>
      <c r="ACD18" s="61"/>
      <c r="ACE18" s="61"/>
      <c r="ACF18" s="61"/>
      <c r="ACG18" s="61"/>
      <c r="ACH18" s="61"/>
      <c r="ACI18" s="61"/>
      <c r="ACJ18" s="61"/>
      <c r="ACK18" s="61"/>
      <c r="ACL18" s="61"/>
      <c r="ACM18" s="61"/>
      <c r="ACN18" s="61"/>
      <c r="ACO18" s="61"/>
      <c r="ACP18" s="61"/>
      <c r="ACQ18" s="61"/>
      <c r="ACR18" s="61"/>
      <c r="ACS18" s="61"/>
      <c r="ACT18" s="61"/>
      <c r="ACU18" s="61"/>
      <c r="ACV18" s="61"/>
      <c r="ACW18" s="61"/>
      <c r="ACX18" s="61"/>
      <c r="ACY18" s="61"/>
      <c r="ACZ18" s="61"/>
      <c r="ADA18" s="61"/>
      <c r="ADB18" s="61"/>
      <c r="ADC18" s="61"/>
      <c r="ADD18" s="61"/>
      <c r="ADE18" s="61"/>
      <c r="ADF18" s="61"/>
      <c r="ADG18" s="61"/>
      <c r="ADH18" s="61"/>
      <c r="ADI18" s="61"/>
      <c r="ADJ18" s="61"/>
      <c r="ADK18" s="61"/>
      <c r="ADL18" s="61"/>
      <c r="ADM18" s="61"/>
      <c r="ADN18" s="61"/>
      <c r="ADO18" s="61"/>
      <c r="ADP18" s="61"/>
      <c r="ADQ18" s="61"/>
      <c r="ADR18" s="61"/>
      <c r="ADS18" s="61"/>
      <c r="ADT18" s="61"/>
      <c r="ADU18" s="61"/>
      <c r="ADV18" s="61"/>
      <c r="ADW18" s="61"/>
      <c r="ADX18" s="61"/>
      <c r="ADY18" s="61"/>
      <c r="ADZ18" s="61"/>
      <c r="AEA18" s="61"/>
      <c r="AEB18" s="61"/>
      <c r="AEC18" s="61"/>
      <c r="AED18" s="61"/>
      <c r="AEE18" s="61"/>
      <c r="AEF18" s="61"/>
      <c r="AEG18" s="61"/>
      <c r="AEH18" s="61"/>
      <c r="AEI18" s="61"/>
      <c r="AEJ18" s="61"/>
      <c r="AEK18" s="61"/>
      <c r="AEL18" s="61"/>
      <c r="AEM18" s="61"/>
      <c r="AEN18" s="61"/>
      <c r="AEO18" s="61"/>
      <c r="AEP18" s="61"/>
      <c r="AEQ18" s="61"/>
      <c r="AER18" s="61"/>
      <c r="AES18" s="61"/>
      <c r="AET18" s="61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1"/>
      <c r="AGH18" s="61"/>
      <c r="AGI18" s="61"/>
      <c r="AGJ18" s="61"/>
      <c r="AGK18" s="61"/>
      <c r="AGL18" s="61"/>
      <c r="AGM18" s="61"/>
      <c r="AGN18" s="61"/>
      <c r="AGO18" s="61"/>
      <c r="AGP18" s="61"/>
      <c r="AGQ18" s="61"/>
      <c r="AGR18" s="61"/>
      <c r="AGS18" s="61"/>
      <c r="AGT18" s="61"/>
      <c r="AGU18" s="61"/>
      <c r="AGV18" s="61"/>
      <c r="AGW18" s="61"/>
      <c r="AGX18" s="61"/>
      <c r="AGY18" s="61"/>
      <c r="AGZ18" s="61"/>
      <c r="AHA18" s="61"/>
      <c r="AHB18" s="61"/>
      <c r="AHC18" s="61"/>
      <c r="AHD18" s="61"/>
      <c r="AHE18" s="61"/>
      <c r="AHF18" s="61"/>
      <c r="AHG18" s="61"/>
      <c r="AHH18" s="61"/>
      <c r="AHI18" s="61"/>
      <c r="AHJ18" s="61"/>
      <c r="AHK18" s="61"/>
      <c r="AHL18" s="61"/>
      <c r="AHM18" s="61"/>
      <c r="AHN18" s="61"/>
      <c r="AHO18" s="61"/>
      <c r="AHP18" s="61"/>
      <c r="AHQ18" s="61"/>
      <c r="AHR18" s="61"/>
      <c r="AHS18" s="61"/>
      <c r="AHT18" s="61"/>
      <c r="AHU18" s="61"/>
      <c r="AHV18" s="61"/>
      <c r="AHW18" s="61"/>
      <c r="AHX18" s="61"/>
      <c r="AHY18" s="61"/>
      <c r="AHZ18" s="61"/>
      <c r="AIA18" s="61"/>
      <c r="AIB18" s="61"/>
      <c r="AIC18" s="61"/>
      <c r="AID18" s="61"/>
      <c r="AIE18" s="61"/>
      <c r="AIF18" s="61"/>
      <c r="AIG18" s="62"/>
      <c r="AIH18" s="62"/>
      <c r="AII18" s="62"/>
      <c r="AIJ18" s="61"/>
      <c r="AIK18" s="61"/>
      <c r="AIL18" s="61"/>
      <c r="AIM18" s="61"/>
      <c r="AIN18" s="61"/>
      <c r="AIO18" s="61"/>
      <c r="AIP18" s="61"/>
      <c r="AIQ18" s="61"/>
      <c r="AIR18" s="61"/>
      <c r="AIS18" s="61"/>
      <c r="AIT18" s="61"/>
      <c r="AIU18" s="61"/>
      <c r="AIV18" s="61"/>
      <c r="AIW18" s="61"/>
      <c r="AIX18" s="61"/>
      <c r="AIY18" s="61"/>
      <c r="AIZ18" s="61"/>
      <c r="AJA18" s="61"/>
      <c r="AJB18" s="61"/>
      <c r="AJC18" s="61"/>
      <c r="AJD18" s="61"/>
      <c r="AJE18" s="61"/>
      <c r="AJF18" s="61"/>
      <c r="AJG18" s="61"/>
      <c r="AJH18" s="61"/>
      <c r="AJI18" s="61"/>
      <c r="AJJ18" s="61"/>
      <c r="AJK18" s="61"/>
      <c r="AJL18" s="61"/>
      <c r="AJM18" s="61"/>
      <c r="AJN18" s="62"/>
      <c r="AJO18" s="62"/>
      <c r="AJP18" s="62"/>
      <c r="AJQ18" s="61"/>
      <c r="AJR18" s="61"/>
      <c r="AJS18" s="61"/>
      <c r="AJT18" s="61"/>
      <c r="AJU18" s="61"/>
      <c r="AJV18" s="61"/>
      <c r="AJW18" s="61"/>
      <c r="AJX18" s="61"/>
      <c r="AJY18" s="61"/>
      <c r="AJZ18" s="61"/>
      <c r="AKA18" s="61"/>
      <c r="AKB18" s="61"/>
      <c r="AKC18" s="61"/>
      <c r="AKD18" s="61"/>
      <c r="AKE18" s="61"/>
      <c r="AKF18" s="61"/>
      <c r="AKG18" s="61"/>
      <c r="AKH18" s="61"/>
      <c r="AKI18" s="61"/>
      <c r="AKJ18" s="61"/>
      <c r="AKK18" s="61"/>
      <c r="AKL18" s="61"/>
      <c r="AKM18" s="61"/>
      <c r="AKN18" s="61"/>
      <c r="AKO18" s="61"/>
      <c r="AKP18" s="61"/>
      <c r="AKQ18" s="61"/>
      <c r="AKR18" s="61"/>
      <c r="AKS18" s="61"/>
      <c r="AKT18" s="61"/>
      <c r="AKU18" s="61"/>
      <c r="AKV18" s="61"/>
      <c r="AKW18" s="61"/>
      <c r="AKX18" s="62"/>
      <c r="AKY18" s="62"/>
      <c r="AKZ18" s="61"/>
      <c r="ALA18" s="61"/>
      <c r="ALB18" s="61"/>
      <c r="ALC18" s="61"/>
      <c r="ALD18" s="61"/>
      <c r="ALE18" s="61"/>
      <c r="ALF18" s="61"/>
      <c r="ALG18" s="61"/>
      <c r="ALH18" s="61"/>
      <c r="ALI18" s="61"/>
      <c r="ALJ18" s="61"/>
      <c r="ALK18" s="61"/>
      <c r="ALL18" s="61"/>
      <c r="ALM18" s="61"/>
      <c r="ALN18" s="61"/>
      <c r="ALO18" s="61"/>
      <c r="ALP18" s="61"/>
      <c r="ALQ18" s="61"/>
      <c r="ALR18" s="61"/>
      <c r="ALS18" s="61"/>
      <c r="ALT18" s="61"/>
      <c r="ALU18" s="61"/>
      <c r="ALV18" s="61"/>
      <c r="ALW18" s="61"/>
      <c r="ALX18" s="61"/>
      <c r="ALY18" s="61"/>
      <c r="ALZ18" s="61"/>
      <c r="AMA18" s="61"/>
      <c r="AMB18" s="61"/>
      <c r="AMC18" s="61"/>
      <c r="AMD18" s="61"/>
      <c r="AME18" s="61"/>
      <c r="AMF18" s="61"/>
      <c r="AMG18" s="61"/>
      <c r="AMH18" s="61"/>
      <c r="AMI18" s="61"/>
      <c r="AMJ18" s="61"/>
      <c r="AMK18" s="61"/>
      <c r="AML18" s="61"/>
      <c r="AMM18" s="61"/>
      <c r="AMN18" s="61"/>
      <c r="AMO18" s="61"/>
      <c r="AMP18" s="61"/>
      <c r="AMQ18" s="61"/>
      <c r="AMR18" s="61"/>
      <c r="AMS18" s="61"/>
      <c r="AMT18" s="61"/>
      <c r="AMU18" s="61"/>
      <c r="AMV18" s="61"/>
      <c r="AMW18" s="61"/>
      <c r="AMX18" s="61"/>
      <c r="AMY18" s="61"/>
      <c r="AMZ18" s="61"/>
      <c r="ANA18" s="61"/>
      <c r="ANB18" s="61"/>
      <c r="ANC18" s="61"/>
      <c r="AND18" s="61"/>
      <c r="ANE18" s="61"/>
      <c r="ANF18" s="61"/>
      <c r="ANG18" s="61"/>
      <c r="ANH18" s="61"/>
      <c r="ANI18" s="61"/>
      <c r="ANJ18" s="61"/>
      <c r="ANK18" s="61"/>
      <c r="ANL18" s="61"/>
      <c r="ANM18" s="61"/>
      <c r="ANN18" s="61"/>
      <c r="ANO18" s="61"/>
      <c r="ANP18" s="61"/>
      <c r="ANQ18" s="61"/>
      <c r="ANR18" s="61"/>
      <c r="ANS18" s="61"/>
      <c r="ANT18" s="61"/>
      <c r="ANU18" s="61"/>
      <c r="ANV18" s="61"/>
      <c r="ANW18" s="61"/>
      <c r="ANX18" s="61"/>
      <c r="ANY18" s="61"/>
      <c r="ANZ18" s="61"/>
      <c r="AOA18" s="61"/>
      <c r="AOB18" s="61"/>
      <c r="AOC18" s="61"/>
      <c r="AOD18" s="61"/>
      <c r="AOE18" s="61"/>
      <c r="AOF18" s="61"/>
      <c r="AOG18" s="61"/>
      <c r="AOH18" s="61"/>
      <c r="AOI18" s="61"/>
      <c r="AOJ18" s="61"/>
      <c r="AOK18" s="61"/>
      <c r="AOL18" s="61"/>
      <c r="AOM18" s="61"/>
      <c r="AON18" s="61"/>
      <c r="AOO18" s="61"/>
      <c r="AOP18" s="61"/>
      <c r="AOQ18" s="61"/>
      <c r="AOR18" s="61"/>
      <c r="AOS18" s="61"/>
      <c r="AOT18" s="61"/>
      <c r="AOU18" s="61"/>
      <c r="AOV18" s="61"/>
      <c r="AOW18" s="61"/>
      <c r="AOX18" s="61"/>
      <c r="AOY18" s="61"/>
      <c r="AOZ18" s="61"/>
      <c r="APA18" s="61"/>
      <c r="APB18" s="61"/>
      <c r="APC18" s="61"/>
      <c r="APD18" s="61"/>
      <c r="APE18" s="61"/>
      <c r="APF18" s="61"/>
      <c r="APG18" s="61"/>
      <c r="APH18" s="61"/>
      <c r="API18" s="61"/>
      <c r="APJ18" s="61"/>
      <c r="APK18" s="61"/>
      <c r="APL18" s="61"/>
      <c r="APM18" s="61"/>
      <c r="APN18" s="61"/>
      <c r="APO18" s="61"/>
      <c r="APP18" s="61"/>
      <c r="APQ18" s="61"/>
      <c r="APR18" s="61"/>
      <c r="APS18" s="61"/>
      <c r="APT18" s="61"/>
      <c r="APU18" s="61"/>
      <c r="APV18" s="61"/>
      <c r="APW18" s="61"/>
      <c r="APX18" s="61"/>
      <c r="APY18" s="61"/>
      <c r="APZ18" s="61"/>
      <c r="AQA18" s="61"/>
      <c r="AQB18" s="61"/>
      <c r="AQC18" s="61"/>
      <c r="AQD18" s="61"/>
      <c r="AQE18" s="61"/>
      <c r="ARV18" s="66"/>
      <c r="ARW18" s="66"/>
      <c r="ARX18" s="66"/>
      <c r="ARY18" s="66"/>
      <c r="ARZ18" s="66"/>
      <c r="ASA18" s="66"/>
      <c r="ASB18" s="66"/>
      <c r="ASC18" s="66"/>
      <c r="ASD18" s="61"/>
      <c r="ASE18" s="61"/>
      <c r="ASF18" s="61"/>
      <c r="ASG18" s="61"/>
      <c r="ASH18" s="61"/>
      <c r="ASI18" s="61"/>
      <c r="ASJ18" s="61"/>
      <c r="ASK18" s="61"/>
      <c r="ASL18" s="61"/>
      <c r="ASM18" s="61"/>
      <c r="ASN18" s="61"/>
      <c r="ASO18" s="61"/>
      <c r="ASP18" s="61"/>
      <c r="ASQ18" s="61"/>
      <c r="ASR18" s="61"/>
      <c r="ASS18" s="61"/>
      <c r="AST18" s="61"/>
      <c r="ASU18" s="61"/>
      <c r="ASV18" s="61"/>
      <c r="ASW18" s="61"/>
      <c r="ASX18" s="61"/>
      <c r="ASY18" s="61"/>
      <c r="ASZ18" s="61"/>
      <c r="ATA18" s="61"/>
      <c r="ATB18" s="61"/>
      <c r="ATC18" s="61"/>
      <c r="ATD18" s="61"/>
      <c r="ATE18" s="61"/>
      <c r="ATF18" s="61"/>
      <c r="ATG18" s="61"/>
      <c r="ATH18" s="61"/>
      <c r="ATI18" s="61"/>
      <c r="ATJ18" s="61"/>
      <c r="ATK18" s="61"/>
      <c r="ATL18" s="61"/>
      <c r="ATM18" s="61"/>
      <c r="ATN18" s="61"/>
      <c r="ATO18" s="61"/>
      <c r="ATP18" s="61"/>
      <c r="ATQ18" s="62"/>
      <c r="ATR18" s="62"/>
      <c r="ATS18" s="62"/>
      <c r="ATT18" s="62"/>
      <c r="ATU18" s="62"/>
      <c r="ATV18" s="61"/>
      <c r="ATW18" s="61"/>
      <c r="ATX18" s="61"/>
      <c r="ATY18" s="61"/>
      <c r="ATZ18" s="61"/>
      <c r="AUA18" s="61"/>
      <c r="AUB18" s="61"/>
      <c r="AUC18" s="61"/>
      <c r="AUD18" s="61"/>
      <c r="AUE18" s="61"/>
      <c r="AUF18" s="61"/>
      <c r="AUG18" s="61"/>
      <c r="AUH18" s="61"/>
      <c r="AUI18" s="61"/>
      <c r="AUJ18" s="61"/>
      <c r="AUK18" s="61"/>
      <c r="AUL18" s="61"/>
      <c r="AUM18" s="61"/>
      <c r="AUN18" s="61"/>
      <c r="AUO18" s="61"/>
      <c r="AUP18" s="61"/>
      <c r="AUQ18" s="61"/>
      <c r="AUR18" s="61"/>
      <c r="AUS18" s="61"/>
      <c r="AUT18" s="61"/>
      <c r="AUU18" s="61"/>
      <c r="AUV18" s="61"/>
      <c r="AUW18" s="61"/>
      <c r="AUX18" s="61"/>
      <c r="AUY18" s="61"/>
      <c r="AUZ18" s="61"/>
      <c r="AVA18" s="61"/>
      <c r="AVB18" s="61"/>
      <c r="AVC18" s="61"/>
      <c r="AVD18" s="61"/>
      <c r="AVE18" s="61"/>
      <c r="AVF18" s="61"/>
      <c r="AVG18" s="61"/>
      <c r="AVH18" s="61"/>
      <c r="AVI18" s="61"/>
      <c r="AVJ18" s="61"/>
      <c r="AVK18" s="61"/>
      <c r="AVL18" s="61"/>
      <c r="AVM18" s="61"/>
      <c r="AVN18" s="61"/>
      <c r="AVO18" s="61"/>
      <c r="AVP18" s="61"/>
      <c r="AVQ18" s="61"/>
      <c r="AVR18" s="61"/>
      <c r="AVS18" s="61"/>
      <c r="AVT18" s="61"/>
      <c r="AVU18" s="61"/>
      <c r="AVV18" s="61"/>
      <c r="AVW18" s="61"/>
      <c r="AVX18" s="61"/>
      <c r="AVY18" s="61"/>
      <c r="AVZ18" s="61"/>
      <c r="AWA18" s="61"/>
      <c r="AWB18" s="61"/>
      <c r="AWC18" s="61"/>
      <c r="AWD18" s="61"/>
      <c r="AWE18" s="61"/>
      <c r="AWF18" s="61"/>
      <c r="AWG18" s="61"/>
      <c r="AWH18" s="61"/>
      <c r="AWI18" s="61"/>
      <c r="AWJ18" s="61"/>
      <c r="AWK18" s="61"/>
      <c r="AWL18" s="61"/>
      <c r="AWM18" s="61"/>
      <c r="AWN18" s="61"/>
      <c r="AWO18" s="61"/>
      <c r="AWP18" s="61"/>
      <c r="AWQ18" s="61"/>
      <c r="AWR18" s="61"/>
      <c r="AWS18" s="61"/>
      <c r="AWT18" s="61"/>
      <c r="AWU18" s="61"/>
      <c r="AWV18" s="61"/>
      <c r="AWW18" s="61"/>
      <c r="AWX18" s="61"/>
      <c r="AWY18" s="61"/>
      <c r="AWZ18" s="61"/>
      <c r="AXA18" s="61"/>
      <c r="AXB18" s="61"/>
      <c r="AXC18" s="61"/>
      <c r="AXD18" s="61"/>
      <c r="AXE18" s="61"/>
      <c r="AXF18" s="61"/>
      <c r="AXG18" s="61"/>
      <c r="AXH18" s="61"/>
      <c r="AXI18" s="61"/>
      <c r="AXJ18" s="61"/>
      <c r="AXK18" s="61"/>
      <c r="AXL18" s="61"/>
      <c r="AXM18" s="61"/>
      <c r="AXN18" s="61"/>
      <c r="AXO18" s="61"/>
      <c r="AXP18" s="61"/>
      <c r="AXQ18" s="61"/>
      <c r="AXR18" s="61"/>
      <c r="AXS18" s="61"/>
      <c r="AXT18" s="61"/>
      <c r="AXU18" s="61"/>
      <c r="AXV18" s="61"/>
      <c r="AXW18" s="61"/>
      <c r="AXX18" s="61"/>
      <c r="AXY18" s="61"/>
      <c r="AXZ18" s="61"/>
      <c r="AYA18" s="61"/>
      <c r="AYB18" s="61"/>
      <c r="AYC18" s="61"/>
      <c r="AYD18" s="61"/>
      <c r="AYE18" s="61"/>
      <c r="AYF18" s="61"/>
      <c r="AYG18" s="61"/>
      <c r="AYH18" s="61"/>
      <c r="AYI18" s="61"/>
      <c r="AYJ18" s="61"/>
      <c r="AYK18" s="61"/>
      <c r="AYL18" s="61"/>
      <c r="AYM18" s="61"/>
      <c r="AYN18" s="61"/>
      <c r="AYO18" s="61"/>
      <c r="AYP18" s="61"/>
      <c r="AYQ18" s="61"/>
      <c r="AYR18" s="61"/>
      <c r="AYS18" s="61"/>
      <c r="AYT18" s="61"/>
      <c r="AYU18" s="61"/>
      <c r="AYV18" s="61"/>
      <c r="AYW18" s="61"/>
      <c r="AYX18" s="61"/>
      <c r="AYY18" s="61"/>
      <c r="AYZ18" s="61"/>
      <c r="AZA18" s="61"/>
      <c r="AZB18" s="61"/>
      <c r="AZC18" s="61"/>
      <c r="AZD18" s="61"/>
      <c r="AZE18" s="61"/>
      <c r="AZF18" s="61"/>
      <c r="AZG18" s="61"/>
      <c r="AZH18" s="61"/>
      <c r="AZI18" s="61"/>
      <c r="AZJ18" s="61"/>
      <c r="AZK18" s="61"/>
      <c r="AZL18" s="61"/>
      <c r="AZM18" s="61"/>
      <c r="AZN18" s="61"/>
      <c r="AZO18" s="61"/>
      <c r="AZP18" s="61"/>
      <c r="AZQ18" s="61"/>
      <c r="AZR18" s="61"/>
      <c r="AZS18" s="61"/>
      <c r="AZT18" s="61"/>
      <c r="AZU18" s="61"/>
      <c r="AZV18" s="61"/>
      <c r="AZW18" s="61"/>
      <c r="AZX18" s="61"/>
      <c r="AZY18" s="61"/>
      <c r="AZZ18" s="61"/>
      <c r="BAA18" s="61"/>
      <c r="BAB18" s="61"/>
      <c r="BAC18" s="61"/>
      <c r="BAD18" s="61"/>
      <c r="BAE18" s="61"/>
      <c r="BAF18" s="61"/>
      <c r="BAG18" s="61"/>
      <c r="BAH18" s="61"/>
      <c r="BAI18" s="61"/>
      <c r="BAJ18" s="61"/>
      <c r="BAK18" s="61"/>
      <c r="BAL18" s="61"/>
      <c r="BAM18" s="61"/>
      <c r="BAN18" s="61"/>
      <c r="BAO18" s="61"/>
      <c r="BAP18" s="61"/>
      <c r="BAQ18" s="61"/>
      <c r="BAR18" s="61"/>
      <c r="BAS18" s="61"/>
      <c r="BAT18" s="61"/>
      <c r="BAU18" s="61"/>
      <c r="BAV18" s="61"/>
      <c r="BAW18" s="61"/>
      <c r="BAX18" s="61"/>
      <c r="BAY18" s="61"/>
      <c r="BAZ18" s="61"/>
      <c r="BBA18" s="61"/>
      <c r="BBB18" s="61"/>
      <c r="BBC18" s="61"/>
      <c r="BBD18" s="61"/>
      <c r="BBE18" s="61"/>
      <c r="BBF18" s="61"/>
      <c r="BBG18" s="61"/>
      <c r="BBH18" s="61"/>
      <c r="BBI18" s="61"/>
      <c r="BBJ18" s="61"/>
      <c r="BBK18" s="61"/>
      <c r="BBL18" s="61"/>
      <c r="BBM18" s="61"/>
      <c r="BBN18" s="61"/>
      <c r="BBO18" s="61"/>
      <c r="BBP18" s="61"/>
      <c r="BBQ18" s="61"/>
      <c r="BBR18" s="61"/>
      <c r="BBS18" s="61"/>
      <c r="BBT18" s="61"/>
      <c r="BBU18" s="61"/>
      <c r="BBV18" s="61"/>
      <c r="BBW18" s="61"/>
      <c r="BBX18" s="61"/>
      <c r="BBY18" s="61"/>
      <c r="BBZ18" s="61"/>
      <c r="BCA18" s="61"/>
      <c r="BCB18" s="61"/>
      <c r="BCC18" s="61"/>
      <c r="BCD18" s="61"/>
      <c r="BCE18" s="61"/>
      <c r="BCF18" s="61"/>
      <c r="BCG18" s="61"/>
      <c r="BCH18" s="61"/>
      <c r="BCI18" s="61"/>
      <c r="BCJ18" s="61"/>
      <c r="BCK18" s="61"/>
      <c r="BCL18" s="61"/>
      <c r="BCM18" s="61"/>
      <c r="BCN18" s="61"/>
      <c r="BCO18" s="61"/>
      <c r="BCP18" s="61"/>
      <c r="BCQ18" s="61"/>
      <c r="BCR18" s="61"/>
      <c r="BCS18" s="61"/>
      <c r="BCT18" s="61"/>
      <c r="BCU18" s="61"/>
      <c r="BCV18" s="61"/>
      <c r="BCW18" s="61"/>
      <c r="BCX18" s="61"/>
      <c r="BCY18" s="61"/>
      <c r="BCZ18" s="61"/>
      <c r="BDA18" s="61"/>
      <c r="BDB18" s="61"/>
      <c r="BDC18" s="61"/>
      <c r="BDD18" s="61"/>
      <c r="BDE18" s="61"/>
      <c r="BDF18" s="61"/>
      <c r="BDG18" s="61"/>
      <c r="BDH18" s="61"/>
      <c r="BDI18" s="61"/>
      <c r="BDJ18" s="61"/>
      <c r="BDK18" s="61"/>
      <c r="BDL18" s="61"/>
      <c r="BDM18" s="61"/>
      <c r="BDN18" s="61"/>
      <c r="BDO18" s="61"/>
      <c r="BDP18" s="61"/>
      <c r="BDQ18" s="61"/>
      <c r="BDR18" s="61"/>
      <c r="BDS18" s="61"/>
      <c r="BDT18" s="61"/>
      <c r="BDU18" s="61"/>
      <c r="BDV18" s="61"/>
      <c r="BDW18" s="61"/>
      <c r="BDX18" s="61"/>
      <c r="BDY18" s="61"/>
      <c r="BDZ18" s="61"/>
      <c r="BEA18" s="61"/>
      <c r="BEB18" s="61"/>
      <c r="BEC18" s="61"/>
      <c r="BED18" s="61"/>
      <c r="BEE18" s="61"/>
      <c r="BEF18" s="61"/>
      <c r="BEG18" s="61"/>
      <c r="BEH18" s="61"/>
      <c r="BEI18" s="61"/>
      <c r="BEJ18" s="61"/>
      <c r="BEK18" s="61"/>
      <c r="BEL18" s="61"/>
      <c r="BEM18" s="61"/>
      <c r="BEN18" s="61"/>
      <c r="BEO18" s="61"/>
      <c r="BEP18" s="61"/>
      <c r="BEQ18" s="61"/>
      <c r="BER18" s="61"/>
      <c r="BES18" s="61"/>
      <c r="BYJ18" s="65"/>
      <c r="BYY18" s="59">
        <v>0</v>
      </c>
      <c r="BZL18" s="59">
        <v>0</v>
      </c>
    </row>
    <row r="19" spans="1:2984 3117:4093 4097:4980 5166:5792" s="59" customFormat="1" x14ac:dyDescent="0.25">
      <c r="A19" s="59">
        <v>1480</v>
      </c>
      <c r="B19" s="60" t="s">
        <v>4190</v>
      </c>
      <c r="HV19" s="59">
        <v>11920</v>
      </c>
      <c r="JV19" s="59">
        <v>13</v>
      </c>
      <c r="NF19" s="59">
        <v>24</v>
      </c>
      <c r="NK19" s="59">
        <v>24</v>
      </c>
      <c r="QY19" s="59">
        <v>49</v>
      </c>
      <c r="TQ19" s="59">
        <v>222</v>
      </c>
      <c r="BOA19" s="59">
        <v>57</v>
      </c>
      <c r="BOC19" s="59">
        <v>1</v>
      </c>
      <c r="BOD19" s="59">
        <v>28.9</v>
      </c>
      <c r="BOG19" s="59">
        <v>14</v>
      </c>
      <c r="BQN19" s="59">
        <v>1</v>
      </c>
      <c r="BWN19" s="59">
        <v>1</v>
      </c>
      <c r="BYJ19" s="65"/>
      <c r="BYY19" s="59">
        <v>0</v>
      </c>
      <c r="BZL19" s="59">
        <v>500</v>
      </c>
      <c r="BZM19" s="59">
        <v>500</v>
      </c>
      <c r="BZN19" s="59">
        <v>1</v>
      </c>
      <c r="BZQ19" s="59">
        <v>1</v>
      </c>
      <c r="BZS19" s="59">
        <v>2</v>
      </c>
      <c r="BZT19" s="59">
        <v>1</v>
      </c>
      <c r="BZU19" s="59">
        <v>1</v>
      </c>
      <c r="BZV19" s="59">
        <v>2</v>
      </c>
      <c r="BZW19" s="59">
        <v>3</v>
      </c>
      <c r="DTP19" s="59">
        <v>1</v>
      </c>
      <c r="HGH19" s="59">
        <v>1</v>
      </c>
      <c r="HGY19" s="59">
        <v>1</v>
      </c>
      <c r="HHA19" s="59">
        <v>1</v>
      </c>
      <c r="HHC19" s="59">
        <v>1</v>
      </c>
    </row>
    <row r="20" spans="1:2984 3117:4093 4097:4980 5166:5792" s="59" customFormat="1" x14ac:dyDescent="0.25">
      <c r="A20" s="63">
        <v>7063959</v>
      </c>
      <c r="B20" s="60" t="s">
        <v>4190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2"/>
      <c r="GY20" s="62"/>
      <c r="GZ20" s="62"/>
      <c r="HA20" s="62"/>
      <c r="HB20" s="62"/>
      <c r="HC20" s="62"/>
      <c r="HD20" s="62"/>
      <c r="HE20" s="62"/>
      <c r="HF20" s="62"/>
      <c r="HG20" s="62"/>
      <c r="HH20" s="62"/>
      <c r="HI20" s="62"/>
      <c r="HJ20" s="62"/>
      <c r="HK20" s="62"/>
      <c r="HL20" s="62"/>
      <c r="HM20" s="62"/>
      <c r="HN20" s="62"/>
      <c r="HO20" s="62"/>
      <c r="HP20" s="62"/>
      <c r="HQ20" s="61"/>
      <c r="HR20" s="61"/>
      <c r="HS20" s="61"/>
      <c r="HT20" s="61"/>
      <c r="HU20" s="61"/>
      <c r="HV20" s="61"/>
      <c r="HW20" s="61"/>
      <c r="HX20" s="61"/>
      <c r="HY20" s="61"/>
      <c r="HZ20" s="61"/>
      <c r="IA20" s="61"/>
      <c r="IB20" s="61"/>
      <c r="IC20" s="61"/>
      <c r="ID20" s="61"/>
      <c r="IE20" s="61"/>
      <c r="IF20" s="61"/>
      <c r="IG20" s="61"/>
      <c r="IH20" s="61"/>
      <c r="II20" s="61"/>
      <c r="IJ20" s="61"/>
      <c r="IK20" s="61"/>
      <c r="IL20" s="61"/>
      <c r="IM20" s="61"/>
      <c r="IN20" s="61"/>
      <c r="IO20" s="61"/>
      <c r="IP20" s="61"/>
      <c r="IQ20" s="61"/>
      <c r="IR20" s="61"/>
      <c r="IS20" s="61"/>
      <c r="IT20" s="61"/>
      <c r="IU20" s="61"/>
      <c r="IV20" s="61"/>
      <c r="IW20" s="61"/>
      <c r="IX20" s="61"/>
      <c r="JA20" s="61"/>
      <c r="JB20" s="61"/>
      <c r="JC20" s="61"/>
      <c r="JD20" s="61"/>
      <c r="JE20" s="61"/>
      <c r="JF20" s="61"/>
      <c r="JG20" s="61"/>
      <c r="JH20" s="61"/>
      <c r="JI20" s="61"/>
      <c r="JJ20" s="61"/>
      <c r="JK20" s="61"/>
      <c r="JL20" s="61"/>
      <c r="JM20" s="61"/>
      <c r="JN20" s="61"/>
      <c r="JO20" s="61"/>
      <c r="JP20" s="61"/>
      <c r="JQ20" s="61"/>
      <c r="JR20" s="61"/>
      <c r="JS20" s="61"/>
      <c r="JT20" s="61"/>
      <c r="JU20" s="61"/>
      <c r="JV20" s="61"/>
      <c r="JW20" s="61"/>
      <c r="JX20" s="61"/>
      <c r="JY20" s="61"/>
      <c r="JZ20" s="61"/>
      <c r="KA20" s="61"/>
      <c r="KB20" s="61"/>
      <c r="KC20" s="61"/>
      <c r="KD20" s="61"/>
      <c r="KE20" s="61"/>
      <c r="KF20" s="61"/>
      <c r="KG20" s="61"/>
      <c r="KH20" s="61"/>
      <c r="KI20" s="61"/>
      <c r="KJ20" s="61"/>
      <c r="KK20" s="61"/>
      <c r="KL20" s="61"/>
      <c r="KM20" s="61"/>
      <c r="KN20" s="61"/>
      <c r="KO20" s="61"/>
      <c r="KP20" s="61"/>
      <c r="KQ20" s="61"/>
      <c r="KR20" s="61"/>
      <c r="KS20" s="61"/>
      <c r="KT20" s="61"/>
      <c r="KU20" s="61"/>
      <c r="KV20" s="61"/>
      <c r="KW20" s="61"/>
      <c r="KX20" s="61"/>
      <c r="KY20" s="61"/>
      <c r="KZ20" s="61"/>
      <c r="LA20" s="61"/>
      <c r="LB20" s="61"/>
      <c r="LC20" s="61"/>
      <c r="LD20" s="61"/>
      <c r="LE20" s="61"/>
      <c r="LF20" s="61"/>
      <c r="LG20" s="61"/>
      <c r="LH20" s="61"/>
      <c r="LI20" s="61"/>
      <c r="LJ20" s="61"/>
      <c r="LK20" s="61"/>
      <c r="LL20" s="61"/>
      <c r="LM20" s="61"/>
      <c r="LN20" s="61"/>
      <c r="LO20" s="61"/>
      <c r="LP20" s="61"/>
      <c r="LQ20" s="61"/>
      <c r="LR20" s="61"/>
      <c r="LS20" s="61"/>
      <c r="LT20" s="61"/>
      <c r="LU20" s="61"/>
      <c r="LV20" s="61"/>
      <c r="LW20" s="61"/>
      <c r="LX20" s="61"/>
      <c r="LY20" s="61"/>
      <c r="LZ20" s="61"/>
      <c r="MA20" s="61"/>
      <c r="MB20" s="61"/>
      <c r="MC20" s="61"/>
      <c r="MD20" s="61"/>
      <c r="ME20" s="61"/>
      <c r="MF20" s="61"/>
      <c r="MG20" s="61"/>
      <c r="MH20" s="61"/>
      <c r="MI20" s="61"/>
      <c r="MJ20" s="61"/>
      <c r="MK20" s="61"/>
      <c r="ML20" s="61"/>
      <c r="MM20" s="61"/>
      <c r="MN20" s="61"/>
      <c r="MO20" s="61"/>
      <c r="MP20" s="61"/>
      <c r="MQ20" s="61"/>
      <c r="MR20" s="61"/>
      <c r="MS20" s="61"/>
      <c r="MT20" s="61"/>
      <c r="MU20" s="61"/>
      <c r="MV20" s="61"/>
      <c r="MW20" s="61"/>
      <c r="MX20" s="61"/>
      <c r="MY20" s="61"/>
      <c r="MZ20" s="61"/>
      <c r="NA20" s="61"/>
      <c r="NB20" s="61"/>
      <c r="NC20" s="61"/>
      <c r="ND20" s="61"/>
      <c r="NE20" s="61"/>
      <c r="NF20" s="61"/>
      <c r="NG20" s="61"/>
      <c r="NH20" s="61"/>
      <c r="NI20" s="61"/>
      <c r="NJ20" s="61"/>
      <c r="NK20" s="61"/>
      <c r="NL20" s="61"/>
      <c r="NM20" s="61"/>
      <c r="NN20" s="61"/>
      <c r="NO20" s="61"/>
      <c r="NP20" s="61"/>
      <c r="NQ20" s="61"/>
      <c r="NR20" s="61"/>
      <c r="NS20" s="61"/>
      <c r="NT20" s="61"/>
      <c r="NU20" s="61"/>
      <c r="NV20" s="61"/>
      <c r="NW20" s="61"/>
      <c r="NX20" s="61"/>
      <c r="NY20" s="61"/>
      <c r="NZ20" s="61"/>
      <c r="OA20" s="61"/>
      <c r="OB20" s="61"/>
      <c r="OC20" s="61"/>
      <c r="OD20" s="61"/>
      <c r="OE20" s="61"/>
      <c r="OF20" s="61"/>
      <c r="OG20" s="61"/>
      <c r="OH20" s="61"/>
      <c r="OI20" s="61"/>
      <c r="OJ20" s="61"/>
      <c r="OK20" s="61"/>
      <c r="OL20" s="61"/>
      <c r="OM20" s="61"/>
      <c r="ON20" s="61"/>
      <c r="OO20" s="61"/>
      <c r="OP20" s="61"/>
      <c r="OQ20" s="61"/>
      <c r="OR20" s="61"/>
      <c r="OS20" s="61"/>
      <c r="OT20" s="61"/>
      <c r="OU20" s="61"/>
      <c r="OV20" s="61"/>
      <c r="OW20" s="61"/>
      <c r="OX20" s="61"/>
      <c r="OY20" s="61"/>
      <c r="OZ20" s="61"/>
      <c r="PA20" s="61"/>
      <c r="PB20" s="61"/>
      <c r="PC20" s="61"/>
      <c r="PD20" s="61"/>
      <c r="PE20" s="61"/>
      <c r="PF20" s="61"/>
      <c r="PG20" s="61"/>
      <c r="PH20" s="61"/>
      <c r="PI20" s="61"/>
      <c r="PJ20" s="61"/>
      <c r="PK20" s="61"/>
      <c r="PL20" s="61"/>
      <c r="PM20" s="61"/>
      <c r="PN20" s="61"/>
      <c r="PO20" s="61"/>
      <c r="PP20" s="61"/>
      <c r="PQ20" s="61"/>
      <c r="PR20" s="61"/>
      <c r="PS20" s="61"/>
      <c r="PT20" s="61"/>
      <c r="PU20" s="61"/>
      <c r="PV20" s="61"/>
      <c r="PW20" s="61"/>
      <c r="PX20" s="61"/>
      <c r="PY20" s="61"/>
      <c r="PZ20" s="61"/>
      <c r="QA20" s="61"/>
      <c r="QB20" s="61"/>
      <c r="QC20" s="61"/>
      <c r="QD20" s="61"/>
      <c r="QE20" s="61"/>
      <c r="QF20" s="61"/>
      <c r="QG20" s="61"/>
      <c r="QH20" s="61"/>
      <c r="QI20" s="61"/>
      <c r="QJ20" s="61"/>
      <c r="QK20" s="61"/>
      <c r="QL20" s="61"/>
      <c r="QM20" s="61"/>
      <c r="QN20" s="61"/>
      <c r="QO20" s="61"/>
      <c r="QP20" s="61"/>
      <c r="QQ20" s="61"/>
      <c r="QR20" s="61"/>
      <c r="QS20" s="61"/>
      <c r="QT20" s="61"/>
      <c r="QU20" s="61"/>
      <c r="QV20" s="61"/>
      <c r="QW20" s="61"/>
      <c r="QX20" s="61"/>
      <c r="QY20" s="61"/>
      <c r="QZ20" s="61"/>
      <c r="RA20" s="61"/>
      <c r="RB20" s="61"/>
      <c r="RC20" s="61"/>
      <c r="RD20" s="61"/>
      <c r="RE20" s="61"/>
      <c r="RF20" s="61"/>
      <c r="RG20" s="61"/>
      <c r="RH20" s="61"/>
      <c r="RI20" s="61"/>
      <c r="RJ20" s="61"/>
      <c r="RK20" s="61"/>
      <c r="RL20" s="61"/>
      <c r="RM20" s="61"/>
      <c r="RN20" s="61"/>
      <c r="RO20" s="61"/>
      <c r="RP20" s="61"/>
      <c r="RQ20" s="61"/>
      <c r="RR20" s="61"/>
      <c r="RS20" s="61"/>
      <c r="RT20" s="61"/>
      <c r="RU20" s="61"/>
      <c r="RV20" s="61"/>
      <c r="RW20" s="61"/>
      <c r="RX20" s="61"/>
      <c r="RY20" s="61"/>
      <c r="RZ20" s="61"/>
      <c r="SA20" s="61"/>
      <c r="SB20" s="61"/>
      <c r="SC20" s="61"/>
      <c r="SD20" s="61"/>
      <c r="SE20" s="61"/>
      <c r="SF20" s="61"/>
      <c r="SG20" s="61"/>
      <c r="SH20" s="61"/>
      <c r="SI20" s="61"/>
      <c r="SJ20" s="61"/>
      <c r="SK20" s="61"/>
      <c r="SL20" s="61"/>
      <c r="SM20" s="61"/>
      <c r="SN20" s="61"/>
      <c r="SO20" s="61"/>
      <c r="SP20" s="61"/>
      <c r="SQ20" s="61"/>
      <c r="SR20" s="61"/>
      <c r="SS20" s="61"/>
      <c r="ST20" s="61"/>
      <c r="SU20" s="61"/>
      <c r="SV20" s="61"/>
      <c r="SW20" s="61"/>
      <c r="SX20" s="61"/>
      <c r="SY20" s="61"/>
      <c r="SZ20" s="61"/>
      <c r="TA20" s="61"/>
      <c r="TB20" s="61"/>
      <c r="TC20" s="66"/>
      <c r="TD20" s="66"/>
      <c r="TE20" s="66"/>
      <c r="TF20" s="66"/>
      <c r="TG20" s="66"/>
      <c r="TH20" s="66"/>
      <c r="TI20" s="66"/>
      <c r="TJ20" s="66"/>
      <c r="TK20" s="66"/>
      <c r="TL20" s="66"/>
      <c r="TM20" s="61"/>
      <c r="TN20" s="61"/>
      <c r="TO20" s="61"/>
      <c r="TP20" s="61"/>
      <c r="TQ20" s="61"/>
      <c r="TR20" s="61"/>
      <c r="TS20" s="61"/>
      <c r="TT20" s="61"/>
      <c r="TU20" s="61"/>
      <c r="TV20" s="61"/>
      <c r="TW20" s="61"/>
      <c r="TX20" s="61"/>
      <c r="TY20" s="61"/>
      <c r="TZ20" s="61"/>
      <c r="UA20" s="61"/>
      <c r="UB20" s="61"/>
      <c r="UC20" s="61"/>
      <c r="UD20" s="61"/>
      <c r="UE20" s="61"/>
      <c r="UF20" s="61"/>
      <c r="UG20" s="61"/>
      <c r="UH20" s="61"/>
      <c r="UI20" s="61"/>
      <c r="UJ20" s="61"/>
      <c r="UK20" s="61"/>
      <c r="UL20" s="61"/>
      <c r="UM20" s="61"/>
      <c r="UN20" s="61"/>
      <c r="UO20" s="61"/>
      <c r="UP20" s="61"/>
      <c r="UQ20" s="61"/>
      <c r="UR20" s="61"/>
      <c r="US20" s="61"/>
      <c r="UT20" s="61"/>
      <c r="UU20" s="61"/>
      <c r="UV20" s="61"/>
      <c r="UW20" s="61"/>
      <c r="UX20" s="61"/>
      <c r="UY20" s="61"/>
      <c r="UZ20" s="61"/>
      <c r="VA20" s="61"/>
      <c r="VB20" s="61"/>
      <c r="VC20" s="61"/>
      <c r="VD20" s="61"/>
      <c r="VE20" s="61"/>
      <c r="VF20" s="61"/>
      <c r="VG20" s="61"/>
      <c r="VH20" s="61"/>
      <c r="VI20" s="61"/>
      <c r="VJ20" s="61"/>
      <c r="VK20" s="61"/>
      <c r="VL20" s="61"/>
      <c r="VM20" s="61"/>
      <c r="VN20" s="61"/>
      <c r="VO20" s="61"/>
      <c r="VP20" s="61"/>
      <c r="VQ20" s="61"/>
      <c r="VR20" s="61"/>
      <c r="VS20" s="61"/>
      <c r="VT20" s="61"/>
      <c r="VU20" s="61"/>
      <c r="VV20" s="61"/>
      <c r="VW20" s="61"/>
      <c r="VX20" s="61"/>
      <c r="VY20" s="61"/>
      <c r="VZ20" s="61"/>
      <c r="WA20" s="61"/>
      <c r="WB20" s="61"/>
      <c r="WC20" s="61"/>
      <c r="WD20" s="61"/>
      <c r="WE20" s="61"/>
      <c r="WF20" s="61"/>
      <c r="WG20" s="61"/>
      <c r="WH20" s="61"/>
      <c r="WI20" s="61"/>
      <c r="WJ20" s="61"/>
      <c r="WK20" s="61"/>
      <c r="WL20" s="61"/>
      <c r="WM20" s="61"/>
      <c r="WN20" s="61"/>
      <c r="WO20" s="61"/>
      <c r="WP20" s="61"/>
      <c r="WQ20" s="61"/>
      <c r="WR20" s="61"/>
      <c r="WS20" s="61"/>
      <c r="WT20" s="61"/>
      <c r="WU20" s="61"/>
      <c r="WV20" s="61"/>
      <c r="WW20" s="61"/>
      <c r="WX20" s="61"/>
      <c r="WY20" s="61"/>
      <c r="WZ20" s="61"/>
      <c r="XA20" s="61"/>
      <c r="XB20" s="61"/>
      <c r="XC20" s="61"/>
      <c r="XD20" s="61"/>
      <c r="XE20" s="61"/>
      <c r="XF20" s="61"/>
      <c r="XG20" s="61"/>
      <c r="XH20" s="61"/>
      <c r="XI20" s="61"/>
      <c r="XJ20" s="61"/>
      <c r="XK20" s="61"/>
      <c r="XL20" s="61"/>
      <c r="XM20" s="61"/>
      <c r="XN20" s="61"/>
      <c r="XO20" s="61"/>
      <c r="XP20" s="61"/>
      <c r="XQ20" s="61"/>
      <c r="XR20" s="61"/>
      <c r="XS20" s="61"/>
      <c r="XT20" s="61"/>
      <c r="XU20" s="61"/>
      <c r="XV20" s="61"/>
      <c r="XW20" s="61"/>
      <c r="XX20" s="61"/>
      <c r="XY20" s="61"/>
      <c r="XZ20" s="61"/>
      <c r="YA20" s="61"/>
      <c r="YB20" s="61"/>
      <c r="YC20" s="61"/>
      <c r="YD20" s="61"/>
      <c r="YE20" s="61"/>
      <c r="YF20" s="61"/>
      <c r="YG20" s="61"/>
      <c r="YH20" s="61"/>
      <c r="YI20" s="61"/>
      <c r="YJ20" s="61"/>
      <c r="YK20" s="61"/>
      <c r="YL20" s="61"/>
      <c r="YM20" s="61"/>
      <c r="YN20" s="61"/>
      <c r="YO20" s="61"/>
      <c r="YP20" s="61"/>
      <c r="YQ20" s="61"/>
      <c r="YR20" s="61"/>
      <c r="YS20" s="61"/>
      <c r="YT20" s="61"/>
      <c r="YU20" s="61"/>
      <c r="YV20" s="61"/>
      <c r="YW20" s="61"/>
      <c r="YX20" s="61"/>
      <c r="YY20" s="61"/>
      <c r="YZ20" s="61"/>
      <c r="ZA20" s="61"/>
      <c r="ZB20" s="61"/>
      <c r="ZC20" s="61"/>
      <c r="ZD20" s="61"/>
      <c r="ZE20" s="61"/>
      <c r="ZF20" s="61"/>
      <c r="ZG20" s="61"/>
      <c r="ZH20" s="61"/>
      <c r="ZI20" s="61"/>
      <c r="ZJ20" s="61"/>
      <c r="ZK20" s="61"/>
      <c r="ZL20" s="61"/>
      <c r="ZM20" s="61"/>
      <c r="ZN20" s="61"/>
      <c r="ZO20" s="61"/>
      <c r="ZP20" s="61"/>
      <c r="ZQ20" s="61"/>
      <c r="ZR20" s="62"/>
      <c r="ZS20" s="62"/>
      <c r="ZT20" s="62"/>
      <c r="ZU20" s="62"/>
      <c r="ZV20" s="62"/>
      <c r="ZW20" s="62"/>
      <c r="ZX20" s="62"/>
      <c r="ZY20" s="62"/>
      <c r="ZZ20" s="62"/>
      <c r="AAA20" s="62"/>
      <c r="AAB20" s="62"/>
      <c r="AAC20" s="62"/>
      <c r="AAD20" s="62"/>
      <c r="AAE20" s="62"/>
      <c r="AAF20" s="62"/>
      <c r="AAG20" s="62"/>
      <c r="AAH20" s="62"/>
      <c r="AAI20" s="62"/>
      <c r="AAJ20" s="62"/>
      <c r="AAK20" s="62"/>
      <c r="AAL20" s="62"/>
      <c r="AAM20" s="62"/>
      <c r="AAN20" s="62"/>
      <c r="AAO20" s="62"/>
      <c r="AAP20" s="62"/>
      <c r="AAQ20" s="62"/>
      <c r="AAR20" s="62"/>
      <c r="AAS20" s="62"/>
      <c r="AAT20" s="62"/>
      <c r="AAU20" s="62"/>
      <c r="AAV20" s="62"/>
      <c r="AAW20" s="62"/>
      <c r="AAX20" s="61"/>
      <c r="AAY20" s="61"/>
      <c r="AAZ20" s="61"/>
      <c r="ABA20" s="61"/>
      <c r="ABB20" s="61"/>
      <c r="ABC20" s="61"/>
      <c r="ABD20" s="61"/>
      <c r="ABE20" s="61"/>
      <c r="ABF20" s="61"/>
      <c r="ABG20" s="61"/>
      <c r="ABH20" s="61"/>
      <c r="ABI20" s="61"/>
      <c r="ABJ20" s="61"/>
      <c r="ABK20" s="61"/>
      <c r="ABL20" s="61"/>
      <c r="ABM20" s="61"/>
      <c r="ABN20" s="61"/>
      <c r="ABO20" s="61"/>
      <c r="ABP20" s="61"/>
      <c r="ABQ20" s="61"/>
      <c r="ABR20" s="61"/>
      <c r="ABS20" s="61"/>
      <c r="ABT20" s="61"/>
      <c r="ABU20" s="61"/>
      <c r="ABV20" s="61"/>
      <c r="ABW20" s="61"/>
      <c r="ABX20" s="61"/>
      <c r="ABY20" s="61"/>
      <c r="ABZ20" s="61"/>
      <c r="ACA20" s="61"/>
      <c r="ACB20" s="61"/>
      <c r="ACC20" s="61"/>
      <c r="ACD20" s="61"/>
      <c r="ACE20" s="61"/>
      <c r="ACF20" s="61"/>
      <c r="ACG20" s="61"/>
      <c r="ACH20" s="61"/>
      <c r="ACI20" s="61"/>
      <c r="ACJ20" s="61"/>
      <c r="ACK20" s="61"/>
      <c r="ACL20" s="61"/>
      <c r="ACM20" s="61"/>
      <c r="ACN20" s="61"/>
      <c r="ACO20" s="61"/>
      <c r="ACP20" s="61"/>
      <c r="ACQ20" s="61"/>
      <c r="ACR20" s="61"/>
      <c r="ACS20" s="61"/>
      <c r="ACT20" s="61"/>
      <c r="ACU20" s="61"/>
      <c r="ACV20" s="61"/>
      <c r="ACW20" s="61"/>
      <c r="ACX20" s="61"/>
      <c r="ACY20" s="61"/>
      <c r="ACZ20" s="61"/>
      <c r="ADA20" s="61"/>
      <c r="ADB20" s="61"/>
      <c r="ADC20" s="61"/>
      <c r="ADD20" s="61"/>
      <c r="ADE20" s="61"/>
      <c r="ADF20" s="61"/>
      <c r="ADG20" s="61"/>
      <c r="ADH20" s="61"/>
      <c r="ADI20" s="61"/>
      <c r="ADJ20" s="61"/>
      <c r="ADK20" s="61"/>
      <c r="ADL20" s="61"/>
      <c r="ADM20" s="61"/>
      <c r="ADN20" s="61"/>
      <c r="ADO20" s="61"/>
      <c r="ADP20" s="61"/>
      <c r="ADQ20" s="61"/>
      <c r="ADR20" s="61"/>
      <c r="ADS20" s="61"/>
      <c r="ADT20" s="61"/>
      <c r="ADU20" s="61"/>
      <c r="ADV20" s="61"/>
      <c r="ADW20" s="61"/>
      <c r="ADX20" s="61"/>
      <c r="ADY20" s="61"/>
      <c r="ADZ20" s="61"/>
      <c r="AEA20" s="61"/>
      <c r="AEB20" s="61"/>
      <c r="AEC20" s="61"/>
      <c r="AED20" s="61"/>
      <c r="AEE20" s="61"/>
      <c r="AEF20" s="61"/>
      <c r="AEG20" s="61"/>
      <c r="AEH20" s="61"/>
      <c r="AEI20" s="61"/>
      <c r="AEJ20" s="61"/>
      <c r="AEK20" s="61"/>
      <c r="AEL20" s="61"/>
      <c r="AEM20" s="61"/>
      <c r="AEN20" s="61"/>
      <c r="AEO20" s="61"/>
      <c r="AEP20" s="61"/>
      <c r="AEQ20" s="61"/>
      <c r="AER20" s="61"/>
      <c r="AES20" s="61"/>
      <c r="AET20" s="61"/>
      <c r="AEU20" s="62"/>
      <c r="AEV20" s="62"/>
      <c r="AEW20" s="62"/>
      <c r="AEX20" s="62"/>
      <c r="AEY20" s="62"/>
      <c r="AEZ20" s="62"/>
      <c r="AFA20" s="62"/>
      <c r="AFB20" s="62"/>
      <c r="AFC20" s="62"/>
      <c r="AFD20" s="62"/>
      <c r="AFE20" s="62"/>
      <c r="AFF20" s="62"/>
      <c r="AFG20" s="62"/>
      <c r="AFH20" s="62"/>
      <c r="AFI20" s="62"/>
      <c r="AFJ20" s="62"/>
      <c r="AFK20" s="62"/>
      <c r="AFL20" s="62"/>
      <c r="AFM20" s="62"/>
      <c r="AFN20" s="62"/>
      <c r="AFO20" s="62"/>
      <c r="AFP20" s="62"/>
      <c r="AFQ20" s="62"/>
      <c r="AFR20" s="62"/>
      <c r="AFS20" s="62"/>
      <c r="AFT20" s="62"/>
      <c r="AFU20" s="62"/>
      <c r="AFV20" s="62"/>
      <c r="AFW20" s="62"/>
      <c r="AFX20" s="62"/>
      <c r="AFY20" s="62"/>
      <c r="AFZ20" s="62"/>
      <c r="AGA20" s="62"/>
      <c r="AGB20" s="62"/>
      <c r="AGC20" s="62"/>
      <c r="AGD20" s="62"/>
      <c r="AGE20" s="62"/>
      <c r="AGF20" s="62"/>
      <c r="AGG20" s="61"/>
      <c r="AGH20" s="61"/>
      <c r="AGI20" s="61"/>
      <c r="AGJ20" s="61"/>
      <c r="AGK20" s="61"/>
      <c r="AGL20" s="61"/>
      <c r="AGM20" s="61"/>
      <c r="AGN20" s="61"/>
      <c r="AGO20" s="61"/>
      <c r="AGP20" s="61"/>
      <c r="AGQ20" s="61"/>
      <c r="AGR20" s="61"/>
      <c r="AGS20" s="61"/>
      <c r="AGT20" s="61"/>
      <c r="AGU20" s="61"/>
      <c r="AGV20" s="61"/>
      <c r="AGW20" s="61"/>
      <c r="AGX20" s="61"/>
      <c r="AGY20" s="61"/>
      <c r="AGZ20" s="61"/>
      <c r="AHA20" s="61"/>
      <c r="AHB20" s="61"/>
      <c r="AHC20" s="61"/>
      <c r="AHD20" s="61"/>
      <c r="AHE20" s="61"/>
      <c r="AHF20" s="61"/>
      <c r="AHG20" s="61"/>
      <c r="AHH20" s="61"/>
      <c r="AHI20" s="61"/>
      <c r="AHJ20" s="61"/>
      <c r="AHK20" s="61"/>
      <c r="AHL20" s="61"/>
      <c r="AHM20" s="61"/>
      <c r="AHN20" s="61"/>
      <c r="AHO20" s="61"/>
      <c r="AHP20" s="61"/>
      <c r="AHQ20" s="61"/>
      <c r="AHR20" s="61"/>
      <c r="AHS20" s="61"/>
      <c r="AHT20" s="61"/>
      <c r="AHU20" s="61"/>
      <c r="AHV20" s="61"/>
      <c r="AHW20" s="61"/>
      <c r="AHX20" s="61"/>
      <c r="AHY20" s="61"/>
      <c r="AHZ20" s="61"/>
      <c r="AIA20" s="61"/>
      <c r="AIB20" s="61"/>
      <c r="AIC20" s="61"/>
      <c r="AID20" s="61"/>
      <c r="AIE20" s="61"/>
      <c r="AIF20" s="61"/>
      <c r="AIG20" s="62"/>
      <c r="AIH20" s="62"/>
      <c r="AII20" s="62"/>
      <c r="AIJ20" s="61"/>
      <c r="AIK20" s="61"/>
      <c r="AIL20" s="61"/>
      <c r="AIM20" s="61"/>
      <c r="AIN20" s="61"/>
      <c r="AIO20" s="61"/>
      <c r="AIP20" s="61"/>
      <c r="AIQ20" s="61"/>
      <c r="AIR20" s="61"/>
      <c r="AIS20" s="61"/>
      <c r="AIT20" s="61"/>
      <c r="AIU20" s="61"/>
      <c r="AIV20" s="61"/>
      <c r="AIW20" s="61"/>
      <c r="AIX20" s="61"/>
      <c r="AIY20" s="61"/>
      <c r="AIZ20" s="61"/>
      <c r="AJA20" s="61"/>
      <c r="AJB20" s="61"/>
      <c r="AJC20" s="61"/>
      <c r="AJD20" s="61"/>
      <c r="AJE20" s="61"/>
      <c r="AJF20" s="61"/>
      <c r="AJG20" s="61"/>
      <c r="AJH20" s="61"/>
      <c r="AJI20" s="61"/>
      <c r="AJJ20" s="61"/>
      <c r="AJK20" s="61"/>
      <c r="AJL20" s="61"/>
      <c r="AJM20" s="61"/>
      <c r="AJN20" s="62"/>
      <c r="AJO20" s="62"/>
      <c r="AJP20" s="62"/>
      <c r="AJQ20" s="61"/>
      <c r="AJR20" s="61"/>
      <c r="AJS20" s="61"/>
      <c r="AJT20" s="61"/>
      <c r="AJU20" s="61"/>
      <c r="AJV20" s="61"/>
      <c r="AJW20" s="61"/>
      <c r="AJX20" s="61"/>
      <c r="AJY20" s="61"/>
      <c r="AJZ20" s="61"/>
      <c r="AKA20" s="61"/>
      <c r="AKB20" s="61"/>
      <c r="AKC20" s="61"/>
      <c r="AKD20" s="61"/>
      <c r="AKE20" s="61"/>
      <c r="AKF20" s="61"/>
      <c r="AKG20" s="61"/>
      <c r="AKH20" s="61"/>
      <c r="AKI20" s="61"/>
      <c r="AKJ20" s="61"/>
      <c r="AKK20" s="61"/>
      <c r="AKL20" s="61"/>
      <c r="AKM20" s="61"/>
      <c r="AKN20" s="61"/>
      <c r="AKO20" s="61"/>
      <c r="AKP20" s="61"/>
      <c r="AKQ20" s="61"/>
      <c r="AKR20" s="61"/>
      <c r="AKS20" s="61"/>
      <c r="AKT20" s="61"/>
      <c r="AKU20" s="61"/>
      <c r="AKV20" s="61"/>
      <c r="AKW20" s="61"/>
      <c r="AKX20" s="62"/>
      <c r="AKY20" s="62"/>
      <c r="AKZ20" s="61"/>
      <c r="ALA20" s="61"/>
      <c r="ALB20" s="61"/>
      <c r="ALC20" s="61"/>
      <c r="ALD20" s="61"/>
      <c r="ALE20" s="61"/>
      <c r="ALF20" s="61"/>
      <c r="ALG20" s="61"/>
      <c r="ALH20" s="61"/>
      <c r="ALI20" s="61"/>
      <c r="ALJ20" s="61"/>
      <c r="ALK20" s="61"/>
      <c r="ALL20" s="61"/>
      <c r="ALM20" s="61"/>
      <c r="ALN20" s="61"/>
      <c r="ALO20" s="61"/>
      <c r="ALP20" s="61"/>
      <c r="ALQ20" s="61"/>
      <c r="ALR20" s="61"/>
      <c r="ALS20" s="61"/>
      <c r="ALT20" s="61"/>
      <c r="ALU20" s="61"/>
      <c r="ALV20" s="61"/>
      <c r="ALW20" s="61"/>
      <c r="ALX20" s="61"/>
      <c r="ALY20" s="61"/>
      <c r="ALZ20" s="61"/>
      <c r="AMA20" s="61"/>
      <c r="AMB20" s="61"/>
      <c r="AMC20" s="61"/>
      <c r="AMD20" s="61"/>
      <c r="AME20" s="61"/>
      <c r="AMF20" s="61"/>
      <c r="AMG20" s="61"/>
      <c r="AMH20" s="61"/>
      <c r="AMI20" s="61"/>
      <c r="AMJ20" s="61"/>
      <c r="AMK20" s="61"/>
      <c r="AML20" s="61"/>
      <c r="AMM20" s="61"/>
      <c r="AMN20" s="61"/>
      <c r="AMO20" s="61"/>
      <c r="AMP20" s="61"/>
      <c r="AMQ20" s="61"/>
      <c r="AMR20" s="61"/>
      <c r="AMS20" s="61"/>
      <c r="AMT20" s="61"/>
      <c r="AMU20" s="61"/>
      <c r="AMV20" s="61"/>
      <c r="AMW20" s="61"/>
      <c r="AMX20" s="61"/>
      <c r="AMY20" s="61"/>
      <c r="AMZ20" s="61"/>
      <c r="ANA20" s="61"/>
      <c r="ANB20" s="61"/>
      <c r="ANC20" s="61"/>
      <c r="AND20" s="61"/>
      <c r="ANE20" s="61"/>
      <c r="ANF20" s="61">
        <v>66</v>
      </c>
      <c r="ANG20" s="61"/>
      <c r="ANH20" s="61"/>
      <c r="ANI20" s="61"/>
      <c r="ANJ20" s="61"/>
      <c r="ANK20" s="61"/>
      <c r="ANL20" s="61"/>
      <c r="ANM20" s="61"/>
      <c r="ANN20" s="61"/>
      <c r="ANO20" s="61"/>
      <c r="ANP20" s="61"/>
      <c r="ANQ20" s="61"/>
      <c r="ANR20" s="61"/>
      <c r="ANS20" s="61"/>
      <c r="ANT20" s="61"/>
      <c r="ANU20" s="61"/>
      <c r="ANV20" s="61"/>
      <c r="ANW20" s="61"/>
      <c r="ANX20" s="61"/>
      <c r="ANY20" s="61"/>
      <c r="ANZ20" s="61"/>
      <c r="AOA20" s="61"/>
      <c r="AOB20" s="61"/>
      <c r="AOC20" s="61"/>
      <c r="AOD20" s="61"/>
      <c r="AOE20" s="61"/>
      <c r="AOF20" s="61"/>
      <c r="AOG20" s="61"/>
      <c r="AOH20" s="61"/>
      <c r="AOI20" s="61"/>
      <c r="AOJ20" s="61"/>
      <c r="AOK20" s="61"/>
      <c r="AOL20" s="61"/>
      <c r="AOM20" s="61"/>
      <c r="AON20" s="61"/>
      <c r="AOO20" s="61"/>
      <c r="AOP20" s="61"/>
      <c r="AOQ20" s="61"/>
      <c r="AOR20" s="61"/>
      <c r="AOS20" s="61"/>
      <c r="AOT20" s="61"/>
      <c r="AOU20" s="61"/>
      <c r="AOV20" s="61"/>
      <c r="AOW20" s="61"/>
      <c r="AOX20" s="61"/>
      <c r="AOY20" s="61"/>
      <c r="AOZ20" s="61"/>
      <c r="APA20" s="61"/>
      <c r="APB20" s="61"/>
      <c r="APC20" s="61"/>
      <c r="APD20" s="61"/>
      <c r="APE20" s="61"/>
      <c r="APF20" s="61"/>
      <c r="APG20" s="61"/>
      <c r="APH20" s="61"/>
      <c r="API20" s="61"/>
      <c r="APJ20" s="61"/>
      <c r="APK20" s="61"/>
      <c r="APL20" s="61"/>
      <c r="APM20" s="61"/>
      <c r="APN20" s="61"/>
      <c r="APO20" s="61"/>
      <c r="APP20" s="61"/>
      <c r="APQ20" s="61"/>
      <c r="APR20" s="61"/>
      <c r="APS20" s="61"/>
      <c r="APT20" s="61"/>
      <c r="APU20" s="61"/>
      <c r="APV20" s="61"/>
      <c r="APW20" s="61"/>
      <c r="APX20" s="61"/>
      <c r="APY20" s="61"/>
      <c r="APZ20" s="61"/>
      <c r="AQA20" s="61"/>
      <c r="AQB20" s="61"/>
      <c r="AQC20" s="61"/>
      <c r="AQD20" s="61"/>
      <c r="AQE20" s="61"/>
      <c r="ARV20" s="66"/>
      <c r="ARW20" s="66"/>
      <c r="ARX20" s="66"/>
      <c r="ARY20" s="66"/>
      <c r="ARZ20" s="66"/>
      <c r="ASA20" s="66"/>
      <c r="ASB20" s="66"/>
      <c r="ASC20" s="66"/>
      <c r="ASD20" s="61"/>
      <c r="ASE20" s="61"/>
      <c r="ASF20" s="61"/>
      <c r="ASG20" s="61"/>
      <c r="ASH20" s="61"/>
      <c r="ASI20" s="61"/>
      <c r="ASJ20" s="61"/>
      <c r="ASK20" s="61"/>
      <c r="ASL20" s="61"/>
      <c r="ASM20" s="61"/>
      <c r="ASN20" s="61"/>
      <c r="ASO20" s="61"/>
      <c r="ASP20" s="61"/>
      <c r="ASQ20" s="61"/>
      <c r="ASR20" s="61"/>
      <c r="ASS20" s="61"/>
      <c r="AST20" s="61"/>
      <c r="ASU20" s="61"/>
      <c r="ASV20" s="61"/>
      <c r="ASW20" s="61"/>
      <c r="ASX20" s="61"/>
      <c r="ASY20" s="61"/>
      <c r="ASZ20" s="61"/>
      <c r="ATA20" s="61"/>
      <c r="ATB20" s="61"/>
      <c r="ATC20" s="61"/>
      <c r="ATD20" s="61"/>
      <c r="ATE20" s="61"/>
      <c r="ATF20" s="61"/>
      <c r="ATG20" s="61"/>
      <c r="ATH20" s="61"/>
      <c r="ATI20" s="61"/>
      <c r="ATJ20" s="61"/>
      <c r="ATK20" s="61"/>
      <c r="ATL20" s="61"/>
      <c r="ATM20" s="61"/>
      <c r="ATN20" s="61"/>
      <c r="ATO20" s="61"/>
      <c r="ATP20" s="61"/>
      <c r="ATQ20" s="62"/>
      <c r="ATR20" s="62"/>
      <c r="ATS20" s="62"/>
      <c r="ATT20" s="62"/>
      <c r="ATU20" s="62"/>
      <c r="ATV20" s="61"/>
      <c r="ATW20" s="61"/>
      <c r="ATX20" s="61"/>
      <c r="ATY20" s="61"/>
      <c r="ATZ20" s="61"/>
      <c r="AUA20" s="61"/>
      <c r="AUB20" s="61"/>
      <c r="AUC20" s="61"/>
      <c r="AUD20" s="61"/>
      <c r="AUE20" s="61"/>
      <c r="AUF20" s="61"/>
      <c r="AUG20" s="61"/>
      <c r="AUH20" s="61"/>
      <c r="AUI20" s="61"/>
      <c r="AUJ20" s="61"/>
      <c r="AUK20" s="61"/>
      <c r="AUL20" s="61"/>
      <c r="AUM20" s="61"/>
      <c r="AUN20" s="61"/>
      <c r="AUO20" s="61"/>
      <c r="AUP20" s="61"/>
      <c r="AUQ20" s="61"/>
      <c r="AUR20" s="61"/>
      <c r="AUS20" s="61"/>
      <c r="AUT20" s="61"/>
      <c r="AUU20" s="61"/>
      <c r="AUV20" s="61"/>
      <c r="AUW20" s="61"/>
      <c r="AUX20" s="61"/>
      <c r="AUY20" s="61"/>
      <c r="AUZ20" s="61"/>
      <c r="AVA20" s="61"/>
      <c r="AVB20" s="61"/>
      <c r="AVC20" s="61"/>
      <c r="AVD20" s="61"/>
      <c r="AVE20" s="61"/>
      <c r="AVF20" s="61"/>
      <c r="AVG20" s="61"/>
      <c r="AVH20" s="61"/>
      <c r="AVI20" s="61"/>
      <c r="AVJ20" s="61"/>
      <c r="AVK20" s="61"/>
      <c r="AVL20" s="61"/>
      <c r="AVM20" s="61"/>
      <c r="AVN20" s="61"/>
      <c r="AVO20" s="61"/>
      <c r="AVP20" s="61"/>
      <c r="AVQ20" s="61"/>
      <c r="AVR20" s="61"/>
      <c r="AVS20" s="61"/>
      <c r="AVT20" s="61"/>
      <c r="AVU20" s="61"/>
      <c r="AVV20" s="61"/>
      <c r="AVW20" s="61"/>
      <c r="AVX20" s="61"/>
      <c r="AVY20" s="61"/>
      <c r="AVZ20" s="61"/>
      <c r="AWA20" s="61"/>
      <c r="AWB20" s="61"/>
      <c r="AWC20" s="61"/>
      <c r="AWD20" s="61"/>
      <c r="AWE20" s="61"/>
      <c r="AWF20" s="61"/>
      <c r="AWG20" s="61"/>
      <c r="AWH20" s="61"/>
      <c r="AWI20" s="61"/>
      <c r="AWJ20" s="61"/>
      <c r="AWK20" s="61"/>
      <c r="AWL20" s="61"/>
      <c r="AWM20" s="61"/>
      <c r="AWN20" s="61"/>
      <c r="AWO20" s="61"/>
      <c r="AWP20" s="61"/>
      <c r="AWQ20" s="61"/>
      <c r="AWR20" s="61"/>
      <c r="AWS20" s="61"/>
      <c r="AWT20" s="61"/>
      <c r="AWU20" s="61"/>
      <c r="AWV20" s="61"/>
      <c r="AWW20" s="61"/>
      <c r="AWX20" s="61"/>
      <c r="AWY20" s="61"/>
      <c r="AWZ20" s="61"/>
      <c r="AXA20" s="61"/>
      <c r="AXB20" s="61"/>
      <c r="AXC20" s="61"/>
      <c r="AXD20" s="61"/>
      <c r="AXE20" s="61"/>
      <c r="AXF20" s="61"/>
      <c r="AXG20" s="61"/>
      <c r="AXH20" s="61"/>
      <c r="AXI20" s="61"/>
      <c r="AXJ20" s="61"/>
      <c r="AXK20" s="61"/>
      <c r="AXL20" s="61"/>
      <c r="AXM20" s="61"/>
      <c r="AXN20" s="61"/>
      <c r="AXO20" s="61"/>
      <c r="AXP20" s="61"/>
      <c r="AXQ20" s="61"/>
      <c r="AXR20" s="61"/>
      <c r="AXS20" s="61"/>
      <c r="AXT20" s="61"/>
      <c r="AXU20" s="61"/>
      <c r="AXV20" s="61"/>
      <c r="AXW20" s="61"/>
      <c r="AXX20" s="61"/>
      <c r="AXY20" s="61"/>
      <c r="AXZ20" s="61"/>
      <c r="AYA20" s="61"/>
      <c r="AYB20" s="61"/>
      <c r="AYC20" s="61"/>
      <c r="AYD20" s="61"/>
      <c r="AYE20" s="61"/>
      <c r="AYF20" s="61"/>
      <c r="AYG20" s="61"/>
      <c r="AYH20" s="61"/>
      <c r="AYI20" s="61"/>
      <c r="AYJ20" s="61"/>
      <c r="AYK20" s="61"/>
      <c r="AYL20" s="61"/>
      <c r="AYM20" s="61"/>
      <c r="AYN20" s="61"/>
      <c r="AYO20" s="61"/>
      <c r="AYP20" s="61"/>
      <c r="AYQ20" s="61"/>
      <c r="AYR20" s="61"/>
      <c r="AYS20" s="61"/>
      <c r="AYT20" s="61"/>
      <c r="AYU20" s="61"/>
      <c r="AYV20" s="61"/>
      <c r="AYW20" s="61"/>
      <c r="AYX20" s="61"/>
      <c r="AYY20" s="61"/>
      <c r="AYZ20" s="61"/>
      <c r="AZA20" s="61"/>
      <c r="AZB20" s="61"/>
      <c r="AZC20" s="61"/>
      <c r="AZD20" s="61"/>
      <c r="AZE20" s="61"/>
      <c r="AZF20" s="61"/>
      <c r="AZG20" s="61"/>
      <c r="AZH20" s="61"/>
      <c r="AZI20" s="61"/>
      <c r="AZJ20" s="61"/>
      <c r="AZK20" s="61"/>
      <c r="AZL20" s="61"/>
      <c r="AZM20" s="61"/>
      <c r="AZN20" s="61"/>
      <c r="AZO20" s="61"/>
      <c r="AZP20" s="61"/>
      <c r="AZQ20" s="61"/>
      <c r="AZR20" s="61"/>
      <c r="AZS20" s="61"/>
      <c r="AZT20" s="61"/>
      <c r="AZU20" s="61"/>
      <c r="AZV20" s="61"/>
      <c r="AZW20" s="61"/>
      <c r="AZX20" s="61"/>
      <c r="AZY20" s="61"/>
      <c r="AZZ20" s="61"/>
      <c r="BAA20" s="61"/>
      <c r="BAB20" s="61"/>
      <c r="BAC20" s="61"/>
      <c r="BAD20" s="61"/>
      <c r="BAE20" s="61"/>
      <c r="BAF20" s="61"/>
      <c r="BAG20" s="61"/>
      <c r="BAH20" s="61"/>
      <c r="BAI20" s="61"/>
      <c r="BAJ20" s="61"/>
      <c r="BAK20" s="61"/>
      <c r="BAL20" s="61"/>
      <c r="BAM20" s="61"/>
      <c r="BAN20" s="61"/>
      <c r="BAO20" s="61"/>
      <c r="BAP20" s="61"/>
      <c r="BAQ20" s="61"/>
      <c r="BAR20" s="61"/>
      <c r="BAS20" s="61"/>
      <c r="BAT20" s="61"/>
      <c r="BAU20" s="61"/>
      <c r="BAV20" s="61"/>
      <c r="BAW20" s="61"/>
      <c r="BAX20" s="61"/>
      <c r="BAY20" s="61"/>
      <c r="BAZ20" s="61"/>
      <c r="BBA20" s="61"/>
      <c r="BBB20" s="61"/>
      <c r="BBC20" s="61"/>
      <c r="BBD20" s="61"/>
      <c r="BBE20" s="61"/>
      <c r="BBF20" s="61"/>
      <c r="BBG20" s="61"/>
      <c r="BBH20" s="61"/>
      <c r="BBI20" s="61"/>
      <c r="BBJ20" s="61"/>
      <c r="BBK20" s="61"/>
      <c r="BBL20" s="61"/>
      <c r="BBM20" s="61"/>
      <c r="BBN20" s="61"/>
      <c r="BBO20" s="61"/>
      <c r="BBP20" s="61"/>
      <c r="BBQ20" s="61"/>
      <c r="BBR20" s="61"/>
      <c r="BBS20" s="61"/>
      <c r="BBT20" s="61"/>
      <c r="BBU20" s="61"/>
      <c r="BBV20" s="61"/>
      <c r="BBW20" s="61"/>
      <c r="BBX20" s="61"/>
      <c r="BBY20" s="61"/>
      <c r="BBZ20" s="61"/>
      <c r="BCA20" s="61"/>
      <c r="BCB20" s="61"/>
      <c r="BCC20" s="61"/>
      <c r="BCD20" s="61"/>
      <c r="BCE20" s="61"/>
      <c r="BCF20" s="61"/>
      <c r="BCG20" s="61"/>
      <c r="BCH20" s="61"/>
      <c r="BCI20" s="61"/>
      <c r="BCJ20" s="61"/>
      <c r="BCK20" s="61"/>
      <c r="BCL20" s="61"/>
      <c r="BCM20" s="61"/>
      <c r="BCN20" s="61"/>
      <c r="BCO20" s="61"/>
      <c r="BCP20" s="61"/>
      <c r="BCQ20" s="61"/>
      <c r="BCR20" s="61"/>
      <c r="BCS20" s="61"/>
      <c r="BCT20" s="61"/>
      <c r="BCU20" s="61"/>
      <c r="BCV20" s="61"/>
      <c r="BCW20" s="61"/>
      <c r="BCX20" s="61"/>
      <c r="BCY20" s="61"/>
      <c r="BCZ20" s="61"/>
      <c r="BDA20" s="61"/>
      <c r="BDB20" s="61"/>
      <c r="BDC20" s="61"/>
      <c r="BDD20" s="61"/>
      <c r="BDE20" s="61"/>
      <c r="BDF20" s="61"/>
      <c r="BDG20" s="61"/>
      <c r="BDH20" s="61"/>
      <c r="BDI20" s="61"/>
      <c r="BDJ20" s="61"/>
      <c r="BDK20" s="61"/>
      <c r="BDL20" s="61"/>
      <c r="BDM20" s="61"/>
      <c r="BDN20" s="61"/>
      <c r="BDO20" s="61"/>
      <c r="BDP20" s="61"/>
      <c r="BDQ20" s="61"/>
      <c r="BDR20" s="61"/>
      <c r="BDS20" s="61"/>
      <c r="BDT20" s="61"/>
      <c r="BDU20" s="61"/>
      <c r="BDV20" s="61"/>
      <c r="BDW20" s="61"/>
      <c r="BDX20" s="61"/>
      <c r="BDY20" s="61"/>
      <c r="BDZ20" s="61"/>
      <c r="BEA20" s="61"/>
      <c r="BEB20" s="61"/>
      <c r="BEC20" s="61"/>
      <c r="BED20" s="61"/>
      <c r="BEE20" s="61"/>
      <c r="BEF20" s="61"/>
      <c r="BEG20" s="61"/>
      <c r="BEH20" s="61"/>
      <c r="BEI20" s="61"/>
      <c r="BEJ20" s="61"/>
      <c r="BEK20" s="61"/>
      <c r="BEL20" s="61"/>
      <c r="BEM20" s="61"/>
      <c r="BEN20" s="61"/>
      <c r="BEO20" s="61"/>
      <c r="BEP20" s="61"/>
      <c r="BEQ20" s="61"/>
      <c r="BER20" s="61"/>
      <c r="BES20" s="61"/>
      <c r="BEY20" s="63"/>
      <c r="BEZ20" s="63"/>
      <c r="BFA20" s="63"/>
      <c r="BFB20" s="63"/>
      <c r="BFC20" s="63"/>
      <c r="BFD20" s="63"/>
      <c r="BFE20" s="63"/>
      <c r="BFF20" s="63"/>
      <c r="BFG20" s="63"/>
      <c r="BFH20" s="63"/>
      <c r="BFI20" s="63"/>
      <c r="BFJ20" s="63"/>
      <c r="BFK20" s="63"/>
      <c r="BFL20" s="63"/>
      <c r="BFM20" s="63"/>
      <c r="BFN20" s="63"/>
      <c r="BFO20" s="63"/>
      <c r="BFP20" s="63"/>
      <c r="BFQ20" s="63"/>
      <c r="BFR20" s="63"/>
      <c r="BFS20" s="63"/>
      <c r="BFT20" s="63"/>
      <c r="BFU20" s="63"/>
      <c r="BFV20" s="63"/>
      <c r="BFW20" s="63"/>
      <c r="BFX20" s="63"/>
      <c r="BFY20" s="63"/>
      <c r="BFZ20" s="63"/>
      <c r="BGA20" s="63"/>
      <c r="BGB20" s="63"/>
      <c r="BGC20" s="63"/>
      <c r="BOA20" s="59">
        <v>43</v>
      </c>
      <c r="BOC20" s="59">
        <v>1</v>
      </c>
      <c r="BOF20" s="59">
        <v>1</v>
      </c>
      <c r="BOG20" s="59">
        <v>20</v>
      </c>
      <c r="BQB20" s="59">
        <v>1</v>
      </c>
      <c r="BVU20" s="59">
        <v>1</v>
      </c>
      <c r="BYJ20" s="65"/>
      <c r="BYY20" s="59">
        <v>0</v>
      </c>
      <c r="BZK20" s="59">
        <v>1</v>
      </c>
      <c r="BZL20" s="59">
        <v>0</v>
      </c>
      <c r="BZX20" s="59">
        <v>1</v>
      </c>
      <c r="FSB20" s="59">
        <v>1</v>
      </c>
      <c r="FSC20" s="59">
        <v>1</v>
      </c>
      <c r="HDZ20" s="59">
        <v>1</v>
      </c>
      <c r="HFP20" s="59">
        <v>1</v>
      </c>
      <c r="HGG20" s="59">
        <v>1</v>
      </c>
      <c r="HGU20" s="59">
        <v>1</v>
      </c>
      <c r="HGY20" s="59">
        <v>1</v>
      </c>
      <c r="HHC20" s="59">
        <v>1</v>
      </c>
      <c r="HHL20" s="59">
        <v>1</v>
      </c>
      <c r="HIA20" s="59">
        <v>1</v>
      </c>
      <c r="HID20" s="59">
        <v>1</v>
      </c>
      <c r="HIG20" s="59">
        <v>1</v>
      </c>
      <c r="HJF20" s="59">
        <v>1</v>
      </c>
      <c r="HNI20" s="59">
        <v>1</v>
      </c>
      <c r="HNN20" s="59">
        <v>1</v>
      </c>
      <c r="HNO20" s="59">
        <v>1</v>
      </c>
      <c r="HNP20" s="59">
        <v>1</v>
      </c>
      <c r="HNR20" s="59">
        <v>1</v>
      </c>
      <c r="HNT20" s="59">
        <v>1</v>
      </c>
    </row>
    <row r="21" spans="1:2984 3117:4093 4097:4980 5166:5792" s="59" customFormat="1" x14ac:dyDescent="0.25">
      <c r="A21" s="63">
        <v>1003215</v>
      </c>
      <c r="B21" s="60" t="s">
        <v>4190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2"/>
      <c r="GY21" s="62"/>
      <c r="GZ21" s="62"/>
      <c r="HA21" s="62"/>
      <c r="HB21" s="62"/>
      <c r="HC21" s="62"/>
      <c r="HD21" s="62"/>
      <c r="HE21" s="62"/>
      <c r="HF21" s="62"/>
      <c r="HG21" s="62"/>
      <c r="HH21" s="62"/>
      <c r="HI21" s="62"/>
      <c r="HJ21" s="62"/>
      <c r="HK21" s="62"/>
      <c r="HL21" s="62"/>
      <c r="HM21" s="62"/>
      <c r="HN21" s="62"/>
      <c r="HO21" s="62"/>
      <c r="HP21" s="66">
        <v>8000</v>
      </c>
      <c r="HQ21" s="61"/>
      <c r="HR21" s="61"/>
      <c r="HS21" s="61"/>
      <c r="HT21" s="61"/>
      <c r="HU21" s="61"/>
      <c r="HV21" s="61"/>
      <c r="HW21" s="61"/>
      <c r="HX21" s="61"/>
      <c r="HY21" s="61"/>
      <c r="HZ21" s="61"/>
      <c r="IA21" s="61"/>
      <c r="IB21" s="61"/>
      <c r="IC21" s="61"/>
      <c r="ID21" s="61"/>
      <c r="IE21" s="61"/>
      <c r="IF21" s="61"/>
      <c r="IG21" s="61"/>
      <c r="IH21" s="61"/>
      <c r="II21" s="61"/>
      <c r="IJ21" s="61"/>
      <c r="IK21" s="61"/>
      <c r="IL21" s="61"/>
      <c r="IM21" s="61"/>
      <c r="IN21" s="61"/>
      <c r="IO21" s="61"/>
      <c r="IP21" s="61"/>
      <c r="IQ21" s="61"/>
      <c r="IR21" s="61"/>
      <c r="IS21" s="61"/>
      <c r="IT21" s="61"/>
      <c r="IU21" s="61"/>
      <c r="IV21" s="61"/>
      <c r="IW21" s="61"/>
      <c r="IX21" s="61"/>
      <c r="JA21" s="61"/>
      <c r="JB21" s="61"/>
      <c r="JC21" s="61"/>
      <c r="JD21" s="61"/>
      <c r="JE21" s="61"/>
      <c r="JF21" s="61"/>
      <c r="JG21" s="61"/>
      <c r="JH21" s="61"/>
      <c r="JI21" s="61"/>
      <c r="JJ21" s="61"/>
      <c r="JK21" s="61"/>
      <c r="JL21" s="61"/>
      <c r="JM21" s="61"/>
      <c r="JN21" s="61"/>
      <c r="JO21" s="61"/>
      <c r="JP21" s="61">
        <v>20</v>
      </c>
      <c r="JQ21" s="61"/>
      <c r="JR21" s="61"/>
      <c r="JS21" s="61"/>
      <c r="JT21" s="61"/>
      <c r="JU21" s="61"/>
      <c r="JV21" s="61"/>
      <c r="JW21" s="61"/>
      <c r="JX21" s="61"/>
      <c r="JY21" s="61"/>
      <c r="JZ21" s="61"/>
      <c r="KA21" s="61"/>
      <c r="KB21" s="61"/>
      <c r="KC21" s="61"/>
      <c r="KD21" s="61"/>
      <c r="KE21" s="61"/>
      <c r="KF21" s="61"/>
      <c r="KG21" s="61"/>
      <c r="KH21" s="61"/>
      <c r="KI21" s="61"/>
      <c r="KJ21" s="61"/>
      <c r="KK21" s="61"/>
      <c r="KL21" s="61"/>
      <c r="KM21" s="61"/>
      <c r="KN21" s="61"/>
      <c r="KO21" s="61"/>
      <c r="KP21" s="61"/>
      <c r="KQ21" s="61"/>
      <c r="KR21" s="61"/>
      <c r="KS21" s="61"/>
      <c r="KT21" s="61"/>
      <c r="KU21" s="61"/>
      <c r="KV21" s="61"/>
      <c r="KW21" s="61"/>
      <c r="KX21" s="61"/>
      <c r="KY21" s="61"/>
      <c r="KZ21" s="61"/>
      <c r="LA21" s="61"/>
      <c r="LB21" s="61"/>
      <c r="LC21" s="61"/>
      <c r="LD21" s="61"/>
      <c r="LE21" s="61"/>
      <c r="LF21" s="61"/>
      <c r="LG21" s="61"/>
      <c r="LH21" s="61"/>
      <c r="LI21" s="61"/>
      <c r="LJ21" s="61"/>
      <c r="LK21" s="61"/>
      <c r="LL21" s="61"/>
      <c r="LM21" s="61"/>
      <c r="LN21" s="61"/>
      <c r="LO21" s="61"/>
      <c r="LP21" s="61"/>
      <c r="LQ21" s="61"/>
      <c r="LR21" s="61"/>
      <c r="LS21" s="61"/>
      <c r="LT21" s="61"/>
      <c r="LU21" s="61"/>
      <c r="LV21" s="61"/>
      <c r="LW21" s="61"/>
      <c r="LX21" s="61"/>
      <c r="LY21" s="61"/>
      <c r="LZ21" s="61"/>
      <c r="MA21" s="61"/>
      <c r="MB21" s="61"/>
      <c r="MC21" s="61"/>
      <c r="MD21" s="61"/>
      <c r="ME21" s="61"/>
      <c r="MF21" s="61"/>
      <c r="MG21" s="61"/>
      <c r="MH21" s="61"/>
      <c r="MI21" s="61"/>
      <c r="MJ21" s="61"/>
      <c r="MK21" s="61"/>
      <c r="ML21" s="61"/>
      <c r="MM21" s="61"/>
      <c r="MN21" s="61"/>
      <c r="MO21" s="61"/>
      <c r="MP21" s="61"/>
      <c r="MQ21" s="61"/>
      <c r="MR21" s="61"/>
      <c r="MS21" s="61"/>
      <c r="MT21" s="61"/>
      <c r="MU21" s="61"/>
      <c r="MV21" s="61"/>
      <c r="MW21" s="61"/>
      <c r="MX21" s="61"/>
      <c r="MY21" s="61"/>
      <c r="MZ21" s="61"/>
      <c r="NA21" s="61"/>
      <c r="NB21" s="61"/>
      <c r="NC21" s="61"/>
      <c r="ND21" s="61"/>
      <c r="NE21" s="61">
        <v>27</v>
      </c>
      <c r="NF21" s="61"/>
      <c r="NG21" s="61"/>
      <c r="NH21" s="61"/>
      <c r="NI21" s="61"/>
      <c r="NJ21" s="61"/>
      <c r="NK21" s="61"/>
      <c r="NL21" s="61"/>
      <c r="NM21" s="61"/>
      <c r="NN21" s="61"/>
      <c r="NO21" s="61"/>
      <c r="NP21" s="61"/>
      <c r="NQ21" s="61"/>
      <c r="NR21" s="61"/>
      <c r="NS21" s="61"/>
      <c r="NT21" s="61"/>
      <c r="NU21" s="61"/>
      <c r="NV21" s="61"/>
      <c r="NW21" s="61"/>
      <c r="NX21" s="61"/>
      <c r="NY21" s="61"/>
      <c r="NZ21" s="61"/>
      <c r="OA21" s="61"/>
      <c r="OB21" s="61"/>
      <c r="OC21" s="61"/>
      <c r="OD21" s="61"/>
      <c r="OE21" s="61"/>
      <c r="OF21" s="61"/>
      <c r="OG21" s="61"/>
      <c r="OH21" s="61"/>
      <c r="OI21" s="61"/>
      <c r="OJ21" s="61"/>
      <c r="OK21" s="61"/>
      <c r="OL21" s="61"/>
      <c r="OM21" s="61"/>
      <c r="ON21" s="61"/>
      <c r="OO21" s="61"/>
      <c r="OP21" s="61"/>
      <c r="OQ21" s="61"/>
      <c r="OR21" s="61"/>
      <c r="OS21" s="61"/>
      <c r="OT21" s="61"/>
      <c r="OU21" s="61"/>
      <c r="OV21" s="61"/>
      <c r="OW21" s="61"/>
      <c r="OX21" s="61"/>
      <c r="OY21" s="61"/>
      <c r="OZ21" s="61"/>
      <c r="PA21" s="61"/>
      <c r="PB21" s="61"/>
      <c r="PC21" s="61"/>
      <c r="PD21" s="61"/>
      <c r="PE21" s="61"/>
      <c r="PF21" s="61"/>
      <c r="PG21" s="61"/>
      <c r="PH21" s="61"/>
      <c r="PI21" s="61"/>
      <c r="PJ21" s="61"/>
      <c r="PK21" s="61"/>
      <c r="PL21" s="61"/>
      <c r="PM21" s="61"/>
      <c r="PN21" s="61"/>
      <c r="PO21" s="61"/>
      <c r="PP21" s="61"/>
      <c r="PQ21" s="61"/>
      <c r="PR21" s="61"/>
      <c r="PS21" s="61"/>
      <c r="PT21" s="61"/>
      <c r="PU21" s="61"/>
      <c r="PV21" s="61"/>
      <c r="PW21" s="61"/>
      <c r="PX21" s="61"/>
      <c r="PY21" s="61"/>
      <c r="PZ21" s="61"/>
      <c r="QA21" s="61"/>
      <c r="QB21" s="61"/>
      <c r="QC21" s="61"/>
      <c r="QD21" s="61"/>
      <c r="QE21" s="61"/>
      <c r="QF21" s="61"/>
      <c r="QG21" s="61"/>
      <c r="QH21" s="61"/>
      <c r="QI21" s="61"/>
      <c r="QJ21" s="61"/>
      <c r="QK21" s="61"/>
      <c r="QL21" s="61"/>
      <c r="QM21" s="61"/>
      <c r="QN21" s="61"/>
      <c r="QO21" s="61"/>
      <c r="QP21" s="61"/>
      <c r="QQ21" s="61"/>
      <c r="QR21" s="61"/>
      <c r="QS21" s="61"/>
      <c r="QT21" s="61"/>
      <c r="QU21" s="61"/>
      <c r="QV21" s="61"/>
      <c r="QW21" s="61"/>
      <c r="QX21" s="61"/>
      <c r="QY21" s="61"/>
      <c r="QZ21" s="61"/>
      <c r="RA21" s="61"/>
      <c r="RB21" s="61"/>
      <c r="RC21" s="61"/>
      <c r="RD21" s="61"/>
      <c r="RE21" s="61"/>
      <c r="RF21" s="61"/>
      <c r="RG21" s="61"/>
      <c r="RH21" s="61"/>
      <c r="RI21" s="61"/>
      <c r="RJ21" s="61"/>
      <c r="RK21" s="61"/>
      <c r="RL21" s="61"/>
      <c r="RM21" s="61"/>
      <c r="RN21" s="61"/>
      <c r="RO21" s="61"/>
      <c r="RP21" s="61"/>
      <c r="RQ21" s="61"/>
      <c r="RR21" s="61"/>
      <c r="RS21" s="61"/>
      <c r="RT21" s="61"/>
      <c r="RU21" s="61"/>
      <c r="RV21" s="61"/>
      <c r="RW21" s="61"/>
      <c r="RX21" s="61"/>
      <c r="RY21" s="61"/>
      <c r="RZ21" s="61"/>
      <c r="SA21" s="61"/>
      <c r="SB21" s="61"/>
      <c r="SC21" s="61"/>
      <c r="SD21" s="61"/>
      <c r="SE21" s="61"/>
      <c r="SF21" s="61"/>
      <c r="SG21" s="61"/>
      <c r="SH21" s="61"/>
      <c r="SI21" s="61"/>
      <c r="SJ21" s="61"/>
      <c r="SK21" s="61"/>
      <c r="SL21" s="61"/>
      <c r="SM21" s="61"/>
      <c r="SN21" s="61"/>
      <c r="SO21" s="61"/>
      <c r="SP21" s="61"/>
      <c r="SQ21" s="61"/>
      <c r="SR21" s="61"/>
      <c r="SS21" s="61"/>
      <c r="ST21" s="61"/>
      <c r="SU21" s="61"/>
      <c r="SV21" s="61"/>
      <c r="SW21" s="61"/>
      <c r="SX21" s="61"/>
      <c r="SY21" s="61"/>
      <c r="SZ21" s="61"/>
      <c r="TA21" s="61"/>
      <c r="TB21" s="61"/>
      <c r="TC21" s="66"/>
      <c r="TD21" s="66"/>
      <c r="TE21" s="66"/>
      <c r="TF21" s="66"/>
      <c r="TG21" s="66"/>
      <c r="TH21" s="66"/>
      <c r="TI21" s="66"/>
      <c r="TJ21" s="66"/>
      <c r="TK21" s="66">
        <v>248</v>
      </c>
      <c r="TL21" s="66"/>
      <c r="TM21" s="61"/>
      <c r="TN21" s="61"/>
      <c r="TO21" s="61"/>
      <c r="TP21" s="61"/>
      <c r="TQ21" s="61"/>
      <c r="TR21" s="61"/>
      <c r="TS21" s="61"/>
      <c r="TT21" s="61"/>
      <c r="TU21" s="61"/>
      <c r="TV21" s="61"/>
      <c r="TW21" s="61"/>
      <c r="TX21" s="61"/>
      <c r="TY21" s="61"/>
      <c r="TZ21" s="61"/>
      <c r="UA21" s="61"/>
      <c r="UB21" s="61"/>
      <c r="UC21" s="61"/>
      <c r="UD21" s="61"/>
      <c r="UE21" s="61"/>
      <c r="UF21" s="61"/>
      <c r="UG21" s="61"/>
      <c r="UH21" s="61"/>
      <c r="UI21" s="61"/>
      <c r="UJ21" s="61"/>
      <c r="UK21" s="61"/>
      <c r="UL21" s="61"/>
      <c r="UM21" s="61"/>
      <c r="UN21" s="61"/>
      <c r="UO21" s="61"/>
      <c r="UP21" s="61"/>
      <c r="UQ21" s="61"/>
      <c r="UR21" s="61"/>
      <c r="US21" s="61"/>
      <c r="UT21" s="61"/>
      <c r="UU21" s="61"/>
      <c r="UV21" s="61"/>
      <c r="UW21" s="61"/>
      <c r="UX21" s="61"/>
      <c r="UY21" s="61"/>
      <c r="UZ21" s="61"/>
      <c r="VA21" s="61"/>
      <c r="VB21" s="61"/>
      <c r="VC21" s="61"/>
      <c r="VD21" s="61"/>
      <c r="VE21" s="61"/>
      <c r="VF21" s="61"/>
      <c r="VG21" s="61"/>
      <c r="VH21" s="61"/>
      <c r="VI21" s="61"/>
      <c r="VJ21" s="61"/>
      <c r="VK21" s="61"/>
      <c r="VL21" s="61"/>
      <c r="VM21" s="61"/>
      <c r="VN21" s="61"/>
      <c r="VO21" s="61"/>
      <c r="VP21" s="61"/>
      <c r="VQ21" s="61"/>
      <c r="VR21" s="61"/>
      <c r="VS21" s="61"/>
      <c r="VT21" s="61"/>
      <c r="VU21" s="61"/>
      <c r="VV21" s="61"/>
      <c r="VW21" s="61"/>
      <c r="VX21" s="61"/>
      <c r="VY21" s="61"/>
      <c r="VZ21" s="61"/>
      <c r="WA21" s="61"/>
      <c r="WB21" s="61"/>
      <c r="WC21" s="61"/>
      <c r="WD21" s="61"/>
      <c r="WE21" s="61"/>
      <c r="WF21" s="61"/>
      <c r="WG21" s="61"/>
      <c r="WH21" s="61"/>
      <c r="WI21" s="61"/>
      <c r="WJ21" s="61"/>
      <c r="WK21" s="61"/>
      <c r="WL21" s="61"/>
      <c r="WM21" s="61"/>
      <c r="WN21" s="61"/>
      <c r="WO21" s="61"/>
      <c r="WP21" s="61"/>
      <c r="WQ21" s="61"/>
      <c r="WR21" s="61"/>
      <c r="WS21" s="61"/>
      <c r="WT21" s="61"/>
      <c r="WU21" s="61"/>
      <c r="WV21" s="61"/>
      <c r="WW21" s="61"/>
      <c r="WX21" s="61"/>
      <c r="WY21" s="61"/>
      <c r="WZ21" s="61"/>
      <c r="XA21" s="61"/>
      <c r="XB21" s="61"/>
      <c r="XC21" s="61"/>
      <c r="XD21" s="61"/>
      <c r="XE21" s="61"/>
      <c r="XF21" s="61"/>
      <c r="XG21" s="61"/>
      <c r="XH21" s="61"/>
      <c r="XI21" s="61"/>
      <c r="XJ21" s="61"/>
      <c r="XK21" s="61">
        <v>30</v>
      </c>
      <c r="XL21" s="61"/>
      <c r="XM21" s="61"/>
      <c r="XN21" s="61"/>
      <c r="XO21" s="61"/>
      <c r="XP21" s="61"/>
      <c r="XQ21" s="61"/>
      <c r="XR21" s="61"/>
      <c r="XS21" s="61"/>
      <c r="XT21" s="61"/>
      <c r="XU21" s="61"/>
      <c r="XV21" s="61"/>
      <c r="XW21" s="61"/>
      <c r="XX21" s="61"/>
      <c r="XY21" s="61"/>
      <c r="XZ21" s="61"/>
      <c r="YA21" s="61"/>
      <c r="YB21" s="61"/>
      <c r="YC21" s="61"/>
      <c r="YD21" s="61"/>
      <c r="YE21" s="61"/>
      <c r="YF21" s="61"/>
      <c r="YG21" s="61"/>
      <c r="YH21" s="61"/>
      <c r="YI21" s="61"/>
      <c r="YJ21" s="61"/>
      <c r="YK21" s="61"/>
      <c r="YL21" s="61"/>
      <c r="YM21" s="61"/>
      <c r="YN21" s="61"/>
      <c r="YO21" s="61"/>
      <c r="YP21" s="61"/>
      <c r="YQ21" s="61"/>
      <c r="YR21" s="61"/>
      <c r="YS21" s="61"/>
      <c r="YT21" s="61"/>
      <c r="YU21" s="61"/>
      <c r="YV21" s="61"/>
      <c r="YW21" s="61"/>
      <c r="YX21" s="61"/>
      <c r="YY21" s="61"/>
      <c r="YZ21" s="61"/>
      <c r="ZA21" s="61"/>
      <c r="ZB21" s="61"/>
      <c r="ZC21" s="61"/>
      <c r="ZD21" s="61"/>
      <c r="ZE21" s="61"/>
      <c r="ZF21" s="61"/>
      <c r="ZG21" s="61"/>
      <c r="ZH21" s="61"/>
      <c r="ZI21" s="61"/>
      <c r="ZJ21" s="61"/>
      <c r="ZK21" s="61"/>
      <c r="ZL21" s="61"/>
      <c r="ZM21" s="61"/>
      <c r="ZN21" s="61"/>
      <c r="ZO21" s="61"/>
      <c r="ZP21" s="61"/>
      <c r="ZQ21" s="61"/>
      <c r="ZR21" s="66">
        <v>14</v>
      </c>
      <c r="ZS21" s="66"/>
      <c r="ZT21" s="62"/>
      <c r="ZU21" s="62"/>
      <c r="ZV21" s="62"/>
      <c r="ZW21" s="62"/>
      <c r="ZX21" s="62"/>
      <c r="ZY21" s="62"/>
      <c r="ZZ21" s="62"/>
      <c r="AAA21" s="62"/>
      <c r="AAB21" s="62"/>
      <c r="AAC21" s="62"/>
      <c r="AAD21" s="62"/>
      <c r="AAE21" s="62"/>
      <c r="AAF21" s="62"/>
      <c r="AAG21" s="62"/>
      <c r="AAH21" s="62"/>
      <c r="AAI21" s="62"/>
      <c r="AAJ21" s="62"/>
      <c r="AAK21" s="62"/>
      <c r="AAL21" s="62"/>
      <c r="AAM21" s="62"/>
      <c r="AAN21" s="62"/>
      <c r="AAO21" s="62"/>
      <c r="AAP21" s="62"/>
      <c r="AAQ21" s="62"/>
      <c r="AAR21" s="62"/>
      <c r="AAS21" s="62"/>
      <c r="AAT21" s="62"/>
      <c r="AAU21" s="62"/>
      <c r="AAV21" s="62"/>
      <c r="AAW21" s="62"/>
      <c r="AAX21" s="61"/>
      <c r="AAY21" s="61"/>
      <c r="AAZ21" s="61"/>
      <c r="ABA21" s="61"/>
      <c r="ABB21" s="61"/>
      <c r="ABC21" s="61"/>
      <c r="ABD21" s="61"/>
      <c r="ABE21" s="61"/>
      <c r="ABF21" s="61"/>
      <c r="ABG21" s="61"/>
      <c r="ABH21" s="61"/>
      <c r="ABI21" s="61"/>
      <c r="ABJ21" s="61"/>
      <c r="ABK21" s="61"/>
      <c r="ABL21" s="61"/>
      <c r="ABM21" s="61"/>
      <c r="ABN21" s="61"/>
      <c r="ABO21" s="61"/>
      <c r="ABP21" s="61"/>
      <c r="ABQ21" s="61"/>
      <c r="ABR21" s="61"/>
      <c r="ABS21" s="61"/>
      <c r="ABT21" s="61"/>
      <c r="ABU21" s="61"/>
      <c r="ABV21" s="61"/>
      <c r="ABW21" s="61"/>
      <c r="ABX21" s="61"/>
      <c r="ABY21" s="61"/>
      <c r="ABZ21" s="61"/>
      <c r="ACA21" s="61"/>
      <c r="ACB21" s="61"/>
      <c r="ACC21" s="61"/>
      <c r="ACD21" s="61"/>
      <c r="ACE21" s="61"/>
      <c r="ACF21" s="61"/>
      <c r="ACG21" s="61"/>
      <c r="ACH21" s="61"/>
      <c r="ACI21" s="61"/>
      <c r="ACJ21" s="61"/>
      <c r="ACK21" s="61"/>
      <c r="ACL21" s="61"/>
      <c r="ACM21" s="61"/>
      <c r="ACN21" s="61"/>
      <c r="ACO21" s="61"/>
      <c r="ACP21" s="61"/>
      <c r="ACQ21" s="61"/>
      <c r="ACR21" s="61"/>
      <c r="ACS21" s="61"/>
      <c r="ACT21" s="61"/>
      <c r="ACU21" s="61"/>
      <c r="ACV21" s="61"/>
      <c r="ACW21" s="61"/>
      <c r="ACX21" s="61"/>
      <c r="ACY21" s="61"/>
      <c r="ACZ21" s="61"/>
      <c r="ADA21" s="61"/>
      <c r="ADB21" s="61"/>
      <c r="ADC21" s="61"/>
      <c r="ADD21" s="61"/>
      <c r="ADE21" s="61"/>
      <c r="ADF21" s="61"/>
      <c r="ADG21" s="61"/>
      <c r="ADH21" s="61"/>
      <c r="ADI21" s="61"/>
      <c r="ADJ21" s="61"/>
      <c r="ADK21" s="61"/>
      <c r="ADL21" s="61"/>
      <c r="ADM21" s="61"/>
      <c r="ADN21" s="61"/>
      <c r="ADO21" s="61"/>
      <c r="ADP21" s="61"/>
      <c r="ADQ21" s="61"/>
      <c r="ADR21" s="61"/>
      <c r="ADS21" s="61"/>
      <c r="ADT21" s="61"/>
      <c r="ADU21" s="61"/>
      <c r="ADV21" s="61"/>
      <c r="ADW21" s="61"/>
      <c r="ADX21" s="61"/>
      <c r="ADY21" s="61"/>
      <c r="ADZ21" s="61"/>
      <c r="AEA21" s="61"/>
      <c r="AEB21" s="61"/>
      <c r="AEC21" s="61"/>
      <c r="AED21" s="61"/>
      <c r="AEE21" s="61"/>
      <c r="AEF21" s="61"/>
      <c r="AEG21" s="61"/>
      <c r="AEH21" s="61"/>
      <c r="AEI21" s="61"/>
      <c r="AEJ21" s="61"/>
      <c r="AEK21" s="61"/>
      <c r="AEL21" s="61"/>
      <c r="AEM21" s="61"/>
      <c r="AEN21" s="61"/>
      <c r="AEO21" s="61"/>
      <c r="AEP21" s="61"/>
      <c r="AEQ21" s="61"/>
      <c r="AER21" s="61"/>
      <c r="AES21" s="61"/>
      <c r="AET21" s="61"/>
      <c r="AEU21" s="62"/>
      <c r="AEV21" s="62"/>
      <c r="AEW21" s="62"/>
      <c r="AEX21" s="62"/>
      <c r="AEY21" s="62"/>
      <c r="AEZ21" s="62"/>
      <c r="AFA21" s="62"/>
      <c r="AFB21" s="62"/>
      <c r="AFC21" s="62"/>
      <c r="AFD21" s="62"/>
      <c r="AFE21" s="62"/>
      <c r="AFF21" s="62"/>
      <c r="AFG21" s="62"/>
      <c r="AFH21" s="62"/>
      <c r="AFI21" s="62"/>
      <c r="AFJ21" s="62"/>
      <c r="AFK21" s="62"/>
      <c r="AFL21" s="62"/>
      <c r="AFM21" s="62"/>
      <c r="AFN21" s="62"/>
      <c r="AFO21" s="62"/>
      <c r="AFP21" s="62"/>
      <c r="AFQ21" s="62"/>
      <c r="AFR21" s="62"/>
      <c r="AFS21" s="62"/>
      <c r="AFT21" s="62"/>
      <c r="AFU21" s="62"/>
      <c r="AFV21" s="62"/>
      <c r="AFW21" s="62"/>
      <c r="AFX21" s="62"/>
      <c r="AFY21" s="62"/>
      <c r="AFZ21" s="62"/>
      <c r="AGA21" s="62"/>
      <c r="AGB21" s="62"/>
      <c r="AGC21" s="62"/>
      <c r="AGD21" s="62"/>
      <c r="AGE21" s="62"/>
      <c r="AGF21" s="62"/>
      <c r="AGG21" s="61"/>
      <c r="AGH21" s="61"/>
      <c r="AGI21" s="61"/>
      <c r="AGJ21" s="61"/>
      <c r="AGK21" s="61"/>
      <c r="AGL21" s="61"/>
      <c r="AGM21" s="61"/>
      <c r="AGN21" s="61"/>
      <c r="AGO21" s="61"/>
      <c r="AGP21" s="61"/>
      <c r="AGQ21" s="61"/>
      <c r="AGR21" s="61"/>
      <c r="AGS21" s="61"/>
      <c r="AGT21" s="61"/>
      <c r="AGU21" s="61"/>
      <c r="AGV21" s="61"/>
      <c r="AGW21" s="61"/>
      <c r="AGX21" s="61"/>
      <c r="AGY21" s="61"/>
      <c r="AGZ21" s="61"/>
      <c r="AHA21" s="61"/>
      <c r="AHB21" s="61"/>
      <c r="AHC21" s="61"/>
      <c r="AHD21" s="61"/>
      <c r="AHE21" s="61"/>
      <c r="AHF21" s="61"/>
      <c r="AHG21" s="61"/>
      <c r="AHH21" s="61"/>
      <c r="AHI21" s="61"/>
      <c r="AHJ21" s="61"/>
      <c r="AHK21" s="61"/>
      <c r="AHL21" s="61"/>
      <c r="AHM21" s="61"/>
      <c r="AHN21" s="61"/>
      <c r="AHO21" s="61"/>
      <c r="AHP21" s="61"/>
      <c r="AHQ21" s="61"/>
      <c r="AHR21" s="61"/>
      <c r="AHS21" s="61"/>
      <c r="AHT21" s="61"/>
      <c r="AHU21" s="61"/>
      <c r="AHV21" s="61"/>
      <c r="AHW21" s="61"/>
      <c r="AHX21" s="61"/>
      <c r="AHY21" s="61"/>
      <c r="AHZ21" s="61"/>
      <c r="AIA21" s="61"/>
      <c r="AIB21" s="61"/>
      <c r="AIC21" s="61"/>
      <c r="AID21" s="61"/>
      <c r="AIE21" s="61"/>
      <c r="AIF21" s="61"/>
      <c r="AIG21" s="64" t="s">
        <v>2461</v>
      </c>
      <c r="AIJ21" s="61"/>
      <c r="AIK21" s="61"/>
      <c r="AIL21" s="61"/>
      <c r="AIM21" s="61"/>
      <c r="AIN21" s="61"/>
      <c r="AIO21" s="61"/>
      <c r="AIP21" s="61"/>
      <c r="AIQ21" s="61"/>
      <c r="AIR21" s="61"/>
      <c r="AIS21" s="61"/>
      <c r="AIT21" s="61"/>
      <c r="AIU21" s="61"/>
      <c r="AIV21" s="61"/>
      <c r="AIW21" s="61"/>
      <c r="AIX21" s="61"/>
      <c r="AIY21" s="61"/>
      <c r="AIZ21" s="61"/>
      <c r="AJA21" s="61"/>
      <c r="AJB21" s="61"/>
      <c r="AJC21" s="61"/>
      <c r="AJD21" s="61"/>
      <c r="AJE21" s="61"/>
      <c r="AJF21" s="61"/>
      <c r="AJG21" s="61"/>
      <c r="AJH21" s="61"/>
      <c r="AJI21" s="61"/>
      <c r="AJJ21" s="61"/>
      <c r="AJK21" s="61"/>
      <c r="AJL21" s="61"/>
      <c r="AJM21" s="61"/>
      <c r="AJN21" s="62"/>
      <c r="AJO21" s="62"/>
      <c r="AJP21" s="62"/>
      <c r="AJQ21" s="61"/>
      <c r="AJR21" s="61"/>
      <c r="AJS21" s="61"/>
      <c r="AJT21" s="61"/>
      <c r="AJU21" s="61"/>
      <c r="AJV21" s="61"/>
      <c r="AJW21" s="61"/>
      <c r="AJX21" s="61"/>
      <c r="AJY21" s="61"/>
      <c r="AJZ21" s="61"/>
      <c r="AKA21" s="61"/>
      <c r="AKB21" s="61"/>
      <c r="AKC21" s="61"/>
      <c r="AKD21" s="61"/>
      <c r="AKE21" s="61"/>
      <c r="AKF21" s="61"/>
      <c r="AKG21" s="61"/>
      <c r="AKH21" s="61"/>
      <c r="AKI21" s="61"/>
      <c r="AKJ21" s="61"/>
      <c r="AKK21" s="61"/>
      <c r="AKL21" s="61"/>
      <c r="AKM21" s="61"/>
      <c r="AKN21" s="61"/>
      <c r="AKO21" s="61"/>
      <c r="AKP21" s="61"/>
      <c r="AKQ21" s="61"/>
      <c r="AKR21" s="61"/>
      <c r="AKS21" s="61"/>
      <c r="AKT21" s="61"/>
      <c r="AKU21" s="61"/>
      <c r="AKV21" s="61"/>
      <c r="AKW21" s="61"/>
      <c r="AKX21" s="59">
        <v>196</v>
      </c>
      <c r="AKZ21" s="61"/>
      <c r="ALA21" s="61"/>
      <c r="ALB21" s="61"/>
      <c r="ALC21" s="61"/>
      <c r="ALD21" s="61"/>
      <c r="ALE21" s="61"/>
      <c r="ALF21" s="61"/>
      <c r="ALG21" s="61"/>
      <c r="ALH21" s="61"/>
      <c r="ALI21" s="61"/>
      <c r="ALJ21" s="61"/>
      <c r="ALK21" s="61"/>
      <c r="ALL21" s="61"/>
      <c r="ALM21" s="61"/>
      <c r="ALN21" s="61"/>
      <c r="ALO21" s="61"/>
      <c r="ALP21" s="61"/>
      <c r="ALQ21" s="61"/>
      <c r="ALR21" s="61"/>
      <c r="ALS21" s="61"/>
      <c r="ALT21" s="61"/>
      <c r="ALU21" s="61"/>
      <c r="ALV21" s="61"/>
      <c r="ALW21" s="61"/>
      <c r="ALX21" s="61"/>
      <c r="ALY21" s="61"/>
      <c r="ALZ21" s="61"/>
      <c r="AMA21" s="61"/>
      <c r="AMB21" s="61"/>
      <c r="AMC21" s="61"/>
      <c r="AMD21" s="61"/>
      <c r="AME21" s="61"/>
      <c r="AMF21" s="61"/>
      <c r="AMG21" s="61"/>
      <c r="AMH21" s="61"/>
      <c r="AMI21" s="61"/>
      <c r="AMJ21" s="61"/>
      <c r="AMK21" s="61"/>
      <c r="AML21" s="61"/>
      <c r="AMM21" s="61"/>
      <c r="AMN21" s="61"/>
      <c r="AMO21" s="61"/>
      <c r="AMP21" s="61"/>
      <c r="AMQ21" s="61"/>
      <c r="AMR21" s="61"/>
      <c r="AMS21" s="61"/>
      <c r="AMT21" s="61"/>
      <c r="AMU21" s="61"/>
      <c r="AMV21" s="61"/>
      <c r="AMW21" s="61"/>
      <c r="AMX21" s="61"/>
      <c r="AMY21" s="61"/>
      <c r="AMZ21" s="61"/>
      <c r="ANA21" s="61"/>
      <c r="ANB21" s="61"/>
      <c r="ANC21" s="61"/>
      <c r="AND21" s="61"/>
      <c r="ANE21" s="61"/>
      <c r="ANF21" s="61">
        <v>225</v>
      </c>
      <c r="ANG21" s="61"/>
      <c r="ANH21" s="61"/>
      <c r="ANI21" s="61"/>
      <c r="ANJ21" s="61"/>
      <c r="ANK21" s="61"/>
      <c r="ANL21" s="61"/>
      <c r="ANM21" s="61"/>
      <c r="ANN21" s="61"/>
      <c r="ANO21" s="61"/>
      <c r="ANP21" s="61"/>
      <c r="ANQ21" s="61"/>
      <c r="ANR21" s="61"/>
      <c r="ANS21" s="61"/>
      <c r="ANT21" s="61"/>
      <c r="ANU21" s="61"/>
      <c r="ANV21" s="61"/>
      <c r="ANW21" s="61"/>
      <c r="ANX21" s="61"/>
      <c r="ANY21" s="61"/>
      <c r="ANZ21" s="61"/>
      <c r="AOA21" s="61"/>
      <c r="AOB21" s="61"/>
      <c r="AOC21" s="61"/>
      <c r="AOD21" s="61"/>
      <c r="AOE21" s="61"/>
      <c r="AOF21" s="61"/>
      <c r="AOG21" s="61"/>
      <c r="AOH21" s="61"/>
      <c r="AOI21" s="61"/>
      <c r="AOJ21" s="61"/>
      <c r="AOK21" s="61"/>
      <c r="AOL21" s="61"/>
      <c r="AOM21" s="61"/>
      <c r="AON21" s="61"/>
      <c r="AOO21" s="61"/>
      <c r="AOP21" s="61"/>
      <c r="AOQ21" s="61"/>
      <c r="AOR21" s="61"/>
      <c r="AOS21" s="61"/>
      <c r="AOT21" s="61"/>
      <c r="AOU21" s="61"/>
      <c r="AOV21" s="61"/>
      <c r="AOW21" s="61"/>
      <c r="AOX21" s="61"/>
      <c r="AOY21" s="61"/>
      <c r="AOZ21" s="61"/>
      <c r="APA21" s="61"/>
      <c r="APB21" s="61"/>
      <c r="APC21" s="61"/>
      <c r="APD21" s="61"/>
      <c r="APE21" s="61"/>
      <c r="APF21" s="61"/>
      <c r="APG21" s="61"/>
      <c r="APH21" s="61"/>
      <c r="API21" s="61"/>
      <c r="APJ21" s="61"/>
      <c r="APK21" s="61"/>
      <c r="APL21" s="61"/>
      <c r="APM21" s="61"/>
      <c r="APN21" s="61"/>
      <c r="APO21" s="61"/>
      <c r="APP21" s="61"/>
      <c r="APQ21" s="61"/>
      <c r="APR21" s="61"/>
      <c r="APS21" s="61"/>
      <c r="APT21" s="61"/>
      <c r="APU21" s="61"/>
      <c r="APV21" s="61"/>
      <c r="APW21" s="61"/>
      <c r="APX21" s="61"/>
      <c r="APY21" s="61"/>
      <c r="APZ21" s="61"/>
      <c r="AQA21" s="61"/>
      <c r="AQB21" s="61"/>
      <c r="AQC21" s="61"/>
      <c r="AQD21" s="61"/>
      <c r="AQE21" s="61"/>
      <c r="AQR21" s="59">
        <v>4750000</v>
      </c>
      <c r="ASC21" s="59">
        <v>378000</v>
      </c>
      <c r="ASD21" s="61"/>
      <c r="ASE21" s="61"/>
      <c r="ASF21" s="61"/>
      <c r="ASG21" s="61"/>
      <c r="ASH21" s="61"/>
      <c r="ASI21" s="61"/>
      <c r="ASJ21" s="61"/>
      <c r="ASK21" s="61"/>
      <c r="ASL21" s="61"/>
      <c r="ASM21" s="61"/>
      <c r="ASN21" s="61"/>
      <c r="ASO21" s="61"/>
      <c r="ASP21" s="61"/>
      <c r="ASQ21" s="61"/>
      <c r="ASR21" s="61"/>
      <c r="ASS21" s="61"/>
      <c r="AST21" s="61"/>
      <c r="ASU21" s="61"/>
      <c r="ASV21" s="61"/>
      <c r="ASW21" s="61"/>
      <c r="ASX21" s="61"/>
      <c r="ASY21" s="61"/>
      <c r="ASZ21" s="61"/>
      <c r="ATA21" s="61"/>
      <c r="ATB21" s="61"/>
      <c r="ATC21" s="61"/>
      <c r="ATD21" s="61"/>
      <c r="ATE21" s="61"/>
      <c r="ATF21" s="61"/>
      <c r="ATG21" s="61"/>
      <c r="ATH21" s="61"/>
      <c r="ATI21" s="61"/>
      <c r="ATJ21" s="61"/>
      <c r="ATK21" s="61"/>
      <c r="ATL21" s="61"/>
      <c r="ATM21" s="61"/>
      <c r="ATN21" s="61"/>
      <c r="ATO21" s="61"/>
      <c r="ATP21" s="61"/>
      <c r="ATQ21" s="61">
        <v>61</v>
      </c>
      <c r="ATR21" s="61"/>
      <c r="ATS21" s="61"/>
      <c r="ATT21" s="61"/>
      <c r="ATU21" s="61"/>
      <c r="ATV21" s="61"/>
      <c r="ATW21" s="61"/>
      <c r="ATX21" s="61">
        <v>22.4</v>
      </c>
      <c r="ATY21" s="61"/>
      <c r="ATZ21" s="61"/>
      <c r="AUA21" s="61"/>
      <c r="AUB21" s="61"/>
      <c r="AUC21" s="61"/>
      <c r="AUD21" s="61"/>
      <c r="AUE21" s="61"/>
      <c r="AUF21" s="61"/>
      <c r="AUG21" s="61"/>
      <c r="AUH21" s="61"/>
      <c r="AUI21" s="61">
        <v>8.1999999999999993</v>
      </c>
      <c r="AUJ21" s="61"/>
      <c r="AUK21" s="61"/>
      <c r="AUL21" s="61"/>
      <c r="AUM21" s="61"/>
      <c r="AUN21" s="61"/>
      <c r="AUO21" s="61"/>
      <c r="AUP21" s="61"/>
      <c r="AUQ21" s="61"/>
      <c r="AUR21" s="61"/>
      <c r="AUS21" s="61"/>
      <c r="AUT21" s="61"/>
      <c r="AUU21" s="61"/>
      <c r="AUV21" s="61"/>
      <c r="AUW21" s="61"/>
      <c r="AUX21" s="61"/>
      <c r="AUY21" s="61"/>
      <c r="AUZ21" s="61"/>
      <c r="AVA21" s="61"/>
      <c r="AVB21" s="61"/>
      <c r="AVC21" s="61">
        <v>65</v>
      </c>
      <c r="AVD21" s="61"/>
      <c r="AVE21" s="61"/>
      <c r="AVF21" s="61"/>
      <c r="AVG21" s="61"/>
      <c r="AVH21" s="61"/>
      <c r="AVI21" s="61"/>
      <c r="AVJ21" s="61"/>
      <c r="AVK21" s="61"/>
      <c r="AVL21" s="61"/>
      <c r="AVM21" s="61"/>
      <c r="AVN21" s="61"/>
      <c r="AVO21" s="61"/>
      <c r="AVP21" s="61"/>
      <c r="AVQ21" s="61"/>
      <c r="AVR21" s="61"/>
      <c r="AVS21" s="61"/>
      <c r="AVT21" s="61"/>
      <c r="AVU21" s="61"/>
      <c r="AVV21" s="61"/>
      <c r="AVW21" s="61"/>
      <c r="AVX21" s="61"/>
      <c r="AVY21" s="61">
        <v>0.5</v>
      </c>
      <c r="AVZ21" s="61"/>
      <c r="AWA21" s="61"/>
      <c r="AWB21" s="61"/>
      <c r="AWC21" s="61"/>
      <c r="AWD21" s="61"/>
      <c r="AWE21" s="61"/>
      <c r="AWF21" s="61"/>
      <c r="AWG21" s="61"/>
      <c r="AWH21" s="61"/>
      <c r="AWI21" s="61"/>
      <c r="AWJ21" s="61"/>
      <c r="AWK21" s="61"/>
      <c r="AWL21" s="61"/>
      <c r="AWM21" s="61"/>
      <c r="AWN21" s="61"/>
      <c r="AWO21" s="61"/>
      <c r="AWP21" s="61"/>
      <c r="AWQ21" s="61"/>
      <c r="AWR21" s="61"/>
      <c r="AWS21" s="61"/>
      <c r="AWT21" s="61"/>
      <c r="AWU21" s="61"/>
      <c r="AWV21" s="61"/>
      <c r="AWW21" s="61"/>
      <c r="AWX21" s="61"/>
      <c r="AWY21" s="61"/>
      <c r="AWZ21" s="61"/>
      <c r="AXA21" s="61"/>
      <c r="AXB21" s="61"/>
      <c r="AXC21" s="61"/>
      <c r="AXD21" s="61"/>
      <c r="AXE21" s="61"/>
      <c r="AXF21" s="61"/>
      <c r="AXG21" s="61"/>
      <c r="AXH21" s="61"/>
      <c r="AXI21" s="61"/>
      <c r="AXJ21" s="61"/>
      <c r="AXK21" s="61"/>
      <c r="AXL21" s="61"/>
      <c r="AXM21" s="61"/>
      <c r="AXN21" s="61"/>
      <c r="AXO21" s="61"/>
      <c r="AXP21" s="61"/>
      <c r="AXQ21" s="61"/>
      <c r="AXR21" s="61"/>
      <c r="AXS21" s="61"/>
      <c r="AXT21" s="61"/>
      <c r="AXU21" s="61"/>
      <c r="AXV21" s="61"/>
      <c r="AXW21" s="61"/>
      <c r="AXX21" s="61"/>
      <c r="AXY21" s="61"/>
      <c r="AXZ21" s="61"/>
      <c r="AYA21" s="61"/>
      <c r="AYB21" s="61"/>
      <c r="AYC21" s="61"/>
      <c r="AYD21" s="61"/>
      <c r="AYE21" s="61"/>
      <c r="AYF21" s="61"/>
      <c r="AYG21" s="61"/>
      <c r="AYH21" s="61"/>
      <c r="AYI21" s="61"/>
      <c r="AYJ21" s="61"/>
      <c r="AYK21" s="61"/>
      <c r="AYL21" s="61"/>
      <c r="AYM21" s="61"/>
      <c r="AYN21" s="61"/>
      <c r="AYO21" s="61"/>
      <c r="AYP21" s="61"/>
      <c r="AYQ21" s="61"/>
      <c r="AYR21" s="61"/>
      <c r="AYS21" s="61"/>
      <c r="AYT21" s="61"/>
      <c r="AYU21" s="61"/>
      <c r="AYV21" s="61"/>
      <c r="AYW21" s="61"/>
      <c r="AYX21" s="61"/>
      <c r="AYY21" s="61"/>
      <c r="AYZ21" s="61"/>
      <c r="AZA21" s="61"/>
      <c r="AZB21" s="61"/>
      <c r="AZC21" s="61"/>
      <c r="AZD21" s="61"/>
      <c r="AZE21" s="61"/>
      <c r="AZF21" s="61"/>
      <c r="AZG21" s="61"/>
      <c r="AZH21" s="61"/>
      <c r="AZI21" s="61"/>
      <c r="AZJ21" s="61"/>
      <c r="AZK21" s="61"/>
      <c r="AZL21" s="61"/>
      <c r="AZM21" s="61"/>
      <c r="AZN21" s="61"/>
      <c r="AZO21" s="61"/>
      <c r="AZP21" s="61"/>
      <c r="AZQ21" s="61"/>
      <c r="AZR21" s="61">
        <v>40</v>
      </c>
      <c r="AZS21" s="61"/>
      <c r="AZT21" s="61"/>
      <c r="AZU21" s="61"/>
      <c r="AZV21" s="61"/>
      <c r="AZW21" s="61"/>
      <c r="AZX21" s="61"/>
      <c r="AZY21" s="61"/>
      <c r="AZZ21" s="61"/>
      <c r="BAA21" s="61"/>
      <c r="BAB21" s="61"/>
      <c r="BAC21" s="61"/>
      <c r="BAD21" s="61"/>
      <c r="BAE21" s="61"/>
      <c r="BAF21" s="61"/>
      <c r="BAG21" s="61"/>
      <c r="BAH21" s="61"/>
      <c r="BAI21" s="61"/>
      <c r="BAJ21" s="61"/>
      <c r="BAK21" s="61"/>
      <c r="BAL21" s="61"/>
      <c r="BAM21" s="61"/>
      <c r="BAN21" s="61"/>
      <c r="BAO21" s="61"/>
      <c r="BAP21" s="61"/>
      <c r="BAQ21" s="61"/>
      <c r="BAR21" s="61"/>
      <c r="BAS21" s="61"/>
      <c r="BAT21" s="61"/>
      <c r="BAU21" s="61"/>
      <c r="BAV21" s="61"/>
      <c r="BAW21" s="61"/>
      <c r="BAX21" s="61"/>
      <c r="BAY21" s="61"/>
      <c r="BAZ21" s="61"/>
      <c r="BBA21" s="61"/>
      <c r="BBB21" s="61"/>
      <c r="BBC21" s="61"/>
      <c r="BBD21" s="61"/>
      <c r="BBE21" s="61"/>
      <c r="BBF21" s="61"/>
      <c r="BBG21" s="61"/>
      <c r="BBH21" s="61"/>
      <c r="BBI21" s="61"/>
      <c r="BBJ21" s="61">
        <v>82</v>
      </c>
      <c r="BBK21" s="61"/>
      <c r="BBL21" s="61"/>
      <c r="BBM21" s="61"/>
      <c r="BBN21" s="61"/>
      <c r="BBO21" s="61"/>
      <c r="BBP21" s="61"/>
      <c r="BBQ21" s="61"/>
      <c r="BBR21" s="61"/>
      <c r="BBS21" s="61"/>
      <c r="BBT21" s="61"/>
      <c r="BBU21" s="61"/>
      <c r="BBV21" s="61"/>
      <c r="BBW21" s="61"/>
      <c r="BBX21" s="61"/>
      <c r="BBY21" s="61"/>
      <c r="BBZ21" s="61"/>
      <c r="BCA21" s="61"/>
      <c r="BCB21" s="61"/>
      <c r="BCC21" s="61"/>
      <c r="BCD21" s="61"/>
      <c r="BCE21" s="61"/>
      <c r="BCF21" s="61"/>
      <c r="BCG21" s="61"/>
      <c r="BCH21" s="61"/>
      <c r="BCI21" s="61"/>
      <c r="BCJ21" s="61"/>
      <c r="BCK21" s="61"/>
      <c r="BCL21" s="61"/>
      <c r="BCM21" s="61"/>
      <c r="BCN21" s="61"/>
      <c r="BCO21" s="61"/>
      <c r="BCP21" s="61">
        <v>30</v>
      </c>
      <c r="BCQ21" s="61"/>
      <c r="BCR21" s="61"/>
      <c r="BCS21" s="61"/>
      <c r="BCT21" s="61"/>
      <c r="BCU21" s="61"/>
      <c r="BCV21" s="61"/>
      <c r="BCW21" s="61"/>
      <c r="BCX21" s="61"/>
      <c r="BCY21" s="61"/>
      <c r="BCZ21" s="61"/>
      <c r="BDA21" s="61"/>
      <c r="BDB21" s="61"/>
      <c r="BDC21" s="61"/>
      <c r="BDD21" s="61"/>
      <c r="BDE21" s="61"/>
      <c r="BDF21" s="61"/>
      <c r="BDG21" s="61"/>
      <c r="BDH21" s="61"/>
      <c r="BDI21" s="61"/>
      <c r="BDJ21" s="61"/>
      <c r="BDK21" s="61"/>
      <c r="BDL21" s="61"/>
      <c r="BDM21" s="61"/>
      <c r="BDN21" s="61"/>
      <c r="BDO21" s="61"/>
      <c r="BDP21" s="61"/>
      <c r="BDQ21" s="61"/>
      <c r="BDR21" s="61"/>
      <c r="BDS21" s="61"/>
      <c r="BDT21" s="61"/>
      <c r="BDU21" s="61"/>
      <c r="BDV21" s="61"/>
      <c r="BDW21" s="61"/>
      <c r="BDX21" s="61"/>
      <c r="BDY21" s="61"/>
      <c r="BDZ21" s="61"/>
      <c r="BEA21" s="61"/>
      <c r="BEB21" s="61"/>
      <c r="BEC21" s="61"/>
      <c r="BED21" s="61"/>
      <c r="BEE21" s="61"/>
      <c r="BEF21" s="61"/>
      <c r="BEG21" s="61"/>
      <c r="BEH21" s="61"/>
      <c r="BEI21" s="61"/>
      <c r="BEJ21" s="61"/>
      <c r="BEK21" s="61"/>
      <c r="BEL21" s="61"/>
      <c r="BEM21" s="61"/>
      <c r="BEN21" s="61">
        <v>11</v>
      </c>
      <c r="BEO21" s="61"/>
      <c r="BEP21" s="61"/>
      <c r="BEQ21" s="61"/>
      <c r="BER21" s="61"/>
      <c r="BES21" s="61"/>
      <c r="BEY21" s="63"/>
      <c r="BEZ21" s="63"/>
      <c r="BFA21" s="63">
        <v>0</v>
      </c>
      <c r="BFB21" s="63">
        <v>0</v>
      </c>
      <c r="BFC21" s="63">
        <v>0</v>
      </c>
      <c r="BFD21" s="63"/>
      <c r="BFE21" s="63">
        <v>0</v>
      </c>
      <c r="BFF21" s="63">
        <v>1</v>
      </c>
      <c r="BFG21" s="63">
        <v>1</v>
      </c>
      <c r="BFH21" s="63">
        <v>0</v>
      </c>
      <c r="BFI21" s="63">
        <v>0</v>
      </c>
      <c r="BFJ21" s="63"/>
      <c r="BFK21" s="63"/>
      <c r="BFL21" s="63"/>
      <c r="BFM21" s="63">
        <v>0</v>
      </c>
      <c r="BFN21" s="63"/>
      <c r="BFO21" s="63"/>
      <c r="BFP21" s="63"/>
      <c r="BFQ21" s="63"/>
      <c r="BFR21" s="63"/>
      <c r="BFS21" s="63"/>
      <c r="BFT21" s="63"/>
      <c r="BFU21" s="63"/>
      <c r="BFV21" s="63"/>
      <c r="BFW21" s="63"/>
      <c r="BFX21" s="63"/>
      <c r="BFY21" s="63"/>
      <c r="BFZ21" s="63"/>
      <c r="BGA21" s="63"/>
      <c r="BGB21" s="63"/>
      <c r="BGC21" s="63"/>
      <c r="BMT21" s="59">
        <v>13000</v>
      </c>
      <c r="BOA21" s="59">
        <v>28</v>
      </c>
      <c r="BOC21" s="59">
        <v>1</v>
      </c>
      <c r="BOF21" s="59">
        <v>1</v>
      </c>
      <c r="BOG21" s="59">
        <v>22</v>
      </c>
      <c r="BTS21" s="59">
        <v>1</v>
      </c>
      <c r="BWQ21" s="59">
        <v>1</v>
      </c>
      <c r="BXL21" s="59">
        <v>1</v>
      </c>
      <c r="BXO21" s="59">
        <v>1</v>
      </c>
      <c r="BYJ21" s="65"/>
      <c r="BYY21" s="59">
        <v>0</v>
      </c>
      <c r="BZL21" s="59">
        <v>0</v>
      </c>
      <c r="BZN21" s="59">
        <v>1</v>
      </c>
      <c r="BZQ21" s="59">
        <v>1</v>
      </c>
      <c r="BZS21" s="68">
        <v>29</v>
      </c>
      <c r="BZT21" s="59">
        <v>999</v>
      </c>
      <c r="BZU21" s="59">
        <v>0</v>
      </c>
      <c r="BZV21" s="59">
        <v>3</v>
      </c>
      <c r="BZW21" s="59">
        <v>5</v>
      </c>
      <c r="FHL21" s="59">
        <v>200</v>
      </c>
      <c r="FHM21" s="59">
        <v>1</v>
      </c>
      <c r="FHP21" s="59">
        <v>1</v>
      </c>
      <c r="FHQ21" s="59">
        <v>210</v>
      </c>
      <c r="FHR21" s="59">
        <v>11</v>
      </c>
      <c r="FHS21" s="59">
        <v>0</v>
      </c>
      <c r="FHT21" s="59">
        <v>3</v>
      </c>
      <c r="FHU21" s="59">
        <v>2</v>
      </c>
      <c r="GYE21" s="59">
        <v>1</v>
      </c>
      <c r="GYL21" s="59">
        <v>1</v>
      </c>
      <c r="HEE21" s="59">
        <v>1</v>
      </c>
      <c r="HFE21" s="59">
        <v>1</v>
      </c>
      <c r="HGJ21" s="59">
        <v>1</v>
      </c>
      <c r="HGN21" s="59">
        <v>1</v>
      </c>
      <c r="HGR21" s="59">
        <v>1</v>
      </c>
      <c r="HGT21" s="59">
        <v>1</v>
      </c>
      <c r="HGY21" s="59">
        <v>1</v>
      </c>
      <c r="HHA21" s="59">
        <v>1</v>
      </c>
      <c r="HHC21" s="59">
        <v>1</v>
      </c>
      <c r="HIF21" s="59">
        <v>1</v>
      </c>
      <c r="HIW21" s="59">
        <v>1</v>
      </c>
    </row>
    <row r="22" spans="1:2984 3117:4093 4097:4980 5166:5792" s="63" customFormat="1" x14ac:dyDescent="0.25">
      <c r="A22" s="63">
        <v>99000802</v>
      </c>
      <c r="B22" s="89" t="s">
        <v>4190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92"/>
      <c r="EA22" s="92"/>
      <c r="EB22" s="92"/>
      <c r="EC22" s="92"/>
      <c r="ED22" s="92"/>
      <c r="EE22" s="92"/>
      <c r="EF22" s="92"/>
      <c r="EG22" s="91"/>
      <c r="EH22" s="91"/>
      <c r="EI22" s="91"/>
      <c r="EJ22" s="91"/>
      <c r="EK22" s="91"/>
      <c r="EL22" s="91"/>
      <c r="EM22" s="91"/>
      <c r="EN22" s="91"/>
      <c r="EO22" s="91"/>
      <c r="EP22" s="91"/>
      <c r="EQ22" s="91"/>
      <c r="ER22" s="91"/>
      <c r="ES22" s="91"/>
      <c r="ET22" s="91"/>
      <c r="EU22" s="91"/>
      <c r="EV22" s="91"/>
      <c r="EW22" s="91"/>
      <c r="EX22" s="91"/>
      <c r="EY22" s="91"/>
      <c r="EZ22" s="91"/>
      <c r="FA22" s="91"/>
      <c r="FB22" s="91"/>
      <c r="FC22" s="91"/>
      <c r="FD22" s="91"/>
      <c r="FE22" s="91"/>
      <c r="FF22" s="91"/>
      <c r="FG22" s="91"/>
      <c r="FH22" s="91"/>
      <c r="FI22" s="91"/>
      <c r="FJ22" s="91"/>
      <c r="FK22" s="91"/>
      <c r="FL22" s="91"/>
      <c r="FM22" s="91"/>
      <c r="FN22" s="91"/>
      <c r="FO22" s="91"/>
      <c r="FP22" s="91"/>
      <c r="FQ22" s="91"/>
      <c r="FR22" s="91"/>
      <c r="FS22" s="91"/>
      <c r="FT22" s="91"/>
      <c r="FU22" s="91"/>
      <c r="FV22" s="91"/>
      <c r="FW22" s="91"/>
      <c r="FX22" s="91"/>
      <c r="FY22" s="91"/>
      <c r="FZ22" s="91"/>
      <c r="GA22" s="91"/>
      <c r="GB22" s="91"/>
      <c r="GC22" s="91"/>
      <c r="GD22" s="91"/>
      <c r="GE22" s="91"/>
      <c r="GF22" s="91"/>
      <c r="GG22" s="91"/>
      <c r="GH22" s="91"/>
      <c r="GI22" s="91"/>
      <c r="GJ22" s="91"/>
      <c r="GK22" s="91"/>
      <c r="GL22" s="91"/>
      <c r="GM22" s="91"/>
      <c r="GN22" s="91"/>
      <c r="GO22" s="91"/>
      <c r="GP22" s="91"/>
      <c r="GQ22" s="91"/>
      <c r="GR22" s="91"/>
      <c r="GS22" s="91"/>
      <c r="GT22" s="91"/>
      <c r="GU22" s="91"/>
      <c r="GV22" s="91"/>
      <c r="GW22" s="91"/>
      <c r="GX22" s="92"/>
      <c r="GY22" s="92"/>
      <c r="GZ22" s="92"/>
      <c r="HA22" s="92"/>
      <c r="HB22" s="92"/>
      <c r="HC22" s="92"/>
      <c r="HD22" s="92"/>
      <c r="HE22" s="92"/>
      <c r="HF22" s="92"/>
      <c r="HG22" s="92"/>
      <c r="HH22" s="92"/>
      <c r="HI22" s="92"/>
      <c r="HJ22" s="92"/>
      <c r="HK22" s="92"/>
      <c r="HL22" s="92"/>
      <c r="HM22" s="92"/>
      <c r="HN22" s="92"/>
      <c r="HO22" s="92"/>
      <c r="HP22" s="92"/>
      <c r="HQ22" s="91"/>
      <c r="HR22" s="63">
        <v>7500</v>
      </c>
      <c r="HS22" s="91"/>
      <c r="HT22" s="91"/>
      <c r="HU22" s="91"/>
      <c r="HV22" s="91"/>
      <c r="HW22" s="91"/>
      <c r="HX22" s="91"/>
      <c r="HY22" s="91"/>
      <c r="HZ22" s="91"/>
      <c r="IA22" s="91"/>
      <c r="IB22" s="91"/>
      <c r="IC22" s="91"/>
      <c r="ID22" s="91"/>
      <c r="IE22" s="91"/>
      <c r="IF22" s="91"/>
      <c r="IG22" s="91"/>
      <c r="IH22" s="91"/>
      <c r="II22" s="91"/>
      <c r="IJ22" s="91"/>
      <c r="IK22" s="91"/>
      <c r="IL22" s="91"/>
      <c r="IM22" s="91"/>
      <c r="IN22" s="91"/>
      <c r="IO22" s="91"/>
      <c r="IP22" s="91"/>
      <c r="IQ22" s="91"/>
      <c r="IR22" s="91"/>
      <c r="IS22" s="91"/>
      <c r="IT22" s="91"/>
      <c r="IU22" s="91"/>
      <c r="IV22" s="91"/>
      <c r="IW22" s="91"/>
      <c r="IX22" s="91"/>
      <c r="JA22" s="91"/>
      <c r="JB22" s="91"/>
      <c r="JC22" s="91"/>
      <c r="JD22" s="91"/>
      <c r="JE22" s="91"/>
      <c r="JF22" s="91"/>
      <c r="JG22" s="91"/>
      <c r="JH22" s="91"/>
      <c r="JI22" s="91"/>
      <c r="JJ22" s="91"/>
      <c r="JK22" s="91"/>
      <c r="JL22" s="91"/>
      <c r="JM22" s="91"/>
      <c r="JN22" s="91"/>
      <c r="JO22" s="91"/>
      <c r="JP22" s="91"/>
      <c r="JQ22" s="91"/>
      <c r="JR22" s="63">
        <v>16</v>
      </c>
      <c r="JS22" s="91"/>
      <c r="JT22" s="91"/>
      <c r="JU22" s="91"/>
      <c r="JV22" s="91"/>
      <c r="JW22" s="91"/>
      <c r="JX22" s="91"/>
      <c r="JY22" s="91"/>
      <c r="JZ22" s="91"/>
      <c r="KA22" s="91"/>
      <c r="KB22" s="91"/>
      <c r="KC22" s="91"/>
      <c r="KD22" s="91"/>
      <c r="KE22" s="91"/>
      <c r="KF22" s="91"/>
      <c r="KG22" s="91"/>
      <c r="KH22" s="91"/>
      <c r="KI22" s="91"/>
      <c r="KJ22" s="91"/>
      <c r="KK22" s="91"/>
      <c r="KL22" s="91"/>
      <c r="KM22" s="91"/>
      <c r="KN22" s="91"/>
      <c r="KO22" s="91"/>
      <c r="KP22" s="91"/>
      <c r="KQ22" s="91"/>
      <c r="KR22" s="91"/>
      <c r="KS22" s="91"/>
      <c r="KT22" s="91"/>
      <c r="KU22" s="91"/>
      <c r="KV22" s="91"/>
      <c r="KW22" s="91"/>
      <c r="KX22" s="91"/>
      <c r="KY22" s="91"/>
      <c r="KZ22" s="91"/>
      <c r="LA22" s="91"/>
      <c r="LB22" s="91"/>
      <c r="LC22" s="91"/>
      <c r="LD22" s="91"/>
      <c r="LE22" s="91"/>
      <c r="LF22" s="91"/>
      <c r="LG22" s="91"/>
      <c r="LH22" s="91"/>
      <c r="LI22" s="91"/>
      <c r="LJ22" s="91"/>
      <c r="LK22" s="91"/>
      <c r="LL22" s="91"/>
      <c r="LM22" s="91"/>
      <c r="LN22" s="91"/>
      <c r="LO22" s="91"/>
      <c r="LP22" s="91"/>
      <c r="LQ22" s="91"/>
      <c r="LR22" s="91"/>
      <c r="LS22" s="91"/>
      <c r="LT22" s="91"/>
      <c r="LU22" s="91"/>
      <c r="LV22" s="91"/>
      <c r="LW22" s="91"/>
      <c r="LX22" s="91"/>
      <c r="LY22" s="91"/>
      <c r="LZ22" s="91"/>
      <c r="MA22" s="91"/>
      <c r="MB22" s="91"/>
      <c r="MC22" s="91"/>
      <c r="MD22" s="91"/>
      <c r="ME22" s="91"/>
      <c r="MF22" s="91"/>
      <c r="MG22" s="91"/>
      <c r="MH22" s="91"/>
      <c r="MI22" s="91"/>
      <c r="MJ22" s="91"/>
      <c r="MK22" s="91"/>
      <c r="ML22" s="91"/>
      <c r="MM22" s="91"/>
      <c r="MN22" s="91"/>
      <c r="MO22" s="91"/>
      <c r="MP22" s="91"/>
      <c r="MQ22" s="91"/>
      <c r="MR22" s="91"/>
      <c r="MS22" s="91"/>
      <c r="MT22" s="91"/>
      <c r="MU22" s="91"/>
      <c r="MV22" s="91"/>
      <c r="MW22" s="91"/>
      <c r="MX22" s="91"/>
      <c r="MY22" s="91"/>
      <c r="MZ22" s="91"/>
      <c r="NA22" s="91"/>
      <c r="NB22" s="91"/>
      <c r="NC22" s="91"/>
      <c r="ND22" s="91"/>
      <c r="NE22" s="91"/>
      <c r="NF22" s="91"/>
      <c r="NG22" s="63">
        <v>26</v>
      </c>
      <c r="NH22" s="91"/>
      <c r="NI22" s="91"/>
      <c r="NJ22" s="91"/>
      <c r="NK22" s="91"/>
      <c r="NL22" s="91"/>
      <c r="NM22" s="91"/>
      <c r="NN22" s="91"/>
      <c r="NO22" s="91"/>
      <c r="NP22" s="91"/>
      <c r="NQ22" s="91"/>
      <c r="NR22" s="91"/>
      <c r="NS22" s="91"/>
      <c r="NT22" s="91"/>
      <c r="NU22" s="91"/>
      <c r="NV22" s="91"/>
      <c r="NW22" s="91"/>
      <c r="NX22" s="91"/>
      <c r="NY22" s="91"/>
      <c r="NZ22" s="91"/>
      <c r="OA22" s="91"/>
      <c r="OB22" s="91"/>
      <c r="OC22" s="91"/>
      <c r="OD22" s="91"/>
      <c r="OE22" s="91"/>
      <c r="OF22" s="91"/>
      <c r="OG22" s="91"/>
      <c r="OH22" s="91"/>
      <c r="OI22" s="91"/>
      <c r="OJ22" s="91"/>
      <c r="OK22" s="91"/>
      <c r="OL22" s="91"/>
      <c r="OM22" s="91"/>
      <c r="ON22" s="91"/>
      <c r="OO22" s="91"/>
      <c r="OP22" s="91"/>
      <c r="OQ22" s="91"/>
      <c r="OR22" s="91"/>
      <c r="OS22" s="91"/>
      <c r="OT22" s="91"/>
      <c r="OU22" s="91"/>
      <c r="OV22" s="91"/>
      <c r="OW22" s="91"/>
      <c r="OX22" s="91"/>
      <c r="OY22" s="91"/>
      <c r="OZ22" s="91"/>
      <c r="PA22" s="91"/>
      <c r="PB22" s="91"/>
      <c r="PC22" s="91"/>
      <c r="PD22" s="91"/>
      <c r="PE22" s="91"/>
      <c r="PF22" s="91"/>
      <c r="PG22" s="91"/>
      <c r="PH22" s="91"/>
      <c r="PI22" s="91"/>
      <c r="PJ22" s="91"/>
      <c r="PK22" s="91"/>
      <c r="PL22" s="91"/>
      <c r="PM22" s="91"/>
      <c r="PN22" s="91"/>
      <c r="PO22" s="91"/>
      <c r="PP22" s="91"/>
      <c r="PQ22" s="91"/>
      <c r="PR22" s="91"/>
      <c r="PS22" s="91"/>
      <c r="PT22" s="91"/>
      <c r="PU22" s="91"/>
      <c r="PV22" s="91"/>
      <c r="PW22" s="91"/>
      <c r="PX22" s="91"/>
      <c r="PY22" s="91"/>
      <c r="PZ22" s="91"/>
      <c r="QA22" s="91"/>
      <c r="QB22" s="91"/>
      <c r="QC22" s="91"/>
      <c r="QD22" s="91"/>
      <c r="QE22" s="91"/>
      <c r="QF22" s="91"/>
      <c r="QG22" s="91"/>
      <c r="QH22" s="91"/>
      <c r="QI22" s="91"/>
      <c r="QJ22" s="91"/>
      <c r="QK22" s="91"/>
      <c r="QL22" s="91"/>
      <c r="QM22" s="91"/>
      <c r="QN22" s="91"/>
      <c r="QO22" s="91"/>
      <c r="QP22" s="91"/>
      <c r="QQ22" s="91"/>
      <c r="QR22" s="91"/>
      <c r="QS22" s="91"/>
      <c r="QT22" s="91"/>
      <c r="QU22" s="63">
        <v>27</v>
      </c>
      <c r="QV22" s="91"/>
      <c r="QW22" s="91"/>
      <c r="QX22" s="91"/>
      <c r="QY22" s="91"/>
      <c r="QZ22" s="91"/>
      <c r="RA22" s="91"/>
      <c r="RB22" s="91"/>
      <c r="RC22" s="91"/>
      <c r="RD22" s="91"/>
      <c r="RE22" s="91"/>
      <c r="RF22" s="91"/>
      <c r="RG22" s="91"/>
      <c r="RH22" s="91"/>
      <c r="RI22" s="91"/>
      <c r="RJ22" s="91"/>
      <c r="RK22" s="91"/>
      <c r="RL22" s="91"/>
      <c r="RM22" s="91"/>
      <c r="RN22" s="91"/>
      <c r="RO22" s="91"/>
      <c r="RP22" s="91"/>
      <c r="RQ22" s="91"/>
      <c r="RR22" s="91"/>
      <c r="RS22" s="91"/>
      <c r="RT22" s="91"/>
      <c r="RU22" s="91"/>
      <c r="RV22" s="91"/>
      <c r="RW22" s="91"/>
      <c r="RX22" s="91"/>
      <c r="RY22" s="91"/>
      <c r="RZ22" s="91"/>
      <c r="SA22" s="91"/>
      <c r="SB22" s="91"/>
      <c r="SC22" s="91"/>
      <c r="SD22" s="91"/>
      <c r="SE22" s="91"/>
      <c r="SF22" s="91"/>
      <c r="SG22" s="91"/>
      <c r="SH22" s="91"/>
      <c r="SI22" s="91"/>
      <c r="SJ22" s="91"/>
      <c r="SK22" s="91"/>
      <c r="SL22" s="91"/>
      <c r="SM22" s="91"/>
      <c r="SN22" s="91"/>
      <c r="SO22" s="91"/>
      <c r="SP22" s="91"/>
      <c r="SQ22" s="91"/>
      <c r="SR22" s="91"/>
      <c r="SS22" s="91"/>
      <c r="ST22" s="91"/>
      <c r="SU22" s="91"/>
      <c r="SV22" s="91"/>
      <c r="SW22" s="91"/>
      <c r="SX22" s="91"/>
      <c r="SY22" s="91"/>
      <c r="SZ22" s="91"/>
      <c r="TA22" s="91"/>
      <c r="TB22" s="91"/>
      <c r="TC22" s="93"/>
      <c r="TD22" s="93"/>
      <c r="TE22" s="93"/>
      <c r="TF22" s="93"/>
      <c r="TG22" s="93"/>
      <c r="TH22" s="93"/>
      <c r="TI22" s="93"/>
      <c r="TJ22" s="93"/>
      <c r="TK22" s="93"/>
      <c r="TL22" s="93"/>
      <c r="TM22" s="63">
        <v>299</v>
      </c>
      <c r="TN22" s="91"/>
      <c r="TO22" s="91"/>
      <c r="TP22" s="91"/>
      <c r="TQ22" s="91"/>
      <c r="TR22" s="91"/>
      <c r="TS22" s="91"/>
      <c r="TT22" s="91"/>
      <c r="TU22" s="91"/>
      <c r="TV22" s="91"/>
      <c r="TW22" s="91"/>
      <c r="TX22" s="91"/>
      <c r="TY22" s="91"/>
      <c r="TZ22" s="91"/>
      <c r="UA22" s="91"/>
      <c r="UB22" s="91"/>
      <c r="UC22" s="91"/>
      <c r="UD22" s="91"/>
      <c r="UE22" s="91"/>
      <c r="UF22" s="91"/>
      <c r="UG22" s="91"/>
      <c r="UH22" s="91"/>
      <c r="UI22" s="91"/>
      <c r="UJ22" s="91"/>
      <c r="UK22" s="91"/>
      <c r="UL22" s="91"/>
      <c r="UM22" s="91"/>
      <c r="UN22" s="91"/>
      <c r="UO22" s="91"/>
      <c r="UP22" s="91"/>
      <c r="UQ22" s="91"/>
      <c r="UR22" s="91"/>
      <c r="US22" s="91"/>
      <c r="UT22" s="91"/>
      <c r="UU22" s="91"/>
      <c r="UV22" s="91"/>
      <c r="UW22" s="91"/>
      <c r="UX22" s="91"/>
      <c r="UY22" s="91"/>
      <c r="UZ22" s="91"/>
      <c r="VA22" s="91"/>
      <c r="VB22" s="91"/>
      <c r="VC22" s="91"/>
      <c r="VD22" s="91"/>
      <c r="VE22" s="91"/>
      <c r="VF22" s="91"/>
      <c r="VG22" s="91"/>
      <c r="VH22" s="91"/>
      <c r="VI22" s="91"/>
      <c r="VJ22" s="91"/>
      <c r="VK22" s="91"/>
      <c r="VL22" s="91"/>
      <c r="VM22" s="91"/>
      <c r="VN22" s="91"/>
      <c r="VO22" s="91"/>
      <c r="VP22" s="91"/>
      <c r="VQ22" s="91"/>
      <c r="VR22" s="91"/>
      <c r="VS22" s="91"/>
      <c r="VT22" s="91"/>
      <c r="VU22" s="91"/>
      <c r="VV22" s="91"/>
      <c r="VW22" s="91"/>
      <c r="VX22" s="91"/>
      <c r="VY22" s="91"/>
      <c r="VZ22" s="91"/>
      <c r="WA22" s="91"/>
      <c r="WB22" s="91"/>
      <c r="WC22" s="91"/>
      <c r="WD22" s="91"/>
      <c r="WE22" s="91"/>
      <c r="WF22" s="91"/>
      <c r="WG22" s="91"/>
      <c r="WH22" s="91"/>
      <c r="WI22" s="91"/>
      <c r="WJ22" s="91"/>
      <c r="WK22" s="91"/>
      <c r="WL22" s="91"/>
      <c r="WM22" s="91"/>
      <c r="WN22" s="91"/>
      <c r="WO22" s="91"/>
      <c r="WP22" s="91"/>
      <c r="WQ22" s="91"/>
      <c r="WR22" s="91"/>
      <c r="WS22" s="91"/>
      <c r="WT22" s="91"/>
      <c r="WU22" s="91"/>
      <c r="WV22" s="91"/>
      <c r="WW22" s="91"/>
      <c r="WX22" s="91"/>
      <c r="WY22" s="91"/>
      <c r="WZ22" s="91"/>
      <c r="XA22" s="91"/>
      <c r="XB22" s="91"/>
      <c r="XC22" s="91"/>
      <c r="XD22" s="91"/>
      <c r="XE22" s="91"/>
      <c r="XF22" s="91"/>
      <c r="XG22" s="91"/>
      <c r="XH22" s="91"/>
      <c r="XI22" s="91"/>
      <c r="XJ22" s="91"/>
      <c r="XK22" s="91"/>
      <c r="XL22" s="91"/>
      <c r="XM22" s="91"/>
      <c r="XN22" s="91"/>
      <c r="XO22" s="91"/>
      <c r="XP22" s="91"/>
      <c r="XQ22" s="91"/>
      <c r="XR22" s="91"/>
      <c r="XS22" s="91"/>
      <c r="XT22" s="91"/>
      <c r="XU22" s="91"/>
      <c r="XV22" s="91"/>
      <c r="XW22" s="91"/>
      <c r="XX22" s="91"/>
      <c r="XY22" s="91"/>
      <c r="XZ22" s="91"/>
      <c r="YA22" s="91"/>
      <c r="YB22" s="91"/>
      <c r="YC22" s="91"/>
      <c r="YD22" s="91"/>
      <c r="YE22" s="91"/>
      <c r="YF22" s="91"/>
      <c r="YG22" s="91"/>
      <c r="YH22" s="91"/>
      <c r="YI22" s="91"/>
      <c r="YJ22" s="91"/>
      <c r="YK22" s="91"/>
      <c r="YL22" s="91"/>
      <c r="YM22" s="91"/>
      <c r="YN22" s="91"/>
      <c r="YO22" s="91"/>
      <c r="YP22" s="91"/>
      <c r="YQ22" s="91"/>
      <c r="YR22" s="91"/>
      <c r="YS22" s="91"/>
      <c r="YT22" s="91"/>
      <c r="YU22" s="91"/>
      <c r="YV22" s="91"/>
      <c r="YW22" s="91"/>
      <c r="YX22" s="91"/>
      <c r="YY22" s="91"/>
      <c r="YZ22" s="91"/>
      <c r="ZA22" s="91"/>
      <c r="ZB22" s="91"/>
      <c r="ZC22" s="91"/>
      <c r="ZD22" s="91"/>
      <c r="ZE22" s="91"/>
      <c r="ZF22" s="91"/>
      <c r="ZG22" s="91"/>
      <c r="ZH22" s="91"/>
      <c r="ZI22" s="91"/>
      <c r="ZJ22" s="91"/>
      <c r="ZK22" s="91"/>
      <c r="ZL22" s="91"/>
      <c r="ZM22" s="91"/>
      <c r="ZN22" s="91"/>
      <c r="ZO22" s="91"/>
      <c r="ZP22" s="91"/>
      <c r="ZQ22" s="91"/>
      <c r="ZR22" s="92"/>
      <c r="ZS22" s="92"/>
      <c r="ZT22" s="92"/>
      <c r="ZU22" s="92"/>
      <c r="ZV22" s="92"/>
      <c r="ZW22" s="92"/>
      <c r="ZX22" s="92"/>
      <c r="ZY22" s="92"/>
      <c r="ZZ22" s="92"/>
      <c r="AAA22" s="92"/>
      <c r="AAB22" s="92"/>
      <c r="AAC22" s="92"/>
      <c r="AAD22" s="92"/>
      <c r="AAE22" s="92"/>
      <c r="AAF22" s="92"/>
      <c r="AAG22" s="92"/>
      <c r="AAH22" s="92"/>
      <c r="AAI22" s="92"/>
      <c r="AAJ22" s="92"/>
      <c r="AAK22" s="92"/>
      <c r="AAL22" s="92"/>
      <c r="AAM22" s="92"/>
      <c r="AAN22" s="92"/>
      <c r="AAO22" s="92"/>
      <c r="AAP22" s="92"/>
      <c r="AAQ22" s="92"/>
      <c r="AAR22" s="92"/>
      <c r="AAS22" s="92"/>
      <c r="AAT22" s="92"/>
      <c r="AAU22" s="92"/>
      <c r="AAV22" s="92"/>
      <c r="AAW22" s="92"/>
      <c r="AAX22" s="91"/>
      <c r="AAY22" s="91"/>
      <c r="AAZ22" s="91"/>
      <c r="ABA22" s="91"/>
      <c r="ABB22" s="91"/>
      <c r="ABC22" s="91"/>
      <c r="ABD22" s="91"/>
      <c r="ABE22" s="91"/>
      <c r="ABF22" s="91"/>
      <c r="ABG22" s="91"/>
      <c r="ABH22" s="91"/>
      <c r="ABI22" s="91"/>
      <c r="ABJ22" s="91"/>
      <c r="ABK22" s="91"/>
      <c r="ABL22" s="91"/>
      <c r="ABM22" s="91"/>
      <c r="ABN22" s="91"/>
      <c r="ABO22" s="91"/>
      <c r="ABP22" s="91"/>
      <c r="ABQ22" s="91"/>
      <c r="ABR22" s="91"/>
      <c r="ABS22" s="91"/>
      <c r="ABT22" s="91"/>
      <c r="ABU22" s="91"/>
      <c r="ABV22" s="91"/>
      <c r="ABW22" s="91"/>
      <c r="ABX22" s="91"/>
      <c r="ABY22" s="91"/>
      <c r="ABZ22" s="91"/>
      <c r="ACA22" s="91"/>
      <c r="ACB22" s="91"/>
      <c r="ACC22" s="91"/>
      <c r="ACD22" s="91"/>
      <c r="ACE22" s="91"/>
      <c r="ACF22" s="91"/>
      <c r="ACG22" s="91"/>
      <c r="ACH22" s="91"/>
      <c r="ACI22" s="91"/>
      <c r="ACJ22" s="91"/>
      <c r="ACK22" s="91"/>
      <c r="ACL22" s="91"/>
      <c r="ACM22" s="91"/>
      <c r="ACN22" s="91"/>
      <c r="ACO22" s="91"/>
      <c r="ACP22" s="91"/>
      <c r="ACQ22" s="91"/>
      <c r="ACR22" s="91"/>
      <c r="ACS22" s="91"/>
      <c r="ACT22" s="91"/>
      <c r="ACU22" s="91"/>
      <c r="ACV22" s="91"/>
      <c r="ACW22" s="91"/>
      <c r="ACX22" s="91"/>
      <c r="ACY22" s="91"/>
      <c r="ACZ22" s="91"/>
      <c r="ADA22" s="91"/>
      <c r="ADB22" s="91"/>
      <c r="ADC22" s="91"/>
      <c r="ADD22" s="91"/>
      <c r="ADE22" s="91"/>
      <c r="ADF22" s="91"/>
      <c r="ADG22" s="91"/>
      <c r="ADH22" s="91"/>
      <c r="ADI22" s="91"/>
      <c r="ADJ22" s="91"/>
      <c r="ADK22" s="91"/>
      <c r="ADL22" s="91"/>
      <c r="ADM22" s="91"/>
      <c r="ADN22" s="91"/>
      <c r="ADO22" s="91"/>
      <c r="ADP22" s="91"/>
      <c r="ADQ22" s="91"/>
      <c r="ADR22" s="91"/>
      <c r="ADS22" s="91"/>
      <c r="ADT22" s="91"/>
      <c r="ADU22" s="91"/>
      <c r="ADV22" s="91"/>
      <c r="ADW22" s="91"/>
      <c r="ADX22" s="91"/>
      <c r="ADY22" s="91"/>
      <c r="ADZ22" s="91"/>
      <c r="AEA22" s="91"/>
      <c r="AEB22" s="91"/>
      <c r="AEC22" s="91"/>
      <c r="AED22" s="91"/>
      <c r="AEE22" s="91"/>
      <c r="AEF22" s="91"/>
      <c r="AEG22" s="91"/>
      <c r="AEH22" s="91"/>
      <c r="AEI22" s="91"/>
      <c r="AEJ22" s="91"/>
      <c r="AEK22" s="91"/>
      <c r="AEL22" s="91"/>
      <c r="AEM22" s="91"/>
      <c r="AEN22" s="91"/>
      <c r="AEO22" s="91"/>
      <c r="AEP22" s="91"/>
      <c r="AEQ22" s="91"/>
      <c r="AER22" s="91"/>
      <c r="AES22" s="91"/>
      <c r="AET22" s="91"/>
      <c r="AEU22" s="92"/>
      <c r="AEV22" s="92"/>
      <c r="AEW22" s="92"/>
      <c r="AEX22" s="92"/>
      <c r="AEY22" s="92"/>
      <c r="AEZ22" s="92"/>
      <c r="AFA22" s="92"/>
      <c r="AFB22" s="92"/>
      <c r="AFC22" s="92"/>
      <c r="AFD22" s="92"/>
      <c r="AFE22" s="92"/>
      <c r="AFF22" s="92"/>
      <c r="AFG22" s="92"/>
      <c r="AFH22" s="92"/>
      <c r="AFI22" s="92"/>
      <c r="AFJ22" s="92"/>
      <c r="AFK22" s="92"/>
      <c r="AFL22" s="92"/>
      <c r="AFM22" s="92"/>
      <c r="AFN22" s="92"/>
      <c r="AFO22" s="92"/>
      <c r="AFP22" s="92"/>
      <c r="AFQ22" s="92"/>
      <c r="AFR22" s="92"/>
      <c r="AFS22" s="92"/>
      <c r="AFT22" s="92"/>
      <c r="AFU22" s="92"/>
      <c r="AFV22" s="92"/>
      <c r="AFW22" s="92"/>
      <c r="AFX22" s="92"/>
      <c r="AFY22" s="92"/>
      <c r="AFZ22" s="92"/>
      <c r="AGA22" s="92"/>
      <c r="AGB22" s="92"/>
      <c r="AGC22" s="92"/>
      <c r="AGD22" s="92"/>
      <c r="AGE22" s="92"/>
      <c r="AGF22" s="92"/>
      <c r="AGG22" s="91"/>
      <c r="AGH22" s="91"/>
      <c r="AGI22" s="91"/>
      <c r="AGJ22" s="91"/>
      <c r="AGK22" s="91"/>
      <c r="AGL22" s="91"/>
      <c r="AGM22" s="91"/>
      <c r="AGN22" s="91"/>
      <c r="AGO22" s="91"/>
      <c r="AGP22" s="91"/>
      <c r="AGQ22" s="91"/>
      <c r="AGR22" s="91"/>
      <c r="AGS22" s="91"/>
      <c r="AGT22" s="91"/>
      <c r="AGU22" s="91"/>
      <c r="AGV22" s="91"/>
      <c r="AGW22" s="91"/>
      <c r="AGX22" s="91"/>
      <c r="AGY22" s="91"/>
      <c r="AGZ22" s="91"/>
      <c r="AHA22" s="91"/>
      <c r="AHB22" s="91"/>
      <c r="AHC22" s="91"/>
      <c r="AHD22" s="91"/>
      <c r="AHE22" s="91"/>
      <c r="AHF22" s="91"/>
      <c r="AHG22" s="91"/>
      <c r="AHH22" s="91"/>
      <c r="AHI22" s="91"/>
      <c r="AHJ22" s="91"/>
      <c r="AHK22" s="91"/>
      <c r="AHL22" s="91"/>
      <c r="AHM22" s="91"/>
      <c r="AHN22" s="91"/>
      <c r="AHO22" s="91"/>
      <c r="AHP22" s="91"/>
      <c r="AHQ22" s="91"/>
      <c r="AHR22" s="91"/>
      <c r="AHS22" s="91"/>
      <c r="AHT22" s="91"/>
      <c r="AHU22" s="91"/>
      <c r="AHV22" s="91"/>
      <c r="AHW22" s="91"/>
      <c r="AHX22" s="91"/>
      <c r="AHY22" s="91"/>
      <c r="AHZ22" s="91"/>
      <c r="AIA22" s="91"/>
      <c r="AIB22" s="91"/>
      <c r="AIC22" s="91"/>
      <c r="AID22" s="91"/>
      <c r="AIE22" s="91"/>
      <c r="AIF22" s="91"/>
      <c r="AIJ22" s="91"/>
      <c r="AIK22" s="91"/>
      <c r="AIL22" s="91"/>
      <c r="AIM22" s="91"/>
      <c r="AIN22" s="91"/>
      <c r="AIO22" s="91"/>
      <c r="AIP22" s="91"/>
      <c r="AIQ22" s="91"/>
      <c r="AIR22" s="91"/>
      <c r="AIS22" s="91"/>
      <c r="AIT22" s="91"/>
      <c r="AIU22" s="91"/>
      <c r="AIV22" s="91"/>
      <c r="AIW22" s="91"/>
      <c r="AIX22" s="91"/>
      <c r="AIY22" s="91"/>
      <c r="AIZ22" s="91"/>
      <c r="AJA22" s="91"/>
      <c r="AJB22" s="91"/>
      <c r="AJC22" s="91"/>
      <c r="AJD22" s="91"/>
      <c r="AJE22" s="91"/>
      <c r="AJF22" s="91"/>
      <c r="AJG22" s="91"/>
      <c r="AJH22" s="91"/>
      <c r="AJI22" s="91"/>
      <c r="AJJ22" s="91"/>
      <c r="AJK22" s="91"/>
      <c r="AJL22" s="91"/>
      <c r="AJM22" s="91"/>
      <c r="AJN22" s="92"/>
      <c r="AJO22" s="92"/>
      <c r="AJP22" s="92"/>
      <c r="AJQ22" s="91"/>
      <c r="AJR22" s="91"/>
      <c r="AJS22" s="91"/>
      <c r="AJT22" s="91"/>
      <c r="AJU22" s="91"/>
      <c r="AJV22" s="91"/>
      <c r="AJW22" s="91"/>
      <c r="AJX22" s="91"/>
      <c r="AJY22" s="91"/>
      <c r="AJZ22" s="91"/>
      <c r="AKA22" s="91"/>
      <c r="AKB22" s="91"/>
      <c r="AKC22" s="91"/>
      <c r="AKD22" s="91"/>
      <c r="AKE22" s="91"/>
      <c r="AKF22" s="91"/>
      <c r="AKG22" s="91"/>
      <c r="AKH22" s="91"/>
      <c r="AKI22" s="91"/>
      <c r="AKJ22" s="91"/>
      <c r="AKK22" s="91"/>
      <c r="AKL22" s="91"/>
      <c r="AKM22" s="91"/>
      <c r="AKN22" s="91"/>
      <c r="AKO22" s="91"/>
      <c r="AKP22" s="91"/>
      <c r="AKQ22" s="91"/>
      <c r="AKR22" s="91"/>
      <c r="AKS22" s="91"/>
      <c r="AKT22" s="91"/>
      <c r="AKU22" s="91"/>
      <c r="AKV22" s="91"/>
      <c r="AKW22" s="91"/>
      <c r="AKZ22" s="91"/>
      <c r="ALA22" s="91"/>
      <c r="ALB22" s="91"/>
      <c r="ALC22" s="91"/>
      <c r="ALD22" s="91"/>
      <c r="ALE22" s="91"/>
      <c r="ALF22" s="91"/>
      <c r="ALG22" s="91"/>
      <c r="ALH22" s="91"/>
      <c r="ALI22" s="91"/>
      <c r="ALJ22" s="91"/>
      <c r="ALK22" s="91"/>
      <c r="ALL22" s="91"/>
      <c r="ALM22" s="91"/>
      <c r="ALN22" s="91"/>
      <c r="ALO22" s="91"/>
      <c r="ALP22" s="91"/>
      <c r="ALQ22" s="91"/>
      <c r="ALR22" s="91"/>
      <c r="ALS22" s="91"/>
      <c r="ALT22" s="91"/>
      <c r="ALU22" s="91"/>
      <c r="ALV22" s="91"/>
      <c r="ALW22" s="91"/>
      <c r="ALX22" s="91"/>
      <c r="ALY22" s="91"/>
      <c r="ALZ22" s="91"/>
      <c r="AMA22" s="91"/>
      <c r="AMB22" s="91"/>
      <c r="AMC22" s="91"/>
      <c r="AMD22" s="91"/>
      <c r="AME22" s="91"/>
      <c r="AMF22" s="91"/>
      <c r="AMG22" s="91"/>
      <c r="AMH22" s="91"/>
      <c r="AMI22" s="91"/>
      <c r="AMJ22" s="91"/>
      <c r="AMK22" s="91"/>
      <c r="AML22" s="91"/>
      <c r="AMM22" s="91"/>
      <c r="AMN22" s="91"/>
      <c r="AMO22" s="91"/>
      <c r="AMP22" s="91"/>
      <c r="AMQ22" s="91"/>
      <c r="AMR22" s="91"/>
      <c r="AMS22" s="91"/>
      <c r="AMT22" s="91"/>
      <c r="AMU22" s="91"/>
      <c r="AMV22" s="91"/>
      <c r="AMW22" s="91"/>
      <c r="AMX22" s="91"/>
      <c r="AMY22" s="91"/>
      <c r="AMZ22" s="91"/>
      <c r="ANA22" s="91"/>
      <c r="ANB22" s="91"/>
      <c r="ANC22" s="91"/>
      <c r="AND22" s="91"/>
      <c r="ANE22" s="91"/>
      <c r="ANF22" s="91"/>
      <c r="ANG22" s="91"/>
      <c r="ANH22" s="91"/>
      <c r="ANI22" s="91"/>
      <c r="ANJ22" s="91"/>
      <c r="ANK22" s="91"/>
      <c r="ANL22" s="91"/>
      <c r="ANM22" s="91"/>
      <c r="ANN22" s="91"/>
      <c r="ANO22" s="91"/>
      <c r="ANP22" s="91"/>
      <c r="ANQ22" s="91"/>
      <c r="ANR22" s="91"/>
      <c r="ANS22" s="91"/>
      <c r="ANT22" s="91"/>
      <c r="ANU22" s="91"/>
      <c r="ANV22" s="91"/>
      <c r="ANW22" s="91"/>
      <c r="ANX22" s="91"/>
      <c r="ANY22" s="91"/>
      <c r="ANZ22" s="91"/>
      <c r="AOA22" s="91"/>
      <c r="AOB22" s="91"/>
      <c r="AOC22" s="91"/>
      <c r="AOD22" s="91"/>
      <c r="AOE22" s="91"/>
      <c r="AOF22" s="91"/>
      <c r="AOG22" s="91"/>
      <c r="AOH22" s="91"/>
      <c r="AOI22" s="91"/>
      <c r="AOJ22" s="91"/>
      <c r="AOK22" s="91"/>
      <c r="AOL22" s="91"/>
      <c r="AOM22" s="91"/>
      <c r="AON22" s="91"/>
      <c r="AOO22" s="91"/>
      <c r="AOP22" s="91"/>
      <c r="AOQ22" s="91"/>
      <c r="AOR22" s="91"/>
      <c r="AOS22" s="91"/>
      <c r="AOT22" s="91"/>
      <c r="AOU22" s="91"/>
      <c r="AOV22" s="91"/>
      <c r="AOW22" s="91"/>
      <c r="AOX22" s="91"/>
      <c r="AOY22" s="91"/>
      <c r="AOZ22" s="91"/>
      <c r="APA22" s="91"/>
      <c r="APB22" s="91"/>
      <c r="APC22" s="91"/>
      <c r="APD22" s="91"/>
      <c r="APE22" s="91"/>
      <c r="APF22" s="91"/>
      <c r="APG22" s="91"/>
      <c r="APH22" s="91"/>
      <c r="API22" s="91"/>
      <c r="APJ22" s="91"/>
      <c r="APK22" s="91"/>
      <c r="APL22" s="91"/>
      <c r="APM22" s="91"/>
      <c r="APN22" s="91"/>
      <c r="APO22" s="91"/>
      <c r="APP22" s="91"/>
      <c r="APQ22" s="91"/>
      <c r="APR22" s="91"/>
      <c r="APS22" s="91"/>
      <c r="APT22" s="91"/>
      <c r="APU22" s="91"/>
      <c r="APV22" s="91"/>
      <c r="APW22" s="91"/>
      <c r="APX22" s="91"/>
      <c r="APY22" s="91"/>
      <c r="APZ22" s="91"/>
      <c r="AQA22" s="91"/>
      <c r="AQB22" s="91"/>
      <c r="AQC22" s="91"/>
      <c r="AQD22" s="91"/>
      <c r="AQE22" s="91"/>
      <c r="ASD22" s="91"/>
      <c r="ASE22" s="91"/>
      <c r="ASF22" s="91"/>
      <c r="ASG22" s="91"/>
      <c r="ASH22" s="91"/>
      <c r="ASI22" s="91"/>
      <c r="ASJ22" s="91"/>
      <c r="ASK22" s="91"/>
      <c r="ASL22" s="91"/>
      <c r="ASM22" s="91"/>
      <c r="ASN22" s="91"/>
      <c r="ASO22" s="91"/>
      <c r="ASP22" s="91"/>
      <c r="ASQ22" s="91"/>
      <c r="ASR22" s="91"/>
      <c r="ASS22" s="91"/>
      <c r="AST22" s="91"/>
      <c r="ASU22" s="91"/>
      <c r="ASV22" s="91"/>
      <c r="ASW22" s="91"/>
      <c r="ASX22" s="91"/>
      <c r="ASY22" s="91"/>
      <c r="ASZ22" s="91"/>
      <c r="ATA22" s="91"/>
      <c r="ATB22" s="91"/>
      <c r="ATC22" s="91"/>
      <c r="ATD22" s="91"/>
      <c r="ATE22" s="91"/>
      <c r="ATF22" s="91"/>
      <c r="ATG22" s="91"/>
      <c r="ATH22" s="91"/>
      <c r="ATI22" s="91"/>
      <c r="ATJ22" s="91"/>
      <c r="ATK22" s="91"/>
      <c r="ATL22" s="91"/>
      <c r="ATM22" s="91"/>
      <c r="ATN22" s="91"/>
      <c r="ATO22" s="91"/>
      <c r="ATP22" s="91"/>
      <c r="ATQ22" s="92"/>
      <c r="ATR22" s="92"/>
      <c r="ATS22" s="92"/>
      <c r="ATT22" s="92"/>
      <c r="ATU22" s="92"/>
      <c r="ATV22" s="91"/>
      <c r="ATW22" s="91"/>
      <c r="ATX22" s="91"/>
      <c r="ATY22" s="91"/>
      <c r="ATZ22" s="91"/>
      <c r="AUA22" s="91"/>
      <c r="AUB22" s="91"/>
      <c r="AUC22" s="91"/>
      <c r="AUD22" s="91"/>
      <c r="AUE22" s="91"/>
      <c r="AUF22" s="91"/>
      <c r="AUG22" s="91"/>
      <c r="AUH22" s="91"/>
      <c r="AUI22" s="91"/>
      <c r="AUJ22" s="91"/>
      <c r="AUK22" s="91"/>
      <c r="AUL22" s="91"/>
      <c r="AUM22" s="91"/>
      <c r="AUN22" s="91"/>
      <c r="AUO22" s="91"/>
      <c r="AUP22" s="91"/>
      <c r="AUQ22" s="91"/>
      <c r="AUR22" s="91"/>
      <c r="AUS22" s="91"/>
      <c r="AUT22" s="91"/>
      <c r="AUU22" s="91"/>
      <c r="AUV22" s="91"/>
      <c r="AUW22" s="91"/>
      <c r="AUX22" s="91"/>
      <c r="AUY22" s="91"/>
      <c r="AUZ22" s="91"/>
      <c r="AVA22" s="91"/>
      <c r="AVB22" s="91"/>
      <c r="AVC22" s="91"/>
      <c r="AVD22" s="91"/>
      <c r="AVE22" s="91"/>
      <c r="AVF22" s="91"/>
      <c r="AVG22" s="91"/>
      <c r="AVH22" s="91"/>
      <c r="AVI22" s="91"/>
      <c r="AVJ22" s="91"/>
      <c r="AVK22" s="91"/>
      <c r="AVL22" s="91"/>
      <c r="AVM22" s="91"/>
      <c r="AVN22" s="91"/>
      <c r="AVO22" s="91"/>
      <c r="AVP22" s="91"/>
      <c r="AVQ22" s="91"/>
      <c r="AVR22" s="91"/>
      <c r="AVS22" s="91"/>
      <c r="AVT22" s="91"/>
      <c r="AVU22" s="91"/>
      <c r="AVV22" s="91"/>
      <c r="AVW22" s="91"/>
      <c r="AVX22" s="91"/>
      <c r="AVY22" s="91"/>
      <c r="AVZ22" s="91"/>
      <c r="AWA22" s="91"/>
      <c r="AWB22" s="91"/>
      <c r="AWC22" s="91"/>
      <c r="AWD22" s="91"/>
      <c r="AWE22" s="91"/>
      <c r="AWF22" s="91"/>
      <c r="AWG22" s="91"/>
      <c r="AWH22" s="91"/>
      <c r="AWI22" s="91"/>
      <c r="AWJ22" s="91"/>
      <c r="AWK22" s="91"/>
      <c r="AWL22" s="91"/>
      <c r="AWM22" s="91"/>
      <c r="AWN22" s="91"/>
      <c r="AWO22" s="91"/>
      <c r="AWP22" s="91"/>
      <c r="AWQ22" s="91"/>
      <c r="AWR22" s="91"/>
      <c r="AWS22" s="91"/>
      <c r="AWT22" s="91"/>
      <c r="AWU22" s="91"/>
      <c r="AWV22" s="91"/>
      <c r="AWW22" s="91"/>
      <c r="AWX22" s="91"/>
      <c r="AWY22" s="91"/>
      <c r="AWZ22" s="91"/>
      <c r="AXA22" s="91"/>
      <c r="AXB22" s="91"/>
      <c r="AXC22" s="91"/>
      <c r="AXD22" s="91"/>
      <c r="AXE22" s="91"/>
      <c r="AXF22" s="91"/>
      <c r="AXG22" s="91"/>
      <c r="AXH22" s="91"/>
      <c r="AXI22" s="91"/>
      <c r="AXJ22" s="91"/>
      <c r="AXK22" s="91"/>
      <c r="AXL22" s="91"/>
      <c r="AXM22" s="91"/>
      <c r="AXN22" s="91"/>
      <c r="AXO22" s="91"/>
      <c r="AXP22" s="91"/>
      <c r="AXQ22" s="91"/>
      <c r="AXR22" s="91"/>
      <c r="AXS22" s="91"/>
      <c r="AXT22" s="91"/>
      <c r="AXU22" s="91"/>
      <c r="AXV22" s="91"/>
      <c r="AXW22" s="91"/>
      <c r="AXX22" s="91"/>
      <c r="AXY22" s="91"/>
      <c r="AXZ22" s="91"/>
      <c r="AYA22" s="91"/>
      <c r="AYB22" s="91"/>
      <c r="AYC22" s="91"/>
      <c r="AYD22" s="91"/>
      <c r="AYE22" s="91"/>
      <c r="AYF22" s="91"/>
      <c r="AYG22" s="91"/>
      <c r="AYH22" s="91"/>
      <c r="AYI22" s="91"/>
      <c r="AYJ22" s="91"/>
      <c r="AYK22" s="91"/>
      <c r="AYL22" s="91"/>
      <c r="AYM22" s="91"/>
      <c r="AYN22" s="91"/>
      <c r="AYO22" s="91"/>
      <c r="AYP22" s="91"/>
      <c r="AYQ22" s="91"/>
      <c r="AYR22" s="91"/>
      <c r="AYS22" s="91"/>
      <c r="AYT22" s="91"/>
      <c r="AYU22" s="91"/>
      <c r="AYV22" s="91"/>
      <c r="AYW22" s="91"/>
      <c r="AYX22" s="91"/>
      <c r="AYY22" s="91"/>
      <c r="AYZ22" s="91"/>
      <c r="AZA22" s="91"/>
      <c r="AZB22" s="91"/>
      <c r="AZC22" s="91"/>
      <c r="AZD22" s="91"/>
      <c r="AZE22" s="91"/>
      <c r="AZF22" s="91"/>
      <c r="AZG22" s="91"/>
      <c r="AZH22" s="91"/>
      <c r="AZI22" s="91"/>
      <c r="AZJ22" s="91"/>
      <c r="AZK22" s="91"/>
      <c r="AZL22" s="91"/>
      <c r="AZM22" s="91"/>
      <c r="AZN22" s="91"/>
      <c r="AZO22" s="91"/>
      <c r="AZP22" s="91"/>
      <c r="AZQ22" s="91"/>
      <c r="AZR22" s="91"/>
      <c r="AZS22" s="91"/>
      <c r="AZT22" s="91"/>
      <c r="AZU22" s="91"/>
      <c r="AZV22" s="91"/>
      <c r="AZW22" s="91"/>
      <c r="AZX22" s="91"/>
      <c r="AZY22" s="91"/>
      <c r="AZZ22" s="91"/>
      <c r="BAA22" s="91"/>
      <c r="BAB22" s="91"/>
      <c r="BAC22" s="91"/>
      <c r="BAD22" s="91"/>
      <c r="BAE22" s="91"/>
      <c r="BAF22" s="91"/>
      <c r="BAG22" s="91"/>
      <c r="BAH22" s="91"/>
      <c r="BAI22" s="91"/>
      <c r="BAJ22" s="91"/>
      <c r="BAK22" s="91"/>
      <c r="BAL22" s="91"/>
      <c r="BAM22" s="91"/>
      <c r="BAN22" s="91"/>
      <c r="BAO22" s="91"/>
      <c r="BAP22" s="91"/>
      <c r="BAQ22" s="91"/>
      <c r="BAR22" s="91"/>
      <c r="BAS22" s="91"/>
      <c r="BAT22" s="91"/>
      <c r="BAU22" s="91"/>
      <c r="BAV22" s="91"/>
      <c r="BAW22" s="91"/>
      <c r="BAX22" s="91"/>
      <c r="BAY22" s="91"/>
      <c r="BAZ22" s="91"/>
      <c r="BBA22" s="91"/>
      <c r="BBB22" s="91"/>
      <c r="BBC22" s="91"/>
      <c r="BBD22" s="91"/>
      <c r="BBE22" s="91"/>
      <c r="BBF22" s="91"/>
      <c r="BBG22" s="91"/>
      <c r="BBH22" s="91"/>
      <c r="BBI22" s="91"/>
      <c r="BBJ22" s="91"/>
      <c r="BBK22" s="91"/>
      <c r="BBL22" s="91"/>
      <c r="BBM22" s="91"/>
      <c r="BBN22" s="91"/>
      <c r="BBO22" s="91"/>
      <c r="BBP22" s="91"/>
      <c r="BBQ22" s="91"/>
      <c r="BBR22" s="91"/>
      <c r="BBS22" s="91"/>
      <c r="BBT22" s="91"/>
      <c r="BBU22" s="91"/>
      <c r="BBV22" s="91"/>
      <c r="BBW22" s="91"/>
      <c r="BBX22" s="91"/>
      <c r="BBY22" s="91"/>
      <c r="BBZ22" s="91"/>
      <c r="BCA22" s="91"/>
      <c r="BCB22" s="91"/>
      <c r="BCC22" s="91"/>
      <c r="BCD22" s="91"/>
      <c r="BCE22" s="91"/>
      <c r="BCF22" s="91"/>
      <c r="BCG22" s="91"/>
      <c r="BCH22" s="91"/>
      <c r="BCI22" s="91"/>
      <c r="BCJ22" s="91"/>
      <c r="BCK22" s="91"/>
      <c r="BCL22" s="91"/>
      <c r="BCM22" s="91"/>
      <c r="BCN22" s="91"/>
      <c r="BCO22" s="91"/>
      <c r="BCP22" s="91"/>
      <c r="BCQ22" s="91"/>
      <c r="BCR22" s="91"/>
      <c r="BCS22" s="91"/>
      <c r="BCT22" s="91"/>
      <c r="BCU22" s="91"/>
      <c r="BCV22" s="91"/>
      <c r="BCW22" s="91"/>
      <c r="BCX22" s="91"/>
      <c r="BCY22" s="91"/>
      <c r="BCZ22" s="91"/>
      <c r="BDA22" s="91"/>
      <c r="BDB22" s="91"/>
      <c r="BDC22" s="91"/>
      <c r="BDD22" s="91"/>
      <c r="BDE22" s="91"/>
      <c r="BDF22" s="91"/>
      <c r="BDG22" s="91"/>
      <c r="BDH22" s="91"/>
      <c r="BDI22" s="91"/>
      <c r="BDJ22" s="91"/>
      <c r="BDK22" s="91"/>
      <c r="BDL22" s="91"/>
      <c r="BDM22" s="91"/>
      <c r="BDN22" s="91"/>
      <c r="BDO22" s="91"/>
      <c r="BDP22" s="91"/>
      <c r="BDQ22" s="91"/>
      <c r="BDR22" s="91"/>
      <c r="BDS22" s="91"/>
      <c r="BDT22" s="91"/>
      <c r="BDU22" s="91"/>
      <c r="BDV22" s="91"/>
      <c r="BDW22" s="91"/>
      <c r="BDX22" s="91"/>
      <c r="BDY22" s="91"/>
      <c r="BDZ22" s="91"/>
      <c r="BEA22" s="91"/>
      <c r="BEB22" s="91"/>
      <c r="BEC22" s="91"/>
      <c r="BED22" s="91"/>
      <c r="BEE22" s="91"/>
      <c r="BEF22" s="91"/>
      <c r="BEG22" s="91"/>
      <c r="BEH22" s="91"/>
      <c r="BEI22" s="91"/>
      <c r="BEJ22" s="91"/>
      <c r="BEK22" s="91"/>
      <c r="BEL22" s="91"/>
      <c r="BEM22" s="91"/>
      <c r="BEN22" s="91"/>
      <c r="BEO22" s="91"/>
      <c r="BEP22" s="91"/>
      <c r="BEQ22" s="91"/>
      <c r="BER22" s="91"/>
      <c r="BES22" s="91"/>
      <c r="BOA22" s="63">
        <v>47</v>
      </c>
      <c r="BOB22" s="63">
        <v>1</v>
      </c>
      <c r="BOD22" s="63">
        <v>29.1</v>
      </c>
      <c r="BOF22" s="63">
        <v>1</v>
      </c>
      <c r="BOG22" s="63">
        <v>28</v>
      </c>
      <c r="BSC22" s="63">
        <v>1</v>
      </c>
      <c r="BSG22" s="63">
        <v>1</v>
      </c>
      <c r="BTF22" s="63">
        <v>1</v>
      </c>
      <c r="BYK22" s="63">
        <v>1800</v>
      </c>
      <c r="BYL22" s="63">
        <v>150</v>
      </c>
      <c r="BYM22" s="63">
        <v>1</v>
      </c>
      <c r="BYP22" s="63">
        <v>1</v>
      </c>
      <c r="BYS22" s="63">
        <v>13</v>
      </c>
      <c r="BYT22" s="63">
        <v>12</v>
      </c>
      <c r="BYU22" s="63">
        <v>0</v>
      </c>
      <c r="BYV22" s="63">
        <v>0</v>
      </c>
      <c r="BYW22" s="63">
        <v>3</v>
      </c>
      <c r="BYY22" s="63">
        <v>0</v>
      </c>
      <c r="BZL22" s="63">
        <v>0</v>
      </c>
      <c r="BZM22" s="63">
        <v>500</v>
      </c>
      <c r="BZN22" s="63">
        <v>3</v>
      </c>
      <c r="BZQ22" s="63">
        <v>1</v>
      </c>
      <c r="BZS22" s="63">
        <v>2</v>
      </c>
      <c r="BZT22" s="63">
        <v>0</v>
      </c>
      <c r="BZU22" s="63">
        <v>0</v>
      </c>
      <c r="BZV22" s="63">
        <v>999</v>
      </c>
      <c r="BZW22" s="63">
        <v>4</v>
      </c>
      <c r="BZY22" s="63">
        <v>100</v>
      </c>
      <c r="BZZ22" s="63">
        <v>1</v>
      </c>
      <c r="CAC22" s="63">
        <v>1</v>
      </c>
      <c r="CAD22" s="63">
        <v>28</v>
      </c>
      <c r="CAE22" s="63">
        <v>999</v>
      </c>
      <c r="CAF22" s="63">
        <v>0</v>
      </c>
      <c r="CAG22" s="63">
        <v>0</v>
      </c>
      <c r="CAH22" s="63">
        <v>5</v>
      </c>
      <c r="DFD22" s="63">
        <v>300</v>
      </c>
      <c r="DFE22" s="63">
        <v>1</v>
      </c>
      <c r="DFH22" s="63">
        <v>1</v>
      </c>
      <c r="DFI22" s="63">
        <v>13</v>
      </c>
      <c r="DFJ22" s="63">
        <v>12</v>
      </c>
      <c r="DFK22" s="63">
        <v>0</v>
      </c>
      <c r="DFL22" s="63">
        <v>0</v>
      </c>
      <c r="DFM22" s="63">
        <v>3</v>
      </c>
      <c r="DJK22" s="63">
        <v>10</v>
      </c>
      <c r="DJL22" s="63">
        <v>0.5</v>
      </c>
      <c r="DJO22" s="63">
        <v>1</v>
      </c>
      <c r="DJP22" s="63">
        <v>28</v>
      </c>
      <c r="DJQ22" s="63">
        <v>999</v>
      </c>
      <c r="DJR22" s="63">
        <v>0</v>
      </c>
      <c r="DJS22" s="63">
        <v>0</v>
      </c>
      <c r="DJT22" s="63">
        <v>6</v>
      </c>
      <c r="GIE22" s="63">
        <v>10</v>
      </c>
      <c r="GIF22" s="63">
        <v>4</v>
      </c>
      <c r="GII22" s="63">
        <v>1</v>
      </c>
      <c r="GIJ22" s="63">
        <v>2</v>
      </c>
      <c r="GIK22" s="63">
        <v>26</v>
      </c>
      <c r="GIL22" s="63">
        <v>0</v>
      </c>
      <c r="GIM22" s="63">
        <v>0</v>
      </c>
      <c r="GIN22" s="63">
        <v>5</v>
      </c>
      <c r="GYE22" s="63">
        <v>1</v>
      </c>
      <c r="GYL22" s="63">
        <v>1</v>
      </c>
      <c r="HEE22" s="63">
        <v>1</v>
      </c>
      <c r="HFE22" s="63">
        <v>1</v>
      </c>
      <c r="HGG22" s="63">
        <v>1</v>
      </c>
      <c r="HGY22" s="63">
        <v>1</v>
      </c>
      <c r="HHA22" s="63">
        <v>1</v>
      </c>
    </row>
    <row r="23" spans="1:2984 3117:4093 4097:4980 5166:5792" s="63" customFormat="1" x14ac:dyDescent="0.25">
      <c r="A23" s="63">
        <v>99000892</v>
      </c>
      <c r="B23" s="89" t="s">
        <v>4190</v>
      </c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1"/>
      <c r="EH23" s="91"/>
      <c r="EI23" s="91"/>
      <c r="EJ23" s="91"/>
      <c r="EK23" s="91"/>
      <c r="EL23" s="91"/>
      <c r="EM23" s="91"/>
      <c r="EN23" s="91"/>
      <c r="EO23" s="91"/>
      <c r="EP23" s="91"/>
      <c r="EQ23" s="91"/>
      <c r="ER23" s="91"/>
      <c r="ES23" s="91"/>
      <c r="ET23" s="91"/>
      <c r="EU23" s="91"/>
      <c r="EV23" s="91"/>
      <c r="EW23" s="91"/>
      <c r="EX23" s="91"/>
      <c r="EY23" s="91"/>
      <c r="EZ23" s="91"/>
      <c r="FA23" s="91"/>
      <c r="FB23" s="91"/>
      <c r="FC23" s="91"/>
      <c r="FD23" s="91"/>
      <c r="FE23" s="91"/>
      <c r="FF23" s="91"/>
      <c r="FG23" s="91"/>
      <c r="FH23" s="91"/>
      <c r="FI23" s="91"/>
      <c r="FJ23" s="91"/>
      <c r="FK23" s="91"/>
      <c r="FL23" s="91"/>
      <c r="FM23" s="91"/>
      <c r="FN23" s="91"/>
      <c r="FO23" s="91"/>
      <c r="FP23" s="91"/>
      <c r="FQ23" s="91"/>
      <c r="FR23" s="91"/>
      <c r="FS23" s="91"/>
      <c r="FT23" s="91"/>
      <c r="FU23" s="91"/>
      <c r="FV23" s="91"/>
      <c r="FW23" s="91"/>
      <c r="FX23" s="91"/>
      <c r="FY23" s="91"/>
      <c r="FZ23" s="91"/>
      <c r="GA23" s="91"/>
      <c r="GB23" s="91"/>
      <c r="GC23" s="91"/>
      <c r="GD23" s="91"/>
      <c r="GE23" s="91"/>
      <c r="GF23" s="91"/>
      <c r="GG23" s="91"/>
      <c r="GH23" s="91"/>
      <c r="GI23" s="91"/>
      <c r="GJ23" s="91"/>
      <c r="GK23" s="91"/>
      <c r="GL23" s="91"/>
      <c r="GM23" s="91"/>
      <c r="GN23" s="91"/>
      <c r="GO23" s="91"/>
      <c r="GP23" s="91"/>
      <c r="GQ23" s="91"/>
      <c r="GR23" s="91"/>
      <c r="GS23" s="91"/>
      <c r="GT23" s="91"/>
      <c r="GU23" s="91"/>
      <c r="GV23" s="91"/>
      <c r="GW23" s="91"/>
      <c r="GX23" s="92"/>
      <c r="GY23" s="92"/>
      <c r="GZ23" s="92"/>
      <c r="HA23" s="92"/>
      <c r="HB23" s="92"/>
      <c r="HC23" s="92"/>
      <c r="HD23" s="92"/>
      <c r="HE23" s="92"/>
      <c r="HF23" s="92"/>
      <c r="HG23" s="92"/>
      <c r="HH23" s="92"/>
      <c r="HI23" s="92"/>
      <c r="HJ23" s="92"/>
      <c r="HK23" s="92"/>
      <c r="HL23" s="92"/>
      <c r="HM23" s="92"/>
      <c r="HN23" s="92"/>
      <c r="HO23" s="92"/>
      <c r="HP23" s="92"/>
      <c r="HQ23" s="91"/>
      <c r="HR23" s="91"/>
      <c r="HS23" s="91"/>
      <c r="HT23" s="91"/>
      <c r="HU23" s="91"/>
      <c r="HV23" s="91"/>
      <c r="HW23" s="91"/>
      <c r="HX23" s="91"/>
      <c r="HY23" s="91"/>
      <c r="HZ23" s="91"/>
      <c r="IA23" s="91"/>
      <c r="IB23" s="91"/>
      <c r="IC23" s="91"/>
      <c r="ID23" s="91"/>
      <c r="IE23" s="91"/>
      <c r="IF23" s="91"/>
      <c r="IG23" s="91"/>
      <c r="IH23" s="91"/>
      <c r="II23" s="91"/>
      <c r="IJ23" s="91"/>
      <c r="IK23" s="91"/>
      <c r="IL23" s="91"/>
      <c r="IM23" s="91"/>
      <c r="IN23" s="91"/>
      <c r="IO23" s="91"/>
      <c r="IP23" s="91"/>
      <c r="IQ23" s="91"/>
      <c r="IR23" s="91"/>
      <c r="IS23" s="91"/>
      <c r="IT23" s="91"/>
      <c r="IU23" s="91"/>
      <c r="IV23" s="91"/>
      <c r="IW23" s="91"/>
      <c r="IX23" s="91"/>
      <c r="JA23" s="91"/>
      <c r="JB23" s="91"/>
      <c r="JC23" s="91"/>
      <c r="JD23" s="91"/>
      <c r="JE23" s="91"/>
      <c r="JF23" s="91"/>
      <c r="JG23" s="91"/>
      <c r="JH23" s="91"/>
      <c r="JI23" s="91"/>
      <c r="JJ23" s="91"/>
      <c r="JK23" s="91"/>
      <c r="JL23" s="91"/>
      <c r="JM23" s="91"/>
      <c r="JN23" s="91"/>
      <c r="JO23" s="91"/>
      <c r="JP23" s="91"/>
      <c r="JQ23" s="91"/>
      <c r="JR23" s="63">
        <v>65</v>
      </c>
      <c r="JS23" s="91"/>
      <c r="JT23" s="91"/>
      <c r="JU23" s="91"/>
      <c r="JV23" s="91"/>
      <c r="JW23" s="91"/>
      <c r="JX23" s="91"/>
      <c r="JY23" s="91"/>
      <c r="JZ23" s="91"/>
      <c r="KA23" s="91"/>
      <c r="KB23" s="91"/>
      <c r="KC23" s="91"/>
      <c r="KD23" s="91"/>
      <c r="KE23" s="91"/>
      <c r="KF23" s="91"/>
      <c r="KG23" s="91"/>
      <c r="KH23" s="91"/>
      <c r="KI23" s="91"/>
      <c r="KJ23" s="91"/>
      <c r="KK23" s="91"/>
      <c r="KL23" s="91"/>
      <c r="KM23" s="91"/>
      <c r="KN23" s="91"/>
      <c r="KO23" s="91"/>
      <c r="KP23" s="91"/>
      <c r="KQ23" s="91"/>
      <c r="KR23" s="91"/>
      <c r="KS23" s="91"/>
      <c r="KT23" s="91"/>
      <c r="KU23" s="91"/>
      <c r="KV23" s="91"/>
      <c r="KW23" s="91"/>
      <c r="KX23" s="91"/>
      <c r="KY23" s="91"/>
      <c r="KZ23" s="91"/>
      <c r="LA23" s="91"/>
      <c r="LB23" s="91"/>
      <c r="LC23" s="91"/>
      <c r="LD23" s="91"/>
      <c r="LE23" s="91"/>
      <c r="LF23" s="91"/>
      <c r="LG23" s="91"/>
      <c r="LH23" s="91"/>
      <c r="LI23" s="91"/>
      <c r="LJ23" s="91"/>
      <c r="LK23" s="91"/>
      <c r="LL23" s="91"/>
      <c r="LM23" s="91"/>
      <c r="LN23" s="91"/>
      <c r="LO23" s="91"/>
      <c r="LP23" s="91"/>
      <c r="LQ23" s="91"/>
      <c r="LR23" s="91"/>
      <c r="LS23" s="91"/>
      <c r="LT23" s="91"/>
      <c r="LU23" s="91"/>
      <c r="LV23" s="91"/>
      <c r="LW23" s="91"/>
      <c r="LX23" s="91"/>
      <c r="LY23" s="91"/>
      <c r="LZ23" s="91"/>
      <c r="MA23" s="91"/>
      <c r="MB23" s="91"/>
      <c r="MC23" s="91"/>
      <c r="MD23" s="91"/>
      <c r="ME23" s="91"/>
      <c r="MF23" s="91"/>
      <c r="MG23" s="91"/>
      <c r="MH23" s="91"/>
      <c r="MI23" s="91"/>
      <c r="MJ23" s="91"/>
      <c r="MK23" s="91"/>
      <c r="ML23" s="91"/>
      <c r="MM23" s="91"/>
      <c r="MN23" s="91"/>
      <c r="MO23" s="91"/>
      <c r="MP23" s="91"/>
      <c r="MQ23" s="91"/>
      <c r="MR23" s="91"/>
      <c r="MS23" s="91"/>
      <c r="MT23" s="91"/>
      <c r="MU23" s="91"/>
      <c r="MV23" s="91"/>
      <c r="MW23" s="91"/>
      <c r="MX23" s="91"/>
      <c r="MY23" s="91"/>
      <c r="MZ23" s="91"/>
      <c r="NA23" s="91"/>
      <c r="NB23" s="91"/>
      <c r="NC23" s="91"/>
      <c r="ND23" s="91"/>
      <c r="NE23" s="91"/>
      <c r="NF23" s="91"/>
      <c r="NG23" s="63">
        <v>65</v>
      </c>
      <c r="NH23" s="91"/>
      <c r="NI23" s="91"/>
      <c r="NJ23" s="91"/>
      <c r="NK23" s="91"/>
      <c r="NL23" s="91"/>
      <c r="NM23" s="91"/>
      <c r="NN23" s="91"/>
      <c r="NO23" s="91"/>
      <c r="NP23" s="91"/>
      <c r="NQ23" s="91"/>
      <c r="NR23" s="91"/>
      <c r="NS23" s="91"/>
      <c r="NT23" s="91"/>
      <c r="NU23" s="91"/>
      <c r="NV23" s="91"/>
      <c r="NW23" s="91"/>
      <c r="NX23" s="91"/>
      <c r="NY23" s="91"/>
      <c r="NZ23" s="91"/>
      <c r="OA23" s="91"/>
      <c r="OB23" s="91"/>
      <c r="OC23" s="91"/>
      <c r="OD23" s="91"/>
      <c r="OE23" s="91"/>
      <c r="OF23" s="91"/>
      <c r="OG23" s="91"/>
      <c r="OH23" s="91"/>
      <c r="OI23" s="91"/>
      <c r="OJ23" s="91"/>
      <c r="OK23" s="91"/>
      <c r="OL23" s="91"/>
      <c r="OM23" s="91"/>
      <c r="ON23" s="91"/>
      <c r="OO23" s="91"/>
      <c r="OP23" s="91"/>
      <c r="OQ23" s="91"/>
      <c r="OR23" s="91"/>
      <c r="OS23" s="91"/>
      <c r="OT23" s="91"/>
      <c r="OU23" s="91"/>
      <c r="OV23" s="91"/>
      <c r="OW23" s="91"/>
      <c r="OX23" s="91"/>
      <c r="OY23" s="91"/>
      <c r="OZ23" s="91"/>
      <c r="PA23" s="91"/>
      <c r="PB23" s="91"/>
      <c r="PC23" s="91"/>
      <c r="PD23" s="91"/>
      <c r="PE23" s="91"/>
      <c r="PF23" s="91"/>
      <c r="PG23" s="91"/>
      <c r="PH23" s="91"/>
      <c r="PI23" s="91"/>
      <c r="PJ23" s="91"/>
      <c r="PK23" s="91"/>
      <c r="PL23" s="91"/>
      <c r="PM23" s="91"/>
      <c r="PN23" s="91"/>
      <c r="PO23" s="91"/>
      <c r="PP23" s="91"/>
      <c r="PQ23" s="91"/>
      <c r="PR23" s="91"/>
      <c r="PS23" s="91"/>
      <c r="PT23" s="91"/>
      <c r="PU23" s="91"/>
      <c r="PV23" s="91"/>
      <c r="PW23" s="91"/>
      <c r="PX23" s="91"/>
      <c r="PY23" s="91"/>
      <c r="PZ23" s="91"/>
      <c r="QA23" s="91"/>
      <c r="QB23" s="91"/>
      <c r="QC23" s="91"/>
      <c r="QD23" s="91"/>
      <c r="QE23" s="91"/>
      <c r="QF23" s="91"/>
      <c r="QG23" s="91"/>
      <c r="QH23" s="91"/>
      <c r="QI23" s="91"/>
      <c r="QJ23" s="91"/>
      <c r="QK23" s="91"/>
      <c r="QL23" s="91"/>
      <c r="QM23" s="91"/>
      <c r="QN23" s="91"/>
      <c r="QO23" s="91"/>
      <c r="QP23" s="91"/>
      <c r="QQ23" s="91"/>
      <c r="QR23" s="91"/>
      <c r="QS23" s="91"/>
      <c r="QT23" s="91"/>
      <c r="QU23" s="63">
        <v>6.93</v>
      </c>
      <c r="QV23" s="91"/>
      <c r="QW23" s="91"/>
      <c r="QX23" s="91"/>
      <c r="QY23" s="91"/>
      <c r="QZ23" s="91"/>
      <c r="RA23" s="91"/>
      <c r="RB23" s="91"/>
      <c r="RC23" s="91"/>
      <c r="RD23" s="91"/>
      <c r="RE23" s="91"/>
      <c r="RF23" s="91"/>
      <c r="RG23" s="91"/>
      <c r="RH23" s="91"/>
      <c r="RI23" s="91"/>
      <c r="RJ23" s="91"/>
      <c r="RK23" s="91"/>
      <c r="RL23" s="91"/>
      <c r="RM23" s="91"/>
      <c r="RN23" s="91"/>
      <c r="RO23" s="91"/>
      <c r="RP23" s="91"/>
      <c r="RQ23" s="91"/>
      <c r="RR23" s="91"/>
      <c r="RS23" s="91"/>
      <c r="RT23" s="91"/>
      <c r="RU23" s="91"/>
      <c r="RV23" s="91"/>
      <c r="RW23" s="91"/>
      <c r="RX23" s="91"/>
      <c r="RY23" s="91"/>
      <c r="RZ23" s="91"/>
      <c r="SA23" s="91"/>
      <c r="SB23" s="91"/>
      <c r="SC23" s="91"/>
      <c r="SD23" s="91"/>
      <c r="SE23" s="91"/>
      <c r="SF23" s="91"/>
      <c r="SG23" s="91"/>
      <c r="SH23" s="91"/>
      <c r="SI23" s="91"/>
      <c r="SJ23" s="91"/>
      <c r="SK23" s="91"/>
      <c r="SL23" s="91"/>
      <c r="SM23" s="91"/>
      <c r="SN23" s="91"/>
      <c r="SO23" s="91"/>
      <c r="SP23" s="91"/>
      <c r="SQ23" s="91"/>
      <c r="SR23" s="91"/>
      <c r="SS23" s="91"/>
      <c r="ST23" s="91"/>
      <c r="SU23" s="91"/>
      <c r="SV23" s="91"/>
      <c r="SW23" s="91"/>
      <c r="SX23" s="91"/>
      <c r="SY23" s="91"/>
      <c r="SZ23" s="91"/>
      <c r="TA23" s="91"/>
      <c r="TB23" s="91"/>
      <c r="TC23" s="93"/>
      <c r="TD23" s="93"/>
      <c r="TE23" s="93"/>
      <c r="TF23" s="93"/>
      <c r="TG23" s="93"/>
      <c r="TH23" s="93"/>
      <c r="TI23" s="93"/>
      <c r="TJ23" s="93"/>
      <c r="TK23" s="93"/>
      <c r="TL23" s="93"/>
      <c r="TN23" s="91"/>
      <c r="TO23" s="91"/>
      <c r="TP23" s="91"/>
      <c r="TQ23" s="91"/>
      <c r="TR23" s="91"/>
      <c r="TS23" s="91"/>
      <c r="TT23" s="91"/>
      <c r="TU23" s="91"/>
      <c r="TV23" s="91"/>
      <c r="TW23" s="91"/>
      <c r="TX23" s="91"/>
      <c r="TY23" s="91"/>
      <c r="TZ23" s="91"/>
      <c r="UA23" s="91"/>
      <c r="UB23" s="91"/>
      <c r="UC23" s="91"/>
      <c r="UD23" s="91"/>
      <c r="UE23" s="91"/>
      <c r="UF23" s="91"/>
      <c r="UG23" s="91"/>
      <c r="UH23" s="91"/>
      <c r="UI23" s="91"/>
      <c r="UJ23" s="91"/>
      <c r="UK23" s="91"/>
      <c r="UL23" s="91"/>
      <c r="UM23" s="91"/>
      <c r="UN23" s="91"/>
      <c r="UO23" s="91"/>
      <c r="UP23" s="91"/>
      <c r="UQ23" s="91"/>
      <c r="UR23" s="91"/>
      <c r="US23" s="91"/>
      <c r="UT23" s="91"/>
      <c r="UU23" s="91"/>
      <c r="UV23" s="91"/>
      <c r="UW23" s="91"/>
      <c r="UX23" s="91"/>
      <c r="UY23" s="91"/>
      <c r="UZ23" s="91"/>
      <c r="VA23" s="91"/>
      <c r="VB23" s="91"/>
      <c r="VC23" s="91"/>
      <c r="VD23" s="91"/>
      <c r="VE23" s="91"/>
      <c r="VF23" s="91"/>
      <c r="VG23" s="91"/>
      <c r="VH23" s="91"/>
      <c r="VI23" s="91"/>
      <c r="VJ23" s="91"/>
      <c r="VK23" s="91"/>
      <c r="VL23" s="91"/>
      <c r="VM23" s="91"/>
      <c r="VN23" s="91"/>
      <c r="VO23" s="91"/>
      <c r="VP23" s="91"/>
      <c r="VQ23" s="91"/>
      <c r="VR23" s="91"/>
      <c r="VS23" s="91"/>
      <c r="VT23" s="91"/>
      <c r="VU23" s="91"/>
      <c r="VV23" s="91"/>
      <c r="VW23" s="91"/>
      <c r="VX23" s="91"/>
      <c r="VY23" s="91"/>
      <c r="VZ23" s="91"/>
      <c r="WA23" s="91"/>
      <c r="WB23" s="91"/>
      <c r="WC23" s="91"/>
      <c r="WD23" s="91"/>
      <c r="WE23" s="91"/>
      <c r="WF23" s="91"/>
      <c r="WG23" s="91"/>
      <c r="WH23" s="91"/>
      <c r="WI23" s="91"/>
      <c r="WJ23" s="91"/>
      <c r="WK23" s="91"/>
      <c r="WL23" s="91"/>
      <c r="WM23" s="91"/>
      <c r="WN23" s="91"/>
      <c r="WO23" s="91"/>
      <c r="WP23" s="91"/>
      <c r="WQ23" s="91"/>
      <c r="WR23" s="91"/>
      <c r="WS23" s="91"/>
      <c r="WT23" s="91"/>
      <c r="WU23" s="91"/>
      <c r="WV23" s="91"/>
      <c r="WW23" s="91"/>
      <c r="WX23" s="91"/>
      <c r="WY23" s="91"/>
      <c r="WZ23" s="91"/>
      <c r="XA23" s="91"/>
      <c r="XB23" s="91"/>
      <c r="XC23" s="91"/>
      <c r="XD23" s="91"/>
      <c r="XE23" s="91"/>
      <c r="XF23" s="91"/>
      <c r="XG23" s="91"/>
      <c r="XH23" s="91"/>
      <c r="XI23" s="91"/>
      <c r="XJ23" s="91"/>
      <c r="XK23" s="91"/>
      <c r="XL23" s="91"/>
      <c r="XM23" s="91"/>
      <c r="XN23" s="91"/>
      <c r="XO23" s="91"/>
      <c r="XP23" s="91"/>
      <c r="XQ23" s="91"/>
      <c r="XR23" s="91"/>
      <c r="XS23" s="91"/>
      <c r="XT23" s="91"/>
      <c r="XU23" s="91"/>
      <c r="XV23" s="91"/>
      <c r="XW23" s="91"/>
      <c r="XX23" s="91"/>
      <c r="XY23" s="91"/>
      <c r="XZ23" s="91"/>
      <c r="YA23" s="91"/>
      <c r="YB23" s="91"/>
      <c r="YC23" s="91"/>
      <c r="YD23" s="91"/>
      <c r="YE23" s="91"/>
      <c r="YF23" s="91"/>
      <c r="YG23" s="91"/>
      <c r="YH23" s="91"/>
      <c r="YI23" s="91"/>
      <c r="YJ23" s="91"/>
      <c r="YK23" s="91"/>
      <c r="YL23" s="91"/>
      <c r="YM23" s="91"/>
      <c r="YN23" s="91"/>
      <c r="YO23" s="91"/>
      <c r="YP23" s="91"/>
      <c r="YQ23" s="91"/>
      <c r="YR23" s="91"/>
      <c r="YS23" s="91"/>
      <c r="YT23" s="91"/>
      <c r="YU23" s="91"/>
      <c r="YV23" s="91"/>
      <c r="YW23" s="91"/>
      <c r="YX23" s="91"/>
      <c r="YY23" s="91"/>
      <c r="YZ23" s="91"/>
      <c r="ZA23" s="91"/>
      <c r="ZB23" s="91"/>
      <c r="ZC23" s="91"/>
      <c r="ZD23" s="91"/>
      <c r="ZE23" s="91"/>
      <c r="ZF23" s="91"/>
      <c r="ZG23" s="91"/>
      <c r="ZH23" s="91"/>
      <c r="ZI23" s="91"/>
      <c r="ZJ23" s="91"/>
      <c r="ZK23" s="91"/>
      <c r="ZL23" s="91"/>
      <c r="ZM23" s="91"/>
      <c r="ZN23" s="91"/>
      <c r="ZO23" s="91"/>
      <c r="ZP23" s="91"/>
      <c r="ZQ23" s="91"/>
      <c r="ZR23" s="92"/>
      <c r="ZS23" s="92"/>
      <c r="ZT23" s="92"/>
      <c r="ZU23" s="92"/>
      <c r="ZV23" s="92"/>
      <c r="ZW23" s="92"/>
      <c r="ZX23" s="92"/>
      <c r="ZY23" s="92"/>
      <c r="ZZ23" s="92"/>
      <c r="AAA23" s="92"/>
      <c r="AAB23" s="92"/>
      <c r="AAC23" s="92"/>
      <c r="AAD23" s="92"/>
      <c r="AAE23" s="92"/>
      <c r="AAF23" s="92"/>
      <c r="AAG23" s="92"/>
      <c r="AAH23" s="92"/>
      <c r="AAI23" s="92"/>
      <c r="AAJ23" s="92"/>
      <c r="AAK23" s="92"/>
      <c r="AAL23" s="92"/>
      <c r="AAM23" s="92"/>
      <c r="AAN23" s="92"/>
      <c r="AAO23" s="92"/>
      <c r="AAP23" s="92"/>
      <c r="AAQ23" s="92"/>
      <c r="AAR23" s="92"/>
      <c r="AAS23" s="92"/>
      <c r="AAT23" s="92"/>
      <c r="AAU23" s="92"/>
      <c r="AAV23" s="92"/>
      <c r="AAW23" s="92"/>
      <c r="AAX23" s="91"/>
      <c r="AAY23" s="91"/>
      <c r="AAZ23" s="91"/>
      <c r="ABA23" s="91"/>
      <c r="ABB23" s="91"/>
      <c r="ABC23" s="91"/>
      <c r="ABD23" s="91"/>
      <c r="ABE23" s="91"/>
      <c r="ABF23" s="91"/>
      <c r="ABG23" s="91"/>
      <c r="ABH23" s="91"/>
      <c r="ABI23" s="91"/>
      <c r="ABJ23" s="91"/>
      <c r="ABK23" s="91"/>
      <c r="ABL23" s="91"/>
      <c r="ABM23" s="91"/>
      <c r="ABN23" s="91"/>
      <c r="ABO23" s="91"/>
      <c r="ABP23" s="91"/>
      <c r="ABQ23" s="91"/>
      <c r="ABR23" s="91"/>
      <c r="ABS23" s="91"/>
      <c r="ABT23" s="91"/>
      <c r="ABU23" s="91"/>
      <c r="ABV23" s="91"/>
      <c r="ABW23" s="91"/>
      <c r="ABX23" s="91"/>
      <c r="ABY23" s="91"/>
      <c r="ABZ23" s="91"/>
      <c r="ACA23" s="91"/>
      <c r="ACB23" s="91"/>
      <c r="ACC23" s="91"/>
      <c r="ACD23" s="91"/>
      <c r="ACE23" s="91"/>
      <c r="ACF23" s="91"/>
      <c r="ACG23" s="91"/>
      <c r="ACH23" s="91"/>
      <c r="ACI23" s="91"/>
      <c r="ACJ23" s="91"/>
      <c r="ACK23" s="91"/>
      <c r="ACL23" s="91"/>
      <c r="ACM23" s="91"/>
      <c r="ACN23" s="91"/>
      <c r="ACO23" s="91"/>
      <c r="ACP23" s="91"/>
      <c r="ACQ23" s="91"/>
      <c r="ACR23" s="91"/>
      <c r="ACS23" s="91"/>
      <c r="ACT23" s="91"/>
      <c r="ACU23" s="91"/>
      <c r="ACV23" s="91"/>
      <c r="ACW23" s="91"/>
      <c r="ACX23" s="91"/>
      <c r="ACY23" s="91"/>
      <c r="ACZ23" s="91"/>
      <c r="ADA23" s="91"/>
      <c r="ADB23" s="91"/>
      <c r="ADC23" s="91"/>
      <c r="ADD23" s="91"/>
      <c r="ADE23" s="91"/>
      <c r="ADF23" s="91"/>
      <c r="ADG23" s="91"/>
      <c r="ADH23" s="91"/>
      <c r="ADI23" s="91"/>
      <c r="ADJ23" s="91"/>
      <c r="ADK23" s="91"/>
      <c r="ADL23" s="91"/>
      <c r="ADM23" s="91"/>
      <c r="ADN23" s="91"/>
      <c r="ADO23" s="91"/>
      <c r="ADP23" s="91"/>
      <c r="ADQ23" s="91"/>
      <c r="ADR23" s="91"/>
      <c r="ADS23" s="91"/>
      <c r="ADT23" s="91"/>
      <c r="ADU23" s="91"/>
      <c r="ADV23" s="91"/>
      <c r="ADW23" s="91"/>
      <c r="ADX23" s="91"/>
      <c r="ADY23" s="91"/>
      <c r="ADZ23" s="91"/>
      <c r="AEA23" s="91"/>
      <c r="AEB23" s="91"/>
      <c r="AEC23" s="91"/>
      <c r="AED23" s="91"/>
      <c r="AEE23" s="91"/>
      <c r="AEF23" s="91"/>
      <c r="AEG23" s="91"/>
      <c r="AEH23" s="91"/>
      <c r="AEI23" s="91"/>
      <c r="AEJ23" s="91"/>
      <c r="AEK23" s="91"/>
      <c r="AEL23" s="91"/>
      <c r="AEM23" s="91"/>
      <c r="AEN23" s="91"/>
      <c r="AEO23" s="91"/>
      <c r="AEP23" s="91"/>
      <c r="AEQ23" s="91"/>
      <c r="AER23" s="91"/>
      <c r="AES23" s="91"/>
      <c r="AET23" s="91"/>
      <c r="AEU23" s="92"/>
      <c r="AEV23" s="92"/>
      <c r="AEW23" s="92"/>
      <c r="AEX23" s="92"/>
      <c r="AEY23" s="92"/>
      <c r="AEZ23" s="92"/>
      <c r="AFA23" s="92"/>
      <c r="AFB23" s="92"/>
      <c r="AFC23" s="92"/>
      <c r="AFD23" s="92"/>
      <c r="AFE23" s="92"/>
      <c r="AFF23" s="92"/>
      <c r="AFG23" s="92"/>
      <c r="AFH23" s="92"/>
      <c r="AFI23" s="92"/>
      <c r="AFJ23" s="92"/>
      <c r="AFK23" s="92"/>
      <c r="AFL23" s="92"/>
      <c r="AFM23" s="92"/>
      <c r="AFN23" s="92"/>
      <c r="AFO23" s="92"/>
      <c r="AFP23" s="92"/>
      <c r="AFQ23" s="92"/>
      <c r="AFR23" s="92"/>
      <c r="AFS23" s="92"/>
      <c r="AFT23" s="92"/>
      <c r="AFU23" s="92"/>
      <c r="AFV23" s="92"/>
      <c r="AFW23" s="92"/>
      <c r="AFX23" s="92"/>
      <c r="AFY23" s="92"/>
      <c r="AFZ23" s="92"/>
      <c r="AGA23" s="92"/>
      <c r="AGB23" s="92"/>
      <c r="AGC23" s="92"/>
      <c r="AGD23" s="92"/>
      <c r="AGE23" s="92"/>
      <c r="AGF23" s="92"/>
      <c r="AGG23" s="91"/>
      <c r="AGH23" s="91"/>
      <c r="AGI23" s="91"/>
      <c r="AGJ23" s="91"/>
      <c r="AGK23" s="91"/>
      <c r="AGL23" s="91"/>
      <c r="AGM23" s="91"/>
      <c r="AGN23" s="91"/>
      <c r="AGO23" s="91"/>
      <c r="AGP23" s="91"/>
      <c r="AGQ23" s="91"/>
      <c r="AGR23" s="91"/>
      <c r="AGS23" s="91"/>
      <c r="AGT23" s="91"/>
      <c r="AGU23" s="91"/>
      <c r="AGV23" s="91"/>
      <c r="AGW23" s="91"/>
      <c r="AGX23" s="91"/>
      <c r="AGY23" s="91"/>
      <c r="AGZ23" s="91"/>
      <c r="AHA23" s="91"/>
      <c r="AHB23" s="91"/>
      <c r="AHC23" s="91"/>
      <c r="AHD23" s="91"/>
      <c r="AHE23" s="91"/>
      <c r="AHF23" s="91"/>
      <c r="AHG23" s="91"/>
      <c r="AHH23" s="91"/>
      <c r="AHI23" s="91"/>
      <c r="AHJ23" s="91"/>
      <c r="AHK23" s="91"/>
      <c r="AHL23" s="91"/>
      <c r="AHM23" s="91"/>
      <c r="AHN23" s="91"/>
      <c r="AHO23" s="91"/>
      <c r="AHP23" s="91"/>
      <c r="AHQ23" s="91"/>
      <c r="AHR23" s="91"/>
      <c r="AHS23" s="91"/>
      <c r="AHT23" s="91"/>
      <c r="AHU23" s="91"/>
      <c r="AHV23" s="91"/>
      <c r="AHW23" s="91"/>
      <c r="AHX23" s="91"/>
      <c r="AHY23" s="91"/>
      <c r="AHZ23" s="91"/>
      <c r="AIA23" s="91"/>
      <c r="AIB23" s="91"/>
      <c r="AIC23" s="91"/>
      <c r="AID23" s="91"/>
      <c r="AIE23" s="91"/>
      <c r="AIF23" s="91"/>
      <c r="AIJ23" s="91"/>
      <c r="AIK23" s="91"/>
      <c r="AIL23" s="91"/>
      <c r="AIM23" s="91"/>
      <c r="AIN23" s="91"/>
      <c r="AIO23" s="91"/>
      <c r="AIP23" s="91"/>
      <c r="AIQ23" s="91"/>
      <c r="AIR23" s="91"/>
      <c r="AIS23" s="91"/>
      <c r="AIT23" s="91"/>
      <c r="AIU23" s="91"/>
      <c r="AIV23" s="91"/>
      <c r="AIW23" s="91"/>
      <c r="AIX23" s="91"/>
      <c r="AIY23" s="91"/>
      <c r="AIZ23" s="91"/>
      <c r="AJA23" s="91"/>
      <c r="AJB23" s="91"/>
      <c r="AJC23" s="91"/>
      <c r="AJD23" s="91"/>
      <c r="AJE23" s="91"/>
      <c r="AJF23" s="91"/>
      <c r="AJG23" s="91"/>
      <c r="AJH23" s="91"/>
      <c r="AJI23" s="91"/>
      <c r="AJJ23" s="91"/>
      <c r="AJK23" s="91"/>
      <c r="AJL23" s="91"/>
      <c r="AJM23" s="91"/>
      <c r="AJN23" s="92"/>
      <c r="AJO23" s="92"/>
      <c r="AJP23" s="92"/>
      <c r="AJQ23" s="91"/>
      <c r="AJR23" s="91"/>
      <c r="AJS23" s="91"/>
      <c r="AJT23" s="91"/>
      <c r="AJU23" s="91"/>
      <c r="AJV23" s="91"/>
      <c r="AJW23" s="91"/>
      <c r="AJX23" s="91"/>
      <c r="AJY23" s="91"/>
      <c r="AJZ23" s="91"/>
      <c r="AKA23" s="91"/>
      <c r="AKB23" s="91"/>
      <c r="AKC23" s="91"/>
      <c r="AKD23" s="91"/>
      <c r="AKE23" s="91"/>
      <c r="AKF23" s="91"/>
      <c r="AKG23" s="91"/>
      <c r="AKH23" s="91"/>
      <c r="AKI23" s="91"/>
      <c r="AKJ23" s="91"/>
      <c r="AKK23" s="91"/>
      <c r="AKL23" s="91"/>
      <c r="AKM23" s="91"/>
      <c r="AKN23" s="91"/>
      <c r="AKO23" s="91"/>
      <c r="AKP23" s="91"/>
      <c r="AKQ23" s="91"/>
      <c r="AKR23" s="91"/>
      <c r="AKS23" s="91"/>
      <c r="AKT23" s="91"/>
      <c r="AKU23" s="91"/>
      <c r="AKV23" s="91"/>
      <c r="AKW23" s="91"/>
      <c r="AKZ23" s="91"/>
      <c r="ALA23" s="91"/>
      <c r="ALB23" s="91"/>
      <c r="ALC23" s="91"/>
      <c r="ALD23" s="91"/>
      <c r="ALE23" s="91"/>
      <c r="ALF23" s="91"/>
      <c r="ALG23" s="91"/>
      <c r="ALH23" s="91"/>
      <c r="ALI23" s="91"/>
      <c r="ALJ23" s="91"/>
      <c r="ALK23" s="91"/>
      <c r="ALL23" s="91"/>
      <c r="ALM23" s="91"/>
      <c r="ALN23" s="91"/>
      <c r="ALO23" s="91"/>
      <c r="ALP23" s="91"/>
      <c r="ALQ23" s="91"/>
      <c r="ALR23" s="91"/>
      <c r="ALS23" s="91"/>
      <c r="ALT23" s="91"/>
      <c r="ALU23" s="91"/>
      <c r="ALV23" s="91"/>
      <c r="ALW23" s="91"/>
      <c r="ALX23" s="91"/>
      <c r="ALY23" s="91"/>
      <c r="ALZ23" s="91"/>
      <c r="AMA23" s="91"/>
      <c r="AMB23" s="91"/>
      <c r="AMC23" s="91"/>
      <c r="AMD23" s="91"/>
      <c r="AME23" s="91"/>
      <c r="AMF23" s="91"/>
      <c r="AMG23" s="91"/>
      <c r="AMH23" s="91"/>
      <c r="AMI23" s="91"/>
      <c r="AMJ23" s="91"/>
      <c r="AMK23" s="91"/>
      <c r="AML23" s="91"/>
      <c r="AMM23" s="91"/>
      <c r="AMN23" s="91"/>
      <c r="AMO23" s="91"/>
      <c r="AMP23" s="91"/>
      <c r="AMQ23" s="91"/>
      <c r="AMR23" s="91"/>
      <c r="AMS23" s="91"/>
      <c r="AMT23" s="91"/>
      <c r="AMU23" s="91"/>
      <c r="AMV23" s="91"/>
      <c r="AMW23" s="91"/>
      <c r="AMX23" s="91"/>
      <c r="AMY23" s="91"/>
      <c r="AMZ23" s="91"/>
      <c r="ANA23" s="91"/>
      <c r="ANB23" s="91"/>
      <c r="ANC23" s="91"/>
      <c r="AND23" s="91"/>
      <c r="ANE23" s="91"/>
      <c r="ANF23" s="91"/>
      <c r="ANG23" s="91"/>
      <c r="ANH23" s="91"/>
      <c r="ANI23" s="91"/>
      <c r="ANJ23" s="91"/>
      <c r="ANK23" s="91"/>
      <c r="ANL23" s="91"/>
      <c r="ANM23" s="91"/>
      <c r="ANN23" s="91"/>
      <c r="ANO23" s="91"/>
      <c r="ANP23" s="91"/>
      <c r="ANQ23" s="91"/>
      <c r="ANR23" s="91"/>
      <c r="ANS23" s="91"/>
      <c r="ANT23" s="91"/>
      <c r="ANU23" s="91"/>
      <c r="ANV23" s="91"/>
      <c r="ANW23" s="91"/>
      <c r="ANX23" s="91"/>
      <c r="ANY23" s="91"/>
      <c r="ANZ23" s="91"/>
      <c r="AOA23" s="91"/>
      <c r="AOB23" s="91"/>
      <c r="AOC23" s="91"/>
      <c r="AOD23" s="91"/>
      <c r="AOE23" s="91"/>
      <c r="AOF23" s="91"/>
      <c r="AOG23" s="91"/>
      <c r="AOH23" s="91"/>
      <c r="AOI23" s="91"/>
      <c r="AOJ23" s="91"/>
      <c r="AOK23" s="91"/>
      <c r="AOL23" s="91"/>
      <c r="AOM23" s="91"/>
      <c r="AON23" s="91"/>
      <c r="AOO23" s="91"/>
      <c r="AOP23" s="91"/>
      <c r="AOQ23" s="91"/>
      <c r="AOR23" s="91"/>
      <c r="AOS23" s="91"/>
      <c r="AOT23" s="91"/>
      <c r="AOU23" s="91"/>
      <c r="AOV23" s="91"/>
      <c r="AOW23" s="91"/>
      <c r="AOX23" s="91"/>
      <c r="AOY23" s="91"/>
      <c r="AOZ23" s="91"/>
      <c r="APA23" s="91"/>
      <c r="APB23" s="91"/>
      <c r="APC23" s="91"/>
      <c r="APD23" s="91"/>
      <c r="APE23" s="91"/>
      <c r="APF23" s="91"/>
      <c r="APG23" s="91"/>
      <c r="APH23" s="91"/>
      <c r="API23" s="91"/>
      <c r="APJ23" s="91"/>
      <c r="APK23" s="91"/>
      <c r="APL23" s="91"/>
      <c r="APM23" s="91"/>
      <c r="APN23" s="91"/>
      <c r="APO23" s="91"/>
      <c r="APP23" s="91"/>
      <c r="APQ23" s="91"/>
      <c r="APR23" s="91"/>
      <c r="APS23" s="91"/>
      <c r="APT23" s="91"/>
      <c r="APU23" s="91"/>
      <c r="APV23" s="91"/>
      <c r="APW23" s="91"/>
      <c r="APX23" s="91"/>
      <c r="APY23" s="91"/>
      <c r="APZ23" s="91"/>
      <c r="AQA23" s="91"/>
      <c r="AQB23" s="91"/>
      <c r="AQC23" s="91"/>
      <c r="AQD23" s="91"/>
      <c r="AQE23" s="91"/>
      <c r="ASD23" s="91"/>
      <c r="ASE23" s="91"/>
      <c r="ASF23" s="91"/>
      <c r="ASG23" s="91"/>
      <c r="ASH23" s="91"/>
      <c r="ASI23" s="91"/>
      <c r="ASJ23" s="91"/>
      <c r="ASK23" s="91"/>
      <c r="ASL23" s="91"/>
      <c r="ASM23" s="91"/>
      <c r="ASN23" s="91"/>
      <c r="ASO23" s="91"/>
      <c r="ASP23" s="91"/>
      <c r="ASQ23" s="91"/>
      <c r="ASR23" s="91"/>
      <c r="ASS23" s="91"/>
      <c r="AST23" s="91"/>
      <c r="ASU23" s="91"/>
      <c r="ASV23" s="91"/>
      <c r="ASW23" s="91"/>
      <c r="ASX23" s="91"/>
      <c r="ASY23" s="91"/>
      <c r="ASZ23" s="91"/>
      <c r="ATA23" s="91"/>
      <c r="ATB23" s="91"/>
      <c r="ATC23" s="91"/>
      <c r="ATD23" s="91"/>
      <c r="ATE23" s="91"/>
      <c r="ATF23" s="91"/>
      <c r="ATG23" s="91"/>
      <c r="ATH23" s="91"/>
      <c r="ATI23" s="91"/>
      <c r="ATJ23" s="91"/>
      <c r="ATK23" s="91"/>
      <c r="ATL23" s="91"/>
      <c r="ATM23" s="91"/>
      <c r="ATN23" s="91"/>
      <c r="ATO23" s="91"/>
      <c r="ATP23" s="91"/>
      <c r="ATQ23" s="92"/>
      <c r="ATR23" s="92"/>
      <c r="ATS23" s="92"/>
      <c r="ATT23" s="92"/>
      <c r="ATU23" s="92"/>
      <c r="ATV23" s="91"/>
      <c r="ATW23" s="91"/>
      <c r="ATX23" s="91"/>
      <c r="ATY23" s="91"/>
      <c r="ATZ23" s="91"/>
      <c r="AUA23" s="91"/>
      <c r="AUB23" s="91"/>
      <c r="AUC23" s="91"/>
      <c r="AUD23" s="91"/>
      <c r="AUE23" s="91"/>
      <c r="AUF23" s="91"/>
      <c r="AUG23" s="91"/>
      <c r="AUH23" s="91"/>
      <c r="AUI23" s="91"/>
      <c r="AUJ23" s="91"/>
      <c r="AUK23" s="91"/>
      <c r="AUL23" s="91"/>
      <c r="AUM23" s="91"/>
      <c r="AUN23" s="91"/>
      <c r="AUO23" s="91"/>
      <c r="AUP23" s="91"/>
      <c r="AUQ23" s="91"/>
      <c r="AUR23" s="91"/>
      <c r="AUS23" s="91"/>
      <c r="AUT23" s="91"/>
      <c r="AUU23" s="91"/>
      <c r="AUV23" s="91"/>
      <c r="AUW23" s="91"/>
      <c r="AUX23" s="91"/>
      <c r="AUY23" s="91"/>
      <c r="AUZ23" s="91"/>
      <c r="AVA23" s="91"/>
      <c r="AVB23" s="91"/>
      <c r="AVC23" s="91"/>
      <c r="AVD23" s="91"/>
      <c r="AVE23" s="91"/>
      <c r="AVF23" s="91"/>
      <c r="AVG23" s="91"/>
      <c r="AVH23" s="91"/>
      <c r="AVI23" s="91"/>
      <c r="AVJ23" s="91"/>
      <c r="AVK23" s="91"/>
      <c r="AVL23" s="91"/>
      <c r="AVM23" s="91"/>
      <c r="AVN23" s="91"/>
      <c r="AVO23" s="91"/>
      <c r="AVP23" s="91"/>
      <c r="AVQ23" s="91"/>
      <c r="AVR23" s="91"/>
      <c r="AVS23" s="91"/>
      <c r="AVT23" s="91"/>
      <c r="AVU23" s="91"/>
      <c r="AVV23" s="91"/>
      <c r="AVW23" s="91"/>
      <c r="AVX23" s="91"/>
      <c r="AVY23" s="91"/>
      <c r="AVZ23" s="91"/>
      <c r="AWA23" s="91"/>
      <c r="AWB23" s="91"/>
      <c r="AWC23" s="91"/>
      <c r="AWD23" s="91"/>
      <c r="AWE23" s="91"/>
      <c r="AWF23" s="91"/>
      <c r="AWG23" s="91"/>
      <c r="AWH23" s="91"/>
      <c r="AWI23" s="91"/>
      <c r="AWJ23" s="91"/>
      <c r="AWK23" s="91"/>
      <c r="AWL23" s="91"/>
      <c r="AWM23" s="91"/>
      <c r="AWN23" s="91"/>
      <c r="AWO23" s="91"/>
      <c r="AWP23" s="91"/>
      <c r="AWQ23" s="91"/>
      <c r="AWR23" s="91"/>
      <c r="AWS23" s="91"/>
      <c r="AWT23" s="91"/>
      <c r="AWU23" s="91"/>
      <c r="AWV23" s="91"/>
      <c r="AWW23" s="91"/>
      <c r="AWX23" s="91"/>
      <c r="AWY23" s="91"/>
      <c r="AWZ23" s="91"/>
      <c r="AXA23" s="91"/>
      <c r="AXB23" s="91"/>
      <c r="AXC23" s="91"/>
      <c r="AXD23" s="91"/>
      <c r="AXE23" s="91"/>
      <c r="AXF23" s="91"/>
      <c r="AXG23" s="91"/>
      <c r="AXH23" s="91"/>
      <c r="AXI23" s="91"/>
      <c r="AXJ23" s="91"/>
      <c r="AXK23" s="91"/>
      <c r="AXL23" s="91"/>
      <c r="AXM23" s="91"/>
      <c r="AXN23" s="91"/>
      <c r="AXO23" s="91"/>
      <c r="AXP23" s="91"/>
      <c r="AXQ23" s="91"/>
      <c r="AXR23" s="91"/>
      <c r="AXS23" s="91"/>
      <c r="AXT23" s="91"/>
      <c r="AXU23" s="91"/>
      <c r="AXV23" s="91"/>
      <c r="AXW23" s="91"/>
      <c r="AXX23" s="91"/>
      <c r="AXY23" s="91"/>
      <c r="AXZ23" s="91"/>
      <c r="AYA23" s="91"/>
      <c r="AYB23" s="91"/>
      <c r="AYC23" s="91"/>
      <c r="AYD23" s="91"/>
      <c r="AYE23" s="91"/>
      <c r="AYF23" s="91"/>
      <c r="AYG23" s="91"/>
      <c r="AYH23" s="91"/>
      <c r="AYI23" s="91"/>
      <c r="AYJ23" s="91"/>
      <c r="AYK23" s="91"/>
      <c r="AYL23" s="91"/>
      <c r="AYM23" s="91"/>
      <c r="AYN23" s="91"/>
      <c r="AYO23" s="91"/>
      <c r="AYP23" s="91"/>
      <c r="AYQ23" s="91"/>
      <c r="AYR23" s="91"/>
      <c r="AYS23" s="91"/>
      <c r="AYT23" s="91"/>
      <c r="AYU23" s="91"/>
      <c r="AYV23" s="91"/>
      <c r="AYW23" s="91"/>
      <c r="AYX23" s="91"/>
      <c r="AYY23" s="91"/>
      <c r="AYZ23" s="91"/>
      <c r="AZA23" s="91"/>
      <c r="AZB23" s="91"/>
      <c r="AZC23" s="91"/>
      <c r="AZD23" s="91"/>
      <c r="AZE23" s="91"/>
      <c r="AZF23" s="91"/>
      <c r="AZG23" s="91"/>
      <c r="AZH23" s="91"/>
      <c r="AZI23" s="91"/>
      <c r="AZJ23" s="91"/>
      <c r="AZK23" s="91"/>
      <c r="AZL23" s="91"/>
      <c r="AZM23" s="91"/>
      <c r="AZN23" s="91"/>
      <c r="AZO23" s="91"/>
      <c r="AZP23" s="91"/>
      <c r="AZQ23" s="91"/>
      <c r="AZR23" s="91"/>
      <c r="AZS23" s="91"/>
      <c r="AZT23" s="91"/>
      <c r="AZU23" s="91"/>
      <c r="AZV23" s="91"/>
      <c r="AZW23" s="91"/>
      <c r="AZX23" s="91"/>
      <c r="AZY23" s="91"/>
      <c r="AZZ23" s="91"/>
      <c r="BAA23" s="91"/>
      <c r="BAB23" s="91"/>
      <c r="BAC23" s="91"/>
      <c r="BAD23" s="91"/>
      <c r="BAE23" s="91"/>
      <c r="BAF23" s="91"/>
      <c r="BAG23" s="91"/>
      <c r="BAH23" s="91"/>
      <c r="BAI23" s="91"/>
      <c r="BAJ23" s="91"/>
      <c r="BAK23" s="91"/>
      <c r="BAL23" s="91"/>
      <c r="BAM23" s="91"/>
      <c r="BAN23" s="91"/>
      <c r="BAO23" s="91"/>
      <c r="BAP23" s="91"/>
      <c r="BAQ23" s="91"/>
      <c r="BAR23" s="91"/>
      <c r="BAS23" s="91"/>
      <c r="BAT23" s="91"/>
      <c r="BAU23" s="91"/>
      <c r="BAV23" s="91"/>
      <c r="BAW23" s="91"/>
      <c r="BAX23" s="91"/>
      <c r="BAY23" s="91"/>
      <c r="BAZ23" s="91"/>
      <c r="BBA23" s="91"/>
      <c r="BBB23" s="91"/>
      <c r="BBC23" s="91"/>
      <c r="BBD23" s="91"/>
      <c r="BBE23" s="91"/>
      <c r="BBF23" s="91"/>
      <c r="BBG23" s="91"/>
      <c r="BBH23" s="91"/>
      <c r="BBI23" s="91"/>
      <c r="BBJ23" s="91"/>
      <c r="BBK23" s="91"/>
      <c r="BBL23" s="91"/>
      <c r="BBM23" s="91"/>
      <c r="BBN23" s="91"/>
      <c r="BBO23" s="91"/>
      <c r="BBP23" s="91"/>
      <c r="BBQ23" s="91"/>
      <c r="BBR23" s="91"/>
      <c r="BBS23" s="91"/>
      <c r="BBT23" s="91"/>
      <c r="BBU23" s="91"/>
      <c r="BBV23" s="91"/>
      <c r="BBW23" s="91"/>
      <c r="BBX23" s="91"/>
      <c r="BBY23" s="91"/>
      <c r="BBZ23" s="91"/>
      <c r="BCA23" s="91"/>
      <c r="BCB23" s="91"/>
      <c r="BCC23" s="91"/>
      <c r="BCD23" s="91"/>
      <c r="BCE23" s="91"/>
      <c r="BCF23" s="91"/>
      <c r="BCG23" s="91"/>
      <c r="BCH23" s="91"/>
      <c r="BCI23" s="91"/>
      <c r="BCJ23" s="91"/>
      <c r="BCK23" s="91"/>
      <c r="BCL23" s="91"/>
      <c r="BCM23" s="91"/>
      <c r="BCN23" s="91"/>
      <c r="BCO23" s="91"/>
      <c r="BCP23" s="91"/>
      <c r="BCQ23" s="91"/>
      <c r="BCR23" s="91"/>
      <c r="BCS23" s="91"/>
      <c r="BCT23" s="91"/>
      <c r="BCU23" s="91"/>
      <c r="BCV23" s="91"/>
      <c r="BCW23" s="91"/>
      <c r="BCX23" s="91"/>
      <c r="BCY23" s="91"/>
      <c r="BCZ23" s="91"/>
      <c r="BDA23" s="91"/>
      <c r="BDB23" s="91"/>
      <c r="BDC23" s="91"/>
      <c r="BDD23" s="91"/>
      <c r="BDE23" s="91"/>
      <c r="BDF23" s="91"/>
      <c r="BDG23" s="91"/>
      <c r="BDH23" s="91"/>
      <c r="BDI23" s="91"/>
      <c r="BDJ23" s="91"/>
      <c r="BDK23" s="91"/>
      <c r="BDL23" s="91"/>
      <c r="BDM23" s="91"/>
      <c r="BDN23" s="91"/>
      <c r="BDO23" s="91"/>
      <c r="BDP23" s="91"/>
      <c r="BDQ23" s="91"/>
      <c r="BDR23" s="91"/>
      <c r="BDS23" s="91"/>
      <c r="BDT23" s="91"/>
      <c r="BDU23" s="91"/>
      <c r="BDV23" s="91"/>
      <c r="BDW23" s="91"/>
      <c r="BDX23" s="91"/>
      <c r="BDY23" s="91"/>
      <c r="BDZ23" s="91"/>
      <c r="BEA23" s="91"/>
      <c r="BEB23" s="91"/>
      <c r="BEC23" s="91"/>
      <c r="BED23" s="91"/>
      <c r="BEE23" s="91"/>
      <c r="BEF23" s="91"/>
      <c r="BEG23" s="91"/>
      <c r="BEH23" s="91"/>
      <c r="BEI23" s="91"/>
      <c r="BEJ23" s="91"/>
      <c r="BEK23" s="91"/>
      <c r="BEL23" s="91"/>
      <c r="BEM23" s="91"/>
      <c r="BEN23" s="91"/>
      <c r="BEO23" s="91"/>
      <c r="BEP23" s="91"/>
      <c r="BEQ23" s="91"/>
      <c r="BER23" s="91"/>
      <c r="BES23" s="91"/>
      <c r="BOA23" s="63">
        <v>56</v>
      </c>
      <c r="BOB23" s="63">
        <v>1</v>
      </c>
      <c r="BOD23" s="63">
        <v>27</v>
      </c>
      <c r="BOF23" s="63">
        <v>1</v>
      </c>
      <c r="BOG23" s="63">
        <v>16</v>
      </c>
      <c r="BOL23" s="63">
        <v>1</v>
      </c>
      <c r="BPJ23" s="63">
        <v>1</v>
      </c>
      <c r="BQO23" s="63">
        <v>1</v>
      </c>
      <c r="BVW23" s="63">
        <v>1</v>
      </c>
      <c r="BWA23" s="63">
        <v>1</v>
      </c>
      <c r="BYK23" s="63">
        <v>0</v>
      </c>
      <c r="BYY23" s="63">
        <v>0</v>
      </c>
      <c r="BZL23" s="63">
        <v>0</v>
      </c>
      <c r="BZN23" s="63">
        <v>3</v>
      </c>
      <c r="BZQ23" s="63">
        <v>1</v>
      </c>
      <c r="BZS23" s="63">
        <v>8</v>
      </c>
      <c r="BZT23" s="63">
        <v>6</v>
      </c>
      <c r="BZU23" s="63">
        <v>0</v>
      </c>
      <c r="BZV23" s="63">
        <v>999</v>
      </c>
      <c r="BZW23" s="63">
        <v>4</v>
      </c>
      <c r="BZY23" s="63">
        <v>300</v>
      </c>
      <c r="BZZ23" s="63">
        <v>3</v>
      </c>
      <c r="CAC23" s="63">
        <v>1</v>
      </c>
      <c r="CAD23" s="63">
        <v>8</v>
      </c>
      <c r="CAE23" s="63">
        <v>6</v>
      </c>
      <c r="CAF23" s="63">
        <v>0</v>
      </c>
      <c r="CAG23" s="63">
        <v>999</v>
      </c>
      <c r="CAH23" s="63">
        <v>4</v>
      </c>
      <c r="EEW23" s="94">
        <v>6</v>
      </c>
      <c r="EEX23" s="63">
        <v>1</v>
      </c>
      <c r="EFA23" s="63">
        <v>1</v>
      </c>
      <c r="EFC23" s="63">
        <v>29</v>
      </c>
      <c r="EFD23" s="63">
        <v>999</v>
      </c>
      <c r="EFE23" s="63">
        <v>0</v>
      </c>
      <c r="EFF23" s="63">
        <v>999</v>
      </c>
      <c r="EFG23" s="63">
        <v>6</v>
      </c>
      <c r="EHR23" s="63">
        <v>1</v>
      </c>
      <c r="EHS23" s="63">
        <v>3</v>
      </c>
      <c r="EHV23" s="63">
        <v>1</v>
      </c>
      <c r="EHW23" s="63">
        <v>9</v>
      </c>
      <c r="EHX23" s="63">
        <v>999</v>
      </c>
      <c r="EHY23" s="63">
        <v>19</v>
      </c>
      <c r="EHZ23" s="63">
        <v>0</v>
      </c>
      <c r="EIA23" s="63">
        <v>8</v>
      </c>
      <c r="EIL23" s="63">
        <v>25</v>
      </c>
      <c r="EIM23" s="63">
        <v>3</v>
      </c>
      <c r="EIP23" s="63">
        <v>1</v>
      </c>
      <c r="EIQ23" s="63">
        <v>29</v>
      </c>
      <c r="EIR23" s="63">
        <v>999</v>
      </c>
      <c r="EIS23" s="63">
        <v>0</v>
      </c>
      <c r="EIT23" s="63">
        <v>999</v>
      </c>
      <c r="EIU23" s="63">
        <v>6</v>
      </c>
      <c r="EZQ23" s="63">
        <v>1</v>
      </c>
      <c r="EZR23" s="63">
        <v>2</v>
      </c>
      <c r="EZV23" s="63">
        <v>8</v>
      </c>
      <c r="EZW23" s="63">
        <v>6</v>
      </c>
      <c r="EZX23" s="63">
        <v>0</v>
      </c>
      <c r="EZY23" s="63">
        <v>999</v>
      </c>
      <c r="EZZ23" s="63">
        <v>5</v>
      </c>
      <c r="FAK23" s="94">
        <v>1</v>
      </c>
      <c r="FAO23" s="63">
        <v>1</v>
      </c>
      <c r="FAP23" s="63">
        <v>4</v>
      </c>
      <c r="FAQ23" s="63">
        <v>2</v>
      </c>
      <c r="FAR23" s="63">
        <v>0</v>
      </c>
      <c r="FAS23" s="63">
        <v>999</v>
      </c>
      <c r="FAT23" s="63">
        <v>5</v>
      </c>
      <c r="FHL23" s="63">
        <v>400</v>
      </c>
      <c r="FHM23" s="63">
        <v>2</v>
      </c>
      <c r="FHP23" s="63">
        <v>1</v>
      </c>
      <c r="FHQ23" s="63">
        <v>29</v>
      </c>
      <c r="FHR23" s="63">
        <v>35</v>
      </c>
      <c r="FHS23" s="63">
        <v>0</v>
      </c>
      <c r="FHT23" s="63">
        <v>999</v>
      </c>
      <c r="FHU23" s="63">
        <v>3</v>
      </c>
      <c r="GRS23" s="63">
        <v>24</v>
      </c>
      <c r="GRT23" s="63">
        <v>1</v>
      </c>
      <c r="GRU23" s="63">
        <v>1</v>
      </c>
      <c r="GRX23" s="63">
        <v>9</v>
      </c>
      <c r="GRY23" s="63">
        <v>999</v>
      </c>
      <c r="GRZ23" s="63">
        <v>19</v>
      </c>
      <c r="GSA23" s="63">
        <v>0</v>
      </c>
      <c r="GSB23" s="63">
        <v>6</v>
      </c>
      <c r="HFE23" s="63">
        <v>1</v>
      </c>
      <c r="HGG23" s="63">
        <v>1</v>
      </c>
      <c r="HHA23" s="63">
        <v>1</v>
      </c>
    </row>
    <row r="24" spans="1:2984 3117:4093 4097:4980 5166:5792" s="59" customFormat="1" x14ac:dyDescent="0.25">
      <c r="A24" s="77">
        <v>1000192</v>
      </c>
      <c r="B24" s="60" t="s">
        <v>4190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2"/>
      <c r="GY24" s="62"/>
      <c r="GZ24" s="62"/>
      <c r="HA24" s="66">
        <v>75000</v>
      </c>
      <c r="HB24" s="66"/>
      <c r="HC24" s="66"/>
      <c r="HD24" s="66"/>
      <c r="HE24" s="62"/>
      <c r="HF24" s="62"/>
      <c r="HG24" s="62"/>
      <c r="HH24" s="62"/>
      <c r="HI24" s="62"/>
      <c r="HJ24" s="62"/>
      <c r="HK24" s="62"/>
      <c r="HL24" s="62"/>
      <c r="HM24" s="62"/>
      <c r="HN24" s="62"/>
      <c r="HO24" s="62"/>
      <c r="HP24" s="62"/>
      <c r="HQ24" s="61"/>
      <c r="HR24" s="61"/>
      <c r="HS24" s="61"/>
      <c r="HT24" s="59">
        <v>4000</v>
      </c>
      <c r="HU24" s="61"/>
      <c r="HV24" s="61"/>
      <c r="HW24" s="61"/>
      <c r="HX24" s="61"/>
      <c r="HY24" s="61"/>
      <c r="HZ24" s="61"/>
      <c r="IA24" s="61"/>
      <c r="IB24" s="61"/>
      <c r="IC24" s="61"/>
      <c r="ID24" s="61"/>
      <c r="IE24" s="61"/>
      <c r="IF24" s="61"/>
      <c r="IG24" s="61"/>
      <c r="IH24" s="61"/>
      <c r="II24" s="61"/>
      <c r="IJ24" s="61"/>
      <c r="IK24" s="61"/>
      <c r="IL24" s="61"/>
      <c r="IM24" s="61"/>
      <c r="IN24" s="61"/>
      <c r="IO24" s="61"/>
      <c r="IP24" s="61"/>
      <c r="IQ24" s="61"/>
      <c r="IR24" s="61"/>
      <c r="IS24" s="61"/>
      <c r="IT24" s="61"/>
      <c r="IU24" s="61"/>
      <c r="IV24" s="61"/>
      <c r="IW24" s="61"/>
      <c r="IX24" s="61"/>
      <c r="JA24" s="61"/>
      <c r="JB24" s="61"/>
      <c r="JC24" s="61"/>
      <c r="JD24" s="61"/>
      <c r="JE24" s="61"/>
      <c r="JF24" s="61"/>
      <c r="JG24" s="61"/>
      <c r="JH24" s="61"/>
      <c r="JI24" s="61"/>
      <c r="JJ24" s="61"/>
      <c r="JK24" s="61"/>
      <c r="JL24" s="61"/>
      <c r="JM24" s="61"/>
      <c r="JN24" s="61"/>
      <c r="JO24" s="61"/>
      <c r="JP24" s="61"/>
      <c r="JQ24" s="61"/>
      <c r="JR24" s="61"/>
      <c r="JS24" s="61"/>
      <c r="JT24" s="61"/>
      <c r="JU24" s="61"/>
      <c r="JV24" s="61"/>
      <c r="JW24" s="61"/>
      <c r="JX24" s="61"/>
      <c r="JY24" s="61"/>
      <c r="JZ24" s="61"/>
      <c r="KA24" s="61"/>
      <c r="KB24" s="61"/>
      <c r="KC24" s="61"/>
      <c r="KD24" s="61"/>
      <c r="KE24" s="61"/>
      <c r="KF24" s="61"/>
      <c r="KG24" s="61"/>
      <c r="KH24" s="61"/>
      <c r="KI24" s="61"/>
      <c r="KJ24" s="61"/>
      <c r="KK24" s="61"/>
      <c r="KL24" s="61"/>
      <c r="KM24" s="61"/>
      <c r="KN24" s="61"/>
      <c r="KO24" s="61"/>
      <c r="KP24" s="61"/>
      <c r="KQ24" s="61"/>
      <c r="KR24" s="61"/>
      <c r="KS24" s="61"/>
      <c r="KT24" s="61"/>
      <c r="KU24" s="61"/>
      <c r="KV24" s="61"/>
      <c r="KW24" s="61"/>
      <c r="KX24" s="61"/>
      <c r="KY24" s="61"/>
      <c r="KZ24" s="61"/>
      <c r="LA24" s="61"/>
      <c r="LB24" s="61"/>
      <c r="LC24" s="61"/>
      <c r="LD24" s="61"/>
      <c r="LE24" s="61"/>
      <c r="LF24" s="61"/>
      <c r="LG24" s="61"/>
      <c r="LH24" s="61"/>
      <c r="LI24" s="61"/>
      <c r="LJ24" s="61"/>
      <c r="LK24" s="61"/>
      <c r="LL24" s="61"/>
      <c r="LM24" s="61"/>
      <c r="LN24" s="61"/>
      <c r="LO24" s="61"/>
      <c r="LP24" s="61"/>
      <c r="LQ24" s="61"/>
      <c r="LR24" s="61"/>
      <c r="LS24" s="61"/>
      <c r="LT24" s="61"/>
      <c r="LU24" s="61"/>
      <c r="LV24" s="61"/>
      <c r="LW24" s="61"/>
      <c r="LX24" s="61"/>
      <c r="LY24" s="61"/>
      <c r="LZ24" s="61"/>
      <c r="MA24" s="61"/>
      <c r="MB24" s="61"/>
      <c r="MC24" s="61"/>
      <c r="MD24" s="61"/>
      <c r="ME24" s="61"/>
      <c r="MF24" s="61"/>
      <c r="MG24" s="61"/>
      <c r="MH24" s="61"/>
      <c r="MI24" s="61"/>
      <c r="MJ24" s="61"/>
      <c r="MK24" s="61"/>
      <c r="ML24" s="61"/>
      <c r="MM24" s="61"/>
      <c r="MN24" s="61"/>
      <c r="MO24" s="61"/>
      <c r="MP24" s="61"/>
      <c r="MQ24" s="61"/>
      <c r="MR24" s="61"/>
      <c r="MS24" s="61"/>
      <c r="MT24" s="61"/>
      <c r="MU24" s="61"/>
      <c r="MV24" s="61"/>
      <c r="MW24" s="61"/>
      <c r="MX24" s="61"/>
      <c r="MY24" s="61"/>
      <c r="MZ24" s="61"/>
      <c r="NA24" s="61"/>
      <c r="NB24" s="61"/>
      <c r="NC24" s="61"/>
      <c r="ND24" s="61"/>
      <c r="NE24" s="61"/>
      <c r="NF24" s="61"/>
      <c r="NG24" s="61"/>
      <c r="NH24" s="61"/>
      <c r="NI24" s="61"/>
      <c r="NJ24" s="61"/>
      <c r="NK24" s="61"/>
      <c r="NL24" s="61"/>
      <c r="NM24" s="61"/>
      <c r="NN24" s="61"/>
      <c r="NO24" s="61"/>
      <c r="NP24" s="61"/>
      <c r="NQ24" s="61"/>
      <c r="NR24" s="61"/>
      <c r="NS24" s="61"/>
      <c r="NT24" s="61"/>
      <c r="NU24" s="61"/>
      <c r="NV24" s="61"/>
      <c r="NW24" s="61"/>
      <c r="NX24" s="61"/>
      <c r="NY24" s="61"/>
      <c r="NZ24" s="61"/>
      <c r="OA24" s="61"/>
      <c r="OB24" s="61"/>
      <c r="OC24" s="61"/>
      <c r="OD24" s="61"/>
      <c r="OE24" s="61"/>
      <c r="OF24" s="61"/>
      <c r="OG24" s="61"/>
      <c r="OH24" s="61"/>
      <c r="OI24" s="61"/>
      <c r="OJ24" s="61"/>
      <c r="OK24" s="61"/>
      <c r="OL24" s="61"/>
      <c r="OM24" s="61"/>
      <c r="ON24" s="61"/>
      <c r="OO24" s="61"/>
      <c r="OP24" s="61"/>
      <c r="OQ24" s="61"/>
      <c r="OR24" s="61"/>
      <c r="OS24" s="61"/>
      <c r="OT24" s="61"/>
      <c r="OU24" s="61"/>
      <c r="OV24" s="61"/>
      <c r="OW24" s="61"/>
      <c r="OX24" s="61"/>
      <c r="OY24" s="61"/>
      <c r="OZ24" s="61"/>
      <c r="PA24" s="61"/>
      <c r="PB24" s="61"/>
      <c r="PC24" s="61"/>
      <c r="PD24" s="61"/>
      <c r="PE24" s="61"/>
      <c r="PF24" s="61"/>
      <c r="PG24" s="61"/>
      <c r="PH24" s="61"/>
      <c r="PI24" s="61"/>
      <c r="PJ24" s="61"/>
      <c r="PK24" s="61"/>
      <c r="PL24" s="61"/>
      <c r="PM24" s="61"/>
      <c r="PN24" s="61"/>
      <c r="PO24" s="61"/>
      <c r="PP24" s="61"/>
      <c r="PQ24" s="61"/>
      <c r="PR24" s="61"/>
      <c r="PS24" s="61"/>
      <c r="PT24" s="61"/>
      <c r="PU24" s="61"/>
      <c r="PV24" s="61"/>
      <c r="PW24" s="61"/>
      <c r="PX24" s="61"/>
      <c r="PY24" s="61"/>
      <c r="PZ24" s="61"/>
      <c r="QA24" s="61"/>
      <c r="QB24" s="61"/>
      <c r="QC24" s="61"/>
      <c r="QD24" s="61"/>
      <c r="QE24" s="61"/>
      <c r="QF24" s="61"/>
      <c r="QG24" s="61"/>
      <c r="QH24" s="61"/>
      <c r="QI24" s="61"/>
      <c r="QJ24" s="61"/>
      <c r="QK24" s="61"/>
      <c r="QL24" s="61"/>
      <c r="QM24" s="61"/>
      <c r="QN24" s="61"/>
      <c r="QO24" s="61"/>
      <c r="QP24" s="61"/>
      <c r="QQ24" s="61"/>
      <c r="QR24" s="61"/>
      <c r="QS24" s="61"/>
      <c r="QT24" s="61"/>
      <c r="QU24" s="61"/>
      <c r="QV24" s="61"/>
      <c r="QW24" s="59">
        <v>240</v>
      </c>
      <c r="QX24" s="61"/>
      <c r="QY24" s="61"/>
      <c r="QZ24" s="61"/>
      <c r="RA24" s="61"/>
      <c r="RB24" s="61"/>
      <c r="RC24" s="61"/>
      <c r="RD24" s="61"/>
      <c r="RE24" s="61"/>
      <c r="RF24" s="61"/>
      <c r="RG24" s="61"/>
      <c r="RH24" s="61"/>
      <c r="RI24" s="61"/>
      <c r="RJ24" s="61"/>
      <c r="RK24" s="61"/>
      <c r="RL24" s="61"/>
      <c r="RM24" s="61"/>
      <c r="RN24" s="61"/>
      <c r="RO24" s="61"/>
      <c r="RP24" s="61"/>
      <c r="RQ24" s="61"/>
      <c r="RR24" s="61"/>
      <c r="RS24" s="61"/>
      <c r="RT24" s="61"/>
      <c r="RU24" s="61"/>
      <c r="RV24" s="61"/>
      <c r="RW24" s="61"/>
      <c r="RX24" s="61"/>
      <c r="RY24" s="61"/>
      <c r="RZ24" s="61"/>
      <c r="SA24" s="61"/>
      <c r="SB24" s="61"/>
      <c r="SC24" s="61"/>
      <c r="SD24" s="61"/>
      <c r="SE24" s="61"/>
      <c r="SF24" s="61"/>
      <c r="SG24" s="61"/>
      <c r="SH24" s="61"/>
      <c r="SI24" s="61"/>
      <c r="SJ24" s="61"/>
      <c r="SK24" s="61"/>
      <c r="SL24" s="61"/>
      <c r="SM24" s="61"/>
      <c r="SN24" s="61"/>
      <c r="SO24" s="61"/>
      <c r="SP24" s="61"/>
      <c r="SQ24" s="61"/>
      <c r="SR24" s="61"/>
      <c r="SS24" s="61"/>
      <c r="ST24" s="61"/>
      <c r="SU24" s="61"/>
      <c r="SV24" s="61"/>
      <c r="SW24" s="61"/>
      <c r="SX24" s="61"/>
      <c r="SY24" s="61"/>
      <c r="SZ24" s="61"/>
      <c r="TA24" s="61"/>
      <c r="TB24" s="61"/>
      <c r="TC24" s="66"/>
      <c r="TD24" s="66"/>
      <c r="TE24" s="66"/>
      <c r="TF24" s="66"/>
      <c r="TG24" s="66"/>
      <c r="TH24" s="66"/>
      <c r="TI24" s="66"/>
      <c r="TJ24" s="66"/>
      <c r="TK24" s="66"/>
      <c r="TL24" s="66"/>
      <c r="TM24" s="61"/>
      <c r="TN24" s="61"/>
      <c r="TO24" s="61"/>
      <c r="TP24" s="61"/>
      <c r="TQ24" s="61"/>
      <c r="TR24" s="61"/>
      <c r="TS24" s="61"/>
      <c r="TT24" s="61"/>
      <c r="TU24" s="61"/>
      <c r="TV24" s="61"/>
      <c r="TW24" s="61"/>
      <c r="TX24" s="61"/>
      <c r="TY24" s="61"/>
      <c r="TZ24" s="61"/>
      <c r="UA24" s="61"/>
      <c r="UB24" s="61"/>
      <c r="UC24" s="61"/>
      <c r="UD24" s="61"/>
      <c r="UE24" s="61"/>
      <c r="UF24" s="61"/>
      <c r="UG24" s="61"/>
      <c r="UH24" s="61"/>
      <c r="UI24" s="61"/>
      <c r="UJ24" s="61"/>
      <c r="UK24" s="61"/>
      <c r="UL24" s="61"/>
      <c r="UM24" s="61"/>
      <c r="UN24" s="61"/>
      <c r="UO24" s="61"/>
      <c r="UP24" s="61"/>
      <c r="UQ24" s="61"/>
      <c r="UR24" s="61"/>
      <c r="US24" s="61"/>
      <c r="UT24" s="61"/>
      <c r="UU24" s="61"/>
      <c r="UV24" s="61"/>
      <c r="UW24" s="61"/>
      <c r="UX24" s="61"/>
      <c r="UY24" s="61"/>
      <c r="UZ24" s="61"/>
      <c r="VA24" s="61"/>
      <c r="VB24" s="61"/>
      <c r="VC24" s="61"/>
      <c r="VD24" s="61"/>
      <c r="VE24" s="61"/>
      <c r="VF24" s="61"/>
      <c r="VG24" s="61"/>
      <c r="VH24" s="61"/>
      <c r="VI24" s="61"/>
      <c r="VJ24" s="61"/>
      <c r="VK24" s="61"/>
      <c r="VL24" s="61"/>
      <c r="VM24" s="61"/>
      <c r="VN24" s="61"/>
      <c r="VO24" s="61"/>
      <c r="VP24" s="61"/>
      <c r="VQ24" s="61"/>
      <c r="VR24" s="61"/>
      <c r="VS24" s="61"/>
      <c r="VT24" s="61"/>
      <c r="VU24" s="61"/>
      <c r="VV24" s="61"/>
      <c r="VW24" s="61"/>
      <c r="VX24" s="61"/>
      <c r="VY24" s="61"/>
      <c r="VZ24" s="61"/>
      <c r="WA24" s="61"/>
      <c r="WB24" s="61"/>
      <c r="WC24" s="61"/>
      <c r="WD24" s="61"/>
      <c r="WE24" s="61"/>
      <c r="WF24" s="61"/>
      <c r="WG24" s="61"/>
      <c r="WH24" s="61"/>
      <c r="WI24" s="61"/>
      <c r="WJ24" s="61"/>
      <c r="WK24" s="61"/>
      <c r="WL24" s="61"/>
      <c r="WM24" s="61"/>
      <c r="WN24" s="61"/>
      <c r="WO24" s="61"/>
      <c r="WP24" s="61"/>
      <c r="WQ24" s="61"/>
      <c r="WR24" s="61"/>
      <c r="WS24" s="61"/>
      <c r="WT24" s="61"/>
      <c r="WU24" s="61"/>
      <c r="WV24" s="61"/>
      <c r="WW24" s="61"/>
      <c r="WX24" s="61"/>
      <c r="WY24" s="61"/>
      <c r="WZ24" s="61"/>
      <c r="XA24" s="61"/>
      <c r="XB24" s="61"/>
      <c r="XC24" s="61"/>
      <c r="XD24" s="61"/>
      <c r="XE24" s="61"/>
      <c r="XF24" s="61"/>
      <c r="XG24" s="61"/>
      <c r="XH24" s="61"/>
      <c r="XI24" s="61"/>
      <c r="XJ24" s="61"/>
      <c r="XK24" s="61"/>
      <c r="XL24" s="61"/>
      <c r="XM24" s="61"/>
      <c r="XN24" s="61"/>
      <c r="XO24" s="78">
        <v>55</v>
      </c>
      <c r="XP24" s="61"/>
      <c r="XQ24" s="61"/>
      <c r="XR24" s="61"/>
      <c r="XS24" s="61"/>
      <c r="XT24" s="61"/>
      <c r="XU24" s="61"/>
      <c r="XV24" s="61"/>
      <c r="XW24" s="61"/>
      <c r="XX24" s="61"/>
      <c r="XY24" s="61"/>
      <c r="XZ24" s="61"/>
      <c r="YA24" s="61"/>
      <c r="YB24" s="61"/>
      <c r="YC24" s="61"/>
      <c r="YD24" s="61"/>
      <c r="YE24" s="61"/>
      <c r="YF24" s="61"/>
      <c r="YG24" s="61"/>
      <c r="YH24" s="61"/>
      <c r="YI24" s="61"/>
      <c r="YJ24" s="61"/>
      <c r="YK24" s="61"/>
      <c r="YL24" s="61"/>
      <c r="YM24" s="61"/>
      <c r="YN24" s="61"/>
      <c r="YO24" s="61"/>
      <c r="YP24" s="61"/>
      <c r="YQ24" s="61"/>
      <c r="YR24" s="61"/>
      <c r="YS24" s="61"/>
      <c r="YT24" s="61"/>
      <c r="YU24" s="61"/>
      <c r="YV24" s="61"/>
      <c r="YW24" s="61"/>
      <c r="YX24" s="61"/>
      <c r="YY24" s="61"/>
      <c r="YZ24" s="61"/>
      <c r="ZA24" s="61"/>
      <c r="ZB24" s="61"/>
      <c r="ZC24" s="61"/>
      <c r="ZD24" s="61"/>
      <c r="ZE24" s="61"/>
      <c r="ZF24" s="61"/>
      <c r="ZG24" s="61"/>
      <c r="ZH24" s="61"/>
      <c r="ZI24" s="61"/>
      <c r="ZJ24" s="61"/>
      <c r="ZK24" s="61"/>
      <c r="ZL24" s="61"/>
      <c r="ZM24" s="61"/>
      <c r="ZN24" s="61"/>
      <c r="ZO24" s="61"/>
      <c r="ZP24" s="61"/>
      <c r="ZQ24" s="61"/>
      <c r="ZR24" s="62"/>
      <c r="ZS24" s="62"/>
      <c r="ZT24" s="62"/>
      <c r="ZU24" s="62"/>
      <c r="ZV24" s="62"/>
      <c r="ZW24" s="62"/>
      <c r="ZX24" s="62"/>
      <c r="ZY24" s="62"/>
      <c r="ZZ24" s="62"/>
      <c r="AAA24" s="62"/>
      <c r="AAB24" s="62"/>
      <c r="AAC24" s="62"/>
      <c r="AAD24" s="62"/>
      <c r="AAE24" s="62"/>
      <c r="AAF24" s="62"/>
      <c r="AAG24" s="62"/>
      <c r="AAH24" s="62"/>
      <c r="AAI24" s="62"/>
      <c r="AAJ24" s="62"/>
      <c r="AAK24" s="62"/>
      <c r="AAL24" s="62"/>
      <c r="AAM24" s="62"/>
      <c r="AAN24" s="62"/>
      <c r="AAO24" s="62"/>
      <c r="AAP24" s="62"/>
      <c r="AAQ24" s="62"/>
      <c r="AAR24" s="62"/>
      <c r="AAS24" s="62"/>
      <c r="AAT24" s="62"/>
      <c r="AAU24" s="62"/>
      <c r="AAV24" s="62"/>
      <c r="AAW24" s="62"/>
      <c r="AAX24" s="61"/>
      <c r="AAY24" s="61"/>
      <c r="AAZ24" s="61"/>
      <c r="ABA24" s="61"/>
      <c r="ABB24" s="61"/>
      <c r="ABC24" s="61"/>
      <c r="ABD24" s="61"/>
      <c r="ABE24" s="61"/>
      <c r="ABF24" s="61"/>
      <c r="ABG24" s="61"/>
      <c r="ABH24" s="61"/>
      <c r="ABI24" s="61"/>
      <c r="ABJ24" s="61"/>
      <c r="ABK24" s="61"/>
      <c r="ABL24" s="61"/>
      <c r="ABM24" s="61"/>
      <c r="ABN24" s="61"/>
      <c r="ABO24" s="61"/>
      <c r="ABP24" s="61"/>
      <c r="ABQ24" s="61"/>
      <c r="ABR24" s="61"/>
      <c r="ABS24" s="61"/>
      <c r="ABT24" s="61"/>
      <c r="ABU24" s="61"/>
      <c r="ABV24" s="61"/>
      <c r="ABW24" s="61"/>
      <c r="ABX24" s="61"/>
      <c r="ABY24" s="61"/>
      <c r="ABZ24" s="61"/>
      <c r="ACA24" s="61"/>
      <c r="ACB24" s="61"/>
      <c r="ACC24" s="61"/>
      <c r="ACD24" s="61"/>
      <c r="ACE24" s="61"/>
      <c r="ACF24" s="61"/>
      <c r="ACG24" s="61"/>
      <c r="ACH24" s="61"/>
      <c r="ACI24" s="61"/>
      <c r="ACJ24" s="61"/>
      <c r="ACK24" s="61"/>
      <c r="ACL24" s="61"/>
      <c r="ACM24" s="61"/>
      <c r="ACN24" s="61"/>
      <c r="ACO24" s="61"/>
      <c r="ACP24" s="61"/>
      <c r="ACQ24" s="61"/>
      <c r="ACR24" s="61"/>
      <c r="ACS24" s="61"/>
      <c r="ACT24" s="61"/>
      <c r="ACU24" s="61"/>
      <c r="ACV24" s="61"/>
      <c r="ACW24" s="61"/>
      <c r="ACX24" s="61"/>
      <c r="ACY24" s="61"/>
      <c r="ACZ24" s="61"/>
      <c r="ADA24" s="61"/>
      <c r="ADB24" s="61"/>
      <c r="ADC24" s="61"/>
      <c r="ADD24" s="61"/>
      <c r="ADE24" s="61"/>
      <c r="ADF24" s="61"/>
      <c r="ADG24" s="61"/>
      <c r="ADH24" s="61"/>
      <c r="ADI24" s="61"/>
      <c r="ADJ24" s="61"/>
      <c r="ADK24" s="61"/>
      <c r="ADL24" s="61"/>
      <c r="ADM24" s="61"/>
      <c r="ADN24" s="61"/>
      <c r="ADO24" s="61"/>
      <c r="ADP24" s="61"/>
      <c r="ADQ24" s="61"/>
      <c r="ADR24" s="61"/>
      <c r="ADS24" s="61"/>
      <c r="ADT24" s="61"/>
      <c r="ADU24" s="61"/>
      <c r="ADV24" s="61"/>
      <c r="ADW24" s="61"/>
      <c r="ADX24" s="61"/>
      <c r="ADY24" s="61"/>
      <c r="ADZ24" s="61"/>
      <c r="AEA24" s="61"/>
      <c r="AEB24" s="61"/>
      <c r="AEC24" s="61"/>
      <c r="AED24" s="61"/>
      <c r="AEE24" s="61"/>
      <c r="AEF24" s="61"/>
      <c r="AEG24" s="61"/>
      <c r="AEH24" s="61"/>
      <c r="AEI24" s="61"/>
      <c r="AEJ24" s="61"/>
      <c r="AEK24" s="61"/>
      <c r="AEL24" s="61"/>
      <c r="AEM24" s="61"/>
      <c r="AEN24" s="61"/>
      <c r="AEO24" s="61"/>
      <c r="AEP24" s="61"/>
      <c r="AEQ24" s="61"/>
      <c r="AER24" s="61"/>
      <c r="AES24" s="61"/>
      <c r="AET24" s="61"/>
      <c r="AEU24" s="62"/>
      <c r="AEV24" s="62"/>
      <c r="AEW24" s="62"/>
      <c r="AEX24" s="62"/>
      <c r="AEY24" s="62"/>
      <c r="AEZ24" s="62"/>
      <c r="AFA24" s="62"/>
      <c r="AFB24" s="62"/>
      <c r="AFC24" s="62"/>
      <c r="AFD24" s="62"/>
      <c r="AFE24" s="62"/>
      <c r="AFF24" s="62"/>
      <c r="AFG24" s="62"/>
      <c r="AFH24" s="62"/>
      <c r="AFI24" s="62"/>
      <c r="AFJ24" s="62"/>
      <c r="AFK24" s="62"/>
      <c r="AFL24" s="62"/>
      <c r="AFM24" s="62"/>
      <c r="AFN24" s="62"/>
      <c r="AFO24" s="62"/>
      <c r="AFP24" s="62"/>
      <c r="AFQ24" s="62"/>
      <c r="AFR24" s="62"/>
      <c r="AFS24" s="62"/>
      <c r="AFT24" s="62"/>
      <c r="AFU24" s="62"/>
      <c r="AFV24" s="62"/>
      <c r="AFW24" s="62"/>
      <c r="AFX24" s="62"/>
      <c r="AFY24" s="62"/>
      <c r="AFZ24" s="62"/>
      <c r="AGA24" s="62"/>
      <c r="AGB24" s="62"/>
      <c r="AGC24" s="62"/>
      <c r="AGD24" s="62"/>
      <c r="AGE24" s="62"/>
      <c r="AGF24" s="62"/>
      <c r="AGG24" s="61"/>
      <c r="AGH24" s="61"/>
      <c r="AGI24" s="61"/>
      <c r="AGJ24" s="61"/>
      <c r="AGK24" s="61"/>
      <c r="AGL24" s="61"/>
      <c r="AGM24" s="61"/>
      <c r="AGN24" s="61"/>
      <c r="AGO24" s="61"/>
      <c r="AGP24" s="61"/>
      <c r="AGQ24" s="61"/>
      <c r="AGR24" s="61"/>
      <c r="AGS24" s="61"/>
      <c r="AGT24" s="61"/>
      <c r="AGU24" s="61"/>
      <c r="AGV24" s="61"/>
      <c r="AGW24" s="61"/>
      <c r="AGX24" s="61"/>
      <c r="AGY24" s="61"/>
      <c r="AGZ24" s="61"/>
      <c r="AHA24" s="61"/>
      <c r="AHB24" s="61"/>
      <c r="AHC24" s="61"/>
      <c r="AHD24" s="61"/>
      <c r="AHE24" s="61"/>
      <c r="AHF24" s="61"/>
      <c r="AHG24" s="61"/>
      <c r="AHH24" s="61"/>
      <c r="AHI24" s="61"/>
      <c r="AHJ24" s="61"/>
      <c r="AHK24" s="61"/>
      <c r="AHL24" s="61"/>
      <c r="AHM24" s="61"/>
      <c r="AHN24" s="61"/>
      <c r="AHO24" s="61"/>
      <c r="AHP24" s="61"/>
      <c r="AHQ24" s="61"/>
      <c r="AHR24" s="61"/>
      <c r="AHS24" s="61"/>
      <c r="AHT24" s="61"/>
      <c r="AHU24" s="61"/>
      <c r="AHV24" s="61"/>
      <c r="AHW24" s="61"/>
      <c r="AHX24" s="61"/>
      <c r="AHY24" s="61"/>
      <c r="AHZ24" s="61"/>
      <c r="AIA24" s="61"/>
      <c r="AIB24" s="61"/>
      <c r="AIC24" s="61"/>
      <c r="AID24" s="61"/>
      <c r="AIE24" s="61"/>
      <c r="AIF24" s="61"/>
      <c r="AIG24" s="62"/>
      <c r="AIH24" s="62"/>
      <c r="AII24" s="62"/>
      <c r="AIJ24" s="61"/>
      <c r="AIK24" s="61"/>
      <c r="AIL24" s="61"/>
      <c r="AIM24" s="61"/>
      <c r="AIN24" s="61"/>
      <c r="AIO24" s="61"/>
      <c r="AIP24" s="61"/>
      <c r="AIQ24" s="61"/>
      <c r="AIR24" s="61"/>
      <c r="AIS24" s="61"/>
      <c r="AIT24" s="61"/>
      <c r="AIU24" s="61"/>
      <c r="AIV24" s="61"/>
      <c r="AIW24" s="61"/>
      <c r="AIX24" s="61"/>
      <c r="AIY24" s="61"/>
      <c r="AIZ24" s="61"/>
      <c r="AJA24" s="61"/>
      <c r="AJB24" s="61"/>
      <c r="AJC24" s="61"/>
      <c r="AJD24" s="61"/>
      <c r="AJE24" s="61"/>
      <c r="AJF24" s="61"/>
      <c r="AJG24" s="61"/>
      <c r="AJH24" s="61"/>
      <c r="AJI24" s="61"/>
      <c r="AJJ24" s="61"/>
      <c r="AJK24" s="61"/>
      <c r="AJL24" s="61"/>
      <c r="AJM24" s="61"/>
      <c r="AJN24" s="62"/>
      <c r="AJO24" s="62"/>
      <c r="AJP24" s="62"/>
      <c r="AJQ24" s="61"/>
      <c r="AJR24" s="61"/>
      <c r="AJS24" s="61"/>
      <c r="AJT24" s="61"/>
      <c r="AJU24" s="61"/>
      <c r="AJV24" s="61"/>
      <c r="AJW24" s="61"/>
      <c r="AJX24" s="61"/>
      <c r="AJY24" s="61"/>
      <c r="AJZ24" s="61"/>
      <c r="AKA24" s="61"/>
      <c r="AKB24" s="61"/>
      <c r="AKC24" s="61"/>
      <c r="AKD24" s="61"/>
      <c r="AKE24" s="61"/>
      <c r="AKF24" s="61"/>
      <c r="AKG24" s="61"/>
      <c r="AKH24" s="61"/>
      <c r="AKI24" s="61"/>
      <c r="AKJ24" s="61"/>
      <c r="AKK24" s="61"/>
      <c r="AKL24" s="61"/>
      <c r="AKM24" s="61"/>
      <c r="AKN24" s="61"/>
      <c r="AKO24" s="61"/>
      <c r="AKP24" s="61"/>
      <c r="AKQ24" s="61"/>
      <c r="AKR24" s="61"/>
      <c r="AKS24" s="61"/>
      <c r="AKT24" s="61"/>
      <c r="AKU24" s="61"/>
      <c r="AKV24" s="61"/>
      <c r="AKW24" s="61"/>
      <c r="AKX24" s="62"/>
      <c r="AKY24" s="62"/>
      <c r="AKZ24" s="61"/>
      <c r="ALA24" s="61"/>
      <c r="ALB24" s="61"/>
      <c r="ALC24" s="61"/>
      <c r="ALD24" s="61"/>
      <c r="ALE24" s="61"/>
      <c r="ALF24" s="61"/>
      <c r="ALG24" s="61"/>
      <c r="ALH24" s="61"/>
      <c r="ALI24" s="61"/>
      <c r="ALJ24" s="61"/>
      <c r="ALK24" s="61"/>
      <c r="ALL24" s="61"/>
      <c r="ALM24" s="61"/>
      <c r="ALN24" s="61"/>
      <c r="ALO24" s="61"/>
      <c r="ALP24" s="61"/>
      <c r="ALQ24" s="61"/>
      <c r="ALR24" s="61"/>
      <c r="ALS24" s="61"/>
      <c r="ALT24" s="61"/>
      <c r="ALU24" s="61"/>
      <c r="ALV24" s="61"/>
      <c r="ALW24" s="61"/>
      <c r="ALX24" s="61"/>
      <c r="ALY24" s="61"/>
      <c r="ALZ24" s="61"/>
      <c r="AMA24" s="61"/>
      <c r="AMB24" s="61"/>
      <c r="AMC24" s="61"/>
      <c r="AMD24" s="61"/>
      <c r="AME24" s="61"/>
      <c r="AMF24" s="61"/>
      <c r="AMG24" s="61"/>
      <c r="AMH24" s="61"/>
      <c r="AMI24" s="61"/>
      <c r="AMJ24" s="61"/>
      <c r="AMK24" s="61"/>
      <c r="AML24" s="61"/>
      <c r="AMM24" s="61"/>
      <c r="AMN24" s="61"/>
      <c r="AMO24" s="61"/>
      <c r="AMP24" s="61"/>
      <c r="AMQ24" s="61"/>
      <c r="AMR24" s="61"/>
      <c r="AMS24" s="61"/>
      <c r="AMT24" s="61"/>
      <c r="AMU24" s="61"/>
      <c r="AMV24" s="61"/>
      <c r="AMW24" s="61"/>
      <c r="AMX24" s="61"/>
      <c r="AMY24" s="61"/>
      <c r="AMZ24" s="61"/>
      <c r="ANA24" s="61"/>
      <c r="ANB24" s="61"/>
      <c r="ANC24" s="61"/>
      <c r="AND24" s="61"/>
      <c r="ANE24" s="61"/>
      <c r="ANF24" s="61"/>
      <c r="ANG24" s="61"/>
      <c r="ANH24" s="61"/>
      <c r="ANI24" s="61"/>
      <c r="ANJ24" s="59">
        <v>11</v>
      </c>
      <c r="ANL24" s="61"/>
      <c r="ANM24" s="61"/>
      <c r="ANN24" s="61"/>
      <c r="ANO24" s="61"/>
      <c r="ANP24" s="61"/>
      <c r="ANQ24" s="61"/>
      <c r="ANR24" s="61"/>
      <c r="ANS24" s="61"/>
      <c r="ANT24" s="61"/>
      <c r="ANU24" s="61"/>
      <c r="ANV24" s="61"/>
      <c r="ANW24" s="61"/>
      <c r="ANX24" s="61"/>
      <c r="ANY24" s="61"/>
      <c r="ANZ24" s="61"/>
      <c r="AOA24" s="61"/>
      <c r="AOB24" s="61"/>
      <c r="AOC24" s="61"/>
      <c r="AOD24" s="61"/>
      <c r="AOE24" s="61"/>
      <c r="AOF24" s="61"/>
      <c r="AOG24" s="61"/>
      <c r="AOH24" s="61"/>
      <c r="AOI24" s="61"/>
      <c r="AOJ24" s="61"/>
      <c r="AOK24" s="61"/>
      <c r="AOL24" s="61"/>
      <c r="AOM24" s="61"/>
      <c r="AON24" s="61"/>
      <c r="AOO24" s="61"/>
      <c r="AOP24" s="61"/>
      <c r="AOQ24" s="61"/>
      <c r="AOR24" s="61"/>
      <c r="AOS24" s="61"/>
      <c r="AOT24" s="61"/>
      <c r="AOU24" s="61"/>
      <c r="AOV24" s="61"/>
      <c r="AOW24" s="61"/>
      <c r="AOX24" s="61"/>
      <c r="AOY24" s="61"/>
      <c r="AOZ24" s="61"/>
      <c r="APA24" s="61"/>
      <c r="APB24" s="61"/>
      <c r="APC24" s="61"/>
      <c r="APD24" s="61"/>
      <c r="APE24" s="61"/>
      <c r="APF24" s="61"/>
      <c r="APG24" s="61"/>
      <c r="APH24" s="61"/>
      <c r="API24" s="61"/>
      <c r="APJ24" s="61"/>
      <c r="APK24" s="61"/>
      <c r="APL24" s="61"/>
      <c r="APM24" s="61"/>
      <c r="APN24" s="61"/>
      <c r="APO24" s="61"/>
      <c r="APP24" s="61"/>
      <c r="APQ24" s="61"/>
      <c r="APR24" s="61"/>
      <c r="APS24" s="61"/>
      <c r="APT24" s="61"/>
      <c r="APU24" s="61"/>
      <c r="APV24" s="61"/>
      <c r="APW24" s="61"/>
      <c r="APX24" s="61"/>
      <c r="APY24" s="61"/>
      <c r="APZ24" s="61"/>
      <c r="AQA24" s="61"/>
      <c r="AQB24" s="61"/>
      <c r="AQC24" s="61"/>
      <c r="AQD24" s="61"/>
      <c r="AQE24" s="61"/>
      <c r="ARV24" s="66"/>
      <c r="ARW24" s="66"/>
      <c r="ARX24" s="66"/>
      <c r="ARY24" s="66"/>
      <c r="ARZ24" s="66"/>
      <c r="ASA24" s="66"/>
      <c r="ASB24" s="66"/>
      <c r="ASC24" s="66"/>
      <c r="ASD24" s="61"/>
      <c r="ASE24" s="61"/>
      <c r="ASF24" s="61"/>
      <c r="ASG24" s="61"/>
      <c r="ASH24" s="61"/>
      <c r="ASI24" s="61"/>
      <c r="ASJ24" s="61"/>
      <c r="ASK24" s="61"/>
      <c r="ASL24" s="61"/>
      <c r="ASM24" s="61"/>
      <c r="ASN24" s="61"/>
      <c r="ASO24" s="61"/>
      <c r="ASP24" s="61"/>
      <c r="ASQ24" s="61"/>
      <c r="ASR24" s="61"/>
      <c r="ASS24" s="61"/>
      <c r="AST24" s="61"/>
      <c r="ASU24" s="61"/>
      <c r="ASV24" s="61"/>
      <c r="ASW24" s="61"/>
      <c r="ASX24" s="61"/>
      <c r="ASY24" s="61"/>
      <c r="ASZ24" s="61"/>
      <c r="ATA24" s="61"/>
      <c r="ATB24" s="61"/>
      <c r="ATC24" s="61"/>
      <c r="ATD24" s="61"/>
      <c r="ATE24" s="61"/>
      <c r="ATF24" s="61"/>
      <c r="ATG24" s="61"/>
      <c r="ATH24" s="61"/>
      <c r="ATI24" s="61"/>
      <c r="ATJ24" s="61"/>
      <c r="ATK24" s="61"/>
      <c r="ATL24" s="61"/>
      <c r="ATM24" s="61"/>
      <c r="ATN24" s="61"/>
      <c r="ATO24" s="61"/>
      <c r="ATP24" s="61"/>
      <c r="ATQ24" s="62"/>
      <c r="ATR24" s="62"/>
      <c r="ATS24" s="62"/>
      <c r="ATT24" s="62"/>
      <c r="ATU24" s="62"/>
      <c r="ATV24" s="61"/>
      <c r="ATW24" s="61"/>
      <c r="ATX24" s="61"/>
      <c r="ATY24" s="61"/>
      <c r="ATZ24" s="61"/>
      <c r="AUA24" s="61"/>
      <c r="AUB24" s="61"/>
      <c r="AUC24" s="61"/>
      <c r="AUD24" s="61"/>
      <c r="AUE24" s="61"/>
      <c r="AUF24" s="61"/>
      <c r="AUG24" s="61"/>
      <c r="AUH24" s="61"/>
      <c r="AUI24" s="61"/>
      <c r="AUJ24" s="61"/>
      <c r="AUK24" s="61"/>
      <c r="AUL24" s="61"/>
      <c r="AUM24" s="61"/>
      <c r="AUN24" s="61"/>
      <c r="AUO24" s="61"/>
      <c r="AUP24" s="61"/>
      <c r="AUQ24" s="61"/>
      <c r="AUR24" s="61"/>
      <c r="AUS24" s="61"/>
      <c r="AUT24" s="61"/>
      <c r="AUU24" s="61"/>
      <c r="AUV24" s="61"/>
      <c r="AUW24" s="61"/>
      <c r="AUX24" s="61"/>
      <c r="AUY24" s="61"/>
      <c r="AUZ24" s="61"/>
      <c r="AVA24" s="61"/>
      <c r="AVB24" s="61"/>
      <c r="AVC24" s="61"/>
      <c r="AVD24" s="61"/>
      <c r="AVE24" s="61"/>
      <c r="AVF24" s="61"/>
      <c r="AVG24" s="61"/>
      <c r="AVH24" s="61"/>
      <c r="AVI24" s="61"/>
      <c r="AVJ24" s="61"/>
      <c r="AVK24" s="61"/>
      <c r="AVL24" s="61"/>
      <c r="AVM24" s="61"/>
      <c r="AVN24" s="61"/>
      <c r="AVO24" s="61"/>
      <c r="AVP24" s="61"/>
      <c r="AVQ24" s="61"/>
      <c r="AVR24" s="61"/>
      <c r="AVS24" s="61"/>
      <c r="AVT24" s="61"/>
      <c r="AVU24" s="61"/>
      <c r="AVV24" s="61"/>
      <c r="AVW24" s="61"/>
      <c r="AVX24" s="61"/>
      <c r="AVY24" s="61"/>
      <c r="AVZ24" s="61"/>
      <c r="AWA24" s="61"/>
      <c r="AWB24" s="61"/>
      <c r="AWC24" s="61"/>
      <c r="AWD24" s="61"/>
      <c r="AWE24" s="61"/>
      <c r="AWF24" s="61"/>
      <c r="AWG24" s="61"/>
      <c r="AWH24" s="61"/>
      <c r="AWI24" s="61"/>
      <c r="AWJ24" s="61"/>
      <c r="AWK24" s="61"/>
      <c r="AWL24" s="61"/>
      <c r="AWM24" s="61"/>
      <c r="AWN24" s="61"/>
      <c r="AWO24" s="61"/>
      <c r="AWP24" s="61"/>
      <c r="AWQ24" s="61"/>
      <c r="AWR24" s="61"/>
      <c r="AWS24" s="61"/>
      <c r="AWT24" s="61"/>
      <c r="AWU24" s="61"/>
      <c r="AWV24" s="61"/>
      <c r="AWW24" s="61"/>
      <c r="AWX24" s="61"/>
      <c r="AWY24" s="61"/>
      <c r="AWZ24" s="61"/>
      <c r="AXA24" s="61"/>
      <c r="AXB24" s="61"/>
      <c r="AXC24" s="61"/>
      <c r="AXD24" s="61"/>
      <c r="AXE24" s="61"/>
      <c r="AXF24" s="61"/>
      <c r="AXG24" s="61"/>
      <c r="AXH24" s="61"/>
      <c r="AXI24" s="61"/>
      <c r="AXJ24" s="61"/>
      <c r="AXK24" s="61"/>
      <c r="AXL24" s="61"/>
      <c r="AXM24" s="61"/>
      <c r="AXN24" s="61"/>
      <c r="AXO24" s="61"/>
      <c r="AXP24" s="61"/>
      <c r="AXQ24" s="61"/>
      <c r="AXR24" s="61"/>
      <c r="AXS24" s="61"/>
      <c r="AXT24" s="61"/>
      <c r="AXU24" s="61"/>
      <c r="AXV24" s="61"/>
      <c r="AXW24" s="61"/>
      <c r="AXX24" s="61"/>
      <c r="AXY24" s="61"/>
      <c r="AXZ24" s="61"/>
      <c r="AYA24" s="61"/>
      <c r="AYB24" s="61"/>
      <c r="AYC24" s="61"/>
      <c r="AYD24" s="61"/>
      <c r="AYE24" s="61"/>
      <c r="AYF24" s="61"/>
      <c r="AYG24" s="61"/>
      <c r="AYH24" s="61"/>
      <c r="AYI24" s="61"/>
      <c r="AYJ24" s="61"/>
      <c r="AYK24" s="61"/>
      <c r="AYL24" s="61"/>
      <c r="AYM24" s="61"/>
      <c r="AYN24" s="61"/>
      <c r="AYO24" s="61"/>
      <c r="AYP24" s="61"/>
      <c r="AYQ24" s="61"/>
      <c r="AYR24" s="61"/>
      <c r="AYS24" s="61"/>
      <c r="AYT24" s="61"/>
      <c r="AYU24" s="61"/>
      <c r="AYV24" s="61"/>
      <c r="AYW24" s="61"/>
      <c r="AYX24" s="61"/>
      <c r="AYY24" s="61"/>
      <c r="AYZ24" s="61"/>
      <c r="AZA24" s="61"/>
      <c r="AZB24" s="61"/>
      <c r="AZC24" s="61"/>
      <c r="AZD24" s="61"/>
      <c r="AZE24" s="61"/>
      <c r="AZF24" s="61"/>
      <c r="AZG24" s="61"/>
      <c r="AZH24" s="61"/>
      <c r="AZI24" s="61"/>
      <c r="AZJ24" s="61"/>
      <c r="AZK24" s="61"/>
      <c r="AZL24" s="61"/>
      <c r="AZM24" s="61"/>
      <c r="AZN24" s="61"/>
      <c r="AZO24" s="61"/>
      <c r="AZP24" s="61"/>
      <c r="AZQ24" s="61"/>
      <c r="AZR24" s="61"/>
      <c r="AZS24" s="61"/>
      <c r="AZT24" s="61"/>
      <c r="AZU24" s="61"/>
      <c r="AZV24" s="61"/>
      <c r="AZW24" s="61"/>
      <c r="AZX24" s="61"/>
      <c r="AZY24" s="61"/>
      <c r="AZZ24" s="61"/>
      <c r="BAA24" s="61"/>
      <c r="BAB24" s="61"/>
      <c r="BAC24" s="61"/>
      <c r="BAD24" s="61"/>
      <c r="BAE24" s="61"/>
      <c r="BAF24" s="61"/>
      <c r="BAG24" s="61"/>
      <c r="BAH24" s="61"/>
      <c r="BAI24" s="61"/>
      <c r="BAJ24" s="61"/>
      <c r="BAK24" s="61"/>
      <c r="BAL24" s="61"/>
      <c r="BAM24" s="61"/>
      <c r="BAN24" s="61"/>
      <c r="BAO24" s="61"/>
      <c r="BAP24" s="61"/>
      <c r="BAQ24" s="61"/>
      <c r="BAR24" s="61"/>
      <c r="BAS24" s="61"/>
      <c r="BAT24" s="61"/>
      <c r="BAU24" s="61"/>
      <c r="BAV24" s="61"/>
      <c r="BAW24" s="61"/>
      <c r="BAX24" s="61"/>
      <c r="BAY24" s="61"/>
      <c r="BAZ24" s="61"/>
      <c r="BBA24" s="61"/>
      <c r="BBB24" s="61"/>
      <c r="BBC24" s="61"/>
      <c r="BBD24" s="61"/>
      <c r="BBE24" s="61"/>
      <c r="BBF24" s="61"/>
      <c r="BBG24" s="61"/>
      <c r="BBH24" s="61"/>
      <c r="BBI24" s="61"/>
      <c r="BBJ24" s="61"/>
      <c r="BBK24" s="61"/>
      <c r="BBL24" s="61"/>
      <c r="BBM24" s="61"/>
      <c r="BBN24" s="61"/>
      <c r="BBO24" s="61"/>
      <c r="BBP24" s="61"/>
      <c r="BBQ24" s="61"/>
      <c r="BBR24" s="61"/>
      <c r="BBS24" s="61"/>
      <c r="BBT24" s="61"/>
      <c r="BBU24" s="61"/>
      <c r="BBV24" s="61"/>
      <c r="BBW24" s="61"/>
      <c r="BBX24" s="61"/>
      <c r="BBY24" s="61"/>
      <c r="BBZ24" s="61"/>
      <c r="BCA24" s="61"/>
      <c r="BCB24" s="61"/>
      <c r="BCC24" s="61"/>
      <c r="BCD24" s="61"/>
      <c r="BCE24" s="61"/>
      <c r="BCF24" s="61"/>
      <c r="BCG24" s="61"/>
      <c r="BCH24" s="61"/>
      <c r="BCI24" s="61"/>
      <c r="BCJ24" s="61"/>
      <c r="BCK24" s="61"/>
      <c r="BCL24" s="61"/>
      <c r="BCM24" s="61"/>
      <c r="BCN24" s="61"/>
      <c r="BCO24" s="61"/>
      <c r="BCP24" s="61"/>
      <c r="BCQ24" s="61"/>
      <c r="BCR24" s="61"/>
      <c r="BCS24" s="61"/>
      <c r="BCT24" s="61"/>
      <c r="BCU24" s="61"/>
      <c r="BCV24" s="61"/>
      <c r="BCW24" s="61"/>
      <c r="BCX24" s="61"/>
      <c r="BCY24" s="61"/>
      <c r="BCZ24" s="61"/>
      <c r="BDA24" s="61"/>
      <c r="BDB24" s="61"/>
      <c r="BDC24" s="61"/>
      <c r="BDD24" s="61"/>
      <c r="BDE24" s="61"/>
      <c r="BDF24" s="61"/>
      <c r="BDG24" s="61"/>
      <c r="BDH24" s="61"/>
      <c r="BDI24" s="61"/>
      <c r="BDJ24" s="61"/>
      <c r="BDK24" s="61"/>
      <c r="BDL24" s="61"/>
      <c r="BDM24" s="61"/>
      <c r="BDN24" s="61"/>
      <c r="BDO24" s="61"/>
      <c r="BDP24" s="61"/>
      <c r="BDQ24" s="61"/>
      <c r="BDR24" s="61"/>
      <c r="BDS24" s="61"/>
      <c r="BDT24" s="61"/>
      <c r="BDU24" s="61"/>
      <c r="BDV24" s="61"/>
      <c r="BDW24" s="61"/>
      <c r="BDX24" s="61"/>
      <c r="BDY24" s="61"/>
      <c r="BDZ24" s="61"/>
      <c r="BEA24" s="61"/>
      <c r="BEB24" s="61"/>
      <c r="BEC24" s="61"/>
      <c r="BED24" s="61"/>
      <c r="BEE24" s="61"/>
      <c r="BEF24" s="61"/>
      <c r="BEG24" s="61"/>
      <c r="BEH24" s="61"/>
      <c r="BEI24" s="61"/>
      <c r="BEJ24" s="61"/>
      <c r="BEK24" s="61"/>
      <c r="BEL24" s="61"/>
      <c r="BEM24" s="61"/>
      <c r="BEN24" s="61"/>
      <c r="BEO24" s="61"/>
      <c r="BEP24" s="61"/>
      <c r="BEQ24" s="61"/>
      <c r="BER24" s="61"/>
      <c r="BES24" s="61"/>
      <c r="BOA24" s="59">
        <v>60</v>
      </c>
      <c r="BOC24" s="59">
        <v>1</v>
      </c>
      <c r="BOD24" s="59">
        <v>26.6</v>
      </c>
      <c r="BOF24" s="59">
        <v>1</v>
      </c>
      <c r="BOG24" s="59">
        <v>20</v>
      </c>
      <c r="BOQ24" s="59">
        <v>1</v>
      </c>
      <c r="BOR24" s="59">
        <v>1</v>
      </c>
      <c r="BPC24" s="59">
        <v>1</v>
      </c>
      <c r="BPO24" s="59">
        <v>1</v>
      </c>
      <c r="BQI24" s="59">
        <v>1</v>
      </c>
      <c r="BQN24" s="59">
        <v>1</v>
      </c>
      <c r="BQO24" s="59">
        <v>1</v>
      </c>
      <c r="BVW24" s="59">
        <v>1</v>
      </c>
      <c r="BWB24" s="59">
        <v>1</v>
      </c>
      <c r="BWL24" s="59">
        <v>1</v>
      </c>
      <c r="BWR24" s="59">
        <v>1</v>
      </c>
      <c r="BYJ24" s="65"/>
      <c r="BYK24" s="59">
        <v>0</v>
      </c>
      <c r="BYY24" s="59">
        <v>0</v>
      </c>
      <c r="BZL24" s="59">
        <v>2</v>
      </c>
      <c r="BZM24" s="72">
        <v>1</v>
      </c>
      <c r="BZN24" s="59">
        <v>1</v>
      </c>
      <c r="BZQ24" s="59">
        <v>1</v>
      </c>
      <c r="BZS24" s="59">
        <v>2</v>
      </c>
      <c r="BZT24" s="59">
        <v>24</v>
      </c>
      <c r="BZU24" s="59">
        <v>0</v>
      </c>
      <c r="BZW24" s="59">
        <v>4</v>
      </c>
      <c r="CFZ24" s="71">
        <v>2</v>
      </c>
      <c r="CGA24" s="71">
        <v>2</v>
      </c>
      <c r="CGD24" s="59">
        <v>1</v>
      </c>
      <c r="CGE24" s="59">
        <v>3</v>
      </c>
      <c r="CGF24" s="59">
        <v>9</v>
      </c>
      <c r="CGG24" s="59">
        <v>7</v>
      </c>
      <c r="CGI24" s="59">
        <v>5</v>
      </c>
      <c r="CGJ24" s="71">
        <v>2</v>
      </c>
      <c r="CGK24" s="71">
        <v>1</v>
      </c>
      <c r="CGN24" s="59">
        <v>1</v>
      </c>
      <c r="CGO24" s="59">
        <v>2</v>
      </c>
      <c r="CGP24" s="59">
        <v>8</v>
      </c>
      <c r="CGQ24" s="59">
        <v>6</v>
      </c>
      <c r="CGS24" s="59">
        <v>5</v>
      </c>
      <c r="CHE24" s="63">
        <v>30</v>
      </c>
      <c r="CHF24" s="59">
        <v>1</v>
      </c>
      <c r="CHI24" s="59">
        <v>1</v>
      </c>
      <c r="CHJ24" s="59">
        <v>1</v>
      </c>
      <c r="CHK24" s="59">
        <v>4</v>
      </c>
      <c r="CHL24" s="59">
        <v>4</v>
      </c>
      <c r="CHN24" s="59">
        <v>4</v>
      </c>
      <c r="CLM24" s="59">
        <v>2</v>
      </c>
      <c r="CLN24" s="59">
        <v>1</v>
      </c>
      <c r="CLQ24" s="59">
        <v>1</v>
      </c>
      <c r="CLR24" s="59">
        <v>1</v>
      </c>
      <c r="CLS24" s="59">
        <v>1</v>
      </c>
      <c r="CLT24" s="59">
        <v>1</v>
      </c>
      <c r="CLV24" s="59">
        <v>6</v>
      </c>
      <c r="EEW24" s="72">
        <v>1</v>
      </c>
      <c r="EEX24" s="72">
        <v>2</v>
      </c>
      <c r="EFA24" s="59">
        <v>1</v>
      </c>
      <c r="EFC24" s="71">
        <v>29</v>
      </c>
      <c r="EFD24" s="59">
        <v>999</v>
      </c>
      <c r="EFE24" s="59">
        <v>0</v>
      </c>
      <c r="EFG24" s="59">
        <v>6</v>
      </c>
      <c r="EGX24" s="59">
        <v>20</v>
      </c>
      <c r="EGY24" s="59">
        <v>3</v>
      </c>
      <c r="EHB24" s="59">
        <v>1</v>
      </c>
      <c r="EHC24" s="59">
        <v>16</v>
      </c>
      <c r="EHD24" s="59">
        <v>23</v>
      </c>
      <c r="EHE24" s="59">
        <v>9</v>
      </c>
      <c r="EHG24" s="59">
        <v>6</v>
      </c>
      <c r="EKT24" s="59">
        <v>1</v>
      </c>
      <c r="EKU24" s="59">
        <v>1</v>
      </c>
      <c r="EKX24" s="59">
        <v>1</v>
      </c>
      <c r="EKY24" s="68">
        <v>2</v>
      </c>
      <c r="EKZ24" s="59">
        <v>999</v>
      </c>
      <c r="ELA24" s="59">
        <v>27</v>
      </c>
      <c r="ELC24" s="59">
        <v>7</v>
      </c>
      <c r="ELN24" s="59">
        <v>1</v>
      </c>
      <c r="ELO24" s="59">
        <v>2</v>
      </c>
      <c r="ELR24" s="59">
        <v>1</v>
      </c>
      <c r="ELS24" s="69">
        <v>8</v>
      </c>
      <c r="ELT24" s="59">
        <v>7</v>
      </c>
      <c r="ELU24" s="59">
        <v>0</v>
      </c>
      <c r="ELW24" s="59">
        <v>5</v>
      </c>
      <c r="EMJ24" s="59">
        <v>1</v>
      </c>
      <c r="EMM24" s="59">
        <v>1</v>
      </c>
      <c r="EMN24" s="69">
        <v>27</v>
      </c>
      <c r="EMO24" s="59">
        <v>26</v>
      </c>
      <c r="EMR24" s="59">
        <v>6</v>
      </c>
      <c r="EMS24" s="72">
        <v>1</v>
      </c>
      <c r="EMT24" s="59">
        <v>4</v>
      </c>
      <c r="EMW24" s="59">
        <v>1</v>
      </c>
      <c r="EMX24" s="59">
        <v>15</v>
      </c>
      <c r="EMY24" s="59">
        <v>23</v>
      </c>
      <c r="EMZ24" s="59">
        <v>9</v>
      </c>
      <c r="ENB24" s="59">
        <v>6</v>
      </c>
      <c r="END24" s="59">
        <v>2</v>
      </c>
      <c r="ENG24" s="59">
        <v>1</v>
      </c>
      <c r="ENH24" s="59">
        <v>7</v>
      </c>
      <c r="ENI24" s="59">
        <v>7</v>
      </c>
      <c r="ENJ24" s="59">
        <v>0</v>
      </c>
      <c r="ENL24" s="59">
        <v>5</v>
      </c>
      <c r="ESP24" s="59">
        <v>1</v>
      </c>
      <c r="ESQ24" s="59">
        <v>1</v>
      </c>
      <c r="ESR24" s="59">
        <v>1</v>
      </c>
      <c r="ESS24" s="59">
        <v>1</v>
      </c>
      <c r="EST24" s="59">
        <v>22</v>
      </c>
      <c r="ESU24" s="59">
        <v>22</v>
      </c>
      <c r="ESW24" s="59">
        <v>7</v>
      </c>
      <c r="FHB24" s="72">
        <v>100</v>
      </c>
      <c r="FHC24" s="59">
        <v>3</v>
      </c>
      <c r="FHF24" s="59">
        <v>1</v>
      </c>
      <c r="FHG24" s="71">
        <v>29</v>
      </c>
      <c r="FHH24" s="59">
        <v>999</v>
      </c>
      <c r="FHI24" s="59">
        <v>0</v>
      </c>
      <c r="FHK24" s="59">
        <v>3</v>
      </c>
      <c r="FQJ24" s="71">
        <v>1</v>
      </c>
      <c r="FQK24" s="59">
        <v>1</v>
      </c>
      <c r="FQN24" s="59">
        <v>1</v>
      </c>
      <c r="FQO24" s="71">
        <v>29</v>
      </c>
      <c r="FQP24" s="59">
        <v>999</v>
      </c>
      <c r="FQQ24" s="59">
        <v>0</v>
      </c>
      <c r="FQS24" s="59">
        <v>5</v>
      </c>
      <c r="FXO24" s="59">
        <v>1</v>
      </c>
      <c r="FXP24" s="59">
        <v>1</v>
      </c>
      <c r="FXS24" s="59">
        <v>1</v>
      </c>
      <c r="FXT24" s="59">
        <v>6</v>
      </c>
      <c r="FXU24" s="59">
        <v>6</v>
      </c>
      <c r="FXV24" s="59">
        <v>0</v>
      </c>
      <c r="FXX24" s="59">
        <v>5</v>
      </c>
      <c r="GPR24" s="59">
        <v>1</v>
      </c>
      <c r="GPS24" s="59">
        <v>3</v>
      </c>
      <c r="GPV24" s="59">
        <v>1</v>
      </c>
      <c r="GPW24" s="71">
        <v>29</v>
      </c>
      <c r="GPX24" s="59">
        <v>999</v>
      </c>
      <c r="GPY24" s="59">
        <v>0</v>
      </c>
      <c r="GQA24" s="59">
        <v>6</v>
      </c>
      <c r="GYL24" s="59">
        <v>1</v>
      </c>
      <c r="HFO24" s="59">
        <v>1</v>
      </c>
      <c r="HFV24" s="59">
        <v>1</v>
      </c>
      <c r="HGG24" s="59">
        <v>1</v>
      </c>
      <c r="HGJ24" s="59">
        <v>1</v>
      </c>
      <c r="HGL24" s="59">
        <v>1</v>
      </c>
      <c r="HGS24" s="59">
        <v>1</v>
      </c>
      <c r="HHA24" s="59">
        <v>1</v>
      </c>
      <c r="HHL24" s="59">
        <v>1</v>
      </c>
    </row>
    <row r="25" spans="1:2984 3117:4093 4097:4980 5166:5792" s="59" customFormat="1" x14ac:dyDescent="0.25">
      <c r="A25" s="63">
        <v>1506</v>
      </c>
      <c r="B25" s="60" t="s">
        <v>4190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2"/>
      <c r="GY25" s="62"/>
      <c r="GZ25" s="62"/>
      <c r="HA25" s="62"/>
      <c r="HB25" s="62"/>
      <c r="HC25" s="62"/>
      <c r="HD25" s="62"/>
      <c r="HE25" s="62"/>
      <c r="HF25" s="62"/>
      <c r="HG25" s="62"/>
      <c r="HH25" s="62"/>
      <c r="HI25" s="62"/>
      <c r="HJ25" s="62"/>
      <c r="HK25" s="62"/>
      <c r="HL25" s="62"/>
      <c r="HM25" s="62"/>
      <c r="HN25" s="62"/>
      <c r="HO25" s="62"/>
      <c r="HP25" s="62"/>
      <c r="HQ25" s="61"/>
      <c r="HR25" s="61"/>
      <c r="HS25" s="59">
        <v>11460</v>
      </c>
      <c r="HT25" s="61"/>
      <c r="HU25" s="61"/>
      <c r="HV25" s="61"/>
      <c r="HW25" s="61"/>
      <c r="HX25" s="61"/>
      <c r="HY25" s="61"/>
      <c r="HZ25" s="61"/>
      <c r="IA25" s="61"/>
      <c r="IB25" s="61"/>
      <c r="IC25" s="61"/>
      <c r="ID25" s="61"/>
      <c r="IE25" s="61"/>
      <c r="IF25" s="61"/>
      <c r="IG25" s="61"/>
      <c r="IH25" s="61"/>
      <c r="II25" s="61"/>
      <c r="IJ25" s="61"/>
      <c r="IK25" s="61"/>
      <c r="IL25" s="61"/>
      <c r="IM25" s="61"/>
      <c r="IN25" s="61"/>
      <c r="IO25" s="61"/>
      <c r="IP25" s="61"/>
      <c r="IQ25" s="61"/>
      <c r="IR25" s="61"/>
      <c r="IS25" s="61"/>
      <c r="IT25" s="61"/>
      <c r="IU25" s="61"/>
      <c r="IV25" s="61"/>
      <c r="IW25" s="61"/>
      <c r="IX25" s="61"/>
      <c r="JA25" s="61"/>
      <c r="JB25" s="61"/>
      <c r="JC25" s="61"/>
      <c r="JD25" s="61"/>
      <c r="JE25" s="61"/>
      <c r="JF25" s="61"/>
      <c r="JG25" s="61"/>
      <c r="JH25" s="61"/>
      <c r="JI25" s="61"/>
      <c r="JJ25" s="61"/>
      <c r="JK25" s="61"/>
      <c r="JL25" s="61"/>
      <c r="JM25" s="61"/>
      <c r="JN25" s="61"/>
      <c r="JO25" s="61"/>
      <c r="JP25" s="61"/>
      <c r="JQ25" s="61"/>
      <c r="JR25" s="61"/>
      <c r="JS25" s="61"/>
      <c r="JT25" s="61"/>
      <c r="JU25" s="61"/>
      <c r="JV25" s="59">
        <v>15</v>
      </c>
      <c r="JW25" s="61"/>
      <c r="JX25" s="61"/>
      <c r="JY25" s="61"/>
      <c r="JZ25" s="61"/>
      <c r="KA25" s="61"/>
      <c r="KB25" s="61"/>
      <c r="KC25" s="61"/>
      <c r="KD25" s="61"/>
      <c r="KE25" s="61"/>
      <c r="KF25" s="61"/>
      <c r="KG25" s="61"/>
      <c r="KH25" s="61"/>
      <c r="KI25" s="61"/>
      <c r="KJ25" s="61"/>
      <c r="KK25" s="61"/>
      <c r="KL25" s="61"/>
      <c r="KM25" s="61"/>
      <c r="KN25" s="61"/>
      <c r="KO25" s="61"/>
      <c r="KP25" s="61"/>
      <c r="KQ25" s="61"/>
      <c r="KR25" s="61"/>
      <c r="KS25" s="61"/>
      <c r="KT25" s="61"/>
      <c r="KU25" s="61"/>
      <c r="KV25" s="61"/>
      <c r="KW25" s="61"/>
      <c r="KX25" s="61"/>
      <c r="KY25" s="61"/>
      <c r="KZ25" s="61"/>
      <c r="LA25" s="61"/>
      <c r="LB25" s="61"/>
      <c r="LC25" s="61"/>
      <c r="LD25" s="61"/>
      <c r="LE25" s="61"/>
      <c r="LF25" s="61"/>
      <c r="LG25" s="61"/>
      <c r="LH25" s="61"/>
      <c r="LI25" s="61"/>
      <c r="LJ25" s="61"/>
      <c r="LK25" s="61"/>
      <c r="LL25" s="61"/>
      <c r="LM25" s="61"/>
      <c r="LN25" s="61"/>
      <c r="LO25" s="61"/>
      <c r="LP25" s="61"/>
      <c r="LQ25" s="61"/>
      <c r="LR25" s="61"/>
      <c r="LS25" s="61"/>
      <c r="LT25" s="61"/>
      <c r="LU25" s="61"/>
      <c r="LV25" s="61"/>
      <c r="LW25" s="61"/>
      <c r="LX25" s="61"/>
      <c r="LY25" s="61"/>
      <c r="LZ25" s="61"/>
      <c r="MA25" s="61"/>
      <c r="MB25" s="61"/>
      <c r="MC25" s="61"/>
      <c r="MD25" s="61"/>
      <c r="ME25" s="61"/>
      <c r="MF25" s="61"/>
      <c r="MG25" s="61"/>
      <c r="MH25" s="61"/>
      <c r="MI25" s="61"/>
      <c r="MJ25" s="61"/>
      <c r="MK25" s="61"/>
      <c r="ML25" s="61"/>
      <c r="MM25" s="61"/>
      <c r="MN25" s="61"/>
      <c r="MO25" s="61"/>
      <c r="MP25" s="61"/>
      <c r="MQ25" s="61"/>
      <c r="MR25" s="61"/>
      <c r="MS25" s="61"/>
      <c r="MT25" s="61"/>
      <c r="MU25" s="61"/>
      <c r="MV25" s="61"/>
      <c r="MW25" s="61"/>
      <c r="MX25" s="61"/>
      <c r="MY25" s="61"/>
      <c r="MZ25" s="61"/>
      <c r="NA25" s="61"/>
      <c r="NB25" s="61"/>
      <c r="NC25" s="61"/>
      <c r="ND25" s="61"/>
      <c r="NE25" s="61"/>
      <c r="NF25" s="61"/>
      <c r="NG25" s="61"/>
      <c r="NH25" s="61"/>
      <c r="NI25" s="61"/>
      <c r="NJ25" s="61"/>
      <c r="NK25" s="59">
        <v>28</v>
      </c>
      <c r="NL25" s="61"/>
      <c r="NM25" s="61"/>
      <c r="NN25" s="61"/>
      <c r="NO25" s="61"/>
      <c r="NP25" s="61"/>
      <c r="NQ25" s="61"/>
      <c r="NR25" s="61"/>
      <c r="NS25" s="61"/>
      <c r="NT25" s="61"/>
      <c r="NU25" s="61"/>
      <c r="NV25" s="61"/>
      <c r="NW25" s="61"/>
      <c r="NX25" s="61"/>
      <c r="NY25" s="61"/>
      <c r="NZ25" s="61"/>
      <c r="OA25" s="61"/>
      <c r="OB25" s="61"/>
      <c r="OC25" s="61"/>
      <c r="OD25" s="61"/>
      <c r="OE25" s="61"/>
      <c r="OF25" s="61"/>
      <c r="OG25" s="61"/>
      <c r="OH25" s="61"/>
      <c r="OI25" s="61"/>
      <c r="OJ25" s="61"/>
      <c r="OK25" s="61"/>
      <c r="OL25" s="61"/>
      <c r="OM25" s="61"/>
      <c r="ON25" s="61"/>
      <c r="OO25" s="61"/>
      <c r="OP25" s="61"/>
      <c r="OQ25" s="61"/>
      <c r="OR25" s="61"/>
      <c r="OS25" s="61"/>
      <c r="OT25" s="61"/>
      <c r="OU25" s="61"/>
      <c r="OV25" s="61"/>
      <c r="OW25" s="61"/>
      <c r="OX25" s="61"/>
      <c r="OY25" s="61"/>
      <c r="OZ25" s="61"/>
      <c r="PA25" s="61"/>
      <c r="PB25" s="61"/>
      <c r="PC25" s="61"/>
      <c r="PD25" s="61"/>
      <c r="PE25" s="61"/>
      <c r="PF25" s="61"/>
      <c r="PG25" s="61"/>
      <c r="PH25" s="61"/>
      <c r="PI25" s="61"/>
      <c r="PJ25" s="61"/>
      <c r="PK25" s="61"/>
      <c r="PL25" s="61"/>
      <c r="PM25" s="61"/>
      <c r="PN25" s="61"/>
      <c r="PO25" s="61"/>
      <c r="PP25" s="61"/>
      <c r="PQ25" s="61"/>
      <c r="PR25" s="61"/>
      <c r="PS25" s="61"/>
      <c r="PT25" s="61"/>
      <c r="PU25" s="61"/>
      <c r="PV25" s="61"/>
      <c r="PW25" s="61"/>
      <c r="PX25" s="61"/>
      <c r="PY25" s="61"/>
      <c r="PZ25" s="61"/>
      <c r="QA25" s="61"/>
      <c r="QB25" s="61"/>
      <c r="QC25" s="61"/>
      <c r="QD25" s="61"/>
      <c r="QE25" s="61"/>
      <c r="QF25" s="61"/>
      <c r="QG25" s="61"/>
      <c r="QH25" s="61"/>
      <c r="QI25" s="61"/>
      <c r="QJ25" s="61"/>
      <c r="QK25" s="61"/>
      <c r="QL25" s="61"/>
      <c r="QM25" s="61"/>
      <c r="QN25" s="61"/>
      <c r="QO25" s="61"/>
      <c r="QP25" s="61"/>
      <c r="QQ25" s="61"/>
      <c r="QR25" s="61"/>
      <c r="QS25" s="61"/>
      <c r="QT25" s="61"/>
      <c r="QU25" s="61"/>
      <c r="QV25" s="61"/>
      <c r="QW25" s="61"/>
      <c r="QX25" s="61"/>
      <c r="QY25" s="59">
        <v>45</v>
      </c>
      <c r="RA25" s="61"/>
      <c r="RB25" s="61"/>
      <c r="RC25" s="61"/>
      <c r="RD25" s="61"/>
      <c r="RE25" s="61"/>
      <c r="RF25" s="61"/>
      <c r="RG25" s="61"/>
      <c r="RH25" s="61"/>
      <c r="RI25" s="61"/>
      <c r="RJ25" s="61"/>
      <c r="RK25" s="61"/>
      <c r="RL25" s="61"/>
      <c r="RM25" s="61"/>
      <c r="RN25" s="61"/>
      <c r="RO25" s="61"/>
      <c r="RP25" s="61"/>
      <c r="RQ25" s="61"/>
      <c r="RR25" s="61"/>
      <c r="RS25" s="61"/>
      <c r="RT25" s="61"/>
      <c r="RU25" s="61"/>
      <c r="RV25" s="61"/>
      <c r="RW25" s="61"/>
      <c r="RX25" s="61"/>
      <c r="RY25" s="61"/>
      <c r="RZ25" s="61"/>
      <c r="SA25" s="61"/>
      <c r="SB25" s="61"/>
      <c r="SC25" s="61"/>
      <c r="SD25" s="61"/>
      <c r="SE25" s="61"/>
      <c r="SF25" s="61"/>
      <c r="SG25" s="61"/>
      <c r="SH25" s="61"/>
      <c r="SI25" s="61"/>
      <c r="SJ25" s="61"/>
      <c r="SK25" s="61"/>
      <c r="SL25" s="61"/>
      <c r="SM25" s="61"/>
      <c r="SN25" s="61"/>
      <c r="SO25" s="61"/>
      <c r="SP25" s="61"/>
      <c r="SQ25" s="61"/>
      <c r="SR25" s="61"/>
      <c r="SS25" s="61"/>
      <c r="ST25" s="61"/>
      <c r="SU25" s="61"/>
      <c r="SV25" s="61"/>
      <c r="SW25" s="61"/>
      <c r="SX25" s="61"/>
      <c r="SY25" s="61"/>
      <c r="SZ25" s="61"/>
      <c r="TA25" s="61"/>
      <c r="TB25" s="61"/>
      <c r="TC25" s="66"/>
      <c r="TD25" s="66"/>
      <c r="TE25" s="66"/>
      <c r="TF25" s="66"/>
      <c r="TG25" s="66"/>
      <c r="TH25" s="66"/>
      <c r="TI25" s="66"/>
      <c r="TJ25" s="66"/>
      <c r="TK25" s="66"/>
      <c r="TL25" s="66"/>
      <c r="TM25" s="61"/>
      <c r="TN25" s="61"/>
      <c r="TO25" s="61"/>
      <c r="TP25" s="61"/>
      <c r="TQ25" s="59">
        <v>144</v>
      </c>
      <c r="TR25" s="61"/>
      <c r="TS25" s="61"/>
      <c r="TT25" s="61"/>
      <c r="TU25" s="61"/>
      <c r="TV25" s="61"/>
      <c r="TW25" s="61"/>
      <c r="TX25" s="61"/>
      <c r="TY25" s="61"/>
      <c r="TZ25" s="61"/>
      <c r="UA25" s="61"/>
      <c r="UB25" s="61"/>
      <c r="UC25" s="61"/>
      <c r="UD25" s="61"/>
      <c r="UE25" s="61"/>
      <c r="UF25" s="61"/>
      <c r="UG25" s="61"/>
      <c r="UH25" s="61"/>
      <c r="UI25" s="61"/>
      <c r="UJ25" s="61"/>
      <c r="UK25" s="61"/>
      <c r="UL25" s="61"/>
      <c r="UM25" s="61"/>
      <c r="UN25" s="61"/>
      <c r="UO25" s="61"/>
      <c r="UP25" s="61"/>
      <c r="UQ25" s="61"/>
      <c r="UR25" s="61"/>
      <c r="US25" s="61"/>
      <c r="UT25" s="61"/>
      <c r="UU25" s="61"/>
      <c r="UV25" s="61"/>
      <c r="UW25" s="61"/>
      <c r="UX25" s="61"/>
      <c r="UY25" s="61"/>
      <c r="UZ25" s="61"/>
      <c r="VA25" s="61"/>
      <c r="VB25" s="61"/>
      <c r="VC25" s="61"/>
      <c r="VD25" s="61"/>
      <c r="VE25" s="61"/>
      <c r="VF25" s="61"/>
      <c r="VG25" s="61"/>
      <c r="VH25" s="61"/>
      <c r="VI25" s="61"/>
      <c r="VJ25" s="61"/>
      <c r="VK25" s="61"/>
      <c r="VL25" s="61"/>
      <c r="VM25" s="61"/>
      <c r="VN25" s="61"/>
      <c r="VO25" s="61"/>
      <c r="VP25" s="61"/>
      <c r="VQ25" s="61"/>
      <c r="VR25" s="61"/>
      <c r="VS25" s="61"/>
      <c r="VT25" s="61"/>
      <c r="VU25" s="61"/>
      <c r="VV25" s="61"/>
      <c r="VW25" s="61"/>
      <c r="VX25" s="61"/>
      <c r="VY25" s="61"/>
      <c r="VZ25" s="61"/>
      <c r="WA25" s="61"/>
      <c r="WB25" s="61"/>
      <c r="WC25" s="61"/>
      <c r="WD25" s="61"/>
      <c r="WE25" s="61"/>
      <c r="WF25" s="61"/>
      <c r="WG25" s="61"/>
      <c r="WH25" s="61"/>
      <c r="WI25" s="61"/>
      <c r="WJ25" s="61"/>
      <c r="WK25" s="61"/>
      <c r="WL25" s="61"/>
      <c r="WM25" s="61"/>
      <c r="WN25" s="61"/>
      <c r="WO25" s="61"/>
      <c r="WP25" s="61"/>
      <c r="WQ25" s="61"/>
      <c r="WR25" s="61"/>
      <c r="WS25" s="61"/>
      <c r="WT25" s="61"/>
      <c r="WU25" s="61"/>
      <c r="WV25" s="61"/>
      <c r="WW25" s="61"/>
      <c r="WX25" s="61"/>
      <c r="WY25" s="61"/>
      <c r="WZ25" s="61"/>
      <c r="XA25" s="61"/>
      <c r="XB25" s="61"/>
      <c r="XC25" s="61"/>
      <c r="XD25" s="61"/>
      <c r="XE25" s="61"/>
      <c r="XF25" s="61"/>
      <c r="XG25" s="61"/>
      <c r="XH25" s="61"/>
      <c r="XI25" s="61"/>
      <c r="XJ25" s="61"/>
      <c r="XK25" s="61"/>
      <c r="XL25" s="61"/>
      <c r="XM25" s="61"/>
      <c r="XN25" s="59">
        <v>6.8</v>
      </c>
      <c r="XP25" s="61"/>
      <c r="XQ25" s="61"/>
      <c r="XR25" s="61"/>
      <c r="XS25" s="61"/>
      <c r="XT25" s="61"/>
      <c r="XU25" s="61"/>
      <c r="XV25" s="61"/>
      <c r="XW25" s="61"/>
      <c r="XX25" s="61"/>
      <c r="XY25" s="61"/>
      <c r="XZ25" s="61"/>
      <c r="YA25" s="61"/>
      <c r="YB25" s="61"/>
      <c r="YC25" s="61"/>
      <c r="YD25" s="61"/>
      <c r="YE25" s="61"/>
      <c r="YF25" s="61"/>
      <c r="YG25" s="61"/>
      <c r="YH25" s="61"/>
      <c r="YI25" s="61"/>
      <c r="YJ25" s="61"/>
      <c r="YK25" s="61"/>
      <c r="YL25" s="61"/>
      <c r="YM25" s="61"/>
      <c r="YN25" s="61"/>
      <c r="YO25" s="61"/>
      <c r="YP25" s="61"/>
      <c r="YQ25" s="61"/>
      <c r="YR25" s="61"/>
      <c r="YS25" s="61"/>
      <c r="YT25" s="61"/>
      <c r="YU25" s="61"/>
      <c r="YV25" s="61"/>
      <c r="YW25" s="61"/>
      <c r="YX25" s="61"/>
      <c r="YY25" s="61"/>
      <c r="YZ25" s="61"/>
      <c r="ZA25" s="61"/>
      <c r="ZB25" s="61"/>
      <c r="ZC25" s="61"/>
      <c r="ZD25" s="61"/>
      <c r="ZE25" s="61"/>
      <c r="ZF25" s="61"/>
      <c r="ZG25" s="61"/>
      <c r="ZH25" s="61"/>
      <c r="ZI25" s="61"/>
      <c r="ZJ25" s="61"/>
      <c r="ZK25" s="61"/>
      <c r="ZL25" s="61"/>
      <c r="ZM25" s="61"/>
      <c r="ZN25" s="61"/>
      <c r="ZO25" s="61"/>
      <c r="ZP25" s="61"/>
      <c r="ZQ25" s="61"/>
      <c r="ZR25" s="62"/>
      <c r="ZS25" s="62"/>
      <c r="ZT25" s="62"/>
      <c r="ZU25" s="62"/>
      <c r="ZV25" s="62"/>
      <c r="ZW25" s="62"/>
      <c r="ZX25" s="62"/>
      <c r="ZY25" s="62"/>
      <c r="ZZ25" s="62"/>
      <c r="AAA25" s="62"/>
      <c r="AAB25" s="62"/>
      <c r="AAC25" s="62"/>
      <c r="AAD25" s="62"/>
      <c r="AAE25" s="62"/>
      <c r="AAF25" s="62"/>
      <c r="AAG25" s="62"/>
      <c r="AAH25" s="62"/>
      <c r="AAI25" s="62"/>
      <c r="AAJ25" s="62"/>
      <c r="AAK25" s="62"/>
      <c r="AAL25" s="62"/>
      <c r="AAM25" s="62"/>
      <c r="AAN25" s="62"/>
      <c r="AAO25" s="62"/>
      <c r="AAP25" s="62"/>
      <c r="AAQ25" s="62"/>
      <c r="AAR25" s="62"/>
      <c r="AAS25" s="62"/>
      <c r="AAT25" s="62"/>
      <c r="AAU25" s="62"/>
      <c r="AAV25" s="62"/>
      <c r="AAW25" s="62"/>
      <c r="AAX25" s="61"/>
      <c r="AAY25" s="61"/>
      <c r="AAZ25" s="61"/>
      <c r="ABA25" s="61"/>
      <c r="ABB25" s="61"/>
      <c r="ABC25" s="61"/>
      <c r="ABD25" s="61"/>
      <c r="ABE25" s="61"/>
      <c r="ABF25" s="61"/>
      <c r="ABG25" s="61"/>
      <c r="ABH25" s="61"/>
      <c r="ABI25" s="61"/>
      <c r="ABJ25" s="61"/>
      <c r="ABK25" s="61"/>
      <c r="ABL25" s="61"/>
      <c r="ABM25" s="61"/>
      <c r="ABN25" s="61"/>
      <c r="ABO25" s="61"/>
      <c r="ABP25" s="61"/>
      <c r="ABQ25" s="61"/>
      <c r="ABR25" s="61"/>
      <c r="ABS25" s="61"/>
      <c r="ABT25" s="61"/>
      <c r="ABU25" s="61"/>
      <c r="ABV25" s="61"/>
      <c r="ABW25" s="61"/>
      <c r="ABX25" s="61"/>
      <c r="ABY25" s="61"/>
      <c r="ABZ25" s="61"/>
      <c r="ACA25" s="61"/>
      <c r="ACB25" s="61"/>
      <c r="ACC25" s="61"/>
      <c r="ACD25" s="61"/>
      <c r="ACE25" s="61"/>
      <c r="ACF25" s="61"/>
      <c r="ACG25" s="61"/>
      <c r="ACH25" s="61"/>
      <c r="ACI25" s="61"/>
      <c r="ACJ25" s="61"/>
      <c r="ACK25" s="61"/>
      <c r="ACL25" s="61"/>
      <c r="ACM25" s="61"/>
      <c r="ACN25" s="61"/>
      <c r="ACO25" s="61"/>
      <c r="ACP25" s="61"/>
      <c r="ACQ25" s="61"/>
      <c r="ACR25" s="61"/>
      <c r="ACS25" s="61"/>
      <c r="ACT25" s="61"/>
      <c r="ACU25" s="61"/>
      <c r="ACV25" s="61"/>
      <c r="ACW25" s="61"/>
      <c r="ACX25" s="61"/>
      <c r="ACY25" s="61"/>
      <c r="ACZ25" s="61"/>
      <c r="ADA25" s="61"/>
      <c r="ADB25" s="61"/>
      <c r="ADC25" s="61"/>
      <c r="ADD25" s="61"/>
      <c r="ADE25" s="61"/>
      <c r="ADF25" s="61"/>
      <c r="ADG25" s="61"/>
      <c r="ADH25" s="61"/>
      <c r="ADI25" s="61"/>
      <c r="ADJ25" s="61"/>
      <c r="ADK25" s="61"/>
      <c r="ADL25" s="61"/>
      <c r="ADM25" s="61"/>
      <c r="ADN25" s="61"/>
      <c r="ADO25" s="61"/>
      <c r="ADP25" s="61"/>
      <c r="ADQ25" s="61"/>
      <c r="ADR25" s="61"/>
      <c r="ADS25" s="61"/>
      <c r="ADT25" s="61"/>
      <c r="ADU25" s="61"/>
      <c r="ADV25" s="61"/>
      <c r="ADW25" s="61"/>
      <c r="ADX25" s="61"/>
      <c r="ADY25" s="61"/>
      <c r="ADZ25" s="61"/>
      <c r="AEA25" s="61"/>
      <c r="AEB25" s="61"/>
      <c r="AEC25" s="61"/>
      <c r="AED25" s="61"/>
      <c r="AEE25" s="61"/>
      <c r="AEF25" s="61"/>
      <c r="AEG25" s="61"/>
      <c r="AEH25" s="61"/>
      <c r="AEI25" s="61"/>
      <c r="AEJ25" s="61"/>
      <c r="AEK25" s="61"/>
      <c r="AEL25" s="61"/>
      <c r="AEM25" s="61"/>
      <c r="AEN25" s="61"/>
      <c r="AEO25" s="61"/>
      <c r="AEP25" s="61"/>
      <c r="AEQ25" s="61"/>
      <c r="AER25" s="61"/>
      <c r="AES25" s="61"/>
      <c r="AET25" s="61"/>
      <c r="AEU25" s="62"/>
      <c r="AEV25" s="62"/>
      <c r="AEW25" s="62"/>
      <c r="AEX25" s="62"/>
      <c r="AEY25" s="62"/>
      <c r="AEZ25" s="62"/>
      <c r="AFA25" s="62"/>
      <c r="AFB25" s="62"/>
      <c r="AFC25" s="62"/>
      <c r="AFD25" s="62"/>
      <c r="AFE25" s="62"/>
      <c r="AFF25" s="62"/>
      <c r="AFG25" s="62"/>
      <c r="AFH25" s="62"/>
      <c r="AFI25" s="62"/>
      <c r="AFJ25" s="62"/>
      <c r="AFK25" s="62"/>
      <c r="AFL25" s="62"/>
      <c r="AFM25" s="62"/>
      <c r="AFN25" s="62"/>
      <c r="AFO25" s="62"/>
      <c r="AFP25" s="62"/>
      <c r="AFQ25" s="62"/>
      <c r="AFR25" s="62"/>
      <c r="AFS25" s="62"/>
      <c r="AFT25" s="62"/>
      <c r="AFU25" s="62"/>
      <c r="AFV25" s="62"/>
      <c r="AFW25" s="62"/>
      <c r="AFX25" s="62"/>
      <c r="AFY25" s="62"/>
      <c r="AFZ25" s="62"/>
      <c r="AGA25" s="62"/>
      <c r="AGB25" s="62"/>
      <c r="AGC25" s="62"/>
      <c r="AGD25" s="62"/>
      <c r="AGE25" s="62"/>
      <c r="AGF25" s="62"/>
      <c r="AGG25" s="61"/>
      <c r="AGH25" s="61"/>
      <c r="AGI25" s="61"/>
      <c r="AGJ25" s="61"/>
      <c r="AGK25" s="61"/>
      <c r="AGL25" s="61"/>
      <c r="AGM25" s="61"/>
      <c r="AGN25" s="61"/>
      <c r="AGO25" s="61"/>
      <c r="AGP25" s="61"/>
      <c r="AGQ25" s="61"/>
      <c r="AGR25" s="61"/>
      <c r="AGS25" s="61"/>
      <c r="AGT25" s="61"/>
      <c r="AGU25" s="61"/>
      <c r="AGV25" s="61"/>
      <c r="AGW25" s="61"/>
      <c r="AGX25" s="61"/>
      <c r="AGY25" s="61"/>
      <c r="AGZ25" s="61"/>
      <c r="AHA25" s="61"/>
      <c r="AHB25" s="61"/>
      <c r="AHC25" s="61"/>
      <c r="AHD25" s="61"/>
      <c r="AHE25" s="61"/>
      <c r="AHF25" s="61"/>
      <c r="AHG25" s="61"/>
      <c r="AHH25" s="61"/>
      <c r="AHI25" s="61"/>
      <c r="AHJ25" s="61"/>
      <c r="AHK25" s="61"/>
      <c r="AHL25" s="61"/>
      <c r="AHM25" s="61"/>
      <c r="AHN25" s="61"/>
      <c r="AHO25" s="61"/>
      <c r="AHP25" s="61"/>
      <c r="AHQ25" s="61"/>
      <c r="AHR25" s="61"/>
      <c r="AHS25" s="61"/>
      <c r="AHT25" s="61"/>
      <c r="AHU25" s="61"/>
      <c r="AHV25" s="61"/>
      <c r="AHW25" s="61"/>
      <c r="AHX25" s="61"/>
      <c r="AHY25" s="61"/>
      <c r="AHZ25" s="61"/>
      <c r="AIA25" s="61"/>
      <c r="AIB25" s="61"/>
      <c r="AIC25" s="61"/>
      <c r="AID25" s="61"/>
      <c r="AIE25" s="61"/>
      <c r="AIF25" s="61"/>
      <c r="AIG25" s="62"/>
      <c r="AIH25" s="62"/>
      <c r="AII25" s="62"/>
      <c r="AIJ25" s="61"/>
      <c r="AIK25" s="61"/>
      <c r="AIL25" s="61"/>
      <c r="AIM25" s="61"/>
      <c r="AIN25" s="61"/>
      <c r="AIO25" s="61"/>
      <c r="AIP25" s="61"/>
      <c r="AIQ25" s="61"/>
      <c r="AIR25" s="61"/>
      <c r="AIS25" s="61"/>
      <c r="AIT25" s="61"/>
      <c r="AIU25" s="61"/>
      <c r="AIV25" s="61"/>
      <c r="AIW25" s="61"/>
      <c r="AIX25" s="61"/>
      <c r="AIY25" s="61"/>
      <c r="AIZ25" s="61"/>
      <c r="AJA25" s="61"/>
      <c r="AJB25" s="61"/>
      <c r="AJC25" s="61"/>
      <c r="AJD25" s="61"/>
      <c r="AJE25" s="61"/>
      <c r="AJF25" s="61"/>
      <c r="AJG25" s="61"/>
      <c r="AJH25" s="61"/>
      <c r="AJI25" s="61"/>
      <c r="AJJ25" s="61"/>
      <c r="AJK25" s="61"/>
      <c r="AJL25" s="61"/>
      <c r="AJM25" s="61"/>
      <c r="AJN25" s="62"/>
      <c r="AJO25" s="62"/>
      <c r="AJP25" s="62"/>
      <c r="AJQ25" s="61"/>
      <c r="AJR25" s="61"/>
      <c r="AJS25" s="61"/>
      <c r="AJT25" s="61"/>
      <c r="AJU25" s="61"/>
      <c r="AJV25" s="61"/>
      <c r="AJW25" s="61"/>
      <c r="AJX25" s="61"/>
      <c r="AJY25" s="61"/>
      <c r="AJZ25" s="61"/>
      <c r="AKA25" s="61"/>
      <c r="AKB25" s="61"/>
      <c r="AKC25" s="61"/>
      <c r="AKD25" s="61"/>
      <c r="AKE25" s="61"/>
      <c r="AKF25" s="61"/>
      <c r="AKG25" s="61"/>
      <c r="AKH25" s="61"/>
      <c r="AKI25" s="61"/>
      <c r="AKJ25" s="61"/>
      <c r="AKK25" s="61"/>
      <c r="AKL25" s="61"/>
      <c r="AKM25" s="61"/>
      <c r="AKN25" s="61"/>
      <c r="AKO25" s="61"/>
      <c r="AKP25" s="61"/>
      <c r="AKQ25" s="61"/>
      <c r="AKR25" s="61"/>
      <c r="AKS25" s="61"/>
      <c r="AKT25" s="61"/>
      <c r="AKU25" s="61"/>
      <c r="AKV25" s="61"/>
      <c r="AKW25" s="61"/>
      <c r="AKX25" s="62"/>
      <c r="AKY25" s="62"/>
      <c r="AKZ25" s="61"/>
      <c r="ALA25" s="61"/>
      <c r="ALB25" s="61"/>
      <c r="ALC25" s="61"/>
      <c r="ALD25" s="61"/>
      <c r="ALE25" s="61"/>
      <c r="ALF25" s="61"/>
      <c r="ALG25" s="61"/>
      <c r="ALH25" s="61"/>
      <c r="ALI25" s="61"/>
      <c r="ALJ25" s="61"/>
      <c r="ALK25" s="61"/>
      <c r="ALL25" s="61"/>
      <c r="ALM25" s="61"/>
      <c r="ALN25" s="61"/>
      <c r="ALO25" s="61"/>
      <c r="ALP25" s="61"/>
      <c r="ALQ25" s="61"/>
      <c r="ALR25" s="61"/>
      <c r="ALS25" s="61"/>
      <c r="ALT25" s="61"/>
      <c r="ALU25" s="61"/>
      <c r="ALV25" s="61"/>
      <c r="ALW25" s="61"/>
      <c r="ALX25" s="61"/>
      <c r="ALY25" s="61"/>
      <c r="ALZ25" s="61"/>
      <c r="AMA25" s="61"/>
      <c r="AMB25" s="61"/>
      <c r="AMC25" s="61"/>
      <c r="AMD25" s="61"/>
      <c r="AME25" s="61"/>
      <c r="AMF25" s="61"/>
      <c r="AMG25" s="61"/>
      <c r="AMH25" s="61"/>
      <c r="AMI25" s="61"/>
      <c r="AMJ25" s="61"/>
      <c r="AMK25" s="61"/>
      <c r="AML25" s="61"/>
      <c r="AMM25" s="61"/>
      <c r="AMN25" s="61"/>
      <c r="AMO25" s="61"/>
      <c r="AMP25" s="61"/>
      <c r="AMQ25" s="61"/>
      <c r="AMR25" s="61"/>
      <c r="AMS25" s="61"/>
      <c r="AMT25" s="61"/>
      <c r="AMU25" s="61"/>
      <c r="AMV25" s="61"/>
      <c r="AMW25" s="61"/>
      <c r="AMX25" s="61"/>
      <c r="AMY25" s="61"/>
      <c r="AMZ25" s="61"/>
      <c r="ANA25" s="61"/>
      <c r="ANB25" s="61"/>
      <c r="ANC25" s="61"/>
      <c r="AND25" s="61"/>
      <c r="ANE25" s="61"/>
      <c r="ANF25" s="61"/>
      <c r="ANG25" s="61"/>
      <c r="ANH25" s="61"/>
      <c r="ANI25" s="61"/>
      <c r="ANJ25" s="61"/>
      <c r="ANK25" s="61"/>
      <c r="ANL25" s="61"/>
      <c r="ANM25" s="61"/>
      <c r="ANN25" s="61"/>
      <c r="ANO25" s="61"/>
      <c r="ANP25" s="61"/>
      <c r="ANQ25" s="61"/>
      <c r="ANR25" s="61"/>
      <c r="ANS25" s="61"/>
      <c r="ANT25" s="61"/>
      <c r="ANU25" s="61"/>
      <c r="ANV25" s="61"/>
      <c r="ANW25" s="61"/>
      <c r="ANX25" s="61"/>
      <c r="ANY25" s="61"/>
      <c r="ANZ25" s="61"/>
      <c r="AOA25" s="61"/>
      <c r="AOB25" s="61"/>
      <c r="AOC25" s="61"/>
      <c r="AOD25" s="61"/>
      <c r="AOE25" s="61"/>
      <c r="AOF25" s="61"/>
      <c r="AOG25" s="61"/>
      <c r="AOH25" s="61"/>
      <c r="AOI25" s="61"/>
      <c r="AOJ25" s="61"/>
      <c r="AOK25" s="61"/>
      <c r="AOL25" s="61"/>
      <c r="AOM25" s="61"/>
      <c r="AON25" s="61"/>
      <c r="AOO25" s="61"/>
      <c r="AOP25" s="61"/>
      <c r="AOQ25" s="61"/>
      <c r="AOR25" s="61"/>
      <c r="AOS25" s="61"/>
      <c r="AOT25" s="61"/>
      <c r="AOU25" s="61"/>
      <c r="AOV25" s="61"/>
      <c r="AOW25" s="61"/>
      <c r="AOX25" s="61"/>
      <c r="AOY25" s="61"/>
      <c r="AOZ25" s="61"/>
      <c r="APA25" s="61"/>
      <c r="APB25" s="61"/>
      <c r="APC25" s="61"/>
      <c r="APD25" s="61"/>
      <c r="APE25" s="61"/>
      <c r="APF25" s="61"/>
      <c r="APG25" s="61"/>
      <c r="APH25" s="61"/>
      <c r="API25" s="61"/>
      <c r="APJ25" s="61"/>
      <c r="APK25" s="61"/>
      <c r="APL25" s="61"/>
      <c r="APM25" s="61"/>
      <c r="APN25" s="61"/>
      <c r="APO25" s="61"/>
      <c r="APP25" s="61"/>
      <c r="APQ25" s="61"/>
      <c r="APR25" s="61"/>
      <c r="APS25" s="61"/>
      <c r="APT25" s="61"/>
      <c r="APU25" s="61"/>
      <c r="APV25" s="61"/>
      <c r="APW25" s="61"/>
      <c r="APX25" s="61"/>
      <c r="APY25" s="61"/>
      <c r="APZ25" s="61"/>
      <c r="AQA25" s="61"/>
      <c r="AQB25" s="61"/>
      <c r="AQC25" s="61"/>
      <c r="AQD25" s="61"/>
      <c r="AQE25" s="61"/>
      <c r="ARV25" s="66"/>
      <c r="ARW25" s="66"/>
      <c r="ARX25" s="66"/>
      <c r="ARY25" s="66"/>
      <c r="ARZ25" s="66"/>
      <c r="ASA25" s="66"/>
      <c r="ASB25" s="66"/>
      <c r="ASC25" s="66"/>
      <c r="ASD25" s="61"/>
      <c r="ASE25" s="61"/>
      <c r="ASF25" s="61"/>
      <c r="ASG25" s="61"/>
      <c r="ASH25" s="61"/>
      <c r="ASI25" s="61"/>
      <c r="ASJ25" s="61"/>
      <c r="ASK25" s="61"/>
      <c r="ASL25" s="61"/>
      <c r="ASM25" s="61"/>
      <c r="ASN25" s="61"/>
      <c r="ASO25" s="61"/>
      <c r="ASP25" s="61"/>
      <c r="ASQ25" s="61"/>
      <c r="ASR25" s="61"/>
      <c r="ASS25" s="61"/>
      <c r="AST25" s="61"/>
      <c r="ASU25" s="61"/>
      <c r="ASV25" s="61"/>
      <c r="ASW25" s="61"/>
      <c r="ASX25" s="61"/>
      <c r="ASY25" s="61"/>
      <c r="ASZ25" s="61"/>
      <c r="ATA25" s="61"/>
      <c r="ATB25" s="61"/>
      <c r="ATC25" s="61"/>
      <c r="ATD25" s="61"/>
      <c r="ATE25" s="61"/>
      <c r="ATF25" s="61"/>
      <c r="ATG25" s="61"/>
      <c r="ATH25" s="61"/>
      <c r="ATI25" s="61"/>
      <c r="ATJ25" s="61"/>
      <c r="ATK25" s="61"/>
      <c r="ATL25" s="61"/>
      <c r="ATM25" s="61"/>
      <c r="ATN25" s="61"/>
      <c r="ATO25" s="61"/>
      <c r="ATP25" s="61"/>
      <c r="ATQ25" s="62"/>
      <c r="ATR25" s="62"/>
      <c r="ATS25" s="62"/>
      <c r="ATT25" s="62"/>
      <c r="ATU25" s="62"/>
      <c r="ATV25" s="61"/>
      <c r="ATW25" s="61"/>
      <c r="ATX25" s="61"/>
      <c r="ATY25" s="61"/>
      <c r="ATZ25" s="61"/>
      <c r="AUA25" s="61"/>
      <c r="AUB25" s="61"/>
      <c r="AUC25" s="61"/>
      <c r="AUD25" s="61"/>
      <c r="AUE25" s="61"/>
      <c r="AUF25" s="61"/>
      <c r="AUG25" s="61"/>
      <c r="AUH25" s="61"/>
      <c r="AUI25" s="61"/>
      <c r="AUJ25" s="61"/>
      <c r="AUK25" s="61"/>
      <c r="AUL25" s="61"/>
      <c r="AUM25" s="61"/>
      <c r="AUN25" s="61"/>
      <c r="AUO25" s="61"/>
      <c r="AUP25" s="61"/>
      <c r="AUQ25" s="61"/>
      <c r="AUR25" s="61"/>
      <c r="AUS25" s="61"/>
      <c r="AUT25" s="61"/>
      <c r="AUU25" s="61"/>
      <c r="AUV25" s="61"/>
      <c r="AUW25" s="61"/>
      <c r="AUX25" s="61"/>
      <c r="AUY25" s="61"/>
      <c r="AUZ25" s="61"/>
      <c r="AVA25" s="61"/>
      <c r="AVB25" s="61"/>
      <c r="AVC25" s="61"/>
      <c r="AVD25" s="61"/>
      <c r="AVE25" s="61"/>
      <c r="AVF25" s="61"/>
      <c r="AVG25" s="61"/>
      <c r="AVH25" s="61"/>
      <c r="AVI25" s="61"/>
      <c r="AVJ25" s="61"/>
      <c r="AVK25" s="61"/>
      <c r="AVL25" s="61"/>
      <c r="AVM25" s="61"/>
      <c r="AVN25" s="61"/>
      <c r="AVO25" s="61"/>
      <c r="AVP25" s="61"/>
      <c r="AVQ25" s="61"/>
      <c r="AVR25" s="61"/>
      <c r="AVS25" s="61"/>
      <c r="AVT25" s="61"/>
      <c r="AVU25" s="61"/>
      <c r="AVV25" s="61"/>
      <c r="AVW25" s="61"/>
      <c r="AVX25" s="61"/>
      <c r="AVY25" s="61"/>
      <c r="AVZ25" s="61"/>
      <c r="AWA25" s="61"/>
      <c r="AWB25" s="61"/>
      <c r="AWC25" s="61"/>
      <c r="AWD25" s="61"/>
      <c r="AWE25" s="61"/>
      <c r="AWF25" s="61"/>
      <c r="AWG25" s="61"/>
      <c r="AWH25" s="61"/>
      <c r="AWI25" s="61"/>
      <c r="AWJ25" s="61"/>
      <c r="AWK25" s="61"/>
      <c r="AWL25" s="61"/>
      <c r="AWM25" s="61"/>
      <c r="AWN25" s="61"/>
      <c r="AWO25" s="61"/>
      <c r="AWP25" s="61"/>
      <c r="AWQ25" s="61"/>
      <c r="AWR25" s="61"/>
      <c r="AWS25" s="61"/>
      <c r="AWT25" s="61"/>
      <c r="AWU25" s="61"/>
      <c r="AWV25" s="61"/>
      <c r="AWW25" s="61"/>
      <c r="AWX25" s="61"/>
      <c r="AWY25" s="61"/>
      <c r="AWZ25" s="61"/>
      <c r="AXA25" s="61"/>
      <c r="AXB25" s="61"/>
      <c r="AXC25" s="61"/>
      <c r="AXD25" s="61"/>
      <c r="AXE25" s="61"/>
      <c r="AXF25" s="61"/>
      <c r="AXG25" s="61"/>
      <c r="AXH25" s="61"/>
      <c r="AXI25" s="61"/>
      <c r="AXJ25" s="61"/>
      <c r="AXK25" s="61"/>
      <c r="AXL25" s="61"/>
      <c r="AXM25" s="61"/>
      <c r="AXN25" s="61"/>
      <c r="AXO25" s="61"/>
      <c r="AXP25" s="61"/>
      <c r="AXQ25" s="61"/>
      <c r="AXR25" s="61"/>
      <c r="AXS25" s="61"/>
      <c r="AXT25" s="61"/>
      <c r="AXU25" s="61"/>
      <c r="AXV25" s="61"/>
      <c r="AXW25" s="61"/>
      <c r="AXX25" s="61"/>
      <c r="AXY25" s="61"/>
      <c r="AXZ25" s="61"/>
      <c r="AYA25" s="61"/>
      <c r="AYB25" s="61"/>
      <c r="AYC25" s="61"/>
      <c r="AYD25" s="61"/>
      <c r="AYE25" s="61"/>
      <c r="AYF25" s="61"/>
      <c r="AYG25" s="61"/>
      <c r="AYH25" s="61"/>
      <c r="AYI25" s="61"/>
      <c r="AYJ25" s="61"/>
      <c r="AYK25" s="61"/>
      <c r="AYL25" s="61"/>
      <c r="AYM25" s="61"/>
      <c r="AYN25" s="61"/>
      <c r="AYO25" s="61"/>
      <c r="AYP25" s="61"/>
      <c r="AYQ25" s="61"/>
      <c r="AYR25" s="61"/>
      <c r="AYS25" s="61"/>
      <c r="AYT25" s="61"/>
      <c r="AYU25" s="61"/>
      <c r="AYV25" s="61"/>
      <c r="AYW25" s="61"/>
      <c r="AYX25" s="61"/>
      <c r="AYY25" s="61"/>
      <c r="AYZ25" s="61"/>
      <c r="AZA25" s="61"/>
      <c r="AZB25" s="61"/>
      <c r="AZC25" s="61"/>
      <c r="AZD25" s="61"/>
      <c r="AZE25" s="61"/>
      <c r="AZF25" s="61"/>
      <c r="AZG25" s="61"/>
      <c r="AZH25" s="61"/>
      <c r="AZI25" s="61"/>
      <c r="AZJ25" s="61"/>
      <c r="AZK25" s="61"/>
      <c r="AZL25" s="61"/>
      <c r="AZM25" s="61"/>
      <c r="AZN25" s="61"/>
      <c r="AZO25" s="61"/>
      <c r="AZP25" s="61"/>
      <c r="AZQ25" s="61"/>
      <c r="AZR25" s="61"/>
      <c r="AZS25" s="61"/>
      <c r="AZT25" s="61"/>
      <c r="AZU25" s="61"/>
      <c r="AZV25" s="61"/>
      <c r="AZW25" s="61"/>
      <c r="AZX25" s="61"/>
      <c r="AZY25" s="61"/>
      <c r="AZZ25" s="61"/>
      <c r="BAA25" s="61"/>
      <c r="BAB25" s="61"/>
      <c r="BAC25" s="61"/>
      <c r="BAD25" s="61"/>
      <c r="BAE25" s="61"/>
      <c r="BAF25" s="61"/>
      <c r="BAG25" s="61"/>
      <c r="BAH25" s="61"/>
      <c r="BAI25" s="61"/>
      <c r="BAJ25" s="61"/>
      <c r="BAK25" s="61"/>
      <c r="BAL25" s="61"/>
      <c r="BAM25" s="61"/>
      <c r="BAN25" s="61"/>
      <c r="BAO25" s="61"/>
      <c r="BAP25" s="61"/>
      <c r="BAQ25" s="61"/>
      <c r="BAR25" s="61"/>
      <c r="BAS25" s="61"/>
      <c r="BAT25" s="61"/>
      <c r="BAU25" s="61"/>
      <c r="BAV25" s="61"/>
      <c r="BAW25" s="61"/>
      <c r="BAX25" s="61"/>
      <c r="BAY25" s="61"/>
      <c r="BAZ25" s="61"/>
      <c r="BBA25" s="61"/>
      <c r="BBB25" s="61"/>
      <c r="BBC25" s="61"/>
      <c r="BBD25" s="61"/>
      <c r="BBE25" s="61"/>
      <c r="BBF25" s="61"/>
      <c r="BBG25" s="61"/>
      <c r="BBH25" s="61"/>
      <c r="BBI25" s="61"/>
      <c r="BBJ25" s="61"/>
      <c r="BBK25" s="61"/>
      <c r="BBL25" s="61"/>
      <c r="BBM25" s="61"/>
      <c r="BBN25" s="61"/>
      <c r="BBO25" s="61"/>
      <c r="BBP25" s="61"/>
      <c r="BBQ25" s="61"/>
      <c r="BBR25" s="61"/>
      <c r="BBS25" s="61"/>
      <c r="BBT25" s="61"/>
      <c r="BBU25" s="61"/>
      <c r="BBV25" s="61"/>
      <c r="BBW25" s="61"/>
      <c r="BBX25" s="61"/>
      <c r="BBY25" s="61"/>
      <c r="BBZ25" s="61"/>
      <c r="BCA25" s="61"/>
      <c r="BCB25" s="61"/>
      <c r="BCC25" s="61"/>
      <c r="BCD25" s="61"/>
      <c r="BCE25" s="61"/>
      <c r="BCF25" s="61"/>
      <c r="BCG25" s="61"/>
      <c r="BCH25" s="61"/>
      <c r="BCI25" s="61"/>
      <c r="BCJ25" s="61"/>
      <c r="BCK25" s="61"/>
      <c r="BCL25" s="61"/>
      <c r="BCM25" s="61"/>
      <c r="BCN25" s="61"/>
      <c r="BCO25" s="61"/>
      <c r="BCP25" s="61"/>
      <c r="BCQ25" s="61"/>
      <c r="BCR25" s="61"/>
      <c r="BCS25" s="61"/>
      <c r="BCT25" s="61"/>
      <c r="BCU25" s="61"/>
      <c r="BCV25" s="61"/>
      <c r="BCW25" s="61"/>
      <c r="BCX25" s="61"/>
      <c r="BCY25" s="61"/>
      <c r="BCZ25" s="61"/>
      <c r="BDA25" s="61"/>
      <c r="BDB25" s="61"/>
      <c r="BDC25" s="61"/>
      <c r="BDD25" s="61"/>
      <c r="BDE25" s="61"/>
      <c r="BDF25" s="61"/>
      <c r="BDG25" s="61"/>
      <c r="BDH25" s="61"/>
      <c r="BDI25" s="61"/>
      <c r="BDJ25" s="61"/>
      <c r="BDK25" s="61"/>
      <c r="BDL25" s="61"/>
      <c r="BDM25" s="61"/>
      <c r="BDN25" s="61"/>
      <c r="BDO25" s="61"/>
      <c r="BDP25" s="61"/>
      <c r="BDQ25" s="61"/>
      <c r="BDR25" s="61"/>
      <c r="BDS25" s="61"/>
      <c r="BDT25" s="61"/>
      <c r="BDU25" s="61"/>
      <c r="BDV25" s="61"/>
      <c r="BDW25" s="61"/>
      <c r="BDX25" s="61"/>
      <c r="BDY25" s="61"/>
      <c r="BDZ25" s="61"/>
      <c r="BEA25" s="61"/>
      <c r="BEB25" s="61"/>
      <c r="BEC25" s="61"/>
      <c r="BED25" s="61"/>
      <c r="BEE25" s="61"/>
      <c r="BEF25" s="61"/>
      <c r="BEG25" s="61"/>
      <c r="BEH25" s="61"/>
      <c r="BEI25" s="61"/>
      <c r="BEJ25" s="61"/>
      <c r="BEK25" s="61"/>
      <c r="BEL25" s="61"/>
      <c r="BEM25" s="61"/>
      <c r="BEN25" s="61"/>
      <c r="BEO25" s="61"/>
      <c r="BEP25" s="61"/>
      <c r="BEQ25" s="61"/>
      <c r="BER25" s="61"/>
      <c r="BES25" s="61"/>
      <c r="BOA25" s="59">
        <v>36</v>
      </c>
      <c r="BOC25" s="59">
        <v>1</v>
      </c>
      <c r="BOD25" s="59">
        <v>25.8</v>
      </c>
      <c r="BOG25" s="59">
        <v>15</v>
      </c>
      <c r="BRH25" s="59">
        <v>1</v>
      </c>
      <c r="BTQ25" s="59">
        <v>1</v>
      </c>
      <c r="BYJ25" s="65"/>
      <c r="BYK25" s="59">
        <v>0</v>
      </c>
      <c r="BYY25" s="59">
        <v>0</v>
      </c>
      <c r="BZL25" s="59">
        <v>0</v>
      </c>
      <c r="BZM25" s="59">
        <v>500</v>
      </c>
      <c r="BZN25" s="59">
        <v>1</v>
      </c>
      <c r="BZQ25" s="59">
        <v>1</v>
      </c>
      <c r="BZS25" s="59">
        <v>2</v>
      </c>
      <c r="BZT25" s="59">
        <v>0</v>
      </c>
      <c r="BZU25" s="59">
        <v>0</v>
      </c>
      <c r="BZV25" s="59">
        <v>1</v>
      </c>
      <c r="CMG25" s="63"/>
      <c r="CMH25" s="59">
        <v>2</v>
      </c>
      <c r="CMK25" s="59">
        <v>1</v>
      </c>
      <c r="CML25" s="59">
        <v>11</v>
      </c>
      <c r="CMM25" s="59">
        <v>17</v>
      </c>
      <c r="CMN25" s="59">
        <v>8</v>
      </c>
      <c r="CMO25" s="59">
        <v>0</v>
      </c>
      <c r="CMP25" s="59">
        <v>3</v>
      </c>
      <c r="CQO25" s="59">
        <v>2</v>
      </c>
      <c r="CQR25" s="59">
        <v>1</v>
      </c>
      <c r="CQS25" s="59">
        <v>9</v>
      </c>
      <c r="CQT25" s="59">
        <v>6</v>
      </c>
      <c r="CQU25" s="59">
        <v>0</v>
      </c>
      <c r="CQV25" s="59">
        <v>999</v>
      </c>
      <c r="HGI25" s="59">
        <v>1</v>
      </c>
      <c r="HGO25" s="59">
        <v>1</v>
      </c>
      <c r="HHA25" s="59">
        <v>1</v>
      </c>
      <c r="HHG25" s="59">
        <v>1</v>
      </c>
      <c r="HHM25" s="59">
        <v>1</v>
      </c>
      <c r="HHN25" s="59">
        <v>1</v>
      </c>
      <c r="HHO25" s="59">
        <v>1</v>
      </c>
      <c r="HJK25" s="59">
        <v>1</v>
      </c>
      <c r="HJL25" s="59">
        <v>1</v>
      </c>
      <c r="HKB25" s="59">
        <v>1</v>
      </c>
    </row>
    <row r="26" spans="1:2984 3117:4093 4097:4980 5166:5792" s="59" customFormat="1" x14ac:dyDescent="0.25">
      <c r="A26" s="77">
        <v>99000894</v>
      </c>
      <c r="B26" s="60" t="s">
        <v>4190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2"/>
      <c r="GY26" s="62"/>
      <c r="GZ26" s="62"/>
      <c r="HA26" s="62"/>
      <c r="HB26" s="62"/>
      <c r="HC26" s="62"/>
      <c r="HD26" s="62"/>
      <c r="HP26" s="62"/>
      <c r="HR26" s="61"/>
      <c r="HS26" s="61"/>
      <c r="HT26" s="61"/>
      <c r="HU26" s="61"/>
      <c r="HV26" s="61"/>
      <c r="HW26" s="61"/>
      <c r="HX26" s="61"/>
      <c r="HY26" s="61"/>
      <c r="HZ26" s="61"/>
      <c r="IA26" s="61"/>
      <c r="IB26" s="61"/>
      <c r="IC26" s="61"/>
      <c r="ID26" s="61"/>
      <c r="IE26" s="61"/>
      <c r="IF26" s="61"/>
      <c r="IG26" s="61"/>
      <c r="IH26" s="61"/>
      <c r="II26" s="59">
        <v>14100</v>
      </c>
      <c r="IN26" s="61"/>
      <c r="IO26" s="61"/>
      <c r="IP26" s="61"/>
      <c r="IQ26" s="61"/>
      <c r="IR26" s="61"/>
      <c r="IS26" s="61"/>
      <c r="IT26" s="61"/>
      <c r="IU26" s="61"/>
      <c r="IV26" s="61"/>
      <c r="IW26" s="61"/>
      <c r="IX26" s="61"/>
      <c r="JA26" s="61"/>
      <c r="JB26" s="61"/>
      <c r="JC26" s="61"/>
      <c r="JD26" s="61"/>
      <c r="JE26" s="61"/>
      <c r="JF26" s="61"/>
      <c r="JG26" s="61"/>
      <c r="JH26" s="61"/>
      <c r="JJ26" s="61"/>
      <c r="JK26" s="61"/>
      <c r="JP26" s="61"/>
      <c r="JR26" s="61"/>
      <c r="JS26" s="61"/>
      <c r="JT26" s="61"/>
      <c r="JU26" s="61"/>
      <c r="JV26" s="61"/>
      <c r="JW26" s="61"/>
      <c r="JX26" s="61"/>
      <c r="JY26" s="61"/>
      <c r="JZ26" s="61"/>
      <c r="KA26" s="61"/>
      <c r="KB26" s="61"/>
      <c r="KC26" s="61"/>
      <c r="KD26" s="61"/>
      <c r="KE26" s="61"/>
      <c r="KF26" s="61"/>
      <c r="KG26" s="61"/>
      <c r="KH26" s="61"/>
      <c r="KI26" s="61"/>
      <c r="KJ26" s="61"/>
      <c r="KK26" s="61"/>
      <c r="KL26" s="61"/>
      <c r="KM26" s="61"/>
      <c r="KN26" s="61"/>
      <c r="KO26" s="61"/>
      <c r="KP26" s="61"/>
      <c r="KQ26" s="61"/>
      <c r="KR26" s="61"/>
      <c r="KS26" s="61"/>
      <c r="KT26" s="61"/>
      <c r="KU26" s="61"/>
      <c r="KV26" s="61"/>
      <c r="KW26" s="61"/>
      <c r="KX26" s="61"/>
      <c r="KY26" s="61"/>
      <c r="KZ26" s="61"/>
      <c r="LA26" s="61"/>
      <c r="LB26" s="61"/>
      <c r="LC26" s="61"/>
      <c r="LD26" s="61"/>
      <c r="LE26" s="61"/>
      <c r="LF26" s="61"/>
      <c r="LG26" s="61"/>
      <c r="LH26" s="61"/>
      <c r="LI26" s="61"/>
      <c r="LJ26" s="61"/>
      <c r="LK26" s="61"/>
      <c r="LL26" s="61"/>
      <c r="LM26" s="61"/>
      <c r="LN26" s="61"/>
      <c r="LO26" s="61"/>
      <c r="LP26" s="61"/>
      <c r="LQ26" s="61"/>
      <c r="LR26" s="61"/>
      <c r="LS26" s="61"/>
      <c r="LT26" s="61"/>
      <c r="LU26" s="61"/>
      <c r="LV26" s="61"/>
      <c r="LW26" s="61"/>
      <c r="LX26" s="61"/>
      <c r="LY26" s="61"/>
      <c r="LZ26" s="61"/>
      <c r="MA26" s="61"/>
      <c r="MB26" s="61"/>
      <c r="MC26" s="61"/>
      <c r="MD26" s="61"/>
      <c r="ME26" s="61"/>
      <c r="MF26" s="61"/>
      <c r="MG26" s="61"/>
      <c r="MH26" s="61"/>
      <c r="MI26" s="61"/>
      <c r="MJ26" s="61"/>
      <c r="MK26" s="61"/>
      <c r="ML26" s="61"/>
      <c r="MM26" s="61"/>
      <c r="MN26" s="61"/>
      <c r="MO26" s="61"/>
      <c r="MP26" s="61"/>
      <c r="MQ26" s="61"/>
      <c r="MR26" s="61"/>
      <c r="MS26" s="61"/>
      <c r="MT26" s="61"/>
      <c r="MU26" s="61"/>
      <c r="MV26" s="61"/>
      <c r="MW26" s="61"/>
      <c r="MX26" s="61"/>
      <c r="MY26" s="61"/>
      <c r="MZ26" s="61"/>
      <c r="NA26" s="61"/>
      <c r="NB26" s="61"/>
      <c r="NC26" s="61"/>
      <c r="ND26" s="61"/>
      <c r="NE26" s="61"/>
      <c r="NF26" s="61"/>
      <c r="NG26" s="61"/>
      <c r="NH26" s="61"/>
      <c r="NI26" s="61"/>
      <c r="NJ26" s="61"/>
      <c r="NK26" s="61"/>
      <c r="NL26" s="61"/>
      <c r="NM26" s="61"/>
      <c r="NN26" s="61"/>
      <c r="NO26" s="61"/>
      <c r="NP26" s="61"/>
      <c r="NQ26" s="61"/>
      <c r="NR26" s="61"/>
      <c r="NS26" s="61"/>
      <c r="NT26" s="59">
        <v>30</v>
      </c>
      <c r="NU26" s="61"/>
      <c r="NV26" s="61"/>
      <c r="NW26" s="61"/>
      <c r="NX26" s="61"/>
      <c r="NY26" s="61"/>
      <c r="NZ26" s="61"/>
      <c r="OA26" s="61"/>
      <c r="OB26" s="61"/>
      <c r="OC26" s="61"/>
      <c r="OD26" s="61"/>
      <c r="OE26" s="61"/>
      <c r="OF26" s="61"/>
      <c r="OG26" s="61"/>
      <c r="OH26" s="61"/>
      <c r="OI26" s="61"/>
      <c r="OJ26" s="61"/>
      <c r="OK26" s="61"/>
      <c r="OL26" s="61"/>
      <c r="OM26" s="61"/>
      <c r="ON26" s="61"/>
      <c r="OO26" s="61"/>
      <c r="OP26" s="61"/>
      <c r="OQ26" s="61"/>
      <c r="OR26" s="61"/>
      <c r="OS26" s="61"/>
      <c r="OT26" s="61"/>
      <c r="OU26" s="61"/>
      <c r="OV26" s="61"/>
      <c r="OW26" s="61"/>
      <c r="OX26" s="61"/>
      <c r="OY26" s="61"/>
      <c r="OZ26" s="61"/>
      <c r="PA26" s="61"/>
      <c r="PB26" s="61"/>
      <c r="PC26" s="61"/>
      <c r="PD26" s="61"/>
      <c r="PE26" s="61"/>
      <c r="PF26" s="61"/>
      <c r="PG26" s="61"/>
      <c r="PH26" s="61"/>
      <c r="PI26" s="61"/>
      <c r="PJ26" s="61"/>
      <c r="PK26" s="61"/>
      <c r="PL26" s="61"/>
      <c r="PM26" s="61"/>
      <c r="PN26" s="61"/>
      <c r="PO26" s="61"/>
      <c r="PP26" s="61"/>
      <c r="PQ26" s="61"/>
      <c r="PR26" s="61"/>
      <c r="PS26" s="61"/>
      <c r="PT26" s="61"/>
      <c r="PU26" s="61"/>
      <c r="PV26" s="61"/>
      <c r="PW26" s="61"/>
      <c r="PX26" s="61"/>
      <c r="PY26" s="61"/>
      <c r="PZ26" s="61"/>
      <c r="QA26" s="61"/>
      <c r="QB26" s="61"/>
      <c r="QC26" s="61"/>
      <c r="QD26" s="61"/>
      <c r="QE26" s="61"/>
      <c r="QF26" s="61"/>
      <c r="QG26" s="61"/>
      <c r="QH26" s="61"/>
      <c r="QI26" s="61"/>
      <c r="QJ26" s="61"/>
      <c r="QK26" s="61"/>
      <c r="QS26" s="61"/>
      <c r="QU26" s="61"/>
      <c r="QV26" s="61"/>
      <c r="QW26" s="61"/>
      <c r="QX26" s="61"/>
      <c r="QY26" s="61"/>
      <c r="QZ26" s="61"/>
      <c r="RA26" s="61"/>
      <c r="RB26" s="61"/>
      <c r="RC26" s="61"/>
      <c r="RD26" s="61"/>
      <c r="RE26" s="61"/>
      <c r="RF26" s="61"/>
      <c r="RG26" s="61"/>
      <c r="RH26" s="59">
        <v>72</v>
      </c>
      <c r="RJ26" s="61"/>
      <c r="RK26" s="61"/>
      <c r="RL26" s="61"/>
      <c r="RM26" s="61"/>
      <c r="RN26" s="61"/>
      <c r="RO26" s="61"/>
      <c r="RP26" s="61"/>
      <c r="RQ26" s="61"/>
      <c r="RR26" s="61"/>
      <c r="RS26" s="61"/>
      <c r="RT26" s="61"/>
      <c r="RU26" s="61"/>
      <c r="RV26" s="61"/>
      <c r="RW26" s="61"/>
      <c r="RX26" s="61"/>
      <c r="RY26" s="61"/>
      <c r="RZ26" s="61"/>
      <c r="SA26" s="61"/>
      <c r="SB26" s="61"/>
      <c r="SC26" s="61"/>
      <c r="SD26" s="61"/>
      <c r="SE26" s="61"/>
      <c r="SF26" s="61"/>
      <c r="SG26" s="61"/>
      <c r="SH26" s="61"/>
      <c r="SI26" s="61"/>
      <c r="SJ26" s="61"/>
      <c r="SK26" s="61"/>
      <c r="SL26" s="61"/>
      <c r="SM26" s="61"/>
      <c r="SN26" s="61"/>
      <c r="SO26" s="61"/>
      <c r="SP26" s="61"/>
      <c r="SQ26" s="61"/>
      <c r="SR26" s="61"/>
      <c r="SS26" s="61"/>
      <c r="ST26" s="61"/>
      <c r="SU26" s="61"/>
      <c r="SV26" s="61"/>
      <c r="SW26" s="61"/>
      <c r="SX26" s="61"/>
      <c r="SY26" s="61"/>
      <c r="SZ26" s="61"/>
      <c r="TA26" s="61"/>
      <c r="TB26" s="61"/>
      <c r="TC26" s="66"/>
      <c r="TK26" s="66"/>
      <c r="TM26" s="61"/>
      <c r="TN26" s="61"/>
      <c r="TO26" s="61"/>
      <c r="TP26" s="61"/>
      <c r="TQ26" s="61"/>
      <c r="TR26" s="61"/>
      <c r="TS26" s="61"/>
      <c r="TT26" s="61"/>
      <c r="TU26" s="61"/>
      <c r="TV26" s="61"/>
      <c r="TW26" s="61"/>
      <c r="TX26" s="61"/>
      <c r="TY26" s="61"/>
      <c r="TZ26" s="61"/>
      <c r="UA26" s="61"/>
      <c r="UB26" s="61"/>
      <c r="UC26" s="61"/>
      <c r="UD26" s="61"/>
      <c r="UE26" s="61"/>
      <c r="UF26" s="61"/>
      <c r="UG26" s="61"/>
      <c r="UH26" s="61"/>
      <c r="UI26" s="61"/>
      <c r="UJ26" s="61"/>
      <c r="UK26" s="61"/>
      <c r="UL26" s="61"/>
      <c r="UM26" s="61"/>
      <c r="UN26" s="61"/>
      <c r="UO26" s="61"/>
      <c r="UP26" s="61"/>
      <c r="UQ26" s="61"/>
      <c r="UR26" s="61"/>
      <c r="US26" s="61"/>
      <c r="UT26" s="61"/>
      <c r="UU26" s="61"/>
      <c r="UV26" s="61"/>
      <c r="UW26" s="61"/>
      <c r="UX26" s="61"/>
      <c r="UY26" s="61"/>
      <c r="UZ26" s="61"/>
      <c r="VA26" s="61"/>
      <c r="VB26" s="61"/>
      <c r="VC26" s="61"/>
      <c r="VD26" s="61"/>
      <c r="VE26" s="61"/>
      <c r="VF26" s="61"/>
      <c r="VG26" s="61"/>
      <c r="VH26" s="61"/>
      <c r="VI26" s="61"/>
      <c r="VJ26" s="61"/>
      <c r="VK26" s="61"/>
      <c r="VL26" s="61"/>
      <c r="VM26" s="61"/>
      <c r="VN26" s="61"/>
      <c r="VO26" s="61"/>
      <c r="VP26" s="61"/>
      <c r="VQ26" s="61"/>
      <c r="VR26" s="61"/>
      <c r="VS26" s="61"/>
      <c r="VT26" s="61"/>
      <c r="VU26" s="61"/>
      <c r="VV26" s="61"/>
      <c r="VW26" s="61"/>
      <c r="VX26" s="61"/>
      <c r="VY26" s="61"/>
      <c r="VZ26" s="61"/>
      <c r="WA26" s="61"/>
      <c r="WB26" s="61"/>
      <c r="WC26" s="61"/>
      <c r="WD26" s="61"/>
      <c r="WE26" s="61"/>
      <c r="WF26" s="61"/>
      <c r="WG26" s="61"/>
      <c r="WH26" s="61"/>
      <c r="WI26" s="61"/>
      <c r="WJ26" s="61"/>
      <c r="WK26" s="61"/>
      <c r="WL26" s="61"/>
      <c r="WM26" s="61"/>
      <c r="WN26" s="61"/>
      <c r="WO26" s="61"/>
      <c r="WP26" s="61"/>
      <c r="WQ26" s="61"/>
      <c r="WR26" s="61"/>
      <c r="WS26" s="61"/>
      <c r="WT26" s="61"/>
      <c r="WU26" s="61"/>
      <c r="WV26" s="61"/>
      <c r="WW26" s="61"/>
      <c r="WX26" s="61"/>
      <c r="WY26" s="61"/>
      <c r="WZ26" s="61"/>
      <c r="XA26" s="61"/>
      <c r="XB26" s="61"/>
      <c r="XC26" s="61"/>
      <c r="XD26" s="61"/>
      <c r="XE26" s="61"/>
      <c r="XF26" s="61"/>
      <c r="XG26" s="61"/>
      <c r="XH26" s="61"/>
      <c r="XI26" s="61"/>
      <c r="XJ26" s="61"/>
      <c r="XK26" s="61"/>
      <c r="XM26" s="61"/>
      <c r="XN26" s="61"/>
      <c r="XO26" s="61"/>
      <c r="XP26" s="61"/>
      <c r="XQ26" s="61"/>
      <c r="XR26" s="61"/>
      <c r="XS26" s="61"/>
      <c r="XT26" s="61"/>
      <c r="XU26" s="61"/>
      <c r="XV26" s="61"/>
      <c r="XW26" s="61"/>
      <c r="XX26" s="61"/>
      <c r="XY26" s="61"/>
      <c r="XZ26" s="61"/>
      <c r="YA26" s="61"/>
      <c r="YB26" s="61"/>
      <c r="YC26" s="61"/>
      <c r="YD26" s="61"/>
      <c r="YE26" s="61"/>
      <c r="YF26" s="61"/>
      <c r="YG26" s="61"/>
      <c r="YH26" s="61"/>
      <c r="YI26" s="61"/>
      <c r="YJ26" s="61"/>
      <c r="YK26" s="61"/>
      <c r="YL26" s="61"/>
      <c r="YM26" s="61"/>
      <c r="YN26" s="61"/>
      <c r="YO26" s="61"/>
      <c r="YP26" s="61"/>
      <c r="YQ26" s="61"/>
      <c r="YR26" s="61"/>
      <c r="YS26" s="61"/>
      <c r="YT26" s="61"/>
      <c r="YU26" s="61"/>
      <c r="YV26" s="61"/>
      <c r="YW26" s="61"/>
      <c r="YX26" s="61"/>
      <c r="YY26" s="61"/>
      <c r="YZ26" s="61"/>
      <c r="ZA26" s="61"/>
      <c r="ZB26" s="61"/>
      <c r="ZC26" s="61"/>
      <c r="ZD26" s="61"/>
      <c r="ZE26" s="61"/>
      <c r="ZF26" s="61"/>
      <c r="ZG26" s="61"/>
      <c r="ZH26" s="61"/>
      <c r="ZI26" s="61"/>
      <c r="ZJ26" s="61"/>
      <c r="ZK26" s="61"/>
      <c r="ZL26" s="61"/>
      <c r="ZM26" s="61"/>
      <c r="ZN26" s="61"/>
      <c r="ZO26" s="61"/>
      <c r="ZP26" s="61"/>
      <c r="ZQ26" s="61"/>
      <c r="ZR26" s="62"/>
      <c r="ZS26" s="62"/>
      <c r="ZT26" s="62"/>
      <c r="ZU26" s="62"/>
      <c r="ZV26" s="62"/>
      <c r="ZW26" s="62"/>
      <c r="ZX26" s="62"/>
      <c r="ZY26" s="62"/>
      <c r="ZZ26" s="62"/>
      <c r="AAA26" s="62"/>
      <c r="AAB26" s="62"/>
      <c r="AAC26" s="62"/>
      <c r="AAD26" s="62"/>
      <c r="AAE26" s="62"/>
      <c r="AAF26" s="62"/>
      <c r="AAG26" s="62"/>
      <c r="AAH26" s="62"/>
      <c r="AAI26" s="62"/>
      <c r="AAJ26" s="62"/>
      <c r="AAK26" s="62"/>
      <c r="AAL26" s="62"/>
      <c r="AAM26" s="62"/>
      <c r="AAN26" s="62"/>
      <c r="AAO26" s="62"/>
      <c r="AAP26" s="62"/>
      <c r="AAQ26" s="62"/>
      <c r="AAR26" s="62"/>
      <c r="AAS26" s="62"/>
      <c r="AAT26" s="62"/>
      <c r="AAU26" s="62"/>
      <c r="AAV26" s="62"/>
      <c r="AAW26" s="62"/>
      <c r="AAX26" s="61"/>
      <c r="AAY26" s="61"/>
      <c r="AAZ26" s="61"/>
      <c r="ABA26" s="61"/>
      <c r="ABB26" s="61"/>
      <c r="ABC26" s="61"/>
      <c r="ABD26" s="61"/>
      <c r="ABE26" s="61"/>
      <c r="ABF26" s="61"/>
      <c r="ABG26" s="61"/>
      <c r="ABH26" s="61"/>
      <c r="ABI26" s="61"/>
      <c r="ABJ26" s="61"/>
      <c r="ABK26" s="61"/>
      <c r="ABL26" s="61"/>
      <c r="ABM26" s="61"/>
      <c r="ABN26" s="61"/>
      <c r="ABO26" s="61"/>
      <c r="ABP26" s="61"/>
      <c r="ABQ26" s="61"/>
      <c r="ABR26" s="61"/>
      <c r="ABS26" s="61"/>
      <c r="ABT26" s="61"/>
      <c r="ABU26" s="61"/>
      <c r="ABV26" s="61"/>
      <c r="ABW26" s="61"/>
      <c r="ABX26" s="61"/>
      <c r="ABY26" s="61"/>
      <c r="ABZ26" s="61"/>
      <c r="ACA26" s="61"/>
      <c r="ACB26" s="61"/>
      <c r="ACC26" s="61"/>
      <c r="ACD26" s="61"/>
      <c r="ACE26" s="61"/>
      <c r="ACF26" s="61"/>
      <c r="ACG26" s="61"/>
      <c r="ACH26" s="61"/>
      <c r="ACI26" s="61"/>
      <c r="ACJ26" s="61"/>
      <c r="ACK26" s="61"/>
      <c r="ACL26" s="61"/>
      <c r="ACM26" s="61"/>
      <c r="ACN26" s="61"/>
      <c r="ACO26" s="61"/>
      <c r="ACP26" s="61"/>
      <c r="ACQ26" s="61"/>
      <c r="ACR26" s="61"/>
      <c r="ACS26" s="61"/>
      <c r="ACT26" s="61"/>
      <c r="ACU26" s="61"/>
      <c r="ACV26" s="61"/>
      <c r="ACW26" s="61"/>
      <c r="ACX26" s="61"/>
      <c r="ACY26" s="61"/>
      <c r="ACZ26" s="61"/>
      <c r="ADA26" s="61"/>
      <c r="ADB26" s="61"/>
      <c r="ADC26" s="61"/>
      <c r="ADD26" s="61"/>
      <c r="ADE26" s="61"/>
      <c r="ADF26" s="61"/>
      <c r="ADG26" s="61"/>
      <c r="ADH26" s="61"/>
      <c r="ADI26" s="61"/>
      <c r="ADJ26" s="61"/>
      <c r="ADK26" s="61"/>
      <c r="ADL26" s="61"/>
      <c r="ADM26" s="61"/>
      <c r="ADN26" s="61"/>
      <c r="ADO26" s="61"/>
      <c r="ADP26" s="61"/>
      <c r="ADQ26" s="61"/>
      <c r="ADR26" s="61"/>
      <c r="ADS26" s="61"/>
      <c r="ADT26" s="61"/>
      <c r="ADU26" s="61"/>
      <c r="ADV26" s="61"/>
      <c r="ADW26" s="61"/>
      <c r="ADX26" s="61"/>
      <c r="ADY26" s="61"/>
      <c r="ADZ26" s="61"/>
      <c r="AEA26" s="61"/>
      <c r="AEB26" s="61"/>
      <c r="AEC26" s="61"/>
      <c r="AED26" s="61"/>
      <c r="AEE26" s="61"/>
      <c r="AEF26" s="61"/>
      <c r="AEG26" s="61"/>
      <c r="AEH26" s="61"/>
      <c r="AEI26" s="61"/>
      <c r="AEJ26" s="61"/>
      <c r="AEK26" s="61"/>
      <c r="AEL26" s="61"/>
      <c r="AEM26" s="61"/>
      <c r="AEN26" s="61"/>
      <c r="AEO26" s="61"/>
      <c r="AEP26" s="61"/>
      <c r="AEQ26" s="61"/>
      <c r="AER26" s="61"/>
      <c r="AES26" s="61"/>
      <c r="AET26" s="61"/>
      <c r="AEU26" s="62"/>
      <c r="AEV26" s="62"/>
      <c r="AEW26" s="62"/>
      <c r="AEX26" s="62"/>
      <c r="AEY26" s="62"/>
      <c r="AEZ26" s="62"/>
      <c r="AFA26" s="62"/>
      <c r="AFB26" s="62"/>
      <c r="AFC26" s="62"/>
      <c r="AFD26" s="62"/>
      <c r="AFE26" s="62"/>
      <c r="AFF26" s="62"/>
      <c r="AFG26" s="62"/>
      <c r="AFH26" s="62"/>
      <c r="AFI26" s="62"/>
      <c r="AFJ26" s="62"/>
      <c r="AFK26" s="62"/>
      <c r="AFL26" s="62"/>
      <c r="AFM26" s="62"/>
      <c r="AFN26" s="62"/>
      <c r="AFO26" s="62"/>
      <c r="AFP26" s="62"/>
      <c r="AFQ26" s="62"/>
      <c r="AFR26" s="62"/>
      <c r="AFS26" s="62"/>
      <c r="AFT26" s="62"/>
      <c r="AFU26" s="62"/>
      <c r="AFV26" s="62"/>
      <c r="AFW26" s="62"/>
      <c r="AFX26" s="62"/>
      <c r="AFY26" s="62"/>
      <c r="AFZ26" s="62"/>
      <c r="AGA26" s="62"/>
      <c r="AGB26" s="62"/>
      <c r="AGC26" s="62"/>
      <c r="AGD26" s="62"/>
      <c r="AGE26" s="62"/>
      <c r="AGF26" s="62"/>
      <c r="AGG26" s="61"/>
      <c r="AGH26" s="61"/>
      <c r="AGI26" s="61"/>
      <c r="AGJ26" s="61"/>
      <c r="AGK26" s="61"/>
      <c r="AGL26" s="61"/>
      <c r="AGM26" s="61"/>
      <c r="AGN26" s="61"/>
      <c r="AGO26" s="61"/>
      <c r="AGP26" s="61"/>
      <c r="AGQ26" s="61"/>
      <c r="AGR26" s="61"/>
      <c r="AGS26" s="61"/>
      <c r="AGT26" s="61"/>
      <c r="AGU26" s="61"/>
      <c r="AGV26" s="61"/>
      <c r="AGW26" s="61"/>
      <c r="AGX26" s="61"/>
      <c r="AGY26" s="61"/>
      <c r="AGZ26" s="61"/>
      <c r="AHA26" s="61"/>
      <c r="AHB26" s="61"/>
      <c r="AHC26" s="61"/>
      <c r="AHD26" s="61"/>
      <c r="AHE26" s="61"/>
      <c r="AHF26" s="61"/>
      <c r="AHG26" s="61"/>
      <c r="AHH26" s="61"/>
      <c r="AHI26" s="61"/>
      <c r="AHJ26" s="61"/>
      <c r="AHK26" s="61"/>
      <c r="AHL26" s="61"/>
      <c r="AHM26" s="61"/>
      <c r="AHN26" s="61"/>
      <c r="AHO26" s="61"/>
      <c r="AHP26" s="61"/>
      <c r="AHQ26" s="61"/>
      <c r="AHR26" s="61"/>
      <c r="AHS26" s="61"/>
      <c r="AHT26" s="61"/>
      <c r="AHU26" s="61"/>
      <c r="AHV26" s="61"/>
      <c r="AHW26" s="61"/>
      <c r="AHX26" s="61"/>
      <c r="AHY26" s="61"/>
      <c r="AHZ26" s="61"/>
      <c r="AIA26" s="61"/>
      <c r="AIB26" s="61"/>
      <c r="AIC26" s="61"/>
      <c r="AID26" s="61"/>
      <c r="AIE26" s="61"/>
      <c r="AIF26" s="61"/>
      <c r="AIG26" s="62"/>
      <c r="AIH26" s="62"/>
      <c r="AII26" s="62"/>
      <c r="AIJ26" s="61"/>
      <c r="AIK26" s="61"/>
      <c r="AIL26" s="61"/>
      <c r="AIM26" s="61"/>
      <c r="AIN26" s="61"/>
      <c r="AIO26" s="61"/>
      <c r="AIP26" s="61"/>
      <c r="AIQ26" s="61"/>
      <c r="AIR26" s="61"/>
      <c r="AIS26" s="61"/>
      <c r="AIT26" s="61"/>
      <c r="AIU26" s="61"/>
      <c r="AIV26" s="61"/>
      <c r="AIW26" s="61"/>
      <c r="AIX26" s="61"/>
      <c r="AIY26" s="61"/>
      <c r="AIZ26" s="61"/>
      <c r="AJA26" s="61"/>
      <c r="AJB26" s="61"/>
      <c r="AJC26" s="61"/>
      <c r="AJD26" s="61"/>
      <c r="AJE26" s="61"/>
      <c r="AJF26" s="61"/>
      <c r="AJG26" s="61"/>
      <c r="AJH26" s="61"/>
      <c r="AJI26" s="61"/>
      <c r="AJJ26" s="61"/>
      <c r="AJK26" s="61"/>
      <c r="AJL26" s="61"/>
      <c r="AJM26" s="61"/>
      <c r="AJN26" s="62"/>
      <c r="AJO26" s="62"/>
      <c r="AJP26" s="62"/>
      <c r="AJQ26" s="61"/>
      <c r="AJR26" s="61"/>
      <c r="AJS26" s="61"/>
      <c r="AJT26" s="61"/>
      <c r="AJU26" s="61"/>
      <c r="AJV26" s="61"/>
      <c r="AJW26" s="61"/>
      <c r="AJX26" s="61"/>
      <c r="AJY26" s="61"/>
      <c r="AJZ26" s="61"/>
      <c r="AKA26" s="61"/>
      <c r="AKB26" s="61"/>
      <c r="AKC26" s="61"/>
      <c r="AKD26" s="61"/>
      <c r="AKE26" s="61"/>
      <c r="AKF26" s="61"/>
      <c r="AKG26" s="61"/>
      <c r="AKH26" s="61"/>
      <c r="AKI26" s="61"/>
      <c r="AKJ26" s="61"/>
      <c r="AKK26" s="61"/>
      <c r="AKL26" s="61"/>
      <c r="AKM26" s="61"/>
      <c r="AKN26" s="61"/>
      <c r="AKO26" s="61"/>
      <c r="AKP26" s="61"/>
      <c r="AKQ26" s="61"/>
      <c r="AKR26" s="61"/>
      <c r="AKS26" s="61"/>
      <c r="AKT26" s="61"/>
      <c r="AKU26" s="61"/>
      <c r="AKV26" s="61"/>
      <c r="AKW26" s="61"/>
      <c r="AKX26" s="62"/>
      <c r="AKY26" s="62"/>
      <c r="AKZ26" s="61"/>
      <c r="ALA26" s="61"/>
      <c r="ALB26" s="61"/>
      <c r="ALC26" s="61"/>
      <c r="ALD26" s="61"/>
      <c r="ALE26" s="61"/>
      <c r="ALF26" s="61"/>
      <c r="ALG26" s="61"/>
      <c r="ALH26" s="61"/>
      <c r="ALI26" s="61"/>
      <c r="ALJ26" s="61"/>
      <c r="ALK26" s="61"/>
      <c r="ALL26" s="61"/>
      <c r="ALM26" s="61"/>
      <c r="ALN26" s="61"/>
      <c r="ALO26" s="61"/>
      <c r="ALP26" s="61"/>
      <c r="ALQ26" s="61"/>
      <c r="ALR26" s="61"/>
      <c r="ALS26" s="61"/>
      <c r="ALT26" s="61"/>
      <c r="ALU26" s="61"/>
      <c r="ALV26" s="61"/>
      <c r="ALW26" s="61"/>
      <c r="ALX26" s="61"/>
      <c r="ALY26" s="61"/>
      <c r="ALZ26" s="61"/>
      <c r="AMA26" s="61"/>
      <c r="AMB26" s="61"/>
      <c r="AMC26" s="61"/>
      <c r="AMD26" s="61"/>
      <c r="AME26" s="61"/>
      <c r="AMF26" s="61"/>
      <c r="AMG26" s="61"/>
      <c r="AMH26" s="61"/>
      <c r="AMI26" s="61"/>
      <c r="AMJ26" s="61"/>
      <c r="AMK26" s="61"/>
      <c r="AML26" s="61"/>
      <c r="AMM26" s="61"/>
      <c r="AMN26" s="61"/>
      <c r="AMO26" s="61"/>
      <c r="AMP26" s="61"/>
      <c r="AMQ26" s="61"/>
      <c r="AMR26" s="61"/>
      <c r="AMS26" s="61"/>
      <c r="AMT26" s="61"/>
      <c r="AMU26" s="61"/>
      <c r="AMV26" s="61"/>
      <c r="AMW26" s="61"/>
      <c r="AMX26" s="61"/>
      <c r="AMY26" s="61"/>
      <c r="AMZ26" s="61"/>
      <c r="ANA26" s="61"/>
      <c r="ANB26" s="61"/>
      <c r="ANC26" s="61"/>
      <c r="AND26" s="61"/>
      <c r="ANE26" s="61"/>
      <c r="ANF26" s="61"/>
      <c r="ANG26" s="61"/>
      <c r="ANH26" s="61"/>
      <c r="ANI26" s="61"/>
      <c r="ANJ26" s="61"/>
      <c r="ANK26" s="61"/>
      <c r="ANL26" s="61"/>
      <c r="ANM26" s="61"/>
      <c r="ANN26" s="61"/>
      <c r="ANO26" s="61"/>
      <c r="ANP26" s="61"/>
      <c r="ANQ26" s="61"/>
      <c r="ANR26" s="61"/>
      <c r="ANS26" s="61"/>
      <c r="ANT26" s="61"/>
      <c r="ANU26" s="61"/>
      <c r="ANV26" s="61"/>
      <c r="ANW26" s="61"/>
      <c r="ANX26" s="61"/>
      <c r="ANY26" s="61"/>
      <c r="ANZ26" s="61"/>
      <c r="AOA26" s="61"/>
      <c r="AOB26" s="61"/>
      <c r="AOC26" s="61"/>
      <c r="AOD26" s="61"/>
      <c r="AOE26" s="61"/>
      <c r="AOF26" s="61"/>
      <c r="AOG26" s="61"/>
      <c r="AOH26" s="61"/>
      <c r="AOI26" s="61"/>
      <c r="AOJ26" s="61"/>
      <c r="AOK26" s="61"/>
      <c r="AOL26" s="61"/>
      <c r="AOS26" s="61"/>
      <c r="AOX26" s="61"/>
      <c r="AOY26" s="61"/>
      <c r="AOZ26" s="61"/>
      <c r="APA26" s="61"/>
      <c r="APB26" s="61"/>
      <c r="APC26" s="61"/>
      <c r="APD26" s="61"/>
      <c r="APE26" s="61"/>
      <c r="APF26" s="61"/>
      <c r="APG26" s="61"/>
      <c r="APH26" s="61"/>
      <c r="API26" s="61"/>
      <c r="APJ26" s="61"/>
      <c r="APK26" s="61"/>
      <c r="APL26" s="61"/>
      <c r="APM26" s="61"/>
      <c r="APN26" s="61"/>
      <c r="APO26" s="61"/>
      <c r="APP26" s="61"/>
      <c r="APQ26" s="61"/>
      <c r="APR26" s="61"/>
      <c r="APS26" s="61"/>
      <c r="APT26" s="61"/>
      <c r="APU26" s="61"/>
      <c r="APV26" s="61"/>
      <c r="APW26" s="61"/>
      <c r="APX26" s="61"/>
      <c r="APY26" s="61"/>
      <c r="APZ26" s="61"/>
      <c r="AQA26" s="61"/>
      <c r="AQB26" s="61"/>
      <c r="AQC26" s="61"/>
      <c r="AQD26" s="61"/>
      <c r="AQE26" s="61"/>
      <c r="ARV26" s="66"/>
      <c r="ARW26" s="66"/>
      <c r="ARX26" s="66"/>
      <c r="ARY26" s="66"/>
      <c r="ARZ26" s="66"/>
      <c r="ASA26" s="66"/>
      <c r="ASB26" s="66"/>
      <c r="ASC26" s="66"/>
      <c r="ASD26" s="61"/>
      <c r="ASE26" s="61"/>
      <c r="ASF26" s="61"/>
      <c r="ASG26" s="61"/>
      <c r="ASH26" s="61"/>
      <c r="ASI26" s="61"/>
      <c r="ASJ26" s="61"/>
      <c r="ASK26" s="61"/>
      <c r="ASL26" s="61"/>
      <c r="ASM26" s="61"/>
      <c r="ASN26" s="61"/>
      <c r="ASO26" s="61"/>
      <c r="ASP26" s="61"/>
      <c r="ASQ26" s="61"/>
      <c r="ASR26" s="61"/>
      <c r="ASS26" s="61"/>
      <c r="AST26" s="61"/>
      <c r="ASU26" s="61"/>
      <c r="ASV26" s="61"/>
      <c r="ASW26" s="61"/>
      <c r="ASX26" s="61"/>
      <c r="ASY26" s="61"/>
      <c r="ASZ26" s="61"/>
      <c r="ATA26" s="61"/>
      <c r="ATB26" s="61"/>
      <c r="ATC26" s="61"/>
      <c r="ATD26" s="61"/>
      <c r="ATE26" s="61"/>
      <c r="ATF26" s="61"/>
      <c r="ATG26" s="61"/>
      <c r="ATH26" s="61"/>
      <c r="ATI26" s="61"/>
      <c r="ATJ26" s="61"/>
      <c r="ATK26" s="61"/>
      <c r="ATL26" s="61"/>
      <c r="ATM26" s="61"/>
      <c r="ATN26" s="61"/>
      <c r="ATO26" s="61"/>
      <c r="ATP26" s="61"/>
      <c r="ATQ26" s="62"/>
      <c r="ATR26" s="62"/>
      <c r="ATS26" s="62"/>
      <c r="ATT26" s="62"/>
      <c r="ATU26" s="62"/>
      <c r="ATV26" s="61"/>
      <c r="ATW26" s="61"/>
      <c r="ATX26" s="61"/>
      <c r="ATY26" s="61"/>
      <c r="ATZ26" s="61"/>
      <c r="AUA26" s="61"/>
      <c r="AUB26" s="61"/>
      <c r="AUC26" s="61"/>
      <c r="AUD26" s="61"/>
      <c r="AUE26" s="61"/>
      <c r="AUF26" s="61"/>
      <c r="AUG26" s="61"/>
      <c r="AUH26" s="61"/>
      <c r="AUI26" s="61"/>
      <c r="AUJ26" s="61"/>
      <c r="AUK26" s="61"/>
      <c r="AUL26" s="61"/>
      <c r="AUM26" s="61"/>
      <c r="AUN26" s="61"/>
      <c r="AUO26" s="61"/>
      <c r="AUP26" s="61"/>
      <c r="AUQ26" s="61"/>
      <c r="AUR26" s="61"/>
      <c r="AUS26" s="61"/>
      <c r="AUT26" s="61"/>
      <c r="AUU26" s="61"/>
      <c r="AUV26" s="61"/>
      <c r="AUW26" s="61"/>
      <c r="AUX26" s="61"/>
      <c r="AUY26" s="61"/>
      <c r="AUZ26" s="61"/>
      <c r="AVA26" s="61"/>
      <c r="AVB26" s="61"/>
      <c r="AVC26" s="61"/>
      <c r="AVD26" s="61"/>
      <c r="AVE26" s="61"/>
      <c r="AVF26" s="61"/>
      <c r="AVG26" s="61"/>
      <c r="AVH26" s="61"/>
      <c r="AVI26" s="61"/>
      <c r="AVJ26" s="61"/>
      <c r="AVK26" s="61"/>
      <c r="AVL26" s="61"/>
      <c r="AVM26" s="61"/>
      <c r="AVN26" s="61"/>
      <c r="AVO26" s="61"/>
      <c r="AVP26" s="61"/>
      <c r="AVQ26" s="61"/>
      <c r="AVR26" s="61"/>
      <c r="AVS26" s="61"/>
      <c r="AVT26" s="61"/>
      <c r="AVU26" s="61"/>
      <c r="AVV26" s="61"/>
      <c r="AVW26" s="61"/>
      <c r="AVX26" s="61"/>
      <c r="AVY26" s="61"/>
      <c r="AVZ26" s="61"/>
      <c r="AWA26" s="61"/>
      <c r="AWB26" s="61"/>
      <c r="AWC26" s="61"/>
      <c r="AWD26" s="61"/>
      <c r="AWE26" s="61"/>
      <c r="AWF26" s="61"/>
      <c r="AWG26" s="61"/>
      <c r="AWH26" s="61"/>
      <c r="AWI26" s="61"/>
      <c r="AWJ26" s="61"/>
      <c r="AWK26" s="61"/>
      <c r="AWL26" s="61"/>
      <c r="AWM26" s="61"/>
      <c r="AWN26" s="61"/>
      <c r="AWO26" s="61"/>
      <c r="AWP26" s="61"/>
      <c r="AWQ26" s="61"/>
      <c r="AWR26" s="61"/>
      <c r="AWS26" s="61"/>
      <c r="AWT26" s="61"/>
      <c r="AWU26" s="61"/>
      <c r="AWV26" s="61"/>
      <c r="AWW26" s="61"/>
      <c r="AWX26" s="61"/>
      <c r="AWY26" s="61"/>
      <c r="AWZ26" s="61"/>
      <c r="AXA26" s="61"/>
      <c r="AXB26" s="61"/>
      <c r="AXC26" s="61"/>
      <c r="AXD26" s="61"/>
      <c r="AXE26" s="61"/>
      <c r="AXF26" s="61"/>
      <c r="AXG26" s="61"/>
      <c r="AXH26" s="61"/>
      <c r="AXI26" s="61"/>
      <c r="AXJ26" s="61"/>
      <c r="AXK26" s="61"/>
      <c r="AXL26" s="61"/>
      <c r="AXM26" s="61"/>
      <c r="AXN26" s="61"/>
      <c r="AXO26" s="61"/>
      <c r="AXP26" s="61"/>
      <c r="AXQ26" s="61"/>
      <c r="AXR26" s="61"/>
      <c r="AXS26" s="61"/>
      <c r="AXT26" s="61"/>
      <c r="AXU26" s="61"/>
      <c r="AXV26" s="61"/>
      <c r="AXW26" s="61"/>
      <c r="AXX26" s="61"/>
      <c r="AXY26" s="61"/>
      <c r="AXZ26" s="61"/>
      <c r="AYA26" s="61"/>
      <c r="AYB26" s="61"/>
      <c r="AYC26" s="61"/>
      <c r="AYD26" s="61"/>
      <c r="AYE26" s="61"/>
      <c r="AYF26" s="61"/>
      <c r="AYG26" s="61"/>
      <c r="AYH26" s="61"/>
      <c r="AYI26" s="61"/>
      <c r="AYJ26" s="61"/>
      <c r="AYK26" s="61"/>
      <c r="AYL26" s="61"/>
      <c r="AYM26" s="61"/>
      <c r="AYN26" s="61"/>
      <c r="AYO26" s="61"/>
      <c r="AYP26" s="61"/>
      <c r="AYQ26" s="61"/>
      <c r="AYR26" s="61"/>
      <c r="AYS26" s="61"/>
      <c r="AYT26" s="61"/>
      <c r="AYU26" s="61"/>
      <c r="AYV26" s="61"/>
      <c r="AYW26" s="61"/>
      <c r="AYX26" s="61"/>
      <c r="AYY26" s="61"/>
      <c r="AYZ26" s="61"/>
      <c r="AZA26" s="61"/>
      <c r="AZB26" s="61"/>
      <c r="AZC26" s="61"/>
      <c r="AZD26" s="61"/>
      <c r="AZE26" s="61"/>
      <c r="AZF26" s="61"/>
      <c r="AZG26" s="61"/>
      <c r="AZH26" s="61"/>
      <c r="AZI26" s="61"/>
      <c r="AZJ26" s="61"/>
      <c r="AZK26" s="61"/>
      <c r="AZL26" s="61"/>
      <c r="AZM26" s="61"/>
      <c r="AZN26" s="61"/>
      <c r="AZO26" s="61"/>
      <c r="AZP26" s="61"/>
      <c r="AZQ26" s="61"/>
      <c r="AZR26" s="61"/>
      <c r="AZS26" s="61"/>
      <c r="AZT26" s="61"/>
      <c r="AZU26" s="61"/>
      <c r="AZV26" s="61"/>
      <c r="AZW26" s="61"/>
      <c r="AZX26" s="61"/>
      <c r="AZY26" s="61"/>
      <c r="AZZ26" s="61"/>
      <c r="BAA26" s="61"/>
      <c r="BAB26" s="61"/>
      <c r="BAC26" s="61"/>
      <c r="BAD26" s="61"/>
      <c r="BAE26" s="61"/>
      <c r="BAF26" s="61"/>
      <c r="BAG26" s="61"/>
      <c r="BAH26" s="61"/>
      <c r="BAI26" s="61"/>
      <c r="BAJ26" s="61"/>
      <c r="BAK26" s="61"/>
      <c r="BAL26" s="61"/>
      <c r="BAM26" s="61"/>
      <c r="BAN26" s="61"/>
      <c r="BAO26" s="61"/>
      <c r="BAP26" s="61"/>
      <c r="BAQ26" s="61"/>
      <c r="BAR26" s="61"/>
      <c r="BAS26" s="61"/>
      <c r="BAT26" s="61"/>
      <c r="BAU26" s="61"/>
      <c r="BAV26" s="61"/>
      <c r="BAW26" s="61"/>
      <c r="BAX26" s="61"/>
      <c r="BAY26" s="61"/>
      <c r="BAZ26" s="61"/>
      <c r="BBA26" s="61"/>
      <c r="BBB26" s="61"/>
      <c r="BBC26" s="61"/>
      <c r="BBD26" s="61"/>
      <c r="BBE26" s="61"/>
      <c r="BBF26" s="61"/>
      <c r="BBG26" s="61"/>
      <c r="BBH26" s="61"/>
      <c r="BBI26" s="61"/>
      <c r="BBJ26" s="61"/>
      <c r="BBK26" s="61"/>
      <c r="BBL26" s="61"/>
      <c r="BBM26" s="61"/>
      <c r="BBN26" s="61"/>
      <c r="BBO26" s="61"/>
      <c r="BBP26" s="61"/>
      <c r="BBQ26" s="61"/>
      <c r="BBR26" s="61"/>
      <c r="BBS26" s="61"/>
      <c r="BBT26" s="61"/>
      <c r="BBU26" s="61"/>
      <c r="BBV26" s="61"/>
      <c r="BBW26" s="61"/>
      <c r="BBX26" s="61"/>
      <c r="BBY26" s="61"/>
      <c r="BBZ26" s="61"/>
      <c r="BCA26" s="61"/>
      <c r="BCB26" s="61"/>
      <c r="BCC26" s="61"/>
      <c r="BCD26" s="61"/>
      <c r="BCE26" s="61"/>
      <c r="BCF26" s="61"/>
      <c r="BCG26" s="61"/>
      <c r="BCH26" s="61"/>
      <c r="BCI26" s="61"/>
      <c r="BCJ26" s="61"/>
      <c r="BCK26" s="61"/>
      <c r="BCL26" s="61"/>
      <c r="BCM26" s="61"/>
      <c r="BCN26" s="61"/>
      <c r="BCO26" s="61"/>
      <c r="BCP26" s="61"/>
      <c r="BCQ26" s="61"/>
      <c r="BCR26" s="61"/>
      <c r="BCS26" s="61"/>
      <c r="BCT26" s="61"/>
      <c r="BCU26" s="61"/>
      <c r="BCV26" s="61"/>
      <c r="BCW26" s="61"/>
      <c r="BCX26" s="61"/>
      <c r="BCY26" s="61"/>
      <c r="BCZ26" s="61"/>
      <c r="BDA26" s="61"/>
      <c r="BDB26" s="61"/>
      <c r="BDC26" s="61"/>
      <c r="BDD26" s="61"/>
      <c r="BDE26" s="61"/>
      <c r="BDF26" s="61"/>
      <c r="BDG26" s="61"/>
      <c r="BDH26" s="61"/>
      <c r="BDI26" s="61"/>
      <c r="BDJ26" s="61"/>
      <c r="BDK26" s="61"/>
      <c r="BDL26" s="61"/>
      <c r="BDM26" s="61"/>
      <c r="BDN26" s="61"/>
      <c r="BDO26" s="61"/>
      <c r="BDP26" s="61"/>
      <c r="BDQ26" s="61"/>
      <c r="BDR26" s="61"/>
      <c r="BDS26" s="61"/>
      <c r="BDT26" s="61"/>
      <c r="BDU26" s="61"/>
      <c r="BDV26" s="61"/>
      <c r="BDW26" s="61"/>
      <c r="BDX26" s="61"/>
      <c r="BDY26" s="61"/>
      <c r="BDZ26" s="61"/>
      <c r="BEA26" s="61"/>
      <c r="BEB26" s="61"/>
      <c r="BEC26" s="61"/>
      <c r="BED26" s="61"/>
      <c r="BEE26" s="61"/>
      <c r="BEF26" s="61"/>
      <c r="BEG26" s="61"/>
      <c r="BEH26" s="61"/>
      <c r="BEI26" s="61"/>
      <c r="BEJ26" s="61"/>
      <c r="BEK26" s="61"/>
      <c r="BEL26" s="61"/>
      <c r="BEM26" s="61"/>
      <c r="BEN26" s="61"/>
      <c r="BEO26" s="61"/>
      <c r="BEP26" s="61"/>
      <c r="BEQ26" s="61"/>
      <c r="BER26" s="61"/>
      <c r="BES26" s="61"/>
      <c r="BOA26" s="59">
        <v>58</v>
      </c>
      <c r="BOC26" s="59">
        <v>1</v>
      </c>
      <c r="BOD26" s="59">
        <v>22.6</v>
      </c>
      <c r="BOF26" s="59">
        <v>1</v>
      </c>
      <c r="BOG26" s="59">
        <v>27</v>
      </c>
      <c r="BVW26" s="59">
        <v>1</v>
      </c>
      <c r="BWB26" s="59">
        <v>1</v>
      </c>
      <c r="BWE26" s="59">
        <v>1</v>
      </c>
      <c r="BWH26" s="59">
        <v>1</v>
      </c>
      <c r="BYJ26" s="65"/>
      <c r="BYK26" s="59">
        <v>0</v>
      </c>
      <c r="BYY26" s="59">
        <v>0</v>
      </c>
      <c r="BZL26" s="59">
        <v>100</v>
      </c>
      <c r="BZM26" s="59">
        <v>100</v>
      </c>
      <c r="BZN26" s="72">
        <v>1</v>
      </c>
      <c r="BZQ26" s="59">
        <v>1</v>
      </c>
      <c r="BZS26" s="59">
        <v>1</v>
      </c>
      <c r="BZT26" s="59">
        <v>1</v>
      </c>
      <c r="BZU26" s="59">
        <v>1</v>
      </c>
      <c r="BZV26" s="59">
        <v>0</v>
      </c>
      <c r="BZW26" s="59">
        <v>7</v>
      </c>
      <c r="CHY26" s="72">
        <v>2</v>
      </c>
      <c r="CHZ26" s="59">
        <v>1</v>
      </c>
      <c r="CIA26" s="59">
        <v>1</v>
      </c>
      <c r="CID26" s="59">
        <v>2</v>
      </c>
      <c r="CIE26" s="59">
        <v>2</v>
      </c>
      <c r="CIF26" s="59">
        <v>1</v>
      </c>
      <c r="CIG26" s="59">
        <v>0</v>
      </c>
      <c r="CIH26" s="59">
        <v>5</v>
      </c>
      <c r="DAU26" s="59">
        <v>7.5</v>
      </c>
      <c r="DAV26" s="59">
        <v>1</v>
      </c>
      <c r="DAY26" s="59">
        <v>1</v>
      </c>
      <c r="DAZ26" s="59">
        <v>1</v>
      </c>
      <c r="DBA26" s="59">
        <v>2</v>
      </c>
      <c r="DBB26" s="59">
        <v>2</v>
      </c>
      <c r="DBC26" s="59">
        <v>0</v>
      </c>
      <c r="DBD26" s="59">
        <v>4</v>
      </c>
      <c r="DBE26" s="59">
        <v>1</v>
      </c>
      <c r="DBF26" s="59">
        <v>1</v>
      </c>
      <c r="DBI26" s="59">
        <v>1</v>
      </c>
      <c r="DBJ26" s="59">
        <v>1</v>
      </c>
      <c r="DBK26" s="59">
        <v>3</v>
      </c>
      <c r="DBL26" s="59">
        <v>3</v>
      </c>
      <c r="DBM26" s="59">
        <v>0</v>
      </c>
      <c r="DBN26" s="59">
        <v>4</v>
      </c>
      <c r="DXM26" s="63">
        <v>6000</v>
      </c>
      <c r="DXN26" s="59">
        <v>3</v>
      </c>
      <c r="DXQ26" s="59">
        <v>1</v>
      </c>
      <c r="DXS26" s="59">
        <v>9</v>
      </c>
      <c r="DXT26" s="59">
        <v>18</v>
      </c>
      <c r="DXU26" s="59">
        <v>10</v>
      </c>
      <c r="DXV26" s="59">
        <v>0</v>
      </c>
      <c r="DXW26" s="59">
        <v>5</v>
      </c>
      <c r="EEW26" s="59" t="s">
        <v>426</v>
      </c>
      <c r="EEX26" s="59">
        <v>1</v>
      </c>
      <c r="EFA26" s="59">
        <v>1</v>
      </c>
      <c r="EFC26" s="59">
        <v>16</v>
      </c>
      <c r="EFD26" s="59">
        <v>18</v>
      </c>
      <c r="EFE26" s="59">
        <v>3</v>
      </c>
      <c r="EFF26" s="59">
        <v>999</v>
      </c>
      <c r="EFG26" s="59">
        <v>5</v>
      </c>
      <c r="EIL26" s="59">
        <v>10</v>
      </c>
      <c r="EIM26" s="59">
        <v>1</v>
      </c>
      <c r="EIN26" s="59">
        <v>1</v>
      </c>
      <c r="EIQ26" s="59">
        <v>2</v>
      </c>
      <c r="EIR26" s="59">
        <v>2</v>
      </c>
      <c r="EIS26" s="59">
        <v>1</v>
      </c>
      <c r="EIT26" s="59">
        <v>0</v>
      </c>
      <c r="EIU26" s="59">
        <v>5</v>
      </c>
      <c r="EJF26" s="59">
        <v>250</v>
      </c>
      <c r="EJG26" s="59">
        <v>1</v>
      </c>
      <c r="EJJ26" s="59">
        <v>1</v>
      </c>
      <c r="EJK26" s="59">
        <v>22</v>
      </c>
      <c r="EJL26" s="59">
        <v>18</v>
      </c>
      <c r="EJM26" s="59">
        <v>0</v>
      </c>
      <c r="EJN26" s="59">
        <v>999</v>
      </c>
      <c r="EJO26" s="59">
        <v>5</v>
      </c>
      <c r="EMS26" s="72">
        <v>1</v>
      </c>
      <c r="EMT26" s="59">
        <v>4</v>
      </c>
      <c r="EMW26" s="59">
        <v>1</v>
      </c>
      <c r="EMX26" s="59">
        <v>22</v>
      </c>
      <c r="EMY26" s="59">
        <v>18</v>
      </c>
      <c r="EMZ26" s="59">
        <v>0</v>
      </c>
      <c r="ENA26" s="59">
        <v>999</v>
      </c>
      <c r="ENB26" s="59">
        <v>5</v>
      </c>
      <c r="EUO26" s="72">
        <v>1</v>
      </c>
      <c r="EUP26" s="59">
        <v>1</v>
      </c>
      <c r="EUS26" s="59">
        <v>11</v>
      </c>
      <c r="EUT26" s="59">
        <v>9</v>
      </c>
      <c r="EUU26" s="59">
        <v>0</v>
      </c>
      <c r="EUV26" s="59">
        <v>1</v>
      </c>
      <c r="EUW26" s="59">
        <v>5</v>
      </c>
      <c r="FBZ26" s="59" t="s">
        <v>425</v>
      </c>
      <c r="FCA26" s="59">
        <v>1</v>
      </c>
      <c r="FCD26" s="59">
        <v>1</v>
      </c>
      <c r="FCE26" s="59">
        <v>10</v>
      </c>
      <c r="FCF26" s="59">
        <v>9</v>
      </c>
      <c r="FCG26" s="59">
        <v>0</v>
      </c>
      <c r="FCH26" s="59">
        <v>0</v>
      </c>
      <c r="FCI26" s="59">
        <v>5</v>
      </c>
      <c r="FFW26" s="59">
        <v>2</v>
      </c>
      <c r="FFX26" s="59">
        <v>1</v>
      </c>
      <c r="FFY26" s="59">
        <v>1</v>
      </c>
      <c r="FGB26" s="59">
        <v>1</v>
      </c>
      <c r="FGC26" s="59">
        <v>2</v>
      </c>
      <c r="FGD26" s="59">
        <v>2</v>
      </c>
      <c r="FGE26" s="59">
        <v>0</v>
      </c>
      <c r="FGF26" s="59">
        <v>5</v>
      </c>
      <c r="FHB26" s="59" t="s">
        <v>424</v>
      </c>
      <c r="FHC26" s="59">
        <v>3</v>
      </c>
      <c r="FHF26" s="59">
        <v>1</v>
      </c>
      <c r="FHG26" s="59">
        <v>16</v>
      </c>
      <c r="FHH26" s="59">
        <v>18</v>
      </c>
      <c r="FHI26" s="59">
        <v>3</v>
      </c>
      <c r="FHJ26" s="59">
        <v>999</v>
      </c>
      <c r="FHK26" s="59">
        <v>3</v>
      </c>
      <c r="GFL26" s="59">
        <v>2</v>
      </c>
      <c r="GFM26" s="59">
        <v>1</v>
      </c>
      <c r="GFN26" s="59">
        <v>1</v>
      </c>
      <c r="GFQ26" s="59">
        <v>1</v>
      </c>
      <c r="GFR26" s="59">
        <v>2</v>
      </c>
      <c r="GFS26" s="59">
        <v>2</v>
      </c>
      <c r="GFT26" s="59">
        <v>0</v>
      </c>
      <c r="GFU26" s="59">
        <v>4</v>
      </c>
      <c r="GSC26" s="59">
        <v>1</v>
      </c>
      <c r="GSD26" s="59">
        <v>1</v>
      </c>
      <c r="GSE26" s="59">
        <v>1</v>
      </c>
      <c r="GSH26" s="59">
        <v>1</v>
      </c>
      <c r="GSI26" s="59">
        <v>2</v>
      </c>
      <c r="GSJ26" s="59">
        <v>2</v>
      </c>
      <c r="GSK26" s="72">
        <v>0</v>
      </c>
      <c r="GSL26" s="59">
        <v>5</v>
      </c>
      <c r="GWG26" s="59">
        <v>4</v>
      </c>
      <c r="GWI26" s="59">
        <v>1</v>
      </c>
      <c r="GWM26" s="59">
        <v>2</v>
      </c>
      <c r="GYE26" s="59">
        <v>1</v>
      </c>
      <c r="HEI26" s="59">
        <v>1</v>
      </c>
      <c r="HFE26" s="59">
        <v>1</v>
      </c>
      <c r="HGG26" s="59">
        <v>1</v>
      </c>
      <c r="HHA26" s="59">
        <v>1</v>
      </c>
    </row>
    <row r="27" spans="1:2984 3117:4093 4097:4980 5166:5792" s="59" customFormat="1" x14ac:dyDescent="0.25">
      <c r="A27" s="63">
        <v>99000897</v>
      </c>
      <c r="B27" s="60" t="s">
        <v>4190</v>
      </c>
      <c r="IG27" s="59">
        <v>14800</v>
      </c>
      <c r="MI27" s="79"/>
      <c r="MJ27" s="79"/>
      <c r="MK27" s="79"/>
      <c r="ML27" s="79"/>
      <c r="MM27" s="79"/>
      <c r="MN27" s="79"/>
      <c r="MO27" s="79"/>
      <c r="MP27" s="79"/>
      <c r="MQ27" s="79"/>
      <c r="MR27" s="79"/>
      <c r="MS27" s="79"/>
      <c r="MT27" s="79"/>
      <c r="MU27" s="79"/>
      <c r="MV27" s="79"/>
      <c r="MW27" s="79"/>
      <c r="MX27" s="79"/>
      <c r="MY27" s="79"/>
      <c r="MZ27" s="79"/>
      <c r="NA27" s="79"/>
      <c r="NB27" s="79"/>
      <c r="NC27" s="79"/>
      <c r="ND27" s="79"/>
      <c r="NE27" s="79">
        <v>37</v>
      </c>
      <c r="TK27" s="59">
        <v>284</v>
      </c>
      <c r="XM27" s="59">
        <v>9</v>
      </c>
      <c r="BOA27" s="59">
        <v>36</v>
      </c>
      <c r="BOC27" s="59">
        <v>1</v>
      </c>
      <c r="BOF27" s="59">
        <v>1</v>
      </c>
      <c r="BOG27" s="59">
        <v>19</v>
      </c>
      <c r="BYJ27" s="65"/>
      <c r="BYK27" s="59">
        <v>0</v>
      </c>
      <c r="BYY27" s="59">
        <v>0</v>
      </c>
      <c r="BZL27" s="59">
        <v>0</v>
      </c>
      <c r="BZM27" s="72">
        <v>75</v>
      </c>
      <c r="BZN27" s="59">
        <v>3</v>
      </c>
      <c r="BZR27" s="59">
        <v>1</v>
      </c>
      <c r="BZS27" s="59">
        <v>2</v>
      </c>
      <c r="BZT27" s="59">
        <v>0</v>
      </c>
      <c r="BZU27" s="59">
        <v>0</v>
      </c>
      <c r="BZV27" s="59">
        <v>999</v>
      </c>
      <c r="BZW27" s="59">
        <v>5</v>
      </c>
      <c r="CMG27" s="59">
        <v>500</v>
      </c>
      <c r="CMH27" s="59">
        <v>3</v>
      </c>
      <c r="CMK27" s="59">
        <v>1</v>
      </c>
      <c r="CML27" s="69">
        <v>4</v>
      </c>
      <c r="CMM27" s="59">
        <v>2</v>
      </c>
      <c r="CMN27" s="59">
        <v>0</v>
      </c>
      <c r="CMO27" s="59">
        <v>999</v>
      </c>
      <c r="CMP27" s="59">
        <v>4</v>
      </c>
      <c r="GWF27" s="59">
        <v>1</v>
      </c>
      <c r="GYE27" s="59">
        <v>1</v>
      </c>
      <c r="GZN27" s="59">
        <v>1</v>
      </c>
      <c r="HEH27" s="59">
        <v>1</v>
      </c>
      <c r="HFE27" s="59">
        <v>1</v>
      </c>
      <c r="HGG27" s="59">
        <v>1</v>
      </c>
      <c r="HHA27" s="59">
        <v>1</v>
      </c>
    </row>
    <row r="28" spans="1:2984 3117:4093 4097:4980 5166:5792" s="59" customFormat="1" x14ac:dyDescent="0.25">
      <c r="A28" s="59">
        <v>99001245</v>
      </c>
      <c r="B28" s="60" t="s">
        <v>4190</v>
      </c>
      <c r="JS28" s="59">
        <v>31</v>
      </c>
      <c r="TN28" s="59">
        <v>681</v>
      </c>
      <c r="XN28" s="59">
        <v>24.7</v>
      </c>
      <c r="BOA28" s="59">
        <v>4</v>
      </c>
      <c r="BOC28" s="59">
        <v>1</v>
      </c>
      <c r="BOF28" s="59">
        <v>1</v>
      </c>
      <c r="BOG28" s="59">
        <v>8</v>
      </c>
      <c r="BPC28" s="59">
        <v>1</v>
      </c>
      <c r="BUA28" s="59">
        <v>1</v>
      </c>
      <c r="BYJ28" s="65"/>
      <c r="BYK28" s="59">
        <v>0</v>
      </c>
      <c r="BYY28" s="59">
        <v>0</v>
      </c>
      <c r="BZL28" s="59">
        <v>500</v>
      </c>
      <c r="BZM28" s="59">
        <v>250</v>
      </c>
      <c r="BZN28" s="72">
        <v>2</v>
      </c>
      <c r="BZR28" s="59">
        <v>1</v>
      </c>
      <c r="BZS28" s="69">
        <v>3</v>
      </c>
      <c r="BZT28" s="59">
        <v>1</v>
      </c>
      <c r="BZU28" s="59">
        <v>0</v>
      </c>
      <c r="BZV28" s="59">
        <v>999</v>
      </c>
      <c r="BZW28" s="59">
        <v>4</v>
      </c>
      <c r="CLW28" s="59">
        <v>75</v>
      </c>
      <c r="CLX28" s="72">
        <v>1</v>
      </c>
      <c r="CMA28" s="59">
        <v>1</v>
      </c>
      <c r="CMB28" s="68">
        <v>5</v>
      </c>
      <c r="CMC28" s="59">
        <v>999</v>
      </c>
      <c r="CMD28" s="59">
        <v>0</v>
      </c>
      <c r="CME28" s="59">
        <v>0</v>
      </c>
      <c r="CMF28" s="59">
        <v>3</v>
      </c>
      <c r="EUX28" s="59">
        <v>1</v>
      </c>
      <c r="EUY28" s="72">
        <v>1</v>
      </c>
      <c r="EVB28" s="59">
        <v>1</v>
      </c>
      <c r="EVC28" s="59">
        <v>2</v>
      </c>
      <c r="EVD28" s="59">
        <v>1</v>
      </c>
      <c r="EVE28" s="59">
        <v>0</v>
      </c>
      <c r="EVF28" s="59">
        <v>0</v>
      </c>
      <c r="EVG28" s="59">
        <v>5</v>
      </c>
      <c r="GYE28" s="59">
        <v>1</v>
      </c>
      <c r="GYX28" s="59">
        <v>1</v>
      </c>
      <c r="HFE28" s="59">
        <v>1</v>
      </c>
      <c r="HGG28" s="59">
        <v>1</v>
      </c>
      <c r="HGY28" s="59">
        <v>1</v>
      </c>
      <c r="HHA28" s="59">
        <v>1</v>
      </c>
      <c r="HHC28" s="59">
        <v>1</v>
      </c>
    </row>
    <row r="29" spans="1:2984 3117:4093 4097:4980 5166:5792" s="63" customFormat="1" x14ac:dyDescent="0.25">
      <c r="A29" s="63">
        <v>99001902</v>
      </c>
      <c r="B29" s="89" t="s">
        <v>4190</v>
      </c>
      <c r="HS29" s="63">
        <v>16500</v>
      </c>
      <c r="JS29" s="63">
        <v>50</v>
      </c>
      <c r="NH29" s="63">
        <v>29</v>
      </c>
      <c r="QV29" s="63">
        <v>18</v>
      </c>
      <c r="XN29" s="63">
        <v>29</v>
      </c>
      <c r="BOA29" s="63">
        <v>1</v>
      </c>
      <c r="BOB29" s="63">
        <v>1</v>
      </c>
      <c r="BOF29" s="63">
        <v>1</v>
      </c>
      <c r="BOG29" s="63">
        <v>17</v>
      </c>
      <c r="BOL29" s="63">
        <v>1</v>
      </c>
      <c r="BTZ29" s="63">
        <v>1</v>
      </c>
      <c r="BYK29" s="63">
        <v>0</v>
      </c>
      <c r="BYY29" s="63">
        <v>0</v>
      </c>
      <c r="BZL29" s="63">
        <v>0</v>
      </c>
      <c r="BZR29" s="63">
        <v>1</v>
      </c>
      <c r="BZS29" s="63">
        <v>11</v>
      </c>
      <c r="BZT29" s="63">
        <v>15</v>
      </c>
      <c r="BZU29" s="63">
        <v>5</v>
      </c>
      <c r="BZV29" s="63">
        <v>0</v>
      </c>
      <c r="BZW29" s="63">
        <v>4</v>
      </c>
      <c r="CMK29" s="63">
        <v>1</v>
      </c>
      <c r="CML29" s="63">
        <v>8</v>
      </c>
      <c r="CMM29" s="63">
        <v>14</v>
      </c>
      <c r="CMN29" s="63">
        <v>7</v>
      </c>
      <c r="CMO29" s="63">
        <v>0</v>
      </c>
      <c r="CMP29" s="63">
        <v>3</v>
      </c>
      <c r="GYE29" s="63">
        <v>1</v>
      </c>
      <c r="GYW29" s="63">
        <v>1</v>
      </c>
      <c r="HFE29" s="63">
        <v>1</v>
      </c>
      <c r="HGG29" s="63">
        <v>1</v>
      </c>
      <c r="HHC29" s="63">
        <v>1</v>
      </c>
    </row>
    <row r="30" spans="1:2984 3117:4093 4097:4980 5166:5792" s="59" customFormat="1" x14ac:dyDescent="0.25">
      <c r="A30" s="59">
        <v>99001912</v>
      </c>
      <c r="B30" s="60" t="s">
        <v>4190</v>
      </c>
      <c r="G30" s="80"/>
      <c r="H30" s="80"/>
      <c r="I30" s="80"/>
      <c r="J30" s="80"/>
      <c r="K30" s="80"/>
      <c r="L30" s="67"/>
      <c r="M30" s="67"/>
      <c r="HS30" s="59">
        <v>10900</v>
      </c>
      <c r="JV30" s="59">
        <v>51</v>
      </c>
      <c r="NK30" s="59">
        <v>147</v>
      </c>
      <c r="QY30" s="59">
        <v>139</v>
      </c>
      <c r="TQ30" s="59">
        <v>131</v>
      </c>
      <c r="XN30" s="59">
        <v>15</v>
      </c>
      <c r="BOA30" s="59">
        <v>37</v>
      </c>
      <c r="BOC30" s="59">
        <v>1</v>
      </c>
      <c r="BOF30" s="59">
        <v>1</v>
      </c>
      <c r="BOG30" s="59">
        <v>35</v>
      </c>
      <c r="BYJ30" s="65"/>
      <c r="BYK30" s="59">
        <v>0</v>
      </c>
      <c r="BYO30" s="59">
        <v>1</v>
      </c>
      <c r="BYS30" s="59">
        <v>3</v>
      </c>
      <c r="BYT30" s="59">
        <v>1</v>
      </c>
      <c r="BYU30" s="59">
        <v>0</v>
      </c>
      <c r="BYV30" s="59">
        <v>999</v>
      </c>
      <c r="BYW30" s="59">
        <v>3</v>
      </c>
      <c r="BYY30" s="59">
        <v>0</v>
      </c>
      <c r="BZL30" s="59">
        <v>0</v>
      </c>
      <c r="BZS30" s="59">
        <v>2</v>
      </c>
      <c r="BZT30" s="59">
        <v>3</v>
      </c>
      <c r="BZU30" s="59">
        <v>2</v>
      </c>
      <c r="BZV30" s="59">
        <v>0</v>
      </c>
      <c r="BZW30" s="59">
        <v>4</v>
      </c>
      <c r="CML30" s="59">
        <v>2</v>
      </c>
      <c r="CMM30" s="59">
        <v>3</v>
      </c>
      <c r="CMN30" s="59">
        <v>2</v>
      </c>
      <c r="CMO30" s="59">
        <v>0</v>
      </c>
      <c r="CMP30" s="59">
        <v>3</v>
      </c>
    </row>
    <row r="31" spans="1:2984 3117:4093 4097:4980 5166:5792" s="63" customFormat="1" x14ac:dyDescent="0.25">
      <c r="A31" s="63">
        <v>99001913</v>
      </c>
      <c r="B31" s="89" t="s">
        <v>4190</v>
      </c>
      <c r="JS31" s="63">
        <v>28</v>
      </c>
      <c r="NH31" s="63">
        <v>24</v>
      </c>
      <c r="QV31" s="63">
        <v>22</v>
      </c>
      <c r="XN31" s="63">
        <v>9</v>
      </c>
      <c r="BOA31" s="63">
        <v>20</v>
      </c>
      <c r="BOB31" s="63">
        <v>1</v>
      </c>
      <c r="BOD31" s="63">
        <v>21</v>
      </c>
      <c r="BOF31" s="63">
        <v>1</v>
      </c>
      <c r="BOG31" s="63">
        <v>27</v>
      </c>
      <c r="BOL31" s="63">
        <v>1</v>
      </c>
      <c r="BOM31" s="63">
        <v>1</v>
      </c>
      <c r="BOP31" s="63">
        <v>1</v>
      </c>
      <c r="BPC31" s="63">
        <v>1</v>
      </c>
      <c r="BUG31" s="63">
        <v>1</v>
      </c>
      <c r="BYK31" s="63">
        <v>0</v>
      </c>
      <c r="BYY31" s="63">
        <v>0</v>
      </c>
      <c r="BZL31" s="63">
        <v>0</v>
      </c>
      <c r="BZQ31" s="63">
        <v>1</v>
      </c>
      <c r="BZS31" s="63">
        <v>3</v>
      </c>
      <c r="BZT31" s="63">
        <v>1</v>
      </c>
      <c r="BZU31" s="63">
        <v>0</v>
      </c>
      <c r="BZV31" s="63">
        <v>1</v>
      </c>
      <c r="BZW31" s="63">
        <v>5</v>
      </c>
      <c r="CAC31" s="63">
        <v>1</v>
      </c>
      <c r="CAD31" s="63">
        <v>1</v>
      </c>
      <c r="CAE31" s="63">
        <v>7</v>
      </c>
      <c r="CAF31" s="63">
        <v>7</v>
      </c>
      <c r="CAG31" s="63">
        <v>0</v>
      </c>
      <c r="CAH31" s="63">
        <v>5</v>
      </c>
      <c r="EOU31" s="63">
        <v>1</v>
      </c>
      <c r="EOV31" s="63">
        <v>29</v>
      </c>
      <c r="EOW31" s="63">
        <v>27</v>
      </c>
      <c r="EOX31" s="63">
        <v>0</v>
      </c>
      <c r="EOY31" s="63">
        <v>1</v>
      </c>
      <c r="EOZ31" s="63">
        <v>6</v>
      </c>
      <c r="EUN31" s="63">
        <v>200</v>
      </c>
      <c r="EUR31" s="63">
        <v>1</v>
      </c>
      <c r="EUS31" s="63">
        <v>3</v>
      </c>
      <c r="EUT31" s="63">
        <v>1</v>
      </c>
      <c r="EUU31" s="63">
        <v>0</v>
      </c>
      <c r="EUV31" s="63">
        <v>1</v>
      </c>
      <c r="EUW31" s="63">
        <v>5</v>
      </c>
      <c r="FAU31" s="63">
        <v>200</v>
      </c>
      <c r="FAY31" s="63">
        <v>1</v>
      </c>
      <c r="FAZ31" s="63">
        <v>3</v>
      </c>
      <c r="FBA31" s="63">
        <v>1</v>
      </c>
      <c r="FBB31" s="63">
        <v>0</v>
      </c>
      <c r="FBC31" s="63">
        <v>1</v>
      </c>
      <c r="FBD31" s="63">
        <v>5</v>
      </c>
      <c r="FSL31" s="63">
        <v>1</v>
      </c>
      <c r="FSM31" s="63">
        <v>3</v>
      </c>
      <c r="FSN31" s="63">
        <v>1</v>
      </c>
      <c r="FSO31" s="63">
        <v>0</v>
      </c>
      <c r="FSP31" s="63">
        <v>1</v>
      </c>
      <c r="FSQ31" s="63">
        <v>5</v>
      </c>
      <c r="GYE31" s="63">
        <v>1</v>
      </c>
      <c r="GYL31" s="63">
        <v>1</v>
      </c>
      <c r="GZN31" s="63">
        <v>1</v>
      </c>
      <c r="HFE31" s="63">
        <v>1</v>
      </c>
      <c r="HHA31" s="63">
        <v>1</v>
      </c>
      <c r="HHC31" s="63">
        <v>1</v>
      </c>
    </row>
    <row r="32" spans="1:2984 3117:4093 4097:4980 5166:5792" s="63" customFormat="1" x14ac:dyDescent="0.25">
      <c r="A32" s="63">
        <v>99001937</v>
      </c>
      <c r="B32" s="89" t="s">
        <v>4190</v>
      </c>
      <c r="JW32" s="63">
        <v>21</v>
      </c>
      <c r="NM32" s="63">
        <v>48</v>
      </c>
      <c r="RA32" s="63">
        <v>53</v>
      </c>
      <c r="TR32" s="63">
        <v>226</v>
      </c>
      <c r="BOA32" s="63">
        <v>83</v>
      </c>
      <c r="BOB32" s="63">
        <v>1</v>
      </c>
      <c r="BOD32" s="63">
        <v>26.5</v>
      </c>
      <c r="BOF32" s="63">
        <v>1</v>
      </c>
      <c r="BOG32" s="63">
        <v>32</v>
      </c>
      <c r="BOM32" s="63">
        <v>1</v>
      </c>
      <c r="BPC32" s="63">
        <v>1</v>
      </c>
      <c r="BPI32" s="63">
        <v>1</v>
      </c>
      <c r="BPO32" s="63">
        <v>1</v>
      </c>
      <c r="BQC32" s="63">
        <v>1</v>
      </c>
      <c r="BSH32" s="63">
        <v>1</v>
      </c>
      <c r="BTC32" s="63">
        <v>1</v>
      </c>
      <c r="BTE32" s="63">
        <v>1</v>
      </c>
      <c r="BTR32" s="63">
        <v>1</v>
      </c>
      <c r="BTW32" s="63">
        <v>1</v>
      </c>
      <c r="BXO32" s="63">
        <v>1</v>
      </c>
      <c r="BYK32" s="63">
        <v>0</v>
      </c>
      <c r="BYY32" s="63">
        <v>0</v>
      </c>
      <c r="BZL32" s="63">
        <v>0</v>
      </c>
      <c r="BZM32" s="63">
        <v>500</v>
      </c>
      <c r="BZQ32" s="63">
        <v>1</v>
      </c>
      <c r="BZS32" s="63">
        <v>1</v>
      </c>
      <c r="BZT32" s="63">
        <v>21</v>
      </c>
      <c r="BZU32" s="63">
        <v>21</v>
      </c>
      <c r="BZW32" s="63">
        <v>5</v>
      </c>
      <c r="DOW32" s="63">
        <v>1</v>
      </c>
      <c r="DPA32" s="63">
        <v>2</v>
      </c>
      <c r="DPB32" s="63">
        <v>18</v>
      </c>
      <c r="DPC32" s="63">
        <v>17</v>
      </c>
      <c r="DPD32" s="94">
        <v>0</v>
      </c>
      <c r="DPE32" s="63">
        <v>5</v>
      </c>
      <c r="DPF32" s="63">
        <v>600</v>
      </c>
      <c r="DPG32" s="63">
        <v>1</v>
      </c>
      <c r="DPJ32" s="63">
        <v>1</v>
      </c>
      <c r="DPK32" s="63">
        <v>23</v>
      </c>
      <c r="DPL32" s="63">
        <v>999</v>
      </c>
      <c r="DPM32" s="63">
        <v>6</v>
      </c>
      <c r="DPO32" s="63">
        <v>6</v>
      </c>
      <c r="DQV32" s="63">
        <v>1</v>
      </c>
      <c r="DQY32" s="63">
        <v>1</v>
      </c>
      <c r="DQZ32" s="63">
        <v>29</v>
      </c>
      <c r="DRA32" s="63">
        <v>28</v>
      </c>
      <c r="DRB32" s="63">
        <v>0</v>
      </c>
      <c r="DRC32" s="63">
        <v>999</v>
      </c>
      <c r="DRD32" s="63">
        <v>6</v>
      </c>
      <c r="EEL32" s="63">
        <v>500</v>
      </c>
      <c r="EEN32" s="63">
        <v>1</v>
      </c>
      <c r="EEQ32" s="63">
        <v>2</v>
      </c>
      <c r="EER32" s="63">
        <v>5</v>
      </c>
      <c r="EES32" s="63">
        <v>0</v>
      </c>
      <c r="EEU32" s="63">
        <v>5</v>
      </c>
      <c r="EHB32" s="63">
        <v>1</v>
      </c>
      <c r="EHC32" s="63">
        <v>1</v>
      </c>
      <c r="EHD32" s="63">
        <v>28</v>
      </c>
      <c r="EHE32" s="63">
        <v>28</v>
      </c>
      <c r="EHG32" s="63">
        <v>6</v>
      </c>
      <c r="EJJ32" s="63">
        <v>1</v>
      </c>
      <c r="EJK32" s="63">
        <v>1</v>
      </c>
      <c r="EJL32" s="63">
        <v>20</v>
      </c>
      <c r="EJM32" s="63">
        <v>20</v>
      </c>
      <c r="EJN32" s="94">
        <v>0</v>
      </c>
      <c r="EJO32" s="63">
        <v>5</v>
      </c>
      <c r="EKT32" s="63">
        <v>1</v>
      </c>
      <c r="EKU32" s="63">
        <v>2</v>
      </c>
      <c r="EKX32" s="63">
        <v>1</v>
      </c>
      <c r="EKY32" s="63">
        <v>15</v>
      </c>
      <c r="EKZ32" s="63">
        <v>20</v>
      </c>
      <c r="ELA32" s="63">
        <v>6</v>
      </c>
      <c r="ELC32" s="63">
        <v>5</v>
      </c>
      <c r="ELD32" s="63">
        <v>1</v>
      </c>
      <c r="ELE32" s="63">
        <v>3</v>
      </c>
      <c r="ELH32" s="63">
        <v>1</v>
      </c>
      <c r="ELI32" s="63">
        <v>14</v>
      </c>
      <c r="ELJ32" s="63">
        <v>19</v>
      </c>
      <c r="ELK32" s="63">
        <v>6</v>
      </c>
      <c r="ELM32" s="63">
        <v>5</v>
      </c>
      <c r="ELS32" s="63">
        <v>16</v>
      </c>
      <c r="ELT32" s="63">
        <v>21</v>
      </c>
      <c r="ELU32" s="63">
        <v>6</v>
      </c>
      <c r="ELW32" s="63">
        <v>6</v>
      </c>
      <c r="ENM32" s="63">
        <v>1</v>
      </c>
      <c r="ENN32" s="63">
        <v>3</v>
      </c>
      <c r="ENQ32" s="63">
        <v>1</v>
      </c>
      <c r="ENR32" s="63">
        <v>12</v>
      </c>
      <c r="ENS32" s="63">
        <v>17</v>
      </c>
      <c r="ENT32" s="63">
        <v>6</v>
      </c>
      <c r="ENV32" s="63">
        <v>4</v>
      </c>
      <c r="EOA32" s="63">
        <v>1</v>
      </c>
      <c r="EOB32" s="63">
        <v>9</v>
      </c>
      <c r="EOC32" s="63">
        <v>16</v>
      </c>
      <c r="EOD32" s="63">
        <v>6</v>
      </c>
      <c r="EOE32" s="94">
        <v>0</v>
      </c>
      <c r="EOF32" s="63">
        <v>5</v>
      </c>
      <c r="ERP32" s="63">
        <v>1</v>
      </c>
      <c r="ERQ32" s="63">
        <v>8</v>
      </c>
      <c r="ERR32" s="63">
        <v>19</v>
      </c>
      <c r="ERS32" s="63">
        <v>6</v>
      </c>
      <c r="ERT32" s="94">
        <v>0</v>
      </c>
      <c r="ERU32" s="63">
        <v>4</v>
      </c>
      <c r="FSW32" s="63">
        <v>21</v>
      </c>
      <c r="FSX32" s="63">
        <v>999</v>
      </c>
      <c r="FSY32" s="63">
        <v>3</v>
      </c>
      <c r="FTA32" s="63">
        <v>6</v>
      </c>
      <c r="FUF32" s="63">
        <v>1</v>
      </c>
      <c r="FUH32" s="63">
        <v>1</v>
      </c>
      <c r="FUI32" s="63">
        <v>21</v>
      </c>
      <c r="FUJ32" s="63">
        <v>999</v>
      </c>
      <c r="FUK32" s="63">
        <v>3</v>
      </c>
      <c r="FUM32" s="63">
        <v>6</v>
      </c>
      <c r="FUN32" s="63">
        <v>5</v>
      </c>
      <c r="FUO32" s="63">
        <v>1</v>
      </c>
      <c r="FUR32" s="63">
        <v>1</v>
      </c>
      <c r="FUS32" s="63">
        <v>14</v>
      </c>
      <c r="FUT32" s="63">
        <v>27</v>
      </c>
      <c r="FUU32" s="63">
        <v>0</v>
      </c>
      <c r="FUW32" s="63">
        <v>6</v>
      </c>
      <c r="HFE32" s="63">
        <v>1</v>
      </c>
      <c r="HGG32" s="63">
        <v>1</v>
      </c>
      <c r="HHA32" s="63">
        <v>1</v>
      </c>
    </row>
    <row r="33" spans="1:3055 3099:3979 4104:5091 5209:5798" s="59" customFormat="1" x14ac:dyDescent="0.25">
      <c r="A33" s="59">
        <v>99001943</v>
      </c>
      <c r="B33" s="60" t="s">
        <v>4190</v>
      </c>
      <c r="HL33" s="59">
        <v>12700</v>
      </c>
      <c r="HS33" s="59">
        <v>12700</v>
      </c>
      <c r="KG33" s="59">
        <v>21</v>
      </c>
      <c r="NV33" s="59">
        <v>27</v>
      </c>
      <c r="RJ33" s="59">
        <v>162</v>
      </c>
      <c r="XJ33" s="59">
        <v>9</v>
      </c>
      <c r="XN33" s="59">
        <v>9</v>
      </c>
      <c r="BOA33" s="59">
        <v>53</v>
      </c>
      <c r="BOC33" s="59">
        <v>1</v>
      </c>
      <c r="BOD33" s="59">
        <v>19.600000000000001</v>
      </c>
      <c r="BOF33" s="59">
        <v>1</v>
      </c>
      <c r="BOG33" s="59">
        <v>35</v>
      </c>
      <c r="BRS33" s="59">
        <v>1</v>
      </c>
      <c r="BWH33" s="59">
        <v>1</v>
      </c>
      <c r="BYJ33" s="65"/>
      <c r="BYK33" s="59">
        <v>0</v>
      </c>
      <c r="BYY33" s="59">
        <v>0</v>
      </c>
      <c r="BZL33" s="59">
        <v>0</v>
      </c>
      <c r="BZR33" s="59">
        <v>1</v>
      </c>
      <c r="BZS33" s="59">
        <v>2</v>
      </c>
      <c r="BZT33" s="59">
        <v>4</v>
      </c>
      <c r="BZU33" s="59">
        <v>3</v>
      </c>
      <c r="BZV33" s="59">
        <v>0</v>
      </c>
      <c r="BZW33" s="59">
        <v>4</v>
      </c>
      <c r="CEW33" s="59">
        <v>1</v>
      </c>
      <c r="CFA33" s="59">
        <v>1</v>
      </c>
      <c r="CFB33" s="59">
        <v>22</v>
      </c>
      <c r="CFC33" s="59">
        <v>21</v>
      </c>
      <c r="CFE33" s="59">
        <v>7</v>
      </c>
      <c r="CIK33" s="59">
        <v>1</v>
      </c>
      <c r="CIO33" s="59">
        <v>1</v>
      </c>
      <c r="CIP33" s="59">
        <v>22</v>
      </c>
      <c r="CIQ33" s="59">
        <v>22</v>
      </c>
      <c r="CIR33" s="59">
        <v>0</v>
      </c>
      <c r="CIS33" s="59">
        <v>7</v>
      </c>
      <c r="CJP33" s="59">
        <v>1</v>
      </c>
      <c r="CJS33" s="59">
        <v>1</v>
      </c>
      <c r="CJT33" s="59">
        <v>22</v>
      </c>
      <c r="CJU33" s="59">
        <v>22</v>
      </c>
      <c r="CJV33" s="59">
        <v>0</v>
      </c>
      <c r="CJW33" s="59">
        <v>7</v>
      </c>
      <c r="DAW33" s="59">
        <v>1</v>
      </c>
      <c r="DAZ33" s="59">
        <v>2</v>
      </c>
      <c r="DBA33" s="59">
        <v>22</v>
      </c>
      <c r="DBB33" s="59">
        <v>22</v>
      </c>
      <c r="DBC33" s="59">
        <v>0</v>
      </c>
      <c r="DBD33" s="59">
        <v>7</v>
      </c>
      <c r="DBQ33" s="59">
        <v>1</v>
      </c>
      <c r="DBT33" s="59">
        <v>1</v>
      </c>
      <c r="DBU33" s="59">
        <v>21</v>
      </c>
      <c r="DBV33" s="59">
        <v>21</v>
      </c>
      <c r="DBW33" s="59">
        <v>0</v>
      </c>
      <c r="DBX33" s="59">
        <v>7</v>
      </c>
      <c r="DOZ33" s="59">
        <v>1</v>
      </c>
      <c r="DPA33" s="59">
        <v>1</v>
      </c>
      <c r="DPB33" s="59">
        <v>22</v>
      </c>
      <c r="DPC33" s="59">
        <v>22</v>
      </c>
      <c r="DPD33" s="59">
        <v>0</v>
      </c>
      <c r="DPE33" s="59">
        <v>7</v>
      </c>
      <c r="DPR33" s="59">
        <v>1</v>
      </c>
      <c r="DPU33" s="59">
        <v>2</v>
      </c>
      <c r="DPV33" s="59">
        <v>22</v>
      </c>
      <c r="DPW33" s="59">
        <v>22</v>
      </c>
      <c r="DPX33" s="59">
        <v>0</v>
      </c>
      <c r="DPY33" s="59">
        <v>7</v>
      </c>
      <c r="DQB33" s="59">
        <v>1</v>
      </c>
      <c r="DQE33" s="59">
        <v>1</v>
      </c>
      <c r="DQF33" s="59">
        <v>22</v>
      </c>
      <c r="DQG33" s="59">
        <v>22</v>
      </c>
      <c r="DQH33" s="59">
        <v>0</v>
      </c>
      <c r="DQI33" s="59">
        <v>7</v>
      </c>
      <c r="DVC33" s="59">
        <v>0.25</v>
      </c>
      <c r="DVD33" s="59">
        <v>1</v>
      </c>
      <c r="DVG33" s="59">
        <v>1</v>
      </c>
      <c r="DVH33" s="68">
        <v>12</v>
      </c>
      <c r="DVI33" s="59">
        <v>999</v>
      </c>
      <c r="DVJ33" s="59">
        <v>5</v>
      </c>
      <c r="DVK33" s="59">
        <v>0</v>
      </c>
      <c r="DVL33" s="59">
        <v>6</v>
      </c>
      <c r="DVX33" s="59">
        <v>10</v>
      </c>
      <c r="DWB33" s="59">
        <v>1</v>
      </c>
      <c r="DWC33" s="59">
        <v>5</v>
      </c>
      <c r="DWD33" s="59">
        <v>24</v>
      </c>
      <c r="DWE33" s="59">
        <v>20</v>
      </c>
      <c r="DWF33" s="59">
        <v>0</v>
      </c>
      <c r="DWG33" s="59">
        <v>6</v>
      </c>
      <c r="EEY33" s="59">
        <v>1</v>
      </c>
      <c r="EFC33" s="59">
        <v>3</v>
      </c>
      <c r="EFD33" s="59">
        <v>22</v>
      </c>
      <c r="EFE33" s="59">
        <v>20</v>
      </c>
      <c r="EFF33" s="59">
        <v>0</v>
      </c>
      <c r="EFG33" s="59">
        <v>6</v>
      </c>
      <c r="EIN33" s="59">
        <v>1</v>
      </c>
      <c r="EIQ33" s="59">
        <v>3</v>
      </c>
      <c r="EIR33" s="59">
        <v>22</v>
      </c>
      <c r="EIS33" s="59">
        <v>20</v>
      </c>
      <c r="EIT33" s="59">
        <v>0</v>
      </c>
      <c r="EIU33" s="59">
        <v>6</v>
      </c>
      <c r="FAV33" s="59">
        <v>2</v>
      </c>
      <c r="FAZ33" s="59">
        <v>4</v>
      </c>
      <c r="FBA33" s="59">
        <v>3</v>
      </c>
      <c r="FBB33" s="59">
        <v>0</v>
      </c>
      <c r="FBC33" s="59">
        <v>0</v>
      </c>
      <c r="FBD33" s="59">
        <v>4</v>
      </c>
      <c r="FCB33" s="59">
        <v>1</v>
      </c>
      <c r="FCE33" s="59">
        <v>3</v>
      </c>
      <c r="FCF33" s="59">
        <v>22</v>
      </c>
      <c r="FCG33" s="59">
        <v>20</v>
      </c>
      <c r="FCH33" s="59">
        <v>0</v>
      </c>
      <c r="FCI33" s="59">
        <v>6</v>
      </c>
      <c r="FHD33" s="59">
        <v>1</v>
      </c>
      <c r="FHF33" s="59">
        <v>1</v>
      </c>
      <c r="FHG33" s="69">
        <v>22</v>
      </c>
      <c r="FHH33" s="59">
        <v>19</v>
      </c>
      <c r="FHI33" s="59">
        <v>0</v>
      </c>
      <c r="FHJ33" s="59">
        <v>999</v>
      </c>
      <c r="FHK33" s="59">
        <v>3</v>
      </c>
      <c r="FXY33" s="59" t="s">
        <v>443</v>
      </c>
      <c r="FXZ33" s="59">
        <v>2</v>
      </c>
      <c r="FYC33" s="59">
        <v>1</v>
      </c>
      <c r="FYD33" s="59">
        <v>4</v>
      </c>
      <c r="FYE33" s="59">
        <v>4</v>
      </c>
      <c r="FYF33" s="59">
        <v>0</v>
      </c>
      <c r="FYG33" s="59">
        <v>0</v>
      </c>
      <c r="FYH33" s="59">
        <v>7</v>
      </c>
      <c r="FYS33" s="59" t="s">
        <v>444</v>
      </c>
      <c r="FYT33" s="59">
        <v>1</v>
      </c>
      <c r="FYW33" s="59">
        <v>1</v>
      </c>
      <c r="FYX33" s="71">
        <v>27</v>
      </c>
      <c r="FYY33" s="59">
        <v>999</v>
      </c>
      <c r="FYZ33" s="59">
        <v>0</v>
      </c>
      <c r="FZA33" s="59">
        <v>999</v>
      </c>
      <c r="FZB33" s="59">
        <v>6</v>
      </c>
      <c r="GWF33" s="59">
        <v>1</v>
      </c>
      <c r="GWG33" s="59">
        <v>2</v>
      </c>
      <c r="GWM33" s="59">
        <v>4</v>
      </c>
      <c r="GYE33" s="59">
        <v>1</v>
      </c>
      <c r="HFE33" s="59">
        <v>1</v>
      </c>
      <c r="HHA33" s="59">
        <v>1</v>
      </c>
      <c r="HHC33" s="59">
        <v>1</v>
      </c>
    </row>
    <row r="34" spans="1:3055 3099:3979 4104:5091 5209:5798" s="59" customFormat="1" x14ac:dyDescent="0.25">
      <c r="A34" s="59">
        <v>99001927</v>
      </c>
      <c r="B34" s="60" t="s">
        <v>4190</v>
      </c>
      <c r="HP34" s="59">
        <v>10100</v>
      </c>
      <c r="JP34" s="59">
        <v>1425</v>
      </c>
      <c r="NE34" s="59">
        <v>2880</v>
      </c>
      <c r="QS34" s="59">
        <v>167</v>
      </c>
      <c r="TK34" s="59">
        <v>2013</v>
      </c>
      <c r="BOA34" s="59">
        <v>50</v>
      </c>
      <c r="BOC34" s="59">
        <v>1</v>
      </c>
      <c r="BOD34" s="59">
        <v>26.7</v>
      </c>
      <c r="BOF34" s="59">
        <v>1</v>
      </c>
      <c r="BOG34" s="59">
        <v>47</v>
      </c>
      <c r="BOH34" s="59">
        <v>1</v>
      </c>
      <c r="BOM34" s="59">
        <v>1</v>
      </c>
      <c r="BOQ34" s="59">
        <v>1</v>
      </c>
      <c r="BPC34" s="59">
        <v>1</v>
      </c>
      <c r="BQD34" s="59">
        <v>1</v>
      </c>
      <c r="BRD34" s="59">
        <v>1</v>
      </c>
      <c r="BUA34" s="59">
        <v>1</v>
      </c>
      <c r="BYJ34" s="65"/>
      <c r="BYK34" s="59">
        <v>0</v>
      </c>
      <c r="BYY34" s="59">
        <v>0</v>
      </c>
      <c r="BZL34" s="59">
        <v>0</v>
      </c>
      <c r="BZN34" s="59">
        <v>3</v>
      </c>
      <c r="BZQ34" s="59">
        <v>1</v>
      </c>
      <c r="BZS34" s="59">
        <v>3</v>
      </c>
      <c r="BZT34" s="59">
        <v>0</v>
      </c>
      <c r="BZU34" s="59">
        <v>0</v>
      </c>
      <c r="BZV34" s="59">
        <v>2</v>
      </c>
      <c r="BZW34" s="59">
        <v>4</v>
      </c>
      <c r="CRR34" s="59">
        <v>150</v>
      </c>
      <c r="CRS34" s="59">
        <v>2</v>
      </c>
      <c r="CRV34" s="59">
        <v>1</v>
      </c>
      <c r="CRW34" s="59">
        <v>2</v>
      </c>
      <c r="CRX34" s="59">
        <v>1</v>
      </c>
      <c r="CRY34" s="59">
        <v>0</v>
      </c>
      <c r="CRZ34" s="59">
        <v>0</v>
      </c>
      <c r="CSA34" s="59">
        <v>5</v>
      </c>
      <c r="CSM34" s="59">
        <v>2</v>
      </c>
      <c r="CSP34" s="59">
        <v>1</v>
      </c>
      <c r="CSQ34" s="59">
        <v>3</v>
      </c>
      <c r="CSR34" s="59">
        <v>0</v>
      </c>
      <c r="CSS34" s="59">
        <v>0</v>
      </c>
      <c r="CST34" s="59">
        <v>2</v>
      </c>
      <c r="CSU34" s="59">
        <v>4</v>
      </c>
      <c r="EUN34" s="59">
        <v>200</v>
      </c>
      <c r="EUO34" s="59">
        <v>3</v>
      </c>
      <c r="EUR34" s="59">
        <v>1</v>
      </c>
      <c r="EUS34" s="59">
        <v>4</v>
      </c>
      <c r="EUT34" s="59">
        <v>1</v>
      </c>
      <c r="EUU34" s="59">
        <v>0</v>
      </c>
      <c r="EUV34" s="72">
        <v>2</v>
      </c>
      <c r="EUW34" s="59">
        <v>5</v>
      </c>
      <c r="EVH34" s="59">
        <v>15</v>
      </c>
      <c r="EVI34" s="59">
        <v>3</v>
      </c>
      <c r="EVL34" s="59">
        <v>1</v>
      </c>
      <c r="EVM34" s="59">
        <v>2</v>
      </c>
      <c r="EVN34" s="59">
        <v>1</v>
      </c>
      <c r="EVO34" s="59">
        <v>0</v>
      </c>
      <c r="EVP34" s="59">
        <v>0</v>
      </c>
      <c r="EVQ34" s="59">
        <v>5</v>
      </c>
      <c r="GYE34" s="59">
        <v>1</v>
      </c>
      <c r="GYX34" s="59">
        <v>1</v>
      </c>
      <c r="HFE34" s="59">
        <v>1</v>
      </c>
      <c r="HGG34" s="59">
        <v>1</v>
      </c>
      <c r="HGP34" s="59">
        <v>1</v>
      </c>
      <c r="HHA34" s="59">
        <v>1</v>
      </c>
      <c r="HHC34" s="59">
        <v>1</v>
      </c>
    </row>
    <row r="35" spans="1:3055 3099:3979 4104:5091 5209:5798" s="63" customFormat="1" x14ac:dyDescent="0.25">
      <c r="A35" s="63">
        <v>1505</v>
      </c>
      <c r="B35" s="89" t="s">
        <v>4190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2"/>
      <c r="DL35" s="92"/>
      <c r="DM35" s="92"/>
      <c r="DN35" s="92"/>
      <c r="DO35" s="92"/>
      <c r="DP35" s="92"/>
      <c r="DQ35" s="92"/>
      <c r="DR35" s="92"/>
      <c r="DS35" s="92"/>
      <c r="DT35" s="92"/>
      <c r="DU35" s="92"/>
      <c r="DV35" s="92"/>
      <c r="DW35" s="92"/>
      <c r="DX35" s="92"/>
      <c r="DY35" s="92"/>
      <c r="DZ35" s="92"/>
      <c r="EA35" s="92"/>
      <c r="EB35" s="92"/>
      <c r="EC35" s="92"/>
      <c r="ED35" s="92"/>
      <c r="EE35" s="92"/>
      <c r="EF35" s="92"/>
      <c r="EG35" s="91"/>
      <c r="EH35" s="91"/>
      <c r="EI35" s="91"/>
      <c r="EJ35" s="91"/>
      <c r="EK35" s="91"/>
      <c r="EL35" s="91"/>
      <c r="EM35" s="91"/>
      <c r="EN35" s="91"/>
      <c r="EO35" s="91"/>
      <c r="EP35" s="91"/>
      <c r="EQ35" s="91"/>
      <c r="ER35" s="91"/>
      <c r="ES35" s="91"/>
      <c r="ET35" s="91"/>
      <c r="EU35" s="91"/>
      <c r="EV35" s="91"/>
      <c r="EW35" s="91"/>
      <c r="EX35" s="91"/>
      <c r="EY35" s="91"/>
      <c r="EZ35" s="91"/>
      <c r="FA35" s="91"/>
      <c r="FB35" s="91"/>
      <c r="FC35" s="91"/>
      <c r="FD35" s="91"/>
      <c r="FE35" s="91"/>
      <c r="FF35" s="91"/>
      <c r="FG35" s="91"/>
      <c r="FH35" s="91"/>
      <c r="FI35" s="91"/>
      <c r="FJ35" s="91"/>
      <c r="FK35" s="91"/>
      <c r="FL35" s="91"/>
      <c r="FM35" s="91"/>
      <c r="FN35" s="91"/>
      <c r="FO35" s="91"/>
      <c r="FP35" s="91"/>
      <c r="FQ35" s="91"/>
      <c r="FR35" s="91"/>
      <c r="FS35" s="91"/>
      <c r="FT35" s="91"/>
      <c r="FU35" s="91"/>
      <c r="FV35" s="91"/>
      <c r="FW35" s="91"/>
      <c r="FX35" s="91"/>
      <c r="FY35" s="91"/>
      <c r="FZ35" s="91"/>
      <c r="GA35" s="91"/>
      <c r="GB35" s="91"/>
      <c r="GC35" s="91"/>
      <c r="GD35" s="91"/>
      <c r="GE35" s="91"/>
      <c r="GF35" s="91"/>
      <c r="GG35" s="91"/>
      <c r="GH35" s="91"/>
      <c r="GI35" s="91"/>
      <c r="GJ35" s="91"/>
      <c r="GK35" s="91"/>
      <c r="GL35" s="91"/>
      <c r="GM35" s="91"/>
      <c r="GN35" s="91"/>
      <c r="GO35" s="91"/>
      <c r="GP35" s="91"/>
      <c r="GQ35" s="91"/>
      <c r="GR35" s="91"/>
      <c r="GS35" s="91"/>
      <c r="GT35" s="91"/>
      <c r="GU35" s="91"/>
      <c r="GV35" s="91"/>
      <c r="GW35" s="91"/>
      <c r="GX35" s="92"/>
      <c r="GY35" s="92"/>
      <c r="GZ35" s="92"/>
      <c r="HA35" s="92"/>
      <c r="HB35" s="92"/>
      <c r="HC35" s="92"/>
      <c r="HD35" s="92"/>
      <c r="HE35" s="92"/>
      <c r="HF35" s="92"/>
      <c r="HG35" s="92"/>
      <c r="HH35" s="92"/>
      <c r="HI35" s="92"/>
      <c r="HJ35" s="92"/>
      <c r="HK35" s="92"/>
      <c r="HL35" s="92"/>
      <c r="HM35" s="92"/>
      <c r="HN35" s="92"/>
      <c r="HO35" s="92"/>
      <c r="HP35" s="92"/>
      <c r="HQ35" s="91"/>
      <c r="HR35" s="91"/>
      <c r="HS35" s="91"/>
      <c r="HT35" s="91"/>
      <c r="HU35" s="91"/>
      <c r="HV35" s="63">
        <v>12000</v>
      </c>
      <c r="HW35" s="91"/>
      <c r="HX35" s="91"/>
      <c r="HY35" s="91"/>
      <c r="IA35" s="63">
        <v>20000</v>
      </c>
      <c r="IG35" s="91"/>
      <c r="IH35" s="91"/>
      <c r="II35" s="91"/>
      <c r="IJ35" s="91"/>
      <c r="IK35" s="91"/>
      <c r="IL35" s="91"/>
      <c r="IM35" s="91"/>
      <c r="IN35" s="91"/>
      <c r="IO35" s="91"/>
      <c r="IP35" s="91"/>
      <c r="IQ35" s="91"/>
      <c r="IR35" s="91"/>
      <c r="IS35" s="91"/>
      <c r="IT35" s="91"/>
      <c r="IU35" s="91"/>
      <c r="IV35" s="91"/>
      <c r="IW35" s="91"/>
      <c r="IX35" s="91"/>
      <c r="JA35" s="91"/>
      <c r="JB35" s="91"/>
      <c r="JC35" s="91"/>
      <c r="JD35" s="91"/>
      <c r="JE35" s="91"/>
      <c r="JF35" s="91"/>
      <c r="JG35" s="91"/>
      <c r="JH35" s="91"/>
      <c r="JI35" s="91"/>
      <c r="JJ35" s="91"/>
      <c r="JK35" s="91"/>
      <c r="JL35" s="91"/>
      <c r="JM35" s="91"/>
      <c r="JN35" s="91"/>
      <c r="JO35" s="91"/>
      <c r="JP35" s="91"/>
      <c r="JQ35" s="91"/>
      <c r="JR35" s="91"/>
      <c r="JS35" s="91"/>
      <c r="JT35" s="91"/>
      <c r="JU35" s="91"/>
      <c r="JV35" s="91"/>
      <c r="JW35" s="63">
        <v>28</v>
      </c>
      <c r="JX35" s="91"/>
      <c r="JY35" s="91"/>
      <c r="JZ35" s="91"/>
      <c r="KA35" s="91"/>
      <c r="KB35" s="91"/>
      <c r="KC35" s="91"/>
      <c r="KD35" s="91"/>
      <c r="KE35" s="91"/>
      <c r="KF35" s="91"/>
      <c r="KG35" s="91"/>
      <c r="KH35" s="91"/>
      <c r="KI35" s="91"/>
      <c r="KJ35" s="91"/>
      <c r="KK35" s="91"/>
      <c r="KL35" s="91"/>
      <c r="KM35" s="91"/>
      <c r="KN35" s="91"/>
      <c r="KO35" s="91"/>
      <c r="KP35" s="91"/>
      <c r="KQ35" s="91"/>
      <c r="KR35" s="91"/>
      <c r="KS35" s="91"/>
      <c r="KT35" s="91"/>
      <c r="KU35" s="91"/>
      <c r="KV35" s="91"/>
      <c r="KW35" s="91"/>
      <c r="KX35" s="91"/>
      <c r="KY35" s="91"/>
      <c r="KZ35" s="91"/>
      <c r="LA35" s="91"/>
      <c r="LB35" s="91"/>
      <c r="LC35" s="91"/>
      <c r="LD35" s="91"/>
      <c r="LE35" s="91"/>
      <c r="LF35" s="91"/>
      <c r="LG35" s="91"/>
      <c r="LH35" s="91"/>
      <c r="LI35" s="91"/>
      <c r="LJ35" s="91"/>
      <c r="LK35" s="91"/>
      <c r="LL35" s="91"/>
      <c r="LM35" s="91"/>
      <c r="LN35" s="91"/>
      <c r="LO35" s="91"/>
      <c r="LP35" s="91"/>
      <c r="LQ35" s="91"/>
      <c r="LR35" s="91"/>
      <c r="LS35" s="91"/>
      <c r="LT35" s="91"/>
      <c r="LU35" s="91"/>
      <c r="LV35" s="91"/>
      <c r="LW35" s="91"/>
      <c r="LX35" s="91"/>
      <c r="LY35" s="91"/>
      <c r="LZ35" s="91"/>
      <c r="MA35" s="91"/>
      <c r="MB35" s="91"/>
      <c r="MC35" s="91"/>
      <c r="MD35" s="91"/>
      <c r="ME35" s="91"/>
      <c r="MF35" s="91"/>
      <c r="MG35" s="91"/>
      <c r="MH35" s="91"/>
      <c r="MI35" s="91"/>
      <c r="MJ35" s="91"/>
      <c r="MK35" s="91"/>
      <c r="ML35" s="91"/>
      <c r="MM35" s="91"/>
      <c r="MN35" s="91"/>
      <c r="MO35" s="91"/>
      <c r="MP35" s="91"/>
      <c r="MQ35" s="91"/>
      <c r="MR35" s="91"/>
      <c r="MS35" s="91"/>
      <c r="MT35" s="91"/>
      <c r="MU35" s="91"/>
      <c r="MV35" s="91"/>
      <c r="MW35" s="91"/>
      <c r="MX35" s="91"/>
      <c r="MY35" s="91"/>
      <c r="MZ35" s="91"/>
      <c r="NA35" s="91"/>
      <c r="NB35" s="91"/>
      <c r="NC35" s="91"/>
      <c r="ND35" s="91"/>
      <c r="NE35" s="91"/>
      <c r="NF35" s="91"/>
      <c r="NG35" s="91"/>
      <c r="NH35" s="91"/>
      <c r="NI35" s="91"/>
      <c r="NJ35" s="91"/>
      <c r="NK35" s="91"/>
      <c r="NL35" s="63">
        <v>32</v>
      </c>
      <c r="NM35" s="91"/>
      <c r="NN35" s="91"/>
      <c r="NO35" s="91"/>
      <c r="NP35" s="91"/>
      <c r="NQ35" s="91"/>
      <c r="NR35" s="91"/>
      <c r="NS35" s="91"/>
      <c r="NT35" s="91"/>
      <c r="NU35" s="91"/>
      <c r="NV35" s="91"/>
      <c r="NW35" s="91"/>
      <c r="NX35" s="91"/>
      <c r="NY35" s="91"/>
      <c r="NZ35" s="91"/>
      <c r="OA35" s="91"/>
      <c r="OB35" s="91"/>
      <c r="OC35" s="91"/>
      <c r="OD35" s="91"/>
      <c r="OE35" s="91"/>
      <c r="OF35" s="91"/>
      <c r="OG35" s="91"/>
      <c r="OH35" s="91"/>
      <c r="OI35" s="91"/>
      <c r="OJ35" s="91"/>
      <c r="OK35" s="91"/>
      <c r="OL35" s="91"/>
      <c r="OM35" s="91"/>
      <c r="ON35" s="91"/>
      <c r="OO35" s="91"/>
      <c r="OP35" s="91"/>
      <c r="OQ35" s="91"/>
      <c r="OR35" s="91"/>
      <c r="OS35" s="91"/>
      <c r="OT35" s="91"/>
      <c r="OU35" s="91"/>
      <c r="OV35" s="91"/>
      <c r="OW35" s="91"/>
      <c r="OX35" s="91"/>
      <c r="OY35" s="91"/>
      <c r="OZ35" s="91"/>
      <c r="PA35" s="91"/>
      <c r="PB35" s="91"/>
      <c r="PC35" s="91"/>
      <c r="PD35" s="91"/>
      <c r="PE35" s="91"/>
      <c r="PF35" s="91"/>
      <c r="PG35" s="91"/>
      <c r="PH35" s="91"/>
      <c r="PI35" s="91"/>
      <c r="PJ35" s="91"/>
      <c r="PK35" s="91"/>
      <c r="PL35" s="91"/>
      <c r="PM35" s="91"/>
      <c r="PN35" s="91"/>
      <c r="PO35" s="91"/>
      <c r="PP35" s="91"/>
      <c r="PQ35" s="91"/>
      <c r="PR35" s="91"/>
      <c r="PS35" s="91"/>
      <c r="PT35" s="91"/>
      <c r="PU35" s="91"/>
      <c r="PV35" s="91"/>
      <c r="PW35" s="91"/>
      <c r="PX35" s="91"/>
      <c r="PY35" s="91"/>
      <c r="PZ35" s="91"/>
      <c r="QA35" s="91"/>
      <c r="QB35" s="91"/>
      <c r="QC35" s="91"/>
      <c r="QD35" s="91"/>
      <c r="QE35" s="91"/>
      <c r="QF35" s="91"/>
      <c r="QG35" s="91"/>
      <c r="QH35" s="91"/>
      <c r="QI35" s="91"/>
      <c r="QJ35" s="91"/>
      <c r="QK35" s="91"/>
      <c r="QL35" s="91"/>
      <c r="QM35" s="91"/>
      <c r="QN35" s="91"/>
      <c r="QO35" s="91"/>
      <c r="QP35" s="91"/>
      <c r="QQ35" s="91"/>
      <c r="QR35" s="91"/>
      <c r="QS35" s="91"/>
      <c r="QT35" s="91"/>
      <c r="QU35" s="91"/>
      <c r="QV35" s="91"/>
      <c r="QW35" s="91"/>
      <c r="QX35" s="91"/>
      <c r="QY35" s="91"/>
      <c r="QZ35" s="91"/>
      <c r="RA35" s="91"/>
      <c r="RB35" s="91"/>
      <c r="RC35" s="91"/>
      <c r="RD35" s="91"/>
      <c r="RE35" s="91"/>
      <c r="RF35" s="91"/>
      <c r="RG35" s="91"/>
      <c r="RH35" s="91"/>
      <c r="RI35" s="91"/>
      <c r="RJ35" s="91"/>
      <c r="RK35" s="91"/>
      <c r="RL35" s="91"/>
      <c r="RM35" s="91"/>
      <c r="RN35" s="91"/>
      <c r="RO35" s="91"/>
      <c r="RP35" s="91"/>
      <c r="RQ35" s="91"/>
      <c r="RR35" s="91"/>
      <c r="RS35" s="91"/>
      <c r="RT35" s="91"/>
      <c r="RU35" s="91"/>
      <c r="RV35" s="91"/>
      <c r="RW35" s="91"/>
      <c r="RX35" s="91"/>
      <c r="RY35" s="91"/>
      <c r="RZ35" s="91"/>
      <c r="SA35" s="91"/>
      <c r="SB35" s="91"/>
      <c r="SC35" s="91"/>
      <c r="SD35" s="91"/>
      <c r="SE35" s="91"/>
      <c r="SF35" s="91"/>
      <c r="SG35" s="91"/>
      <c r="SH35" s="91"/>
      <c r="SI35" s="91"/>
      <c r="SJ35" s="91"/>
      <c r="SK35" s="91"/>
      <c r="SL35" s="91"/>
      <c r="SM35" s="91"/>
      <c r="SN35" s="91"/>
      <c r="SO35" s="91"/>
      <c r="SP35" s="91"/>
      <c r="SQ35" s="91"/>
      <c r="SR35" s="91"/>
      <c r="SS35" s="91"/>
      <c r="ST35" s="91"/>
      <c r="SU35" s="91"/>
      <c r="SV35" s="91"/>
      <c r="SW35" s="91"/>
      <c r="SX35" s="91"/>
      <c r="SY35" s="91"/>
      <c r="SZ35" s="91"/>
      <c r="TA35" s="91"/>
      <c r="TB35" s="91"/>
      <c r="TC35" s="93"/>
      <c r="TD35" s="93"/>
      <c r="TE35" s="93"/>
      <c r="TF35" s="93"/>
      <c r="TG35" s="93"/>
      <c r="TH35" s="93"/>
      <c r="TI35" s="93"/>
      <c r="TJ35" s="93"/>
      <c r="TK35" s="93"/>
      <c r="TL35" s="93"/>
      <c r="TM35" s="91"/>
      <c r="TN35" s="91"/>
      <c r="TO35" s="91"/>
      <c r="TP35" s="91"/>
      <c r="TQ35" s="91"/>
      <c r="TR35" s="63">
        <v>249</v>
      </c>
      <c r="TS35" s="91"/>
      <c r="TT35" s="91"/>
      <c r="TU35" s="91"/>
      <c r="TV35" s="91"/>
      <c r="TW35" s="91"/>
      <c r="TX35" s="91"/>
      <c r="TY35" s="91"/>
      <c r="TZ35" s="91"/>
      <c r="UA35" s="91"/>
      <c r="UB35" s="91"/>
      <c r="UC35" s="91"/>
      <c r="UD35" s="91"/>
      <c r="UE35" s="91"/>
      <c r="UF35" s="91"/>
      <c r="UG35" s="91"/>
      <c r="UH35" s="91"/>
      <c r="UI35" s="91"/>
      <c r="UJ35" s="91"/>
      <c r="UK35" s="91"/>
      <c r="UL35" s="91"/>
      <c r="UM35" s="91"/>
      <c r="UN35" s="91"/>
      <c r="UO35" s="91"/>
      <c r="UP35" s="91"/>
      <c r="UQ35" s="91"/>
      <c r="UR35" s="91"/>
      <c r="US35" s="91"/>
      <c r="UT35" s="91"/>
      <c r="UU35" s="91"/>
      <c r="UV35" s="91"/>
      <c r="UW35" s="91"/>
      <c r="UX35" s="91"/>
      <c r="UY35" s="91"/>
      <c r="UZ35" s="91"/>
      <c r="VA35" s="91"/>
      <c r="VB35" s="91"/>
      <c r="VC35" s="91"/>
      <c r="VD35" s="91"/>
      <c r="VE35" s="91"/>
      <c r="VF35" s="91"/>
      <c r="VG35" s="91"/>
      <c r="VH35" s="91"/>
      <c r="VI35" s="91"/>
      <c r="VJ35" s="91"/>
      <c r="VK35" s="91"/>
      <c r="VL35" s="91"/>
      <c r="VM35" s="91"/>
      <c r="VN35" s="91"/>
      <c r="VO35" s="91"/>
      <c r="VP35" s="91"/>
      <c r="VQ35" s="91"/>
      <c r="VR35" s="91"/>
      <c r="VS35" s="91"/>
      <c r="VT35" s="91"/>
      <c r="VU35" s="91"/>
      <c r="VV35" s="91"/>
      <c r="VW35" s="91"/>
      <c r="VX35" s="91"/>
      <c r="VY35" s="91"/>
      <c r="VZ35" s="91"/>
      <c r="WA35" s="91"/>
      <c r="WB35" s="91"/>
      <c r="WC35" s="91"/>
      <c r="WD35" s="91"/>
      <c r="WE35" s="91"/>
      <c r="WF35" s="91"/>
      <c r="WG35" s="91"/>
      <c r="WH35" s="91"/>
      <c r="WI35" s="91"/>
      <c r="WJ35" s="91"/>
      <c r="WK35" s="91"/>
      <c r="WL35" s="91"/>
      <c r="WM35" s="91"/>
      <c r="WN35" s="91"/>
      <c r="WO35" s="91"/>
      <c r="WP35" s="91"/>
      <c r="WQ35" s="91"/>
      <c r="WR35" s="91"/>
      <c r="WS35" s="91"/>
      <c r="WT35" s="91"/>
      <c r="WU35" s="91"/>
      <c r="WV35" s="91"/>
      <c r="WW35" s="91"/>
      <c r="WX35" s="91"/>
      <c r="WY35" s="91"/>
      <c r="WZ35" s="91"/>
      <c r="XA35" s="91"/>
      <c r="XB35" s="91"/>
      <c r="XC35" s="91"/>
      <c r="XD35" s="91"/>
      <c r="XE35" s="91"/>
      <c r="XF35" s="91"/>
      <c r="XG35" s="91"/>
      <c r="XH35" s="91"/>
      <c r="XI35" s="91"/>
      <c r="XJ35" s="91"/>
      <c r="XK35" s="91"/>
      <c r="XL35" s="91"/>
      <c r="XM35" s="91"/>
      <c r="XN35" s="91"/>
      <c r="XO35" s="91"/>
      <c r="XP35" s="91"/>
      <c r="XQ35" s="63">
        <v>9.9</v>
      </c>
      <c r="XT35" s="91"/>
      <c r="XU35" s="91"/>
      <c r="XV35" s="91"/>
      <c r="XW35" s="91"/>
      <c r="XX35" s="91"/>
      <c r="XY35" s="91"/>
      <c r="XZ35" s="91"/>
      <c r="YA35" s="91"/>
      <c r="YB35" s="91"/>
      <c r="YC35" s="91"/>
      <c r="YD35" s="91"/>
      <c r="YE35" s="91"/>
      <c r="YF35" s="91"/>
      <c r="YG35" s="91"/>
      <c r="YH35" s="91"/>
      <c r="YI35" s="91"/>
      <c r="YJ35" s="91"/>
      <c r="YK35" s="91"/>
      <c r="YL35" s="91"/>
      <c r="YM35" s="91"/>
      <c r="YN35" s="91"/>
      <c r="YO35" s="91"/>
      <c r="YP35" s="91"/>
      <c r="YQ35" s="91"/>
      <c r="YR35" s="91"/>
      <c r="YS35" s="91"/>
      <c r="YT35" s="91"/>
      <c r="YU35" s="91"/>
      <c r="YV35" s="91"/>
      <c r="YW35" s="91"/>
      <c r="YX35" s="91"/>
      <c r="YY35" s="91"/>
      <c r="YZ35" s="91"/>
      <c r="ZA35" s="91"/>
      <c r="ZB35" s="91"/>
      <c r="ZC35" s="91"/>
      <c r="ZD35" s="91"/>
      <c r="ZE35" s="91"/>
      <c r="ZF35" s="91"/>
      <c r="ZG35" s="91"/>
      <c r="ZH35" s="91"/>
      <c r="ZI35" s="91"/>
      <c r="ZJ35" s="91"/>
      <c r="ZK35" s="91"/>
      <c r="ZL35" s="91"/>
      <c r="ZM35" s="91"/>
      <c r="ZN35" s="91"/>
      <c r="ZO35" s="91"/>
      <c r="ZP35" s="91"/>
      <c r="ZQ35" s="91"/>
      <c r="ZR35" s="92"/>
      <c r="ZS35" s="92"/>
      <c r="ZT35" s="92"/>
      <c r="ZU35" s="92"/>
      <c r="ZV35" s="92"/>
      <c r="ZW35" s="92"/>
      <c r="ZX35" s="92"/>
      <c r="ZY35" s="92"/>
      <c r="ZZ35" s="92"/>
      <c r="AAA35" s="92"/>
      <c r="AAB35" s="92"/>
      <c r="AAC35" s="92"/>
      <c r="AAD35" s="92"/>
      <c r="AAE35" s="92"/>
      <c r="AAF35" s="92"/>
      <c r="AAG35" s="92"/>
      <c r="AAH35" s="92"/>
      <c r="AAI35" s="92"/>
      <c r="AAJ35" s="92"/>
      <c r="AAK35" s="92"/>
      <c r="AAL35" s="92"/>
      <c r="AAM35" s="92"/>
      <c r="AAN35" s="92"/>
      <c r="AAO35" s="92"/>
      <c r="AAP35" s="92"/>
      <c r="AAQ35" s="92"/>
      <c r="AAR35" s="92"/>
      <c r="AAS35" s="92"/>
      <c r="AAT35" s="92"/>
      <c r="AAU35" s="92"/>
      <c r="AAV35" s="92"/>
      <c r="AAW35" s="92"/>
      <c r="AAX35" s="91"/>
      <c r="AAY35" s="91"/>
      <c r="AAZ35" s="91"/>
      <c r="ABA35" s="91"/>
      <c r="ABB35" s="91"/>
      <c r="ABC35" s="91"/>
      <c r="ABD35" s="91"/>
      <c r="ABE35" s="91"/>
      <c r="ABF35" s="91"/>
      <c r="ABG35" s="91"/>
      <c r="ABH35" s="91"/>
      <c r="ABI35" s="91"/>
      <c r="ABJ35" s="91"/>
      <c r="ABK35" s="91"/>
      <c r="ABL35" s="91"/>
      <c r="ABM35" s="91"/>
      <c r="ABN35" s="91"/>
      <c r="ABO35" s="91"/>
      <c r="ABP35" s="91"/>
      <c r="ABQ35" s="91"/>
      <c r="ABR35" s="91"/>
      <c r="ABS35" s="91"/>
      <c r="ABT35" s="91"/>
      <c r="ABU35" s="91"/>
      <c r="ABV35" s="91"/>
      <c r="ABW35" s="91"/>
      <c r="ABX35" s="91"/>
      <c r="ABY35" s="91"/>
      <c r="ABZ35" s="91"/>
      <c r="ACA35" s="91"/>
      <c r="ACB35" s="91"/>
      <c r="ACC35" s="91"/>
      <c r="ACD35" s="91"/>
      <c r="ACE35" s="91"/>
      <c r="ACF35" s="91"/>
      <c r="ACG35" s="91"/>
      <c r="ACH35" s="91"/>
      <c r="ACI35" s="91"/>
      <c r="ACJ35" s="91"/>
      <c r="ACK35" s="91"/>
      <c r="ACL35" s="91"/>
      <c r="ACM35" s="91"/>
      <c r="ACN35" s="91"/>
      <c r="ACO35" s="91"/>
      <c r="ACP35" s="91"/>
      <c r="ACQ35" s="91"/>
      <c r="ACR35" s="91"/>
      <c r="ACS35" s="91"/>
      <c r="ACT35" s="91"/>
      <c r="ACU35" s="91"/>
      <c r="ACV35" s="91"/>
      <c r="ACW35" s="91"/>
      <c r="ACX35" s="91"/>
      <c r="ACY35" s="91"/>
      <c r="ACZ35" s="91"/>
      <c r="ADA35" s="91"/>
      <c r="ADB35" s="91"/>
      <c r="ADC35" s="91"/>
      <c r="ADD35" s="91"/>
      <c r="ADE35" s="91"/>
      <c r="ADF35" s="91"/>
      <c r="ADG35" s="91"/>
      <c r="ADH35" s="91"/>
      <c r="ADI35" s="91"/>
      <c r="ADJ35" s="91"/>
      <c r="ADK35" s="91"/>
      <c r="ADL35" s="91"/>
      <c r="ADM35" s="91"/>
      <c r="ADN35" s="91"/>
      <c r="ADO35" s="91"/>
      <c r="ADP35" s="91"/>
      <c r="ADQ35" s="91"/>
      <c r="ADR35" s="91"/>
      <c r="ADS35" s="91"/>
      <c r="ADT35" s="91"/>
      <c r="ADU35" s="91"/>
      <c r="ADV35" s="91"/>
      <c r="ADW35" s="91"/>
      <c r="ADX35" s="91"/>
      <c r="ADY35" s="91"/>
      <c r="ADZ35" s="91"/>
      <c r="AEA35" s="91"/>
      <c r="AEB35" s="91"/>
      <c r="AEC35" s="91"/>
      <c r="AED35" s="91"/>
      <c r="AEE35" s="91"/>
      <c r="AEF35" s="91"/>
      <c r="AEG35" s="91"/>
      <c r="AEH35" s="91"/>
      <c r="AEI35" s="91"/>
      <c r="AEJ35" s="91"/>
      <c r="AEK35" s="91"/>
      <c r="AEL35" s="91"/>
      <c r="AEM35" s="91"/>
      <c r="AEN35" s="91"/>
      <c r="AEO35" s="91"/>
      <c r="AEP35" s="91"/>
      <c r="AEQ35" s="91"/>
      <c r="AER35" s="91"/>
      <c r="AES35" s="91"/>
      <c r="AET35" s="91"/>
      <c r="AEU35" s="92"/>
      <c r="AEV35" s="92"/>
      <c r="AEW35" s="92"/>
      <c r="AEX35" s="92"/>
      <c r="AEY35" s="92"/>
      <c r="AEZ35" s="92"/>
      <c r="AFA35" s="92"/>
      <c r="AFB35" s="92"/>
      <c r="AFC35" s="92"/>
      <c r="AFD35" s="92"/>
      <c r="AFE35" s="92"/>
      <c r="AFF35" s="92"/>
      <c r="AFG35" s="92"/>
      <c r="AFH35" s="92"/>
      <c r="AFI35" s="92"/>
      <c r="AFJ35" s="92"/>
      <c r="AFK35" s="92"/>
      <c r="AFL35" s="92"/>
      <c r="AFM35" s="92"/>
      <c r="AFN35" s="92"/>
      <c r="AFO35" s="92"/>
      <c r="AFP35" s="92"/>
      <c r="AFQ35" s="92"/>
      <c r="AFR35" s="92"/>
      <c r="AFS35" s="92"/>
      <c r="AFT35" s="92"/>
      <c r="AFU35" s="92"/>
      <c r="AFV35" s="92"/>
      <c r="AFW35" s="92"/>
      <c r="AFX35" s="92"/>
      <c r="AFY35" s="92"/>
      <c r="AFZ35" s="92"/>
      <c r="AGA35" s="92"/>
      <c r="AGB35" s="92"/>
      <c r="AGC35" s="92"/>
      <c r="AGD35" s="92"/>
      <c r="AGE35" s="92"/>
      <c r="AGF35" s="92"/>
      <c r="AGG35" s="91"/>
      <c r="AGH35" s="91"/>
      <c r="AGI35" s="91"/>
      <c r="AGJ35" s="91"/>
      <c r="AGK35" s="91"/>
      <c r="AGL35" s="91"/>
      <c r="AGM35" s="91"/>
      <c r="AGN35" s="91"/>
      <c r="AGO35" s="91"/>
      <c r="AGP35" s="91"/>
      <c r="AGQ35" s="91"/>
      <c r="AGR35" s="91"/>
      <c r="AGS35" s="91"/>
      <c r="AGT35" s="91"/>
      <c r="AGU35" s="91"/>
      <c r="AGV35" s="91"/>
      <c r="AGW35" s="91"/>
      <c r="AGX35" s="91"/>
      <c r="AGY35" s="91"/>
      <c r="AGZ35" s="91"/>
      <c r="AHA35" s="91"/>
      <c r="AHB35" s="91"/>
      <c r="AHC35" s="91"/>
      <c r="AHD35" s="91"/>
      <c r="AHE35" s="91"/>
      <c r="AHF35" s="91"/>
      <c r="AHG35" s="91"/>
      <c r="AHH35" s="91"/>
      <c r="AHI35" s="91"/>
      <c r="AHJ35" s="91"/>
      <c r="AHK35" s="91"/>
      <c r="AHL35" s="91"/>
      <c r="AHM35" s="91"/>
      <c r="AHN35" s="91"/>
      <c r="AHO35" s="91"/>
      <c r="AHP35" s="91"/>
      <c r="AHQ35" s="91"/>
      <c r="AHR35" s="91"/>
      <c r="AHS35" s="91"/>
      <c r="AHT35" s="91"/>
      <c r="AHU35" s="91"/>
      <c r="AHV35" s="91"/>
      <c r="AHW35" s="91"/>
      <c r="AHX35" s="91"/>
      <c r="AHY35" s="91"/>
      <c r="AHZ35" s="91"/>
      <c r="AIA35" s="91"/>
      <c r="AIB35" s="91"/>
      <c r="AIC35" s="91"/>
      <c r="AID35" s="91"/>
      <c r="AIE35" s="91"/>
      <c r="AIF35" s="91"/>
      <c r="AIG35" s="92"/>
      <c r="AIH35" s="92"/>
      <c r="AII35" s="92"/>
      <c r="AIJ35" s="91"/>
      <c r="AIK35" s="91"/>
      <c r="AIL35" s="91"/>
      <c r="AIM35" s="91"/>
      <c r="AIN35" s="91"/>
      <c r="AIO35" s="91"/>
      <c r="AIP35" s="91"/>
      <c r="AIQ35" s="91"/>
      <c r="AIR35" s="91"/>
      <c r="AIS35" s="91"/>
      <c r="AIT35" s="91"/>
      <c r="AIU35" s="91"/>
      <c r="AIV35" s="91"/>
      <c r="AIW35" s="91"/>
      <c r="AIX35" s="91"/>
      <c r="AIY35" s="91"/>
      <c r="AIZ35" s="91"/>
      <c r="AJA35" s="91"/>
      <c r="AJB35" s="91"/>
      <c r="AJC35" s="91"/>
      <c r="AJD35" s="91"/>
      <c r="AJE35" s="91"/>
      <c r="AJF35" s="91"/>
      <c r="AJG35" s="91"/>
      <c r="AJH35" s="91"/>
      <c r="AJI35" s="91"/>
      <c r="AJJ35" s="91"/>
      <c r="AJK35" s="91"/>
      <c r="AJL35" s="91"/>
      <c r="AJM35" s="91"/>
      <c r="AJN35" s="92"/>
      <c r="AJO35" s="92"/>
      <c r="AJP35" s="92"/>
      <c r="AJQ35" s="91"/>
      <c r="AJR35" s="91"/>
      <c r="AJS35" s="91"/>
      <c r="AJT35" s="91"/>
      <c r="AJU35" s="91"/>
      <c r="AJV35" s="91"/>
      <c r="AJW35" s="91"/>
      <c r="AJX35" s="91"/>
      <c r="AJY35" s="91"/>
      <c r="AJZ35" s="91"/>
      <c r="AKA35" s="91"/>
      <c r="AKB35" s="91"/>
      <c r="AKC35" s="91"/>
      <c r="AKD35" s="91"/>
      <c r="AKE35" s="91"/>
      <c r="AKF35" s="91"/>
      <c r="AKG35" s="91"/>
      <c r="AKH35" s="91"/>
      <c r="AKI35" s="91"/>
      <c r="AKJ35" s="91"/>
      <c r="AKK35" s="91"/>
      <c r="AKL35" s="91"/>
      <c r="AKM35" s="91"/>
      <c r="AKN35" s="91"/>
      <c r="AKO35" s="91"/>
      <c r="AKP35" s="91"/>
      <c r="AKQ35" s="91"/>
      <c r="AKR35" s="91"/>
      <c r="AKS35" s="91"/>
      <c r="AKT35" s="91"/>
      <c r="AKU35" s="91"/>
      <c r="AKV35" s="91"/>
      <c r="AKW35" s="91"/>
      <c r="AKX35" s="92"/>
      <c r="AKY35" s="92"/>
      <c r="AKZ35" s="91"/>
      <c r="ALA35" s="91"/>
      <c r="ALB35" s="91"/>
      <c r="ALC35" s="91"/>
      <c r="ALD35" s="91"/>
      <c r="ALE35" s="91"/>
      <c r="ALF35" s="91"/>
      <c r="ALG35" s="91"/>
      <c r="ALH35" s="91"/>
      <c r="ALI35" s="91"/>
      <c r="ALJ35" s="91"/>
      <c r="ALK35" s="91"/>
      <c r="ALL35" s="91"/>
      <c r="ALM35" s="91"/>
      <c r="ALN35" s="91"/>
      <c r="ALO35" s="91"/>
      <c r="ALP35" s="91"/>
      <c r="ALQ35" s="91"/>
      <c r="ALR35" s="91"/>
      <c r="ALS35" s="91"/>
      <c r="ALT35" s="91"/>
      <c r="ALU35" s="91"/>
      <c r="ALV35" s="91"/>
      <c r="ALW35" s="91"/>
      <c r="ALX35" s="91"/>
      <c r="ALY35" s="91"/>
      <c r="ALZ35" s="91"/>
      <c r="AMA35" s="91"/>
      <c r="AMB35" s="91"/>
      <c r="AMC35" s="91"/>
      <c r="AMD35" s="91"/>
      <c r="AME35" s="91"/>
      <c r="AMF35" s="91"/>
      <c r="AMG35" s="91"/>
      <c r="AMH35" s="91"/>
      <c r="AMI35" s="91"/>
      <c r="AMJ35" s="91"/>
      <c r="AMK35" s="91"/>
      <c r="AML35" s="91"/>
      <c r="AMM35" s="91"/>
      <c r="AMN35" s="91"/>
      <c r="AMO35" s="91"/>
      <c r="AMP35" s="91"/>
      <c r="AMQ35" s="91"/>
      <c r="AMR35" s="91"/>
      <c r="AMS35" s="91"/>
      <c r="AMT35" s="91"/>
      <c r="AMU35" s="91"/>
      <c r="AMV35" s="91"/>
      <c r="AMW35" s="91"/>
      <c r="AMX35" s="91"/>
      <c r="AMY35" s="91"/>
      <c r="AMZ35" s="91"/>
      <c r="ANA35" s="91"/>
      <c r="ANB35" s="91"/>
      <c r="ANC35" s="91"/>
      <c r="AND35" s="91"/>
      <c r="ANE35" s="91"/>
      <c r="ANF35" s="91"/>
      <c r="ANG35" s="91"/>
      <c r="ANH35" s="91"/>
      <c r="ANI35" s="91"/>
      <c r="ANJ35" s="91"/>
      <c r="ANK35" s="91"/>
      <c r="ANL35" s="91"/>
      <c r="ANM35" s="91"/>
      <c r="ANN35" s="91"/>
      <c r="ANO35" s="91"/>
      <c r="ANP35" s="91"/>
      <c r="ANQ35" s="91"/>
      <c r="ANR35" s="91"/>
      <c r="ANS35" s="91"/>
      <c r="ANT35" s="91"/>
      <c r="ANU35" s="91"/>
      <c r="ANV35" s="91"/>
      <c r="ANW35" s="91"/>
      <c r="ANX35" s="91"/>
      <c r="ANY35" s="91"/>
      <c r="ANZ35" s="91"/>
      <c r="AOA35" s="91"/>
      <c r="AOB35" s="91"/>
      <c r="AOC35" s="91"/>
      <c r="AOD35" s="91"/>
      <c r="AOE35" s="91"/>
      <c r="AOF35" s="91"/>
      <c r="AOG35" s="91"/>
      <c r="AOH35" s="91"/>
      <c r="AOI35" s="91"/>
      <c r="AOJ35" s="91"/>
      <c r="AOK35" s="91"/>
      <c r="AOL35" s="91"/>
      <c r="AOM35" s="91"/>
      <c r="AON35" s="91"/>
      <c r="AOO35" s="91"/>
      <c r="AOP35" s="91"/>
      <c r="AOQ35" s="91"/>
      <c r="AOR35" s="91"/>
      <c r="AOS35" s="91"/>
      <c r="AOT35" s="91"/>
      <c r="AOU35" s="91"/>
      <c r="AOV35" s="91"/>
      <c r="AOW35" s="91"/>
      <c r="AOX35" s="91"/>
      <c r="AOY35" s="91"/>
      <c r="AOZ35" s="91"/>
      <c r="APA35" s="91"/>
      <c r="APB35" s="91"/>
      <c r="APC35" s="91"/>
      <c r="APD35" s="91"/>
      <c r="APE35" s="91"/>
      <c r="APF35" s="91"/>
      <c r="APG35" s="91"/>
      <c r="APH35" s="91"/>
      <c r="API35" s="91"/>
      <c r="APJ35" s="91"/>
      <c r="APK35" s="91"/>
      <c r="APL35" s="91"/>
      <c r="APM35" s="91"/>
      <c r="APN35" s="91"/>
      <c r="APO35" s="91"/>
      <c r="APP35" s="91"/>
      <c r="APQ35" s="91"/>
      <c r="APR35" s="91"/>
      <c r="APS35" s="91"/>
      <c r="APT35" s="91"/>
      <c r="APU35" s="91"/>
      <c r="APV35" s="91"/>
      <c r="APW35" s="91"/>
      <c r="APX35" s="91"/>
      <c r="APY35" s="91"/>
      <c r="APZ35" s="91"/>
      <c r="AQA35" s="91"/>
      <c r="AQB35" s="91"/>
      <c r="AQC35" s="91"/>
      <c r="AQD35" s="91"/>
      <c r="AQE35" s="91"/>
      <c r="ARV35" s="93"/>
      <c r="ARW35" s="93"/>
      <c r="ARX35" s="93"/>
      <c r="ARY35" s="93"/>
      <c r="ARZ35" s="93"/>
      <c r="ASA35" s="93"/>
      <c r="ASB35" s="93"/>
      <c r="ASC35" s="93"/>
      <c r="ASD35" s="91"/>
      <c r="ASE35" s="91"/>
      <c r="ASF35" s="91"/>
      <c r="ASG35" s="91"/>
      <c r="ASH35" s="91"/>
      <c r="ASI35" s="91"/>
      <c r="ASJ35" s="91"/>
      <c r="ASK35" s="91"/>
      <c r="ASL35" s="91"/>
      <c r="ASM35" s="91"/>
      <c r="ASN35" s="91"/>
      <c r="ASO35" s="91"/>
      <c r="ASP35" s="91"/>
      <c r="ASQ35" s="91"/>
      <c r="ASR35" s="91"/>
      <c r="ASS35" s="91"/>
      <c r="AST35" s="91"/>
      <c r="ASU35" s="91"/>
      <c r="ASV35" s="91"/>
      <c r="ASW35" s="91"/>
      <c r="ASX35" s="91"/>
      <c r="ASY35" s="91"/>
      <c r="ASZ35" s="91"/>
      <c r="ATA35" s="91"/>
      <c r="ATB35" s="91"/>
      <c r="ATC35" s="91"/>
      <c r="ATD35" s="91"/>
      <c r="ATE35" s="91"/>
      <c r="ATF35" s="91"/>
      <c r="ATG35" s="91"/>
      <c r="ATH35" s="91"/>
      <c r="ATI35" s="91"/>
      <c r="ATJ35" s="91"/>
      <c r="ATK35" s="91"/>
      <c r="ATL35" s="91"/>
      <c r="ATM35" s="91"/>
      <c r="ATN35" s="91"/>
      <c r="ATO35" s="91"/>
      <c r="ATP35" s="91"/>
      <c r="ATQ35" s="92"/>
      <c r="ATR35" s="92"/>
      <c r="ATS35" s="92"/>
      <c r="ATT35" s="92"/>
      <c r="ATU35" s="92"/>
      <c r="ATV35" s="91"/>
      <c r="ATW35" s="91"/>
      <c r="ATX35" s="91"/>
      <c r="ATY35" s="91"/>
      <c r="ATZ35" s="91"/>
      <c r="AUA35" s="91"/>
      <c r="AUB35" s="91"/>
      <c r="AUC35" s="91"/>
      <c r="AUD35" s="91"/>
      <c r="AUE35" s="91"/>
      <c r="AUF35" s="91"/>
      <c r="AUG35" s="91"/>
      <c r="AUH35" s="91"/>
      <c r="AUI35" s="91"/>
      <c r="AUJ35" s="91"/>
      <c r="AUK35" s="91"/>
      <c r="AUL35" s="91"/>
      <c r="AUM35" s="91"/>
      <c r="AUN35" s="91"/>
      <c r="AUO35" s="91"/>
      <c r="AUP35" s="91"/>
      <c r="AUQ35" s="91"/>
      <c r="AUR35" s="91"/>
      <c r="AUS35" s="91"/>
      <c r="AUT35" s="91"/>
      <c r="AUU35" s="91"/>
      <c r="AUV35" s="91"/>
      <c r="AUW35" s="91"/>
      <c r="AUX35" s="91"/>
      <c r="AUY35" s="91"/>
      <c r="AUZ35" s="91"/>
      <c r="AVA35" s="91"/>
      <c r="AVB35" s="91"/>
      <c r="AVC35" s="91"/>
      <c r="AVD35" s="91"/>
      <c r="AVE35" s="91"/>
      <c r="AVF35" s="91"/>
      <c r="AVG35" s="91"/>
      <c r="AVH35" s="91"/>
      <c r="AVI35" s="91"/>
      <c r="AVJ35" s="91"/>
      <c r="AVK35" s="91"/>
      <c r="AVL35" s="91"/>
      <c r="AVM35" s="91"/>
      <c r="AVN35" s="91"/>
      <c r="AVO35" s="91"/>
      <c r="AVP35" s="91"/>
      <c r="AVQ35" s="91"/>
      <c r="AVR35" s="91"/>
      <c r="AVS35" s="91"/>
      <c r="AVT35" s="91"/>
      <c r="AVU35" s="91"/>
      <c r="AVV35" s="91"/>
      <c r="AVW35" s="91"/>
      <c r="AVX35" s="91"/>
      <c r="AVY35" s="91"/>
      <c r="AVZ35" s="91"/>
      <c r="AWA35" s="91"/>
      <c r="AWB35" s="91"/>
      <c r="AWC35" s="91"/>
      <c r="AWD35" s="91"/>
      <c r="AWE35" s="91"/>
      <c r="AWF35" s="91"/>
      <c r="AWG35" s="91"/>
      <c r="AWH35" s="91"/>
      <c r="AWI35" s="91"/>
      <c r="AWJ35" s="91"/>
      <c r="AWK35" s="91"/>
      <c r="AWL35" s="91"/>
      <c r="AWM35" s="91"/>
      <c r="AWN35" s="91"/>
      <c r="AWO35" s="91"/>
      <c r="AWP35" s="91"/>
      <c r="AWQ35" s="91"/>
      <c r="AWR35" s="91"/>
      <c r="AWS35" s="91"/>
      <c r="AWT35" s="91"/>
      <c r="AWU35" s="91"/>
      <c r="AWV35" s="91"/>
      <c r="AWW35" s="91"/>
      <c r="AWX35" s="91"/>
      <c r="AWY35" s="91"/>
      <c r="AWZ35" s="91"/>
      <c r="AXA35" s="91"/>
      <c r="AXB35" s="91"/>
      <c r="AXC35" s="91"/>
      <c r="AXD35" s="91"/>
      <c r="AXE35" s="91"/>
      <c r="AXF35" s="91"/>
      <c r="AXG35" s="91"/>
      <c r="AXH35" s="91"/>
      <c r="AXI35" s="91"/>
      <c r="AXJ35" s="91"/>
      <c r="AXK35" s="91"/>
      <c r="AXL35" s="91"/>
      <c r="AXM35" s="91"/>
      <c r="AXN35" s="91"/>
      <c r="AXO35" s="91"/>
      <c r="AXP35" s="91"/>
      <c r="AXQ35" s="91"/>
      <c r="AXR35" s="91"/>
      <c r="AXS35" s="91"/>
      <c r="AXT35" s="91"/>
      <c r="AXU35" s="91"/>
      <c r="AXV35" s="91"/>
      <c r="AXW35" s="91"/>
      <c r="AXX35" s="91"/>
      <c r="AXY35" s="91"/>
      <c r="AXZ35" s="91"/>
      <c r="AYA35" s="91"/>
      <c r="AYB35" s="91"/>
      <c r="AYC35" s="91"/>
      <c r="AYD35" s="91"/>
      <c r="AYE35" s="91"/>
      <c r="AYF35" s="91"/>
      <c r="AYG35" s="91"/>
      <c r="AYH35" s="91"/>
      <c r="AYI35" s="91"/>
      <c r="AYJ35" s="91"/>
      <c r="AYK35" s="91"/>
      <c r="AYL35" s="91"/>
      <c r="AYM35" s="91"/>
      <c r="AYN35" s="91"/>
      <c r="AYO35" s="91"/>
      <c r="AYP35" s="91"/>
      <c r="AYQ35" s="91"/>
      <c r="AYR35" s="91"/>
      <c r="AYS35" s="91"/>
      <c r="AYT35" s="91"/>
      <c r="AYU35" s="91"/>
      <c r="AYV35" s="91"/>
      <c r="AYW35" s="91"/>
      <c r="AYX35" s="91"/>
      <c r="AYY35" s="91"/>
      <c r="AYZ35" s="91"/>
      <c r="AZA35" s="91"/>
      <c r="AZB35" s="91"/>
      <c r="AZC35" s="91"/>
      <c r="AZD35" s="91"/>
      <c r="AZE35" s="91"/>
      <c r="AZF35" s="91"/>
      <c r="AZG35" s="91"/>
      <c r="AZH35" s="91"/>
      <c r="AZI35" s="91"/>
      <c r="AZJ35" s="91"/>
      <c r="AZK35" s="91"/>
      <c r="AZL35" s="91"/>
      <c r="AZM35" s="91"/>
      <c r="AZN35" s="91"/>
      <c r="AZO35" s="91"/>
      <c r="AZP35" s="91"/>
      <c r="AZQ35" s="91"/>
      <c r="AZR35" s="91"/>
      <c r="AZS35" s="91"/>
      <c r="AZT35" s="91"/>
      <c r="AZU35" s="91"/>
      <c r="AZV35" s="91"/>
      <c r="AZW35" s="91"/>
      <c r="AZX35" s="91"/>
      <c r="AZY35" s="91"/>
      <c r="AZZ35" s="91"/>
      <c r="BAA35" s="91"/>
      <c r="BAB35" s="91"/>
      <c r="BAC35" s="91"/>
      <c r="BAD35" s="91"/>
      <c r="BAE35" s="91"/>
      <c r="BAF35" s="91"/>
      <c r="BAG35" s="91"/>
      <c r="BAH35" s="91"/>
      <c r="BAI35" s="91"/>
      <c r="BAJ35" s="91"/>
      <c r="BAK35" s="91"/>
      <c r="BAL35" s="91"/>
      <c r="BAM35" s="91"/>
      <c r="BAN35" s="91"/>
      <c r="BAO35" s="91"/>
      <c r="BAP35" s="91"/>
      <c r="BAQ35" s="91"/>
      <c r="BAR35" s="91"/>
      <c r="BAS35" s="91"/>
      <c r="BAT35" s="91"/>
      <c r="BAU35" s="91"/>
      <c r="BAV35" s="91"/>
      <c r="BAW35" s="91"/>
      <c r="BAX35" s="91"/>
      <c r="BAY35" s="91"/>
      <c r="BAZ35" s="91"/>
      <c r="BBA35" s="91"/>
      <c r="BBB35" s="91"/>
      <c r="BBC35" s="91"/>
      <c r="BBD35" s="91"/>
      <c r="BBE35" s="91"/>
      <c r="BBF35" s="91"/>
      <c r="BBG35" s="91"/>
      <c r="BBH35" s="91"/>
      <c r="BBI35" s="91"/>
      <c r="BBJ35" s="91"/>
      <c r="BBK35" s="91"/>
      <c r="BBL35" s="91"/>
      <c r="BBM35" s="91"/>
      <c r="BBN35" s="91"/>
      <c r="BBO35" s="91"/>
      <c r="BBP35" s="91"/>
      <c r="BBQ35" s="91"/>
      <c r="BBR35" s="91"/>
      <c r="BBS35" s="91"/>
      <c r="BBT35" s="91"/>
      <c r="BBU35" s="91"/>
      <c r="BBV35" s="91"/>
      <c r="BBW35" s="91"/>
      <c r="BBX35" s="91"/>
      <c r="BBY35" s="91"/>
      <c r="BBZ35" s="91"/>
      <c r="BCA35" s="91"/>
      <c r="BCB35" s="91"/>
      <c r="BCC35" s="91"/>
      <c r="BCD35" s="91"/>
      <c r="BCE35" s="91"/>
      <c r="BCF35" s="91"/>
      <c r="BCG35" s="91"/>
      <c r="BCH35" s="91"/>
      <c r="BCI35" s="91"/>
      <c r="BCJ35" s="91"/>
      <c r="BCK35" s="91"/>
      <c r="BCL35" s="91"/>
      <c r="BCM35" s="91"/>
      <c r="BCN35" s="91"/>
      <c r="BCO35" s="91"/>
      <c r="BCP35" s="91"/>
      <c r="BCQ35" s="91"/>
      <c r="BCR35" s="91"/>
      <c r="BCS35" s="91"/>
      <c r="BCT35" s="91"/>
      <c r="BCU35" s="91"/>
      <c r="BCV35" s="91"/>
      <c r="BCW35" s="91"/>
      <c r="BCX35" s="91"/>
      <c r="BCY35" s="91"/>
      <c r="BCZ35" s="91"/>
      <c r="BDA35" s="91"/>
      <c r="BDB35" s="91"/>
      <c r="BDC35" s="91"/>
      <c r="BDD35" s="91"/>
      <c r="BDE35" s="91"/>
      <c r="BDF35" s="91"/>
      <c r="BDG35" s="91"/>
      <c r="BDH35" s="91"/>
      <c r="BDI35" s="91"/>
      <c r="BDJ35" s="91"/>
      <c r="BDK35" s="91"/>
      <c r="BDL35" s="91"/>
      <c r="BDM35" s="91"/>
      <c r="BDN35" s="91"/>
      <c r="BDO35" s="91"/>
      <c r="BDP35" s="91"/>
      <c r="BDQ35" s="91"/>
      <c r="BDR35" s="91"/>
      <c r="BDS35" s="91"/>
      <c r="BDT35" s="91"/>
      <c r="BDU35" s="91"/>
      <c r="BDV35" s="91"/>
      <c r="BDW35" s="91"/>
      <c r="BDX35" s="91"/>
      <c r="BDY35" s="91"/>
      <c r="BDZ35" s="91"/>
      <c r="BEA35" s="91"/>
      <c r="BEB35" s="91"/>
      <c r="BEC35" s="91"/>
      <c r="BED35" s="91"/>
      <c r="BEE35" s="91"/>
      <c r="BEF35" s="91"/>
      <c r="BEG35" s="91"/>
      <c r="BEH35" s="91"/>
      <c r="BEI35" s="91"/>
      <c r="BEJ35" s="91"/>
      <c r="BEK35" s="91"/>
      <c r="BEL35" s="91"/>
      <c r="BEM35" s="91"/>
      <c r="BEN35" s="91"/>
      <c r="BEO35" s="91"/>
      <c r="BEP35" s="91"/>
      <c r="BEQ35" s="91"/>
      <c r="BER35" s="91"/>
      <c r="BES35" s="91"/>
      <c r="BET35" s="63">
        <v>1</v>
      </c>
      <c r="BOA35" s="63">
        <v>15</v>
      </c>
      <c r="BOB35" s="63">
        <v>1</v>
      </c>
      <c r="BOD35" s="63">
        <v>26.1</v>
      </c>
      <c r="BOG35" s="63">
        <v>22</v>
      </c>
      <c r="BOL35" s="63">
        <v>1</v>
      </c>
      <c r="BOM35" s="63">
        <v>1</v>
      </c>
      <c r="BYK35" s="63">
        <v>0</v>
      </c>
      <c r="BYY35" s="63">
        <v>0</v>
      </c>
      <c r="BZL35" s="63">
        <v>1500</v>
      </c>
      <c r="BZM35" s="63">
        <v>500</v>
      </c>
      <c r="BZN35" s="63">
        <v>3</v>
      </c>
      <c r="BZQ35" s="63">
        <v>1</v>
      </c>
      <c r="BZS35" s="63">
        <v>6</v>
      </c>
      <c r="BZT35" s="63">
        <v>1</v>
      </c>
      <c r="BZU35" s="63">
        <v>0</v>
      </c>
      <c r="BZV35" s="63">
        <v>4</v>
      </c>
      <c r="BZW35" s="63">
        <v>5</v>
      </c>
      <c r="EUN35" s="63">
        <v>200</v>
      </c>
      <c r="EUO35" s="63">
        <v>1</v>
      </c>
      <c r="EUR35" s="63">
        <v>1</v>
      </c>
      <c r="EUS35" s="63">
        <v>1</v>
      </c>
      <c r="EUT35" s="63">
        <v>2</v>
      </c>
      <c r="EUU35" s="63">
        <v>2</v>
      </c>
      <c r="EUV35" s="63">
        <v>0</v>
      </c>
      <c r="EUW35" s="63">
        <v>5</v>
      </c>
      <c r="FBG35" s="63">
        <v>3</v>
      </c>
      <c r="FBJ35" s="63">
        <v>1</v>
      </c>
      <c r="FBK35" s="63">
        <v>6</v>
      </c>
      <c r="FBL35" s="63">
        <v>1</v>
      </c>
      <c r="FBM35" s="63">
        <v>0</v>
      </c>
      <c r="FBN35" s="63">
        <v>4</v>
      </c>
      <c r="FBO35" s="63">
        <v>5</v>
      </c>
      <c r="FBZ35" s="63">
        <v>10</v>
      </c>
      <c r="FCA35" s="63">
        <v>3</v>
      </c>
      <c r="FCD35" s="63">
        <v>1</v>
      </c>
      <c r="FCE35" s="63">
        <v>6</v>
      </c>
      <c r="FCF35" s="63">
        <v>1</v>
      </c>
      <c r="FCG35" s="63">
        <v>0</v>
      </c>
      <c r="FCH35" s="63">
        <v>4</v>
      </c>
      <c r="FCI35" s="63">
        <v>5</v>
      </c>
      <c r="GYK35" s="63">
        <v>1</v>
      </c>
      <c r="HGG35" s="63">
        <v>1</v>
      </c>
      <c r="HHA35" s="63">
        <v>1</v>
      </c>
      <c r="HIA35" s="63">
        <v>1</v>
      </c>
      <c r="HIZ35" s="63">
        <v>1</v>
      </c>
    </row>
    <row r="36" spans="1:3055 3099:3979 4104:5091 5209:5798" s="59" customFormat="1" x14ac:dyDescent="0.25">
      <c r="A36" s="77">
        <v>1000197</v>
      </c>
      <c r="B36" s="60" t="s">
        <v>4190</v>
      </c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2"/>
      <c r="GY36" s="62"/>
      <c r="GZ36" s="62"/>
      <c r="HA36" s="62"/>
      <c r="HB36" s="62"/>
      <c r="HC36" s="62"/>
      <c r="HD36" s="62"/>
      <c r="HE36" s="62"/>
      <c r="HF36" s="62"/>
      <c r="HG36" s="62"/>
      <c r="HH36" s="62"/>
      <c r="HI36" s="62"/>
      <c r="HJ36" s="62"/>
      <c r="HK36" s="62"/>
      <c r="HL36" s="62"/>
      <c r="HM36" s="62"/>
      <c r="HN36" s="62"/>
      <c r="HO36" s="62"/>
      <c r="HP36" s="62"/>
      <c r="HQ36" s="61"/>
      <c r="HR36" s="61"/>
      <c r="HT36" s="61"/>
      <c r="HU36" s="61"/>
      <c r="HV36" s="59">
        <v>8900</v>
      </c>
      <c r="HW36" s="59">
        <v>10600</v>
      </c>
      <c r="HX36" s="61"/>
      <c r="HY36" s="61"/>
      <c r="HZ36" s="61"/>
      <c r="IA36" s="61"/>
      <c r="IB36" s="61"/>
      <c r="IC36" s="61"/>
      <c r="ID36" s="61"/>
      <c r="IE36" s="61"/>
      <c r="IF36" s="61"/>
      <c r="IG36" s="61"/>
      <c r="IH36" s="61"/>
      <c r="IN36" s="61"/>
      <c r="IO36" s="61"/>
      <c r="IP36" s="61"/>
      <c r="IQ36" s="61"/>
      <c r="IR36" s="61"/>
      <c r="IS36" s="61"/>
      <c r="IT36" s="61"/>
      <c r="IU36" s="61"/>
      <c r="IV36" s="61"/>
      <c r="IW36" s="61"/>
      <c r="IX36" s="61"/>
      <c r="JA36" s="61"/>
      <c r="JB36" s="61"/>
      <c r="JC36" s="61"/>
      <c r="JD36" s="61"/>
      <c r="JE36" s="61"/>
      <c r="JF36" s="61"/>
      <c r="JG36" s="61"/>
      <c r="JH36" s="61"/>
      <c r="JI36" s="61"/>
      <c r="JJ36" s="61"/>
      <c r="JK36" s="61"/>
      <c r="JL36" s="61"/>
      <c r="JM36" s="61"/>
      <c r="JN36" s="61"/>
      <c r="JO36" s="61"/>
      <c r="JP36" s="61"/>
      <c r="JQ36" s="61"/>
      <c r="JR36" s="61"/>
      <c r="JS36" s="61"/>
      <c r="JT36" s="61"/>
      <c r="JU36" s="61"/>
      <c r="JW36" s="61"/>
      <c r="JX36" s="61"/>
      <c r="JY36" s="59">
        <v>25</v>
      </c>
      <c r="KA36" s="61"/>
      <c r="KB36" s="61"/>
      <c r="KC36" s="61"/>
      <c r="KD36" s="61"/>
      <c r="KE36" s="61"/>
      <c r="KF36" s="61"/>
      <c r="KG36" s="61"/>
      <c r="KH36" s="61"/>
      <c r="KI36" s="61"/>
      <c r="KJ36" s="61"/>
      <c r="KK36" s="61"/>
      <c r="KL36" s="61"/>
      <c r="KM36" s="61"/>
      <c r="KN36" s="61"/>
      <c r="KO36" s="61"/>
      <c r="KP36" s="61"/>
      <c r="KQ36" s="61"/>
      <c r="KR36" s="61"/>
      <c r="KS36" s="61"/>
      <c r="KT36" s="61"/>
      <c r="KU36" s="61"/>
      <c r="KV36" s="61"/>
      <c r="KW36" s="61"/>
      <c r="KX36" s="61"/>
      <c r="KY36" s="61"/>
      <c r="KZ36" s="61"/>
      <c r="LA36" s="61"/>
      <c r="LB36" s="61"/>
      <c r="LC36" s="61"/>
      <c r="LD36" s="61"/>
      <c r="LE36" s="61"/>
      <c r="LF36" s="61"/>
      <c r="LG36" s="61"/>
      <c r="LH36" s="61"/>
      <c r="LI36" s="61"/>
      <c r="LJ36" s="61"/>
      <c r="LK36" s="61"/>
      <c r="LL36" s="61"/>
      <c r="LM36" s="61"/>
      <c r="LN36" s="61"/>
      <c r="LO36" s="61"/>
      <c r="LP36" s="61"/>
      <c r="LQ36" s="61"/>
      <c r="LR36" s="61"/>
      <c r="LS36" s="61"/>
      <c r="LT36" s="61"/>
      <c r="LU36" s="61"/>
      <c r="LV36" s="61"/>
      <c r="LW36" s="61"/>
      <c r="LX36" s="61"/>
      <c r="LY36" s="61"/>
      <c r="LZ36" s="61"/>
      <c r="MA36" s="61"/>
      <c r="MB36" s="61"/>
      <c r="MC36" s="61"/>
      <c r="MD36" s="61"/>
      <c r="ME36" s="61"/>
      <c r="MF36" s="61"/>
      <c r="MG36" s="61"/>
      <c r="MH36" s="61"/>
      <c r="MI36" s="61"/>
      <c r="MJ36" s="61"/>
      <c r="MK36" s="61"/>
      <c r="ML36" s="61"/>
      <c r="MM36" s="61"/>
      <c r="MN36" s="61"/>
      <c r="MO36" s="61"/>
      <c r="MP36" s="61"/>
      <c r="MQ36" s="61"/>
      <c r="MR36" s="61"/>
      <c r="MS36" s="61"/>
      <c r="MT36" s="61"/>
      <c r="MU36" s="61"/>
      <c r="MV36" s="61"/>
      <c r="MW36" s="61"/>
      <c r="MX36" s="61"/>
      <c r="MY36" s="61"/>
      <c r="MZ36" s="61"/>
      <c r="NA36" s="61"/>
      <c r="NB36" s="61"/>
      <c r="NC36" s="61"/>
      <c r="ND36" s="61"/>
      <c r="NE36" s="61"/>
      <c r="NF36" s="61"/>
      <c r="NG36" s="61"/>
      <c r="NH36" s="61"/>
      <c r="NI36" s="61"/>
      <c r="NJ36" s="61"/>
      <c r="NL36" s="59">
        <v>64</v>
      </c>
      <c r="NM36" s="61"/>
      <c r="NN36" s="61"/>
      <c r="NO36" s="61"/>
      <c r="NP36" s="61"/>
      <c r="NQ36" s="61"/>
      <c r="NR36" s="61"/>
      <c r="NS36" s="61"/>
      <c r="NT36" s="61"/>
      <c r="NU36" s="61"/>
      <c r="NV36" s="61"/>
      <c r="NW36" s="61"/>
      <c r="NX36" s="61"/>
      <c r="NY36" s="61"/>
      <c r="NZ36" s="61"/>
      <c r="OA36" s="61"/>
      <c r="OB36" s="61"/>
      <c r="OC36" s="61"/>
      <c r="OD36" s="61"/>
      <c r="OE36" s="61"/>
      <c r="OF36" s="61"/>
      <c r="OG36" s="61"/>
      <c r="OH36" s="61"/>
      <c r="OI36" s="61"/>
      <c r="OJ36" s="61"/>
      <c r="OK36" s="61"/>
      <c r="OL36" s="61"/>
      <c r="OM36" s="61"/>
      <c r="ON36" s="61"/>
      <c r="OO36" s="61"/>
      <c r="OP36" s="61"/>
      <c r="OQ36" s="61"/>
      <c r="OR36" s="61"/>
      <c r="OS36" s="61"/>
      <c r="OT36" s="61"/>
      <c r="OU36" s="61"/>
      <c r="OV36" s="61"/>
      <c r="OW36" s="61"/>
      <c r="OX36" s="61"/>
      <c r="OY36" s="61"/>
      <c r="OZ36" s="61"/>
      <c r="PA36" s="61"/>
      <c r="PB36" s="61"/>
      <c r="PC36" s="61"/>
      <c r="PD36" s="61"/>
      <c r="PE36" s="61"/>
      <c r="PF36" s="61"/>
      <c r="PG36" s="61"/>
      <c r="PH36" s="61"/>
      <c r="PI36" s="61"/>
      <c r="PJ36" s="61"/>
      <c r="PK36" s="61"/>
      <c r="PL36" s="61"/>
      <c r="PM36" s="61"/>
      <c r="PN36" s="61"/>
      <c r="PO36" s="61"/>
      <c r="PP36" s="61"/>
      <c r="PQ36" s="61"/>
      <c r="PR36" s="61"/>
      <c r="PS36" s="61"/>
      <c r="PT36" s="61"/>
      <c r="PU36" s="61"/>
      <c r="PV36" s="61"/>
      <c r="PW36" s="61"/>
      <c r="PX36" s="61"/>
      <c r="PY36" s="61"/>
      <c r="PZ36" s="61"/>
      <c r="QA36" s="61"/>
      <c r="QB36" s="61"/>
      <c r="QC36" s="61"/>
      <c r="QD36" s="61"/>
      <c r="QE36" s="61"/>
      <c r="QF36" s="61"/>
      <c r="QG36" s="61"/>
      <c r="QH36" s="61"/>
      <c r="QI36" s="61"/>
      <c r="QJ36" s="61"/>
      <c r="QK36" s="61"/>
      <c r="QL36" s="61"/>
      <c r="QM36" s="61"/>
      <c r="QN36" s="61"/>
      <c r="QO36" s="61"/>
      <c r="QP36" s="61"/>
      <c r="QQ36" s="61"/>
      <c r="QR36" s="61"/>
      <c r="QS36" s="61"/>
      <c r="QT36" s="61"/>
      <c r="QU36" s="61"/>
      <c r="QV36" s="61"/>
      <c r="QW36" s="61"/>
      <c r="QX36" s="61"/>
      <c r="RA36" s="61"/>
      <c r="RB36" s="59">
        <v>51</v>
      </c>
      <c r="RD36" s="61"/>
      <c r="RE36" s="61"/>
      <c r="RF36" s="61"/>
      <c r="RG36" s="61"/>
      <c r="RH36" s="61"/>
      <c r="RI36" s="61"/>
      <c r="RJ36" s="61"/>
      <c r="RK36" s="61"/>
      <c r="RL36" s="61"/>
      <c r="RM36" s="61"/>
      <c r="RN36" s="61"/>
      <c r="RO36" s="61"/>
      <c r="RP36" s="61"/>
      <c r="RQ36" s="61"/>
      <c r="RR36" s="61"/>
      <c r="RS36" s="61"/>
      <c r="RT36" s="61"/>
      <c r="RU36" s="61"/>
      <c r="RV36" s="61"/>
      <c r="RW36" s="61"/>
      <c r="RX36" s="61"/>
      <c r="RY36" s="61"/>
      <c r="RZ36" s="61"/>
      <c r="SA36" s="61"/>
      <c r="SB36" s="61"/>
      <c r="SC36" s="61"/>
      <c r="SD36" s="61"/>
      <c r="SE36" s="61"/>
      <c r="SF36" s="61"/>
      <c r="SG36" s="61"/>
      <c r="SH36" s="61"/>
      <c r="SI36" s="61"/>
      <c r="SJ36" s="61"/>
      <c r="SK36" s="61"/>
      <c r="SL36" s="61"/>
      <c r="SM36" s="61"/>
      <c r="SN36" s="61"/>
      <c r="SO36" s="61"/>
      <c r="SP36" s="61"/>
      <c r="SQ36" s="61"/>
      <c r="SR36" s="61"/>
      <c r="SS36" s="61"/>
      <c r="ST36" s="61"/>
      <c r="SU36" s="61"/>
      <c r="SV36" s="61"/>
      <c r="SW36" s="61"/>
      <c r="SX36" s="61"/>
      <c r="SY36" s="61"/>
      <c r="SZ36" s="61"/>
      <c r="TA36" s="61"/>
      <c r="TB36" s="61"/>
      <c r="TC36" s="66"/>
      <c r="TD36" s="66"/>
      <c r="TE36" s="66"/>
      <c r="TF36" s="66"/>
      <c r="TG36" s="66"/>
      <c r="TH36" s="66"/>
      <c r="TI36" s="66"/>
      <c r="TJ36" s="66"/>
      <c r="TK36" s="66"/>
      <c r="TL36" s="66"/>
      <c r="TM36" s="61"/>
      <c r="TN36" s="61"/>
      <c r="TO36" s="61"/>
      <c r="TP36" s="61"/>
      <c r="TR36" s="61"/>
      <c r="TS36" s="61"/>
      <c r="TT36" s="61"/>
      <c r="TU36" s="61"/>
      <c r="TV36" s="61"/>
      <c r="TW36" s="61"/>
      <c r="TX36" s="61"/>
      <c r="TY36" s="61"/>
      <c r="TZ36" s="61"/>
      <c r="UA36" s="61"/>
      <c r="UB36" s="61"/>
      <c r="UC36" s="61"/>
      <c r="UD36" s="61"/>
      <c r="UE36" s="61"/>
      <c r="UF36" s="61"/>
      <c r="UG36" s="61"/>
      <c r="UH36" s="61"/>
      <c r="UI36" s="61"/>
      <c r="UJ36" s="61"/>
      <c r="UK36" s="61"/>
      <c r="UL36" s="61"/>
      <c r="UM36" s="61"/>
      <c r="UN36" s="61"/>
      <c r="UO36" s="61"/>
      <c r="UP36" s="61"/>
      <c r="UQ36" s="61"/>
      <c r="UR36" s="61"/>
      <c r="US36" s="61"/>
      <c r="UT36" s="61"/>
      <c r="UU36" s="61"/>
      <c r="UV36" s="61"/>
      <c r="UW36" s="61"/>
      <c r="UX36" s="61"/>
      <c r="UY36" s="61"/>
      <c r="UZ36" s="61"/>
      <c r="VA36" s="61"/>
      <c r="VB36" s="61"/>
      <c r="VC36" s="61"/>
      <c r="VD36" s="61"/>
      <c r="VE36" s="61"/>
      <c r="VF36" s="61"/>
      <c r="VG36" s="61"/>
      <c r="VH36" s="61"/>
      <c r="VI36" s="61"/>
      <c r="VJ36" s="61"/>
      <c r="VK36" s="61"/>
      <c r="VL36" s="61"/>
      <c r="VM36" s="61"/>
      <c r="VN36" s="61"/>
      <c r="VO36" s="61"/>
      <c r="VP36" s="61"/>
      <c r="VQ36" s="61"/>
      <c r="VR36" s="61"/>
      <c r="VS36" s="61"/>
      <c r="VT36" s="61"/>
      <c r="VU36" s="61"/>
      <c r="VV36" s="61"/>
      <c r="VW36" s="61"/>
      <c r="VX36" s="61"/>
      <c r="VY36" s="61"/>
      <c r="VZ36" s="61"/>
      <c r="WA36" s="61"/>
      <c r="WB36" s="61"/>
      <c r="WC36" s="61"/>
      <c r="WD36" s="61"/>
      <c r="WE36" s="61"/>
      <c r="WF36" s="61"/>
      <c r="WG36" s="61"/>
      <c r="WH36" s="61"/>
      <c r="WI36" s="61"/>
      <c r="WJ36" s="61"/>
      <c r="WK36" s="61"/>
      <c r="WL36" s="61"/>
      <c r="WM36" s="61"/>
      <c r="WN36" s="61"/>
      <c r="WO36" s="61"/>
      <c r="WP36" s="61"/>
      <c r="WQ36" s="61"/>
      <c r="WR36" s="61"/>
      <c r="WS36" s="61"/>
      <c r="WT36" s="61"/>
      <c r="WU36" s="61"/>
      <c r="WV36" s="61"/>
      <c r="WW36" s="61"/>
      <c r="WX36" s="61"/>
      <c r="WY36" s="61"/>
      <c r="WZ36" s="61"/>
      <c r="XA36" s="61"/>
      <c r="XB36" s="61"/>
      <c r="XC36" s="61"/>
      <c r="XD36" s="61"/>
      <c r="XE36" s="61"/>
      <c r="XF36" s="61"/>
      <c r="XG36" s="61"/>
      <c r="XH36" s="61"/>
      <c r="XI36" s="61"/>
      <c r="XJ36" s="61"/>
      <c r="XK36" s="61"/>
      <c r="XL36" s="61"/>
      <c r="XM36" s="61"/>
      <c r="XP36" s="78">
        <v>50</v>
      </c>
      <c r="XQ36" s="61"/>
      <c r="XR36" s="61"/>
      <c r="XS36" s="61"/>
      <c r="XT36" s="61"/>
      <c r="XU36" s="61"/>
      <c r="XV36" s="61"/>
      <c r="XW36" s="61"/>
      <c r="XX36" s="61"/>
      <c r="XY36" s="61"/>
      <c r="XZ36" s="61"/>
      <c r="YA36" s="61"/>
      <c r="YB36" s="61"/>
      <c r="YC36" s="61"/>
      <c r="YD36" s="61"/>
      <c r="YE36" s="61"/>
      <c r="YF36" s="61"/>
      <c r="YG36" s="61"/>
      <c r="YH36" s="61"/>
      <c r="YI36" s="61"/>
      <c r="YJ36" s="61"/>
      <c r="YK36" s="61"/>
      <c r="YL36" s="61"/>
      <c r="YM36" s="61"/>
      <c r="YN36" s="61"/>
      <c r="YO36" s="61"/>
      <c r="YP36" s="61"/>
      <c r="YQ36" s="61"/>
      <c r="YR36" s="61"/>
      <c r="YS36" s="61"/>
      <c r="YT36" s="61"/>
      <c r="YU36" s="61"/>
      <c r="YV36" s="61"/>
      <c r="YW36" s="61"/>
      <c r="YX36" s="61"/>
      <c r="YY36" s="61"/>
      <c r="YZ36" s="61"/>
      <c r="ZA36" s="61"/>
      <c r="ZB36" s="61"/>
      <c r="ZC36" s="61"/>
      <c r="ZD36" s="61"/>
      <c r="ZE36" s="61"/>
      <c r="ZF36" s="61"/>
      <c r="ZG36" s="61"/>
      <c r="ZH36" s="61"/>
      <c r="ZI36" s="61"/>
      <c r="ZJ36" s="61"/>
      <c r="ZK36" s="61"/>
      <c r="ZL36" s="61"/>
      <c r="ZM36" s="61"/>
      <c r="ZN36" s="61"/>
      <c r="ZO36" s="61"/>
      <c r="ZP36" s="61"/>
      <c r="ZQ36" s="61"/>
      <c r="ZR36" s="62"/>
      <c r="ZS36" s="62"/>
      <c r="ZT36" s="62"/>
      <c r="ZU36" s="62"/>
      <c r="ZV36" s="62"/>
      <c r="ZW36" s="62"/>
      <c r="ZX36" s="62"/>
      <c r="ZY36" s="62"/>
      <c r="ZZ36" s="62"/>
      <c r="AAA36" s="62"/>
      <c r="AAB36" s="62"/>
      <c r="AAC36" s="62"/>
      <c r="AAD36" s="62"/>
      <c r="AAE36" s="62"/>
      <c r="AAF36" s="62"/>
      <c r="AAG36" s="62"/>
      <c r="AAH36" s="62"/>
      <c r="AAI36" s="62"/>
      <c r="AAJ36" s="62"/>
      <c r="AAK36" s="62"/>
      <c r="AAL36" s="62"/>
      <c r="AAM36" s="62"/>
      <c r="AAN36" s="62"/>
      <c r="AAO36" s="62"/>
      <c r="AAP36" s="62"/>
      <c r="AAQ36" s="62"/>
      <c r="AAR36" s="62"/>
      <c r="AAS36" s="62"/>
      <c r="AAT36" s="62"/>
      <c r="AAU36" s="62"/>
      <c r="AAV36" s="62"/>
      <c r="AAW36" s="62"/>
      <c r="AAX36" s="61"/>
      <c r="AAY36" s="61"/>
      <c r="AAZ36" s="61"/>
      <c r="ABA36" s="61"/>
      <c r="ABB36" s="61"/>
      <c r="ABC36" s="61"/>
      <c r="ABD36" s="61"/>
      <c r="ABE36" s="61"/>
      <c r="ABF36" s="61"/>
      <c r="ABG36" s="61"/>
      <c r="ABH36" s="61"/>
      <c r="ABI36" s="61"/>
      <c r="ABJ36" s="61"/>
      <c r="ABK36" s="61"/>
      <c r="ABL36" s="61"/>
      <c r="ABM36" s="61"/>
      <c r="ABN36" s="61"/>
      <c r="ABO36" s="61"/>
      <c r="ABP36" s="61"/>
      <c r="ABQ36" s="61"/>
      <c r="ABR36" s="61"/>
      <c r="ABS36" s="61"/>
      <c r="ABT36" s="61"/>
      <c r="ABU36" s="61"/>
      <c r="ABV36" s="61"/>
      <c r="ABW36" s="61"/>
      <c r="ABX36" s="61"/>
      <c r="ABY36" s="61"/>
      <c r="ABZ36" s="61"/>
      <c r="ACA36" s="61"/>
      <c r="ACB36" s="61"/>
      <c r="ACC36" s="61"/>
      <c r="ACD36" s="61"/>
      <c r="ACE36" s="61"/>
      <c r="ACF36" s="61"/>
      <c r="ACG36" s="61"/>
      <c r="ACH36" s="61"/>
      <c r="ACI36" s="61"/>
      <c r="ACJ36" s="61"/>
      <c r="ACK36" s="61"/>
      <c r="ACL36" s="61"/>
      <c r="ACM36" s="61"/>
      <c r="ACN36" s="61"/>
      <c r="ACO36" s="61"/>
      <c r="ACP36" s="61"/>
      <c r="ACQ36" s="61"/>
      <c r="ACR36" s="61"/>
      <c r="ACS36" s="61"/>
      <c r="ACT36" s="61"/>
      <c r="ACU36" s="61"/>
      <c r="ACV36" s="61"/>
      <c r="ACW36" s="61"/>
      <c r="ACX36" s="61"/>
      <c r="ACY36" s="61"/>
      <c r="ACZ36" s="61"/>
      <c r="ADA36" s="61"/>
      <c r="ADB36" s="61"/>
      <c r="ADC36" s="61"/>
      <c r="ADD36" s="61"/>
      <c r="ADE36" s="61"/>
      <c r="ADF36" s="61"/>
      <c r="ADG36" s="61"/>
      <c r="ADH36" s="61"/>
      <c r="ADI36" s="61"/>
      <c r="ADJ36" s="61"/>
      <c r="ADK36" s="61"/>
      <c r="ADL36" s="61"/>
      <c r="ADM36" s="61"/>
      <c r="ADN36" s="61"/>
      <c r="ADO36" s="61"/>
      <c r="ADP36" s="61"/>
      <c r="ADQ36" s="61"/>
      <c r="ADR36" s="61"/>
      <c r="ADS36" s="61"/>
      <c r="ADT36" s="61"/>
      <c r="ADU36" s="61"/>
      <c r="ADV36" s="61"/>
      <c r="ADW36" s="61"/>
      <c r="ADX36" s="61"/>
      <c r="ADY36" s="61"/>
      <c r="ADZ36" s="61"/>
      <c r="AEA36" s="61"/>
      <c r="AEB36" s="61"/>
      <c r="AEC36" s="61"/>
      <c r="AED36" s="61"/>
      <c r="AEE36" s="61"/>
      <c r="AEF36" s="61"/>
      <c r="AEG36" s="61"/>
      <c r="AEH36" s="61"/>
      <c r="AEI36" s="61"/>
      <c r="AEJ36" s="61"/>
      <c r="AEK36" s="61"/>
      <c r="AEL36" s="61"/>
      <c r="AEM36" s="61"/>
      <c r="AEN36" s="61"/>
      <c r="AEO36" s="61"/>
      <c r="AEP36" s="61"/>
      <c r="AEQ36" s="61"/>
      <c r="AER36" s="61"/>
      <c r="AES36" s="61"/>
      <c r="AET36" s="61"/>
      <c r="AEU36" s="62"/>
      <c r="AEV36" s="62"/>
      <c r="AEW36" s="62"/>
      <c r="AEX36" s="62"/>
      <c r="AEY36" s="62"/>
      <c r="AEZ36" s="62"/>
      <c r="AFA36" s="62"/>
      <c r="AFB36" s="62"/>
      <c r="AFC36" s="62"/>
      <c r="AFD36" s="62"/>
      <c r="AFE36" s="62"/>
      <c r="AFF36" s="62"/>
      <c r="AFG36" s="62"/>
      <c r="AFH36" s="62"/>
      <c r="AFI36" s="62"/>
      <c r="AFJ36" s="62"/>
      <c r="AFK36" s="62"/>
      <c r="AFL36" s="62"/>
      <c r="AFM36" s="62"/>
      <c r="AFN36" s="62"/>
      <c r="AFO36" s="62"/>
      <c r="AFP36" s="62"/>
      <c r="AFQ36" s="62"/>
      <c r="AFR36" s="62"/>
      <c r="AFS36" s="62"/>
      <c r="AFT36" s="62"/>
      <c r="AFU36" s="62"/>
      <c r="AFV36" s="62"/>
      <c r="AFW36" s="62"/>
      <c r="AFX36" s="62"/>
      <c r="AFY36" s="62"/>
      <c r="AFZ36" s="62"/>
      <c r="AGA36" s="62"/>
      <c r="AGB36" s="62"/>
      <c r="AGC36" s="62"/>
      <c r="AGD36" s="62"/>
      <c r="AGE36" s="62"/>
      <c r="AGF36" s="62"/>
      <c r="AGG36" s="61"/>
      <c r="AGH36" s="61"/>
      <c r="AGI36" s="61"/>
      <c r="AGJ36" s="61"/>
      <c r="AGK36" s="61"/>
      <c r="AGL36" s="61"/>
      <c r="AGM36" s="61"/>
      <c r="AGN36" s="61"/>
      <c r="AGO36" s="61"/>
      <c r="AGP36" s="61"/>
      <c r="AGQ36" s="61"/>
      <c r="AGR36" s="61"/>
      <c r="AGS36" s="61"/>
      <c r="AGT36" s="61"/>
      <c r="AGU36" s="61"/>
      <c r="AGV36" s="61"/>
      <c r="AGW36" s="61"/>
      <c r="AGX36" s="61"/>
      <c r="AGY36" s="61"/>
      <c r="AGZ36" s="61"/>
      <c r="AHA36" s="61"/>
      <c r="AHB36" s="61"/>
      <c r="AHC36" s="61"/>
      <c r="AHD36" s="61"/>
      <c r="AHE36" s="61"/>
      <c r="AHF36" s="61"/>
      <c r="AHG36" s="61"/>
      <c r="AHH36" s="61"/>
      <c r="AHI36" s="61"/>
      <c r="AHJ36" s="61"/>
      <c r="AHK36" s="61"/>
      <c r="AHL36" s="61"/>
      <c r="AHM36" s="61"/>
      <c r="AHN36" s="61"/>
      <c r="AHO36" s="61"/>
      <c r="AHP36" s="61"/>
      <c r="AHQ36" s="61"/>
      <c r="AHR36" s="61"/>
      <c r="AHS36" s="61"/>
      <c r="AHT36" s="61"/>
      <c r="AHU36" s="61"/>
      <c r="AHV36" s="61"/>
      <c r="AHW36" s="61"/>
      <c r="AHX36" s="61"/>
      <c r="AHY36" s="61"/>
      <c r="AHZ36" s="61"/>
      <c r="AIA36" s="61"/>
      <c r="AIB36" s="61"/>
      <c r="AIC36" s="61"/>
      <c r="AID36" s="61"/>
      <c r="AIE36" s="61"/>
      <c r="AIF36" s="61"/>
      <c r="AIG36" s="62"/>
      <c r="AIH36" s="62"/>
      <c r="AII36" s="62"/>
      <c r="AIJ36" s="61"/>
      <c r="AIK36" s="61"/>
      <c r="AIL36" s="61"/>
      <c r="AIM36" s="61"/>
      <c r="AIN36" s="61"/>
      <c r="AIO36" s="61"/>
      <c r="AIP36" s="61"/>
      <c r="AIQ36" s="61"/>
      <c r="AIR36" s="61"/>
      <c r="AIS36" s="61"/>
      <c r="AIT36" s="61"/>
      <c r="AIU36" s="61"/>
      <c r="AIV36" s="61"/>
      <c r="AIW36" s="61"/>
      <c r="AIX36" s="61"/>
      <c r="AIY36" s="61"/>
      <c r="AIZ36" s="61"/>
      <c r="AJA36" s="61"/>
      <c r="AJB36" s="61"/>
      <c r="AJC36" s="61"/>
      <c r="AJD36" s="61"/>
      <c r="AJE36" s="61"/>
      <c r="AJF36" s="61"/>
      <c r="AJG36" s="61"/>
      <c r="AJH36" s="61"/>
      <c r="AJI36" s="61"/>
      <c r="AJJ36" s="61"/>
      <c r="AJK36" s="61"/>
      <c r="AJL36" s="61"/>
      <c r="AJM36" s="61"/>
      <c r="AJN36" s="62"/>
      <c r="AJO36" s="62"/>
      <c r="AJP36" s="62"/>
      <c r="AJQ36" s="61"/>
      <c r="AJR36" s="61"/>
      <c r="AJS36" s="61"/>
      <c r="AJT36" s="61"/>
      <c r="AJU36" s="61"/>
      <c r="AJV36" s="61"/>
      <c r="AJW36" s="61"/>
      <c r="AJX36" s="61"/>
      <c r="AJY36" s="61"/>
      <c r="AJZ36" s="61"/>
      <c r="AKA36" s="61"/>
      <c r="AKB36" s="61"/>
      <c r="AKC36" s="61"/>
      <c r="AKD36" s="61"/>
      <c r="AKE36" s="61"/>
      <c r="AKF36" s="61"/>
      <c r="AKG36" s="61"/>
      <c r="AKH36" s="61"/>
      <c r="AKI36" s="61"/>
      <c r="AKJ36" s="61"/>
      <c r="AKK36" s="61"/>
      <c r="AKL36" s="61"/>
      <c r="AKM36" s="61"/>
      <c r="AKN36" s="61"/>
      <c r="AKO36" s="61"/>
      <c r="AKP36" s="61"/>
      <c r="AKQ36" s="61"/>
      <c r="AKR36" s="61"/>
      <c r="AKS36" s="61"/>
      <c r="AKT36" s="61"/>
      <c r="AKU36" s="61"/>
      <c r="AKV36" s="61"/>
      <c r="AKW36" s="61"/>
      <c r="AKX36" s="62"/>
      <c r="AKY36" s="62"/>
      <c r="AKZ36" s="61"/>
      <c r="ALA36" s="61"/>
      <c r="ALB36" s="61"/>
      <c r="ALC36" s="61"/>
      <c r="ALD36" s="61"/>
      <c r="ALE36" s="61"/>
      <c r="ALF36" s="61"/>
      <c r="ALG36" s="61"/>
      <c r="ALH36" s="61"/>
      <c r="ALI36" s="61"/>
      <c r="ALJ36" s="61"/>
      <c r="ALK36" s="61"/>
      <c r="ALL36" s="61"/>
      <c r="ALM36" s="61"/>
      <c r="ALN36" s="61"/>
      <c r="ALO36" s="61"/>
      <c r="ALP36" s="61"/>
      <c r="ALQ36" s="61"/>
      <c r="ALR36" s="61"/>
      <c r="ALS36" s="61"/>
      <c r="ALT36" s="61"/>
      <c r="ALU36" s="61"/>
      <c r="ALV36" s="61"/>
      <c r="ALW36" s="61"/>
      <c r="ALX36" s="61"/>
      <c r="ALY36" s="61"/>
      <c r="ALZ36" s="61"/>
      <c r="AMA36" s="61"/>
      <c r="AMB36" s="61"/>
      <c r="AMC36" s="61"/>
      <c r="AMD36" s="61"/>
      <c r="AME36" s="61"/>
      <c r="AMF36" s="61"/>
      <c r="AMG36" s="61"/>
      <c r="AMH36" s="61"/>
      <c r="AMI36" s="61"/>
      <c r="AMJ36" s="61"/>
      <c r="AMK36" s="61"/>
      <c r="AML36" s="61"/>
      <c r="AMM36" s="61"/>
      <c r="AMN36" s="61"/>
      <c r="AMO36" s="61"/>
      <c r="AMP36" s="61"/>
      <c r="AMQ36" s="61"/>
      <c r="AMR36" s="61"/>
      <c r="AMS36" s="61"/>
      <c r="AMT36" s="61"/>
      <c r="AMU36" s="61"/>
      <c r="AMV36" s="61"/>
      <c r="AMW36" s="61"/>
      <c r="AMX36" s="61"/>
      <c r="AMY36" s="61"/>
      <c r="AMZ36" s="61"/>
      <c r="ANA36" s="61"/>
      <c r="ANB36" s="61"/>
      <c r="ANC36" s="61"/>
      <c r="AND36" s="61"/>
      <c r="ANE36" s="61"/>
      <c r="ANF36" s="61"/>
      <c r="ANG36" s="61"/>
      <c r="ANH36" s="61"/>
      <c r="ANI36" s="61"/>
      <c r="ANJ36" s="61"/>
      <c r="ANK36" s="61"/>
      <c r="ANL36" s="61"/>
      <c r="ANM36" s="61"/>
      <c r="ANN36" s="61"/>
      <c r="ANO36" s="61"/>
      <c r="ANP36" s="61"/>
      <c r="ANQ36" s="61"/>
      <c r="ANR36" s="61"/>
      <c r="ANS36" s="61"/>
      <c r="ANT36" s="61"/>
      <c r="ANU36" s="61"/>
      <c r="ANV36" s="61"/>
      <c r="ANW36" s="61"/>
      <c r="ANX36" s="61"/>
      <c r="ANY36" s="61"/>
      <c r="ANZ36" s="61"/>
      <c r="AOA36" s="61"/>
      <c r="AOB36" s="61"/>
      <c r="AOC36" s="61"/>
      <c r="AOD36" s="61"/>
      <c r="AOE36" s="61"/>
      <c r="AOF36" s="61"/>
      <c r="AOG36" s="61"/>
      <c r="AOH36" s="61"/>
      <c r="AOI36" s="61"/>
      <c r="AOJ36" s="61"/>
      <c r="AOK36" s="61"/>
      <c r="AOL36" s="61"/>
      <c r="AOM36" s="61"/>
      <c r="AON36" s="61"/>
      <c r="AOO36" s="61"/>
      <c r="AOP36" s="61"/>
      <c r="AOQ36" s="61"/>
      <c r="AOR36" s="61"/>
      <c r="AOS36" s="61"/>
      <c r="AOT36" s="61"/>
      <c r="AOU36" s="61"/>
      <c r="AOV36" s="61"/>
      <c r="AOW36" s="61"/>
      <c r="AOX36" s="61"/>
      <c r="AOY36" s="61"/>
      <c r="AOZ36" s="61"/>
      <c r="APA36" s="61"/>
      <c r="APB36" s="61"/>
      <c r="APC36" s="61"/>
      <c r="APD36" s="61"/>
      <c r="APE36" s="61"/>
      <c r="APF36" s="61"/>
      <c r="APG36" s="61"/>
      <c r="APH36" s="61"/>
      <c r="API36" s="61"/>
      <c r="APJ36" s="61"/>
      <c r="APK36" s="61"/>
      <c r="APL36" s="61"/>
      <c r="APM36" s="61"/>
      <c r="APN36" s="61"/>
      <c r="APO36" s="61"/>
      <c r="APP36" s="61"/>
      <c r="APQ36" s="61"/>
      <c r="APR36" s="61"/>
      <c r="APS36" s="61"/>
      <c r="APT36" s="61"/>
      <c r="APU36" s="61"/>
      <c r="APV36" s="61"/>
      <c r="APW36" s="61"/>
      <c r="APX36" s="61"/>
      <c r="APY36" s="61"/>
      <c r="APZ36" s="61"/>
      <c r="AQA36" s="61"/>
      <c r="AQB36" s="61"/>
      <c r="AQC36" s="61"/>
      <c r="AQD36" s="61"/>
      <c r="AQE36" s="61"/>
      <c r="ARV36" s="66"/>
      <c r="ARW36" s="66"/>
      <c r="ARX36" s="66"/>
      <c r="ARY36" s="66"/>
      <c r="ARZ36" s="66"/>
      <c r="ASA36" s="66"/>
      <c r="ASB36" s="66"/>
      <c r="ASC36" s="66"/>
      <c r="ASD36" s="61"/>
      <c r="ASE36" s="61"/>
      <c r="ASF36" s="61"/>
      <c r="ASG36" s="61"/>
      <c r="ASH36" s="61"/>
      <c r="ASI36" s="61"/>
      <c r="ASJ36" s="61"/>
      <c r="ASK36" s="61"/>
      <c r="ASL36" s="61"/>
      <c r="ASM36" s="61"/>
      <c r="ASN36" s="61"/>
      <c r="ASO36" s="61"/>
      <c r="ASP36" s="61"/>
      <c r="ASQ36" s="61"/>
      <c r="ASR36" s="61"/>
      <c r="ASS36" s="61"/>
      <c r="AST36" s="61"/>
      <c r="ASU36" s="61"/>
      <c r="ASV36" s="61"/>
      <c r="ASW36" s="61"/>
      <c r="ASX36" s="61"/>
      <c r="ASY36" s="61"/>
      <c r="ASZ36" s="61"/>
      <c r="ATA36" s="61"/>
      <c r="ATB36" s="61"/>
      <c r="ATC36" s="61"/>
      <c r="ATD36" s="61"/>
      <c r="ATE36" s="61"/>
      <c r="ATF36" s="61"/>
      <c r="ATG36" s="61"/>
      <c r="ATH36" s="61"/>
      <c r="ATI36" s="61"/>
      <c r="ATJ36" s="61"/>
      <c r="ATK36" s="61"/>
      <c r="ATL36" s="61"/>
      <c r="ATM36" s="61"/>
      <c r="ATN36" s="61"/>
      <c r="ATO36" s="61"/>
      <c r="ATP36" s="61"/>
      <c r="ATQ36" s="62"/>
      <c r="ATR36" s="62"/>
      <c r="ATS36" s="62"/>
      <c r="ATT36" s="62"/>
      <c r="ATU36" s="62"/>
      <c r="ATV36" s="61"/>
      <c r="ATW36" s="61"/>
      <c r="ATX36" s="61"/>
      <c r="ATY36" s="61"/>
      <c r="ATZ36" s="61"/>
      <c r="AUA36" s="61"/>
      <c r="AUB36" s="61"/>
      <c r="AUC36" s="61"/>
      <c r="AUD36" s="61"/>
      <c r="AUE36" s="61"/>
      <c r="AUF36" s="61"/>
      <c r="AUG36" s="61"/>
      <c r="AUH36" s="61"/>
      <c r="AUI36" s="61"/>
      <c r="AUJ36" s="61"/>
      <c r="AUK36" s="61"/>
      <c r="AUL36" s="61"/>
      <c r="AUM36" s="61"/>
      <c r="AUN36" s="61"/>
      <c r="AUO36" s="61"/>
      <c r="AUP36" s="61"/>
      <c r="AUQ36" s="61"/>
      <c r="AUR36" s="61"/>
      <c r="AUS36" s="61"/>
      <c r="AUT36" s="61"/>
      <c r="AUU36" s="61"/>
      <c r="AUV36" s="61"/>
      <c r="AUW36" s="61"/>
      <c r="AUX36" s="61"/>
      <c r="AUY36" s="61"/>
      <c r="AUZ36" s="61"/>
      <c r="AVA36" s="61"/>
      <c r="AVB36" s="61"/>
      <c r="AVC36" s="61"/>
      <c r="AVD36" s="61"/>
      <c r="AVE36" s="61"/>
      <c r="AVF36" s="61"/>
      <c r="AVG36" s="61"/>
      <c r="AVH36" s="61"/>
      <c r="AVI36" s="61"/>
      <c r="AVJ36" s="61"/>
      <c r="AVK36" s="61"/>
      <c r="AVL36" s="61"/>
      <c r="AVM36" s="61"/>
      <c r="AVN36" s="61"/>
      <c r="AVO36" s="61"/>
      <c r="AVP36" s="61"/>
      <c r="AVQ36" s="61"/>
      <c r="AVR36" s="61"/>
      <c r="AVS36" s="61"/>
      <c r="AVT36" s="61"/>
      <c r="AVU36" s="61"/>
      <c r="AVV36" s="61"/>
      <c r="AVW36" s="61"/>
      <c r="AVX36" s="61"/>
      <c r="AVY36" s="61"/>
      <c r="AVZ36" s="61"/>
      <c r="AWA36" s="61"/>
      <c r="AWB36" s="61"/>
      <c r="AWC36" s="61"/>
      <c r="AWD36" s="61"/>
      <c r="AWE36" s="61"/>
      <c r="AWF36" s="61"/>
      <c r="AWG36" s="61"/>
      <c r="AWH36" s="61"/>
      <c r="AWI36" s="61"/>
      <c r="AWJ36" s="61"/>
      <c r="AWK36" s="61"/>
      <c r="AWL36" s="61"/>
      <c r="AWM36" s="61"/>
      <c r="AWN36" s="61"/>
      <c r="AWO36" s="61"/>
      <c r="AWP36" s="61"/>
      <c r="AWQ36" s="61"/>
      <c r="AWR36" s="61"/>
      <c r="AWS36" s="61"/>
      <c r="AWT36" s="61"/>
      <c r="AWU36" s="61"/>
      <c r="AWV36" s="61"/>
      <c r="AWW36" s="61"/>
      <c r="AWX36" s="61"/>
      <c r="AWY36" s="61"/>
      <c r="AWZ36" s="61"/>
      <c r="AXA36" s="61"/>
      <c r="AXB36" s="61"/>
      <c r="AXC36" s="61"/>
      <c r="AXD36" s="61"/>
      <c r="AXE36" s="61"/>
      <c r="AXF36" s="61"/>
      <c r="AXG36" s="61"/>
      <c r="AXH36" s="61"/>
      <c r="AXI36" s="61"/>
      <c r="AXJ36" s="61"/>
      <c r="AXK36" s="61"/>
      <c r="AXL36" s="61"/>
      <c r="AXM36" s="61"/>
      <c r="AXN36" s="61"/>
      <c r="AXO36" s="61"/>
      <c r="AXP36" s="61"/>
      <c r="AXQ36" s="61"/>
      <c r="AXR36" s="61"/>
      <c r="AXS36" s="61"/>
      <c r="AXT36" s="61"/>
      <c r="AXU36" s="61"/>
      <c r="AXV36" s="61"/>
      <c r="AXW36" s="61"/>
      <c r="AXX36" s="61"/>
      <c r="AXY36" s="61"/>
      <c r="AXZ36" s="61"/>
      <c r="AYA36" s="61"/>
      <c r="AYB36" s="61"/>
      <c r="AYC36" s="61"/>
      <c r="AYD36" s="61"/>
      <c r="AYE36" s="61"/>
      <c r="AYF36" s="61"/>
      <c r="AYG36" s="61"/>
      <c r="AYH36" s="61"/>
      <c r="AYI36" s="61"/>
      <c r="AYJ36" s="61"/>
      <c r="AYK36" s="61"/>
      <c r="AYL36" s="61"/>
      <c r="AYM36" s="61"/>
      <c r="AYN36" s="61"/>
      <c r="AYO36" s="61"/>
      <c r="AYP36" s="61"/>
      <c r="AYQ36" s="61"/>
      <c r="AYR36" s="61"/>
      <c r="AYS36" s="61"/>
      <c r="AYT36" s="61"/>
      <c r="AYU36" s="61"/>
      <c r="AYV36" s="61"/>
      <c r="AYW36" s="61"/>
      <c r="AYX36" s="61"/>
      <c r="AYY36" s="61"/>
      <c r="AYZ36" s="61"/>
      <c r="AZA36" s="61"/>
      <c r="AZB36" s="61"/>
      <c r="AZC36" s="61"/>
      <c r="AZD36" s="61"/>
      <c r="AZE36" s="61"/>
      <c r="AZF36" s="61"/>
      <c r="AZG36" s="61"/>
      <c r="AZH36" s="61"/>
      <c r="AZI36" s="61"/>
      <c r="AZJ36" s="61"/>
      <c r="AZK36" s="61"/>
      <c r="AZL36" s="61"/>
      <c r="AZM36" s="61"/>
      <c r="AZN36" s="61"/>
      <c r="AZO36" s="61"/>
      <c r="AZP36" s="61"/>
      <c r="AZQ36" s="61"/>
      <c r="AZR36" s="61"/>
      <c r="AZS36" s="61"/>
      <c r="AZT36" s="61"/>
      <c r="AZU36" s="61"/>
      <c r="AZV36" s="61"/>
      <c r="AZW36" s="61"/>
      <c r="AZX36" s="61"/>
      <c r="AZY36" s="61"/>
      <c r="AZZ36" s="61"/>
      <c r="BAA36" s="61"/>
      <c r="BAB36" s="61"/>
      <c r="BAC36" s="61"/>
      <c r="BAD36" s="61"/>
      <c r="BAE36" s="61"/>
      <c r="BAF36" s="61"/>
      <c r="BAG36" s="61"/>
      <c r="BAH36" s="61"/>
      <c r="BAI36" s="61"/>
      <c r="BAJ36" s="61"/>
      <c r="BAK36" s="61"/>
      <c r="BAL36" s="61"/>
      <c r="BAM36" s="61"/>
      <c r="BAN36" s="61"/>
      <c r="BAO36" s="61"/>
      <c r="BAP36" s="61"/>
      <c r="BAQ36" s="61"/>
      <c r="BAR36" s="61"/>
      <c r="BAS36" s="61"/>
      <c r="BAT36" s="61"/>
      <c r="BAU36" s="61"/>
      <c r="BAV36" s="61"/>
      <c r="BAW36" s="61"/>
      <c r="BAX36" s="61"/>
      <c r="BAY36" s="61"/>
      <c r="BAZ36" s="61"/>
      <c r="BBA36" s="61"/>
      <c r="BBB36" s="61"/>
      <c r="BBC36" s="61"/>
      <c r="BBD36" s="61"/>
      <c r="BBE36" s="61"/>
      <c r="BBF36" s="61"/>
      <c r="BBG36" s="61"/>
      <c r="BBH36" s="61"/>
      <c r="BBI36" s="61"/>
      <c r="BBJ36" s="61"/>
      <c r="BBK36" s="61"/>
      <c r="BBL36" s="61"/>
      <c r="BBM36" s="61"/>
      <c r="BBN36" s="61"/>
      <c r="BBO36" s="61"/>
      <c r="BBP36" s="61"/>
      <c r="BBQ36" s="61"/>
      <c r="BBR36" s="61"/>
      <c r="BBS36" s="61"/>
      <c r="BBT36" s="61"/>
      <c r="BBU36" s="61"/>
      <c r="BBV36" s="61"/>
      <c r="BBW36" s="61"/>
      <c r="BBX36" s="61"/>
      <c r="BBY36" s="61"/>
      <c r="BBZ36" s="61"/>
      <c r="BCA36" s="61"/>
      <c r="BCB36" s="61"/>
      <c r="BCC36" s="61"/>
      <c r="BCD36" s="61"/>
      <c r="BCE36" s="61"/>
      <c r="BCF36" s="61"/>
      <c r="BCG36" s="61"/>
      <c r="BCH36" s="61"/>
      <c r="BCI36" s="61"/>
      <c r="BCJ36" s="61"/>
      <c r="BCK36" s="61"/>
      <c r="BCL36" s="61"/>
      <c r="BCM36" s="61"/>
      <c r="BCN36" s="61"/>
      <c r="BCO36" s="61"/>
      <c r="BCP36" s="61"/>
      <c r="BCQ36" s="61"/>
      <c r="BCR36" s="61"/>
      <c r="BCS36" s="61"/>
      <c r="BCT36" s="61"/>
      <c r="BCU36" s="61"/>
      <c r="BCV36" s="61"/>
      <c r="BCW36" s="61"/>
      <c r="BCX36" s="61"/>
      <c r="BCY36" s="61"/>
      <c r="BCZ36" s="61"/>
      <c r="BDA36" s="61"/>
      <c r="BDB36" s="61"/>
      <c r="BDC36" s="61"/>
      <c r="BDD36" s="61"/>
      <c r="BDE36" s="61"/>
      <c r="BDF36" s="61"/>
      <c r="BDG36" s="61"/>
      <c r="BDH36" s="61"/>
      <c r="BDI36" s="61"/>
      <c r="BDJ36" s="61"/>
      <c r="BDK36" s="61"/>
      <c r="BDL36" s="61"/>
      <c r="BDM36" s="61"/>
      <c r="BDN36" s="61"/>
      <c r="BDO36" s="61"/>
      <c r="BDP36" s="61"/>
      <c r="BDQ36" s="61"/>
      <c r="BDR36" s="61"/>
      <c r="BDS36" s="61"/>
      <c r="BDT36" s="61"/>
      <c r="BDU36" s="61"/>
      <c r="BDV36" s="61"/>
      <c r="BDW36" s="61"/>
      <c r="BDX36" s="61"/>
      <c r="BDY36" s="61"/>
      <c r="BDZ36" s="61"/>
      <c r="BEA36" s="61"/>
      <c r="BEB36" s="61"/>
      <c r="BEC36" s="61"/>
      <c r="BED36" s="61"/>
      <c r="BEE36" s="61"/>
      <c r="BEF36" s="61"/>
      <c r="BEG36" s="61"/>
      <c r="BEH36" s="61"/>
      <c r="BEI36" s="61"/>
      <c r="BEJ36" s="61"/>
      <c r="BEK36" s="61"/>
      <c r="BEL36" s="61"/>
      <c r="BEM36" s="61"/>
      <c r="BEN36" s="61"/>
      <c r="BEO36" s="61"/>
      <c r="BEP36" s="61"/>
      <c r="BEQ36" s="61"/>
      <c r="BER36" s="61"/>
      <c r="BES36" s="61"/>
      <c r="BOA36" s="59">
        <v>53</v>
      </c>
      <c r="BOC36" s="59">
        <v>1</v>
      </c>
      <c r="BOD36" s="59">
        <v>31.2</v>
      </c>
      <c r="BOE36" s="59">
        <v>1</v>
      </c>
      <c r="BOG36" s="59">
        <v>17</v>
      </c>
      <c r="BOL36" s="59">
        <v>1</v>
      </c>
      <c r="BTH36" s="59">
        <v>1</v>
      </c>
      <c r="BTL36" s="59">
        <v>1</v>
      </c>
      <c r="BTZ36" s="59">
        <v>1</v>
      </c>
      <c r="BYJ36" s="65"/>
      <c r="BYK36" s="59">
        <v>0</v>
      </c>
      <c r="BYY36" s="59">
        <v>0</v>
      </c>
      <c r="BZL36" s="59">
        <v>0</v>
      </c>
      <c r="BZN36" s="59">
        <v>5</v>
      </c>
      <c r="BZQ36" s="59">
        <v>1</v>
      </c>
      <c r="BZS36" s="59">
        <v>2</v>
      </c>
      <c r="BZT36" s="59">
        <v>5</v>
      </c>
      <c r="BZU36" s="59">
        <v>4</v>
      </c>
      <c r="BZV36" s="59">
        <v>0</v>
      </c>
      <c r="BZW36" s="59">
        <v>4</v>
      </c>
      <c r="BZY36" s="73">
        <v>100</v>
      </c>
      <c r="BZZ36" s="59">
        <v>1</v>
      </c>
      <c r="CAC36" s="59">
        <v>1</v>
      </c>
      <c r="CAD36" s="68">
        <v>19</v>
      </c>
      <c r="CAE36" s="59">
        <v>999</v>
      </c>
      <c r="CAF36" s="59">
        <v>9</v>
      </c>
      <c r="CAG36" s="59">
        <v>0</v>
      </c>
      <c r="CAH36" s="59">
        <v>5</v>
      </c>
      <c r="CMI36" s="59">
        <v>1</v>
      </c>
      <c r="CML36" s="59">
        <v>1</v>
      </c>
      <c r="CMM36" s="59">
        <v>3</v>
      </c>
      <c r="CMN36" s="59">
        <v>3</v>
      </c>
      <c r="CMO36" s="59">
        <v>0</v>
      </c>
      <c r="CMP36" s="59">
        <v>3</v>
      </c>
      <c r="DLS36" s="59">
        <v>40</v>
      </c>
      <c r="DLT36" s="59">
        <v>1</v>
      </c>
      <c r="DLW36" s="59">
        <v>1</v>
      </c>
      <c r="DLX36" s="71">
        <v>29</v>
      </c>
      <c r="DLY36" s="59">
        <v>999</v>
      </c>
      <c r="DLZ36" s="59">
        <v>0</v>
      </c>
      <c r="DMA36" s="59">
        <v>999</v>
      </c>
      <c r="DMB36" s="59">
        <v>6</v>
      </c>
      <c r="DOF36" s="71"/>
      <c r="EVS36" s="59">
        <v>5</v>
      </c>
      <c r="EVV36" s="59">
        <v>1</v>
      </c>
      <c r="EVW36" s="59">
        <v>1</v>
      </c>
      <c r="EVX36" s="59">
        <v>4</v>
      </c>
      <c r="EVY36" s="59">
        <v>4</v>
      </c>
      <c r="EVZ36" s="59">
        <v>0</v>
      </c>
      <c r="EWA36" s="59">
        <v>4</v>
      </c>
      <c r="FYS36" s="59">
        <v>100</v>
      </c>
      <c r="FYT36" s="59">
        <v>1</v>
      </c>
      <c r="FYW36" s="59">
        <v>1</v>
      </c>
      <c r="FYX36" s="59">
        <v>29</v>
      </c>
      <c r="FYY36" s="59">
        <v>999</v>
      </c>
      <c r="FYZ36" s="59">
        <v>0</v>
      </c>
      <c r="FZA36" s="59">
        <v>999</v>
      </c>
      <c r="FZB36" s="59">
        <v>6</v>
      </c>
      <c r="GCQ36" s="59">
        <v>1</v>
      </c>
      <c r="GCT36" s="59">
        <v>1</v>
      </c>
      <c r="GCV36" s="59">
        <v>29</v>
      </c>
      <c r="GCW36" s="59">
        <v>999</v>
      </c>
      <c r="GCX36" s="59">
        <v>0</v>
      </c>
      <c r="GCY36" s="59">
        <v>999</v>
      </c>
      <c r="GCZ36" s="59">
        <v>6</v>
      </c>
      <c r="GMM36" s="59">
        <v>1</v>
      </c>
      <c r="GMP36" s="59">
        <v>1</v>
      </c>
      <c r="GMQ36" s="68">
        <v>19</v>
      </c>
      <c r="GMR36" s="59">
        <v>999</v>
      </c>
      <c r="GMS36" s="59">
        <v>9</v>
      </c>
      <c r="GMT36" s="59">
        <v>0</v>
      </c>
      <c r="GMU36" s="59">
        <v>6</v>
      </c>
    </row>
    <row r="37" spans="1:3055 3099:3979 4104:5091 5209:5798" s="59" customFormat="1" x14ac:dyDescent="0.25">
      <c r="A37" s="77">
        <v>96018835</v>
      </c>
      <c r="B37" s="60" t="s">
        <v>4190</v>
      </c>
      <c r="L37" s="61"/>
      <c r="M37" s="61"/>
      <c r="N37" s="61"/>
      <c r="O37" s="61"/>
      <c r="P37" s="61"/>
      <c r="Q37" s="59">
        <v>40</v>
      </c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1"/>
      <c r="BD37" s="59">
        <v>67</v>
      </c>
      <c r="BE37" s="59">
        <v>82</v>
      </c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1"/>
      <c r="EH37" s="61"/>
      <c r="EI37" s="59">
        <v>35</v>
      </c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2"/>
      <c r="GY37" s="62"/>
      <c r="GZ37" s="62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59">
        <v>2000</v>
      </c>
      <c r="HR37" s="59">
        <v>2900</v>
      </c>
      <c r="HS37" s="59">
        <v>3800</v>
      </c>
      <c r="HT37" s="59">
        <v>2100</v>
      </c>
      <c r="HU37" s="61"/>
      <c r="HV37" s="59">
        <v>3000</v>
      </c>
      <c r="HX37" s="61"/>
      <c r="HY37" s="59">
        <v>6500</v>
      </c>
      <c r="HZ37" s="61"/>
      <c r="IA37" s="61"/>
      <c r="IB37" s="59">
        <v>7900</v>
      </c>
      <c r="ID37" s="59">
        <v>10100</v>
      </c>
      <c r="IG37" s="59">
        <v>7500</v>
      </c>
      <c r="IH37" s="61"/>
      <c r="IN37" s="61"/>
      <c r="IO37" s="61"/>
      <c r="IP37" s="61"/>
      <c r="IQ37" s="61"/>
      <c r="IR37" s="61"/>
      <c r="IS37" s="61"/>
      <c r="IT37" s="61"/>
      <c r="IU37" s="61"/>
      <c r="IV37" s="61"/>
      <c r="IW37" s="61"/>
      <c r="IX37" s="61"/>
      <c r="JA37" s="61"/>
      <c r="JB37" s="61"/>
      <c r="JC37" s="61"/>
      <c r="JD37" s="61"/>
      <c r="JE37" s="61"/>
      <c r="JF37" s="61"/>
      <c r="JG37" s="61"/>
      <c r="JH37" s="61"/>
      <c r="JI37" s="61"/>
      <c r="JJ37" s="61"/>
      <c r="JK37" s="61"/>
      <c r="JL37" s="61"/>
      <c r="JM37" s="61"/>
      <c r="JN37" s="61"/>
      <c r="JO37" s="61"/>
      <c r="JP37" s="61"/>
      <c r="JQ37" s="61"/>
      <c r="JR37" s="59">
        <v>1083</v>
      </c>
      <c r="JS37" s="59">
        <v>435</v>
      </c>
      <c r="JT37" s="59">
        <v>155</v>
      </c>
      <c r="JU37" s="61"/>
      <c r="JV37" s="59">
        <v>68</v>
      </c>
      <c r="JW37" s="61"/>
      <c r="JX37" s="59">
        <v>51</v>
      </c>
      <c r="JY37" s="59">
        <v>19</v>
      </c>
      <c r="KA37" s="61"/>
      <c r="KB37" s="59">
        <v>24</v>
      </c>
      <c r="KE37" s="61"/>
      <c r="KF37" s="61"/>
      <c r="KG37" s="59">
        <v>175</v>
      </c>
      <c r="KS37" s="61"/>
      <c r="KT37" s="61"/>
      <c r="KU37" s="61"/>
      <c r="KV37" s="61"/>
      <c r="KW37" s="61"/>
      <c r="KX37" s="61"/>
      <c r="KY37" s="61"/>
      <c r="KZ37" s="61"/>
      <c r="LA37" s="61"/>
      <c r="LB37" s="61"/>
      <c r="LC37" s="61"/>
      <c r="LD37" s="61"/>
      <c r="LE37" s="61"/>
      <c r="LF37" s="61"/>
      <c r="LG37" s="61"/>
      <c r="LH37" s="61"/>
      <c r="LI37" s="61"/>
      <c r="LJ37" s="61"/>
      <c r="LK37" s="61"/>
      <c r="LL37" s="61"/>
      <c r="LM37" s="61"/>
      <c r="LN37" s="61"/>
      <c r="LO37" s="61"/>
      <c r="LP37" s="61"/>
      <c r="LQ37" s="61"/>
      <c r="LR37" s="61"/>
      <c r="LS37" s="61"/>
      <c r="LT37" s="61"/>
      <c r="LU37" s="61"/>
      <c r="LV37" s="61"/>
      <c r="LW37" s="61"/>
      <c r="LX37" s="61"/>
      <c r="LY37" s="61"/>
      <c r="LZ37" s="61"/>
      <c r="MA37" s="61"/>
      <c r="MB37" s="61"/>
      <c r="MC37" s="61"/>
      <c r="MD37" s="61"/>
      <c r="ME37" s="61"/>
      <c r="MF37" s="61"/>
      <c r="MG37" s="61"/>
      <c r="MH37" s="61"/>
      <c r="MI37" s="61"/>
      <c r="MJ37" s="61"/>
      <c r="MK37" s="61"/>
      <c r="ML37" s="61"/>
      <c r="MM37" s="61"/>
      <c r="MN37" s="61"/>
      <c r="MO37" s="61"/>
      <c r="MP37" s="61"/>
      <c r="MQ37" s="61"/>
      <c r="MR37" s="61"/>
      <c r="MS37" s="61"/>
      <c r="MT37" s="61"/>
      <c r="MU37" s="61"/>
      <c r="MV37" s="61"/>
      <c r="MW37" s="61"/>
      <c r="MX37" s="61"/>
      <c r="MY37" s="61"/>
      <c r="MZ37" s="61"/>
      <c r="NA37" s="61"/>
      <c r="NB37" s="61"/>
      <c r="NC37" s="61"/>
      <c r="ND37" s="61"/>
      <c r="NE37" s="61"/>
      <c r="NF37" s="61"/>
      <c r="NG37" s="59">
        <v>1496</v>
      </c>
      <c r="NH37" s="59">
        <v>1029</v>
      </c>
      <c r="NI37" s="59">
        <v>630</v>
      </c>
      <c r="NJ37" s="61"/>
      <c r="NK37" s="59">
        <v>356</v>
      </c>
      <c r="NM37" s="61"/>
      <c r="NN37" s="61"/>
      <c r="NO37" s="61"/>
      <c r="NP37" s="61"/>
      <c r="NQ37" s="59">
        <v>18</v>
      </c>
      <c r="NS37" s="59">
        <v>19</v>
      </c>
      <c r="NT37" s="61"/>
      <c r="NU37" s="61"/>
      <c r="NV37" s="61"/>
      <c r="NW37" s="61"/>
      <c r="NX37" s="61"/>
      <c r="NY37" s="61"/>
      <c r="NZ37" s="61"/>
      <c r="OA37" s="61"/>
      <c r="OB37" s="61"/>
      <c r="OC37" s="61"/>
      <c r="OD37" s="61"/>
      <c r="OE37" s="61"/>
      <c r="OF37" s="61"/>
      <c r="OG37" s="61"/>
      <c r="OH37" s="61"/>
      <c r="OI37" s="61"/>
      <c r="OJ37" s="61"/>
      <c r="OK37" s="61"/>
      <c r="OL37" s="61"/>
      <c r="OM37" s="61"/>
      <c r="ON37" s="61"/>
      <c r="OO37" s="61"/>
      <c r="OP37" s="61"/>
      <c r="OQ37" s="61"/>
      <c r="OR37" s="61"/>
      <c r="OS37" s="61"/>
      <c r="OT37" s="61"/>
      <c r="OU37" s="61"/>
      <c r="OV37" s="61"/>
      <c r="OW37" s="61"/>
      <c r="OX37" s="61"/>
      <c r="OY37" s="61"/>
      <c r="OZ37" s="61"/>
      <c r="PA37" s="61"/>
      <c r="PB37" s="61"/>
      <c r="PC37" s="61"/>
      <c r="PD37" s="61"/>
      <c r="PE37" s="61"/>
      <c r="PF37" s="61"/>
      <c r="PG37" s="61"/>
      <c r="PH37" s="61"/>
      <c r="PI37" s="61"/>
      <c r="PJ37" s="61"/>
      <c r="PK37" s="61"/>
      <c r="PL37" s="61"/>
      <c r="PM37" s="61"/>
      <c r="PN37" s="61"/>
      <c r="PO37" s="61"/>
      <c r="PP37" s="61"/>
      <c r="PQ37" s="61"/>
      <c r="PR37" s="61"/>
      <c r="PS37" s="61"/>
      <c r="PT37" s="61"/>
      <c r="PU37" s="61"/>
      <c r="PV37" s="61"/>
      <c r="PW37" s="61"/>
      <c r="PX37" s="61"/>
      <c r="PY37" s="61"/>
      <c r="PZ37" s="61"/>
      <c r="QA37" s="61"/>
      <c r="QB37" s="61"/>
      <c r="QC37" s="61"/>
      <c r="QD37" s="61"/>
      <c r="QE37" s="61"/>
      <c r="QF37" s="61"/>
      <c r="QG37" s="61"/>
      <c r="QH37" s="61"/>
      <c r="QI37" s="61"/>
      <c r="QJ37" s="61"/>
      <c r="QK37" s="61"/>
      <c r="QL37" s="61"/>
      <c r="QM37" s="61"/>
      <c r="QN37" s="61"/>
      <c r="QO37" s="61"/>
      <c r="QP37" s="61"/>
      <c r="QQ37" s="61"/>
      <c r="QR37" s="61">
        <v>246</v>
      </c>
      <c r="QS37" s="61"/>
      <c r="QT37" s="61"/>
      <c r="QU37" s="59">
        <v>201</v>
      </c>
      <c r="QV37" s="59">
        <v>180</v>
      </c>
      <c r="QW37" s="59">
        <v>177</v>
      </c>
      <c r="QX37" s="61"/>
      <c r="QY37" s="59">
        <v>246</v>
      </c>
      <c r="RA37" s="61"/>
      <c r="RD37" s="61"/>
      <c r="RE37" s="59">
        <v>41</v>
      </c>
      <c r="RG37" s="59">
        <v>70</v>
      </c>
      <c r="RH37" s="61"/>
      <c r="RI37" s="61"/>
      <c r="RJ37" s="61"/>
      <c r="RK37" s="61"/>
      <c r="RL37" s="61"/>
      <c r="RM37" s="61"/>
      <c r="RN37" s="61"/>
      <c r="RO37" s="61"/>
      <c r="RP37" s="61"/>
      <c r="RQ37" s="61"/>
      <c r="RR37" s="61"/>
      <c r="RS37" s="61"/>
      <c r="RT37" s="61"/>
      <c r="RU37" s="61"/>
      <c r="RV37" s="61"/>
      <c r="RW37" s="61"/>
      <c r="RX37" s="61"/>
      <c r="RY37" s="61"/>
      <c r="RZ37" s="61"/>
      <c r="SA37" s="61"/>
      <c r="SB37" s="61"/>
      <c r="SC37" s="61"/>
      <c r="SD37" s="61"/>
      <c r="SE37" s="61"/>
      <c r="SF37" s="61"/>
      <c r="SG37" s="61"/>
      <c r="SH37" s="61"/>
      <c r="SI37" s="61"/>
      <c r="SJ37" s="61"/>
      <c r="SK37" s="61"/>
      <c r="SL37" s="61"/>
      <c r="SM37" s="61"/>
      <c r="SN37" s="61"/>
      <c r="SO37" s="61"/>
      <c r="SP37" s="61"/>
      <c r="SQ37" s="61"/>
      <c r="SR37" s="61"/>
      <c r="SS37" s="61"/>
      <c r="ST37" s="61"/>
      <c r="SU37" s="61"/>
      <c r="SV37" s="61"/>
      <c r="SW37" s="61"/>
      <c r="SX37" s="61"/>
      <c r="SY37" s="61"/>
      <c r="SZ37" s="61"/>
      <c r="TA37" s="61"/>
      <c r="TB37" s="61"/>
      <c r="TC37" s="66"/>
      <c r="TD37" s="66"/>
      <c r="TE37" s="66"/>
      <c r="TF37" s="66"/>
      <c r="TG37" s="66"/>
      <c r="TH37" s="66"/>
      <c r="TI37" s="66"/>
      <c r="TJ37" s="66"/>
      <c r="TK37" s="66"/>
      <c r="TL37" s="66"/>
      <c r="TM37" s="59">
        <v>1694</v>
      </c>
      <c r="TN37" s="59">
        <v>617</v>
      </c>
      <c r="TO37" s="61"/>
      <c r="TP37" s="61"/>
      <c r="TR37" s="61"/>
      <c r="TS37" s="61"/>
      <c r="TT37" s="61"/>
      <c r="TU37" s="61"/>
      <c r="TV37" s="61"/>
      <c r="TW37" s="61"/>
      <c r="TX37" s="61"/>
      <c r="TY37" s="61"/>
      <c r="TZ37" s="61"/>
      <c r="UA37" s="61"/>
      <c r="UB37" s="61"/>
      <c r="UC37" s="61"/>
      <c r="UD37" s="61"/>
      <c r="UE37" s="61"/>
      <c r="UF37" s="61"/>
      <c r="UG37" s="61"/>
      <c r="UH37" s="61"/>
      <c r="UI37" s="61"/>
      <c r="UJ37" s="61"/>
      <c r="UK37" s="61"/>
      <c r="UL37" s="61"/>
      <c r="UM37" s="61"/>
      <c r="UN37" s="61"/>
      <c r="UO37" s="61"/>
      <c r="UP37" s="61"/>
      <c r="UQ37" s="61"/>
      <c r="UR37" s="61"/>
      <c r="US37" s="61"/>
      <c r="UT37" s="61"/>
      <c r="UU37" s="61"/>
      <c r="UV37" s="61"/>
      <c r="UW37" s="61"/>
      <c r="UX37" s="61"/>
      <c r="UY37" s="61"/>
      <c r="UZ37" s="61"/>
      <c r="VA37" s="61"/>
      <c r="VB37" s="61"/>
      <c r="VC37" s="61"/>
      <c r="VD37" s="61"/>
      <c r="VE37" s="61"/>
      <c r="VF37" s="61"/>
      <c r="VG37" s="61"/>
      <c r="VH37" s="61"/>
      <c r="VI37" s="61"/>
      <c r="VJ37" s="61"/>
      <c r="VK37" s="61"/>
      <c r="VL37" s="61"/>
      <c r="VM37" s="61"/>
      <c r="VN37" s="61"/>
      <c r="VO37" s="61"/>
      <c r="VP37" s="61"/>
      <c r="VQ37" s="61"/>
      <c r="VR37" s="61"/>
      <c r="VS37" s="61"/>
      <c r="VT37" s="61"/>
      <c r="VU37" s="61"/>
      <c r="VV37" s="61"/>
      <c r="VW37" s="61"/>
      <c r="VX37" s="61"/>
      <c r="VY37" s="61"/>
      <c r="VZ37" s="61"/>
      <c r="WA37" s="61"/>
      <c r="WB37" s="61"/>
      <c r="WC37" s="61"/>
      <c r="WD37" s="61"/>
      <c r="WE37" s="61"/>
      <c r="WF37" s="61"/>
      <c r="WG37" s="61"/>
      <c r="WH37" s="61"/>
      <c r="WI37" s="61"/>
      <c r="WJ37" s="61"/>
      <c r="WK37" s="61"/>
      <c r="WL37" s="61"/>
      <c r="WM37" s="61"/>
      <c r="WN37" s="61"/>
      <c r="WO37" s="61"/>
      <c r="WP37" s="61"/>
      <c r="WQ37" s="61"/>
      <c r="WR37" s="61"/>
      <c r="WS37" s="61"/>
      <c r="WT37" s="61"/>
      <c r="WU37" s="61"/>
      <c r="WV37" s="61"/>
      <c r="WW37" s="61"/>
      <c r="WX37" s="61"/>
      <c r="WY37" s="61"/>
      <c r="WZ37" s="61"/>
      <c r="XA37" s="61"/>
      <c r="XB37" s="61"/>
      <c r="XC37" s="61"/>
      <c r="XD37" s="61"/>
      <c r="XE37" s="61"/>
      <c r="XF37" s="61"/>
      <c r="XG37" s="61"/>
      <c r="XH37" s="61"/>
      <c r="XI37" s="61"/>
      <c r="XJ37" s="61"/>
      <c r="XK37" s="61"/>
      <c r="XL37" s="61"/>
      <c r="XM37" s="61"/>
      <c r="XQ37" s="59">
        <v>5</v>
      </c>
      <c r="XT37" s="61"/>
      <c r="XU37" s="61"/>
      <c r="XV37" s="61"/>
      <c r="XW37" s="61"/>
      <c r="XX37" s="61"/>
      <c r="XY37" s="61"/>
      <c r="XZ37" s="61"/>
      <c r="YA37" s="61"/>
      <c r="YB37" s="61"/>
      <c r="YC37" s="61"/>
      <c r="YD37" s="61"/>
      <c r="YE37" s="61"/>
      <c r="YF37" s="61"/>
      <c r="YG37" s="61"/>
      <c r="YH37" s="61"/>
      <c r="YI37" s="61"/>
      <c r="YJ37" s="61"/>
      <c r="YK37" s="61"/>
      <c r="YL37" s="61"/>
      <c r="YM37" s="61"/>
      <c r="YN37" s="61"/>
      <c r="YO37" s="61"/>
      <c r="YP37" s="61"/>
      <c r="YQ37" s="61"/>
      <c r="YR37" s="61"/>
      <c r="YS37" s="61"/>
      <c r="YT37" s="61"/>
      <c r="YU37" s="61"/>
      <c r="YV37" s="61"/>
      <c r="YW37" s="61"/>
      <c r="YX37" s="61"/>
      <c r="YY37" s="61"/>
      <c r="YZ37" s="61"/>
      <c r="ZA37" s="61"/>
      <c r="ZB37" s="61"/>
      <c r="ZC37" s="61"/>
      <c r="ZD37" s="61"/>
      <c r="ZE37" s="61"/>
      <c r="ZF37" s="61"/>
      <c r="ZG37" s="61"/>
      <c r="ZH37" s="61"/>
      <c r="ZI37" s="61"/>
      <c r="ZJ37" s="61"/>
      <c r="ZK37" s="61"/>
      <c r="ZL37" s="61"/>
      <c r="ZM37" s="61"/>
      <c r="ZN37" s="61"/>
      <c r="ZO37" s="61"/>
      <c r="ZP37" s="61"/>
      <c r="ZQ37" s="61"/>
      <c r="ZR37" s="62"/>
      <c r="ZS37" s="62"/>
      <c r="ZT37" s="59">
        <v>15.2</v>
      </c>
      <c r="ZU37" s="59">
        <v>14.4</v>
      </c>
      <c r="ZV37" s="59">
        <v>13.4</v>
      </c>
      <c r="ZW37" s="61"/>
      <c r="ZX37" s="59">
        <v>11.8</v>
      </c>
      <c r="AAA37" s="59">
        <v>10.7</v>
      </c>
      <c r="AAD37" s="59">
        <v>8.6</v>
      </c>
      <c r="AAF37" s="59">
        <v>10.5</v>
      </c>
      <c r="AAI37" s="59">
        <v>10</v>
      </c>
      <c r="AAO37" s="62"/>
      <c r="AAP37" s="62"/>
      <c r="AAQ37" s="62"/>
      <c r="AAR37" s="62"/>
      <c r="AAS37" s="62"/>
      <c r="AAT37" s="62"/>
      <c r="AAU37" s="62"/>
      <c r="AAV37" s="62"/>
      <c r="AAW37" s="62"/>
      <c r="ABM37" s="59">
        <v>3.9</v>
      </c>
      <c r="ABN37" s="59">
        <v>4.0999999999999996</v>
      </c>
      <c r="ABO37" s="59">
        <v>3.7</v>
      </c>
      <c r="ABQ37" s="59">
        <v>3.9</v>
      </c>
      <c r="ABT37" s="59">
        <v>8.4</v>
      </c>
      <c r="ABW37" s="59">
        <v>7.2</v>
      </c>
      <c r="ABY37" s="59">
        <v>8.3000000000000007</v>
      </c>
      <c r="ACB37" s="59">
        <v>12.1</v>
      </c>
      <c r="AEU37" s="62"/>
      <c r="AEV37" s="62"/>
      <c r="AEW37" s="62"/>
      <c r="AEX37" s="62"/>
      <c r="AEY37" s="59">
        <v>3.9</v>
      </c>
      <c r="AFA37" s="64" t="s">
        <v>2490</v>
      </c>
      <c r="AFD37" s="59">
        <v>3.5</v>
      </c>
      <c r="AGG37" s="59">
        <v>515</v>
      </c>
      <c r="AGH37" s="59">
        <v>311</v>
      </c>
      <c r="AGI37" s="59">
        <v>288</v>
      </c>
      <c r="AGK37" s="59">
        <v>381</v>
      </c>
      <c r="AGQ37" s="59">
        <v>187</v>
      </c>
      <c r="AGS37" s="59">
        <v>326</v>
      </c>
      <c r="AHG37" s="61"/>
      <c r="AHH37" s="61"/>
      <c r="AHI37" s="61"/>
      <c r="AHJ37" s="61"/>
      <c r="AHK37" s="61"/>
      <c r="AHL37" s="61"/>
      <c r="AHM37" s="61"/>
      <c r="AHN37" s="61"/>
      <c r="AHO37" s="61"/>
      <c r="AHP37" s="61"/>
      <c r="AHQ37" s="61"/>
      <c r="AHR37" s="61"/>
      <c r="AHS37" s="61"/>
      <c r="AHT37" s="61"/>
      <c r="AHU37" s="61"/>
      <c r="AHV37" s="61"/>
      <c r="AHW37" s="61"/>
      <c r="AHX37" s="61"/>
      <c r="AHY37" s="61"/>
      <c r="AHZ37" s="61"/>
      <c r="AIA37" s="61"/>
      <c r="AIB37" s="61"/>
      <c r="AIC37" s="61"/>
      <c r="AID37" s="61"/>
      <c r="AIE37" s="61"/>
      <c r="AIF37" s="61"/>
      <c r="AIG37" s="62"/>
      <c r="AIH37" s="62"/>
      <c r="AII37" s="62"/>
      <c r="AIJ37" s="59">
        <v>2082</v>
      </c>
      <c r="AJN37" s="62"/>
      <c r="AJO37" s="62"/>
      <c r="AJP37" s="62"/>
      <c r="AJQ37" s="61"/>
      <c r="AJR37" s="61"/>
      <c r="AJS37" s="61"/>
      <c r="AJT37" s="59">
        <v>1</v>
      </c>
      <c r="AJV37" s="61"/>
      <c r="AJW37" s="61"/>
      <c r="AJX37" s="61"/>
      <c r="AJY37" s="61"/>
      <c r="AJZ37" s="61"/>
      <c r="AKA37" s="61"/>
      <c r="AKB37" s="61"/>
      <c r="AKC37" s="61"/>
      <c r="AKD37" s="61"/>
      <c r="AKE37" s="61"/>
      <c r="AKF37" s="61"/>
      <c r="AKG37" s="61"/>
      <c r="AKH37" s="61"/>
      <c r="AKI37" s="61"/>
      <c r="AKJ37" s="61"/>
      <c r="AKK37" s="61"/>
      <c r="AKL37" s="61"/>
      <c r="AKM37" s="61"/>
      <c r="AKN37" s="61"/>
      <c r="AKO37" s="61"/>
      <c r="AKP37" s="61"/>
      <c r="AKQ37" s="61"/>
      <c r="AKR37" s="61"/>
      <c r="AKS37" s="61"/>
      <c r="AKT37" s="61"/>
      <c r="AKU37" s="61"/>
      <c r="AKV37" s="61"/>
      <c r="AKW37" s="61"/>
      <c r="AKX37" s="62"/>
      <c r="AKY37" s="62"/>
      <c r="AKZ37" s="64">
        <v>1400</v>
      </c>
      <c r="ALA37" s="64">
        <v>1988</v>
      </c>
      <c r="ALB37" s="64">
        <v>1758</v>
      </c>
      <c r="ALD37" s="59">
        <v>332</v>
      </c>
      <c r="ALF37" s="59">
        <v>24</v>
      </c>
      <c r="ALH37" s="59">
        <v>90</v>
      </c>
      <c r="ALI37" s="59">
        <v>99</v>
      </c>
      <c r="ALX37" s="59">
        <v>273</v>
      </c>
      <c r="ALY37" s="59">
        <v>1000</v>
      </c>
      <c r="AMB37" s="61">
        <v>892</v>
      </c>
      <c r="AMC37" s="61"/>
      <c r="AMD37" s="61"/>
      <c r="AME37" s="61"/>
      <c r="AMF37" s="61"/>
      <c r="AMG37" s="61"/>
      <c r="AMH37" s="61">
        <v>342</v>
      </c>
      <c r="AMI37" s="61"/>
      <c r="AMJ37" s="61"/>
      <c r="AMK37" s="61"/>
      <c r="AML37" s="61"/>
      <c r="AMM37" s="61"/>
      <c r="AMN37" s="61"/>
      <c r="AMO37" s="61"/>
      <c r="AMP37" s="61"/>
      <c r="AMQ37" s="61"/>
      <c r="AMR37" s="61"/>
      <c r="AMS37" s="61"/>
      <c r="AMT37" s="61"/>
      <c r="AMU37" s="61"/>
      <c r="AMV37" s="61"/>
      <c r="AMW37" s="61"/>
      <c r="AMX37" s="61"/>
      <c r="AMY37" s="61"/>
      <c r="AMZ37" s="61"/>
      <c r="ANA37" s="61"/>
      <c r="ANB37" s="61"/>
      <c r="ANC37" s="61"/>
      <c r="AND37" s="61"/>
      <c r="ANE37" s="61"/>
      <c r="ANF37" s="61"/>
      <c r="ANG37" s="61"/>
      <c r="ANH37" s="61"/>
      <c r="ANI37" s="61"/>
      <c r="ANJ37" s="61"/>
      <c r="ANK37" s="61"/>
      <c r="ANL37" s="61"/>
      <c r="ANM37" s="61"/>
      <c r="ANN37" s="61"/>
      <c r="ANO37" s="61"/>
      <c r="ANP37" s="61"/>
      <c r="ANQ37" s="61"/>
      <c r="ANR37" s="61"/>
      <c r="ANS37" s="61"/>
      <c r="ANT37" s="61"/>
      <c r="ANU37" s="61"/>
      <c r="ANV37" s="61"/>
      <c r="ANW37" s="61"/>
      <c r="ANX37" s="61"/>
      <c r="ANY37" s="61"/>
      <c r="ANZ37" s="61"/>
      <c r="AOA37" s="61"/>
      <c r="AOB37" s="61"/>
      <c r="AOC37" s="61"/>
      <c r="AOD37" s="61"/>
      <c r="AOE37" s="61"/>
      <c r="AOF37" s="61"/>
      <c r="AOG37" s="61"/>
      <c r="AOH37" s="61"/>
      <c r="AOI37" s="61"/>
      <c r="AOJ37" s="61"/>
      <c r="AOK37" s="61"/>
      <c r="AOL37" s="61"/>
      <c r="AOM37" s="61"/>
      <c r="AON37" s="61"/>
      <c r="AOO37" s="61"/>
      <c r="AOP37" s="61"/>
      <c r="AOQ37" s="61"/>
      <c r="AOR37" s="61"/>
      <c r="AOS37" s="61"/>
      <c r="AOT37" s="61"/>
      <c r="AOU37" s="61"/>
      <c r="AOV37" s="61"/>
      <c r="AOW37" s="61"/>
      <c r="AOX37" s="59">
        <v>32.5</v>
      </c>
      <c r="APB37" s="61"/>
      <c r="APC37" s="61"/>
      <c r="APD37" s="61"/>
      <c r="APE37" s="61"/>
      <c r="APF37" s="61"/>
      <c r="APG37" s="61"/>
      <c r="APH37" s="61"/>
      <c r="API37" s="61"/>
      <c r="APJ37" s="61"/>
      <c r="APK37" s="61"/>
      <c r="APL37" s="61"/>
      <c r="APM37" s="61"/>
      <c r="APN37" s="61"/>
      <c r="APO37" s="61"/>
      <c r="APP37" s="61"/>
      <c r="APQ37" s="61"/>
      <c r="APR37" s="61"/>
      <c r="APS37" s="61"/>
      <c r="APT37" s="61"/>
      <c r="APU37" s="61"/>
      <c r="APV37" s="61"/>
      <c r="APW37" s="61"/>
      <c r="APX37" s="61"/>
      <c r="APY37" s="61"/>
      <c r="APZ37" s="61"/>
      <c r="AQA37" s="61"/>
      <c r="AQB37" s="61"/>
      <c r="AQC37" s="61"/>
      <c r="AQD37" s="61"/>
      <c r="AQE37" s="61"/>
      <c r="ARA37" s="81">
        <v>200</v>
      </c>
      <c r="ARV37" s="66"/>
      <c r="ARW37" s="66"/>
      <c r="ARX37" s="66"/>
      <c r="ARY37" s="66"/>
      <c r="ARZ37" s="66"/>
      <c r="ASA37" s="66"/>
      <c r="ASB37" s="66"/>
      <c r="ASC37" s="66"/>
      <c r="ASD37" s="59">
        <v>90000</v>
      </c>
      <c r="ASE37" s="59">
        <v>123000</v>
      </c>
      <c r="ASF37" s="59">
        <v>107000</v>
      </c>
      <c r="ASG37" s="79">
        <v>99000</v>
      </c>
      <c r="ASH37" s="79"/>
      <c r="ASI37" s="79">
        <v>156000</v>
      </c>
      <c r="ASJ37" s="79"/>
      <c r="ASK37" s="79"/>
      <c r="ASL37" s="79">
        <v>239000</v>
      </c>
      <c r="ASM37" s="79"/>
      <c r="ASN37" s="79"/>
      <c r="ASO37" s="79">
        <v>86000</v>
      </c>
      <c r="ASP37" s="79"/>
      <c r="ASQ37" s="79">
        <v>61000</v>
      </c>
      <c r="ASR37" s="61"/>
      <c r="ASS37" s="61"/>
      <c r="AST37" s="61">
        <v>97000</v>
      </c>
      <c r="ASU37" s="61"/>
      <c r="ASV37" s="61"/>
      <c r="ASW37" s="61"/>
      <c r="ASX37" s="61"/>
      <c r="ASY37" s="61"/>
      <c r="ASZ37" s="61"/>
      <c r="ATA37" s="61"/>
      <c r="ATB37" s="61"/>
      <c r="ATC37" s="61"/>
      <c r="ATD37" s="61"/>
      <c r="ATE37" s="61"/>
      <c r="ATF37" s="61"/>
      <c r="ATG37" s="61"/>
      <c r="ATH37" s="61"/>
      <c r="ATI37" s="61"/>
      <c r="ATJ37" s="61"/>
      <c r="ATK37" s="61"/>
      <c r="ATL37" s="61"/>
      <c r="ATM37" s="61"/>
      <c r="ATN37" s="61"/>
      <c r="ATO37" s="61"/>
      <c r="ATP37" s="61"/>
      <c r="ATQ37" s="62"/>
      <c r="ATR37" s="62"/>
      <c r="ATS37" s="62"/>
      <c r="ATT37" s="62"/>
      <c r="ATU37" s="62"/>
      <c r="ATV37" s="61"/>
      <c r="ATW37" s="61"/>
      <c r="ATX37" s="61"/>
      <c r="ATY37" s="61"/>
      <c r="ATZ37" s="59">
        <v>66</v>
      </c>
      <c r="AUI37" s="61"/>
      <c r="AUJ37" s="61"/>
      <c r="AUK37" s="61"/>
      <c r="AUL37" s="61"/>
      <c r="AUM37" s="61"/>
      <c r="AUN37" s="61"/>
      <c r="AUO37" s="61"/>
      <c r="AUP37" s="61"/>
      <c r="AUQ37" s="61"/>
      <c r="AUR37" s="61"/>
      <c r="AUS37" s="61"/>
      <c r="AUT37" s="61"/>
      <c r="AUU37" s="61"/>
      <c r="AUV37" s="61"/>
      <c r="AUW37" s="61"/>
      <c r="AUX37" s="61"/>
      <c r="AUY37" s="61"/>
      <c r="AUZ37" s="61"/>
      <c r="AVA37" s="61"/>
      <c r="AVB37" s="61"/>
      <c r="AVC37" s="61"/>
      <c r="AVD37" s="61"/>
      <c r="AVE37" s="61"/>
      <c r="AVF37" s="61"/>
      <c r="AVG37" s="61"/>
      <c r="AVH37" s="61"/>
      <c r="AVI37" s="61"/>
      <c r="AVJ37" s="61"/>
      <c r="AVK37" s="61"/>
      <c r="AVL37" s="61"/>
      <c r="AVM37" s="61"/>
      <c r="AVN37" s="61"/>
      <c r="AVO37" s="61"/>
      <c r="AVP37" s="61"/>
      <c r="AVQ37" s="61"/>
      <c r="AVR37" s="61"/>
      <c r="AVS37" s="61"/>
      <c r="AVT37" s="61"/>
      <c r="AVU37" s="61"/>
      <c r="AVV37" s="61"/>
      <c r="AVW37" s="61"/>
      <c r="AVX37" s="61"/>
      <c r="AVY37" s="61"/>
      <c r="AVZ37" s="61"/>
      <c r="AWA37" s="61"/>
      <c r="AWB37" s="61"/>
      <c r="AWC37" s="61"/>
      <c r="AWD37" s="61"/>
      <c r="AWE37" s="61"/>
      <c r="AWF37" s="61"/>
      <c r="AWG37" s="61"/>
      <c r="AWH37" s="61"/>
      <c r="AWI37" s="61"/>
      <c r="AWJ37" s="61"/>
      <c r="AWK37" s="61"/>
      <c r="AWL37" s="61"/>
      <c r="AWM37" s="61"/>
      <c r="AWN37" s="61"/>
      <c r="AWO37" s="61"/>
      <c r="AWP37" s="61"/>
      <c r="AWQ37" s="61"/>
      <c r="AWR37" s="61">
        <v>25</v>
      </c>
      <c r="AWS37" s="61"/>
      <c r="AWT37" s="61">
        <v>22</v>
      </c>
      <c r="AWU37" s="61"/>
      <c r="AWV37" s="61"/>
      <c r="AWW37" s="61"/>
      <c r="AWX37" s="61"/>
      <c r="AWY37" s="61"/>
      <c r="AWZ37" s="61"/>
      <c r="AXA37" s="61"/>
      <c r="AXB37" s="61"/>
      <c r="AXC37" s="61"/>
      <c r="AXD37" s="61"/>
      <c r="AXE37" s="61"/>
      <c r="AXF37" s="61"/>
      <c r="AXG37" s="59">
        <v>0.3</v>
      </c>
      <c r="AXH37" s="59">
        <v>0.3</v>
      </c>
      <c r="BER37" s="61"/>
      <c r="BES37" s="61"/>
      <c r="BGD37" s="59">
        <v>141.5</v>
      </c>
      <c r="BHJ37" s="59">
        <v>4.4000000000000004</v>
      </c>
      <c r="BKI37" s="59">
        <v>2.15</v>
      </c>
      <c r="BKJ37" s="59">
        <v>2.5499999999999998</v>
      </c>
      <c r="BKK37" s="59">
        <v>1.28</v>
      </c>
      <c r="BKL37" s="77" t="s">
        <v>3</v>
      </c>
      <c r="BKP37" s="59">
        <v>39.5</v>
      </c>
      <c r="BKQ37" s="59">
        <v>38.700000000000003</v>
      </c>
      <c r="BMK37" s="59">
        <v>0.2</v>
      </c>
      <c r="BMS37" s="59">
        <v>290</v>
      </c>
      <c r="BOA37" s="59">
        <v>34</v>
      </c>
      <c r="BOC37" s="59">
        <v>1</v>
      </c>
      <c r="BOD37" s="59">
        <v>19</v>
      </c>
      <c r="BOE37" s="59">
        <v>1</v>
      </c>
      <c r="BOG37" s="59">
        <v>14</v>
      </c>
      <c r="BOM37" s="59">
        <v>1</v>
      </c>
      <c r="BOS37" s="59">
        <v>1</v>
      </c>
      <c r="BUG37" s="59">
        <v>1</v>
      </c>
      <c r="BUM37" s="59">
        <v>1</v>
      </c>
      <c r="BXF37" s="59">
        <v>1</v>
      </c>
      <c r="BXJ37" s="59">
        <v>1</v>
      </c>
      <c r="BXO37" s="59">
        <v>1</v>
      </c>
      <c r="BYJ37" s="65"/>
      <c r="BYK37" s="59">
        <v>0</v>
      </c>
      <c r="BYY37" s="59">
        <v>0</v>
      </c>
      <c r="BZL37" s="59">
        <v>0</v>
      </c>
      <c r="BZN37" s="59">
        <v>3</v>
      </c>
      <c r="BZQ37" s="59">
        <v>1</v>
      </c>
      <c r="BZS37" s="71">
        <v>29</v>
      </c>
      <c r="BZT37" s="59">
        <v>999</v>
      </c>
      <c r="BZU37" s="59">
        <v>0</v>
      </c>
      <c r="BZV37" s="59">
        <v>999</v>
      </c>
      <c r="BZW37" s="59">
        <v>5</v>
      </c>
      <c r="CAJ37" s="59">
        <v>10</v>
      </c>
      <c r="CAK37" s="59">
        <v>1</v>
      </c>
      <c r="CAM37" s="59">
        <v>1</v>
      </c>
      <c r="CAO37" s="59">
        <v>1</v>
      </c>
      <c r="CAP37" s="59">
        <v>0</v>
      </c>
      <c r="CAQ37" s="59">
        <v>0</v>
      </c>
      <c r="CAR37" s="59">
        <v>0</v>
      </c>
      <c r="CAS37" s="59">
        <v>4</v>
      </c>
      <c r="CFI37" s="59">
        <v>1</v>
      </c>
      <c r="CFK37" s="59">
        <v>1</v>
      </c>
      <c r="CFL37" s="59">
        <v>0</v>
      </c>
      <c r="CFM37" s="59">
        <v>0</v>
      </c>
      <c r="CFN37" s="59">
        <v>0</v>
      </c>
      <c r="CFO37" s="59">
        <v>4</v>
      </c>
      <c r="CNU37" s="72">
        <v>100</v>
      </c>
      <c r="CNV37" s="59">
        <v>1</v>
      </c>
      <c r="CNY37" s="59">
        <v>1</v>
      </c>
      <c r="CNZ37" s="59">
        <v>2</v>
      </c>
      <c r="COA37" s="59">
        <v>1</v>
      </c>
      <c r="COB37" s="59">
        <v>0</v>
      </c>
      <c r="COC37" s="59">
        <v>0</v>
      </c>
      <c r="COD37" s="59">
        <v>4</v>
      </c>
      <c r="DOE37" s="59">
        <v>1</v>
      </c>
      <c r="DOF37" s="71">
        <v>29</v>
      </c>
      <c r="DOG37" s="59">
        <v>999</v>
      </c>
      <c r="DOH37" s="59">
        <v>0</v>
      </c>
      <c r="DOI37" s="59">
        <v>999</v>
      </c>
      <c r="DOJ37" s="59">
        <v>6</v>
      </c>
      <c r="FFH37" s="69">
        <v>17</v>
      </c>
      <c r="FFI37" s="59">
        <v>15</v>
      </c>
      <c r="FFJ37" s="59">
        <v>0</v>
      </c>
      <c r="FFK37" s="59">
        <v>999</v>
      </c>
      <c r="FFL37" s="59">
        <v>6</v>
      </c>
      <c r="FGR37" s="59">
        <v>400</v>
      </c>
      <c r="FGS37" s="72">
        <v>1</v>
      </c>
      <c r="FGV37" s="59">
        <v>1</v>
      </c>
      <c r="FGW37" s="59">
        <v>8</v>
      </c>
      <c r="FGX37" s="59">
        <v>15</v>
      </c>
      <c r="FGY37" s="59">
        <v>8</v>
      </c>
      <c r="FGZ37" s="59">
        <v>0</v>
      </c>
      <c r="FHA37" s="59">
        <v>3</v>
      </c>
      <c r="GEK37" s="59">
        <v>1</v>
      </c>
      <c r="GEL37" s="69">
        <v>17</v>
      </c>
      <c r="GEM37" s="59">
        <v>15</v>
      </c>
      <c r="GEN37" s="59">
        <v>0</v>
      </c>
      <c r="GEO37" s="59">
        <v>999</v>
      </c>
      <c r="GEP37" s="59">
        <v>5</v>
      </c>
      <c r="GYL37" s="59">
        <v>1</v>
      </c>
      <c r="GYM37" s="59">
        <v>1</v>
      </c>
      <c r="GYR37" s="59">
        <v>1</v>
      </c>
      <c r="HBE37" s="59">
        <v>1</v>
      </c>
      <c r="HBS37" s="59">
        <v>1</v>
      </c>
      <c r="HCA37" s="59">
        <v>1</v>
      </c>
      <c r="HCD37" s="59">
        <v>1</v>
      </c>
      <c r="HCM37" s="59">
        <v>1</v>
      </c>
      <c r="HCS37" s="59">
        <v>1</v>
      </c>
      <c r="HDY37" s="59">
        <v>50</v>
      </c>
      <c r="HEH37" s="59">
        <v>1</v>
      </c>
      <c r="HGG37" s="59">
        <v>1</v>
      </c>
      <c r="HHB37" s="59">
        <v>1</v>
      </c>
      <c r="HHL37" s="59">
        <v>1</v>
      </c>
      <c r="HIQ37" s="59">
        <v>1</v>
      </c>
      <c r="HJA37" s="59">
        <v>1</v>
      </c>
      <c r="HMO37" s="59">
        <v>1850</v>
      </c>
      <c r="HMP37" s="59">
        <v>1</v>
      </c>
      <c r="HMS37" s="59">
        <v>1</v>
      </c>
      <c r="HMT37" s="59">
        <v>1</v>
      </c>
      <c r="HMY37" s="59">
        <v>1</v>
      </c>
      <c r="HMZ37" s="59">
        <v>1</v>
      </c>
    </row>
    <row r="38" spans="1:3055 3099:3979 4104:5091 5209:5798" s="59" customFormat="1" x14ac:dyDescent="0.25">
      <c r="A38" s="59">
        <v>98008326</v>
      </c>
      <c r="B38" s="60" t="s">
        <v>4190</v>
      </c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2"/>
      <c r="GY38" s="62"/>
      <c r="GZ38" s="62"/>
      <c r="HA38" s="62"/>
      <c r="HB38" s="62"/>
      <c r="HC38" s="62"/>
      <c r="HD38" s="62"/>
      <c r="HE38" s="59">
        <v>6000</v>
      </c>
      <c r="HP38" s="62"/>
      <c r="HQ38" s="59">
        <v>11400</v>
      </c>
      <c r="HR38" s="61"/>
      <c r="HS38" s="61"/>
      <c r="HT38" s="61"/>
      <c r="HU38" s="61"/>
      <c r="HV38" s="61"/>
      <c r="HW38" s="61"/>
      <c r="HX38" s="61"/>
      <c r="HY38" s="61"/>
      <c r="HZ38" s="61"/>
      <c r="IA38" s="61"/>
      <c r="IB38" s="61"/>
      <c r="IC38" s="61"/>
      <c r="ID38" s="61"/>
      <c r="IE38" s="61"/>
      <c r="IF38" s="61"/>
      <c r="IG38" s="61"/>
      <c r="IH38" s="61"/>
      <c r="II38" s="61"/>
      <c r="IJ38" s="61"/>
      <c r="IK38" s="61"/>
      <c r="IL38" s="61"/>
      <c r="IM38" s="61"/>
      <c r="IN38" s="61"/>
      <c r="IO38" s="61"/>
      <c r="IP38" s="61"/>
      <c r="IQ38" s="61"/>
      <c r="IR38" s="61"/>
      <c r="IS38" s="61"/>
      <c r="IT38" s="61"/>
      <c r="IU38" s="61"/>
      <c r="IV38" s="61"/>
      <c r="IW38" s="61"/>
      <c r="IX38" s="61"/>
      <c r="JA38" s="61"/>
      <c r="JB38" s="61"/>
      <c r="JC38" s="61"/>
      <c r="JD38" s="61"/>
      <c r="JE38" s="61"/>
      <c r="JF38" s="61"/>
      <c r="JG38" s="61"/>
      <c r="JH38" s="61"/>
      <c r="JJ38" s="61"/>
      <c r="JK38" s="61"/>
      <c r="JL38" s="59">
        <v>28</v>
      </c>
      <c r="JP38" s="61"/>
      <c r="JR38" s="61"/>
      <c r="JS38" s="61"/>
      <c r="JT38" s="61"/>
      <c r="JU38" s="61"/>
      <c r="JV38" s="61"/>
      <c r="JW38" s="61"/>
      <c r="JX38" s="61"/>
      <c r="JY38" s="61"/>
      <c r="JZ38" s="61"/>
      <c r="KA38" s="61"/>
      <c r="KB38" s="61"/>
      <c r="KC38" s="61"/>
      <c r="KD38" s="61"/>
      <c r="KE38" s="61"/>
      <c r="KF38" s="61"/>
      <c r="KG38" s="61"/>
      <c r="KH38" s="61"/>
      <c r="KI38" s="61"/>
      <c r="KJ38" s="61"/>
      <c r="KK38" s="61"/>
      <c r="KL38" s="61"/>
      <c r="KM38" s="61"/>
      <c r="KN38" s="61"/>
      <c r="KO38" s="61"/>
      <c r="KP38" s="61"/>
      <c r="KQ38" s="61"/>
      <c r="KR38" s="61"/>
      <c r="KS38" s="61"/>
      <c r="KT38" s="61"/>
      <c r="KU38" s="61"/>
      <c r="KV38" s="61"/>
      <c r="KW38" s="61"/>
      <c r="KX38" s="61"/>
      <c r="KY38" s="61"/>
      <c r="KZ38" s="61"/>
      <c r="LA38" s="61"/>
      <c r="LB38" s="61"/>
      <c r="LC38" s="61"/>
      <c r="LD38" s="61"/>
      <c r="LE38" s="61"/>
      <c r="LF38" s="61"/>
      <c r="LG38" s="61"/>
      <c r="LH38" s="61"/>
      <c r="LI38" s="61"/>
      <c r="LJ38" s="61"/>
      <c r="LK38" s="61"/>
      <c r="LL38" s="61"/>
      <c r="LM38" s="61"/>
      <c r="LN38" s="61"/>
      <c r="LO38" s="61"/>
      <c r="LP38" s="61"/>
      <c r="LQ38" s="61"/>
      <c r="LR38" s="61"/>
      <c r="LS38" s="61"/>
      <c r="LT38" s="61"/>
      <c r="LU38" s="61"/>
      <c r="LV38" s="61"/>
      <c r="LW38" s="61"/>
      <c r="LX38" s="61"/>
      <c r="LY38" s="61"/>
      <c r="LZ38" s="61"/>
      <c r="MA38" s="61"/>
      <c r="MB38" s="61"/>
      <c r="MC38" s="61"/>
      <c r="MD38" s="61"/>
      <c r="ME38" s="61"/>
      <c r="MF38" s="61"/>
      <c r="MG38" s="61"/>
      <c r="MH38" s="61"/>
      <c r="MI38" s="61"/>
      <c r="MJ38" s="61"/>
      <c r="MK38" s="61"/>
      <c r="ML38" s="61"/>
      <c r="MM38" s="61"/>
      <c r="MN38" s="61"/>
      <c r="MO38" s="61"/>
      <c r="MP38" s="61"/>
      <c r="MQ38" s="61"/>
      <c r="MR38" s="61"/>
      <c r="MS38" s="61"/>
      <c r="MT38" s="61"/>
      <c r="MU38" s="61"/>
      <c r="MV38" s="61"/>
      <c r="MW38" s="61"/>
      <c r="MX38" s="61"/>
      <c r="MY38" s="61"/>
      <c r="MZ38" s="61"/>
      <c r="NA38" s="61"/>
      <c r="NB38" s="61"/>
      <c r="NC38" s="61"/>
      <c r="ND38" s="61"/>
      <c r="NE38" s="61"/>
      <c r="NF38" s="61"/>
      <c r="NG38" s="61"/>
      <c r="NH38" s="61"/>
      <c r="NI38" s="61"/>
      <c r="NJ38" s="61"/>
      <c r="NK38" s="61"/>
      <c r="NL38" s="61"/>
      <c r="NM38" s="61"/>
      <c r="NN38" s="61"/>
      <c r="NO38" s="61"/>
      <c r="NP38" s="61"/>
      <c r="NQ38" s="61"/>
      <c r="NR38" s="61"/>
      <c r="NS38" s="61"/>
      <c r="NT38" s="61"/>
      <c r="NU38" s="61"/>
      <c r="NV38" s="61"/>
      <c r="NW38" s="61"/>
      <c r="NX38" s="61"/>
      <c r="NY38" s="61"/>
      <c r="NZ38" s="61"/>
      <c r="OA38" s="61"/>
      <c r="OB38" s="61"/>
      <c r="OC38" s="61"/>
      <c r="OD38" s="61"/>
      <c r="OE38" s="61"/>
      <c r="OF38" s="61"/>
      <c r="OG38" s="61"/>
      <c r="OH38" s="61"/>
      <c r="OI38" s="61"/>
      <c r="OJ38" s="61"/>
      <c r="OK38" s="61"/>
      <c r="OL38" s="61"/>
      <c r="OM38" s="61"/>
      <c r="ON38" s="61"/>
      <c r="OO38" s="61"/>
      <c r="OP38" s="61"/>
      <c r="OQ38" s="61"/>
      <c r="OR38" s="61"/>
      <c r="OS38" s="61"/>
      <c r="OT38" s="61"/>
      <c r="OU38" s="61"/>
      <c r="OV38" s="61"/>
      <c r="OW38" s="61"/>
      <c r="OX38" s="61"/>
      <c r="OY38" s="61"/>
      <c r="OZ38" s="61"/>
      <c r="PA38" s="61"/>
      <c r="PB38" s="61"/>
      <c r="PC38" s="61"/>
      <c r="PD38" s="61"/>
      <c r="PE38" s="61"/>
      <c r="PF38" s="61"/>
      <c r="PG38" s="61"/>
      <c r="PH38" s="61"/>
      <c r="PI38" s="61"/>
      <c r="PJ38" s="61"/>
      <c r="PK38" s="61"/>
      <c r="PL38" s="61"/>
      <c r="PM38" s="61"/>
      <c r="PN38" s="61"/>
      <c r="PO38" s="61"/>
      <c r="PP38" s="61"/>
      <c r="PQ38" s="61"/>
      <c r="PR38" s="61"/>
      <c r="PS38" s="61"/>
      <c r="PT38" s="61"/>
      <c r="PU38" s="61"/>
      <c r="PV38" s="61"/>
      <c r="PW38" s="61"/>
      <c r="PX38" s="61"/>
      <c r="PY38" s="61"/>
      <c r="PZ38" s="61"/>
      <c r="QA38" s="61"/>
      <c r="QB38" s="61"/>
      <c r="QC38" s="61"/>
      <c r="QD38" s="61"/>
      <c r="QE38" s="61"/>
      <c r="QF38" s="61"/>
      <c r="QG38" s="61"/>
      <c r="QH38" s="61"/>
      <c r="QI38" s="61"/>
      <c r="QJ38" s="61"/>
      <c r="QK38" s="61"/>
      <c r="QL38" s="59">
        <v>27</v>
      </c>
      <c r="QS38" s="61"/>
      <c r="QU38" s="61"/>
      <c r="QV38" s="61"/>
      <c r="QW38" s="61"/>
      <c r="QX38" s="61"/>
      <c r="QY38" s="61"/>
      <c r="QZ38" s="61"/>
      <c r="RA38" s="61"/>
      <c r="RB38" s="61"/>
      <c r="RC38" s="61"/>
      <c r="RD38" s="61"/>
      <c r="RE38" s="61"/>
      <c r="RF38" s="61"/>
      <c r="RG38" s="61"/>
      <c r="RH38" s="61"/>
      <c r="RI38" s="61"/>
      <c r="RJ38" s="61"/>
      <c r="RK38" s="61"/>
      <c r="RL38" s="61"/>
      <c r="RM38" s="61"/>
      <c r="RN38" s="61"/>
      <c r="RO38" s="61"/>
      <c r="RP38" s="61"/>
      <c r="RQ38" s="61"/>
      <c r="RR38" s="61"/>
      <c r="RS38" s="61"/>
      <c r="RT38" s="61"/>
      <c r="RU38" s="61"/>
      <c r="RV38" s="61"/>
      <c r="RW38" s="61"/>
      <c r="RX38" s="61"/>
      <c r="RY38" s="61"/>
      <c r="RZ38" s="61"/>
      <c r="SA38" s="61"/>
      <c r="SB38" s="61"/>
      <c r="SC38" s="61"/>
      <c r="SD38" s="61"/>
      <c r="SE38" s="61"/>
      <c r="SF38" s="61"/>
      <c r="SG38" s="61"/>
      <c r="SH38" s="61"/>
      <c r="SI38" s="61"/>
      <c r="SJ38" s="61"/>
      <c r="SK38" s="61"/>
      <c r="SL38" s="61"/>
      <c r="SM38" s="61"/>
      <c r="SN38" s="61"/>
      <c r="SO38" s="61"/>
      <c r="SP38" s="61"/>
      <c r="SQ38" s="61"/>
      <c r="SR38" s="61"/>
      <c r="SS38" s="61"/>
      <c r="ST38" s="61"/>
      <c r="SU38" s="61"/>
      <c r="SV38" s="61"/>
      <c r="SW38" s="61"/>
      <c r="SX38" s="61"/>
      <c r="SY38" s="61"/>
      <c r="SZ38" s="61"/>
      <c r="TA38" s="61"/>
      <c r="TB38" s="61"/>
      <c r="TC38" s="66"/>
      <c r="TD38" s="59">
        <v>249</v>
      </c>
      <c r="TK38" s="66"/>
      <c r="TM38" s="61"/>
      <c r="TN38" s="61"/>
      <c r="TO38" s="61"/>
      <c r="TP38" s="61"/>
      <c r="TQ38" s="61"/>
      <c r="TR38" s="61"/>
      <c r="TS38" s="61"/>
      <c r="TT38" s="61"/>
      <c r="TU38" s="61"/>
      <c r="TV38" s="61"/>
      <c r="TW38" s="61"/>
      <c r="TX38" s="61"/>
      <c r="TY38" s="61"/>
      <c r="TZ38" s="61"/>
      <c r="UA38" s="61"/>
      <c r="UB38" s="61"/>
      <c r="UC38" s="61"/>
      <c r="UD38" s="61"/>
      <c r="UE38" s="61"/>
      <c r="UF38" s="61"/>
      <c r="UG38" s="61"/>
      <c r="UH38" s="61"/>
      <c r="UI38" s="61"/>
      <c r="UJ38" s="61"/>
      <c r="UK38" s="61"/>
      <c r="UL38" s="61"/>
      <c r="UM38" s="61"/>
      <c r="UN38" s="61"/>
      <c r="UO38" s="61"/>
      <c r="UP38" s="61"/>
      <c r="UQ38" s="61"/>
      <c r="UR38" s="61"/>
      <c r="US38" s="61"/>
      <c r="UT38" s="61"/>
      <c r="UU38" s="61"/>
      <c r="UV38" s="61"/>
      <c r="UW38" s="61"/>
      <c r="UX38" s="61"/>
      <c r="UY38" s="61"/>
      <c r="UZ38" s="61"/>
      <c r="VA38" s="61"/>
      <c r="VB38" s="61"/>
      <c r="VC38" s="61"/>
      <c r="VD38" s="61"/>
      <c r="VE38" s="61"/>
      <c r="VF38" s="61"/>
      <c r="VG38" s="61"/>
      <c r="VH38" s="61"/>
      <c r="VI38" s="61"/>
      <c r="VJ38" s="61"/>
      <c r="VK38" s="61"/>
      <c r="VL38" s="61"/>
      <c r="VM38" s="61"/>
      <c r="VN38" s="61"/>
      <c r="VO38" s="61"/>
      <c r="VP38" s="61"/>
      <c r="VQ38" s="61"/>
      <c r="VR38" s="61"/>
      <c r="VS38" s="61"/>
      <c r="VT38" s="61"/>
      <c r="VU38" s="61"/>
      <c r="VV38" s="61"/>
      <c r="VW38" s="61"/>
      <c r="VX38" s="61"/>
      <c r="VY38" s="61"/>
      <c r="VZ38" s="61"/>
      <c r="WA38" s="61"/>
      <c r="WB38" s="61"/>
      <c r="WC38" s="61"/>
      <c r="WD38" s="61"/>
      <c r="WE38" s="61"/>
      <c r="WF38" s="61"/>
      <c r="WG38" s="61"/>
      <c r="WH38" s="61"/>
      <c r="WI38" s="61"/>
      <c r="WJ38" s="61"/>
      <c r="WK38" s="61"/>
      <c r="WL38" s="61"/>
      <c r="WM38" s="61"/>
      <c r="WN38" s="61"/>
      <c r="WO38" s="61"/>
      <c r="WP38" s="61"/>
      <c r="WQ38" s="61"/>
      <c r="WR38" s="61"/>
      <c r="WS38" s="61"/>
      <c r="WT38" s="61"/>
      <c r="WU38" s="61"/>
      <c r="WV38" s="61"/>
      <c r="WW38" s="61"/>
      <c r="WX38" s="61"/>
      <c r="WY38" s="61"/>
      <c r="WZ38" s="61"/>
      <c r="XA38" s="61"/>
      <c r="XB38" s="61"/>
      <c r="XC38" s="61"/>
      <c r="XD38" s="61"/>
      <c r="XE38" s="61"/>
      <c r="XF38" s="61"/>
      <c r="XG38" s="61"/>
      <c r="XH38" s="61"/>
      <c r="XI38" s="61"/>
      <c r="XJ38" s="61"/>
      <c r="XK38" s="61"/>
      <c r="XL38" s="59">
        <v>10</v>
      </c>
      <c r="XM38" s="61"/>
      <c r="XN38" s="61"/>
      <c r="XO38" s="61"/>
      <c r="XP38" s="61"/>
      <c r="XQ38" s="61"/>
      <c r="XR38" s="61"/>
      <c r="XS38" s="61"/>
      <c r="XT38" s="61"/>
      <c r="XU38" s="61"/>
      <c r="XV38" s="61"/>
      <c r="XW38" s="61"/>
      <c r="XX38" s="61"/>
      <c r="XY38" s="61"/>
      <c r="XZ38" s="61"/>
      <c r="YA38" s="61"/>
      <c r="YB38" s="61"/>
      <c r="YC38" s="61"/>
      <c r="YD38" s="61"/>
      <c r="YE38" s="61"/>
      <c r="YF38" s="61"/>
      <c r="YG38" s="61"/>
      <c r="YH38" s="61"/>
      <c r="YI38" s="61"/>
      <c r="YJ38" s="61"/>
      <c r="YK38" s="61"/>
      <c r="YL38" s="61"/>
      <c r="YM38" s="61"/>
      <c r="YN38" s="61"/>
      <c r="YO38" s="61"/>
      <c r="YP38" s="61"/>
      <c r="YQ38" s="61"/>
      <c r="YR38" s="61"/>
      <c r="YS38" s="61"/>
      <c r="YT38" s="61"/>
      <c r="YU38" s="61"/>
      <c r="YV38" s="61"/>
      <c r="YW38" s="61"/>
      <c r="YX38" s="61"/>
      <c r="YY38" s="61"/>
      <c r="YZ38" s="61"/>
      <c r="ZA38" s="61"/>
      <c r="ZB38" s="61"/>
      <c r="ZC38" s="61"/>
      <c r="ZD38" s="61"/>
      <c r="ZE38" s="61"/>
      <c r="ZF38" s="61"/>
      <c r="ZG38" s="61"/>
      <c r="ZH38" s="61"/>
      <c r="ZI38" s="61"/>
      <c r="ZJ38" s="61"/>
      <c r="ZK38" s="61"/>
      <c r="ZL38" s="61"/>
      <c r="ZM38" s="61"/>
      <c r="ZN38" s="61"/>
      <c r="ZO38" s="61"/>
      <c r="ZP38" s="61"/>
      <c r="ZQ38" s="61"/>
      <c r="ZR38" s="62"/>
      <c r="ZS38" s="62"/>
      <c r="ZT38" s="62"/>
      <c r="ZU38" s="62"/>
      <c r="ZV38" s="62"/>
      <c r="ZW38" s="62"/>
      <c r="ZX38" s="62"/>
      <c r="ZY38" s="62"/>
      <c r="ZZ38" s="62"/>
      <c r="AAA38" s="62"/>
      <c r="AAB38" s="62"/>
      <c r="AAC38" s="62"/>
      <c r="AAD38" s="62"/>
      <c r="AAE38" s="62"/>
      <c r="AAF38" s="62"/>
      <c r="AAG38" s="62"/>
      <c r="AAH38" s="62"/>
      <c r="AAI38" s="62"/>
      <c r="AAJ38" s="62"/>
      <c r="AAK38" s="62"/>
      <c r="AAL38" s="62"/>
      <c r="AAM38" s="62"/>
      <c r="AAN38" s="62"/>
      <c r="AAO38" s="62"/>
      <c r="AAP38" s="62"/>
      <c r="AAQ38" s="62"/>
      <c r="AAR38" s="62"/>
      <c r="AAS38" s="62"/>
      <c r="AAT38" s="62"/>
      <c r="AAU38" s="62"/>
      <c r="AAV38" s="62"/>
      <c r="AAW38" s="62"/>
      <c r="AAX38" s="61"/>
      <c r="AAY38" s="61"/>
      <c r="AAZ38" s="61"/>
      <c r="ABA38" s="61"/>
      <c r="ABB38" s="61"/>
      <c r="ABC38" s="61"/>
      <c r="ABD38" s="61"/>
      <c r="ABE38" s="61"/>
      <c r="ABF38" s="61"/>
      <c r="ABG38" s="61"/>
      <c r="ABH38" s="61"/>
      <c r="ABI38" s="61"/>
      <c r="ABJ38" s="61"/>
      <c r="ABK38" s="61"/>
      <c r="ABL38" s="61"/>
      <c r="ABM38" s="61"/>
      <c r="ABN38" s="61"/>
      <c r="ABO38" s="61"/>
      <c r="ABP38" s="61"/>
      <c r="ABQ38" s="61"/>
      <c r="ABR38" s="61"/>
      <c r="ABS38" s="61"/>
      <c r="ABT38" s="61"/>
      <c r="ABU38" s="61"/>
      <c r="ABV38" s="61"/>
      <c r="ABW38" s="61"/>
      <c r="ABX38" s="61"/>
      <c r="ABY38" s="61"/>
      <c r="ABZ38" s="61"/>
      <c r="ACA38" s="61"/>
      <c r="ACB38" s="61"/>
      <c r="ACC38" s="61"/>
      <c r="ACD38" s="61"/>
      <c r="ACE38" s="61"/>
      <c r="ACF38" s="61"/>
      <c r="ACG38" s="61"/>
      <c r="ACH38" s="61"/>
      <c r="ACI38" s="61"/>
      <c r="ACJ38" s="61"/>
      <c r="ACK38" s="61"/>
      <c r="ACL38" s="61"/>
      <c r="ACM38" s="61"/>
      <c r="ACN38" s="61"/>
      <c r="ACO38" s="61"/>
      <c r="ACP38" s="61"/>
      <c r="ACQ38" s="61"/>
      <c r="ACR38" s="61"/>
      <c r="ACS38" s="61"/>
      <c r="ACT38" s="61"/>
      <c r="ACU38" s="61"/>
      <c r="ACV38" s="61"/>
      <c r="ACW38" s="61"/>
      <c r="ACX38" s="61"/>
      <c r="ACY38" s="61"/>
      <c r="ACZ38" s="61"/>
      <c r="ADA38" s="61"/>
      <c r="ADB38" s="61"/>
      <c r="ADC38" s="61"/>
      <c r="ADD38" s="61"/>
      <c r="ADE38" s="61"/>
      <c r="ADF38" s="61"/>
      <c r="ADG38" s="61"/>
      <c r="ADH38" s="61"/>
      <c r="ADI38" s="61"/>
      <c r="ADJ38" s="61"/>
      <c r="ADK38" s="61"/>
      <c r="ADL38" s="61"/>
      <c r="ADM38" s="61"/>
      <c r="ADN38" s="61"/>
      <c r="ADO38" s="61"/>
      <c r="ADP38" s="61"/>
      <c r="ADQ38" s="61"/>
      <c r="ADR38" s="61"/>
      <c r="ADS38" s="61"/>
      <c r="ADT38" s="61"/>
      <c r="ADU38" s="61"/>
      <c r="ADV38" s="61"/>
      <c r="ADW38" s="61"/>
      <c r="ADX38" s="61"/>
      <c r="ADY38" s="61"/>
      <c r="ADZ38" s="61"/>
      <c r="AEA38" s="61"/>
      <c r="AEB38" s="61"/>
      <c r="AEC38" s="61"/>
      <c r="AED38" s="61"/>
      <c r="AEE38" s="61"/>
      <c r="AEF38" s="61"/>
      <c r="AEG38" s="61"/>
      <c r="AEH38" s="61"/>
      <c r="AEI38" s="61"/>
      <c r="AEJ38" s="61"/>
      <c r="AEK38" s="61"/>
      <c r="AEL38" s="61"/>
      <c r="AEM38" s="61"/>
      <c r="AEN38" s="61"/>
      <c r="AEO38" s="61"/>
      <c r="AEP38" s="61"/>
      <c r="AEQ38" s="61"/>
      <c r="AER38" s="61"/>
      <c r="AES38" s="61"/>
      <c r="AET38" s="61"/>
      <c r="AEU38" s="62"/>
      <c r="AEV38" s="62"/>
      <c r="AEW38" s="62"/>
      <c r="AEX38" s="62"/>
      <c r="AEY38" s="62"/>
      <c r="AEZ38" s="62"/>
      <c r="AFA38" s="62"/>
      <c r="AFB38" s="62"/>
      <c r="AFC38" s="62"/>
      <c r="AFD38" s="62"/>
      <c r="AFE38" s="62"/>
      <c r="AFF38" s="62"/>
      <c r="AFG38" s="62"/>
      <c r="AFH38" s="62"/>
      <c r="AFI38" s="62"/>
      <c r="AFJ38" s="62"/>
      <c r="AFK38" s="62"/>
      <c r="AFL38" s="62"/>
      <c r="AFM38" s="62"/>
      <c r="AFN38" s="62"/>
      <c r="AFO38" s="62"/>
      <c r="AFP38" s="62"/>
      <c r="AFQ38" s="62"/>
      <c r="AFR38" s="62"/>
      <c r="AFS38" s="62"/>
      <c r="AFT38" s="62"/>
      <c r="AFU38" s="62"/>
      <c r="AFV38" s="62"/>
      <c r="AFW38" s="62"/>
      <c r="AFX38" s="62"/>
      <c r="AFY38" s="62"/>
      <c r="AFZ38" s="62"/>
      <c r="AGA38" s="62"/>
      <c r="AGB38" s="62"/>
      <c r="AGC38" s="62"/>
      <c r="AGD38" s="62"/>
      <c r="AGE38" s="62"/>
      <c r="AGF38" s="62"/>
      <c r="AGG38" s="61"/>
      <c r="AGH38" s="61"/>
      <c r="AGI38" s="61"/>
      <c r="AGJ38" s="61"/>
      <c r="AGK38" s="61"/>
      <c r="AGL38" s="61"/>
      <c r="AGM38" s="61"/>
      <c r="AGN38" s="61"/>
      <c r="AGO38" s="61"/>
      <c r="AGP38" s="61"/>
      <c r="AGQ38" s="61"/>
      <c r="AGR38" s="61"/>
      <c r="AGS38" s="61"/>
      <c r="AGT38" s="61"/>
      <c r="AGU38" s="61"/>
      <c r="AGV38" s="61"/>
      <c r="AGW38" s="61"/>
      <c r="AGX38" s="61"/>
      <c r="AGY38" s="61"/>
      <c r="AGZ38" s="61"/>
      <c r="AHA38" s="61"/>
      <c r="AHB38" s="61"/>
      <c r="AHC38" s="61"/>
      <c r="AHD38" s="61"/>
      <c r="AHE38" s="61"/>
      <c r="AHF38" s="61"/>
      <c r="AHG38" s="61"/>
      <c r="AHH38" s="61"/>
      <c r="AHI38" s="61"/>
      <c r="AHJ38" s="61"/>
      <c r="AHK38" s="61"/>
      <c r="AHL38" s="61"/>
      <c r="AHM38" s="61"/>
      <c r="AHN38" s="61"/>
      <c r="AHO38" s="61"/>
      <c r="AHP38" s="61"/>
      <c r="AHQ38" s="61"/>
      <c r="AHR38" s="61"/>
      <c r="AHS38" s="61"/>
      <c r="AHT38" s="61"/>
      <c r="AHU38" s="61"/>
      <c r="AHV38" s="61"/>
      <c r="AHW38" s="61"/>
      <c r="AHX38" s="61"/>
      <c r="AHY38" s="61"/>
      <c r="AHZ38" s="61"/>
      <c r="AIA38" s="61"/>
      <c r="AIB38" s="61"/>
      <c r="AIC38" s="61"/>
      <c r="AID38" s="61"/>
      <c r="AIE38" s="61"/>
      <c r="AIF38" s="61"/>
      <c r="AIG38" s="62"/>
      <c r="AIH38" s="62"/>
      <c r="AII38" s="62"/>
      <c r="AIJ38" s="61"/>
      <c r="AIK38" s="61"/>
      <c r="AIL38" s="61"/>
      <c r="AIM38" s="61"/>
      <c r="AIN38" s="61"/>
      <c r="AIO38" s="61"/>
      <c r="AIP38" s="61"/>
      <c r="AIQ38" s="61"/>
      <c r="AIR38" s="61"/>
      <c r="AIS38" s="61"/>
      <c r="AIT38" s="61"/>
      <c r="AIU38" s="61"/>
      <c r="AIV38" s="61"/>
      <c r="AIW38" s="61"/>
      <c r="AIX38" s="61"/>
      <c r="AIY38" s="61"/>
      <c r="AIZ38" s="61"/>
      <c r="AJA38" s="61"/>
      <c r="AJB38" s="61"/>
      <c r="AJC38" s="61"/>
      <c r="AJD38" s="61"/>
      <c r="AJE38" s="61"/>
      <c r="AJF38" s="61"/>
      <c r="AJG38" s="61"/>
      <c r="AJH38" s="61"/>
      <c r="AJI38" s="61"/>
      <c r="AJJ38" s="61"/>
      <c r="AJK38" s="61"/>
      <c r="AJL38" s="61"/>
      <c r="AJM38" s="61"/>
      <c r="AJN38" s="62"/>
      <c r="AJO38" s="62"/>
      <c r="AJP38" s="62"/>
      <c r="AJQ38" s="61"/>
      <c r="AJR38" s="61"/>
      <c r="AJS38" s="61"/>
      <c r="AJT38" s="61"/>
      <c r="AJU38" s="61"/>
      <c r="AJV38" s="61"/>
      <c r="AJW38" s="61"/>
      <c r="AJX38" s="61"/>
      <c r="AJY38" s="61"/>
      <c r="AJZ38" s="61"/>
      <c r="AKA38" s="61"/>
      <c r="AKB38" s="61"/>
      <c r="AKC38" s="61"/>
      <c r="AKD38" s="61"/>
      <c r="AKE38" s="61"/>
      <c r="AKF38" s="61"/>
      <c r="AKG38" s="61"/>
      <c r="AKH38" s="61"/>
      <c r="AKI38" s="61"/>
      <c r="AKJ38" s="61"/>
      <c r="AKK38" s="61"/>
      <c r="AKL38" s="61"/>
      <c r="AKM38" s="61"/>
      <c r="AKN38" s="61"/>
      <c r="AKO38" s="61"/>
      <c r="AKP38" s="61"/>
      <c r="AKQ38" s="61"/>
      <c r="AKR38" s="61"/>
      <c r="AKS38" s="61"/>
      <c r="AKT38" s="61"/>
      <c r="AKU38" s="61"/>
      <c r="AKV38" s="61"/>
      <c r="AKW38" s="61"/>
      <c r="AKX38" s="62"/>
      <c r="AKY38" s="62"/>
      <c r="AKZ38" s="61"/>
      <c r="ALA38" s="61"/>
      <c r="ALB38" s="61"/>
      <c r="ALC38" s="61"/>
      <c r="ALD38" s="61"/>
      <c r="ALE38" s="61"/>
      <c r="ALF38" s="61"/>
      <c r="ALG38" s="61"/>
      <c r="ALH38" s="61"/>
      <c r="ALI38" s="61"/>
      <c r="ALJ38" s="61"/>
      <c r="ALK38" s="61"/>
      <c r="ALL38" s="61"/>
      <c r="ALM38" s="61"/>
      <c r="ALN38" s="61"/>
      <c r="ALO38" s="61"/>
      <c r="ALP38" s="61"/>
      <c r="ALQ38" s="61"/>
      <c r="ALR38" s="61"/>
      <c r="ALS38" s="61"/>
      <c r="ALT38" s="61"/>
      <c r="ALU38" s="61"/>
      <c r="ALV38" s="61"/>
      <c r="ALW38" s="61"/>
      <c r="ALX38" s="61"/>
      <c r="ALY38" s="61"/>
      <c r="ALZ38" s="61"/>
      <c r="AMA38" s="61"/>
      <c r="AMB38" s="61"/>
      <c r="AMC38" s="61"/>
      <c r="AMD38" s="61"/>
      <c r="AME38" s="61"/>
      <c r="AMF38" s="61"/>
      <c r="AMG38" s="61"/>
      <c r="AMH38" s="61"/>
      <c r="AMI38" s="61"/>
      <c r="AMJ38" s="61"/>
      <c r="AMK38" s="61"/>
      <c r="AML38" s="61"/>
      <c r="AMM38" s="61"/>
      <c r="AMN38" s="61"/>
      <c r="AMO38" s="61"/>
      <c r="AMP38" s="61"/>
      <c r="AMQ38" s="61"/>
      <c r="AMR38" s="61"/>
      <c r="AMS38" s="61"/>
      <c r="AMT38" s="61"/>
      <c r="AMU38" s="61"/>
      <c r="AMV38" s="61"/>
      <c r="AMW38" s="61"/>
      <c r="AMX38" s="61"/>
      <c r="AMY38" s="61"/>
      <c r="AMZ38" s="61"/>
      <c r="ANA38" s="61"/>
      <c r="ANB38" s="61"/>
      <c r="ANC38" s="61"/>
      <c r="AND38" s="61"/>
      <c r="ANE38" s="61"/>
      <c r="ANF38" s="61"/>
      <c r="ANG38" s="61"/>
      <c r="ANH38" s="61"/>
      <c r="ANI38" s="61"/>
      <c r="ANJ38" s="61"/>
      <c r="ANK38" s="61"/>
      <c r="ANL38" s="61"/>
      <c r="ANM38" s="61"/>
      <c r="ANN38" s="61"/>
      <c r="ANO38" s="61"/>
      <c r="ANP38" s="61"/>
      <c r="ANQ38" s="61"/>
      <c r="ANR38" s="61"/>
      <c r="ANS38" s="61"/>
      <c r="ANT38" s="61"/>
      <c r="ANU38" s="61"/>
      <c r="ANV38" s="61"/>
      <c r="ANW38" s="61"/>
      <c r="ANX38" s="61"/>
      <c r="ANY38" s="61"/>
      <c r="ANZ38" s="61"/>
      <c r="AOA38" s="61"/>
      <c r="AOB38" s="61"/>
      <c r="AOC38" s="61"/>
      <c r="AOD38" s="61"/>
      <c r="AOE38" s="61"/>
      <c r="AOF38" s="61"/>
      <c r="AOG38" s="61"/>
      <c r="AOH38" s="61"/>
      <c r="AOI38" s="61"/>
      <c r="AOJ38" s="61"/>
      <c r="AOK38" s="61"/>
      <c r="AOL38" s="61"/>
      <c r="AOM38" s="59">
        <v>25.4</v>
      </c>
      <c r="AOS38" s="61"/>
      <c r="AOX38" s="61"/>
      <c r="AOY38" s="61"/>
      <c r="AOZ38" s="61"/>
      <c r="APA38" s="61"/>
      <c r="APB38" s="61"/>
      <c r="APC38" s="61"/>
      <c r="APD38" s="61"/>
      <c r="APE38" s="61"/>
      <c r="APF38" s="61"/>
      <c r="APG38" s="61"/>
      <c r="APH38" s="61"/>
      <c r="API38" s="61"/>
      <c r="APJ38" s="61"/>
      <c r="APK38" s="61"/>
      <c r="APL38" s="61"/>
      <c r="APM38" s="61"/>
      <c r="APN38" s="61"/>
      <c r="APO38" s="61"/>
      <c r="APP38" s="61"/>
      <c r="APQ38" s="61"/>
      <c r="APR38" s="61"/>
      <c r="APS38" s="61"/>
      <c r="APT38" s="61"/>
      <c r="APU38" s="61"/>
      <c r="APV38" s="61"/>
      <c r="APW38" s="61"/>
      <c r="APX38" s="61"/>
      <c r="APY38" s="61"/>
      <c r="APZ38" s="61"/>
      <c r="AQA38" s="61"/>
      <c r="AQB38" s="61"/>
      <c r="AQC38" s="61"/>
      <c r="AQD38" s="61"/>
      <c r="AQE38" s="61"/>
      <c r="ARV38" s="66"/>
      <c r="ARW38" s="66"/>
      <c r="ARX38" s="66"/>
      <c r="ARY38" s="66"/>
      <c r="ARZ38" s="66"/>
      <c r="ASA38" s="66"/>
      <c r="ASB38" s="66"/>
      <c r="ASC38" s="66"/>
      <c r="ASD38" s="61"/>
      <c r="ASE38" s="61"/>
      <c r="ASF38" s="61"/>
      <c r="ASG38" s="61"/>
      <c r="ASH38" s="61"/>
      <c r="ASI38" s="61"/>
      <c r="ASJ38" s="61"/>
      <c r="ASK38" s="61"/>
      <c r="ASL38" s="61"/>
      <c r="ASM38" s="61"/>
      <c r="ASN38" s="61"/>
      <c r="ASO38" s="61"/>
      <c r="ASP38" s="61"/>
      <c r="ASQ38" s="61"/>
      <c r="ASR38" s="61"/>
      <c r="ASS38" s="61"/>
      <c r="AST38" s="61"/>
      <c r="ASU38" s="61"/>
      <c r="ASV38" s="61"/>
      <c r="ASW38" s="61"/>
      <c r="ASX38" s="61"/>
      <c r="ASY38" s="61"/>
      <c r="ASZ38" s="61"/>
      <c r="ATQ38" s="62"/>
      <c r="ATR38" s="62"/>
      <c r="ATS38" s="62"/>
      <c r="ATT38" s="62"/>
      <c r="ATU38" s="62"/>
      <c r="ATV38" s="61"/>
      <c r="ATW38" s="61"/>
      <c r="ATX38" s="61"/>
      <c r="ATY38" s="61"/>
      <c r="ATZ38" s="61"/>
      <c r="AUA38" s="61"/>
      <c r="AUB38" s="61"/>
      <c r="AUC38" s="61"/>
      <c r="AUD38" s="61"/>
      <c r="AUE38" s="61"/>
      <c r="AUF38" s="61"/>
      <c r="AUG38" s="61"/>
      <c r="AUH38" s="61"/>
      <c r="AUI38" s="61"/>
      <c r="AUJ38" s="61"/>
      <c r="AUK38" s="61"/>
      <c r="AUL38" s="61"/>
      <c r="AUM38" s="61"/>
      <c r="AUN38" s="61"/>
      <c r="AUO38" s="61"/>
      <c r="AUP38" s="61"/>
      <c r="AUQ38" s="61"/>
      <c r="AUR38" s="61"/>
      <c r="AUS38" s="61"/>
      <c r="AUT38" s="61"/>
      <c r="AUU38" s="61"/>
      <c r="AUV38" s="61"/>
      <c r="AUW38" s="61"/>
      <c r="AUX38" s="61"/>
      <c r="AUY38" s="61"/>
      <c r="AUZ38" s="61"/>
      <c r="AVA38" s="61"/>
      <c r="AVB38" s="61"/>
      <c r="AVC38" s="61"/>
      <c r="AVD38" s="61"/>
      <c r="AVE38" s="61"/>
      <c r="AVF38" s="61"/>
      <c r="AVG38" s="61"/>
      <c r="AVH38" s="61"/>
      <c r="AVI38" s="61"/>
      <c r="AVJ38" s="61"/>
      <c r="AVK38" s="61"/>
      <c r="AVL38" s="61"/>
      <c r="AVM38" s="61"/>
      <c r="AVN38" s="61"/>
      <c r="AVO38" s="61"/>
      <c r="AVP38" s="61"/>
      <c r="AVQ38" s="61"/>
      <c r="AVR38" s="61"/>
      <c r="AVS38" s="61"/>
      <c r="AVT38" s="61"/>
      <c r="AVU38" s="61"/>
      <c r="AVV38" s="61"/>
      <c r="AVW38" s="61"/>
      <c r="AVX38" s="61"/>
      <c r="AVY38" s="61"/>
      <c r="AVZ38" s="61"/>
      <c r="AWA38" s="61"/>
      <c r="AWB38" s="61"/>
      <c r="AWC38" s="61"/>
      <c r="AWD38" s="61"/>
      <c r="AWE38" s="61"/>
      <c r="AWF38" s="61"/>
      <c r="AWG38" s="61"/>
      <c r="AWH38" s="61"/>
      <c r="AWI38" s="61"/>
      <c r="AWJ38" s="61"/>
      <c r="AWK38" s="61"/>
      <c r="AWL38" s="61"/>
      <c r="AWM38" s="61"/>
      <c r="AWN38" s="61"/>
      <c r="AWO38" s="61"/>
      <c r="AWP38" s="61"/>
      <c r="AWQ38" s="61"/>
      <c r="AWR38" s="61"/>
      <c r="AWS38" s="61"/>
      <c r="AWT38" s="61"/>
      <c r="AWU38" s="61"/>
      <c r="AWV38" s="61"/>
      <c r="AWW38" s="61"/>
      <c r="AWX38" s="61"/>
      <c r="AWY38" s="61"/>
      <c r="AWZ38" s="61"/>
      <c r="AXA38" s="61"/>
      <c r="AXB38" s="61"/>
      <c r="AXC38" s="61"/>
      <c r="AXD38" s="61"/>
      <c r="AXE38" s="61"/>
      <c r="AXF38" s="61"/>
      <c r="AXG38" s="61"/>
      <c r="AXH38" s="61"/>
      <c r="AXI38" s="61"/>
      <c r="AXJ38" s="61"/>
      <c r="AXK38" s="61"/>
      <c r="AXL38" s="61"/>
      <c r="AXM38" s="61"/>
      <c r="AXN38" s="61"/>
      <c r="AXO38" s="61"/>
      <c r="AXP38" s="61"/>
      <c r="AXQ38" s="61"/>
      <c r="AXR38" s="61"/>
      <c r="AXS38" s="61"/>
      <c r="AXT38" s="61"/>
      <c r="AXU38" s="61"/>
      <c r="AXV38" s="61"/>
      <c r="AXW38" s="61"/>
      <c r="AXX38" s="61"/>
      <c r="AXY38" s="61"/>
      <c r="AXZ38" s="61"/>
      <c r="AYA38" s="61"/>
      <c r="AYB38" s="61"/>
      <c r="AYC38" s="61"/>
      <c r="AYD38" s="61"/>
      <c r="AYE38" s="61"/>
      <c r="AYF38" s="61"/>
      <c r="AYG38" s="61"/>
      <c r="AYH38" s="61"/>
      <c r="AYI38" s="61"/>
      <c r="AYJ38" s="61"/>
      <c r="AYK38" s="61"/>
      <c r="AYL38" s="61"/>
      <c r="AYM38" s="61"/>
      <c r="AYN38" s="61"/>
      <c r="AYO38" s="61"/>
      <c r="AYP38" s="61"/>
      <c r="AYQ38" s="61"/>
      <c r="AYR38" s="61"/>
      <c r="AYS38" s="61"/>
      <c r="AYT38" s="61"/>
      <c r="AYU38" s="61"/>
      <c r="AYV38" s="61"/>
      <c r="AYW38" s="61"/>
      <c r="AYX38" s="61"/>
      <c r="AYY38" s="61"/>
      <c r="AYZ38" s="61"/>
      <c r="AZA38" s="61"/>
      <c r="AZB38" s="61"/>
      <c r="AZC38" s="61"/>
      <c r="AZD38" s="61"/>
      <c r="AZE38" s="61"/>
      <c r="AZF38" s="61"/>
      <c r="AZG38" s="61"/>
      <c r="AZH38" s="61"/>
      <c r="AZI38" s="61"/>
      <c r="AZJ38" s="61"/>
      <c r="AZK38" s="61"/>
      <c r="AZL38" s="61"/>
      <c r="AZM38" s="61"/>
      <c r="AZN38" s="61"/>
      <c r="AZO38" s="61"/>
      <c r="AZP38" s="61"/>
      <c r="AZQ38" s="61"/>
      <c r="AZR38" s="61"/>
      <c r="AZS38" s="61"/>
      <c r="AZT38" s="61"/>
      <c r="AZU38" s="61"/>
      <c r="AZV38" s="61"/>
      <c r="AZW38" s="61"/>
      <c r="AZX38" s="61"/>
      <c r="AZY38" s="61"/>
      <c r="AZZ38" s="61"/>
      <c r="BAA38" s="61"/>
      <c r="BAB38" s="61"/>
      <c r="BAC38" s="61"/>
      <c r="BAD38" s="61"/>
      <c r="BAE38" s="61"/>
      <c r="BAF38" s="61"/>
      <c r="BAG38" s="61"/>
      <c r="BAH38" s="61"/>
      <c r="BAI38" s="61"/>
      <c r="BAJ38" s="61"/>
      <c r="BAK38" s="61"/>
      <c r="BAL38" s="61"/>
      <c r="BAM38" s="61"/>
      <c r="BAN38" s="61"/>
      <c r="BAO38" s="61"/>
      <c r="BAP38" s="61"/>
      <c r="BAQ38" s="61"/>
      <c r="BAR38" s="61"/>
      <c r="BAS38" s="61"/>
      <c r="BAT38" s="61"/>
      <c r="BAU38" s="61"/>
      <c r="BAV38" s="61"/>
      <c r="BAW38" s="61"/>
      <c r="BAX38" s="61"/>
      <c r="BAY38" s="61"/>
      <c r="BAZ38" s="61"/>
      <c r="BBA38" s="61"/>
      <c r="BBB38" s="61"/>
      <c r="BBC38" s="61"/>
      <c r="BBD38" s="61"/>
      <c r="BBE38" s="61"/>
      <c r="BBF38" s="61"/>
      <c r="BBG38" s="61"/>
      <c r="BBH38" s="61"/>
      <c r="BBI38" s="61"/>
      <c r="BBJ38" s="61"/>
      <c r="BBK38" s="61"/>
      <c r="BBL38" s="61"/>
      <c r="BBM38" s="61"/>
      <c r="BBN38" s="61"/>
      <c r="BBO38" s="61"/>
      <c r="BBP38" s="61"/>
      <c r="BBQ38" s="61"/>
      <c r="BBR38" s="61"/>
      <c r="BBS38" s="61"/>
      <c r="BBT38" s="61"/>
      <c r="BBU38" s="61"/>
      <c r="BBV38" s="61"/>
      <c r="BBW38" s="61"/>
      <c r="BBX38" s="61"/>
      <c r="BBY38" s="61"/>
      <c r="BBZ38" s="61"/>
      <c r="BCA38" s="61"/>
      <c r="BCB38" s="61"/>
      <c r="BCC38" s="61"/>
      <c r="BCD38" s="61"/>
      <c r="BCE38" s="61"/>
      <c r="BCF38" s="61"/>
      <c r="BCG38" s="61"/>
      <c r="BCH38" s="61"/>
      <c r="BCI38" s="61"/>
      <c r="BCJ38" s="61"/>
      <c r="BCK38" s="61"/>
      <c r="BCL38" s="61"/>
      <c r="BCM38" s="61"/>
      <c r="BCN38" s="61"/>
      <c r="BCO38" s="61"/>
      <c r="BCP38" s="61"/>
      <c r="BCQ38" s="61"/>
      <c r="BCR38" s="61"/>
      <c r="BCS38" s="61"/>
      <c r="BCT38" s="61"/>
      <c r="BCU38" s="61"/>
      <c r="BCV38" s="61"/>
      <c r="BCW38" s="61"/>
      <c r="BCX38" s="61"/>
      <c r="BCY38" s="61"/>
      <c r="BCZ38" s="61"/>
      <c r="BDA38" s="61"/>
      <c r="BDB38" s="61"/>
      <c r="BDC38" s="61"/>
      <c r="BDD38" s="61"/>
      <c r="BDE38" s="61"/>
      <c r="BDF38" s="61"/>
      <c r="BDG38" s="61"/>
      <c r="BDH38" s="61"/>
      <c r="BDI38" s="61"/>
      <c r="BDJ38" s="61"/>
      <c r="BDK38" s="61"/>
      <c r="BDL38" s="61"/>
      <c r="BDM38" s="61"/>
      <c r="BDN38" s="61"/>
      <c r="BDO38" s="61"/>
      <c r="BDP38" s="61"/>
      <c r="BDQ38" s="61"/>
      <c r="BDR38" s="61"/>
      <c r="BDS38" s="61"/>
      <c r="BDT38" s="61"/>
      <c r="BDU38" s="61"/>
      <c r="BDV38" s="61"/>
      <c r="BDW38" s="61"/>
      <c r="BDX38" s="61"/>
      <c r="BDY38" s="61"/>
      <c r="BDZ38" s="61"/>
      <c r="BEA38" s="61"/>
      <c r="BEB38" s="61"/>
      <c r="BEC38" s="61"/>
      <c r="BED38" s="61"/>
      <c r="BEE38" s="61"/>
      <c r="BEF38" s="61"/>
      <c r="BEG38" s="61"/>
      <c r="BEH38" s="61"/>
      <c r="BEI38" s="61"/>
      <c r="BEJ38" s="61"/>
      <c r="BEK38" s="61"/>
      <c r="BEL38" s="61"/>
      <c r="BEM38" s="61"/>
      <c r="BEN38" s="61"/>
      <c r="BEO38" s="61"/>
      <c r="BEP38" s="61"/>
      <c r="BEQ38" s="61"/>
      <c r="BER38" s="61"/>
      <c r="BES38" s="61"/>
      <c r="BOA38" s="59">
        <v>88</v>
      </c>
      <c r="BOC38" s="59">
        <v>1</v>
      </c>
      <c r="BOD38" s="59">
        <v>21.5</v>
      </c>
      <c r="BOF38" s="59">
        <v>1</v>
      </c>
      <c r="BOG38" s="59">
        <v>43</v>
      </c>
      <c r="BOM38" s="59">
        <v>1</v>
      </c>
      <c r="BPI38" s="59">
        <v>1</v>
      </c>
      <c r="BQU38" s="59">
        <v>1</v>
      </c>
      <c r="BRG38" s="59">
        <v>1</v>
      </c>
      <c r="BRZ38" s="59">
        <v>1</v>
      </c>
      <c r="BSC38" s="59">
        <v>1</v>
      </c>
      <c r="BSH38" s="59">
        <v>1</v>
      </c>
      <c r="BUM38" s="59">
        <v>1</v>
      </c>
      <c r="BUO38" s="59">
        <v>1</v>
      </c>
      <c r="BWR38" s="59">
        <v>11</v>
      </c>
      <c r="BXG38" s="59">
        <v>1</v>
      </c>
      <c r="BYJ38" s="65"/>
      <c r="BYK38" s="59">
        <v>0</v>
      </c>
      <c r="BYY38" s="59">
        <v>0</v>
      </c>
      <c r="BZL38" s="59">
        <v>0</v>
      </c>
      <c r="BZN38" s="72">
        <v>1</v>
      </c>
      <c r="BZQ38" s="59">
        <v>1</v>
      </c>
      <c r="BZS38" s="59">
        <v>4</v>
      </c>
      <c r="BZT38" s="59">
        <v>10</v>
      </c>
      <c r="BZU38" s="59">
        <v>7</v>
      </c>
      <c r="BZV38" s="59">
        <v>0</v>
      </c>
      <c r="BZW38" s="59">
        <v>4</v>
      </c>
      <c r="CVF38" s="59">
        <v>1500</v>
      </c>
      <c r="CVG38" s="59">
        <v>2</v>
      </c>
      <c r="CVH38" s="59">
        <v>1</v>
      </c>
      <c r="CVK38" s="59">
        <v>10</v>
      </c>
      <c r="CVL38" s="59">
        <v>20</v>
      </c>
      <c r="CVM38" s="59">
        <v>11</v>
      </c>
      <c r="CVN38" s="59">
        <v>0</v>
      </c>
      <c r="CVO38" s="59">
        <v>4</v>
      </c>
      <c r="CVP38" s="59">
        <v>100</v>
      </c>
      <c r="CVQ38" s="59">
        <v>1</v>
      </c>
      <c r="CVR38" s="59">
        <v>1</v>
      </c>
      <c r="CVU38" s="59">
        <v>9</v>
      </c>
      <c r="CVV38" s="59">
        <v>20</v>
      </c>
      <c r="CVW38" s="59">
        <v>12</v>
      </c>
      <c r="CVX38" s="59">
        <v>0</v>
      </c>
      <c r="CVY38" s="59">
        <v>4</v>
      </c>
      <c r="DDG38" s="72">
        <v>1</v>
      </c>
      <c r="DDJ38" s="59">
        <v>1</v>
      </c>
      <c r="DDK38" s="59">
        <v>2</v>
      </c>
      <c r="DDL38" s="59">
        <v>10</v>
      </c>
      <c r="DDM38" s="59">
        <v>9</v>
      </c>
      <c r="DDN38" s="59">
        <v>0</v>
      </c>
      <c r="DDO38" s="59">
        <v>4</v>
      </c>
      <c r="DEJ38" s="73">
        <v>100</v>
      </c>
      <c r="DEK38" s="72">
        <v>1</v>
      </c>
      <c r="DEN38" s="59">
        <v>1</v>
      </c>
      <c r="DEO38" s="59">
        <v>2</v>
      </c>
      <c r="DEP38" s="59">
        <v>10</v>
      </c>
      <c r="DEQ38" s="59">
        <v>9</v>
      </c>
      <c r="DER38" s="59">
        <v>0</v>
      </c>
      <c r="DES38" s="59">
        <v>5</v>
      </c>
      <c r="DMD38" s="59">
        <v>2</v>
      </c>
      <c r="DMG38" s="59">
        <v>1</v>
      </c>
      <c r="DMH38" s="59">
        <v>27</v>
      </c>
      <c r="DMI38" s="59">
        <v>12</v>
      </c>
      <c r="DMJ38" s="59">
        <v>0</v>
      </c>
      <c r="DMK38" s="59">
        <v>14</v>
      </c>
      <c r="DML38" s="59">
        <v>5</v>
      </c>
      <c r="DQU38" s="59">
        <v>0.125</v>
      </c>
      <c r="DQV38" s="59">
        <v>1</v>
      </c>
      <c r="DQW38" s="59">
        <v>1</v>
      </c>
      <c r="DQZ38" s="59">
        <v>14</v>
      </c>
      <c r="DRA38" s="59">
        <v>13</v>
      </c>
      <c r="DRB38" s="59">
        <v>1</v>
      </c>
      <c r="DRC38" s="59">
        <v>13</v>
      </c>
      <c r="DRD38" s="59">
        <v>5</v>
      </c>
      <c r="DXM38" s="59">
        <v>2500</v>
      </c>
      <c r="DXN38" s="59">
        <v>3</v>
      </c>
      <c r="DXQ38" s="59">
        <v>1</v>
      </c>
      <c r="DXS38" s="59">
        <v>34</v>
      </c>
      <c r="DXT38" s="59">
        <v>19</v>
      </c>
      <c r="DXU38" s="59">
        <v>0</v>
      </c>
      <c r="DXV38" s="59">
        <v>14</v>
      </c>
      <c r="DXW38" s="59">
        <v>5</v>
      </c>
      <c r="EHR38" s="79">
        <v>1</v>
      </c>
      <c r="EHS38" s="72">
        <v>1</v>
      </c>
      <c r="EHV38" s="59">
        <v>1</v>
      </c>
      <c r="EHW38" s="59">
        <v>4</v>
      </c>
      <c r="EHX38" s="59">
        <v>12</v>
      </c>
      <c r="EHY38" s="59">
        <v>9</v>
      </c>
      <c r="EHZ38" s="59">
        <v>0</v>
      </c>
      <c r="EIA38" s="59">
        <v>5</v>
      </c>
      <c r="EPM38" s="59">
        <v>200</v>
      </c>
      <c r="EPN38" s="72">
        <v>3</v>
      </c>
      <c r="EPQ38" s="59">
        <v>1</v>
      </c>
      <c r="EPR38" s="59">
        <v>25</v>
      </c>
      <c r="EPS38" s="59">
        <v>10</v>
      </c>
      <c r="EPT38" s="59">
        <v>0</v>
      </c>
      <c r="EPU38" s="59">
        <v>14</v>
      </c>
      <c r="EPV38" s="59">
        <v>5</v>
      </c>
      <c r="ETJ38" s="59">
        <v>1</v>
      </c>
      <c r="ETM38" s="59">
        <v>1</v>
      </c>
      <c r="ETN38" s="59">
        <v>27</v>
      </c>
      <c r="ETO38" s="59">
        <v>12</v>
      </c>
      <c r="ETP38" s="59">
        <v>0</v>
      </c>
      <c r="ETQ38" s="59">
        <v>14</v>
      </c>
      <c r="ETR38" s="59">
        <v>5</v>
      </c>
      <c r="FAV38" s="59">
        <v>2</v>
      </c>
      <c r="FAW38" s="59">
        <v>1</v>
      </c>
      <c r="FAZ38" s="59">
        <v>10</v>
      </c>
      <c r="FBA38" s="59">
        <v>7</v>
      </c>
      <c r="FBB38" s="59">
        <v>0</v>
      </c>
      <c r="FBC38" s="59">
        <v>2</v>
      </c>
      <c r="FBD38" s="59">
        <v>4</v>
      </c>
      <c r="FBP38" s="59">
        <v>500</v>
      </c>
      <c r="FBQ38" s="59">
        <v>3</v>
      </c>
      <c r="FBR38" s="59">
        <v>1</v>
      </c>
      <c r="FBU38" s="59">
        <v>16</v>
      </c>
      <c r="FBV38" s="59">
        <v>12</v>
      </c>
      <c r="FBW38" s="59">
        <v>0</v>
      </c>
      <c r="FBX38" s="59">
        <v>3</v>
      </c>
      <c r="FBY38" s="59">
        <v>5</v>
      </c>
      <c r="FQT38" s="59">
        <v>3000</v>
      </c>
      <c r="FQU38" s="59">
        <v>2</v>
      </c>
      <c r="FQV38" s="59">
        <v>1</v>
      </c>
      <c r="FQY38" s="59">
        <v>14</v>
      </c>
      <c r="FQZ38" s="59">
        <v>26</v>
      </c>
      <c r="FRA38" s="59">
        <v>13</v>
      </c>
      <c r="FRB38" s="59">
        <v>0</v>
      </c>
      <c r="FRC38" s="59">
        <v>6</v>
      </c>
      <c r="GWD38" s="59">
        <v>1</v>
      </c>
      <c r="GWF38" s="59">
        <v>1</v>
      </c>
      <c r="GWG38" s="59">
        <v>1</v>
      </c>
      <c r="GWH38" s="59">
        <v>1</v>
      </c>
      <c r="GWJ38" s="59">
        <v>1</v>
      </c>
      <c r="GWK38" s="59">
        <v>1</v>
      </c>
      <c r="HFE38" s="59">
        <v>1</v>
      </c>
      <c r="HFJ38" s="59">
        <v>1</v>
      </c>
      <c r="HFL38" s="59">
        <v>1</v>
      </c>
      <c r="HGG38" s="59">
        <v>1</v>
      </c>
      <c r="HGK38" s="59">
        <v>1</v>
      </c>
      <c r="HGM38" s="59">
        <v>1</v>
      </c>
      <c r="HGY38" s="59">
        <v>1</v>
      </c>
      <c r="HIZ38" s="59">
        <v>1</v>
      </c>
    </row>
    <row r="39" spans="1:3055 3099:3979 4104:5091 5209:5798" s="59" customFormat="1" x14ac:dyDescent="0.25">
      <c r="A39" s="59">
        <v>99000717</v>
      </c>
      <c r="B39" s="60" t="s">
        <v>4190</v>
      </c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  <c r="GH39" s="61"/>
      <c r="GI39" s="61"/>
      <c r="GJ39" s="61"/>
      <c r="GK39" s="61"/>
      <c r="GL39" s="61"/>
      <c r="GM39" s="61"/>
      <c r="GN39" s="61"/>
      <c r="GO39" s="61"/>
      <c r="GP39" s="61"/>
      <c r="GQ39" s="61"/>
      <c r="GR39" s="61"/>
      <c r="GS39" s="61"/>
      <c r="GT39" s="61"/>
      <c r="GU39" s="61"/>
      <c r="GV39" s="61"/>
      <c r="GW39" s="61"/>
      <c r="GX39" s="62"/>
      <c r="GY39" s="62"/>
      <c r="GZ39" s="62"/>
      <c r="HA39" s="62"/>
      <c r="HB39" s="62"/>
      <c r="HC39" s="62"/>
      <c r="HD39" s="62"/>
      <c r="HP39" s="62"/>
      <c r="HR39" s="61"/>
      <c r="HS39" s="61"/>
      <c r="HT39" s="61"/>
      <c r="HU39" s="61"/>
      <c r="HV39" s="61"/>
      <c r="HW39" s="61"/>
      <c r="HX39" s="61"/>
      <c r="HY39" s="61"/>
      <c r="HZ39" s="61"/>
      <c r="IA39" s="61"/>
      <c r="IB39" s="61"/>
      <c r="IC39" s="59">
        <v>7700</v>
      </c>
      <c r="ID39" s="61"/>
      <c r="IE39" s="61"/>
      <c r="IF39" s="61"/>
      <c r="IG39" s="61"/>
      <c r="IH39" s="59">
        <v>4300</v>
      </c>
      <c r="II39" s="61"/>
      <c r="IJ39" s="61"/>
      <c r="IK39" s="61"/>
      <c r="IL39" s="61"/>
      <c r="IM39" s="61"/>
      <c r="IN39" s="61"/>
      <c r="IO39" s="61"/>
      <c r="IP39" s="61"/>
      <c r="IQ39" s="61"/>
      <c r="IR39" s="61"/>
      <c r="IS39" s="61"/>
      <c r="IT39" s="61"/>
      <c r="IU39" s="61"/>
      <c r="IV39" s="61"/>
      <c r="IW39" s="61"/>
      <c r="IX39" s="61"/>
      <c r="JA39" s="61"/>
      <c r="JB39" s="61"/>
      <c r="JC39" s="61"/>
      <c r="JD39" s="61"/>
      <c r="JE39" s="61"/>
      <c r="JF39" s="61"/>
      <c r="JG39" s="61"/>
      <c r="JH39" s="61"/>
      <c r="JJ39" s="61"/>
      <c r="JK39" s="61"/>
      <c r="JP39" s="61"/>
      <c r="JR39" s="61"/>
      <c r="JS39" s="61"/>
      <c r="JT39" s="61"/>
      <c r="JU39" s="61"/>
      <c r="JV39" s="61"/>
      <c r="JW39" s="61"/>
      <c r="JX39" s="61"/>
      <c r="JY39" s="61"/>
      <c r="JZ39" s="61"/>
      <c r="KA39" s="61"/>
      <c r="KB39" s="61"/>
      <c r="KC39" s="61"/>
      <c r="KD39" s="61"/>
      <c r="KE39" s="61"/>
      <c r="KF39" s="59">
        <v>31</v>
      </c>
      <c r="KG39" s="61"/>
      <c r="KH39" s="61"/>
      <c r="KI39" s="61"/>
      <c r="KJ39" s="61"/>
      <c r="KK39" s="61"/>
      <c r="KL39" s="61"/>
      <c r="KM39" s="61"/>
      <c r="KN39" s="61"/>
      <c r="KO39" s="61"/>
      <c r="KP39" s="61"/>
      <c r="KQ39" s="61"/>
      <c r="KR39" s="61"/>
      <c r="KS39" s="61"/>
      <c r="KT39" s="61"/>
      <c r="KU39" s="61"/>
      <c r="KV39" s="61"/>
      <c r="KW39" s="61"/>
      <c r="KX39" s="61"/>
      <c r="KY39" s="61"/>
      <c r="KZ39" s="61"/>
      <c r="LA39" s="61"/>
      <c r="LB39" s="61"/>
      <c r="LC39" s="61"/>
      <c r="LD39" s="61"/>
      <c r="LE39" s="61"/>
      <c r="LF39" s="61"/>
      <c r="LG39" s="61"/>
      <c r="LH39" s="61"/>
      <c r="LI39" s="61"/>
      <c r="LJ39" s="61"/>
      <c r="LK39" s="61"/>
      <c r="LL39" s="61"/>
      <c r="LM39" s="61"/>
      <c r="LN39" s="61"/>
      <c r="LO39" s="61"/>
      <c r="LP39" s="61"/>
      <c r="LQ39" s="61"/>
      <c r="LR39" s="61"/>
      <c r="LS39" s="61"/>
      <c r="LT39" s="61"/>
      <c r="LU39" s="61"/>
      <c r="LV39" s="61"/>
      <c r="LW39" s="61"/>
      <c r="LX39" s="61"/>
      <c r="LY39" s="61"/>
      <c r="LZ39" s="61"/>
      <c r="MA39" s="61"/>
      <c r="MB39" s="61"/>
      <c r="MC39" s="61"/>
      <c r="MD39" s="61"/>
      <c r="ME39" s="61"/>
      <c r="MF39" s="61"/>
      <c r="MG39" s="61"/>
      <c r="MH39" s="61"/>
      <c r="MI39" s="61"/>
      <c r="MJ39" s="61"/>
      <c r="MK39" s="61"/>
      <c r="ML39" s="61"/>
      <c r="MM39" s="61"/>
      <c r="MN39" s="61"/>
      <c r="MO39" s="61"/>
      <c r="MP39" s="61"/>
      <c r="MQ39" s="61"/>
      <c r="MR39" s="61"/>
      <c r="MS39" s="61"/>
      <c r="MT39" s="61"/>
      <c r="MU39" s="61"/>
      <c r="MV39" s="61"/>
      <c r="MW39" s="61"/>
      <c r="MX39" s="61"/>
      <c r="MY39" s="61"/>
      <c r="MZ39" s="61"/>
      <c r="NA39" s="61"/>
      <c r="NB39" s="61"/>
      <c r="NC39" s="61"/>
      <c r="ND39" s="61"/>
      <c r="NE39" s="61"/>
      <c r="NF39" s="61"/>
      <c r="NG39" s="61"/>
      <c r="NH39" s="61"/>
      <c r="NI39" s="61"/>
      <c r="NJ39" s="61"/>
      <c r="NK39" s="61"/>
      <c r="NL39" s="61"/>
      <c r="NM39" s="61"/>
      <c r="NN39" s="61"/>
      <c r="NO39" s="61"/>
      <c r="NP39" s="61"/>
      <c r="NQ39" s="61"/>
      <c r="NR39" s="61"/>
      <c r="NS39" s="61"/>
      <c r="NT39" s="61"/>
      <c r="NU39" s="59">
        <v>30</v>
      </c>
      <c r="NV39" s="61"/>
      <c r="NW39" s="61"/>
      <c r="NX39" s="61"/>
      <c r="NY39" s="61"/>
      <c r="NZ39" s="61"/>
      <c r="OA39" s="61"/>
      <c r="OB39" s="61"/>
      <c r="OC39" s="61"/>
      <c r="OD39" s="61"/>
      <c r="OE39" s="61"/>
      <c r="OF39" s="61"/>
      <c r="OG39" s="61"/>
      <c r="OH39" s="61"/>
      <c r="OI39" s="61"/>
      <c r="OJ39" s="61"/>
      <c r="OK39" s="61"/>
      <c r="OL39" s="61"/>
      <c r="OM39" s="61"/>
      <c r="ON39" s="61"/>
      <c r="OO39" s="61"/>
      <c r="OP39" s="61"/>
      <c r="OQ39" s="61"/>
      <c r="OR39" s="61"/>
      <c r="OS39" s="61"/>
      <c r="OT39" s="61"/>
      <c r="OU39" s="61"/>
      <c r="OV39" s="61"/>
      <c r="OW39" s="61"/>
      <c r="OX39" s="61"/>
      <c r="OY39" s="61"/>
      <c r="OZ39" s="61"/>
      <c r="PA39" s="61"/>
      <c r="PB39" s="61"/>
      <c r="PC39" s="61"/>
      <c r="PD39" s="61"/>
      <c r="PE39" s="61"/>
      <c r="PF39" s="61"/>
      <c r="PG39" s="61"/>
      <c r="PH39" s="61"/>
      <c r="PI39" s="61"/>
      <c r="PJ39" s="61"/>
      <c r="PK39" s="61"/>
      <c r="PL39" s="61"/>
      <c r="PM39" s="61"/>
      <c r="PN39" s="61"/>
      <c r="PO39" s="61"/>
      <c r="PP39" s="61"/>
      <c r="PQ39" s="61"/>
      <c r="PR39" s="61"/>
      <c r="PS39" s="61"/>
      <c r="PT39" s="61"/>
      <c r="PU39" s="61"/>
      <c r="PV39" s="61"/>
      <c r="PW39" s="61"/>
      <c r="PX39" s="61"/>
      <c r="PY39" s="61"/>
      <c r="PZ39" s="61"/>
      <c r="QA39" s="61"/>
      <c r="QB39" s="61"/>
      <c r="QC39" s="61"/>
      <c r="QD39" s="61"/>
      <c r="QE39" s="61"/>
      <c r="QF39" s="61"/>
      <c r="QG39" s="61"/>
      <c r="QH39" s="61"/>
      <c r="QI39" s="61"/>
      <c r="QJ39" s="61"/>
      <c r="QK39" s="61"/>
      <c r="QS39" s="61"/>
      <c r="QU39" s="61"/>
      <c r="QV39" s="61"/>
      <c r="QW39" s="61"/>
      <c r="QX39" s="61"/>
      <c r="QY39" s="61"/>
      <c r="QZ39" s="61"/>
      <c r="RA39" s="61"/>
      <c r="RB39" s="61"/>
      <c r="RC39" s="61"/>
      <c r="RD39" s="61"/>
      <c r="RE39" s="61"/>
      <c r="RF39" s="59">
        <v>75</v>
      </c>
      <c r="RG39" s="61"/>
      <c r="RH39" s="61"/>
      <c r="RI39" s="61"/>
      <c r="RJ39" s="61"/>
      <c r="RK39" s="61"/>
      <c r="RL39" s="61"/>
      <c r="RM39" s="61"/>
      <c r="RN39" s="61"/>
      <c r="RO39" s="61"/>
      <c r="RP39" s="61"/>
      <c r="RQ39" s="61"/>
      <c r="RR39" s="61"/>
      <c r="RS39" s="61"/>
      <c r="RT39" s="61"/>
      <c r="RU39" s="61"/>
      <c r="RV39" s="61"/>
      <c r="RW39" s="61"/>
      <c r="RX39" s="61"/>
      <c r="RY39" s="61"/>
      <c r="RZ39" s="61"/>
      <c r="SA39" s="61"/>
      <c r="SB39" s="61"/>
      <c r="SC39" s="61"/>
      <c r="SD39" s="61"/>
      <c r="SE39" s="61"/>
      <c r="SF39" s="61"/>
      <c r="SG39" s="61"/>
      <c r="SH39" s="61"/>
      <c r="SI39" s="61"/>
      <c r="SJ39" s="61"/>
      <c r="SK39" s="61"/>
      <c r="SL39" s="61"/>
      <c r="SM39" s="61"/>
      <c r="SN39" s="61"/>
      <c r="SO39" s="61"/>
      <c r="SP39" s="61"/>
      <c r="SQ39" s="61"/>
      <c r="SR39" s="61"/>
      <c r="SS39" s="61"/>
      <c r="ST39" s="61"/>
      <c r="SU39" s="61"/>
      <c r="SV39" s="61"/>
      <c r="SW39" s="61"/>
      <c r="SX39" s="61"/>
      <c r="SY39" s="61"/>
      <c r="SZ39" s="61"/>
      <c r="TA39" s="61"/>
      <c r="TB39" s="61"/>
      <c r="TC39" s="66"/>
      <c r="TK39" s="66"/>
      <c r="TM39" s="61"/>
      <c r="TN39" s="61"/>
      <c r="TO39" s="61"/>
      <c r="TP39" s="61"/>
      <c r="TQ39" s="59">
        <v>487</v>
      </c>
      <c r="TR39" s="61"/>
      <c r="TS39" s="61"/>
      <c r="TT39" s="61"/>
      <c r="TU39" s="61"/>
      <c r="TV39" s="61"/>
      <c r="TW39" s="61"/>
      <c r="TX39" s="61"/>
      <c r="TY39" s="61"/>
      <c r="TZ39" s="61"/>
      <c r="UA39" s="61"/>
      <c r="UB39" s="61"/>
      <c r="UC39" s="61"/>
      <c r="UD39" s="61"/>
      <c r="UE39" s="61"/>
      <c r="UF39" s="61"/>
      <c r="UG39" s="61"/>
      <c r="UH39" s="61"/>
      <c r="UI39" s="61"/>
      <c r="UJ39" s="61"/>
      <c r="UK39" s="61"/>
      <c r="UL39" s="61"/>
      <c r="UM39" s="61"/>
      <c r="UN39" s="61"/>
      <c r="UO39" s="61"/>
      <c r="UP39" s="61"/>
      <c r="UQ39" s="61"/>
      <c r="UR39" s="61"/>
      <c r="US39" s="61"/>
      <c r="UT39" s="61"/>
      <c r="UU39" s="61"/>
      <c r="UV39" s="61"/>
      <c r="UW39" s="61"/>
      <c r="UX39" s="61"/>
      <c r="UY39" s="61"/>
      <c r="UZ39" s="61"/>
      <c r="VA39" s="61"/>
      <c r="VB39" s="61"/>
      <c r="VC39" s="61"/>
      <c r="VD39" s="61"/>
      <c r="VE39" s="61"/>
      <c r="VF39" s="61"/>
      <c r="VG39" s="61"/>
      <c r="VH39" s="61"/>
      <c r="VI39" s="61"/>
      <c r="VJ39" s="61"/>
      <c r="VK39" s="61"/>
      <c r="VL39" s="61"/>
      <c r="VM39" s="61"/>
      <c r="VN39" s="61"/>
      <c r="VO39" s="61"/>
      <c r="VP39" s="61"/>
      <c r="VQ39" s="61"/>
      <c r="VR39" s="61"/>
      <c r="VS39" s="61"/>
      <c r="VT39" s="61"/>
      <c r="VU39" s="61"/>
      <c r="VV39" s="61"/>
      <c r="VW39" s="61"/>
      <c r="VX39" s="61"/>
      <c r="VY39" s="61"/>
      <c r="VZ39" s="61"/>
      <c r="WA39" s="61"/>
      <c r="WB39" s="61"/>
      <c r="WC39" s="61"/>
      <c r="WD39" s="61"/>
      <c r="WE39" s="61"/>
      <c r="WF39" s="61"/>
      <c r="WG39" s="61"/>
      <c r="WH39" s="61"/>
      <c r="WI39" s="61"/>
      <c r="WJ39" s="61"/>
      <c r="WK39" s="61"/>
      <c r="WL39" s="61"/>
      <c r="WM39" s="61"/>
      <c r="WN39" s="61"/>
      <c r="WO39" s="61"/>
      <c r="WP39" s="61"/>
      <c r="WQ39" s="61"/>
      <c r="WR39" s="61"/>
      <c r="WS39" s="61"/>
      <c r="WT39" s="61"/>
      <c r="WU39" s="61"/>
      <c r="WV39" s="61"/>
      <c r="WW39" s="61"/>
      <c r="WX39" s="61"/>
      <c r="WY39" s="61"/>
      <c r="WZ39" s="61"/>
      <c r="XA39" s="61"/>
      <c r="XB39" s="61"/>
      <c r="XC39" s="61"/>
      <c r="XD39" s="61"/>
      <c r="XE39" s="61"/>
      <c r="XF39" s="61"/>
      <c r="XG39" s="61"/>
      <c r="XH39" s="61"/>
      <c r="XI39" s="61"/>
      <c r="XJ39" s="61"/>
      <c r="XK39" s="61"/>
      <c r="XM39" s="61"/>
      <c r="XN39" s="61"/>
      <c r="XO39" s="61"/>
      <c r="XP39" s="61"/>
      <c r="XQ39" s="61"/>
      <c r="XR39" s="61"/>
      <c r="XS39" s="61"/>
      <c r="XT39" s="61"/>
      <c r="XU39" s="59">
        <v>11</v>
      </c>
      <c r="XW39" s="61"/>
      <c r="XX39" s="61"/>
      <c r="XY39" s="61"/>
      <c r="XZ39" s="61"/>
      <c r="YA39" s="61"/>
      <c r="YB39" s="61"/>
      <c r="YC39" s="61"/>
      <c r="YD39" s="61"/>
      <c r="YE39" s="61"/>
      <c r="YF39" s="61"/>
      <c r="YG39" s="61"/>
      <c r="YH39" s="61"/>
      <c r="YI39" s="61"/>
      <c r="YJ39" s="61"/>
      <c r="YK39" s="61"/>
      <c r="YL39" s="61"/>
      <c r="YM39" s="61"/>
      <c r="YN39" s="61"/>
      <c r="YO39" s="61"/>
      <c r="YP39" s="61"/>
      <c r="YQ39" s="61"/>
      <c r="YR39" s="61"/>
      <c r="YS39" s="61"/>
      <c r="YT39" s="61"/>
      <c r="YU39" s="61"/>
      <c r="YV39" s="61"/>
      <c r="YW39" s="61"/>
      <c r="YX39" s="61"/>
      <c r="YY39" s="61"/>
      <c r="YZ39" s="61"/>
      <c r="ZA39" s="61"/>
      <c r="ZB39" s="61"/>
      <c r="ZC39" s="61"/>
      <c r="ZD39" s="61"/>
      <c r="ZE39" s="61"/>
      <c r="ZF39" s="61"/>
      <c r="ZG39" s="61"/>
      <c r="ZH39" s="61"/>
      <c r="ZI39" s="61"/>
      <c r="ZJ39" s="61"/>
      <c r="ZK39" s="61"/>
      <c r="ZL39" s="61"/>
      <c r="ZM39" s="61"/>
      <c r="ZN39" s="61"/>
      <c r="ZO39" s="61"/>
      <c r="ZP39" s="61"/>
      <c r="ZQ39" s="61"/>
      <c r="ZR39" s="62"/>
      <c r="ZS39" s="62"/>
      <c r="ZT39" s="62"/>
      <c r="ZU39" s="62"/>
      <c r="ZV39" s="62"/>
      <c r="ZW39" s="62"/>
      <c r="ZX39" s="62"/>
      <c r="ZY39" s="62"/>
      <c r="ZZ39" s="62"/>
      <c r="AAA39" s="62"/>
      <c r="AAB39" s="62"/>
      <c r="AAC39" s="62"/>
      <c r="AAD39" s="62"/>
      <c r="AAE39" s="62"/>
      <c r="AAF39" s="62"/>
      <c r="AAG39" s="62"/>
      <c r="AAH39" s="62"/>
      <c r="AAI39" s="62"/>
      <c r="AAJ39" s="62"/>
      <c r="AAK39" s="62"/>
      <c r="AAL39" s="62"/>
      <c r="AAM39" s="62"/>
      <c r="AAN39" s="62"/>
      <c r="AAO39" s="62"/>
      <c r="AAP39" s="62"/>
      <c r="AAQ39" s="62"/>
      <c r="AAR39" s="62"/>
      <c r="AAS39" s="62"/>
      <c r="AAT39" s="62"/>
      <c r="AAU39" s="62"/>
      <c r="AAV39" s="62"/>
      <c r="AAW39" s="62"/>
      <c r="AAX39" s="61"/>
      <c r="AAY39" s="61"/>
      <c r="AAZ39" s="61"/>
      <c r="ABA39" s="61"/>
      <c r="ABB39" s="61"/>
      <c r="ABC39" s="61"/>
      <c r="ABD39" s="61"/>
      <c r="ABE39" s="61"/>
      <c r="ABF39" s="61"/>
      <c r="ABG39" s="61"/>
      <c r="ABH39" s="61"/>
      <c r="ABI39" s="61"/>
      <c r="ABJ39" s="61"/>
      <c r="ABK39" s="61"/>
      <c r="ABL39" s="61"/>
      <c r="ABM39" s="61"/>
      <c r="ABN39" s="61"/>
      <c r="ABO39" s="61"/>
      <c r="ABP39" s="61"/>
      <c r="ABQ39" s="61"/>
      <c r="ABR39" s="61"/>
      <c r="ABS39" s="61"/>
      <c r="ABT39" s="61"/>
      <c r="ABU39" s="61"/>
      <c r="ABV39" s="61"/>
      <c r="ABW39" s="61"/>
      <c r="ABX39" s="61"/>
      <c r="ABY39" s="61"/>
      <c r="ABZ39" s="61"/>
      <c r="ACA39" s="61"/>
      <c r="ACB39" s="61"/>
      <c r="ACC39" s="61"/>
      <c r="ACD39" s="61"/>
      <c r="ACE39" s="61"/>
      <c r="ACF39" s="61"/>
      <c r="ACG39" s="61"/>
      <c r="ACH39" s="61"/>
      <c r="ACI39" s="61"/>
      <c r="ACJ39" s="61"/>
      <c r="ACK39" s="61"/>
      <c r="ACL39" s="61"/>
      <c r="ACM39" s="61"/>
      <c r="ACN39" s="61"/>
      <c r="ACO39" s="61"/>
      <c r="ACP39" s="61"/>
      <c r="ACQ39" s="61"/>
      <c r="ACR39" s="61"/>
      <c r="ACS39" s="61"/>
      <c r="ACT39" s="61"/>
      <c r="ACU39" s="61"/>
      <c r="ACV39" s="61"/>
      <c r="ACW39" s="61"/>
      <c r="ACX39" s="61"/>
      <c r="ACY39" s="61"/>
      <c r="ACZ39" s="61"/>
      <c r="ADA39" s="61"/>
      <c r="ADB39" s="61"/>
      <c r="ADC39" s="61"/>
      <c r="ADD39" s="61"/>
      <c r="ADE39" s="61"/>
      <c r="ADF39" s="61"/>
      <c r="ADG39" s="61"/>
      <c r="ADH39" s="61"/>
      <c r="ADI39" s="61"/>
      <c r="ADJ39" s="61"/>
      <c r="ADK39" s="61"/>
      <c r="ADL39" s="61"/>
      <c r="ADM39" s="61"/>
      <c r="ADN39" s="61"/>
      <c r="ADO39" s="61"/>
      <c r="ADP39" s="61"/>
      <c r="ADQ39" s="61"/>
      <c r="ADR39" s="61"/>
      <c r="ADS39" s="61"/>
      <c r="ADT39" s="61"/>
      <c r="ADU39" s="61"/>
      <c r="ADV39" s="61"/>
      <c r="ADW39" s="61"/>
      <c r="ADX39" s="61"/>
      <c r="ADY39" s="61"/>
      <c r="ADZ39" s="61"/>
      <c r="AEA39" s="61"/>
      <c r="AEB39" s="61"/>
      <c r="AEC39" s="61"/>
      <c r="AED39" s="61"/>
      <c r="AEE39" s="61"/>
      <c r="AEF39" s="61"/>
      <c r="AEG39" s="61"/>
      <c r="AEH39" s="61"/>
      <c r="AEI39" s="61"/>
      <c r="AEJ39" s="61"/>
      <c r="AEK39" s="61"/>
      <c r="AEL39" s="61"/>
      <c r="AEM39" s="61"/>
      <c r="AEN39" s="61"/>
      <c r="AEO39" s="61"/>
      <c r="AEP39" s="61"/>
      <c r="AEQ39" s="61"/>
      <c r="AER39" s="61"/>
      <c r="AES39" s="61"/>
      <c r="AET39" s="61"/>
      <c r="AEU39" s="62"/>
      <c r="AEV39" s="62"/>
      <c r="AEW39" s="62"/>
      <c r="AEX39" s="62"/>
      <c r="AEY39" s="62"/>
      <c r="AEZ39" s="62"/>
      <c r="AFA39" s="62"/>
      <c r="AFB39" s="62"/>
      <c r="AFC39" s="62"/>
      <c r="AFD39" s="62"/>
      <c r="AFE39" s="62"/>
      <c r="AFF39" s="62"/>
      <c r="AFG39" s="62"/>
      <c r="AFH39" s="62"/>
      <c r="AFI39" s="62"/>
      <c r="AFJ39" s="62"/>
      <c r="AFK39" s="62"/>
      <c r="AFL39" s="62"/>
      <c r="AFM39" s="62"/>
      <c r="AFN39" s="62"/>
      <c r="AFO39" s="62"/>
      <c r="AFP39" s="62"/>
      <c r="AFQ39" s="62"/>
      <c r="AFR39" s="62"/>
      <c r="AFS39" s="62"/>
      <c r="AFT39" s="62"/>
      <c r="AFU39" s="62"/>
      <c r="AFV39" s="62"/>
      <c r="AFW39" s="62"/>
      <c r="AFX39" s="62"/>
      <c r="AFY39" s="62"/>
      <c r="AFZ39" s="62"/>
      <c r="AGA39" s="62"/>
      <c r="AGB39" s="62"/>
      <c r="AGC39" s="62"/>
      <c r="AGD39" s="62"/>
      <c r="AGE39" s="62"/>
      <c r="AGF39" s="62"/>
      <c r="AGG39" s="61"/>
      <c r="AGH39" s="61"/>
      <c r="AGI39" s="61"/>
      <c r="AGJ39" s="61"/>
      <c r="AGK39" s="61"/>
      <c r="AGL39" s="61"/>
      <c r="AGM39" s="61"/>
      <c r="AGN39" s="61"/>
      <c r="AGO39" s="61"/>
      <c r="AGP39" s="61"/>
      <c r="AGQ39" s="61"/>
      <c r="AGR39" s="61"/>
      <c r="AGS39" s="61"/>
      <c r="AGT39" s="61"/>
      <c r="AGU39" s="61"/>
      <c r="AGV39" s="61"/>
      <c r="AGW39" s="61"/>
      <c r="AGX39" s="61"/>
      <c r="AGY39" s="61"/>
      <c r="AGZ39" s="61"/>
      <c r="AHA39" s="61"/>
      <c r="AHB39" s="61"/>
      <c r="AHC39" s="61"/>
      <c r="AHD39" s="61"/>
      <c r="AHE39" s="61"/>
      <c r="AHF39" s="61"/>
      <c r="AHG39" s="61"/>
      <c r="AHH39" s="61"/>
      <c r="AHI39" s="61"/>
      <c r="AHJ39" s="61"/>
      <c r="AHK39" s="61"/>
      <c r="AHL39" s="61"/>
      <c r="AHM39" s="61"/>
      <c r="AHN39" s="61"/>
      <c r="AHO39" s="61"/>
      <c r="AHP39" s="61"/>
      <c r="AHQ39" s="61"/>
      <c r="AHR39" s="61"/>
      <c r="AHS39" s="61"/>
      <c r="AHT39" s="61"/>
      <c r="AHU39" s="61"/>
      <c r="AHV39" s="61"/>
      <c r="AHW39" s="61"/>
      <c r="AHX39" s="61"/>
      <c r="AHY39" s="61"/>
      <c r="AHZ39" s="61"/>
      <c r="AIA39" s="61"/>
      <c r="AIB39" s="61"/>
      <c r="AIC39" s="61"/>
      <c r="AID39" s="61"/>
      <c r="AIE39" s="61"/>
      <c r="AIF39" s="61"/>
      <c r="AIG39" s="62"/>
      <c r="AIH39" s="62"/>
      <c r="AII39" s="62"/>
      <c r="AIJ39" s="61"/>
      <c r="AIK39" s="61"/>
      <c r="AIL39" s="61"/>
      <c r="AIM39" s="61"/>
      <c r="AIN39" s="61"/>
      <c r="AIO39" s="61"/>
      <c r="AIP39" s="61"/>
      <c r="AIQ39" s="61"/>
      <c r="AIR39" s="61"/>
      <c r="AIS39" s="61"/>
      <c r="AIT39" s="61"/>
      <c r="AIU39" s="61"/>
      <c r="AIV39" s="61"/>
      <c r="AIW39" s="61"/>
      <c r="AIX39" s="61"/>
      <c r="AIY39" s="61"/>
      <c r="AIZ39" s="61"/>
      <c r="AJA39" s="61"/>
      <c r="AJB39" s="61"/>
      <c r="AJC39" s="61"/>
      <c r="AJD39" s="61"/>
      <c r="AJE39" s="61"/>
      <c r="AJF39" s="61"/>
      <c r="AJG39" s="61"/>
      <c r="AJH39" s="61"/>
      <c r="AJI39" s="61"/>
      <c r="AJJ39" s="61"/>
      <c r="AJK39" s="61"/>
      <c r="AJL39" s="61"/>
      <c r="AJM39" s="61"/>
      <c r="AJN39" s="62"/>
      <c r="AJO39" s="62"/>
      <c r="AJP39" s="62"/>
      <c r="AJQ39" s="61"/>
      <c r="AJR39" s="61"/>
      <c r="AJS39" s="61"/>
      <c r="AJT39" s="61"/>
      <c r="AJU39" s="61"/>
      <c r="AJV39" s="61"/>
      <c r="AJW39" s="61"/>
      <c r="AJX39" s="61"/>
      <c r="AJY39" s="61"/>
      <c r="AJZ39" s="61"/>
      <c r="AKA39" s="61"/>
      <c r="AKB39" s="61"/>
      <c r="AKC39" s="61"/>
      <c r="AKD39" s="61"/>
      <c r="AKE39" s="61"/>
      <c r="AKF39" s="61"/>
      <c r="AKG39" s="61"/>
      <c r="AKH39" s="61"/>
      <c r="AKI39" s="61"/>
      <c r="AKJ39" s="61"/>
      <c r="AKK39" s="61"/>
      <c r="AKL39" s="61"/>
      <c r="AKM39" s="61"/>
      <c r="AKN39" s="61"/>
      <c r="AKO39" s="61"/>
      <c r="AKP39" s="61"/>
      <c r="AKQ39" s="61"/>
      <c r="AKR39" s="61"/>
      <c r="AKS39" s="61"/>
      <c r="AKT39" s="61"/>
      <c r="AKU39" s="61"/>
      <c r="AKV39" s="61"/>
      <c r="AKW39" s="61"/>
      <c r="AKX39" s="62"/>
      <c r="AKY39" s="62"/>
      <c r="AKZ39" s="61"/>
      <c r="ALA39" s="61"/>
      <c r="ALB39" s="61"/>
      <c r="ALC39" s="61"/>
      <c r="ALD39" s="61"/>
      <c r="ALE39" s="61"/>
      <c r="ALF39" s="61"/>
      <c r="ALG39" s="61"/>
      <c r="ALH39" s="61"/>
      <c r="ALI39" s="61"/>
      <c r="ALJ39" s="61"/>
      <c r="ALK39" s="61"/>
      <c r="ALL39" s="61"/>
      <c r="ALM39" s="61"/>
      <c r="ALN39" s="61"/>
      <c r="ALO39" s="61"/>
      <c r="ALP39" s="61"/>
      <c r="ALQ39" s="61"/>
      <c r="ALR39" s="61"/>
      <c r="ALS39" s="61"/>
      <c r="ALT39" s="61"/>
      <c r="ALU39" s="61"/>
      <c r="ALV39" s="61"/>
      <c r="ALW39" s="61"/>
      <c r="ALX39" s="61"/>
      <c r="ALY39" s="61"/>
      <c r="ALZ39" s="61"/>
      <c r="AMA39" s="61"/>
      <c r="AMB39" s="61"/>
      <c r="AMC39" s="61"/>
      <c r="AMD39" s="61"/>
      <c r="AME39" s="61"/>
      <c r="AMF39" s="61"/>
      <c r="AMG39" s="61"/>
      <c r="AMH39" s="61"/>
      <c r="AMI39" s="61"/>
      <c r="AMJ39" s="61"/>
      <c r="AMK39" s="61"/>
      <c r="AML39" s="61"/>
      <c r="AMM39" s="61"/>
      <c r="AMN39" s="61"/>
      <c r="AMO39" s="61"/>
      <c r="AMP39" s="61"/>
      <c r="AMQ39" s="61"/>
      <c r="AMR39" s="61"/>
      <c r="AMS39" s="61"/>
      <c r="AMT39" s="61"/>
      <c r="AMU39" s="61"/>
      <c r="AMV39" s="61"/>
      <c r="AMW39" s="61"/>
      <c r="AMX39" s="61"/>
      <c r="AMY39" s="61"/>
      <c r="AMZ39" s="61"/>
      <c r="ANA39" s="61"/>
      <c r="ANB39" s="61"/>
      <c r="ANC39" s="61"/>
      <c r="AND39" s="61"/>
      <c r="ANE39" s="61"/>
      <c r="ANF39" s="61"/>
      <c r="ANG39" s="61"/>
      <c r="ANH39" s="61"/>
      <c r="ANI39" s="61"/>
      <c r="ANJ39" s="61"/>
      <c r="ANK39" s="61"/>
      <c r="ANL39" s="61"/>
      <c r="ANM39" s="61"/>
      <c r="ANN39" s="61"/>
      <c r="ANO39" s="61"/>
      <c r="ANP39" s="61"/>
      <c r="ANQ39" s="61"/>
      <c r="ANR39" s="61"/>
      <c r="ANS39" s="61"/>
      <c r="ANT39" s="61"/>
      <c r="ANU39" s="61"/>
      <c r="ANV39" s="61"/>
      <c r="ANW39" s="61"/>
      <c r="ANX39" s="61"/>
      <c r="ANY39" s="61"/>
      <c r="ANZ39" s="61"/>
      <c r="AOA39" s="61"/>
      <c r="AOB39" s="61"/>
      <c r="AOC39" s="61"/>
      <c r="AOD39" s="61"/>
      <c r="AOE39" s="61"/>
      <c r="AOF39" s="61"/>
      <c r="AOG39" s="61"/>
      <c r="AOH39" s="61"/>
      <c r="AOI39" s="61"/>
      <c r="AOJ39" s="61"/>
      <c r="AOK39" s="61"/>
      <c r="AOL39" s="61"/>
      <c r="AOS39" s="61"/>
      <c r="AOX39" s="61"/>
      <c r="AOY39" s="61"/>
      <c r="AOZ39" s="61"/>
      <c r="APA39" s="61"/>
      <c r="APB39" s="61"/>
      <c r="APC39" s="61"/>
      <c r="APD39" s="61"/>
      <c r="APE39" s="61"/>
      <c r="APF39" s="61"/>
      <c r="APG39" s="61"/>
      <c r="APH39" s="61"/>
      <c r="API39" s="61"/>
      <c r="APJ39" s="61"/>
      <c r="APK39" s="61"/>
      <c r="APL39" s="61"/>
      <c r="APM39" s="61"/>
      <c r="APN39" s="61"/>
      <c r="APO39" s="61"/>
      <c r="APP39" s="61"/>
      <c r="APQ39" s="61"/>
      <c r="APR39" s="61"/>
      <c r="APS39" s="61"/>
      <c r="APT39" s="61"/>
      <c r="APU39" s="61"/>
      <c r="APV39" s="61"/>
      <c r="APW39" s="61"/>
      <c r="APX39" s="61"/>
      <c r="APY39" s="61"/>
      <c r="APZ39" s="61"/>
      <c r="AQA39" s="61"/>
      <c r="AQB39" s="61"/>
      <c r="AQC39" s="61"/>
      <c r="AQD39" s="61"/>
      <c r="AQE39" s="61"/>
      <c r="ARV39" s="66"/>
      <c r="ARW39" s="66"/>
      <c r="ARX39" s="66"/>
      <c r="ARY39" s="66"/>
      <c r="ARZ39" s="66"/>
      <c r="ASA39" s="66"/>
      <c r="ASB39" s="66"/>
      <c r="ASC39" s="66"/>
      <c r="ASD39" s="61"/>
      <c r="ASE39" s="61"/>
      <c r="ASF39" s="61"/>
      <c r="ASG39" s="61"/>
      <c r="ASH39" s="61"/>
      <c r="ASI39" s="61"/>
      <c r="ASJ39" s="61"/>
      <c r="ASK39" s="61"/>
      <c r="ASL39" s="61"/>
      <c r="ASM39" s="61"/>
      <c r="ASN39" s="61"/>
      <c r="ASO39" s="61"/>
      <c r="ASP39" s="61"/>
      <c r="ASQ39" s="61"/>
      <c r="ASR39" s="61"/>
      <c r="ASS39" s="61"/>
      <c r="AST39" s="61"/>
      <c r="ASU39" s="61"/>
      <c r="ASV39" s="61"/>
      <c r="ASW39" s="61"/>
      <c r="ASX39" s="61"/>
      <c r="ASY39" s="61"/>
      <c r="ASZ39" s="61"/>
      <c r="ATA39" s="61"/>
      <c r="ATB39" s="61"/>
      <c r="ATC39" s="61"/>
      <c r="ATD39" s="61"/>
      <c r="ATE39" s="61"/>
      <c r="ATF39" s="61"/>
      <c r="ATG39" s="61"/>
      <c r="ATH39" s="61"/>
      <c r="ATI39" s="61"/>
      <c r="ATJ39" s="61"/>
      <c r="ATK39" s="61"/>
      <c r="ATL39" s="61"/>
      <c r="ATM39" s="61"/>
      <c r="ATN39" s="61"/>
      <c r="ATO39" s="61"/>
      <c r="ATP39" s="61"/>
      <c r="ATQ39" s="62"/>
      <c r="ATR39" s="62"/>
      <c r="ATS39" s="62"/>
      <c r="ATT39" s="62"/>
      <c r="ATU39" s="62"/>
      <c r="ATV39" s="61"/>
      <c r="ATW39" s="61"/>
      <c r="ATX39" s="61"/>
      <c r="ATY39" s="61"/>
      <c r="ATZ39" s="61"/>
      <c r="AUA39" s="61"/>
      <c r="AUB39" s="61"/>
      <c r="AUC39" s="61"/>
      <c r="AUD39" s="61"/>
      <c r="AUE39" s="61"/>
      <c r="AUF39" s="61"/>
      <c r="AUG39" s="61"/>
      <c r="AUH39" s="61"/>
      <c r="AUI39" s="61"/>
      <c r="AUJ39" s="61"/>
      <c r="AUK39" s="61"/>
      <c r="AUL39" s="61"/>
      <c r="AUM39" s="61"/>
      <c r="AUN39" s="61"/>
      <c r="AUO39" s="61"/>
      <c r="AUP39" s="61"/>
      <c r="AUQ39" s="61"/>
      <c r="AUR39" s="61"/>
      <c r="AUS39" s="61"/>
      <c r="AUT39" s="61"/>
      <c r="AUU39" s="61"/>
      <c r="AUV39" s="61"/>
      <c r="AUW39" s="61"/>
      <c r="AUX39" s="61"/>
      <c r="AUY39" s="61"/>
      <c r="AUZ39" s="61"/>
      <c r="AVA39" s="61"/>
      <c r="AVB39" s="61"/>
      <c r="AVC39" s="61"/>
      <c r="AVD39" s="61"/>
      <c r="AVE39" s="61"/>
      <c r="AVF39" s="61"/>
      <c r="AVG39" s="61"/>
      <c r="AVH39" s="61"/>
      <c r="AVI39" s="61"/>
      <c r="AVJ39" s="61"/>
      <c r="AVK39" s="61"/>
      <c r="AVL39" s="61"/>
      <c r="AVM39" s="61"/>
      <c r="AVN39" s="61"/>
      <c r="AVO39" s="61"/>
      <c r="AVP39" s="61"/>
      <c r="AVQ39" s="61"/>
      <c r="AVR39" s="61"/>
      <c r="AVS39" s="61"/>
      <c r="AVT39" s="61"/>
      <c r="AVU39" s="61"/>
      <c r="AVV39" s="61"/>
      <c r="AVW39" s="61"/>
      <c r="AVX39" s="61"/>
      <c r="AVY39" s="61"/>
      <c r="AVZ39" s="61"/>
      <c r="AWA39" s="61"/>
      <c r="AWB39" s="61"/>
      <c r="AWC39" s="61"/>
      <c r="AWD39" s="61"/>
      <c r="AWE39" s="61"/>
      <c r="AWF39" s="61"/>
      <c r="AWG39" s="61"/>
      <c r="AWH39" s="61"/>
      <c r="AWI39" s="61"/>
      <c r="AWJ39" s="61"/>
      <c r="AWK39" s="61"/>
      <c r="AWL39" s="61"/>
      <c r="AWM39" s="61"/>
      <c r="AWN39" s="61"/>
      <c r="AWO39" s="61"/>
      <c r="AWP39" s="61"/>
      <c r="AWQ39" s="61"/>
      <c r="AWR39" s="61"/>
      <c r="AWS39" s="61"/>
      <c r="AWT39" s="61"/>
      <c r="AWU39" s="61"/>
      <c r="AWV39" s="61"/>
      <c r="AWW39" s="61"/>
      <c r="AWX39" s="61"/>
      <c r="AWY39" s="61"/>
      <c r="AWZ39" s="61"/>
      <c r="AXA39" s="61"/>
      <c r="AXB39" s="61"/>
      <c r="AXC39" s="61"/>
      <c r="AXD39" s="61"/>
      <c r="AXE39" s="61"/>
      <c r="AXF39" s="61"/>
      <c r="AXG39" s="61"/>
      <c r="AXH39" s="61"/>
      <c r="AXI39" s="61"/>
      <c r="AXJ39" s="61"/>
      <c r="AXK39" s="61"/>
      <c r="AXL39" s="61"/>
      <c r="AXM39" s="61"/>
      <c r="AXN39" s="61"/>
      <c r="AXO39" s="61"/>
      <c r="AXP39" s="61"/>
      <c r="AXQ39" s="61"/>
      <c r="AXR39" s="61"/>
      <c r="AXS39" s="61"/>
      <c r="AXT39" s="61"/>
      <c r="AXU39" s="61"/>
      <c r="AXV39" s="61"/>
      <c r="AXW39" s="61"/>
      <c r="AXX39" s="61"/>
      <c r="AXY39" s="61"/>
      <c r="AXZ39" s="61"/>
      <c r="AYA39" s="61"/>
      <c r="AYB39" s="61"/>
      <c r="AYC39" s="61"/>
      <c r="AYD39" s="61"/>
      <c r="AYE39" s="61"/>
      <c r="AYF39" s="61"/>
      <c r="AYG39" s="61"/>
      <c r="AYH39" s="61"/>
      <c r="AYI39" s="61"/>
      <c r="AYJ39" s="61"/>
      <c r="AYK39" s="61"/>
      <c r="AYL39" s="61"/>
      <c r="AYM39" s="61"/>
      <c r="AYN39" s="61"/>
      <c r="AYO39" s="61"/>
      <c r="AYP39" s="61"/>
      <c r="AYQ39" s="61"/>
      <c r="AYR39" s="61"/>
      <c r="AYS39" s="61"/>
      <c r="AYT39" s="61"/>
      <c r="AYU39" s="61"/>
      <c r="AYV39" s="61"/>
      <c r="AYW39" s="61"/>
      <c r="AYX39" s="61"/>
      <c r="AYY39" s="61"/>
      <c r="AYZ39" s="61"/>
      <c r="AZA39" s="61"/>
      <c r="AZB39" s="61"/>
      <c r="AZC39" s="61"/>
      <c r="AZD39" s="61"/>
      <c r="AZE39" s="61"/>
      <c r="AZF39" s="61"/>
      <c r="AZG39" s="61"/>
      <c r="AZH39" s="61"/>
      <c r="AZI39" s="61"/>
      <c r="AZJ39" s="61"/>
      <c r="AZK39" s="61"/>
      <c r="AZL39" s="61"/>
      <c r="AZM39" s="61"/>
      <c r="AZN39" s="61"/>
      <c r="AZO39" s="61"/>
      <c r="AZP39" s="61"/>
      <c r="AZQ39" s="61"/>
      <c r="AZR39" s="61"/>
      <c r="AZS39" s="61"/>
      <c r="AZT39" s="61"/>
      <c r="AZU39" s="61"/>
      <c r="AZV39" s="61"/>
      <c r="AZW39" s="61"/>
      <c r="AZX39" s="61"/>
      <c r="AZY39" s="61"/>
      <c r="AZZ39" s="61"/>
      <c r="BAA39" s="61"/>
      <c r="BAB39" s="61"/>
      <c r="BAC39" s="61"/>
      <c r="BAD39" s="61"/>
      <c r="BAE39" s="61"/>
      <c r="BAF39" s="61"/>
      <c r="BAG39" s="61"/>
      <c r="BAH39" s="61"/>
      <c r="BAI39" s="61"/>
      <c r="BAJ39" s="61"/>
      <c r="BAK39" s="61"/>
      <c r="BAL39" s="61"/>
      <c r="BAM39" s="61"/>
      <c r="BAN39" s="61"/>
      <c r="BAO39" s="61"/>
      <c r="BAP39" s="61"/>
      <c r="BAQ39" s="61"/>
      <c r="BAR39" s="61"/>
      <c r="BAS39" s="61"/>
      <c r="BAT39" s="61"/>
      <c r="BAU39" s="61"/>
      <c r="BAV39" s="61"/>
      <c r="BAW39" s="61"/>
      <c r="BAX39" s="61"/>
      <c r="BAY39" s="61"/>
      <c r="BAZ39" s="61"/>
      <c r="BBA39" s="61"/>
      <c r="BBB39" s="61"/>
      <c r="BBC39" s="61"/>
      <c r="BBD39" s="61"/>
      <c r="BBE39" s="61"/>
      <c r="BBF39" s="61"/>
      <c r="BBG39" s="61"/>
      <c r="BBH39" s="61"/>
      <c r="BBI39" s="61"/>
      <c r="BBJ39" s="61"/>
      <c r="BBK39" s="61"/>
      <c r="BBL39" s="61"/>
      <c r="BBM39" s="61"/>
      <c r="BBN39" s="61"/>
      <c r="BBO39" s="61"/>
      <c r="BBP39" s="61"/>
      <c r="BBQ39" s="61"/>
      <c r="BBR39" s="61"/>
      <c r="BBS39" s="61"/>
      <c r="BBT39" s="61"/>
      <c r="BBU39" s="61"/>
      <c r="BBV39" s="61"/>
      <c r="BBW39" s="61"/>
      <c r="BBX39" s="61"/>
      <c r="BBY39" s="61"/>
      <c r="BBZ39" s="61"/>
      <c r="BCA39" s="61"/>
      <c r="BCB39" s="61"/>
      <c r="BCC39" s="61"/>
      <c r="BCD39" s="61"/>
      <c r="BCE39" s="61"/>
      <c r="BCF39" s="61"/>
      <c r="BCG39" s="61"/>
      <c r="BCH39" s="61"/>
      <c r="BCI39" s="61"/>
      <c r="BCJ39" s="61"/>
      <c r="BCK39" s="61"/>
      <c r="BCL39" s="61"/>
      <c r="BCM39" s="61"/>
      <c r="BCN39" s="61"/>
      <c r="BCO39" s="61"/>
      <c r="BCP39" s="61"/>
      <c r="BCQ39" s="61"/>
      <c r="BCR39" s="61"/>
      <c r="BCS39" s="61"/>
      <c r="BCT39" s="61"/>
      <c r="BCU39" s="61"/>
      <c r="BCV39" s="61"/>
      <c r="BCW39" s="61"/>
      <c r="BCX39" s="61"/>
      <c r="BCY39" s="61"/>
      <c r="BCZ39" s="61"/>
      <c r="BDA39" s="61"/>
      <c r="BDB39" s="61"/>
      <c r="BDC39" s="61"/>
      <c r="BDD39" s="61"/>
      <c r="BDE39" s="61"/>
      <c r="BDF39" s="61"/>
      <c r="BDG39" s="61"/>
      <c r="BDH39" s="61"/>
      <c r="BDI39" s="61"/>
      <c r="BDJ39" s="61"/>
      <c r="BDK39" s="61"/>
      <c r="BDL39" s="61"/>
      <c r="BDM39" s="61"/>
      <c r="BDN39" s="61"/>
      <c r="BDO39" s="61"/>
      <c r="BDP39" s="61"/>
      <c r="BDQ39" s="61"/>
      <c r="BDR39" s="61"/>
      <c r="BDS39" s="61"/>
      <c r="BDT39" s="61"/>
      <c r="BDU39" s="61"/>
      <c r="BDV39" s="61"/>
      <c r="BDW39" s="61"/>
      <c r="BDX39" s="61"/>
      <c r="BDY39" s="61"/>
      <c r="BDZ39" s="61"/>
      <c r="BEA39" s="61"/>
      <c r="BEB39" s="61"/>
      <c r="BEC39" s="61"/>
      <c r="BED39" s="61"/>
      <c r="BEE39" s="61"/>
      <c r="BEF39" s="61"/>
      <c r="BEG39" s="61"/>
      <c r="BEH39" s="61"/>
      <c r="BEI39" s="61"/>
      <c r="BEJ39" s="61"/>
      <c r="BEK39" s="61"/>
      <c r="BEL39" s="61"/>
      <c r="BEM39" s="61"/>
      <c r="BEN39" s="61"/>
      <c r="BEO39" s="61"/>
      <c r="BEP39" s="61"/>
      <c r="BEQ39" s="61"/>
      <c r="BER39" s="61"/>
      <c r="BES39" s="61"/>
      <c r="BOA39" s="59">
        <v>37</v>
      </c>
      <c r="BOC39" s="59">
        <v>1</v>
      </c>
      <c r="BOD39" s="59">
        <v>25.1</v>
      </c>
      <c r="BOG39" s="59">
        <v>29</v>
      </c>
      <c r="BUM39" s="59">
        <v>1</v>
      </c>
      <c r="BWS39" s="59">
        <v>1</v>
      </c>
      <c r="BXQ39" s="59">
        <v>1</v>
      </c>
      <c r="BYJ39" s="65"/>
      <c r="BYK39" s="59">
        <v>0</v>
      </c>
      <c r="BYY39" s="59">
        <v>0</v>
      </c>
      <c r="BZM39" s="59">
        <v>500</v>
      </c>
      <c r="BZN39" s="59">
        <v>3</v>
      </c>
      <c r="BZQ39" s="59">
        <v>1</v>
      </c>
      <c r="BZS39" s="68">
        <v>26</v>
      </c>
      <c r="BZT39" s="59">
        <v>999</v>
      </c>
      <c r="BZU39" s="59">
        <v>0</v>
      </c>
      <c r="BZV39" s="59">
        <v>4</v>
      </c>
      <c r="BZW39" s="59">
        <v>5</v>
      </c>
      <c r="GIZ39" s="59">
        <v>2</v>
      </c>
      <c r="GJC39" s="59">
        <v>1</v>
      </c>
      <c r="GJD39" s="68">
        <v>28</v>
      </c>
      <c r="GJE39" s="59">
        <v>23</v>
      </c>
      <c r="GJF39" s="59">
        <v>0</v>
      </c>
      <c r="GJG39" s="59">
        <v>4</v>
      </c>
      <c r="GJH39" s="59">
        <v>5</v>
      </c>
      <c r="GJI39" s="59">
        <v>450</v>
      </c>
      <c r="GJJ39" s="59">
        <v>1</v>
      </c>
      <c r="GJM39" s="59">
        <v>1</v>
      </c>
      <c r="GJN39" s="71">
        <v>29</v>
      </c>
      <c r="GJO39" s="59">
        <v>999</v>
      </c>
      <c r="GJP39" s="59">
        <v>0</v>
      </c>
      <c r="GJQ39" s="59">
        <v>999</v>
      </c>
      <c r="GJR39" s="59">
        <v>6</v>
      </c>
      <c r="GJS39" s="59">
        <v>40</v>
      </c>
      <c r="GJT39" s="59">
        <v>2</v>
      </c>
      <c r="GJW39" s="59">
        <v>1</v>
      </c>
      <c r="GJX39" s="71">
        <v>29</v>
      </c>
      <c r="GJY39" s="59">
        <v>999</v>
      </c>
      <c r="GJZ39" s="59">
        <v>0</v>
      </c>
      <c r="GKA39" s="59">
        <v>999</v>
      </c>
      <c r="GKB39" s="59">
        <v>6</v>
      </c>
      <c r="GYE39" s="59">
        <v>1</v>
      </c>
      <c r="GYK39" s="59">
        <v>1</v>
      </c>
      <c r="GZN39" s="59">
        <v>1</v>
      </c>
      <c r="HDT39" s="59">
        <v>1</v>
      </c>
      <c r="HDU39" s="59">
        <v>1</v>
      </c>
      <c r="HDV39" s="59">
        <v>1</v>
      </c>
      <c r="HFE39" s="59">
        <v>1</v>
      </c>
      <c r="HHA39" s="59">
        <v>1</v>
      </c>
    </row>
    <row r="40" spans="1:3055 3099:3979 4104:5091 5209:5798" s="59" customFormat="1" x14ac:dyDescent="0.25">
      <c r="B40" s="60"/>
      <c r="BYJ40" s="65"/>
      <c r="BYK40" s="59">
        <v>0</v>
      </c>
      <c r="BYY40" s="59">
        <v>0</v>
      </c>
      <c r="BZL40" s="59">
        <v>0</v>
      </c>
    </row>
    <row r="41" spans="1:3055 3099:3979 4104:5091 5209:5798" s="59" customFormat="1" x14ac:dyDescent="0.25">
      <c r="A41" s="65">
        <v>6016435</v>
      </c>
      <c r="B41" s="60" t="s">
        <v>4191</v>
      </c>
      <c r="BD41" s="59">
        <v>43</v>
      </c>
      <c r="EH41" s="59">
        <v>52</v>
      </c>
      <c r="FZ41" s="63">
        <v>3.6</v>
      </c>
      <c r="HR41" s="59">
        <v>12800</v>
      </c>
      <c r="ZT41" s="59">
        <v>9.3000000000000007</v>
      </c>
      <c r="ASE41" s="59">
        <v>120000</v>
      </c>
      <c r="AXN41" s="59">
        <v>7.47</v>
      </c>
      <c r="AXO41" s="59">
        <v>7.46</v>
      </c>
      <c r="AXR41" s="59">
        <v>7.45</v>
      </c>
      <c r="AXX41" s="59">
        <v>0.1</v>
      </c>
      <c r="AXY41" s="59">
        <v>-0.1</v>
      </c>
      <c r="AXZ41" s="59">
        <v>-0.1</v>
      </c>
      <c r="AYD41" s="59">
        <v>22.4</v>
      </c>
      <c r="AYE41" s="59">
        <v>24.5</v>
      </c>
      <c r="AYH41" s="59">
        <v>24.5</v>
      </c>
      <c r="AYM41" s="59">
        <v>66.099999999999994</v>
      </c>
      <c r="AYN41" s="59">
        <v>48</v>
      </c>
      <c r="AYO41" s="59">
        <v>54.9</v>
      </c>
      <c r="AYR41" s="59">
        <v>31</v>
      </c>
      <c r="AYS41" s="59">
        <v>38.200000000000003</v>
      </c>
      <c r="AYV41" s="59">
        <v>34.1</v>
      </c>
      <c r="AYZ41" s="59">
        <v>93.9</v>
      </c>
      <c r="AZA41" s="59">
        <v>89.8</v>
      </c>
      <c r="AZB41" s="59">
        <v>91.5</v>
      </c>
      <c r="BHD41" s="59">
        <v>3.2</v>
      </c>
      <c r="BKO41" s="59">
        <v>39.799999999999997</v>
      </c>
      <c r="BOA41" s="59">
        <v>56</v>
      </c>
      <c r="BOC41" s="59">
        <v>1</v>
      </c>
      <c r="BTB41" s="59">
        <v>1</v>
      </c>
      <c r="BVY41" s="59">
        <v>1</v>
      </c>
      <c r="BWC41" s="59">
        <v>1</v>
      </c>
      <c r="BWD41" s="59">
        <v>1</v>
      </c>
      <c r="BXR41" s="59">
        <v>1</v>
      </c>
      <c r="BYJ41" s="65"/>
      <c r="BYK41" s="59">
        <v>0</v>
      </c>
      <c r="BYL41" s="59">
        <v>50</v>
      </c>
      <c r="BYM41" s="59">
        <v>2</v>
      </c>
      <c r="BYQ41" s="59">
        <v>1</v>
      </c>
      <c r="BYS41" s="59">
        <v>1</v>
      </c>
      <c r="BYT41" s="59">
        <v>0</v>
      </c>
      <c r="BYU41" s="59">
        <v>0</v>
      </c>
      <c r="BYV41" s="59">
        <v>0</v>
      </c>
      <c r="BYY41" s="59">
        <v>0</v>
      </c>
      <c r="BZL41" s="59">
        <v>0</v>
      </c>
      <c r="CAT41" s="59">
        <v>200</v>
      </c>
      <c r="CAU41" s="59">
        <v>1</v>
      </c>
      <c r="CAX41" s="59">
        <v>1</v>
      </c>
      <c r="CAY41" s="59">
        <v>1</v>
      </c>
      <c r="CAZ41" s="59">
        <v>1</v>
      </c>
      <c r="CBA41" s="59">
        <v>1</v>
      </c>
      <c r="CBB41" s="59">
        <v>0</v>
      </c>
      <c r="DXO41" s="59">
        <v>1</v>
      </c>
      <c r="ESP41" s="59">
        <v>2</v>
      </c>
      <c r="ESQ41" s="59">
        <v>1</v>
      </c>
      <c r="ESR41" s="59">
        <v>1</v>
      </c>
      <c r="ESS41" s="59">
        <v>1</v>
      </c>
      <c r="EST41" s="59">
        <v>0</v>
      </c>
      <c r="ESU41" s="59">
        <v>0</v>
      </c>
      <c r="ESV41" s="59">
        <v>0</v>
      </c>
      <c r="GXD41" s="59">
        <v>1</v>
      </c>
      <c r="GXN41" s="59">
        <v>1</v>
      </c>
      <c r="GXX41" s="59">
        <v>1</v>
      </c>
      <c r="GXZ41" s="59">
        <v>1</v>
      </c>
      <c r="GYA41" s="59">
        <v>1</v>
      </c>
      <c r="GYE41" s="59">
        <v>1</v>
      </c>
      <c r="GYF41" s="59">
        <v>1</v>
      </c>
      <c r="GYG41" s="59">
        <v>1</v>
      </c>
      <c r="GYY41" s="59">
        <v>1</v>
      </c>
      <c r="GZZ41" s="59">
        <v>1</v>
      </c>
      <c r="HAA41" s="59">
        <v>1</v>
      </c>
      <c r="HAC41" s="59">
        <v>1</v>
      </c>
      <c r="HAD41" s="59">
        <v>1</v>
      </c>
      <c r="HAJ41" s="59">
        <v>1</v>
      </c>
      <c r="HAK41" s="59">
        <v>1</v>
      </c>
      <c r="HAL41" s="59">
        <v>1</v>
      </c>
      <c r="HAT41" s="59">
        <v>1</v>
      </c>
      <c r="HBA41" s="59">
        <v>1</v>
      </c>
      <c r="HBB41" s="59">
        <v>1</v>
      </c>
      <c r="HBE41" s="59">
        <v>1</v>
      </c>
      <c r="HCW41" s="59">
        <v>1</v>
      </c>
      <c r="HDN41" s="59">
        <v>1</v>
      </c>
      <c r="HEH41" s="59">
        <v>1</v>
      </c>
      <c r="HEJ41" s="59">
        <v>1</v>
      </c>
      <c r="HEO41" s="59">
        <v>1</v>
      </c>
    </row>
    <row r="42" spans="1:3055 3099:3979 4104:5091 5209:5798" s="59" customFormat="1" x14ac:dyDescent="0.25">
      <c r="A42" s="59">
        <v>8045149</v>
      </c>
      <c r="B42" s="60" t="s">
        <v>4191</v>
      </c>
      <c r="HP42" s="59">
        <v>30000</v>
      </c>
      <c r="ARO42" s="59">
        <v>70</v>
      </c>
      <c r="BKN42" s="59">
        <v>39</v>
      </c>
      <c r="BMY42" s="59">
        <v>1</v>
      </c>
      <c r="BOA42" s="59">
        <v>69</v>
      </c>
      <c r="BOC42" s="59">
        <v>1</v>
      </c>
      <c r="BOF42" s="59">
        <v>1</v>
      </c>
      <c r="BPX42" s="59">
        <v>1</v>
      </c>
      <c r="BTP42" s="59">
        <v>1</v>
      </c>
      <c r="BYJ42" s="65"/>
      <c r="BYK42" s="59">
        <v>0</v>
      </c>
      <c r="BYO42" s="59">
        <v>1</v>
      </c>
      <c r="BYS42" s="59">
        <v>1</v>
      </c>
      <c r="BYT42" s="59">
        <v>1</v>
      </c>
      <c r="BYU42" s="59">
        <v>1</v>
      </c>
      <c r="BYY42" s="59">
        <v>0</v>
      </c>
      <c r="BZL42" s="59">
        <v>0</v>
      </c>
      <c r="CBD42" s="59">
        <v>1</v>
      </c>
      <c r="CBJ42" s="59">
        <v>1</v>
      </c>
      <c r="CBK42" s="59">
        <v>1</v>
      </c>
      <c r="CBL42" s="59">
        <v>1</v>
      </c>
      <c r="CBM42" s="59">
        <v>0</v>
      </c>
      <c r="GXP42" s="59">
        <v>1</v>
      </c>
      <c r="GYE42" s="59">
        <v>1</v>
      </c>
      <c r="HER42" s="59">
        <v>1</v>
      </c>
      <c r="HES42" s="59">
        <v>1</v>
      </c>
      <c r="HEV42" s="59">
        <v>1</v>
      </c>
      <c r="HEX42" s="59">
        <v>1</v>
      </c>
      <c r="HNJ42" s="59">
        <v>1</v>
      </c>
      <c r="HNZ42" s="59">
        <v>1</v>
      </c>
    </row>
    <row r="43" spans="1:3055 3099:3979 4104:5091 5209:5798" s="63" customFormat="1" x14ac:dyDescent="0.25">
      <c r="A43" s="63">
        <v>10023001</v>
      </c>
      <c r="B43" s="89" t="s">
        <v>4191</v>
      </c>
      <c r="BB43" s="63">
        <v>24</v>
      </c>
      <c r="HP43" s="63">
        <v>8000</v>
      </c>
      <c r="VM43" s="63">
        <v>337</v>
      </c>
      <c r="WD43" s="63">
        <v>303</v>
      </c>
      <c r="WU43" s="63">
        <v>206</v>
      </c>
      <c r="XA43" s="63">
        <v>5</v>
      </c>
      <c r="XB43" s="63">
        <v>7.4</v>
      </c>
      <c r="XK43" s="63">
        <v>30</v>
      </c>
      <c r="ZR43" s="63">
        <v>14</v>
      </c>
      <c r="AQR43" s="63">
        <v>4750000</v>
      </c>
      <c r="ASC43" s="63">
        <v>225000</v>
      </c>
      <c r="AVC43" s="63">
        <v>65</v>
      </c>
      <c r="AZR43" s="63">
        <v>40</v>
      </c>
      <c r="BBJ43" s="63">
        <v>82</v>
      </c>
      <c r="BCP43" s="63">
        <v>30</v>
      </c>
      <c r="BEN43" s="63">
        <v>11</v>
      </c>
      <c r="BOA43" s="63">
        <v>80</v>
      </c>
      <c r="BOB43" s="63">
        <v>1</v>
      </c>
      <c r="BOD43" s="63">
        <v>28.01</v>
      </c>
      <c r="BOF43" s="63">
        <v>1</v>
      </c>
      <c r="BSG43" s="63">
        <v>1</v>
      </c>
      <c r="BXN43" s="63">
        <v>1</v>
      </c>
      <c r="BYK43" s="63">
        <v>0</v>
      </c>
      <c r="BYM43" s="63">
        <v>2</v>
      </c>
      <c r="BYR43" s="63">
        <v>1</v>
      </c>
      <c r="BYY43" s="63">
        <v>0</v>
      </c>
      <c r="BZL43" s="63">
        <v>0</v>
      </c>
      <c r="DXB43" s="63">
        <v>1</v>
      </c>
      <c r="GYH43" s="63">
        <v>1</v>
      </c>
      <c r="HFO43" s="63">
        <v>1</v>
      </c>
      <c r="HGG43" s="63">
        <v>1</v>
      </c>
      <c r="HIF43" s="63">
        <v>1</v>
      </c>
      <c r="HJH43" s="63">
        <v>1</v>
      </c>
    </row>
    <row r="44" spans="1:3055 3099:3979 4104:5091 5209:5798" s="63" customFormat="1" x14ac:dyDescent="0.25">
      <c r="A44" s="63">
        <v>10027526</v>
      </c>
      <c r="B44" s="89" t="s">
        <v>4191</v>
      </c>
      <c r="HQ44" s="63">
        <v>15320</v>
      </c>
      <c r="ANG44" s="63" t="s">
        <v>579</v>
      </c>
      <c r="AVD44" s="63">
        <v>59.46</v>
      </c>
      <c r="BKO44" s="63">
        <v>38.5</v>
      </c>
      <c r="BOA44" s="63">
        <v>60</v>
      </c>
      <c r="BOB44" s="63">
        <v>1</v>
      </c>
      <c r="BOD44" s="63">
        <v>18.59</v>
      </c>
      <c r="BOF44" s="63">
        <v>1</v>
      </c>
      <c r="BYK44" s="63">
        <v>0</v>
      </c>
      <c r="BYM44" s="63">
        <v>3</v>
      </c>
      <c r="BYQ44" s="63">
        <v>1</v>
      </c>
      <c r="BYS44" s="63">
        <v>1</v>
      </c>
      <c r="BYT44" s="63">
        <v>4</v>
      </c>
      <c r="BYU44" s="63">
        <v>4</v>
      </c>
      <c r="BYV44" s="63">
        <v>0</v>
      </c>
      <c r="BYY44" s="63">
        <v>0</v>
      </c>
      <c r="BZL44" s="63">
        <v>0</v>
      </c>
      <c r="BZM44" s="63">
        <v>500</v>
      </c>
      <c r="BZQ44" s="63">
        <v>1</v>
      </c>
      <c r="BZS44" s="63">
        <v>4</v>
      </c>
      <c r="BZT44" s="63">
        <v>4</v>
      </c>
      <c r="BZU44" s="63">
        <v>2</v>
      </c>
      <c r="BZV44" s="63">
        <v>0</v>
      </c>
      <c r="GXZ44" s="63">
        <v>1</v>
      </c>
      <c r="GYA44" s="63">
        <v>1</v>
      </c>
      <c r="GYD44" s="63">
        <v>1</v>
      </c>
      <c r="GYE44" s="63">
        <v>1</v>
      </c>
      <c r="GYH44" s="63">
        <v>1</v>
      </c>
      <c r="GYU44" s="63">
        <v>1</v>
      </c>
      <c r="GZJ44" s="63">
        <v>1</v>
      </c>
      <c r="HEB44" s="63">
        <v>1</v>
      </c>
      <c r="HEC44" s="63">
        <v>1</v>
      </c>
      <c r="HFO44" s="63">
        <v>1</v>
      </c>
      <c r="HFQ44" s="63">
        <v>1</v>
      </c>
      <c r="HHH44" s="63">
        <v>1</v>
      </c>
      <c r="HJG44" s="63">
        <v>1</v>
      </c>
      <c r="HJH44" s="63">
        <v>1</v>
      </c>
      <c r="HJI44" s="63">
        <v>1</v>
      </c>
      <c r="HJJ44" s="63">
        <v>1</v>
      </c>
    </row>
    <row r="45" spans="1:3055 3099:3979 4104:5091 5209:5798" s="63" customFormat="1" x14ac:dyDescent="0.25">
      <c r="A45" s="63">
        <v>14222171</v>
      </c>
      <c r="B45" s="89" t="s">
        <v>4191</v>
      </c>
      <c r="XK45" s="63">
        <v>10</v>
      </c>
      <c r="ZR45" s="63">
        <v>13</v>
      </c>
      <c r="AKR45" s="63">
        <v>421</v>
      </c>
      <c r="ANF45" s="63">
        <v>20.6</v>
      </c>
      <c r="AQR45" s="63" t="s">
        <v>2464</v>
      </c>
      <c r="ASC45" s="63">
        <v>86000000</v>
      </c>
      <c r="AZR45" s="63">
        <v>36</v>
      </c>
      <c r="BNU45" s="63">
        <v>129</v>
      </c>
      <c r="BNV45" s="63">
        <v>94</v>
      </c>
      <c r="BOA45" s="63">
        <v>72</v>
      </c>
      <c r="BOB45" s="63">
        <v>1</v>
      </c>
      <c r="BOF45" s="63">
        <v>1</v>
      </c>
      <c r="BOG45" s="63">
        <v>5</v>
      </c>
      <c r="BPC45" s="63">
        <v>1</v>
      </c>
      <c r="BQB45" s="63">
        <v>1</v>
      </c>
      <c r="BTF45" s="63">
        <v>1</v>
      </c>
      <c r="BWR45" s="63">
        <v>1</v>
      </c>
      <c r="BYK45" s="63">
        <v>0</v>
      </c>
      <c r="BYR45" s="63">
        <v>1</v>
      </c>
      <c r="BYS45" s="63">
        <v>2</v>
      </c>
      <c r="BYT45" s="63">
        <v>0</v>
      </c>
      <c r="BYU45" s="63">
        <v>0</v>
      </c>
      <c r="BYV45" s="63">
        <v>1</v>
      </c>
      <c r="BYY45" s="63">
        <v>0</v>
      </c>
      <c r="BZL45" s="63">
        <v>0</v>
      </c>
      <c r="DMM45" s="63">
        <v>5</v>
      </c>
      <c r="EAW45" s="63">
        <v>20</v>
      </c>
      <c r="EFT45" s="63">
        <v>3</v>
      </c>
      <c r="EGD45" s="63">
        <v>1000</v>
      </c>
      <c r="GRI45" s="63">
        <v>4</v>
      </c>
      <c r="GYH45" s="63">
        <v>1</v>
      </c>
      <c r="GYT45" s="63">
        <v>1</v>
      </c>
      <c r="HFA45" s="63">
        <v>1</v>
      </c>
      <c r="HGG45" s="63">
        <v>1</v>
      </c>
      <c r="HIL45" s="63">
        <v>1</v>
      </c>
      <c r="HJT45" s="63">
        <v>1</v>
      </c>
      <c r="HKC45" s="63">
        <v>1</v>
      </c>
    </row>
    <row r="46" spans="1:3055 3099:3979 4104:5091 5209:5798" s="59" customFormat="1" x14ac:dyDescent="0.25">
      <c r="A46" s="59">
        <v>1006143</v>
      </c>
      <c r="B46" s="60" t="s">
        <v>4191</v>
      </c>
      <c r="HP46" s="59">
        <v>4500</v>
      </c>
      <c r="QS46" s="59">
        <v>20</v>
      </c>
      <c r="ZR46" s="59">
        <v>17.7</v>
      </c>
      <c r="AZR46" s="59">
        <v>51.8</v>
      </c>
      <c r="BCP46" s="59">
        <v>32</v>
      </c>
      <c r="BHD46" s="59">
        <v>3.46</v>
      </c>
      <c r="BLD46" s="59">
        <v>185</v>
      </c>
      <c r="BOA46" s="59">
        <v>80</v>
      </c>
      <c r="BOC46" s="59">
        <v>1</v>
      </c>
      <c r="BOD46" s="59">
        <v>27.3</v>
      </c>
      <c r="BOF46" s="59">
        <v>1</v>
      </c>
      <c r="BOG46" s="59">
        <v>1</v>
      </c>
      <c r="BQB46" s="59">
        <v>1</v>
      </c>
      <c r="BSG46" s="59">
        <v>1</v>
      </c>
      <c r="BTE46" s="59">
        <v>1</v>
      </c>
      <c r="BVM46" s="59">
        <v>1</v>
      </c>
      <c r="BVN46" s="59">
        <v>1</v>
      </c>
      <c r="BYJ46" s="65"/>
      <c r="BYK46" s="59">
        <v>0</v>
      </c>
      <c r="BYO46" s="59">
        <v>1</v>
      </c>
      <c r="BYS46" s="59">
        <v>1</v>
      </c>
      <c r="BYT46" s="59">
        <v>0</v>
      </c>
      <c r="BYU46" s="59">
        <v>0</v>
      </c>
      <c r="BYV46" s="59">
        <v>0</v>
      </c>
      <c r="BYY46" s="59">
        <v>0</v>
      </c>
      <c r="BZL46" s="59">
        <v>0</v>
      </c>
      <c r="EEZ46" s="59">
        <v>1</v>
      </c>
      <c r="EFD46" s="59">
        <v>0</v>
      </c>
      <c r="EFE46" s="59">
        <v>0</v>
      </c>
      <c r="EFF46" s="59">
        <v>999</v>
      </c>
      <c r="GYI46" s="59">
        <v>1</v>
      </c>
      <c r="HAW46" s="59">
        <v>1</v>
      </c>
      <c r="HFE46" s="59">
        <v>1</v>
      </c>
    </row>
    <row r="47" spans="1:3055 3099:3979 4104:5091 5209:5798" s="59" customFormat="1" x14ac:dyDescent="0.25">
      <c r="A47" s="59">
        <v>6006917</v>
      </c>
      <c r="B47" s="60" t="s">
        <v>4191</v>
      </c>
      <c r="HP47" s="59">
        <v>12200</v>
      </c>
      <c r="JP47" s="59">
        <v>54</v>
      </c>
      <c r="NE47" s="59">
        <v>74</v>
      </c>
      <c r="QS47" s="59">
        <v>81</v>
      </c>
      <c r="ANF47" s="59">
        <v>240</v>
      </c>
      <c r="BMU47" s="59">
        <v>1204.7</v>
      </c>
      <c r="BOA47" s="59">
        <v>52</v>
      </c>
      <c r="BOC47" s="59">
        <v>1</v>
      </c>
      <c r="BTU47" s="59">
        <v>1</v>
      </c>
      <c r="BYJ47" s="65"/>
      <c r="BYK47" s="59">
        <v>0</v>
      </c>
      <c r="BYP47" s="59">
        <v>1</v>
      </c>
      <c r="BYY47" s="59">
        <v>0</v>
      </c>
      <c r="BZL47" s="59">
        <v>0</v>
      </c>
      <c r="CMA47" s="59">
        <v>1</v>
      </c>
      <c r="GWQ47" s="59">
        <v>1</v>
      </c>
      <c r="GYE47" s="59">
        <v>1</v>
      </c>
      <c r="HEV47" s="59">
        <v>1</v>
      </c>
      <c r="HFQ47" s="59">
        <v>1</v>
      </c>
      <c r="HFR47" s="59">
        <v>1</v>
      </c>
      <c r="HFS47" s="59">
        <v>1</v>
      </c>
      <c r="HFT47" s="59">
        <v>1</v>
      </c>
      <c r="HIN47" s="59">
        <v>1</v>
      </c>
      <c r="HJG47" s="59">
        <v>1</v>
      </c>
      <c r="HJH47" s="59">
        <v>1</v>
      </c>
      <c r="HJI47" s="59">
        <v>1</v>
      </c>
      <c r="HJJ47" s="59">
        <v>1</v>
      </c>
      <c r="HJO47" s="59">
        <v>1</v>
      </c>
    </row>
    <row r="48" spans="1:3055 3099:3979 4104:5091 5209:5798" s="59" customFormat="1" x14ac:dyDescent="0.25">
      <c r="B48" s="60"/>
      <c r="BYJ48" s="65"/>
      <c r="BYK48" s="59">
        <v>0</v>
      </c>
      <c r="BYY48" s="59">
        <v>0</v>
      </c>
      <c r="BZL48" s="59">
        <v>0</v>
      </c>
    </row>
    <row r="49" spans="1:982 1046:2779 3330:3735 4104:4753 5177:5799" s="59" customFormat="1" x14ac:dyDescent="0.25">
      <c r="A49" s="59">
        <v>8057159</v>
      </c>
      <c r="B49" s="60" t="s">
        <v>4192</v>
      </c>
      <c r="HW49" s="59">
        <v>10520</v>
      </c>
      <c r="HY49" s="59">
        <v>8470</v>
      </c>
      <c r="IA49" s="59">
        <v>6550</v>
      </c>
      <c r="NL49" s="59">
        <v>40</v>
      </c>
      <c r="NN49" s="59">
        <v>50</v>
      </c>
      <c r="QZ49" s="59">
        <v>68</v>
      </c>
      <c r="RB49" s="59">
        <v>71</v>
      </c>
      <c r="ANM49" s="59">
        <v>93.3</v>
      </c>
      <c r="ANO49" s="59">
        <v>117</v>
      </c>
      <c r="ANQ49" s="59">
        <v>32</v>
      </c>
      <c r="BKR49" s="59">
        <v>40.200000000000003</v>
      </c>
      <c r="BOA49" s="59">
        <v>54</v>
      </c>
      <c r="BOC49" s="59">
        <v>1</v>
      </c>
      <c r="BOF49" s="59">
        <v>1</v>
      </c>
      <c r="BOG49" s="59">
        <v>11</v>
      </c>
      <c r="BYJ49" s="65"/>
      <c r="BYK49" s="59">
        <v>0</v>
      </c>
      <c r="BYY49" s="59">
        <v>0</v>
      </c>
      <c r="BZE49" s="59">
        <v>1</v>
      </c>
      <c r="BZF49" s="59">
        <v>9</v>
      </c>
      <c r="BZG49" s="59">
        <v>8</v>
      </c>
      <c r="BZH49" s="59">
        <v>0</v>
      </c>
      <c r="BZI49" s="59">
        <v>0</v>
      </c>
      <c r="BZL49" s="59">
        <v>0</v>
      </c>
      <c r="FUJ49" s="59">
        <v>8</v>
      </c>
      <c r="FXU49" s="59">
        <v>8</v>
      </c>
      <c r="GYE49" s="59">
        <v>1</v>
      </c>
      <c r="GYZ49" s="59">
        <v>1</v>
      </c>
      <c r="GZF49" s="59">
        <v>1</v>
      </c>
      <c r="HET49" s="59">
        <v>1</v>
      </c>
      <c r="HEZ49" s="59">
        <v>1</v>
      </c>
      <c r="HGG49" s="59">
        <v>1</v>
      </c>
    </row>
    <row r="50" spans="1:982 1046:2779 3330:3735 4104:4753 5177:5799" s="63" customFormat="1" x14ac:dyDescent="0.25">
      <c r="A50" s="63">
        <v>9140312</v>
      </c>
      <c r="B50" s="89" t="s">
        <v>4192</v>
      </c>
      <c r="HS50" s="63">
        <v>13220</v>
      </c>
      <c r="XN50" s="63">
        <v>12.2</v>
      </c>
      <c r="ZU50" s="63">
        <v>11.6</v>
      </c>
      <c r="ANI50" s="63">
        <v>11.6</v>
      </c>
      <c r="ANJ50" s="63">
        <v>8</v>
      </c>
      <c r="ANK50" s="63">
        <v>4.7</v>
      </c>
      <c r="ASE50" s="63" t="s">
        <v>585</v>
      </c>
      <c r="ASF50" s="63">
        <v>0</v>
      </c>
      <c r="ASG50" s="63">
        <v>23000</v>
      </c>
      <c r="ASH50" s="63">
        <v>60000</v>
      </c>
      <c r="ASI50" s="63">
        <v>64000</v>
      </c>
      <c r="AVF50" s="63">
        <v>75.8</v>
      </c>
      <c r="BKM50" s="63">
        <v>40.700000000000003</v>
      </c>
      <c r="BKQ50" s="63">
        <v>38.5</v>
      </c>
      <c r="BLG50" s="63">
        <v>162</v>
      </c>
      <c r="BLI50" s="63">
        <v>85</v>
      </c>
      <c r="BNB50" s="63">
        <v>25</v>
      </c>
      <c r="BNC50" s="63">
        <v>1305</v>
      </c>
      <c r="BNE50" s="63" t="s">
        <v>595</v>
      </c>
      <c r="BNF50" s="63">
        <v>350</v>
      </c>
      <c r="BNG50" s="63">
        <v>90</v>
      </c>
      <c r="BNJ50" s="63">
        <v>495</v>
      </c>
      <c r="BNK50" s="63">
        <v>300</v>
      </c>
      <c r="BNO50" s="63">
        <v>100</v>
      </c>
      <c r="BNW50" s="63">
        <v>7</v>
      </c>
      <c r="BNX50" s="63">
        <v>8</v>
      </c>
      <c r="BNY50" s="63">
        <v>8</v>
      </c>
      <c r="BNZ50" s="63">
        <v>1</v>
      </c>
      <c r="BOA50" s="63">
        <v>5</v>
      </c>
      <c r="BOB50" s="63">
        <v>1</v>
      </c>
      <c r="BOF50" s="63">
        <v>1</v>
      </c>
      <c r="BOG50" s="63">
        <v>5</v>
      </c>
      <c r="BYK50" s="63">
        <v>0</v>
      </c>
      <c r="BYY50" s="63">
        <v>4800</v>
      </c>
      <c r="BYZ50" s="63">
        <v>200</v>
      </c>
      <c r="BZA50" s="63">
        <v>4</v>
      </c>
      <c r="BZG50" s="63">
        <v>6</v>
      </c>
      <c r="BZL50" s="63">
        <v>0</v>
      </c>
      <c r="CRD50" s="63">
        <v>4</v>
      </c>
      <c r="EEK50" s="63">
        <v>1</v>
      </c>
      <c r="GYB50" s="63">
        <v>1</v>
      </c>
      <c r="GYU50" s="63">
        <v>1</v>
      </c>
      <c r="HBF50" s="63">
        <v>1</v>
      </c>
      <c r="HBI50" s="63">
        <v>1</v>
      </c>
      <c r="HBR50" s="63">
        <v>1</v>
      </c>
      <c r="HBV50" s="63">
        <v>1</v>
      </c>
      <c r="HDI50" s="63">
        <v>1</v>
      </c>
      <c r="HEO50" s="63">
        <v>1</v>
      </c>
      <c r="HEW50" s="63">
        <v>1</v>
      </c>
      <c r="HFC50" s="63">
        <v>1</v>
      </c>
      <c r="HGG50" s="63">
        <v>1</v>
      </c>
      <c r="HIF50" s="63">
        <v>1</v>
      </c>
      <c r="HKH50" s="63">
        <v>1</v>
      </c>
    </row>
    <row r="51" spans="1:982 1046:2779 3330:3735 4104:4753 5177:5799" s="63" customFormat="1" x14ac:dyDescent="0.25">
      <c r="A51" s="63">
        <v>12008230</v>
      </c>
      <c r="B51" s="89" t="s">
        <v>4192</v>
      </c>
      <c r="D51" s="90"/>
      <c r="E51" s="90"/>
      <c r="F51" s="90"/>
      <c r="BFA51" s="63">
        <v>0</v>
      </c>
      <c r="BFN51" s="63">
        <v>0</v>
      </c>
      <c r="BFO51" s="63">
        <v>0</v>
      </c>
      <c r="BOA51" s="63">
        <v>28</v>
      </c>
      <c r="BOB51" s="63">
        <v>1</v>
      </c>
      <c r="BOD51" s="63">
        <v>26.01</v>
      </c>
      <c r="BOF51" s="63">
        <v>1</v>
      </c>
      <c r="BOG51" s="63">
        <v>12</v>
      </c>
      <c r="BYK51" s="63">
        <v>0</v>
      </c>
      <c r="BYY51" s="63">
        <v>0</v>
      </c>
      <c r="BZF51" s="63">
        <v>7</v>
      </c>
      <c r="BZL51" s="63">
        <v>0</v>
      </c>
      <c r="CML51" s="63">
        <v>3</v>
      </c>
      <c r="CMM51" s="63">
        <v>9</v>
      </c>
      <c r="CMN51" s="63">
        <v>7</v>
      </c>
      <c r="CMO51" s="63">
        <v>0</v>
      </c>
      <c r="GYE51" s="63">
        <v>1</v>
      </c>
      <c r="GYH51" s="63">
        <v>1</v>
      </c>
      <c r="GYL51" s="63">
        <v>1</v>
      </c>
      <c r="HBJ51" s="63">
        <v>1</v>
      </c>
      <c r="HEK51" s="63">
        <v>1</v>
      </c>
      <c r="HFD51" s="63">
        <v>1</v>
      </c>
      <c r="HHI51" s="63">
        <v>1</v>
      </c>
      <c r="HHJ51" s="63">
        <v>1</v>
      </c>
      <c r="HHK51" s="63">
        <v>1</v>
      </c>
      <c r="HHV51" s="63">
        <v>1</v>
      </c>
      <c r="HHW51" s="63">
        <v>1</v>
      </c>
      <c r="HHX51" s="63">
        <v>1</v>
      </c>
      <c r="HHY51" s="63">
        <v>1</v>
      </c>
    </row>
    <row r="52" spans="1:982 1046:2779 3330:3735 4104:4753 5177:5799" s="59" customFormat="1" x14ac:dyDescent="0.25">
      <c r="A52" s="59">
        <v>12088444</v>
      </c>
      <c r="B52" s="60" t="s">
        <v>4192</v>
      </c>
      <c r="D52" s="79"/>
      <c r="E52" s="79"/>
      <c r="F52" s="79"/>
      <c r="HT52" s="59">
        <v>2330</v>
      </c>
      <c r="HZ52" s="59">
        <v>8430</v>
      </c>
      <c r="IR52" s="59">
        <v>3950</v>
      </c>
      <c r="IS52" s="59">
        <v>4840</v>
      </c>
      <c r="JT52" s="59">
        <v>121</v>
      </c>
      <c r="JZ52" s="59">
        <v>89</v>
      </c>
      <c r="LT52" s="59">
        <v>31</v>
      </c>
      <c r="NI52" s="59">
        <v>44</v>
      </c>
      <c r="NO52" s="59">
        <v>70</v>
      </c>
      <c r="PK52" s="59">
        <v>36</v>
      </c>
      <c r="TO52" s="59">
        <v>910</v>
      </c>
      <c r="ZV52" s="59">
        <v>13.1</v>
      </c>
      <c r="AAB52" s="59">
        <v>12.5</v>
      </c>
      <c r="AAU52" s="59">
        <v>12.3</v>
      </c>
      <c r="AAW52" s="59">
        <v>12.7</v>
      </c>
      <c r="AKT52" s="59">
        <v>594</v>
      </c>
      <c r="ANJ52" s="59">
        <v>35.5</v>
      </c>
      <c r="ANP52" s="59">
        <v>1.8</v>
      </c>
      <c r="AOH52" s="59">
        <v>1.3</v>
      </c>
      <c r="AOJ52" s="59">
        <v>0.6</v>
      </c>
      <c r="ASG52" s="59">
        <v>78000</v>
      </c>
      <c r="ASM52" s="59">
        <v>1770</v>
      </c>
      <c r="ATF52" s="59">
        <v>2230</v>
      </c>
      <c r="ATI52" s="59">
        <v>187000</v>
      </c>
      <c r="BKE52" s="64" t="s">
        <v>2468</v>
      </c>
      <c r="BKF52" s="64" t="s">
        <v>2467</v>
      </c>
      <c r="BOA52" s="59">
        <v>15</v>
      </c>
      <c r="BOC52" s="59">
        <v>1</v>
      </c>
      <c r="BOD52" s="59">
        <v>25.89</v>
      </c>
      <c r="BOF52" s="59">
        <v>1</v>
      </c>
      <c r="BOG52" s="59">
        <v>12</v>
      </c>
      <c r="BQC52" s="59">
        <v>1</v>
      </c>
      <c r="BUZ52" s="59">
        <v>1</v>
      </c>
      <c r="BYJ52" s="65"/>
      <c r="BYK52" s="59">
        <v>0</v>
      </c>
      <c r="BYY52" s="59">
        <v>0</v>
      </c>
      <c r="BYZ52" s="59">
        <v>800</v>
      </c>
      <c r="BZD52" s="59">
        <v>1</v>
      </c>
      <c r="BZF52" s="59">
        <v>638</v>
      </c>
      <c r="BZG52" s="59">
        <v>630</v>
      </c>
      <c r="BZH52" s="59">
        <v>0</v>
      </c>
      <c r="BZI52" s="59">
        <v>8</v>
      </c>
      <c r="BZL52" s="59">
        <v>0</v>
      </c>
      <c r="EEK52" s="59">
        <v>1</v>
      </c>
      <c r="EMI52" s="59">
        <v>40</v>
      </c>
      <c r="EMJ52" s="59">
        <v>1</v>
      </c>
      <c r="EMM52" s="59">
        <v>1</v>
      </c>
      <c r="EMN52" s="59">
        <v>638</v>
      </c>
      <c r="EMO52" s="59">
        <v>630</v>
      </c>
      <c r="EMP52" s="59">
        <v>0</v>
      </c>
      <c r="EMQ52" s="59">
        <v>8</v>
      </c>
      <c r="FCJ52" s="59">
        <v>249</v>
      </c>
      <c r="FCO52" s="59">
        <v>999</v>
      </c>
      <c r="FCP52" s="59">
        <v>999</v>
      </c>
      <c r="FCQ52" s="59">
        <v>0</v>
      </c>
      <c r="FCR52" s="59">
        <v>999</v>
      </c>
      <c r="GQC52" s="59">
        <v>15</v>
      </c>
      <c r="GQD52" s="59">
        <v>0.14000000000000001</v>
      </c>
      <c r="GQG52" s="59">
        <v>1</v>
      </c>
      <c r="GQH52" s="59">
        <v>999</v>
      </c>
      <c r="GQI52" s="59">
        <v>669</v>
      </c>
      <c r="GQJ52" s="59">
        <v>0</v>
      </c>
      <c r="GQK52" s="59">
        <v>999</v>
      </c>
      <c r="GYT52" s="59">
        <v>1</v>
      </c>
      <c r="HEF52" s="59">
        <v>1</v>
      </c>
      <c r="HEQ52" s="59">
        <v>1</v>
      </c>
    </row>
    <row r="53" spans="1:982 1046:2779 3330:3735 4104:4753 5177:5799" s="59" customFormat="1" x14ac:dyDescent="0.25">
      <c r="A53" s="77">
        <v>13118872</v>
      </c>
      <c r="B53" s="60" t="s">
        <v>4192</v>
      </c>
      <c r="HU53" s="59">
        <v>10500</v>
      </c>
      <c r="ANK53" s="59">
        <v>118.79</v>
      </c>
      <c r="AVG53" s="59">
        <v>87.62</v>
      </c>
      <c r="BOA53" s="59">
        <v>48</v>
      </c>
      <c r="BOC53" s="59">
        <v>1</v>
      </c>
      <c r="BOF53" s="59">
        <v>1</v>
      </c>
      <c r="BPP53" s="59">
        <v>1</v>
      </c>
      <c r="BRM53" s="59">
        <v>1</v>
      </c>
      <c r="BYJ53" s="65"/>
      <c r="BYK53" s="59">
        <v>0</v>
      </c>
      <c r="BYY53" s="59">
        <v>0</v>
      </c>
      <c r="BZD53" s="59">
        <v>1</v>
      </c>
      <c r="BZF53" s="59">
        <v>3</v>
      </c>
      <c r="BZG53" s="59">
        <v>2</v>
      </c>
      <c r="BZH53" s="59">
        <v>0</v>
      </c>
      <c r="BZI53" s="59">
        <v>0</v>
      </c>
      <c r="BZL53" s="59">
        <v>0</v>
      </c>
      <c r="DBO53" s="73">
        <v>25</v>
      </c>
      <c r="DBP53" s="59">
        <v>1</v>
      </c>
      <c r="DBS53" s="59">
        <v>1</v>
      </c>
      <c r="DBT53" s="59">
        <v>2</v>
      </c>
      <c r="DBU53" s="59">
        <v>14</v>
      </c>
      <c r="DBV53" s="59">
        <v>13</v>
      </c>
      <c r="DBW53" s="59">
        <v>0</v>
      </c>
      <c r="ELY53" s="59">
        <v>20</v>
      </c>
      <c r="EMC53" s="59">
        <v>1</v>
      </c>
      <c r="EMD53" s="59">
        <v>3</v>
      </c>
      <c r="EME53" s="59">
        <v>0</v>
      </c>
      <c r="EMF53" s="59">
        <v>0</v>
      </c>
      <c r="EMG53" s="59">
        <v>2</v>
      </c>
      <c r="FJK53" s="77" t="s">
        <v>722</v>
      </c>
      <c r="FJL53" s="59">
        <v>1</v>
      </c>
      <c r="FJO53" s="59">
        <v>1</v>
      </c>
      <c r="FJP53" s="59">
        <v>5</v>
      </c>
      <c r="FJQ53" s="59">
        <v>4</v>
      </c>
      <c r="FJR53" s="59">
        <v>0</v>
      </c>
      <c r="FJS53" s="59">
        <v>0</v>
      </c>
      <c r="FJU53" s="59">
        <v>40</v>
      </c>
      <c r="FJV53" s="59">
        <v>1</v>
      </c>
      <c r="FJY53" s="59">
        <v>1</v>
      </c>
      <c r="FJZ53" s="59">
        <v>2</v>
      </c>
      <c r="FKA53" s="59">
        <v>1</v>
      </c>
      <c r="FKB53" s="59">
        <v>0</v>
      </c>
      <c r="FKC53" s="59">
        <v>0</v>
      </c>
      <c r="FVP53" s="59">
        <v>25</v>
      </c>
      <c r="FVQ53" s="59">
        <v>1</v>
      </c>
      <c r="FVT53" s="59">
        <v>1</v>
      </c>
      <c r="FVU53" s="59">
        <v>2</v>
      </c>
      <c r="FVV53" s="59">
        <v>14</v>
      </c>
      <c r="FVW53" s="59">
        <v>13</v>
      </c>
      <c r="FVX53" s="59">
        <v>0</v>
      </c>
      <c r="FYS53" s="59">
        <v>75</v>
      </c>
      <c r="FYT53" s="59">
        <v>1</v>
      </c>
      <c r="FYW53" s="59">
        <v>1</v>
      </c>
      <c r="FYY53" s="59">
        <v>18</v>
      </c>
      <c r="FYZ53" s="59">
        <v>0</v>
      </c>
      <c r="FZA53" s="59">
        <v>999</v>
      </c>
      <c r="GZP53" s="59">
        <v>1</v>
      </c>
      <c r="HAB53" s="59">
        <v>1</v>
      </c>
      <c r="HEP53" s="59">
        <v>1</v>
      </c>
      <c r="HFE53" s="59">
        <v>1</v>
      </c>
    </row>
    <row r="54" spans="1:982 1046:2779 3330:3735 4104:4753 5177:5799" s="63" customFormat="1" x14ac:dyDescent="0.25">
      <c r="A54" s="63">
        <v>12012030</v>
      </c>
      <c r="B54" s="89" t="s">
        <v>4192</v>
      </c>
      <c r="VS54" s="63">
        <v>195</v>
      </c>
      <c r="VW54" s="63">
        <v>338</v>
      </c>
      <c r="WQ54" s="63">
        <v>42</v>
      </c>
      <c r="WR54" s="63">
        <v>42</v>
      </c>
      <c r="WW54" s="63">
        <v>240</v>
      </c>
      <c r="WX54" s="63">
        <v>346</v>
      </c>
      <c r="AFE54" s="63">
        <v>3.8</v>
      </c>
      <c r="AFI54" s="63">
        <v>4.2</v>
      </c>
      <c r="AKI54" s="63">
        <v>0.24</v>
      </c>
      <c r="ANT54" s="63">
        <v>5</v>
      </c>
      <c r="APD54" s="63">
        <v>33</v>
      </c>
      <c r="API54" s="63">
        <v>33</v>
      </c>
      <c r="AQB54" s="63">
        <v>5.25</v>
      </c>
      <c r="ARF54" s="63">
        <v>250</v>
      </c>
      <c r="ASY54" s="63">
        <v>462000</v>
      </c>
      <c r="AWV54" s="63">
        <v>217</v>
      </c>
      <c r="AWZ54" s="63">
        <v>206</v>
      </c>
      <c r="BLR54" s="63">
        <v>85</v>
      </c>
      <c r="BNH54" s="63">
        <v>250</v>
      </c>
      <c r="BNI54" s="63">
        <v>250</v>
      </c>
      <c r="BNQ54" s="63">
        <v>500</v>
      </c>
      <c r="BNR54" s="63">
        <v>500</v>
      </c>
      <c r="BNT54" s="63">
        <v>226.7</v>
      </c>
      <c r="BOA54" s="63">
        <v>4</v>
      </c>
      <c r="BOB54" s="63">
        <v>1</v>
      </c>
      <c r="BOF54" s="63">
        <v>1</v>
      </c>
      <c r="BOL54" s="63">
        <v>1</v>
      </c>
      <c r="BYK54" s="63">
        <v>0</v>
      </c>
      <c r="BYY54" s="63">
        <v>0</v>
      </c>
      <c r="BZD54" s="63">
        <v>1</v>
      </c>
      <c r="BZF54" s="63">
        <v>14</v>
      </c>
      <c r="BZG54" s="63">
        <v>4</v>
      </c>
      <c r="BZH54" s="63">
        <v>0</v>
      </c>
      <c r="BZI54" s="63">
        <v>10</v>
      </c>
      <c r="BZL54" s="63">
        <v>0</v>
      </c>
      <c r="HCF54" s="63">
        <v>1</v>
      </c>
      <c r="HDC54" s="63">
        <v>1</v>
      </c>
      <c r="HDE54" s="63">
        <v>1</v>
      </c>
      <c r="HDH54" s="63">
        <v>1</v>
      </c>
      <c r="HDK54" s="63">
        <v>1</v>
      </c>
      <c r="HDM54" s="63">
        <v>1</v>
      </c>
      <c r="HFZ54" s="63">
        <v>1</v>
      </c>
      <c r="HIM54" s="63">
        <v>1</v>
      </c>
      <c r="HJH54" s="63">
        <v>1</v>
      </c>
    </row>
    <row r="55" spans="1:982 1046:2779 3330:3735 4104:4753 5177:5799" s="59" customFormat="1" x14ac:dyDescent="0.25">
      <c r="B55" s="60"/>
      <c r="BYJ55" s="65"/>
      <c r="BYK55" s="59">
        <v>0</v>
      </c>
      <c r="BYY55" s="59">
        <v>0</v>
      </c>
      <c r="BZL55" s="59">
        <v>0</v>
      </c>
    </row>
    <row r="56" spans="1:982 1046:2779 3330:3735 4104:4753 5177:5799" s="63" customFormat="1" x14ac:dyDescent="0.25">
      <c r="A56" s="63">
        <v>9074418</v>
      </c>
      <c r="B56" s="89" t="s">
        <v>4193</v>
      </c>
      <c r="HS56" s="63">
        <v>25000</v>
      </c>
      <c r="ANI56" s="63">
        <v>250</v>
      </c>
      <c r="AVF56" s="63">
        <v>87</v>
      </c>
      <c r="BES56" s="63">
        <v>0</v>
      </c>
      <c r="BET56" s="63">
        <v>0</v>
      </c>
      <c r="BEU56" s="63">
        <v>0</v>
      </c>
      <c r="BFB56" s="63">
        <v>0</v>
      </c>
      <c r="BFD56" s="63">
        <v>0</v>
      </c>
      <c r="BFJ56" s="63">
        <v>0</v>
      </c>
      <c r="BFK56" s="63">
        <v>0</v>
      </c>
      <c r="BFM56" s="63">
        <v>0</v>
      </c>
      <c r="BKQ56" s="63">
        <v>39</v>
      </c>
      <c r="BMX56" s="63" t="s">
        <v>632</v>
      </c>
      <c r="BMY56" s="63">
        <v>1</v>
      </c>
      <c r="BMZ56" s="63">
        <v>1</v>
      </c>
      <c r="BOA56" s="63">
        <v>48</v>
      </c>
      <c r="BOB56" s="63">
        <v>1</v>
      </c>
      <c r="BOF56" s="63">
        <v>1</v>
      </c>
      <c r="BTZ56" s="63">
        <v>1</v>
      </c>
      <c r="BYK56" s="63">
        <v>0</v>
      </c>
      <c r="BYY56" s="63">
        <v>0</v>
      </c>
      <c r="BZL56" s="63">
        <v>0</v>
      </c>
      <c r="BZS56" s="63">
        <v>5</v>
      </c>
      <c r="BZT56" s="63">
        <v>5</v>
      </c>
      <c r="CML56" s="63">
        <v>3</v>
      </c>
      <c r="CMM56" s="63">
        <v>3</v>
      </c>
      <c r="CMN56" s="63">
        <v>0</v>
      </c>
      <c r="GYE56" s="63">
        <v>1</v>
      </c>
      <c r="HBV56" s="63">
        <v>1</v>
      </c>
      <c r="HEU56" s="63">
        <v>1</v>
      </c>
      <c r="HEV56" s="63">
        <v>1</v>
      </c>
      <c r="HFB56" s="63">
        <v>1</v>
      </c>
      <c r="HFE56" s="63">
        <v>1</v>
      </c>
      <c r="HGZ56" s="63">
        <v>1</v>
      </c>
      <c r="HHA56" s="63">
        <v>1</v>
      </c>
      <c r="HJN56" s="63">
        <v>1</v>
      </c>
      <c r="HMP56" s="63">
        <v>1</v>
      </c>
      <c r="HNP56" s="63">
        <v>1</v>
      </c>
      <c r="HNQ56" s="63">
        <v>1</v>
      </c>
      <c r="HNU56" s="63">
        <v>1</v>
      </c>
      <c r="HNV56" s="63">
        <v>1</v>
      </c>
      <c r="HNW56" s="63">
        <v>1</v>
      </c>
      <c r="HOA56" s="63">
        <v>1</v>
      </c>
    </row>
    <row r="57" spans="1:982 1046:2779 3330:3735 4104:4753 5177:5799" s="59" customFormat="1" x14ac:dyDescent="0.25">
      <c r="A57" s="77">
        <v>1263</v>
      </c>
      <c r="B57" s="60" t="s">
        <v>4193</v>
      </c>
      <c r="L57" s="59">
        <v>124</v>
      </c>
      <c r="N57" s="59">
        <v>41</v>
      </c>
      <c r="BC57" s="59">
        <v>5</v>
      </c>
      <c r="BE57" s="59">
        <v>20</v>
      </c>
      <c r="BH57" s="59">
        <v>75</v>
      </c>
      <c r="BJ57" s="59">
        <v>74</v>
      </c>
      <c r="EG57" s="59">
        <v>180</v>
      </c>
      <c r="EI57" s="59">
        <v>61</v>
      </c>
      <c r="EL57" s="59">
        <v>33.6</v>
      </c>
      <c r="FE57" s="59">
        <v>14.4</v>
      </c>
      <c r="BOA57" s="59">
        <v>70</v>
      </c>
      <c r="BOC57" s="59">
        <v>1</v>
      </c>
      <c r="BOD57" s="59">
        <v>16.7</v>
      </c>
      <c r="BOF57" s="59">
        <v>1</v>
      </c>
      <c r="BOG57" s="59">
        <v>11</v>
      </c>
      <c r="BWW57" s="59">
        <v>1</v>
      </c>
      <c r="BWZ57" s="59">
        <v>1</v>
      </c>
      <c r="BYJ57" s="65"/>
      <c r="BYK57" s="59">
        <v>0</v>
      </c>
      <c r="BYY57" s="59">
        <v>0</v>
      </c>
      <c r="BZL57" s="59">
        <v>0</v>
      </c>
      <c r="BZM57" s="59">
        <v>500</v>
      </c>
      <c r="BZN57" s="59">
        <v>4</v>
      </c>
      <c r="BZQ57" s="59">
        <v>1</v>
      </c>
      <c r="CVP57" s="59">
        <v>400</v>
      </c>
      <c r="CVQ57" s="59">
        <v>2</v>
      </c>
      <c r="CVT57" s="59">
        <v>1</v>
      </c>
      <c r="CVU57" s="59">
        <v>4</v>
      </c>
      <c r="CVV57" s="59">
        <v>4</v>
      </c>
      <c r="CVW57" s="59">
        <v>1</v>
      </c>
      <c r="CVX57" s="59">
        <v>0</v>
      </c>
      <c r="CWA57" s="59">
        <v>2</v>
      </c>
      <c r="CWD57" s="59">
        <v>1</v>
      </c>
      <c r="CWE57" s="59">
        <v>4</v>
      </c>
      <c r="CWF57" s="59">
        <v>4</v>
      </c>
      <c r="CWG57" s="59">
        <v>1</v>
      </c>
      <c r="CWH57" s="59">
        <v>0</v>
      </c>
      <c r="DXB57" s="59">
        <v>1</v>
      </c>
      <c r="DXC57" s="77" t="s">
        <v>749</v>
      </c>
      <c r="FAV57" s="59">
        <v>2</v>
      </c>
      <c r="FAY57" s="59">
        <v>1</v>
      </c>
      <c r="FAZ57" s="59">
        <v>3</v>
      </c>
      <c r="FBA57" s="59">
        <v>1</v>
      </c>
      <c r="FBB57" s="59">
        <v>0</v>
      </c>
      <c r="FBC57" s="59">
        <v>1</v>
      </c>
      <c r="HAZ57" s="59">
        <v>1</v>
      </c>
      <c r="HGG57" s="59">
        <v>1</v>
      </c>
      <c r="HGJ57" s="59">
        <v>1</v>
      </c>
      <c r="HGO57" s="59">
        <v>1</v>
      </c>
    </row>
    <row r="58" spans="1:982 1046:2779 3330:3735 4104:4753 5177:5799" s="59" customFormat="1" x14ac:dyDescent="0.25">
      <c r="A58" s="59">
        <v>98004910</v>
      </c>
      <c r="B58" s="60" t="s">
        <v>4193</v>
      </c>
      <c r="JP58" s="59">
        <v>47</v>
      </c>
      <c r="NE58" s="59">
        <v>82</v>
      </c>
      <c r="QS58" s="59">
        <v>225</v>
      </c>
      <c r="TK58" s="59">
        <v>340</v>
      </c>
      <c r="AGE58" s="59">
        <v>486</v>
      </c>
      <c r="BOA58" s="59">
        <v>17</v>
      </c>
      <c r="BOC58" s="59">
        <v>1</v>
      </c>
      <c r="BOD58" s="59">
        <v>18.3</v>
      </c>
      <c r="BOF58" s="59">
        <v>1</v>
      </c>
      <c r="BOM58" s="59">
        <v>1</v>
      </c>
      <c r="BYJ58" s="65"/>
      <c r="BYK58" s="59">
        <v>0</v>
      </c>
      <c r="BYY58" s="59">
        <v>0</v>
      </c>
      <c r="BZL58" s="59">
        <v>1000</v>
      </c>
      <c r="BZM58" s="59">
        <v>500</v>
      </c>
      <c r="BZN58" s="59">
        <v>2</v>
      </c>
      <c r="BZQ58" s="59">
        <v>1</v>
      </c>
      <c r="BZS58" s="59">
        <v>2</v>
      </c>
      <c r="BZT58" s="59">
        <v>1</v>
      </c>
      <c r="BZU58" s="59">
        <v>0</v>
      </c>
      <c r="BZV58" s="59">
        <v>0</v>
      </c>
      <c r="GZP58" s="59">
        <v>1</v>
      </c>
      <c r="HAC58" s="59">
        <v>1</v>
      </c>
      <c r="HEN58" s="59">
        <v>1</v>
      </c>
      <c r="HEQ58" s="59">
        <v>1</v>
      </c>
    </row>
    <row r="59" spans="1:982 1046:2779 3330:3735 4104:4753 5177:5799" s="59" customFormat="1" x14ac:dyDescent="0.25">
      <c r="A59" s="65">
        <v>7103068</v>
      </c>
      <c r="B59" s="60" t="s">
        <v>4193</v>
      </c>
      <c r="O59" s="65"/>
      <c r="BB59" s="59">
        <v>29</v>
      </c>
      <c r="CL59" s="59">
        <v>2.0499999999999998</v>
      </c>
      <c r="GI59" s="59">
        <v>100</v>
      </c>
      <c r="HP59" s="59">
        <v>23600</v>
      </c>
      <c r="ID59" s="59">
        <v>7700</v>
      </c>
      <c r="IJ59" s="59">
        <v>4300</v>
      </c>
      <c r="KE59" s="59">
        <v>30</v>
      </c>
      <c r="KH59" s="59">
        <v>31</v>
      </c>
      <c r="QS59" s="59">
        <v>163.80000000000001</v>
      </c>
      <c r="RH59" s="59">
        <v>75</v>
      </c>
      <c r="TK59" s="59">
        <v>748.8</v>
      </c>
      <c r="TQ59" s="59">
        <v>487</v>
      </c>
      <c r="XW59" s="59">
        <v>11</v>
      </c>
      <c r="ABK59" s="59">
        <v>18.3002</v>
      </c>
      <c r="AEU59" s="64" t="s">
        <v>2494</v>
      </c>
      <c r="AGE59" s="59">
        <v>514.20000000000005</v>
      </c>
      <c r="ANF59" s="59">
        <v>185</v>
      </c>
      <c r="ARO59" s="59">
        <v>93</v>
      </c>
      <c r="AWM59" s="59">
        <v>16</v>
      </c>
      <c r="BKA59" s="59">
        <v>1740</v>
      </c>
      <c r="BKN59" s="59">
        <v>38</v>
      </c>
      <c r="BOA59" s="59">
        <v>39</v>
      </c>
      <c r="BOC59" s="59">
        <v>1</v>
      </c>
      <c r="BOF59" s="59">
        <v>1</v>
      </c>
      <c r="BUZ59" s="59">
        <v>1</v>
      </c>
      <c r="BWO59" s="59">
        <v>1</v>
      </c>
      <c r="BYJ59" s="65"/>
      <c r="BYK59" s="59">
        <v>0</v>
      </c>
      <c r="BYY59" s="59">
        <v>0</v>
      </c>
      <c r="BYZ59" s="59">
        <v>1800</v>
      </c>
      <c r="BZA59" s="59">
        <v>1</v>
      </c>
      <c r="BZL59" s="59">
        <v>0</v>
      </c>
      <c r="BZM59" s="59">
        <v>1000</v>
      </c>
      <c r="BZN59" s="59">
        <v>4</v>
      </c>
      <c r="CWJ59" s="59">
        <v>1</v>
      </c>
      <c r="CWU59" s="59">
        <v>1</v>
      </c>
      <c r="CXF59" s="59">
        <v>1</v>
      </c>
      <c r="EEL59" s="59">
        <v>250</v>
      </c>
      <c r="EEN59" s="59">
        <v>1</v>
      </c>
      <c r="EEQ59" s="59">
        <v>3</v>
      </c>
      <c r="GYD59" s="59">
        <v>1</v>
      </c>
      <c r="GYE59" s="59">
        <v>1</v>
      </c>
      <c r="GYG59" s="59">
        <v>1</v>
      </c>
      <c r="GYV59" s="59">
        <v>1</v>
      </c>
      <c r="GZA59" s="59">
        <v>1</v>
      </c>
      <c r="HAZ59" s="59">
        <v>1</v>
      </c>
      <c r="HBE59" s="59">
        <v>1</v>
      </c>
      <c r="HBX59" s="59">
        <v>1</v>
      </c>
      <c r="HFJ59" s="59">
        <v>1</v>
      </c>
      <c r="HFM59" s="59">
        <v>1</v>
      </c>
      <c r="HHP59" s="59">
        <v>1</v>
      </c>
      <c r="HHR59" s="59">
        <v>1</v>
      </c>
      <c r="HMU59" s="59">
        <v>1</v>
      </c>
    </row>
    <row r="60" spans="1:982 1046:2779 3330:3735 4104:4753 5177:5799" s="63" customFormat="1" x14ac:dyDescent="0.25">
      <c r="A60" s="63">
        <v>11240728</v>
      </c>
      <c r="B60" s="89" t="s">
        <v>4193</v>
      </c>
      <c r="JQ60" s="63">
        <v>115.2</v>
      </c>
      <c r="JR60" s="63">
        <v>114</v>
      </c>
      <c r="JT60" s="63">
        <v>151.19999999999999</v>
      </c>
      <c r="JW60" s="63">
        <v>40.200000000000003</v>
      </c>
      <c r="NF60" s="63">
        <v>156</v>
      </c>
      <c r="NG60" s="63">
        <v>151.80000000000001</v>
      </c>
      <c r="NI60" s="63">
        <v>161.4</v>
      </c>
      <c r="NL60" s="63">
        <v>91.8</v>
      </c>
      <c r="QT60" s="63">
        <v>336</v>
      </c>
      <c r="QU60" s="63">
        <v>325.2</v>
      </c>
      <c r="QW60" s="63">
        <v>424.2</v>
      </c>
      <c r="QZ60" s="63">
        <v>268.2</v>
      </c>
      <c r="ABL60" s="63">
        <v>3.2974999999999999</v>
      </c>
      <c r="ABM60" s="63">
        <v>1.3681000000000001</v>
      </c>
      <c r="ABO60" s="63">
        <v>0.92379999999999995</v>
      </c>
      <c r="AGF60" s="63">
        <v>122.4</v>
      </c>
      <c r="AGG60" s="63">
        <v>248.4</v>
      </c>
      <c r="AGI60" s="63">
        <v>183</v>
      </c>
      <c r="BOA60" s="63">
        <v>51</v>
      </c>
      <c r="BOB60" s="63">
        <v>1</v>
      </c>
      <c r="BOD60" s="63">
        <v>26.01</v>
      </c>
      <c r="BOF60" s="63">
        <v>1</v>
      </c>
      <c r="BOH60" s="63">
        <v>1</v>
      </c>
      <c r="BYK60" s="63">
        <v>0</v>
      </c>
      <c r="BYY60" s="63">
        <v>0</v>
      </c>
      <c r="BZK60" s="63">
        <v>1</v>
      </c>
      <c r="BZL60" s="63">
        <v>0</v>
      </c>
      <c r="BZM60" s="63">
        <v>1500</v>
      </c>
      <c r="BZQ60" s="63">
        <v>1</v>
      </c>
      <c r="BZS60" s="63">
        <v>3</v>
      </c>
      <c r="BZT60" s="63">
        <v>2</v>
      </c>
      <c r="BZU60" s="63">
        <v>0</v>
      </c>
      <c r="BZV60" s="63">
        <v>0</v>
      </c>
      <c r="CTR60" s="63">
        <v>500</v>
      </c>
      <c r="CTV60" s="63">
        <v>1</v>
      </c>
      <c r="CTW60" s="63">
        <v>1</v>
      </c>
      <c r="CTX60" s="63">
        <v>0</v>
      </c>
      <c r="CTY60" s="63">
        <v>0</v>
      </c>
      <c r="HCB60" s="63">
        <v>1</v>
      </c>
      <c r="HFE60" s="63">
        <v>1</v>
      </c>
      <c r="HNQ60" s="63">
        <v>1</v>
      </c>
    </row>
    <row r="61" spans="1:982 1046:2779 3330:3735 4104:4753 5177:5799" s="59" customFormat="1" x14ac:dyDescent="0.25">
      <c r="B61" s="60"/>
      <c r="BYJ61" s="65"/>
      <c r="BYK61" s="59">
        <v>0</v>
      </c>
      <c r="BYY61" s="59">
        <v>0</v>
      </c>
      <c r="BZL61" s="59">
        <v>0</v>
      </c>
    </row>
    <row r="62" spans="1:982 1046:2779 3330:3735 4104:4753 5177:5799" s="59" customFormat="1" x14ac:dyDescent="0.25">
      <c r="A62" s="59">
        <v>5015869</v>
      </c>
      <c r="B62" s="60" t="s">
        <v>4194</v>
      </c>
      <c r="HT62" s="59">
        <v>2700</v>
      </c>
      <c r="JQ62" s="59">
        <v>595</v>
      </c>
      <c r="JT62" s="59">
        <v>563</v>
      </c>
      <c r="NF62" s="59">
        <v>898</v>
      </c>
      <c r="NI62" s="59">
        <v>774</v>
      </c>
      <c r="QT62" s="59">
        <v>113</v>
      </c>
      <c r="QY62" s="59">
        <v>443</v>
      </c>
      <c r="TL62" s="59">
        <v>337</v>
      </c>
      <c r="TO62" s="59">
        <v>802</v>
      </c>
      <c r="BOA62" s="59">
        <v>71</v>
      </c>
      <c r="BOC62" s="59">
        <v>1</v>
      </c>
      <c r="BSK62" s="59">
        <v>1</v>
      </c>
      <c r="BYJ62" s="65"/>
      <c r="BYK62" s="59">
        <v>937.5</v>
      </c>
      <c r="BYL62" s="59">
        <v>187.5</v>
      </c>
      <c r="BYM62" s="59">
        <v>1</v>
      </c>
      <c r="BYP62" s="59">
        <v>1</v>
      </c>
      <c r="BYS62" s="59">
        <v>6</v>
      </c>
      <c r="BYT62" s="59">
        <v>5</v>
      </c>
      <c r="BYU62" s="59">
        <v>0</v>
      </c>
      <c r="BYV62" s="59">
        <v>0</v>
      </c>
      <c r="BYY62" s="59">
        <v>0</v>
      </c>
      <c r="BZL62" s="59">
        <v>0</v>
      </c>
      <c r="DXG62" s="59">
        <v>1</v>
      </c>
      <c r="DXH62" s="59">
        <v>570</v>
      </c>
      <c r="DXI62" s="59">
        <v>570</v>
      </c>
      <c r="HDR62" s="59">
        <v>1</v>
      </c>
    </row>
    <row r="63" spans="1:982 1046:2779 3330:3735 4104:4753 5177:5799" s="59" customFormat="1" x14ac:dyDescent="0.25">
      <c r="A63" s="65">
        <v>5016969</v>
      </c>
      <c r="B63" s="60" t="s">
        <v>4194</v>
      </c>
      <c r="BC63" s="59">
        <v>12</v>
      </c>
      <c r="ZS63" s="59">
        <v>8.1999999999999993</v>
      </c>
      <c r="BOA63" s="59">
        <v>82</v>
      </c>
      <c r="BOC63" s="59">
        <v>1</v>
      </c>
      <c r="BOD63" s="59">
        <v>29.5</v>
      </c>
      <c r="BOF63" s="59">
        <v>1</v>
      </c>
      <c r="BOZ63" s="59">
        <v>1</v>
      </c>
      <c r="BPJ63" s="59">
        <v>1</v>
      </c>
      <c r="BQY63" s="59">
        <v>1</v>
      </c>
      <c r="BSG63" s="59">
        <v>1</v>
      </c>
      <c r="BVE63" s="59">
        <v>1</v>
      </c>
      <c r="BVK63" s="59">
        <v>1</v>
      </c>
      <c r="BVO63" s="59">
        <v>1</v>
      </c>
      <c r="BWZ63" s="59">
        <v>1</v>
      </c>
      <c r="BXU63" s="59">
        <v>1</v>
      </c>
      <c r="BYJ63" s="65"/>
      <c r="BYK63" s="59">
        <v>0</v>
      </c>
      <c r="BYL63" s="65">
        <v>50</v>
      </c>
      <c r="BYP63" s="59">
        <v>1</v>
      </c>
      <c r="BYS63" s="59">
        <v>69</v>
      </c>
      <c r="BYT63" s="59">
        <v>79</v>
      </c>
      <c r="BYV63" s="59">
        <v>0</v>
      </c>
      <c r="BYY63" s="59">
        <v>0</v>
      </c>
      <c r="BZL63" s="59">
        <v>0</v>
      </c>
      <c r="FZQ63" s="59">
        <v>1</v>
      </c>
      <c r="FZR63" s="59">
        <v>79</v>
      </c>
      <c r="FZS63" s="59">
        <v>79</v>
      </c>
      <c r="FZT63" s="59">
        <v>0</v>
      </c>
      <c r="FZU63" s="59">
        <v>0</v>
      </c>
      <c r="GWG63" s="59">
        <v>1</v>
      </c>
      <c r="GWM63" s="59">
        <v>1</v>
      </c>
    </row>
    <row r="64" spans="1:982 1046:2779 3330:3735 4104:4753 5177:5799" s="59" customFormat="1" x14ac:dyDescent="0.25">
      <c r="A64" s="59">
        <v>6023231</v>
      </c>
      <c r="B64" s="60" t="s">
        <v>4194</v>
      </c>
      <c r="K64" s="59">
        <v>83400</v>
      </c>
      <c r="HP64" s="59">
        <v>1200</v>
      </c>
      <c r="ANF64" s="59">
        <v>560</v>
      </c>
      <c r="BKN64" s="59">
        <v>41</v>
      </c>
      <c r="BOA64" s="59">
        <v>31</v>
      </c>
      <c r="BOC64" s="59">
        <v>1</v>
      </c>
      <c r="BOE64" s="59">
        <v>1</v>
      </c>
      <c r="BOG64" s="59">
        <v>73</v>
      </c>
      <c r="BYJ64" s="65">
        <v>1</v>
      </c>
      <c r="BYK64" s="59">
        <v>0</v>
      </c>
      <c r="BYY64" s="59">
        <v>0</v>
      </c>
      <c r="BZL64" s="59">
        <v>0</v>
      </c>
      <c r="GWU64" s="59">
        <v>1</v>
      </c>
      <c r="GWX64" s="59">
        <v>1</v>
      </c>
      <c r="GXA64" s="59">
        <v>1</v>
      </c>
      <c r="GXO64" s="59">
        <v>1</v>
      </c>
      <c r="GXR64" s="59">
        <v>1</v>
      </c>
      <c r="GXS64" s="59">
        <v>1</v>
      </c>
      <c r="GYE64" s="59">
        <v>1</v>
      </c>
      <c r="GZG64" s="59">
        <v>1</v>
      </c>
      <c r="GZS64" s="59">
        <v>1</v>
      </c>
      <c r="GZT64" s="59">
        <v>1</v>
      </c>
      <c r="HAG64" s="59">
        <v>1</v>
      </c>
      <c r="HAW64" s="59">
        <v>1</v>
      </c>
      <c r="HAZ64" s="59">
        <v>1</v>
      </c>
      <c r="HBM64" s="59">
        <v>1</v>
      </c>
      <c r="HBP64" s="59">
        <v>1</v>
      </c>
      <c r="HBX64" s="59">
        <v>1</v>
      </c>
      <c r="HCF64" s="59">
        <v>1</v>
      </c>
      <c r="HDG64" s="59">
        <v>1</v>
      </c>
      <c r="HDO64" s="59">
        <v>1</v>
      </c>
      <c r="HDP64" s="59">
        <v>1</v>
      </c>
    </row>
    <row r="65" spans="1:1016 1046:2972 3167:3858 4664:4939 5156:5520" s="59" customFormat="1" x14ac:dyDescent="0.25">
      <c r="A65" s="65">
        <v>6011198</v>
      </c>
      <c r="B65" s="60" t="s">
        <v>4194</v>
      </c>
      <c r="HP65" s="59">
        <v>12200</v>
      </c>
      <c r="ZR65" s="59">
        <v>4.5999999999999996</v>
      </c>
      <c r="ABK65" s="59">
        <v>11.2</v>
      </c>
      <c r="AJN65" s="64" t="s">
        <v>2463</v>
      </c>
      <c r="BEN65" s="59">
        <v>25</v>
      </c>
      <c r="BOA65" s="59">
        <v>72</v>
      </c>
      <c r="BOC65" s="59">
        <v>1</v>
      </c>
      <c r="BOE65" s="59">
        <v>1</v>
      </c>
      <c r="BOU65" s="59">
        <v>1</v>
      </c>
      <c r="BSH65" s="59">
        <v>1</v>
      </c>
      <c r="BYJ65" s="65"/>
      <c r="BYK65" s="59">
        <v>0</v>
      </c>
      <c r="BYL65" s="59">
        <v>100</v>
      </c>
      <c r="BYM65" s="59">
        <v>1</v>
      </c>
      <c r="BYY65" s="59">
        <v>0</v>
      </c>
      <c r="BZL65" s="59">
        <v>0</v>
      </c>
      <c r="CDD65" s="59">
        <v>1</v>
      </c>
      <c r="GWO65" s="59">
        <v>1</v>
      </c>
      <c r="GYG65" s="59">
        <v>1</v>
      </c>
      <c r="GZD65" s="59">
        <v>1</v>
      </c>
      <c r="GZH65" s="59">
        <v>1</v>
      </c>
      <c r="HAB65" s="59">
        <v>1</v>
      </c>
      <c r="HAZ65" s="59">
        <v>1</v>
      </c>
      <c r="HBD65" s="59">
        <v>1</v>
      </c>
      <c r="HBP65" s="59">
        <v>1</v>
      </c>
      <c r="HCB65" s="59">
        <v>1</v>
      </c>
      <c r="HCX65" s="59">
        <v>1</v>
      </c>
      <c r="HDA65" s="59">
        <v>1</v>
      </c>
      <c r="HDE65" s="59">
        <v>1</v>
      </c>
    </row>
    <row r="66" spans="1:1016 1046:2972 3167:3858 4664:4939 5156:5520" s="59" customFormat="1" x14ac:dyDescent="0.25">
      <c r="A66" s="77">
        <v>6012681</v>
      </c>
      <c r="B66" s="60" t="s">
        <v>4194</v>
      </c>
      <c r="HR66" s="63">
        <v>9500</v>
      </c>
      <c r="TM66" s="59">
        <v>715</v>
      </c>
      <c r="ZQ66" s="59">
        <v>11.2</v>
      </c>
      <c r="ZS66" s="59">
        <v>8.1</v>
      </c>
      <c r="ZT66" s="59">
        <v>6.6</v>
      </c>
      <c r="ZU66" s="59">
        <v>8.5</v>
      </c>
      <c r="AAF66" s="59">
        <v>11.7</v>
      </c>
      <c r="ABM66" s="59">
        <v>2.7</v>
      </c>
      <c r="AQT66" s="59">
        <v>2700</v>
      </c>
      <c r="BEP66" s="77">
        <v>0.2</v>
      </c>
      <c r="BEQ66" s="77"/>
      <c r="BOA66">
        <v>54</v>
      </c>
      <c r="BOB66"/>
      <c r="BOC66">
        <v>1</v>
      </c>
      <c r="BOD66">
        <v>33.56</v>
      </c>
      <c r="BOE66"/>
      <c r="BOF66">
        <v>1</v>
      </c>
      <c r="BOG66"/>
      <c r="BYJ66" s="65"/>
      <c r="BYK66" s="59">
        <v>100</v>
      </c>
      <c r="BYL66" s="59">
        <v>50</v>
      </c>
      <c r="BYM66" s="59">
        <v>2</v>
      </c>
      <c r="BYP66" s="59">
        <v>1</v>
      </c>
      <c r="BYS66" s="59">
        <v>8</v>
      </c>
      <c r="BYT66" s="59">
        <v>1</v>
      </c>
      <c r="BYU66" s="59">
        <v>0</v>
      </c>
      <c r="BYV66" s="59">
        <v>1</v>
      </c>
      <c r="BYY66" s="59">
        <v>0</v>
      </c>
      <c r="BZA66" s="59">
        <v>1</v>
      </c>
      <c r="BZD66" s="59">
        <v>1</v>
      </c>
      <c r="BZF66" s="59">
        <v>9</v>
      </c>
      <c r="BZG66" s="59">
        <v>16</v>
      </c>
      <c r="BZH66" s="59">
        <v>8</v>
      </c>
      <c r="BZI66" s="59">
        <v>0</v>
      </c>
      <c r="BZL66" s="59">
        <v>0</v>
      </c>
      <c r="CAD66" s="59">
        <v>2</v>
      </c>
      <c r="CAE66" s="59">
        <v>7</v>
      </c>
      <c r="CAF66" s="59">
        <v>6</v>
      </c>
      <c r="CAG66" s="59">
        <v>0</v>
      </c>
      <c r="CBE66" s="63">
        <v>500</v>
      </c>
      <c r="CBF66" s="59">
        <v>1</v>
      </c>
      <c r="CBG66" s="59">
        <v>1</v>
      </c>
      <c r="CBJ66" s="59">
        <v>1</v>
      </c>
      <c r="CBK66" s="59">
        <v>1</v>
      </c>
      <c r="CBL66" s="59">
        <v>1</v>
      </c>
      <c r="CBM66" s="59">
        <v>0</v>
      </c>
      <c r="CLY66" s="59">
        <v>1</v>
      </c>
      <c r="CMB66" s="59">
        <v>3</v>
      </c>
      <c r="CMC66" s="59">
        <v>1</v>
      </c>
      <c r="CMD66" s="59">
        <v>0</v>
      </c>
      <c r="CME66" s="59">
        <v>1</v>
      </c>
      <c r="DYT66" s="59">
        <v>0.35</v>
      </c>
      <c r="DYU66" s="59">
        <v>1</v>
      </c>
      <c r="DYW66" s="59">
        <v>1</v>
      </c>
      <c r="DYZ66" s="59">
        <v>1</v>
      </c>
      <c r="DZA66" s="59">
        <v>1</v>
      </c>
      <c r="DZB66" s="59">
        <v>1</v>
      </c>
      <c r="DZC66" s="59">
        <v>0</v>
      </c>
      <c r="EHI66" s="59">
        <v>2</v>
      </c>
      <c r="EHL66" s="59">
        <v>1</v>
      </c>
      <c r="EHM66" s="59">
        <v>3</v>
      </c>
      <c r="EHN66" s="59">
        <v>21</v>
      </c>
      <c r="EHO66" s="59">
        <v>19</v>
      </c>
      <c r="EHP66" s="59">
        <v>0</v>
      </c>
      <c r="GCV66" s="59">
        <v>999</v>
      </c>
      <c r="GWE66" s="59">
        <v>1</v>
      </c>
      <c r="GWG66" s="59">
        <v>1</v>
      </c>
    </row>
    <row r="67" spans="1:1016 1046:2972 3167:3858 4664:4939 5156:5520" s="83" customFormat="1" x14ac:dyDescent="0.25">
      <c r="A67" s="83">
        <v>6014511</v>
      </c>
      <c r="B67" s="83" t="s">
        <v>4194</v>
      </c>
      <c r="HT67" s="96">
        <v>1200</v>
      </c>
      <c r="AQV67" s="83">
        <v>3130000</v>
      </c>
      <c r="ASG67" s="83">
        <v>9000</v>
      </c>
      <c r="BOA67" s="6">
        <v>41</v>
      </c>
      <c r="BOB67" s="6">
        <v>1</v>
      </c>
      <c r="BOC67" s="6"/>
      <c r="BOD67" s="6">
        <v>23.77</v>
      </c>
      <c r="BOE67" s="6"/>
      <c r="BOF67" s="6">
        <v>1</v>
      </c>
      <c r="BOG67" s="6"/>
      <c r="BYJ67" s="95"/>
      <c r="BYK67" s="83">
        <v>0</v>
      </c>
      <c r="BYP67" s="83">
        <v>1</v>
      </c>
      <c r="BYS67" s="83">
        <v>22</v>
      </c>
      <c r="BYT67" s="83">
        <v>62</v>
      </c>
      <c r="BYU67" s="83">
        <v>41</v>
      </c>
      <c r="BYV67" s="83">
        <v>0</v>
      </c>
      <c r="BYY67" s="83">
        <v>0</v>
      </c>
      <c r="BZL67" s="83">
        <v>0</v>
      </c>
      <c r="BZN67" s="83">
        <v>3</v>
      </c>
      <c r="BZQ67" s="83">
        <v>1</v>
      </c>
      <c r="BZS67" s="83">
        <v>11</v>
      </c>
      <c r="BZT67" s="83">
        <v>72</v>
      </c>
      <c r="BZU67" s="83">
        <v>62</v>
      </c>
      <c r="BZV67" s="83">
        <v>0</v>
      </c>
      <c r="BZZ67" s="83">
        <v>3</v>
      </c>
      <c r="CAC67" s="83">
        <v>1</v>
      </c>
      <c r="CAD67" s="83">
        <v>1</v>
      </c>
      <c r="CAE67" s="83">
        <v>82</v>
      </c>
      <c r="CAF67" s="83">
        <v>72</v>
      </c>
      <c r="CAG67" s="83">
        <v>0</v>
      </c>
      <c r="CRV67" s="83">
        <v>1</v>
      </c>
      <c r="CRW67" s="83">
        <v>9</v>
      </c>
      <c r="CRX67" s="83">
        <v>72</v>
      </c>
      <c r="CRY67" s="83">
        <v>64</v>
      </c>
      <c r="CRZ67" s="83">
        <v>0</v>
      </c>
      <c r="CUZ67" s="83">
        <v>1</v>
      </c>
      <c r="CVA67" s="83">
        <v>26</v>
      </c>
      <c r="CVB67" s="83">
        <v>84</v>
      </c>
      <c r="CVC67" s="83">
        <v>59</v>
      </c>
      <c r="CVD67" s="83">
        <v>0</v>
      </c>
      <c r="DVO67" s="83">
        <v>1</v>
      </c>
      <c r="DVR67" s="83">
        <v>1</v>
      </c>
      <c r="DVS67" s="83">
        <v>61</v>
      </c>
      <c r="DVT67" s="83">
        <v>60</v>
      </c>
      <c r="DVU67" s="83">
        <v>0</v>
      </c>
      <c r="DVV67" s="83">
        <v>0</v>
      </c>
      <c r="EEP67" s="83">
        <v>1</v>
      </c>
      <c r="EEQ67" s="83">
        <v>53</v>
      </c>
      <c r="EER67" s="83">
        <v>41</v>
      </c>
      <c r="EES67" s="83">
        <v>0</v>
      </c>
      <c r="EET67" s="83">
        <v>11</v>
      </c>
      <c r="GFG67" s="83">
        <v>63</v>
      </c>
      <c r="GFH67" s="83">
        <v>169</v>
      </c>
      <c r="GFI67" s="83">
        <v>100</v>
      </c>
      <c r="GUD67" s="83">
        <v>1</v>
      </c>
      <c r="GUG67" s="83">
        <v>1</v>
      </c>
      <c r="GUI67" s="83">
        <v>999</v>
      </c>
      <c r="GUJ67" s="83">
        <v>0</v>
      </c>
      <c r="GUK67" s="83">
        <v>11</v>
      </c>
      <c r="GWE67" s="83">
        <v>1</v>
      </c>
    </row>
    <row r="68" spans="1:1016 1046:2972 3167:3858 4664:4939 5156:5520" s="83" customFormat="1" x14ac:dyDescent="0.25">
      <c r="A68" s="83">
        <v>6045127</v>
      </c>
      <c r="B68" s="83" t="s">
        <v>4194</v>
      </c>
      <c r="AJN68" s="83">
        <v>7.3189000000000002</v>
      </c>
      <c r="ANF68" s="83">
        <v>365.4</v>
      </c>
      <c r="AOS68" s="101">
        <v>157.35720000000001</v>
      </c>
      <c r="BKN68" s="83">
        <v>38.9</v>
      </c>
      <c r="BOA68" s="6">
        <v>63</v>
      </c>
      <c r="BOB68" s="6">
        <v>1</v>
      </c>
      <c r="BOC68" s="6"/>
      <c r="BOD68" s="6"/>
      <c r="BOE68" s="6"/>
      <c r="BOF68" s="6">
        <v>1</v>
      </c>
      <c r="BOG68" s="6">
        <v>122</v>
      </c>
      <c r="BYJ68" s="95"/>
      <c r="BYK68" s="83">
        <v>0</v>
      </c>
      <c r="BYP68" s="83">
        <v>1</v>
      </c>
      <c r="BYY68" s="83">
        <v>0</v>
      </c>
      <c r="BZL68" s="83">
        <v>0</v>
      </c>
      <c r="BZQ68" s="83">
        <v>1</v>
      </c>
      <c r="CAC68" s="83">
        <v>1</v>
      </c>
      <c r="HDH68" s="83">
        <v>1</v>
      </c>
    </row>
    <row r="69" spans="1:1016 1046:2972 3167:3858 4664:4939 5156:5520" s="83" customFormat="1" x14ac:dyDescent="0.25">
      <c r="A69" s="98">
        <v>7000458</v>
      </c>
      <c r="B69" s="83" t="s">
        <v>4194</v>
      </c>
      <c r="NK69" s="83">
        <v>166</v>
      </c>
      <c r="QY69" s="83">
        <v>166</v>
      </c>
      <c r="TQ69" s="83">
        <v>112</v>
      </c>
      <c r="ABQ69" s="83">
        <v>0.3</v>
      </c>
      <c r="AGK69" s="83">
        <v>80</v>
      </c>
      <c r="AJT69" s="83">
        <v>1.03</v>
      </c>
      <c r="AMB69" s="102">
        <v>3490</v>
      </c>
      <c r="ANL69" s="83">
        <v>3</v>
      </c>
      <c r="BOA69" s="6">
        <v>48</v>
      </c>
      <c r="BOB69" s="6">
        <v>1</v>
      </c>
      <c r="BOC69" s="6"/>
      <c r="BOD69" s="6">
        <v>25.31</v>
      </c>
      <c r="BOE69" s="6"/>
      <c r="BOF69" s="6">
        <v>1</v>
      </c>
      <c r="BOG69" s="6">
        <v>9</v>
      </c>
      <c r="BYJ69" s="95"/>
      <c r="BYK69" s="83">
        <v>5250</v>
      </c>
      <c r="BYL69" s="83">
        <v>150</v>
      </c>
      <c r="BYM69" s="83">
        <v>1</v>
      </c>
      <c r="BYP69" s="83">
        <v>1</v>
      </c>
      <c r="BYS69" s="83">
        <v>35</v>
      </c>
      <c r="BYT69" s="83">
        <v>46</v>
      </c>
      <c r="BYU69" s="83">
        <v>0</v>
      </c>
      <c r="BYV69" s="83">
        <v>4</v>
      </c>
      <c r="BYY69" s="83">
        <v>0</v>
      </c>
      <c r="BZL69" s="83">
        <v>0</v>
      </c>
      <c r="CBE69" s="96">
        <v>625</v>
      </c>
      <c r="CBF69" s="96">
        <v>1</v>
      </c>
      <c r="CBI69" s="83">
        <v>1</v>
      </c>
      <c r="CBJ69" s="83">
        <v>35</v>
      </c>
      <c r="CBK69" s="83">
        <v>46</v>
      </c>
      <c r="CBL69" s="83">
        <v>0</v>
      </c>
      <c r="CBM69" s="83">
        <v>4</v>
      </c>
      <c r="CBO69" s="83">
        <v>100</v>
      </c>
      <c r="CBS69" s="83">
        <v>1</v>
      </c>
      <c r="CBT69" s="83">
        <v>35</v>
      </c>
      <c r="CBU69" s="83">
        <v>46</v>
      </c>
      <c r="CBV69" s="83">
        <v>0</v>
      </c>
      <c r="CBW69" s="83">
        <v>4</v>
      </c>
      <c r="CHO69" s="83">
        <v>20</v>
      </c>
      <c r="CHP69" s="83">
        <v>1</v>
      </c>
      <c r="CHS69" s="83">
        <v>1</v>
      </c>
      <c r="CHT69" s="83">
        <v>35</v>
      </c>
      <c r="CHU69" s="83">
        <v>46</v>
      </c>
      <c r="CHV69" s="83">
        <v>0</v>
      </c>
      <c r="CHW69" s="83">
        <v>4</v>
      </c>
      <c r="CMQ69" s="83">
        <v>1200</v>
      </c>
      <c r="CMR69" s="83">
        <v>1</v>
      </c>
      <c r="CMS69" s="83">
        <v>1</v>
      </c>
      <c r="CMV69" s="83">
        <v>35</v>
      </c>
      <c r="CMW69" s="83">
        <v>46</v>
      </c>
      <c r="CMX69" s="83">
        <v>0</v>
      </c>
      <c r="CMY69" s="83">
        <v>4</v>
      </c>
      <c r="COZ69" s="83">
        <v>150</v>
      </c>
      <c r="CPA69" s="83">
        <v>1</v>
      </c>
      <c r="CPD69" s="83">
        <v>1</v>
      </c>
      <c r="CPE69" s="83">
        <v>35</v>
      </c>
      <c r="CPF69" s="83">
        <v>46</v>
      </c>
      <c r="CPG69" s="83">
        <v>0</v>
      </c>
      <c r="CPH69" s="83">
        <v>4</v>
      </c>
      <c r="CZF69" s="83">
        <v>3</v>
      </c>
      <c r="CZG69" s="83">
        <v>1</v>
      </c>
      <c r="CZJ69" s="83">
        <v>1</v>
      </c>
      <c r="CZK69" s="83">
        <v>35</v>
      </c>
      <c r="CZL69" s="83">
        <v>46</v>
      </c>
      <c r="CZM69" s="83">
        <v>0</v>
      </c>
      <c r="CZN69" s="83">
        <v>4</v>
      </c>
      <c r="DXM69" s="98" t="s">
        <v>952</v>
      </c>
      <c r="DXN69" s="83">
        <v>1</v>
      </c>
      <c r="DXQ69" s="83">
        <v>1</v>
      </c>
      <c r="DXS69" s="83">
        <v>35</v>
      </c>
      <c r="DXT69" s="83">
        <v>46</v>
      </c>
      <c r="DXU69" s="83">
        <v>0</v>
      </c>
      <c r="DXV69" s="83">
        <v>4</v>
      </c>
    </row>
    <row r="70" spans="1:1016 1046:2972 3167:3858 4664:4939 5156:5520" s="59" customFormat="1" x14ac:dyDescent="0.25">
      <c r="A70" s="59">
        <v>7015502</v>
      </c>
      <c r="B70" s="60" t="s">
        <v>4194</v>
      </c>
      <c r="JV70" s="59">
        <v>55</v>
      </c>
      <c r="NF70" s="59">
        <v>114</v>
      </c>
      <c r="QT70" s="59">
        <v>263</v>
      </c>
      <c r="AGF70" s="59">
        <v>167</v>
      </c>
      <c r="BOA70">
        <v>56</v>
      </c>
      <c r="BOB70"/>
      <c r="BOC70">
        <v>1</v>
      </c>
      <c r="BOD70">
        <v>23.44</v>
      </c>
      <c r="BOE70"/>
      <c r="BOF70">
        <v>1</v>
      </c>
      <c r="BOG70"/>
      <c r="BYJ70" s="65"/>
      <c r="BYK70" s="59">
        <v>0</v>
      </c>
      <c r="BYP70" s="59">
        <v>1</v>
      </c>
      <c r="BYS70" s="59">
        <v>5</v>
      </c>
      <c r="BYT70" s="59">
        <v>11</v>
      </c>
      <c r="BYU70" s="59">
        <v>6</v>
      </c>
      <c r="BYV70" s="59">
        <v>0</v>
      </c>
      <c r="BYY70" s="59">
        <v>0</v>
      </c>
      <c r="BZL70" s="59">
        <v>0</v>
      </c>
    </row>
    <row r="71" spans="1:1016 1046:2972 3167:3858 4664:4939 5156:5520" s="59" customFormat="1" x14ac:dyDescent="0.25">
      <c r="A71" s="59">
        <v>7025847</v>
      </c>
      <c r="B71" s="60" t="s">
        <v>4194</v>
      </c>
      <c r="AEV71" s="59">
        <v>0.19112000000000001</v>
      </c>
      <c r="AJN71" s="59">
        <v>1.7</v>
      </c>
      <c r="AWK71" s="59">
        <v>14.257</v>
      </c>
      <c r="BOA71">
        <v>17</v>
      </c>
      <c r="BOB71"/>
      <c r="BOC71">
        <v>1</v>
      </c>
      <c r="BOD71">
        <v>17.579999999999998</v>
      </c>
      <c r="BOE71"/>
      <c r="BOF71">
        <v>1</v>
      </c>
      <c r="BOG71"/>
      <c r="BYJ71" s="65"/>
      <c r="BYK71" s="59">
        <v>150</v>
      </c>
      <c r="BYL71" s="59">
        <v>75</v>
      </c>
      <c r="BYM71" s="59">
        <v>1</v>
      </c>
      <c r="BYP71" s="59">
        <v>1</v>
      </c>
      <c r="BYS71" s="59">
        <v>2</v>
      </c>
      <c r="BYT71" s="59">
        <v>5</v>
      </c>
      <c r="BYU71" s="59">
        <v>4</v>
      </c>
      <c r="BYV71" s="59">
        <v>0</v>
      </c>
      <c r="BYY71" s="59">
        <v>0</v>
      </c>
      <c r="BZL71" s="59">
        <v>0</v>
      </c>
    </row>
    <row r="72" spans="1:1016 1046:2972 3167:3858 4664:4939 5156:5520" s="59" customFormat="1" x14ac:dyDescent="0.25">
      <c r="A72" s="59">
        <v>7082707</v>
      </c>
      <c r="B72" s="60" t="s">
        <v>4194</v>
      </c>
      <c r="KC72" s="59">
        <v>115.2</v>
      </c>
      <c r="KI72" s="59">
        <v>101.4</v>
      </c>
      <c r="NR72" s="59">
        <v>111</v>
      </c>
      <c r="RL72" s="59">
        <v>492.6</v>
      </c>
      <c r="UU72" s="64">
        <v>6540</v>
      </c>
      <c r="UV72" s="64"/>
      <c r="UW72" s="64"/>
      <c r="UX72" s="64">
        <v>30120</v>
      </c>
      <c r="AKA72" s="59">
        <v>0.76919999999999999</v>
      </c>
      <c r="BJT72" s="59">
        <v>74.832300000000004</v>
      </c>
      <c r="BKG72" s="59">
        <v>317</v>
      </c>
      <c r="BOA72">
        <v>72</v>
      </c>
      <c r="BOB72"/>
      <c r="BOC72">
        <v>1</v>
      </c>
      <c r="BOD72">
        <v>32.29</v>
      </c>
      <c r="BOE72"/>
      <c r="BOF72"/>
      <c r="BOG72"/>
      <c r="BYJ72" s="65"/>
      <c r="BYK72" s="59">
        <v>0</v>
      </c>
      <c r="BYL72" s="59">
        <v>50</v>
      </c>
      <c r="BYP72" s="59">
        <v>1</v>
      </c>
      <c r="BYS72" s="59">
        <v>720</v>
      </c>
      <c r="BYT72" s="59">
        <v>709</v>
      </c>
      <c r="BYU72" s="59">
        <v>11</v>
      </c>
      <c r="BYY72" s="59">
        <v>0</v>
      </c>
      <c r="BZL72" s="59">
        <v>0</v>
      </c>
      <c r="CNU72" s="59">
        <v>400</v>
      </c>
      <c r="CNV72" s="59">
        <v>1</v>
      </c>
      <c r="CNY72" s="59">
        <v>1</v>
      </c>
      <c r="CNZ72" s="59">
        <v>25</v>
      </c>
      <c r="COA72" s="59">
        <v>119</v>
      </c>
      <c r="COB72" s="59">
        <v>95</v>
      </c>
      <c r="COC72" s="59">
        <v>0</v>
      </c>
      <c r="CUV72" s="59">
        <v>500</v>
      </c>
      <c r="CUW72" s="59">
        <v>1</v>
      </c>
      <c r="CUZ72" s="59">
        <v>1</v>
      </c>
      <c r="CVA72" s="59">
        <v>13</v>
      </c>
      <c r="CVB72" s="59">
        <v>85</v>
      </c>
      <c r="CVC72" s="59">
        <v>73</v>
      </c>
      <c r="CVD72" s="59">
        <v>0</v>
      </c>
      <c r="DHL72" s="59">
        <v>4</v>
      </c>
      <c r="DHM72" s="59">
        <v>1</v>
      </c>
      <c r="DHP72" s="59">
        <v>1</v>
      </c>
      <c r="DHQ72" s="59">
        <v>999</v>
      </c>
      <c r="DHR72" s="59">
        <v>999</v>
      </c>
      <c r="DHS72" s="59">
        <v>0</v>
      </c>
      <c r="DHT72" s="59">
        <v>11</v>
      </c>
      <c r="DIZ72" s="59">
        <v>20</v>
      </c>
      <c r="DJA72" s="59">
        <v>1</v>
      </c>
      <c r="DJD72" s="59">
        <v>1</v>
      </c>
      <c r="DJE72" s="59">
        <v>999</v>
      </c>
      <c r="DJF72" s="59">
        <v>999</v>
      </c>
      <c r="DJG72" s="59">
        <v>0</v>
      </c>
      <c r="DJH72" s="69">
        <v>999</v>
      </c>
      <c r="GPH72" s="59">
        <v>70</v>
      </c>
      <c r="GPI72" s="59">
        <v>1</v>
      </c>
      <c r="GPL72" s="59">
        <v>1</v>
      </c>
      <c r="GPM72" s="59">
        <v>999</v>
      </c>
      <c r="GPN72" s="59">
        <v>999</v>
      </c>
      <c r="GPO72" s="59">
        <v>0</v>
      </c>
      <c r="GPP72" s="59">
        <v>10</v>
      </c>
    </row>
    <row r="73" spans="1:1016 1046:2972 3167:3858 4664:4939 5156:5520" s="59" customFormat="1" x14ac:dyDescent="0.25">
      <c r="A73" s="77">
        <v>7083159</v>
      </c>
      <c r="B73" s="60" t="s">
        <v>4194</v>
      </c>
      <c r="KH73" s="59">
        <v>1316.4</v>
      </c>
      <c r="NW73" s="59">
        <v>1329.6</v>
      </c>
      <c r="RK73" s="59">
        <v>380.4</v>
      </c>
      <c r="BOA73">
        <v>73</v>
      </c>
      <c r="BOB73"/>
      <c r="BOC73">
        <v>1</v>
      </c>
      <c r="BOD73"/>
      <c r="BOE73"/>
      <c r="BOF73">
        <v>1</v>
      </c>
      <c r="BOG73">
        <v>38</v>
      </c>
      <c r="BYJ73" s="65"/>
      <c r="BYK73" s="59">
        <v>4100</v>
      </c>
      <c r="BYL73" s="59">
        <v>50</v>
      </c>
      <c r="BYM73" s="59">
        <v>1</v>
      </c>
      <c r="BYP73" s="59">
        <v>1</v>
      </c>
      <c r="BYS73" s="59">
        <v>82</v>
      </c>
      <c r="BYT73" s="59">
        <v>87</v>
      </c>
      <c r="BYU73" s="59">
        <v>6</v>
      </c>
      <c r="BYY73" s="59">
        <v>0</v>
      </c>
      <c r="BZL73" s="59">
        <v>0</v>
      </c>
      <c r="CBE73" s="63">
        <v>1500</v>
      </c>
      <c r="CBF73" s="59">
        <v>1</v>
      </c>
      <c r="CBI73" s="59">
        <v>1</v>
      </c>
      <c r="CBJ73" s="59">
        <v>108</v>
      </c>
      <c r="CBK73" s="59">
        <v>92</v>
      </c>
      <c r="CBL73" s="59">
        <v>0</v>
      </c>
      <c r="CBM73" s="59">
        <v>16</v>
      </c>
      <c r="CDZ73" s="59">
        <v>150</v>
      </c>
      <c r="CEA73" s="59">
        <v>1</v>
      </c>
      <c r="CED73" s="59">
        <v>1</v>
      </c>
      <c r="CEE73" s="59">
        <v>83</v>
      </c>
      <c r="CEF73" s="59">
        <v>592</v>
      </c>
      <c r="CEG73" s="59">
        <v>6</v>
      </c>
      <c r="CEH73" s="59">
        <v>0</v>
      </c>
      <c r="CHE73" s="63">
        <v>50</v>
      </c>
      <c r="CHF73" s="59">
        <v>1</v>
      </c>
      <c r="CHJ73" s="59">
        <v>87</v>
      </c>
      <c r="CHK73" s="59">
        <v>91</v>
      </c>
      <c r="CHL73" s="59">
        <v>6</v>
      </c>
      <c r="CHM73" s="59">
        <v>0</v>
      </c>
      <c r="CTR73" s="59">
        <v>500</v>
      </c>
      <c r="CTS73" s="59">
        <v>1</v>
      </c>
      <c r="CTV73" s="59">
        <v>1</v>
      </c>
      <c r="CTW73" s="59">
        <v>5</v>
      </c>
      <c r="CTX73" s="59">
        <v>14</v>
      </c>
      <c r="CTY73" s="59">
        <v>10</v>
      </c>
      <c r="CTZ73" s="59">
        <v>0</v>
      </c>
    </row>
    <row r="74" spans="1:1016 1046:2972 3167:3858 4664:4939 5156:5520" s="59" customFormat="1" x14ac:dyDescent="0.25">
      <c r="A74" s="59">
        <v>7084659</v>
      </c>
      <c r="B74" s="60" t="s">
        <v>4194</v>
      </c>
      <c r="JQ74" s="59">
        <v>3837.6</v>
      </c>
      <c r="NF74" s="59">
        <v>1489.2</v>
      </c>
      <c r="AJO74" s="59">
        <v>3.8121</v>
      </c>
      <c r="BOA74">
        <v>43</v>
      </c>
      <c r="BOB74"/>
      <c r="BOC74">
        <v>1</v>
      </c>
      <c r="BOD74">
        <v>30.44</v>
      </c>
      <c r="BOE74"/>
      <c r="BOF74"/>
      <c r="BOG74"/>
      <c r="BYJ74" s="65"/>
      <c r="BYK74" s="59">
        <v>1350</v>
      </c>
      <c r="BYL74" s="59">
        <v>150</v>
      </c>
      <c r="BYM74" s="59">
        <v>1</v>
      </c>
      <c r="BYP74" s="59">
        <v>1</v>
      </c>
      <c r="BYS74" s="59">
        <v>10</v>
      </c>
      <c r="BYT74" s="59">
        <v>9</v>
      </c>
      <c r="BYU74" s="59">
        <v>0</v>
      </c>
      <c r="BYV74" s="59">
        <v>0</v>
      </c>
      <c r="BYY74" s="59">
        <v>0</v>
      </c>
      <c r="BZL74" s="59">
        <v>0</v>
      </c>
      <c r="CTR74" s="59">
        <v>500</v>
      </c>
      <c r="CTS74" s="59">
        <v>1</v>
      </c>
      <c r="CTV74" s="59">
        <v>1</v>
      </c>
      <c r="CTW74" s="59">
        <v>10</v>
      </c>
      <c r="CTX74" s="59">
        <v>9</v>
      </c>
      <c r="CTY74" s="59">
        <v>0</v>
      </c>
      <c r="CTZ74" s="59">
        <v>0</v>
      </c>
      <c r="ELY74" s="59">
        <v>40</v>
      </c>
      <c r="ELZ74" s="59">
        <v>0.5</v>
      </c>
      <c r="EMC74" s="59">
        <v>1</v>
      </c>
      <c r="EMD74" s="59">
        <v>999</v>
      </c>
      <c r="EME74" s="59">
        <v>8</v>
      </c>
      <c r="EMF74" s="59">
        <v>0</v>
      </c>
      <c r="EMG74" s="68">
        <v>999</v>
      </c>
      <c r="FWJ74" s="59">
        <v>10</v>
      </c>
      <c r="FWK74" s="59">
        <v>1</v>
      </c>
      <c r="FWN74" s="59">
        <v>1</v>
      </c>
      <c r="FWO74" s="59">
        <v>999</v>
      </c>
      <c r="FWP74" s="68">
        <v>999</v>
      </c>
      <c r="FWQ74" s="59">
        <v>0</v>
      </c>
      <c r="FWR74" s="59">
        <v>0</v>
      </c>
      <c r="FYS74" s="59">
        <v>25</v>
      </c>
      <c r="FYT74" s="59">
        <v>1</v>
      </c>
      <c r="FYW74" s="59">
        <v>1</v>
      </c>
      <c r="FYX74" s="59">
        <v>999</v>
      </c>
      <c r="FYY74" s="59">
        <v>9</v>
      </c>
      <c r="FYZ74" s="59">
        <v>0</v>
      </c>
      <c r="FZA74" s="68">
        <v>999</v>
      </c>
    </row>
    <row r="75" spans="1:1016 1046:2972 3167:3858 4664:4939 5156:5520" s="59" customFormat="1" x14ac:dyDescent="0.25">
      <c r="A75" s="77">
        <v>7076814</v>
      </c>
      <c r="B75" s="60" t="s">
        <v>4194</v>
      </c>
      <c r="HR75" s="59">
        <v>6600</v>
      </c>
      <c r="TL75" s="59">
        <v>1046</v>
      </c>
      <c r="ZA75" s="59">
        <v>10.3</v>
      </c>
      <c r="ZS75" s="59">
        <v>7.7</v>
      </c>
      <c r="ZT75" s="59">
        <v>7.3</v>
      </c>
      <c r="AAK75" s="59">
        <v>8.8000000000000007</v>
      </c>
      <c r="ABM75" s="59">
        <v>4.3148999999999997</v>
      </c>
      <c r="AQT75" s="81">
        <v>18600000000</v>
      </c>
      <c r="ATK75" s="64">
        <v>0</v>
      </c>
      <c r="BEO75" s="77">
        <v>146</v>
      </c>
      <c r="BOA75">
        <v>73</v>
      </c>
      <c r="BOB75"/>
      <c r="BOC75">
        <v>1</v>
      </c>
      <c r="BOD75">
        <v>24.46</v>
      </c>
      <c r="BOE75"/>
      <c r="BOF75">
        <v>1</v>
      </c>
      <c r="BOG75"/>
      <c r="BYJ75" s="65"/>
      <c r="BYK75" s="59">
        <v>0</v>
      </c>
      <c r="BYR75" s="59">
        <v>1</v>
      </c>
      <c r="BYS75" s="59">
        <v>999</v>
      </c>
      <c r="BYT75" s="59">
        <v>999</v>
      </c>
      <c r="BYU75" s="59">
        <v>0</v>
      </c>
      <c r="BYV75" s="59">
        <v>16</v>
      </c>
      <c r="BYY75" s="59">
        <v>0</v>
      </c>
      <c r="BZF75" s="59">
        <v>183</v>
      </c>
      <c r="BZG75" s="59">
        <v>275</v>
      </c>
      <c r="BZH75" s="59">
        <v>92</v>
      </c>
      <c r="BZI75" s="59">
        <v>0</v>
      </c>
      <c r="BZL75" s="59">
        <v>0</v>
      </c>
      <c r="CPJ75" s="59">
        <v>500</v>
      </c>
      <c r="CPK75" s="59">
        <v>1</v>
      </c>
      <c r="CPN75" s="59">
        <v>1</v>
      </c>
      <c r="CPO75" s="59">
        <v>10</v>
      </c>
      <c r="CPP75" s="59">
        <v>39</v>
      </c>
      <c r="CPQ75" s="59">
        <v>28</v>
      </c>
      <c r="CPR75" s="59">
        <v>0</v>
      </c>
      <c r="DHP75" s="59">
        <v>1</v>
      </c>
      <c r="DHQ75" s="59">
        <v>999</v>
      </c>
      <c r="DHR75" s="59">
        <v>999</v>
      </c>
      <c r="DHS75" s="59">
        <v>0</v>
      </c>
      <c r="DHT75" s="59">
        <v>50</v>
      </c>
      <c r="DQU75" s="59">
        <v>500</v>
      </c>
      <c r="DQV75" s="59">
        <v>1</v>
      </c>
      <c r="DQY75" s="59">
        <v>1</v>
      </c>
      <c r="DQZ75" s="59">
        <v>999</v>
      </c>
      <c r="DRA75" s="59">
        <v>999</v>
      </c>
      <c r="DRB75" s="59">
        <v>30</v>
      </c>
      <c r="DRC75" s="59">
        <v>0</v>
      </c>
      <c r="DXG75" s="59">
        <v>1</v>
      </c>
      <c r="DXH75" s="59">
        <v>360</v>
      </c>
      <c r="DXI75" s="59">
        <v>999</v>
      </c>
      <c r="DXJ75" s="59">
        <v>13</v>
      </c>
      <c r="DXK75" s="59">
        <v>0</v>
      </c>
      <c r="EEK75" s="59">
        <v>1</v>
      </c>
      <c r="EOL75" s="59">
        <v>16</v>
      </c>
      <c r="EOM75" s="59">
        <v>13</v>
      </c>
      <c r="EON75" s="59">
        <v>0</v>
      </c>
      <c r="EOO75" s="59">
        <v>2</v>
      </c>
      <c r="EQQ75" s="59">
        <v>1</v>
      </c>
      <c r="GGW75" s="59">
        <v>305</v>
      </c>
      <c r="GGX75" s="59">
        <v>305</v>
      </c>
      <c r="GGY75" s="59">
        <v>0</v>
      </c>
      <c r="GQM75" s="59">
        <v>1</v>
      </c>
      <c r="GVC75" s="59">
        <v>1</v>
      </c>
      <c r="GVD75" s="59">
        <v>451</v>
      </c>
      <c r="GVE75" s="59">
        <v>420</v>
      </c>
      <c r="GVF75" s="59">
        <v>0</v>
      </c>
      <c r="GVG75" s="59">
        <v>60</v>
      </c>
    </row>
    <row r="76" spans="1:1016 1046:2972 3167:3858 4664:4939 5156:5520" s="59" customFormat="1" x14ac:dyDescent="0.25">
      <c r="A76" s="59">
        <v>7076815</v>
      </c>
      <c r="B76" s="60" t="s">
        <v>4194</v>
      </c>
      <c r="HQ76" s="59">
        <v>14000</v>
      </c>
      <c r="TL76" s="59">
        <v>292.8</v>
      </c>
      <c r="ZB76" s="59">
        <v>19.3368</v>
      </c>
      <c r="ZF76" s="59">
        <v>11.9244</v>
      </c>
      <c r="ZS76" s="59">
        <v>8.8627000000000002</v>
      </c>
      <c r="AAA76" s="59">
        <v>10.4741</v>
      </c>
      <c r="AAH76" s="59">
        <v>12.246600000000001</v>
      </c>
      <c r="ABL76" s="59">
        <v>1.4851000000000001</v>
      </c>
      <c r="AQS76" s="59">
        <v>2830000</v>
      </c>
      <c r="ASD76" s="59">
        <v>215000</v>
      </c>
      <c r="ATM76" s="59">
        <v>7.5</v>
      </c>
      <c r="BOA76">
        <v>79</v>
      </c>
      <c r="BOB76"/>
      <c r="BOC76">
        <v>1</v>
      </c>
      <c r="BOD76">
        <v>20.8</v>
      </c>
      <c r="BOE76"/>
      <c r="BOF76">
        <v>1</v>
      </c>
      <c r="BOG76"/>
      <c r="BYJ76" s="65"/>
      <c r="BYK76" s="59">
        <v>45750</v>
      </c>
      <c r="BYL76" s="59">
        <v>75</v>
      </c>
      <c r="BYM76" s="59">
        <v>1</v>
      </c>
      <c r="BYP76" s="59">
        <v>1</v>
      </c>
      <c r="BYS76" s="59">
        <v>610</v>
      </c>
      <c r="BYT76" s="59">
        <v>610</v>
      </c>
      <c r="BYU76" s="59">
        <v>0</v>
      </c>
      <c r="BYV76" s="59">
        <v>0</v>
      </c>
      <c r="BYY76" s="59">
        <v>0</v>
      </c>
      <c r="BZL76" s="59">
        <v>0</v>
      </c>
      <c r="DHV76" s="59">
        <v>80</v>
      </c>
      <c r="DHW76" s="59">
        <v>1</v>
      </c>
      <c r="DHZ76" s="59">
        <v>1</v>
      </c>
      <c r="DIA76" s="59">
        <v>999</v>
      </c>
      <c r="DIB76" s="59">
        <v>999</v>
      </c>
      <c r="DIC76" s="59">
        <v>0</v>
      </c>
      <c r="DID76" s="59">
        <v>0</v>
      </c>
      <c r="DVR76" s="59">
        <v>1</v>
      </c>
      <c r="DVS76" s="59">
        <v>999</v>
      </c>
      <c r="DVT76" s="59">
        <v>999</v>
      </c>
      <c r="DVU76" s="59">
        <v>0</v>
      </c>
      <c r="DVV76" s="59">
        <v>0</v>
      </c>
      <c r="DXG76" s="59">
        <v>1</v>
      </c>
      <c r="DXH76" s="59">
        <v>750</v>
      </c>
      <c r="DXI76" s="59">
        <v>750</v>
      </c>
      <c r="DXJ76" s="59">
        <v>0</v>
      </c>
      <c r="DXK76" s="59">
        <v>0</v>
      </c>
      <c r="ERF76" s="59">
        <v>1</v>
      </c>
      <c r="ERG76" s="59">
        <v>999</v>
      </c>
      <c r="ERH76" s="68">
        <v>999</v>
      </c>
      <c r="ERI76" s="59">
        <v>0</v>
      </c>
      <c r="ERJ76" s="59">
        <v>0</v>
      </c>
      <c r="FYS76" s="59">
        <v>25</v>
      </c>
      <c r="FYT76" s="59">
        <v>1</v>
      </c>
      <c r="FYW76" s="59">
        <v>1</v>
      </c>
      <c r="FYX76" s="59">
        <v>999</v>
      </c>
      <c r="FYY76" s="59">
        <v>999</v>
      </c>
      <c r="FYZ76" s="59">
        <v>0</v>
      </c>
      <c r="FZA76" s="59">
        <v>0</v>
      </c>
      <c r="GCP76" s="59">
        <v>1</v>
      </c>
      <c r="GCQ76" s="59">
        <v>1</v>
      </c>
      <c r="GCT76" s="59">
        <v>1</v>
      </c>
      <c r="GCV76" s="59">
        <v>999</v>
      </c>
      <c r="GCW76" s="68">
        <v>999</v>
      </c>
      <c r="GCX76" s="59">
        <v>0</v>
      </c>
      <c r="GCY76" s="59">
        <v>0</v>
      </c>
      <c r="GVC76" s="59">
        <v>1</v>
      </c>
      <c r="GVD76" s="59">
        <v>999</v>
      </c>
      <c r="GVE76" s="68">
        <v>999</v>
      </c>
      <c r="GVF76" s="59">
        <v>0</v>
      </c>
      <c r="GVG76" s="59">
        <v>0</v>
      </c>
    </row>
    <row r="77" spans="1:1016 1046:2972 3167:3858 4664:4939 5156:5520" s="59" customFormat="1" x14ac:dyDescent="0.25">
      <c r="A77" s="59">
        <v>7089231</v>
      </c>
      <c r="B77" s="60" t="s">
        <v>4194</v>
      </c>
      <c r="HP77" s="59">
        <v>3340</v>
      </c>
      <c r="JP77" s="59">
        <v>400</v>
      </c>
      <c r="NE77" s="59">
        <v>332</v>
      </c>
      <c r="QS77" s="59">
        <v>131</v>
      </c>
      <c r="TK77" s="59">
        <v>507</v>
      </c>
      <c r="ZR77" s="59">
        <v>9.3000000000000007</v>
      </c>
      <c r="AQR77" s="59">
        <v>3710</v>
      </c>
      <c r="AZR77" s="59">
        <v>30.5</v>
      </c>
      <c r="BOA77">
        <v>40</v>
      </c>
      <c r="BOB77"/>
      <c r="BOC77">
        <v>1</v>
      </c>
      <c r="BOD77"/>
      <c r="BOE77"/>
      <c r="BOF77">
        <v>1</v>
      </c>
      <c r="BOG77"/>
      <c r="BYJ77" s="65">
        <v>1</v>
      </c>
      <c r="BYK77" s="59">
        <v>0</v>
      </c>
      <c r="BYY77" s="59">
        <v>0</v>
      </c>
      <c r="BZL77" s="59">
        <v>0</v>
      </c>
    </row>
    <row r="78" spans="1:1016 1046:2972 3167:3858 4664:4939 5156:5520" s="59" customFormat="1" x14ac:dyDescent="0.25">
      <c r="A78" s="59">
        <v>7116004</v>
      </c>
      <c r="B78" s="60" t="s">
        <v>4194</v>
      </c>
      <c r="K78" s="59">
        <v>40</v>
      </c>
      <c r="JP78" s="59">
        <v>67.5</v>
      </c>
      <c r="JQ78" s="59">
        <v>97</v>
      </c>
      <c r="NF78" s="59">
        <v>111</v>
      </c>
      <c r="QS78" s="59">
        <v>11</v>
      </c>
      <c r="TK78" s="59">
        <v>255</v>
      </c>
      <c r="TL78" s="59">
        <v>252</v>
      </c>
      <c r="WE78" s="59">
        <v>284</v>
      </c>
      <c r="BOA78">
        <v>61</v>
      </c>
      <c r="BOB78"/>
      <c r="BOC78">
        <v>1</v>
      </c>
      <c r="BOD78">
        <v>22.32</v>
      </c>
      <c r="BOE78"/>
      <c r="BOF78">
        <v>1</v>
      </c>
      <c r="BOG78"/>
      <c r="BYJ78" s="65"/>
      <c r="BYK78" s="59">
        <v>0</v>
      </c>
      <c r="BYP78" s="59">
        <v>1</v>
      </c>
      <c r="BYS78" s="59">
        <v>3</v>
      </c>
      <c r="BYT78" s="59">
        <v>6</v>
      </c>
      <c r="BYU78" s="59">
        <v>4</v>
      </c>
      <c r="BYV78" s="59">
        <v>0</v>
      </c>
      <c r="BYY78" s="59">
        <v>0</v>
      </c>
      <c r="BZL78" s="59">
        <v>0</v>
      </c>
    </row>
    <row r="79" spans="1:1016 1046:2972 3167:3858 4664:4939 5156:5520" s="59" customFormat="1" x14ac:dyDescent="0.25">
      <c r="A79" s="59">
        <v>8003819</v>
      </c>
      <c r="B79" s="60" t="s">
        <v>4194</v>
      </c>
      <c r="NE79" s="59">
        <v>80</v>
      </c>
      <c r="QS79" s="59">
        <v>300</v>
      </c>
      <c r="BOA79"/>
      <c r="BOB79"/>
      <c r="BOC79">
        <v>1</v>
      </c>
      <c r="BOD79"/>
      <c r="BOE79"/>
      <c r="BOF79">
        <v>1</v>
      </c>
      <c r="BOG79"/>
      <c r="BYJ79" s="65">
        <v>1</v>
      </c>
      <c r="BYK79" s="59">
        <v>0</v>
      </c>
      <c r="BYY79" s="59">
        <v>0</v>
      </c>
      <c r="BZL79" s="59">
        <v>0</v>
      </c>
    </row>
    <row r="80" spans="1:1016 1046:2972 3167:3858 4664:4939 5156:5520" s="83" customFormat="1" x14ac:dyDescent="0.25">
      <c r="A80" s="98">
        <v>8091779</v>
      </c>
      <c r="B80" s="83" t="s">
        <v>4194</v>
      </c>
      <c r="TK80" s="83">
        <v>402</v>
      </c>
      <c r="ZR80" s="98" t="s">
        <v>782</v>
      </c>
      <c r="ABK80" s="83">
        <v>11.2</v>
      </c>
      <c r="BOA80" s="6">
        <v>40</v>
      </c>
      <c r="BOB80" s="6">
        <v>1</v>
      </c>
      <c r="BOC80" s="6"/>
      <c r="BOD80" s="6">
        <v>32.72</v>
      </c>
      <c r="BOE80" s="6"/>
      <c r="BOF80" s="6">
        <v>1</v>
      </c>
      <c r="BOG80" s="6"/>
      <c r="BYJ80" s="95"/>
      <c r="BYK80" s="83">
        <v>0</v>
      </c>
      <c r="BYP80" s="83">
        <v>1</v>
      </c>
      <c r="BYS80" s="83">
        <v>8</v>
      </c>
      <c r="BYY80" s="83">
        <v>0</v>
      </c>
      <c r="BZL80" s="83">
        <v>0</v>
      </c>
    </row>
    <row r="81" spans="1:1015 1040:2040 2053:3069 3085:4060 4377:5100 5176:5337" s="83" customFormat="1" x14ac:dyDescent="0.25">
      <c r="A81" s="83">
        <v>8112522</v>
      </c>
      <c r="B81" s="83" t="s">
        <v>4194</v>
      </c>
      <c r="JX81" s="83">
        <v>5397</v>
      </c>
      <c r="JZ81" s="96">
        <v>13846</v>
      </c>
      <c r="KC81" s="83">
        <v>2562</v>
      </c>
      <c r="NM81" s="83">
        <v>991</v>
      </c>
      <c r="NO81" s="83">
        <v>2315</v>
      </c>
      <c r="NR81" s="83">
        <v>370</v>
      </c>
      <c r="ABS81" s="83">
        <v>0.74</v>
      </c>
      <c r="ABU81" s="83">
        <v>2.5499999999999998</v>
      </c>
      <c r="ABX81" s="83">
        <v>3.88</v>
      </c>
      <c r="BOA81" s="6">
        <v>71</v>
      </c>
      <c r="BOB81" s="6">
        <v>1</v>
      </c>
      <c r="BOC81" s="6"/>
      <c r="BOD81" s="6">
        <v>27.78</v>
      </c>
      <c r="BOE81" s="6">
        <v>1</v>
      </c>
      <c r="BOF81" s="6"/>
      <c r="BOG81" s="6">
        <v>13</v>
      </c>
      <c r="BYJ81" s="95"/>
      <c r="BYK81" s="83">
        <v>3150</v>
      </c>
      <c r="BYL81" s="83">
        <v>150</v>
      </c>
      <c r="BYM81" s="83">
        <v>1</v>
      </c>
      <c r="BYP81" s="83">
        <v>1</v>
      </c>
      <c r="BYS81" s="83">
        <v>28</v>
      </c>
      <c r="BYT81" s="83">
        <v>21</v>
      </c>
      <c r="BYU81" s="83">
        <v>0</v>
      </c>
      <c r="BYV81" s="83">
        <v>6</v>
      </c>
      <c r="BYY81" s="83">
        <v>0</v>
      </c>
      <c r="BZL81" s="83">
        <v>0</v>
      </c>
      <c r="CZT81" s="83">
        <v>1</v>
      </c>
      <c r="CZU81" s="83">
        <v>999</v>
      </c>
      <c r="CZV81" s="83">
        <v>999</v>
      </c>
      <c r="CZW81" s="83">
        <v>0</v>
      </c>
      <c r="CZX81" s="83">
        <v>6</v>
      </c>
      <c r="DBS81" s="83">
        <v>1</v>
      </c>
      <c r="DBT81" s="83">
        <v>999</v>
      </c>
      <c r="DBU81" s="103">
        <v>999</v>
      </c>
      <c r="DBV81" s="83">
        <v>0</v>
      </c>
      <c r="DBW81" s="83">
        <v>6</v>
      </c>
      <c r="DDF81" s="96">
        <v>60</v>
      </c>
      <c r="DDG81" s="83">
        <v>1</v>
      </c>
      <c r="DDJ81" s="83">
        <v>1</v>
      </c>
      <c r="DDK81" s="83">
        <v>999</v>
      </c>
      <c r="DDL81" s="83">
        <v>999</v>
      </c>
      <c r="DDM81" s="83">
        <v>0</v>
      </c>
      <c r="DDN81" s="100">
        <v>999</v>
      </c>
      <c r="DEJ81" s="83">
        <v>100</v>
      </c>
      <c r="DEK81" s="83">
        <v>1</v>
      </c>
      <c r="DEN81" s="83">
        <v>1</v>
      </c>
      <c r="DEO81" s="83">
        <v>999</v>
      </c>
      <c r="DEP81" s="103">
        <v>999</v>
      </c>
      <c r="DEQ81" s="83">
        <v>0</v>
      </c>
      <c r="DER81" s="83">
        <v>6</v>
      </c>
      <c r="DJK81" s="83">
        <v>2.5</v>
      </c>
      <c r="DJL81" s="83">
        <v>2</v>
      </c>
      <c r="DJO81" s="83">
        <v>1</v>
      </c>
      <c r="DJP81" s="83">
        <v>999</v>
      </c>
      <c r="DJQ81" s="103">
        <v>999</v>
      </c>
      <c r="DJR81" s="83">
        <v>0</v>
      </c>
      <c r="DJS81" s="83">
        <v>6</v>
      </c>
      <c r="EGD81" s="83">
        <v>100</v>
      </c>
      <c r="EGE81" s="83">
        <v>2</v>
      </c>
      <c r="EGH81" s="83">
        <v>1</v>
      </c>
      <c r="EGI81" s="83">
        <v>999</v>
      </c>
      <c r="EGJ81" s="83">
        <v>999</v>
      </c>
      <c r="EGK81" s="83">
        <v>0</v>
      </c>
      <c r="EGL81" s="83">
        <v>6</v>
      </c>
      <c r="ELZ81" s="83">
        <v>2</v>
      </c>
      <c r="EMC81" s="83">
        <v>1</v>
      </c>
      <c r="EMD81" s="83">
        <v>999</v>
      </c>
      <c r="EME81" s="83">
        <v>999</v>
      </c>
      <c r="EMF81" s="83">
        <v>0</v>
      </c>
      <c r="EMG81" s="100">
        <v>999</v>
      </c>
      <c r="ERV81" s="83">
        <v>10</v>
      </c>
      <c r="ERZ81" s="83">
        <v>1</v>
      </c>
      <c r="ESA81" s="83">
        <v>999</v>
      </c>
      <c r="ESB81" s="103">
        <v>999</v>
      </c>
      <c r="ESC81" s="83">
        <v>0</v>
      </c>
      <c r="ESD81" s="83">
        <v>6</v>
      </c>
      <c r="EXH81" s="83">
        <v>125</v>
      </c>
      <c r="EXI81" s="83">
        <v>2</v>
      </c>
      <c r="EXJ81" s="83">
        <v>1</v>
      </c>
      <c r="EXM81" s="83">
        <v>999</v>
      </c>
      <c r="EXN81" s="103">
        <v>999</v>
      </c>
      <c r="EXO81" s="83">
        <v>0</v>
      </c>
      <c r="EXP81" s="83">
        <v>8</v>
      </c>
      <c r="EYX81" s="83">
        <v>1</v>
      </c>
      <c r="EZA81" s="83">
        <v>999</v>
      </c>
      <c r="EZB81" s="103">
        <v>999</v>
      </c>
      <c r="EZC81" s="83">
        <v>0</v>
      </c>
      <c r="EZD81" s="83">
        <v>8</v>
      </c>
      <c r="GUG81" s="83">
        <v>1</v>
      </c>
      <c r="GUH81" s="83">
        <v>999</v>
      </c>
      <c r="GUI81" s="103">
        <v>999</v>
      </c>
      <c r="GUJ81" s="83">
        <v>0</v>
      </c>
      <c r="GUK81" s="83">
        <v>6</v>
      </c>
      <c r="GWD81" s="83">
        <v>1</v>
      </c>
    </row>
    <row r="82" spans="1:1015 1040:2040 2053:3069 3085:4060 4377:5100 5176:5337" s="83" customFormat="1" x14ac:dyDescent="0.25">
      <c r="A82" s="83">
        <v>8127397</v>
      </c>
      <c r="B82" s="83" t="s">
        <v>4194</v>
      </c>
      <c r="TK82" s="83">
        <v>753</v>
      </c>
      <c r="ZR82" s="83">
        <v>2.6</v>
      </c>
      <c r="BOA82" s="6">
        <v>51</v>
      </c>
      <c r="BOB82" s="6">
        <v>1</v>
      </c>
      <c r="BOC82" s="6"/>
      <c r="BOD82" s="6"/>
      <c r="BOE82" s="6"/>
      <c r="BOF82" s="6"/>
      <c r="BOG82" s="6"/>
      <c r="BYJ82" s="95"/>
      <c r="BYK82" s="83">
        <v>150</v>
      </c>
      <c r="BYL82" s="83">
        <v>150</v>
      </c>
      <c r="BYM82" s="83">
        <v>1</v>
      </c>
      <c r="BYP82" s="83">
        <v>1</v>
      </c>
      <c r="BYS82" s="83">
        <v>2</v>
      </c>
      <c r="BYT82" s="83">
        <v>1</v>
      </c>
      <c r="BYU82" s="83">
        <v>0</v>
      </c>
      <c r="BYV82" s="83">
        <v>0</v>
      </c>
      <c r="BYY82" s="83">
        <v>0</v>
      </c>
      <c r="BZL82" s="83">
        <v>0</v>
      </c>
    </row>
    <row r="83" spans="1:1015 1040:2040 2053:3069 3085:4060 4377:5100 5176:5337" s="59" customFormat="1" x14ac:dyDescent="0.25">
      <c r="A83" s="59">
        <v>8130998</v>
      </c>
      <c r="B83" s="60" t="s">
        <v>4194</v>
      </c>
      <c r="JQ83" s="59">
        <v>342</v>
      </c>
      <c r="JR83" s="59">
        <v>211</v>
      </c>
      <c r="JT83" s="59">
        <v>80</v>
      </c>
      <c r="NF83" s="59">
        <v>238</v>
      </c>
      <c r="NG83" s="59">
        <v>416</v>
      </c>
      <c r="NI83" s="59">
        <v>279</v>
      </c>
      <c r="QT83" s="59">
        <v>74</v>
      </c>
      <c r="QU83" s="59">
        <v>104</v>
      </c>
      <c r="QW83" s="59">
        <v>90</v>
      </c>
      <c r="BOA83">
        <v>38</v>
      </c>
      <c r="BOB83"/>
      <c r="BOC83">
        <v>1</v>
      </c>
      <c r="BOD83"/>
      <c r="BOE83"/>
      <c r="BOF83">
        <v>1</v>
      </c>
      <c r="BOG83"/>
      <c r="BYJ83" s="65"/>
      <c r="BYK83" s="59">
        <v>0</v>
      </c>
      <c r="BYP83" s="59">
        <v>1</v>
      </c>
      <c r="BYS83" s="59">
        <v>999</v>
      </c>
      <c r="BYT83" s="59">
        <v>2</v>
      </c>
      <c r="BYU83" s="59">
        <v>0</v>
      </c>
      <c r="BYV83" s="69">
        <v>999</v>
      </c>
      <c r="BYY83" s="59">
        <v>0</v>
      </c>
      <c r="BZL83" s="59">
        <v>0</v>
      </c>
      <c r="CRL83" s="59">
        <v>1</v>
      </c>
      <c r="GWD83" s="59">
        <v>1</v>
      </c>
    </row>
    <row r="84" spans="1:1015 1040:2040 2053:3069 3085:4060 4377:5100 5176:5337" s="83" customFormat="1" x14ac:dyDescent="0.25">
      <c r="A84" s="98">
        <v>9002836</v>
      </c>
      <c r="B84" s="83" t="s">
        <v>4194</v>
      </c>
      <c r="BOA84" s="6">
        <v>64</v>
      </c>
      <c r="BOB84" s="6">
        <v>1</v>
      </c>
      <c r="BOC84" s="6"/>
      <c r="BOD84" s="6"/>
      <c r="BOE84" s="6"/>
      <c r="BOF84" s="6">
        <v>1</v>
      </c>
      <c r="BOG84" s="6">
        <v>6</v>
      </c>
      <c r="BYJ84" s="95"/>
      <c r="BYK84" s="83">
        <v>0</v>
      </c>
      <c r="BYY84" s="83">
        <v>0</v>
      </c>
      <c r="BZL84" s="83">
        <v>0</v>
      </c>
    </row>
    <row r="85" spans="1:1015 1040:2040 2053:3069 3085:4060 4377:5100 5176:5337" s="83" customFormat="1" x14ac:dyDescent="0.25">
      <c r="A85" s="98">
        <v>9003331</v>
      </c>
      <c r="B85" s="83" t="s">
        <v>4194</v>
      </c>
      <c r="K85" s="96"/>
      <c r="O85" s="95"/>
      <c r="CZ85" s="83">
        <v>1.23</v>
      </c>
      <c r="DC85" s="83">
        <v>0.98</v>
      </c>
      <c r="GV85" s="83">
        <v>221</v>
      </c>
      <c r="KL85" s="83">
        <v>904.2</v>
      </c>
      <c r="KX85" s="83">
        <v>315</v>
      </c>
      <c r="OA85" s="83">
        <v>2323.1999999999998</v>
      </c>
      <c r="OL85" s="83">
        <v>1098</v>
      </c>
      <c r="RO85" s="98" t="s">
        <v>790</v>
      </c>
      <c r="RY85" s="98" t="s">
        <v>791</v>
      </c>
      <c r="UC85" s="98" t="s">
        <v>794</v>
      </c>
      <c r="UD85" s="98" t="s">
        <v>795</v>
      </c>
      <c r="AAL85" s="83">
        <v>16.5974</v>
      </c>
      <c r="ACG85" s="83">
        <v>1.9470000000000001</v>
      </c>
      <c r="ACQ85" s="83">
        <v>2.9058000000000002</v>
      </c>
      <c r="AHA85" s="83">
        <v>188.4</v>
      </c>
      <c r="AHK85" s="83">
        <v>165.6</v>
      </c>
      <c r="AKG85" s="83">
        <v>4.2680999999999996</v>
      </c>
      <c r="BAP85" s="83">
        <v>47</v>
      </c>
      <c r="BOA85" s="6">
        <v>42</v>
      </c>
      <c r="BOB85" s="6">
        <v>1</v>
      </c>
      <c r="BOC85" s="6"/>
      <c r="BOD85" s="6">
        <v>27.14</v>
      </c>
      <c r="BOE85" s="6"/>
      <c r="BOF85" s="6">
        <v>1</v>
      </c>
      <c r="BOG85" s="6">
        <v>34</v>
      </c>
      <c r="BYJ85" s="95"/>
      <c r="BYK85" s="83">
        <v>0</v>
      </c>
      <c r="BYY85" s="83">
        <v>0</v>
      </c>
      <c r="BZL85" s="83">
        <v>0</v>
      </c>
    </row>
    <row r="86" spans="1:1015 1040:2040 2053:3069 3085:4060 4377:5100 5176:5337" s="83" customFormat="1" x14ac:dyDescent="0.25">
      <c r="A86" s="83">
        <v>9003370</v>
      </c>
      <c r="B86" s="83" t="s">
        <v>4194</v>
      </c>
      <c r="BC86" s="83">
        <v>96.7</v>
      </c>
      <c r="CM86" s="83">
        <v>1</v>
      </c>
      <c r="EG86" s="83">
        <v>26.4</v>
      </c>
      <c r="GJ86" s="83">
        <v>890</v>
      </c>
      <c r="HQ86" s="83">
        <v>13300</v>
      </c>
      <c r="JQ86" s="83">
        <v>77.400000000000006</v>
      </c>
      <c r="NF86" s="83">
        <v>99</v>
      </c>
      <c r="QT86" s="83">
        <v>43.2</v>
      </c>
      <c r="ZS86" s="83">
        <v>14.293100000000001</v>
      </c>
      <c r="AGF86" s="83">
        <v>168.6</v>
      </c>
      <c r="AJO86" s="83">
        <v>0.98409999999999997</v>
      </c>
      <c r="AOT86" s="83">
        <v>37.837800000000001</v>
      </c>
      <c r="ASD86" s="83">
        <v>327000</v>
      </c>
      <c r="AZS86" s="83">
        <v>43</v>
      </c>
      <c r="BFY86" s="83">
        <v>139</v>
      </c>
      <c r="BHE86" s="83">
        <v>4.2</v>
      </c>
      <c r="BIH86" s="83">
        <v>2.2400000000000002</v>
      </c>
      <c r="BOA86" s="6">
        <v>84</v>
      </c>
      <c r="BOB86" s="6">
        <v>1</v>
      </c>
      <c r="BOC86" s="6"/>
      <c r="BOD86" s="6"/>
      <c r="BOE86" s="6"/>
      <c r="BOF86" s="6">
        <v>1</v>
      </c>
      <c r="BOG86" s="6">
        <v>2</v>
      </c>
      <c r="BYJ86" s="95"/>
      <c r="BYK86" s="83">
        <v>0</v>
      </c>
      <c r="BYL86" s="83">
        <v>50</v>
      </c>
      <c r="BYM86" s="83">
        <v>1</v>
      </c>
      <c r="BYP86" s="83">
        <v>1</v>
      </c>
      <c r="BYS86" s="83">
        <v>1</v>
      </c>
      <c r="BYT86" s="83">
        <v>0</v>
      </c>
      <c r="BYU86" s="83">
        <v>0</v>
      </c>
      <c r="BYV86" s="83">
        <v>0</v>
      </c>
      <c r="BYY86" s="83">
        <v>0</v>
      </c>
      <c r="BZL86" s="83">
        <v>0</v>
      </c>
      <c r="BZY86" s="83">
        <v>100</v>
      </c>
      <c r="BZZ86" s="83">
        <v>1</v>
      </c>
      <c r="CAC86" s="83">
        <v>1</v>
      </c>
      <c r="DMW86" s="83">
        <v>5</v>
      </c>
      <c r="DMX86" s="83">
        <v>1</v>
      </c>
      <c r="DNA86" s="83">
        <v>1</v>
      </c>
      <c r="DSJ86" s="83">
        <v>40</v>
      </c>
      <c r="DSK86" s="83">
        <v>1</v>
      </c>
      <c r="DSN86" s="83">
        <v>1</v>
      </c>
      <c r="DVN86" s="83">
        <v>47.5</v>
      </c>
      <c r="DVO86" s="83">
        <v>1</v>
      </c>
      <c r="DVR86" s="83">
        <v>1</v>
      </c>
      <c r="EBQ86" s="83">
        <v>20</v>
      </c>
      <c r="EBR86" s="83">
        <v>1</v>
      </c>
      <c r="EBU86" s="83">
        <v>1</v>
      </c>
      <c r="EFI86" s="83">
        <v>48</v>
      </c>
      <c r="EFM86" s="83">
        <v>1</v>
      </c>
    </row>
    <row r="87" spans="1:1015 1040:2040 2053:3069 3085:4060 4377:5100 5176:5337" s="83" customFormat="1" x14ac:dyDescent="0.25">
      <c r="A87" s="83">
        <v>9016278</v>
      </c>
      <c r="B87" s="83" t="s">
        <v>4194</v>
      </c>
      <c r="EM87" s="83">
        <v>46</v>
      </c>
      <c r="HI87" s="83">
        <v>15100</v>
      </c>
      <c r="HN87" s="83">
        <v>12900</v>
      </c>
      <c r="JI87" s="83">
        <v>235.8</v>
      </c>
      <c r="JN87" s="83">
        <v>192.6</v>
      </c>
      <c r="JS87" s="83">
        <v>178.8</v>
      </c>
      <c r="JW87" s="83">
        <v>244.8</v>
      </c>
      <c r="MX87" s="83">
        <v>792</v>
      </c>
      <c r="NC87" s="83">
        <v>427.2</v>
      </c>
      <c r="NH87" s="83">
        <v>310.8</v>
      </c>
      <c r="NL87" s="83">
        <v>291</v>
      </c>
      <c r="QL87" s="83">
        <v>775.8</v>
      </c>
      <c r="QQ87" s="83">
        <v>364.8</v>
      </c>
      <c r="QV87" s="83">
        <v>196.8</v>
      </c>
      <c r="QZ87" s="83">
        <v>178.2</v>
      </c>
      <c r="YX87" s="83">
        <v>11.9244</v>
      </c>
      <c r="ZL87" s="83">
        <v>12.246600000000001</v>
      </c>
      <c r="ZU87" s="83">
        <v>11.2798</v>
      </c>
      <c r="ABD87" s="83">
        <v>29.870799999999999</v>
      </c>
      <c r="ABI87" s="83">
        <v>28.900200000000002</v>
      </c>
      <c r="ABN87" s="83">
        <v>25.5442</v>
      </c>
      <c r="ABR87" s="83">
        <v>17.850000000000001</v>
      </c>
      <c r="AJG87" s="83">
        <v>1.9117</v>
      </c>
      <c r="ALQ87" s="83">
        <v>113.4</v>
      </c>
      <c r="ALT87" s="83">
        <v>100.8</v>
      </c>
      <c r="AMZ87" s="83">
        <v>72.5</v>
      </c>
      <c r="AND87" s="83">
        <v>35.6</v>
      </c>
      <c r="ANI87" s="83">
        <v>62.7</v>
      </c>
      <c r="AOM87" s="101">
        <v>72.072000000000003</v>
      </c>
      <c r="AON87" s="101"/>
      <c r="AOO87" s="101"/>
      <c r="AOP87" s="101"/>
      <c r="AOQ87" s="101">
        <v>56.456400000000002</v>
      </c>
      <c r="AOR87" s="101"/>
      <c r="AOS87" s="101"/>
      <c r="AOT87" s="101"/>
      <c r="AOU87" s="101"/>
      <c r="AOV87" s="101">
        <v>54.654600000000002</v>
      </c>
      <c r="AQL87" s="83">
        <v>4180000</v>
      </c>
      <c r="AQP87" s="83">
        <v>4020000</v>
      </c>
      <c r="AQU87" s="83">
        <v>3630000</v>
      </c>
      <c r="ARW87" s="83">
        <v>426000</v>
      </c>
      <c r="ASA87" s="83">
        <v>444000</v>
      </c>
      <c r="AZL87" s="83">
        <v>36</v>
      </c>
      <c r="AZP87" s="83">
        <v>32</v>
      </c>
      <c r="AZU87" s="83">
        <v>31</v>
      </c>
      <c r="BKB87" s="83">
        <v>748</v>
      </c>
      <c r="BOA87" s="6">
        <v>76</v>
      </c>
      <c r="BOB87" s="6">
        <v>1</v>
      </c>
      <c r="BOC87" s="6"/>
      <c r="BOD87" s="6">
        <v>26.15</v>
      </c>
      <c r="BOE87" s="6"/>
      <c r="BOF87" s="6">
        <v>1</v>
      </c>
      <c r="BOG87" s="6">
        <v>30</v>
      </c>
      <c r="BYJ87" s="95"/>
      <c r="BYK87" s="83">
        <v>0</v>
      </c>
      <c r="BYP87" s="83">
        <v>1</v>
      </c>
      <c r="BYY87" s="83">
        <v>0</v>
      </c>
      <c r="BZL87" s="83">
        <v>0</v>
      </c>
      <c r="BZY87" s="83">
        <v>100</v>
      </c>
      <c r="EFM87" s="83">
        <v>1</v>
      </c>
      <c r="GQB87" s="83">
        <v>1</v>
      </c>
    </row>
    <row r="88" spans="1:1015 1040:2040 2053:3069 3085:4060 4377:5100 5176:5337" s="59" customFormat="1" x14ac:dyDescent="0.25">
      <c r="A88" s="59">
        <v>9030684</v>
      </c>
      <c r="B88" s="60" t="s">
        <v>4194</v>
      </c>
      <c r="BC88" s="59">
        <v>8</v>
      </c>
      <c r="BD88" s="59">
        <v>80</v>
      </c>
      <c r="BE88" s="59">
        <v>72</v>
      </c>
      <c r="CM88" s="59">
        <v>5.5</v>
      </c>
      <c r="CN88" s="59">
        <v>1.1000000000000001</v>
      </c>
      <c r="CQ88" s="59">
        <v>1.2</v>
      </c>
      <c r="EG88" s="59">
        <v>94</v>
      </c>
      <c r="EH88" s="59">
        <v>32</v>
      </c>
      <c r="EI88" s="59">
        <v>29</v>
      </c>
      <c r="KF88" s="59">
        <v>28.8</v>
      </c>
      <c r="NU88" s="59">
        <v>26.4</v>
      </c>
      <c r="RI88" s="59">
        <v>15</v>
      </c>
      <c r="ZS88" s="59">
        <v>7.1</v>
      </c>
      <c r="ZT88" s="59">
        <v>8.9</v>
      </c>
      <c r="AAD88" s="59">
        <v>11.3</v>
      </c>
      <c r="AJO88" s="59">
        <v>1.4592000000000001</v>
      </c>
      <c r="AJT88" s="59">
        <v>0.84840000000000004</v>
      </c>
      <c r="AOT88" s="82">
        <v>142.34219999999999</v>
      </c>
      <c r="AOU88" s="82"/>
      <c r="AOV88" s="82"/>
      <c r="AOW88" s="82"/>
      <c r="AOX88" s="82">
        <v>29.429400000000001</v>
      </c>
      <c r="AQS88" s="59">
        <v>2600000</v>
      </c>
      <c r="AQT88" s="59">
        <v>3100000</v>
      </c>
      <c r="ARD88" s="59">
        <v>4100000</v>
      </c>
      <c r="ASD88" s="59">
        <v>333000</v>
      </c>
      <c r="ASO88" s="59">
        <v>350000</v>
      </c>
      <c r="AZS88" s="59">
        <v>22</v>
      </c>
      <c r="AZT88" s="59">
        <v>26</v>
      </c>
      <c r="BAD88" s="59">
        <v>35</v>
      </c>
      <c r="BOA88">
        <v>84</v>
      </c>
      <c r="BOB88"/>
      <c r="BOC88">
        <v>1</v>
      </c>
      <c r="BOD88">
        <v>30.86</v>
      </c>
      <c r="BOE88"/>
      <c r="BOF88">
        <v>1</v>
      </c>
      <c r="BOG88">
        <v>2</v>
      </c>
      <c r="BYJ88" s="65"/>
      <c r="BYK88" s="59">
        <v>0</v>
      </c>
      <c r="BYP88" s="59">
        <v>1</v>
      </c>
      <c r="BYY88" s="59">
        <v>0</v>
      </c>
      <c r="BZL88" s="59">
        <v>0</v>
      </c>
      <c r="BZY88" s="59">
        <v>100</v>
      </c>
      <c r="CAC88" s="59">
        <v>1</v>
      </c>
      <c r="EFM88" s="59">
        <v>1</v>
      </c>
      <c r="GQB88" s="59">
        <v>1</v>
      </c>
    </row>
    <row r="89" spans="1:1015 1040:2040 2053:3069 3085:4060 4377:5100 5176:5337" s="59" customFormat="1" x14ac:dyDescent="0.25">
      <c r="A89" s="59">
        <v>9031387</v>
      </c>
      <c r="B89" s="60" t="s">
        <v>4194</v>
      </c>
      <c r="BT89" s="59">
        <v>32.1</v>
      </c>
      <c r="BU89" s="59">
        <v>58.9</v>
      </c>
      <c r="CZ89" s="59">
        <v>2.14</v>
      </c>
      <c r="DA89" s="59">
        <v>1.29</v>
      </c>
      <c r="EV89" s="59">
        <v>45.2</v>
      </c>
      <c r="EW89" s="59">
        <v>37.299999999999997</v>
      </c>
      <c r="GV89" s="59">
        <v>504</v>
      </c>
      <c r="KL89" s="59">
        <v>34.799999999999997</v>
      </c>
      <c r="OA89" s="59">
        <v>37.200000000000003</v>
      </c>
      <c r="RO89" s="59">
        <v>37.799999999999997</v>
      </c>
      <c r="AAL89" s="59">
        <v>14.2</v>
      </c>
      <c r="AHA89" s="59">
        <v>47.4</v>
      </c>
      <c r="AKG89" s="59">
        <v>1.1537999999999999</v>
      </c>
      <c r="APH89" s="82">
        <v>64.864800000000002</v>
      </c>
      <c r="ARI89" s="59">
        <v>7000</v>
      </c>
      <c r="ASV89" s="59">
        <v>328000</v>
      </c>
      <c r="BAJ89" s="59">
        <v>42</v>
      </c>
      <c r="BGP89" s="59">
        <v>142</v>
      </c>
      <c r="BHU89" s="59">
        <v>3.75</v>
      </c>
      <c r="BIU89" s="59">
        <v>2.5299999999999998</v>
      </c>
      <c r="BJL89" s="59">
        <v>106</v>
      </c>
      <c r="BOA89">
        <v>70</v>
      </c>
      <c r="BOB89"/>
      <c r="BOC89">
        <v>1</v>
      </c>
      <c r="BOD89"/>
      <c r="BOE89"/>
      <c r="BOF89">
        <v>1</v>
      </c>
      <c r="BOG89">
        <v>22</v>
      </c>
      <c r="BYJ89" s="65"/>
      <c r="BYK89" s="59">
        <v>1575</v>
      </c>
      <c r="BYL89" s="59">
        <v>75</v>
      </c>
      <c r="BYM89" s="59">
        <v>1</v>
      </c>
      <c r="BYP89" s="59">
        <v>1</v>
      </c>
      <c r="BYS89" s="59">
        <v>42</v>
      </c>
      <c r="BYT89" s="59">
        <v>21</v>
      </c>
      <c r="BYU89" s="59">
        <v>0</v>
      </c>
      <c r="BYV89" s="59">
        <v>20</v>
      </c>
      <c r="BYY89" s="59">
        <v>0</v>
      </c>
      <c r="BZL89" s="59">
        <v>0</v>
      </c>
      <c r="CDO89" s="59">
        <v>7.5</v>
      </c>
      <c r="CDP89" s="59">
        <v>1</v>
      </c>
      <c r="CDS89" s="59">
        <v>1</v>
      </c>
      <c r="CDT89" s="59">
        <v>999</v>
      </c>
      <c r="CDU89" s="59">
        <v>999</v>
      </c>
      <c r="CDV89" s="59">
        <v>0</v>
      </c>
      <c r="CDW89" s="69">
        <v>999</v>
      </c>
      <c r="DNQ89" s="59">
        <v>10</v>
      </c>
      <c r="DNR89" s="59">
        <v>1</v>
      </c>
      <c r="DNU89" s="59">
        <v>1</v>
      </c>
      <c r="DNV89" s="59">
        <v>999</v>
      </c>
      <c r="DNW89" s="59">
        <v>999</v>
      </c>
      <c r="DNX89" s="59">
        <v>0</v>
      </c>
      <c r="DNY89" s="69">
        <v>999</v>
      </c>
      <c r="DWR89" s="59">
        <v>320</v>
      </c>
      <c r="DWS89" s="59">
        <v>1</v>
      </c>
      <c r="DWV89" s="59">
        <v>1</v>
      </c>
      <c r="DWW89" s="59">
        <v>999</v>
      </c>
      <c r="DWX89" s="59">
        <v>213</v>
      </c>
      <c r="DWY89" s="59">
        <v>0</v>
      </c>
      <c r="DWZ89" s="69">
        <v>999</v>
      </c>
      <c r="DXC89" s="59">
        <v>1.5</v>
      </c>
      <c r="DXD89" s="59">
        <v>1</v>
      </c>
      <c r="DXG89" s="59">
        <v>1</v>
      </c>
      <c r="DXH89" s="59">
        <v>999</v>
      </c>
      <c r="DXI89" s="59">
        <v>999</v>
      </c>
      <c r="DXJ89" s="59">
        <v>16</v>
      </c>
      <c r="EBQ89" s="59">
        <v>10</v>
      </c>
      <c r="EBR89" s="59">
        <v>1</v>
      </c>
      <c r="EBU89" s="59">
        <v>1</v>
      </c>
      <c r="ELY89" s="59">
        <v>40</v>
      </c>
      <c r="ELZ89" s="59">
        <v>1</v>
      </c>
      <c r="EMC89" s="59">
        <v>1</v>
      </c>
      <c r="EMD89" s="59">
        <v>999</v>
      </c>
      <c r="EME89" s="59">
        <v>999</v>
      </c>
      <c r="EMF89" s="59">
        <v>0</v>
      </c>
      <c r="EMG89" s="69">
        <v>999</v>
      </c>
      <c r="FZM89" s="59">
        <v>125</v>
      </c>
      <c r="FZN89" s="59">
        <v>1</v>
      </c>
      <c r="FZQ89" s="59">
        <v>1</v>
      </c>
      <c r="FZR89" s="59">
        <v>999</v>
      </c>
      <c r="FZS89" s="59">
        <v>999</v>
      </c>
      <c r="FZT89" s="59">
        <v>0</v>
      </c>
      <c r="FZU89" s="69">
        <v>999</v>
      </c>
    </row>
    <row r="90" spans="1:1015 1040:2040 2053:3069 3085:4060 4377:5100 5176:5337" s="59" customFormat="1" x14ac:dyDescent="0.25">
      <c r="A90" s="59">
        <v>9038676</v>
      </c>
      <c r="B90" s="60" t="s">
        <v>4194</v>
      </c>
      <c r="BC90" s="59">
        <v>25</v>
      </c>
      <c r="BD90" s="59">
        <v>48</v>
      </c>
      <c r="BE90" s="59">
        <v>81</v>
      </c>
      <c r="CM90" s="59">
        <v>2.5</v>
      </c>
      <c r="CN90" s="59">
        <v>1.6</v>
      </c>
      <c r="CO90" s="59">
        <v>1.2</v>
      </c>
      <c r="EG90" s="59">
        <v>37</v>
      </c>
      <c r="EH90" s="59">
        <v>35</v>
      </c>
      <c r="EI90" s="59">
        <v>23</v>
      </c>
      <c r="JQ90" s="59">
        <v>12.6</v>
      </c>
      <c r="NF90" s="59">
        <v>11.4</v>
      </c>
      <c r="QT90" s="59">
        <v>78</v>
      </c>
      <c r="ZS90" s="59">
        <v>14.986000000000001</v>
      </c>
      <c r="ZU90" s="59">
        <v>13.374599999999999</v>
      </c>
      <c r="AJO90" s="59">
        <v>0.79179999999999995</v>
      </c>
      <c r="AJQ90" s="59">
        <v>0.85970000000000002</v>
      </c>
      <c r="AZS90" s="59">
        <v>44.6</v>
      </c>
      <c r="AZU90" s="59">
        <v>39.9</v>
      </c>
      <c r="BFY90" s="59">
        <v>140</v>
      </c>
      <c r="BGA90" s="59">
        <v>145</v>
      </c>
      <c r="BHE90" s="59">
        <v>3.7</v>
      </c>
      <c r="BHG90" s="59">
        <v>4.4000000000000004</v>
      </c>
      <c r="BOA90">
        <v>78</v>
      </c>
      <c r="BOB90"/>
      <c r="BOC90">
        <v>1</v>
      </c>
      <c r="BOD90">
        <v>27.06</v>
      </c>
      <c r="BOE90"/>
      <c r="BOF90">
        <v>1</v>
      </c>
      <c r="BOG90">
        <v>6</v>
      </c>
      <c r="BYJ90" s="65"/>
      <c r="BYK90" s="59">
        <v>74925</v>
      </c>
      <c r="BYL90" s="59">
        <v>75</v>
      </c>
      <c r="BYM90" s="59">
        <v>1</v>
      </c>
      <c r="BYP90" s="59">
        <v>1</v>
      </c>
      <c r="BYS90" s="59">
        <v>999</v>
      </c>
      <c r="BYT90" s="59">
        <v>999</v>
      </c>
      <c r="BYU90" s="59">
        <v>0</v>
      </c>
      <c r="BYV90" s="69">
        <v>999</v>
      </c>
      <c r="BYY90" s="59">
        <v>0</v>
      </c>
      <c r="BZL90" s="59">
        <v>0</v>
      </c>
      <c r="DHL90" s="59">
        <v>16</v>
      </c>
      <c r="DHM90" s="59">
        <v>1</v>
      </c>
      <c r="DHP90" s="59">
        <v>1</v>
      </c>
      <c r="DMW90" s="59">
        <v>3</v>
      </c>
      <c r="DMX90" s="59">
        <v>2</v>
      </c>
      <c r="DNA90" s="59">
        <v>1</v>
      </c>
      <c r="DQU90" s="59">
        <v>0.05</v>
      </c>
      <c r="DQV90" s="59">
        <v>1</v>
      </c>
      <c r="DQY90" s="59">
        <v>1</v>
      </c>
      <c r="DTY90" s="59">
        <v>200</v>
      </c>
      <c r="DTZ90" s="59">
        <v>1</v>
      </c>
      <c r="DUC90" s="59">
        <v>1</v>
      </c>
      <c r="DUD90" s="59">
        <v>999</v>
      </c>
      <c r="DUE90" s="59">
        <v>999</v>
      </c>
      <c r="DUF90" s="59">
        <v>0</v>
      </c>
      <c r="DUG90" s="69">
        <v>999</v>
      </c>
      <c r="DUI90" s="59">
        <v>120</v>
      </c>
      <c r="DUJ90" s="59">
        <v>2</v>
      </c>
      <c r="DUM90" s="59">
        <v>1</v>
      </c>
      <c r="DUN90" s="59">
        <v>999</v>
      </c>
      <c r="DUO90" s="59">
        <v>999</v>
      </c>
      <c r="DUP90" s="59">
        <v>0</v>
      </c>
      <c r="DUQ90" s="69">
        <v>999</v>
      </c>
      <c r="DXC90" s="59">
        <v>1.5</v>
      </c>
      <c r="DXD90" s="59">
        <v>1</v>
      </c>
      <c r="DXG90" s="59">
        <v>1</v>
      </c>
      <c r="DXH90" s="59">
        <v>999</v>
      </c>
      <c r="DXI90" s="59">
        <v>999</v>
      </c>
      <c r="DXJ90" s="59">
        <v>0</v>
      </c>
      <c r="DXK90" s="59">
        <v>0</v>
      </c>
      <c r="EMI90" s="59">
        <v>40</v>
      </c>
      <c r="EMJ90" s="59">
        <v>1</v>
      </c>
      <c r="EMM90" s="59">
        <v>1</v>
      </c>
      <c r="EMN90" s="59">
        <v>999</v>
      </c>
      <c r="EMO90" s="59">
        <v>999</v>
      </c>
      <c r="EMP90" s="59">
        <v>0</v>
      </c>
      <c r="EMQ90" s="69">
        <v>999</v>
      </c>
      <c r="FYS90" s="59">
        <v>125</v>
      </c>
      <c r="FYT90" s="59">
        <v>1</v>
      </c>
    </row>
    <row r="91" spans="1:1015 1040:2040 2053:3069 3085:4060 4377:5100 5176:5337" s="59" customFormat="1" x14ac:dyDescent="0.25">
      <c r="A91" s="77">
        <v>9039416</v>
      </c>
      <c r="B91" s="60" t="s">
        <v>4194</v>
      </c>
      <c r="BF91" s="59">
        <v>122</v>
      </c>
      <c r="CP91" s="59">
        <v>0.9</v>
      </c>
      <c r="EJ91" s="59">
        <v>31</v>
      </c>
      <c r="FH91" s="59">
        <v>17.600000000000001</v>
      </c>
      <c r="HT91" s="59">
        <v>3300</v>
      </c>
      <c r="HU91" s="59">
        <v>3000</v>
      </c>
      <c r="IB91" s="59">
        <v>4300</v>
      </c>
      <c r="IM91" s="59">
        <v>9090</v>
      </c>
      <c r="JT91" s="59">
        <v>43.8</v>
      </c>
      <c r="NI91" s="59">
        <v>22.2</v>
      </c>
      <c r="QW91" s="59">
        <v>87</v>
      </c>
      <c r="ZV91" s="59">
        <v>10.1518</v>
      </c>
      <c r="ZW91" s="59">
        <v>9.0237999999999996</v>
      </c>
      <c r="AAD91" s="59">
        <v>8.5404</v>
      </c>
      <c r="AAN91" s="59">
        <v>9.8294999999999995</v>
      </c>
      <c r="ABO91" s="59">
        <v>0.27479999999999999</v>
      </c>
      <c r="AGI91" s="59">
        <v>138.6</v>
      </c>
      <c r="AJR91" s="59">
        <v>1.3008999999999999</v>
      </c>
      <c r="ALC91" s="59">
        <v>39.6</v>
      </c>
      <c r="AMA91" s="59">
        <v>21.6</v>
      </c>
      <c r="ANJ91" s="59">
        <v>136</v>
      </c>
      <c r="ANK91" s="59">
        <v>111</v>
      </c>
      <c r="ANM91" s="59">
        <v>42.9</v>
      </c>
      <c r="AQW91" s="59">
        <v>3360000</v>
      </c>
      <c r="ASG91" s="59">
        <v>216000</v>
      </c>
      <c r="ASH91" s="59">
        <v>207000</v>
      </c>
      <c r="ASO91" s="59">
        <v>339000</v>
      </c>
      <c r="ASZ91" s="59">
        <v>414000</v>
      </c>
      <c r="AZV91" s="59">
        <v>30</v>
      </c>
      <c r="AZW91" s="59">
        <v>28</v>
      </c>
      <c r="BAD91" s="59">
        <v>27</v>
      </c>
      <c r="BAN91" s="59">
        <v>31</v>
      </c>
      <c r="BBO91" s="59">
        <v>91.4</v>
      </c>
      <c r="BCU91" s="59">
        <v>30.213750000000001</v>
      </c>
      <c r="BDX91" s="59">
        <v>33.033700000000003</v>
      </c>
      <c r="BGC91" s="59">
        <v>128</v>
      </c>
      <c r="BGD91" s="59">
        <v>132</v>
      </c>
      <c r="BHI91" s="59">
        <v>5.0999999999999996</v>
      </c>
      <c r="BHJ91" s="59">
        <v>4.7</v>
      </c>
      <c r="BIM91" s="59">
        <v>2.1</v>
      </c>
      <c r="BOA91">
        <v>78</v>
      </c>
      <c r="BOB91"/>
      <c r="BOC91">
        <v>1</v>
      </c>
      <c r="BOD91">
        <v>22.64</v>
      </c>
      <c r="BOE91"/>
      <c r="BOF91">
        <v>1</v>
      </c>
      <c r="BOG91"/>
      <c r="BYJ91" s="65"/>
      <c r="BYK91" s="59">
        <v>2250</v>
      </c>
      <c r="BYL91" s="59">
        <v>75</v>
      </c>
      <c r="BYM91" s="59">
        <v>1</v>
      </c>
      <c r="BYP91" s="59">
        <v>1</v>
      </c>
      <c r="BYS91" s="59">
        <v>30</v>
      </c>
      <c r="BYT91" s="59">
        <v>30</v>
      </c>
      <c r="BYU91" s="59">
        <v>0</v>
      </c>
      <c r="BYV91" s="59">
        <v>3</v>
      </c>
      <c r="BYY91" s="59">
        <v>0</v>
      </c>
      <c r="BZL91" s="59">
        <v>0</v>
      </c>
      <c r="CBE91" s="59">
        <v>500</v>
      </c>
      <c r="CBF91" s="59">
        <v>3</v>
      </c>
      <c r="CBI91" s="59">
        <v>1</v>
      </c>
      <c r="CBJ91" s="69">
        <v>999</v>
      </c>
      <c r="CBK91" s="59">
        <v>30</v>
      </c>
      <c r="CBL91" s="59">
        <v>1</v>
      </c>
      <c r="CBM91" s="59">
        <v>999</v>
      </c>
      <c r="CII91" s="59" t="s">
        <v>956</v>
      </c>
      <c r="CIJ91" s="59">
        <v>0.33329999999999999</v>
      </c>
      <c r="CIM91" s="59">
        <v>1</v>
      </c>
      <c r="DGH91" s="59">
        <v>10</v>
      </c>
      <c r="DGI91" s="59">
        <v>1</v>
      </c>
      <c r="DGL91" s="59">
        <v>1</v>
      </c>
      <c r="DGM91" s="69">
        <v>999</v>
      </c>
      <c r="DGN91" s="59">
        <v>999</v>
      </c>
      <c r="DGO91" s="59">
        <v>0</v>
      </c>
      <c r="DGP91" s="59">
        <v>999</v>
      </c>
      <c r="DXM91" s="59">
        <v>3000</v>
      </c>
      <c r="DXN91" s="59">
        <v>1</v>
      </c>
      <c r="DXQ91" s="59">
        <v>1</v>
      </c>
      <c r="DXS91" s="59">
        <v>30</v>
      </c>
      <c r="DXT91" s="59">
        <v>30</v>
      </c>
      <c r="DXU91" s="59">
        <v>0</v>
      </c>
      <c r="DXV91" s="59">
        <v>3</v>
      </c>
      <c r="DZQ91" s="59">
        <v>75</v>
      </c>
      <c r="DZR91" s="59">
        <v>1</v>
      </c>
      <c r="DZU91" s="59">
        <v>1</v>
      </c>
      <c r="DZV91" s="59">
        <v>214</v>
      </c>
      <c r="DZW91" s="59">
        <v>183</v>
      </c>
      <c r="DZX91" s="59">
        <v>0</v>
      </c>
      <c r="DZY91" s="59">
        <v>1</v>
      </c>
      <c r="ELY91" s="59">
        <v>40</v>
      </c>
      <c r="ELZ91" s="59">
        <v>1</v>
      </c>
      <c r="EMC91" s="59">
        <v>1</v>
      </c>
      <c r="EMD91" s="69">
        <v>999</v>
      </c>
      <c r="EME91" s="59">
        <v>30</v>
      </c>
      <c r="EMF91" s="59">
        <v>0</v>
      </c>
      <c r="EMG91" s="59">
        <v>999</v>
      </c>
      <c r="FLI91" s="59">
        <v>25</v>
      </c>
      <c r="FLJ91" s="59">
        <v>1</v>
      </c>
      <c r="FLM91" s="59">
        <v>1</v>
      </c>
      <c r="FLN91" s="59">
        <v>999</v>
      </c>
      <c r="FLO91" s="59">
        <v>183</v>
      </c>
      <c r="FLP91" s="59">
        <v>0</v>
      </c>
      <c r="FLQ91" s="69">
        <v>999</v>
      </c>
      <c r="FRN91" s="59">
        <v>10</v>
      </c>
      <c r="FRO91" s="59">
        <v>1</v>
      </c>
      <c r="FRR91" s="59">
        <v>1</v>
      </c>
      <c r="FRS91" s="69">
        <v>999</v>
      </c>
      <c r="FRT91" s="59">
        <v>183</v>
      </c>
      <c r="FRU91" s="59">
        <v>0</v>
      </c>
      <c r="FRV91" s="59">
        <v>999</v>
      </c>
      <c r="GMV91" s="59">
        <v>50</v>
      </c>
      <c r="GMW91" s="59">
        <v>1</v>
      </c>
      <c r="GMZ91" s="59">
        <v>1</v>
      </c>
      <c r="GNA91" s="59">
        <v>70</v>
      </c>
      <c r="GNB91" s="59">
        <v>66</v>
      </c>
      <c r="GNC91" s="59">
        <v>0</v>
      </c>
      <c r="GND91" s="59">
        <v>3</v>
      </c>
      <c r="GUC91" s="63">
        <v>20000</v>
      </c>
      <c r="GUD91" s="59">
        <v>1</v>
      </c>
      <c r="GUG91" s="59">
        <v>1</v>
      </c>
      <c r="GUH91" s="59">
        <v>30</v>
      </c>
      <c r="GUI91" s="59">
        <v>30</v>
      </c>
      <c r="GUJ91" s="59">
        <v>0</v>
      </c>
      <c r="GUK91" s="59">
        <v>1</v>
      </c>
    </row>
    <row r="92" spans="1:1015 1040:2040 2053:3069 3085:4060 4377:5100 5176:5337" s="63" customFormat="1" x14ac:dyDescent="0.25">
      <c r="A92" s="63">
        <v>9042861</v>
      </c>
      <c r="B92" s="89" t="s">
        <v>4194</v>
      </c>
      <c r="BF92" s="63">
        <v>64</v>
      </c>
      <c r="BR92" s="63">
        <v>80</v>
      </c>
      <c r="BS92" s="63">
        <v>99</v>
      </c>
      <c r="KG92" s="63">
        <v>37.200000000000003</v>
      </c>
      <c r="KJ92" s="63">
        <v>13.8</v>
      </c>
      <c r="NV92" s="63">
        <v>52.2</v>
      </c>
      <c r="NY92" s="63">
        <v>43.2</v>
      </c>
      <c r="RJ92" s="63">
        <v>123</v>
      </c>
      <c r="RM92" s="63">
        <v>105.6</v>
      </c>
      <c r="ACB92" s="63">
        <v>1.4032</v>
      </c>
      <c r="AKD92" s="63">
        <v>0.8145</v>
      </c>
      <c r="ANJ92" s="63">
        <v>192</v>
      </c>
      <c r="ANW92" s="63">
        <v>3.3</v>
      </c>
      <c r="ANY92" s="63">
        <v>2</v>
      </c>
      <c r="AWX92" s="63">
        <v>60</v>
      </c>
      <c r="BOA92" s="35"/>
      <c r="BOB92" s="35"/>
      <c r="BOC92" s="35"/>
      <c r="BOD92" s="35"/>
      <c r="BOE92" s="35"/>
      <c r="BOF92" s="35"/>
      <c r="BOG92" s="35"/>
      <c r="BYK92" s="63">
        <v>800</v>
      </c>
      <c r="BYL92" s="63">
        <v>100</v>
      </c>
      <c r="BYM92" s="63">
        <v>1</v>
      </c>
      <c r="BYQ92" s="63">
        <v>1</v>
      </c>
      <c r="BYS92" s="63">
        <v>12</v>
      </c>
      <c r="BYT92" s="63">
        <v>8</v>
      </c>
      <c r="BYU92" s="63">
        <v>0</v>
      </c>
      <c r="BYV92" s="63">
        <v>3</v>
      </c>
      <c r="BYY92" s="63">
        <v>4000</v>
      </c>
      <c r="BYZ92" s="63">
        <v>400</v>
      </c>
      <c r="BZA92" s="63">
        <v>1</v>
      </c>
      <c r="BZD92" s="63">
        <v>1</v>
      </c>
      <c r="BZF92" s="63">
        <v>10</v>
      </c>
      <c r="BZG92" s="63">
        <v>17</v>
      </c>
      <c r="BZH92" s="63">
        <v>8</v>
      </c>
      <c r="BZI92" s="63">
        <v>0</v>
      </c>
      <c r="BZL92" s="63">
        <v>0</v>
      </c>
      <c r="CHO92" s="63">
        <v>30</v>
      </c>
      <c r="CHP92" s="63">
        <v>1</v>
      </c>
      <c r="CHS92" s="63">
        <v>1</v>
      </c>
      <c r="CHT92" s="63">
        <v>12</v>
      </c>
      <c r="CHU92" s="63">
        <v>8</v>
      </c>
      <c r="CHV92" s="63">
        <v>0</v>
      </c>
      <c r="CHW92" s="63">
        <v>3</v>
      </c>
      <c r="EAL92" s="63">
        <v>40</v>
      </c>
      <c r="EAM92" s="63">
        <v>1</v>
      </c>
      <c r="EAP92" s="63">
        <v>1</v>
      </c>
      <c r="EAR92" s="63">
        <v>999</v>
      </c>
      <c r="EAS92" s="63">
        <v>17</v>
      </c>
      <c r="EAT92" s="63">
        <v>0</v>
      </c>
      <c r="EAU92" s="63">
        <v>999</v>
      </c>
      <c r="ELY92" s="63">
        <v>40</v>
      </c>
      <c r="ELZ92" s="63">
        <v>1</v>
      </c>
      <c r="EMC92" s="63">
        <v>1</v>
      </c>
      <c r="EMD92" s="63">
        <v>21</v>
      </c>
      <c r="EME92" s="63">
        <v>17</v>
      </c>
      <c r="EMF92" s="63">
        <v>0</v>
      </c>
      <c r="EMG92" s="63">
        <v>3</v>
      </c>
    </row>
    <row r="93" spans="1:1015 1040:2040 2053:3069 3085:4060 4377:5100 5176:5337" s="63" customFormat="1" x14ac:dyDescent="0.25">
      <c r="A93" s="63">
        <v>9044899</v>
      </c>
      <c r="B93" s="89" t="s">
        <v>4194</v>
      </c>
      <c r="DW93" s="63">
        <v>30</v>
      </c>
      <c r="HH93" s="63">
        <v>9400</v>
      </c>
      <c r="HO93" s="63">
        <v>7100</v>
      </c>
      <c r="HQ93" s="63">
        <v>8400</v>
      </c>
      <c r="HS93" s="63">
        <v>8000</v>
      </c>
      <c r="HY93" s="63">
        <v>8200</v>
      </c>
      <c r="JS93" s="63">
        <v>36</v>
      </c>
      <c r="JV93" s="63">
        <v>21</v>
      </c>
      <c r="JY93" s="63">
        <v>21</v>
      </c>
      <c r="NF93" s="63">
        <v>45</v>
      </c>
      <c r="NH93" s="63">
        <v>77</v>
      </c>
      <c r="NK93" s="63">
        <v>49</v>
      </c>
      <c r="NN93" s="63">
        <v>42</v>
      </c>
      <c r="QK93" s="63">
        <v>365</v>
      </c>
      <c r="QR93" s="63">
        <v>235</v>
      </c>
      <c r="QT93" s="63">
        <v>327</v>
      </c>
      <c r="QV93" s="63">
        <v>362</v>
      </c>
      <c r="QY93" s="63">
        <v>318</v>
      </c>
      <c r="RB93" s="63">
        <v>288</v>
      </c>
      <c r="ZK93" s="63">
        <v>11.9</v>
      </c>
      <c r="ZQ93" s="63">
        <v>10.8</v>
      </c>
      <c r="ZS93" s="63">
        <v>12.6</v>
      </c>
      <c r="ZU93" s="63">
        <v>12.5</v>
      </c>
      <c r="AAA93" s="63">
        <v>12.7</v>
      </c>
      <c r="ABL93" s="63">
        <v>0.43</v>
      </c>
      <c r="AFK93" s="63">
        <v>122</v>
      </c>
      <c r="AGF93" s="63">
        <v>208</v>
      </c>
      <c r="AGH93" s="63">
        <v>225</v>
      </c>
      <c r="AGK93" s="63">
        <v>189</v>
      </c>
      <c r="AGN93" s="63">
        <v>179</v>
      </c>
      <c r="AJF93" s="63">
        <v>0.9</v>
      </c>
      <c r="AQK93" s="63">
        <v>44000000000</v>
      </c>
      <c r="AQQ93" s="63">
        <v>4000000</v>
      </c>
      <c r="AQS93" s="63">
        <v>4800000</v>
      </c>
      <c r="AQU93" s="63">
        <v>4600000</v>
      </c>
      <c r="ARA93" s="63">
        <v>4700000</v>
      </c>
      <c r="ARV93" s="63">
        <v>465000</v>
      </c>
      <c r="ASB93" s="63">
        <v>360000</v>
      </c>
      <c r="ASD93" s="63">
        <v>483000</v>
      </c>
      <c r="ASF93" s="63">
        <v>409000</v>
      </c>
      <c r="ASL93" s="63">
        <v>332000</v>
      </c>
      <c r="AZK93" s="63">
        <v>39</v>
      </c>
      <c r="AZQ93" s="63">
        <v>36</v>
      </c>
      <c r="AZS93" s="63">
        <v>42</v>
      </c>
      <c r="AZU93" s="63">
        <v>40</v>
      </c>
      <c r="BAA93" s="63">
        <v>42</v>
      </c>
      <c r="BOA93" s="35"/>
      <c r="BOB93" s="35"/>
      <c r="BOC93" s="35"/>
      <c r="BOD93" s="35"/>
      <c r="BOE93" s="35"/>
      <c r="BOF93" s="35"/>
      <c r="BOG93" s="35"/>
      <c r="BYK93" s="63">
        <v>3000</v>
      </c>
      <c r="BYL93" s="63">
        <v>150</v>
      </c>
      <c r="BYM93" s="63">
        <v>1</v>
      </c>
      <c r="BYS93" s="63">
        <v>20</v>
      </c>
      <c r="BYT93" s="63">
        <v>22</v>
      </c>
      <c r="BYU93" s="63">
        <v>3</v>
      </c>
      <c r="BYV93" s="63">
        <v>0</v>
      </c>
      <c r="BYY93" s="63">
        <v>0</v>
      </c>
      <c r="BZL93" s="63">
        <v>0</v>
      </c>
      <c r="CBE93" s="63" t="s">
        <v>2470</v>
      </c>
      <c r="CBF93" s="63">
        <v>1</v>
      </c>
      <c r="CBJ93" s="63">
        <v>20</v>
      </c>
      <c r="CBK93" s="63">
        <v>22</v>
      </c>
      <c r="CBL93" s="63">
        <v>3</v>
      </c>
      <c r="CBM93" s="63">
        <v>0</v>
      </c>
      <c r="CGT93" s="63">
        <v>30</v>
      </c>
      <c r="CGU93" s="63">
        <v>1</v>
      </c>
      <c r="DZE93" s="63">
        <v>1</v>
      </c>
      <c r="EAA93" s="63">
        <v>10</v>
      </c>
      <c r="EAB93" s="63">
        <v>1</v>
      </c>
      <c r="EAE93" s="63">
        <v>1</v>
      </c>
      <c r="EAF93" s="63">
        <v>22</v>
      </c>
      <c r="EAG93" s="63">
        <v>22</v>
      </c>
      <c r="EAH93" s="63">
        <v>1</v>
      </c>
      <c r="EAI93" s="63">
        <v>0</v>
      </c>
      <c r="ELY93" s="63">
        <v>40</v>
      </c>
      <c r="ELZ93" s="63">
        <v>1</v>
      </c>
      <c r="EMD93" s="63">
        <v>20</v>
      </c>
      <c r="EME93" s="63">
        <v>22</v>
      </c>
      <c r="EMF93" s="63">
        <v>3</v>
      </c>
      <c r="EMG93" s="63">
        <v>0</v>
      </c>
      <c r="GAR93" s="63">
        <v>150</v>
      </c>
      <c r="GAS93" s="63">
        <v>1</v>
      </c>
      <c r="GAW93" s="63">
        <v>20</v>
      </c>
      <c r="GAX93" s="63">
        <v>22</v>
      </c>
      <c r="GAY93" s="63">
        <v>3</v>
      </c>
    </row>
    <row r="94" spans="1:1015 1040:2040 2053:3069 3085:4060 4377:5100 5176:5337" s="83" customFormat="1" x14ac:dyDescent="0.25">
      <c r="A94" s="96">
        <v>9052398</v>
      </c>
      <c r="B94" s="83" t="s">
        <v>4194</v>
      </c>
      <c r="BC94" s="83">
        <v>65</v>
      </c>
      <c r="CM94" s="83">
        <v>1.26</v>
      </c>
      <c r="HQ94" s="83">
        <v>9100</v>
      </c>
      <c r="JQ94" s="83">
        <v>97.2</v>
      </c>
      <c r="JS94" s="83">
        <v>70.2</v>
      </c>
      <c r="NF94" s="83">
        <v>144.6</v>
      </c>
      <c r="NH94" s="83">
        <v>116.4</v>
      </c>
      <c r="QT94" s="83">
        <v>1198.2</v>
      </c>
      <c r="QV94" s="83">
        <v>1001.4</v>
      </c>
      <c r="ZS94" s="83">
        <v>12.1983</v>
      </c>
      <c r="AGF94" s="83">
        <v>483</v>
      </c>
      <c r="AGH94" s="83">
        <v>436.8</v>
      </c>
      <c r="AJO94" s="83">
        <v>1.8552</v>
      </c>
      <c r="AJQ94" s="83">
        <v>1.6267</v>
      </c>
      <c r="ANI94" s="83">
        <v>29.1</v>
      </c>
      <c r="AOT94" s="101">
        <v>70.270200000000003</v>
      </c>
      <c r="AOU94" s="101"/>
      <c r="AOV94" s="101">
        <v>45.045000000000002</v>
      </c>
      <c r="ASD94" s="83">
        <v>242000</v>
      </c>
      <c r="AXD94" s="83">
        <v>19.97</v>
      </c>
      <c r="AXF94" s="83">
        <v>16.690000000000001</v>
      </c>
      <c r="AZS94" s="83">
        <v>38</v>
      </c>
      <c r="BCQ94" s="102" t="s">
        <v>2466</v>
      </c>
      <c r="BDT94" s="96"/>
      <c r="BDU94" s="96"/>
      <c r="BDV94" s="96"/>
      <c r="BDW94" s="96"/>
      <c r="BFY94" s="83">
        <v>138</v>
      </c>
      <c r="BHE94" s="83">
        <v>3.88</v>
      </c>
      <c r="BIU94" s="83">
        <v>3.41</v>
      </c>
      <c r="BOA94" s="6">
        <v>79</v>
      </c>
      <c r="BOB94" s="6">
        <v>1</v>
      </c>
      <c r="BOC94" s="6"/>
      <c r="BOD94" s="6">
        <v>29.59</v>
      </c>
      <c r="BOE94" s="6"/>
      <c r="BOF94" s="6">
        <v>1</v>
      </c>
      <c r="BOG94" s="6"/>
      <c r="BYJ94" s="95"/>
      <c r="BYK94" s="83">
        <v>36600</v>
      </c>
      <c r="BYL94" s="83">
        <v>50</v>
      </c>
      <c r="BYM94" s="83">
        <v>1</v>
      </c>
      <c r="BYP94" s="83">
        <v>1</v>
      </c>
      <c r="BYS94" s="83">
        <v>732</v>
      </c>
      <c r="BYY94" s="83">
        <v>0</v>
      </c>
      <c r="BZL94" s="83">
        <v>0</v>
      </c>
      <c r="CJX94" s="83">
        <v>10</v>
      </c>
      <c r="CJY94" s="83">
        <v>1</v>
      </c>
      <c r="CKB94" s="83">
        <v>1</v>
      </c>
      <c r="CKC94" s="100">
        <v>999</v>
      </c>
      <c r="CKD94" s="83">
        <v>122</v>
      </c>
      <c r="CKE94" s="83">
        <v>0</v>
      </c>
      <c r="CKF94" s="83">
        <v>999</v>
      </c>
      <c r="CMG94" s="83">
        <v>875</v>
      </c>
      <c r="CMH94" s="83">
        <v>2</v>
      </c>
      <c r="CMK94" s="83">
        <v>1</v>
      </c>
      <c r="CML94" s="83">
        <v>11</v>
      </c>
      <c r="CMM94" s="83">
        <v>20</v>
      </c>
      <c r="CMN94" s="83">
        <v>9</v>
      </c>
      <c r="CMO94" s="83">
        <v>0</v>
      </c>
      <c r="DRZ94" s="83">
        <v>25</v>
      </c>
      <c r="DSA94" s="83">
        <v>1</v>
      </c>
      <c r="DSD94" s="83">
        <v>1</v>
      </c>
      <c r="DSE94" s="100">
        <v>999</v>
      </c>
      <c r="DSF94" s="83">
        <v>244</v>
      </c>
      <c r="DSG94" s="83">
        <v>0</v>
      </c>
      <c r="DSH94" s="83">
        <v>999</v>
      </c>
      <c r="DWH94" s="83">
        <v>100</v>
      </c>
      <c r="DWI94" s="83">
        <v>1</v>
      </c>
      <c r="DWL94" s="83">
        <v>1</v>
      </c>
      <c r="DWM94" s="100">
        <v>999</v>
      </c>
      <c r="DWN94" s="83">
        <v>244</v>
      </c>
      <c r="DWO94" s="83">
        <v>0</v>
      </c>
      <c r="DWP94" s="83">
        <v>999</v>
      </c>
      <c r="DXM94" s="83">
        <v>3000</v>
      </c>
      <c r="DXN94" s="83">
        <v>1</v>
      </c>
      <c r="DXQ94" s="83">
        <v>1</v>
      </c>
      <c r="DXS94" s="100">
        <v>999</v>
      </c>
      <c r="DXT94" s="83">
        <v>244</v>
      </c>
      <c r="DXU94" s="83">
        <v>0</v>
      </c>
      <c r="DXV94" s="83">
        <v>999</v>
      </c>
      <c r="EBQ94" s="83">
        <v>40</v>
      </c>
      <c r="EBR94" s="83">
        <v>1</v>
      </c>
      <c r="EBU94" s="83">
        <v>1</v>
      </c>
      <c r="EBV94" s="83">
        <v>580</v>
      </c>
      <c r="EBW94" s="83">
        <v>580</v>
      </c>
      <c r="EBX94" s="83">
        <v>0</v>
      </c>
      <c r="EBY94" s="83">
        <v>0</v>
      </c>
      <c r="EFI94" s="83">
        <v>100</v>
      </c>
      <c r="EFJ94" s="83">
        <v>1</v>
      </c>
      <c r="EFM94" s="83">
        <v>1</v>
      </c>
      <c r="EFO94" s="100">
        <v>999</v>
      </c>
      <c r="EFP94" s="83">
        <v>244</v>
      </c>
      <c r="EFQ94" s="83">
        <v>0</v>
      </c>
      <c r="EFR94" s="83">
        <v>999</v>
      </c>
      <c r="EMI94" s="83">
        <v>40</v>
      </c>
      <c r="EMJ94" s="83">
        <v>1</v>
      </c>
      <c r="EMM94" s="83">
        <v>1</v>
      </c>
      <c r="EMN94" s="100">
        <v>999</v>
      </c>
      <c r="EMO94" s="83">
        <v>244</v>
      </c>
      <c r="EMP94" s="83">
        <v>0</v>
      </c>
      <c r="EMQ94" s="83">
        <v>999</v>
      </c>
      <c r="GWG94" s="83">
        <v>1</v>
      </c>
    </row>
    <row r="95" spans="1:1015 1040:2040 2053:3069 3085:4060 4377:5100 5176:5337" s="59" customFormat="1" x14ac:dyDescent="0.25">
      <c r="A95" s="59">
        <v>9085204</v>
      </c>
      <c r="B95" s="60" t="s">
        <v>4194</v>
      </c>
      <c r="JS95" s="59">
        <v>394</v>
      </c>
      <c r="NH95" s="59">
        <v>874</v>
      </c>
      <c r="NT95" s="59">
        <v>70</v>
      </c>
      <c r="QV95" s="59">
        <v>283</v>
      </c>
      <c r="RH95" s="59">
        <v>98</v>
      </c>
      <c r="WC95" s="59">
        <v>212</v>
      </c>
      <c r="ABN95" s="59">
        <v>5.2</v>
      </c>
      <c r="AGH95" s="59">
        <v>281</v>
      </c>
      <c r="AGT95" s="59">
        <v>162</v>
      </c>
      <c r="ANU95" s="59">
        <v>124</v>
      </c>
      <c r="AXK95" s="59">
        <v>3.9</v>
      </c>
      <c r="BOA95">
        <v>69</v>
      </c>
      <c r="BOB95"/>
      <c r="BOC95">
        <v>1</v>
      </c>
      <c r="BOD95">
        <v>31.6</v>
      </c>
      <c r="BOE95"/>
      <c r="BOF95">
        <v>1</v>
      </c>
      <c r="BOG95"/>
      <c r="BYJ95" s="65"/>
      <c r="BYK95" s="59">
        <v>22650</v>
      </c>
      <c r="BYL95" s="59">
        <v>150</v>
      </c>
      <c r="BYM95" s="59">
        <v>1</v>
      </c>
      <c r="BYS95" s="59">
        <v>153</v>
      </c>
      <c r="BYT95" s="59">
        <v>151</v>
      </c>
      <c r="BYU95" s="59">
        <v>0</v>
      </c>
      <c r="BYV95" s="59">
        <v>3</v>
      </c>
      <c r="BYY95" s="59">
        <v>0</v>
      </c>
      <c r="BZL95" s="59">
        <v>0</v>
      </c>
    </row>
    <row r="96" spans="1:1015 1040:2040 2053:3069 3085:4060 4377:5100 5176:5337" s="83" customFormat="1" x14ac:dyDescent="0.25">
      <c r="A96" s="83">
        <v>9105492</v>
      </c>
      <c r="B96" s="83" t="s">
        <v>4194</v>
      </c>
      <c r="JQ96" s="83">
        <v>45</v>
      </c>
      <c r="JR96" s="83">
        <v>533</v>
      </c>
      <c r="JS96" s="83">
        <v>548</v>
      </c>
      <c r="JT96" s="83">
        <v>210</v>
      </c>
      <c r="JX96" s="83">
        <v>56</v>
      </c>
      <c r="KB96" s="83">
        <v>35</v>
      </c>
      <c r="NF96" s="83">
        <v>80</v>
      </c>
      <c r="NG96" s="83">
        <v>512</v>
      </c>
      <c r="NH96" s="83">
        <v>750</v>
      </c>
      <c r="NI96" s="83">
        <v>574</v>
      </c>
      <c r="NM96" s="83">
        <v>223</v>
      </c>
      <c r="NQ96" s="83">
        <v>97</v>
      </c>
      <c r="ABL96" s="83">
        <v>12.8</v>
      </c>
      <c r="ABM96" s="83">
        <v>8.5</v>
      </c>
      <c r="ABN96" s="83">
        <v>6.1</v>
      </c>
      <c r="ABW96" s="83">
        <v>3.7</v>
      </c>
      <c r="AGF96" s="83">
        <v>101</v>
      </c>
      <c r="AGG96" s="83">
        <v>92</v>
      </c>
      <c r="AGH96" s="83">
        <v>112</v>
      </c>
      <c r="BOA96" s="6">
        <v>82</v>
      </c>
      <c r="BOB96" s="6">
        <v>1</v>
      </c>
      <c r="BOC96" s="6"/>
      <c r="BOD96" s="6">
        <v>30.25</v>
      </c>
      <c r="BOE96" s="6"/>
      <c r="BOF96" s="6">
        <v>1</v>
      </c>
      <c r="BOG96" s="6"/>
      <c r="BYJ96" s="95"/>
      <c r="BYK96" s="83">
        <v>0</v>
      </c>
      <c r="BYP96" s="83">
        <v>1</v>
      </c>
      <c r="BYS96" s="83">
        <v>732</v>
      </c>
      <c r="BYT96" s="83">
        <v>732</v>
      </c>
      <c r="BYU96" s="83">
        <v>1</v>
      </c>
      <c r="BYV96" s="83">
        <v>0</v>
      </c>
      <c r="BYY96" s="83">
        <v>0</v>
      </c>
      <c r="BZL96" s="83">
        <v>0</v>
      </c>
      <c r="BZY96" s="83">
        <v>100</v>
      </c>
      <c r="BZZ96" s="83">
        <v>1</v>
      </c>
      <c r="CAC96" s="83">
        <v>1</v>
      </c>
      <c r="CAD96" s="83">
        <v>999</v>
      </c>
      <c r="CAE96" s="83">
        <v>999</v>
      </c>
      <c r="CAF96" s="83">
        <v>1</v>
      </c>
      <c r="CAG96" s="83">
        <v>0</v>
      </c>
      <c r="CHE96" s="96">
        <v>200</v>
      </c>
      <c r="CHF96" s="83">
        <v>1</v>
      </c>
      <c r="CHI96" s="83">
        <v>1</v>
      </c>
      <c r="CHJ96" s="83">
        <v>2</v>
      </c>
      <c r="CHK96" s="83">
        <v>6</v>
      </c>
      <c r="CHL96" s="83">
        <v>5</v>
      </c>
      <c r="CUP96" s="83">
        <v>1</v>
      </c>
      <c r="CUQ96" s="83">
        <v>4</v>
      </c>
      <c r="CUR96" s="83">
        <v>3</v>
      </c>
      <c r="CUS96" s="83">
        <v>0</v>
      </c>
      <c r="CUT96" s="83">
        <v>0</v>
      </c>
      <c r="DVN96" s="83">
        <v>95</v>
      </c>
      <c r="DVO96" s="83">
        <v>1</v>
      </c>
      <c r="DVR96" s="83">
        <v>1</v>
      </c>
      <c r="DVS96" s="100">
        <v>999</v>
      </c>
      <c r="DVT96" s="83">
        <v>999</v>
      </c>
      <c r="DVU96" s="83">
        <v>0</v>
      </c>
      <c r="DVV96" s="83">
        <v>999</v>
      </c>
      <c r="EEK96" s="83">
        <v>250</v>
      </c>
      <c r="EEL96" s="83">
        <v>1</v>
      </c>
      <c r="EEN96" s="83">
        <v>1</v>
      </c>
      <c r="EEQ96" s="83">
        <v>1</v>
      </c>
      <c r="EER96" s="83">
        <v>3</v>
      </c>
      <c r="EES96" s="83">
        <v>3</v>
      </c>
      <c r="EET96" s="83">
        <v>0</v>
      </c>
      <c r="FRD96" s="83">
        <v>7.5</v>
      </c>
      <c r="FRE96" s="83">
        <v>1</v>
      </c>
      <c r="FRH96" s="83">
        <v>1</v>
      </c>
      <c r="FRI96" s="83">
        <v>999</v>
      </c>
      <c r="FRJ96" s="83">
        <v>999</v>
      </c>
      <c r="FRK96" s="83">
        <v>1</v>
      </c>
      <c r="FRL96" s="83">
        <v>0</v>
      </c>
      <c r="FWJ96" s="83">
        <v>10</v>
      </c>
      <c r="FWK96" s="83">
        <v>1</v>
      </c>
      <c r="FWN96" s="83">
        <v>1</v>
      </c>
      <c r="FWO96" s="83">
        <v>1</v>
      </c>
      <c r="FWP96" s="83">
        <v>3</v>
      </c>
      <c r="FWQ96" s="83">
        <v>3</v>
      </c>
      <c r="FYI96" s="83">
        <v>4</v>
      </c>
      <c r="FYJ96" s="83">
        <v>1</v>
      </c>
      <c r="FYK96" s="83">
        <v>1</v>
      </c>
      <c r="FYN96" s="83">
        <v>1</v>
      </c>
      <c r="FYO96" s="83">
        <v>3</v>
      </c>
      <c r="FYP96" s="83">
        <v>3</v>
      </c>
      <c r="FYQ96" s="83">
        <v>0</v>
      </c>
      <c r="GBL96" s="83">
        <v>600</v>
      </c>
      <c r="GBM96" s="83">
        <v>1</v>
      </c>
      <c r="GBP96" s="83">
        <v>1</v>
      </c>
      <c r="GBQ96" s="100">
        <v>999</v>
      </c>
      <c r="GBR96" s="83">
        <v>999</v>
      </c>
      <c r="GBS96" s="83">
        <v>0</v>
      </c>
      <c r="GBT96" s="83">
        <v>999</v>
      </c>
    </row>
    <row r="97" spans="1:963 1047:2040 2053:3725 4408:4880 5303:5307" s="59" customFormat="1" x14ac:dyDescent="0.25">
      <c r="A97" s="77">
        <v>9138470</v>
      </c>
      <c r="B97" s="60" t="s">
        <v>4194</v>
      </c>
      <c r="JQ97" s="59">
        <v>19.8</v>
      </c>
      <c r="NG97" s="59">
        <v>41.2</v>
      </c>
      <c r="QU97" s="77">
        <v>7.5</v>
      </c>
      <c r="ABM97" s="84">
        <v>31.5</v>
      </c>
      <c r="BOA97">
        <v>52</v>
      </c>
      <c r="BOB97"/>
      <c r="BOC97">
        <v>1</v>
      </c>
      <c r="BOD97"/>
      <c r="BOE97"/>
      <c r="BOF97">
        <v>1</v>
      </c>
      <c r="BOG97"/>
      <c r="BYJ97" s="65"/>
      <c r="BYK97" s="59">
        <v>0</v>
      </c>
      <c r="BYP97" s="59">
        <v>1</v>
      </c>
      <c r="BYS97" s="68">
        <v>999</v>
      </c>
      <c r="BYT97" s="59">
        <v>999</v>
      </c>
      <c r="BYU97" s="59">
        <v>0</v>
      </c>
      <c r="BYV97" s="59">
        <v>1</v>
      </c>
      <c r="BYY97" s="59">
        <v>0</v>
      </c>
      <c r="BZL97" s="59">
        <v>0</v>
      </c>
      <c r="CDY97" s="59">
        <v>1</v>
      </c>
    </row>
    <row r="98" spans="1:963 1047:2040 2053:3725 4408:4880 5303:5307" s="59" customFormat="1" x14ac:dyDescent="0.25">
      <c r="A98" s="77">
        <v>9150676</v>
      </c>
      <c r="B98" s="60" t="s">
        <v>4194</v>
      </c>
      <c r="MA98" s="59">
        <v>66</v>
      </c>
      <c r="OR98" s="59">
        <v>56</v>
      </c>
      <c r="PT98" s="59">
        <v>135</v>
      </c>
      <c r="QT98" s="59">
        <v>47</v>
      </c>
      <c r="SB98" s="59">
        <v>75</v>
      </c>
      <c r="SR98" s="59">
        <v>170</v>
      </c>
      <c r="SW98" s="59">
        <v>410</v>
      </c>
      <c r="BOA98">
        <v>56</v>
      </c>
      <c r="BOB98"/>
      <c r="BOC98">
        <v>1</v>
      </c>
      <c r="BOD98">
        <v>24.22</v>
      </c>
      <c r="BOE98"/>
      <c r="BOF98">
        <v>1</v>
      </c>
      <c r="BOG98"/>
      <c r="BYJ98" s="65"/>
      <c r="BYK98" s="59">
        <v>0</v>
      </c>
      <c r="BYP98" s="59">
        <v>1</v>
      </c>
      <c r="BYS98" s="59">
        <v>122</v>
      </c>
      <c r="BYT98" s="59">
        <v>46</v>
      </c>
      <c r="BYU98" s="59">
        <v>0</v>
      </c>
      <c r="BYV98" s="59">
        <v>83</v>
      </c>
      <c r="BYY98" s="59">
        <v>0</v>
      </c>
      <c r="BZL98" s="59">
        <v>0</v>
      </c>
    </row>
    <row r="99" spans="1:963 1047:2040 2053:3725 4408:4880 5303:5307" s="59" customFormat="1" x14ac:dyDescent="0.25">
      <c r="A99" s="77">
        <v>10010926</v>
      </c>
      <c r="B99" s="60" t="s">
        <v>4194</v>
      </c>
      <c r="BC99" s="59">
        <v>84</v>
      </c>
      <c r="BE99" s="59">
        <v>83</v>
      </c>
      <c r="CM99" s="59">
        <v>1.1000000000000001</v>
      </c>
      <c r="CO99" s="59">
        <v>1.1100000000000001</v>
      </c>
      <c r="EG99" s="59">
        <v>28.2</v>
      </c>
      <c r="EI99" s="59">
        <v>27.2</v>
      </c>
      <c r="FU99" s="59">
        <v>177</v>
      </c>
      <c r="HQ99" s="59">
        <v>6880</v>
      </c>
      <c r="HS99" s="59">
        <v>6410</v>
      </c>
      <c r="IC99" s="59">
        <v>5480</v>
      </c>
      <c r="JQ99" s="59">
        <v>11.1</v>
      </c>
      <c r="JS99" s="59">
        <v>16.100000000000001</v>
      </c>
      <c r="NF99" s="59">
        <v>16.7</v>
      </c>
      <c r="NH99" s="59">
        <v>18.399999999999999</v>
      </c>
      <c r="TL99" s="59">
        <v>181</v>
      </c>
      <c r="TP99" s="59">
        <v>361</v>
      </c>
      <c r="ZS99" s="59">
        <v>10.313000000000001</v>
      </c>
      <c r="ZT99" s="59">
        <v>9.3460999999999999</v>
      </c>
      <c r="ZU99" s="59">
        <v>9.3460999999999999</v>
      </c>
      <c r="AAA99" s="59">
        <v>8.2180999999999997</v>
      </c>
      <c r="AAE99" s="59">
        <v>10.9575</v>
      </c>
      <c r="AAG99" s="59">
        <v>9.8294999999999995</v>
      </c>
      <c r="ABN99" s="59">
        <v>0.2324</v>
      </c>
      <c r="ABP99" s="59">
        <v>0.36030000000000001</v>
      </c>
      <c r="ADO99" s="59">
        <v>1.9800000000000002E-2</v>
      </c>
      <c r="AJO99" s="64">
        <v>8.4388000000000005</v>
      </c>
      <c r="AJP99" s="59">
        <v>5.7690999999999999</v>
      </c>
      <c r="AJQ99" s="59">
        <v>2.4773000000000001</v>
      </c>
      <c r="AJW99" s="59">
        <v>1.1991000000000001</v>
      </c>
      <c r="AKA99" s="59">
        <v>1.2103999999999999</v>
      </c>
      <c r="AOU99" s="82">
        <v>324.32400000000001</v>
      </c>
      <c r="AOV99" s="59">
        <v>180.78059999999999</v>
      </c>
      <c r="AOZ99" s="59">
        <v>345.94600000000003</v>
      </c>
      <c r="APC99" s="59">
        <v>329.72899999999998</v>
      </c>
      <c r="AQS99" s="59">
        <v>3040000</v>
      </c>
      <c r="AQT99" s="59">
        <v>2770000</v>
      </c>
      <c r="AQU99" s="59">
        <v>2800000</v>
      </c>
      <c r="ARA99" s="59">
        <v>24300000000</v>
      </c>
      <c r="ARE99" s="59">
        <v>3460000</v>
      </c>
      <c r="ARG99" s="59">
        <v>32000000000</v>
      </c>
      <c r="ASD99" s="59">
        <v>22000</v>
      </c>
      <c r="ASE99" s="59">
        <v>23000</v>
      </c>
      <c r="ASF99" s="59">
        <v>16000</v>
      </c>
      <c r="ASL99" s="59">
        <v>16000</v>
      </c>
      <c r="ASP99" s="59">
        <v>40000</v>
      </c>
      <c r="ASR99" s="59">
        <v>32000</v>
      </c>
      <c r="ATN99" s="59">
        <v>280</v>
      </c>
      <c r="AXM99" s="59">
        <v>7.23</v>
      </c>
      <c r="AXN99" s="59">
        <v>7.33</v>
      </c>
      <c r="AXO99" s="59">
        <v>7.34</v>
      </c>
      <c r="AXP99" s="59">
        <v>7.36</v>
      </c>
      <c r="AXQ99" s="59">
        <v>7.45</v>
      </c>
      <c r="AXS99" s="59">
        <v>7.48</v>
      </c>
      <c r="AXU99" s="59">
        <v>7.74</v>
      </c>
      <c r="AXW99" s="59">
        <v>-16.399999999999999</v>
      </c>
      <c r="AXY99" s="59">
        <v>-5.9</v>
      </c>
      <c r="AYA99" s="59">
        <v>6.7</v>
      </c>
      <c r="AYC99" s="59">
        <v>12.1</v>
      </c>
      <c r="AYD99" s="59">
        <v>17.600000000000001</v>
      </c>
      <c r="AYE99" s="59">
        <v>19.3</v>
      </c>
      <c r="AYF99" s="59">
        <v>22.4</v>
      </c>
      <c r="AYG99" s="59">
        <v>24.6</v>
      </c>
      <c r="AYI99" s="59">
        <v>30.6</v>
      </c>
      <c r="AYJ99" s="59">
        <v>29.6</v>
      </c>
      <c r="AYQ99" s="59">
        <v>24.001999999999999</v>
      </c>
      <c r="AYR99" s="59">
        <v>31.502600000000001</v>
      </c>
      <c r="AYS99" s="59">
        <v>36.003</v>
      </c>
      <c r="AYT99" s="59">
        <v>41.253399999999999</v>
      </c>
      <c r="AYU99" s="59">
        <v>34.502800000000001</v>
      </c>
      <c r="AYW99" s="59">
        <v>40.503300000000003</v>
      </c>
      <c r="AYX99" s="59">
        <v>42.003500000000003</v>
      </c>
      <c r="AZS99" s="59">
        <v>30</v>
      </c>
      <c r="AZT99" s="59">
        <v>27</v>
      </c>
      <c r="AZU99" s="59">
        <v>28</v>
      </c>
      <c r="BAA99" s="59">
        <v>24</v>
      </c>
      <c r="BAE99" s="59">
        <v>33</v>
      </c>
      <c r="BAF99" s="59">
        <v>30</v>
      </c>
      <c r="BCR99" s="59">
        <v>33.6783</v>
      </c>
      <c r="BCS99" s="59">
        <v>33.356000000000002</v>
      </c>
      <c r="BCX99" s="59">
        <v>33.839399999999998</v>
      </c>
      <c r="BCY99" s="59">
        <v>31.744599999999998</v>
      </c>
      <c r="BDA99" s="59">
        <v>31.744599999999998</v>
      </c>
      <c r="BDB99" s="59">
        <v>30.777699999999999</v>
      </c>
      <c r="BDU99" s="59">
        <v>34.161700000000003</v>
      </c>
      <c r="BDV99" s="59">
        <v>33.356000000000002</v>
      </c>
      <c r="BEA99" s="59">
        <v>34.000500000000002</v>
      </c>
      <c r="BEB99" s="59">
        <v>33.839399999999998</v>
      </c>
      <c r="BED99" s="59">
        <v>33.033700000000003</v>
      </c>
      <c r="BEE99" s="59">
        <v>32.228000000000002</v>
      </c>
      <c r="BEP99" s="77">
        <v>6.1000000000000004E-3</v>
      </c>
      <c r="BEQ99" s="77"/>
      <c r="BFY99" s="59">
        <v>137</v>
      </c>
      <c r="BFZ99" s="59">
        <v>146</v>
      </c>
      <c r="BGA99" s="59">
        <v>145</v>
      </c>
      <c r="BGM99" s="59">
        <v>138</v>
      </c>
      <c r="BHE99" s="59">
        <v>6.3</v>
      </c>
      <c r="BHF99" s="59">
        <v>4.4000000000000004</v>
      </c>
      <c r="BHG99" s="59">
        <v>4.5</v>
      </c>
      <c r="BHS99" s="59">
        <v>3.9</v>
      </c>
      <c r="BIH99" s="59">
        <v>2.2999999999999998</v>
      </c>
      <c r="BII99" s="59">
        <v>2.23</v>
      </c>
      <c r="BIJ99" s="59">
        <v>2.25</v>
      </c>
      <c r="BIS99" s="59">
        <v>2.2200000000000002</v>
      </c>
      <c r="BKT99" s="59">
        <v>6.8</v>
      </c>
      <c r="BKU99" s="59">
        <v>6.2</v>
      </c>
      <c r="BLE99" s="59">
        <v>133.3184</v>
      </c>
      <c r="BOA99">
        <v>70</v>
      </c>
      <c r="BOB99"/>
      <c r="BOC99">
        <v>1</v>
      </c>
      <c r="BOD99">
        <v>24.51</v>
      </c>
      <c r="BOE99"/>
      <c r="BOF99">
        <v>1</v>
      </c>
      <c r="BOG99">
        <v>4</v>
      </c>
      <c r="BYJ99" s="65"/>
      <c r="BYL99" s="59">
        <v>50</v>
      </c>
      <c r="BYM99" s="59">
        <v>1</v>
      </c>
      <c r="BYP99" s="59">
        <v>1</v>
      </c>
      <c r="BYS99" s="68">
        <v>999</v>
      </c>
      <c r="BYT99" s="59">
        <v>999</v>
      </c>
      <c r="BYU99" s="59">
        <v>0</v>
      </c>
      <c r="BYV99" s="59">
        <v>0</v>
      </c>
      <c r="BYY99" s="59">
        <v>0</v>
      </c>
      <c r="BZL99" s="59">
        <v>0</v>
      </c>
      <c r="BZY99" s="59">
        <v>100</v>
      </c>
      <c r="BZZ99" s="59">
        <v>1</v>
      </c>
      <c r="CAC99" s="59">
        <v>1</v>
      </c>
      <c r="CAD99" s="68">
        <v>999</v>
      </c>
      <c r="CAE99" s="59">
        <v>999</v>
      </c>
      <c r="CAF99" s="59">
        <v>0</v>
      </c>
      <c r="CAG99" s="59">
        <v>2</v>
      </c>
      <c r="DEJ99" s="59">
        <v>25</v>
      </c>
      <c r="DEK99" s="59">
        <v>1</v>
      </c>
      <c r="DEN99" s="59">
        <v>1</v>
      </c>
      <c r="DEO99" s="68">
        <v>999</v>
      </c>
      <c r="DEP99" s="59">
        <v>999</v>
      </c>
      <c r="DEQ99" s="59">
        <v>0</v>
      </c>
      <c r="DER99" s="59">
        <v>0</v>
      </c>
      <c r="DHB99" s="59">
        <v>4</v>
      </c>
      <c r="DHC99" s="59">
        <v>1</v>
      </c>
      <c r="DHF99" s="59">
        <v>1</v>
      </c>
      <c r="DJO99" s="59">
        <v>1</v>
      </c>
      <c r="DJP99" s="68">
        <v>999</v>
      </c>
      <c r="DJQ99" s="59">
        <v>999</v>
      </c>
      <c r="DJR99" s="59">
        <v>0</v>
      </c>
      <c r="DJS99" s="59">
        <v>0</v>
      </c>
      <c r="DMM99" s="59">
        <v>10</v>
      </c>
      <c r="DMN99" s="59">
        <v>1</v>
      </c>
      <c r="DMQ99" s="59">
        <v>1</v>
      </c>
      <c r="DMR99" s="68">
        <v>999</v>
      </c>
      <c r="DMS99" s="59">
        <v>999</v>
      </c>
      <c r="DMT99" s="59">
        <v>0</v>
      </c>
      <c r="DMU99" s="59">
        <v>0</v>
      </c>
      <c r="DQU99" s="59">
        <v>7.0000000000000007E-2</v>
      </c>
      <c r="DQV99" s="59">
        <v>1</v>
      </c>
      <c r="DQY99" s="59">
        <v>1</v>
      </c>
      <c r="DWH99" s="59">
        <v>10</v>
      </c>
      <c r="DWI99" s="59">
        <v>1</v>
      </c>
      <c r="DWL99" s="59">
        <v>1</v>
      </c>
      <c r="DWM99" s="68">
        <v>999</v>
      </c>
      <c r="DWN99" s="59">
        <v>999</v>
      </c>
      <c r="DWO99" s="59">
        <v>0</v>
      </c>
      <c r="DWP99" s="59">
        <v>1</v>
      </c>
      <c r="EFI99" s="59">
        <v>65</v>
      </c>
      <c r="EFJ99" s="59">
        <v>3</v>
      </c>
      <c r="EGD99" s="59">
        <v>2000</v>
      </c>
      <c r="EGE99" s="59">
        <v>1</v>
      </c>
      <c r="EGH99" s="59">
        <v>1</v>
      </c>
      <c r="EGI99" s="68">
        <v>999</v>
      </c>
      <c r="EGJ99" s="59">
        <v>999</v>
      </c>
      <c r="EGK99" s="59">
        <v>1</v>
      </c>
      <c r="EGL99" s="59">
        <v>0</v>
      </c>
      <c r="FPF99" s="59">
        <v>75</v>
      </c>
      <c r="FPG99" s="59">
        <v>1</v>
      </c>
      <c r="FPJ99" s="59">
        <v>1</v>
      </c>
      <c r="FPK99" s="68">
        <v>999</v>
      </c>
      <c r="FPL99" s="59">
        <v>999</v>
      </c>
      <c r="FPM99" s="59">
        <v>0</v>
      </c>
      <c r="FPN99" s="59">
        <v>0</v>
      </c>
      <c r="GEQ99" s="59">
        <v>1.5</v>
      </c>
      <c r="GER99" s="59">
        <v>1</v>
      </c>
      <c r="GUY99" s="59">
        <v>1500</v>
      </c>
      <c r="GUZ99" s="59">
        <v>1</v>
      </c>
      <c r="GVC99" s="59">
        <v>1</v>
      </c>
    </row>
    <row r="100" spans="1:963 1047:2040 2053:3725 4408:4880 5303:5307" s="83" customFormat="1" x14ac:dyDescent="0.25">
      <c r="A100" s="83">
        <v>10030897</v>
      </c>
      <c r="B100" s="83" t="s">
        <v>4194</v>
      </c>
      <c r="CO100" s="83">
        <v>1.1499999999999999</v>
      </c>
      <c r="CR100" s="83">
        <v>1.1000000000000001</v>
      </c>
      <c r="CW100" s="83">
        <v>1.08</v>
      </c>
      <c r="JA100" s="83">
        <v>29</v>
      </c>
      <c r="JQ100" s="83">
        <v>366</v>
      </c>
      <c r="JV100" s="83">
        <v>57</v>
      </c>
      <c r="KD100" s="83">
        <v>44</v>
      </c>
      <c r="MP100" s="83">
        <v>24</v>
      </c>
      <c r="NF100" s="83">
        <v>224</v>
      </c>
      <c r="NK100" s="83">
        <v>118</v>
      </c>
      <c r="NS100" s="83">
        <v>68</v>
      </c>
      <c r="OI100" s="83">
        <v>136</v>
      </c>
      <c r="OO100" s="83">
        <v>36</v>
      </c>
      <c r="QE100" s="83">
        <v>282</v>
      </c>
      <c r="QT100" s="83">
        <v>869</v>
      </c>
      <c r="QY100" s="83">
        <v>1016</v>
      </c>
      <c r="RG100" s="83">
        <v>606</v>
      </c>
      <c r="RN100" s="83">
        <v>344</v>
      </c>
      <c r="RY100" s="83">
        <v>193</v>
      </c>
      <c r="VJ100" s="83">
        <v>525</v>
      </c>
      <c r="VR100" s="83">
        <v>213</v>
      </c>
      <c r="VV100" s="83">
        <v>319</v>
      </c>
      <c r="VY100" s="83">
        <v>252</v>
      </c>
      <c r="XD100" s="83">
        <v>43.8</v>
      </c>
      <c r="XL100" s="83">
        <v>11.4</v>
      </c>
      <c r="XQ100" s="83">
        <v>31.6</v>
      </c>
      <c r="XV100" s="83">
        <v>45.2</v>
      </c>
      <c r="XY100" s="83">
        <v>47.1</v>
      </c>
      <c r="YA100" s="83">
        <v>41.7</v>
      </c>
      <c r="YG100" s="83">
        <v>9</v>
      </c>
      <c r="YM100" s="83">
        <v>4.8</v>
      </c>
      <c r="YQ100" s="83">
        <v>7.6</v>
      </c>
      <c r="YS100" s="83">
        <v>6.9</v>
      </c>
      <c r="ZE100" s="83">
        <v>12.9</v>
      </c>
      <c r="ZS100" s="83">
        <v>12.4</v>
      </c>
      <c r="ZX100" s="83">
        <v>13.1</v>
      </c>
      <c r="AAF100" s="83">
        <v>14</v>
      </c>
      <c r="AAZ100" s="83">
        <v>0.36</v>
      </c>
      <c r="ABL100" s="83">
        <v>2.48</v>
      </c>
      <c r="ABN100" s="83">
        <v>5.09</v>
      </c>
      <c r="ABQ100" s="83">
        <v>1.81</v>
      </c>
      <c r="ABY100" s="83">
        <v>1.23</v>
      </c>
      <c r="ACF100" s="83">
        <v>0.93</v>
      </c>
      <c r="ACQ100" s="83">
        <v>1.0900000000000001</v>
      </c>
      <c r="ADO100" s="83">
        <v>2.11</v>
      </c>
      <c r="ADQ100" s="83">
        <v>4.72</v>
      </c>
      <c r="AFP100" s="83">
        <v>139</v>
      </c>
      <c r="AGF100" s="83">
        <v>528</v>
      </c>
      <c r="AGK100" s="83">
        <v>516</v>
      </c>
      <c r="AGS100" s="83">
        <v>284</v>
      </c>
      <c r="AGZ100" s="83">
        <v>182</v>
      </c>
      <c r="AHK100" s="83">
        <v>132</v>
      </c>
      <c r="ANG100" s="83">
        <v>153.91</v>
      </c>
      <c r="ANI100" s="83">
        <v>135.88</v>
      </c>
      <c r="ANL100" s="83">
        <v>34</v>
      </c>
      <c r="ANT100" s="83">
        <v>5.73</v>
      </c>
      <c r="AOE100" s="83">
        <v>3.75</v>
      </c>
      <c r="AOF100" s="83">
        <v>4.29</v>
      </c>
      <c r="AQG100" s="83">
        <v>390000</v>
      </c>
      <c r="AQS100" s="83">
        <v>415000</v>
      </c>
      <c r="AQX100" s="83">
        <v>406000</v>
      </c>
      <c r="ARF100" s="83">
        <v>437000</v>
      </c>
      <c r="AUW100" s="83">
        <v>44</v>
      </c>
      <c r="AVD100" s="83">
        <v>83</v>
      </c>
      <c r="AVH100" s="83">
        <v>60</v>
      </c>
      <c r="AVJ100" s="83">
        <v>46</v>
      </c>
      <c r="AVM100" s="83">
        <v>42</v>
      </c>
      <c r="AVO100" s="83">
        <v>48</v>
      </c>
      <c r="BOA100" s="6">
        <v>67</v>
      </c>
      <c r="BOB100" s="6">
        <v>1</v>
      </c>
      <c r="BOC100" s="6"/>
      <c r="BOD100" s="6"/>
      <c r="BOE100" s="6"/>
      <c r="BOF100" s="6">
        <v>1</v>
      </c>
      <c r="BOG100" s="6"/>
      <c r="BYJ100" s="95"/>
      <c r="BYK100" s="83">
        <v>0</v>
      </c>
      <c r="BYM100" s="83">
        <v>50</v>
      </c>
      <c r="BYN100" s="83">
        <v>1</v>
      </c>
      <c r="BYP100" s="83">
        <v>1</v>
      </c>
      <c r="BYS100" s="83">
        <v>8</v>
      </c>
      <c r="BYT100" s="83">
        <v>2</v>
      </c>
      <c r="BYU100" s="83">
        <v>0</v>
      </c>
      <c r="BYV100" s="83">
        <v>5</v>
      </c>
      <c r="BYY100" s="83">
        <v>0</v>
      </c>
      <c r="BZL100" s="83">
        <v>0</v>
      </c>
      <c r="BZY100" s="83">
        <v>100</v>
      </c>
      <c r="BZZ100" s="83">
        <v>1</v>
      </c>
      <c r="CAC100" s="83">
        <v>1</v>
      </c>
      <c r="CKH100" s="83">
        <v>7.5</v>
      </c>
      <c r="CKI100" s="83">
        <v>1</v>
      </c>
      <c r="CKL100" s="83">
        <v>1</v>
      </c>
      <c r="CKM100" s="83">
        <v>20</v>
      </c>
      <c r="CKN100" s="83">
        <v>14</v>
      </c>
      <c r="CKO100" s="83">
        <v>0</v>
      </c>
      <c r="CKP100" s="83">
        <v>5</v>
      </c>
      <c r="DEJ100" s="83">
        <v>50</v>
      </c>
      <c r="DEK100" s="83">
        <v>1</v>
      </c>
      <c r="DEN100" s="83">
        <v>1</v>
      </c>
      <c r="DMW100" s="83">
        <v>2.5</v>
      </c>
      <c r="DMX100" s="83">
        <v>1</v>
      </c>
      <c r="DNA100" s="83">
        <v>1</v>
      </c>
      <c r="DNB100" s="83">
        <v>999</v>
      </c>
      <c r="DNC100" s="83">
        <v>999</v>
      </c>
      <c r="DND100" s="83">
        <v>0</v>
      </c>
      <c r="DNE100" s="83">
        <v>72</v>
      </c>
      <c r="DVN100" s="83">
        <v>47.5</v>
      </c>
      <c r="DVO100" s="83">
        <v>1</v>
      </c>
      <c r="DVR100" s="83">
        <v>1</v>
      </c>
      <c r="EGD100" s="83">
        <v>850</v>
      </c>
      <c r="EGE100" s="83">
        <v>1</v>
      </c>
      <c r="EGH100" s="83">
        <v>1</v>
      </c>
      <c r="EGI100" s="83">
        <v>999</v>
      </c>
      <c r="EGJ100" s="83">
        <v>999</v>
      </c>
      <c r="EGK100" s="83">
        <v>0</v>
      </c>
      <c r="EGL100" s="83">
        <v>5</v>
      </c>
      <c r="ELY100" s="83">
        <v>20</v>
      </c>
      <c r="ELZ100" s="83">
        <v>1</v>
      </c>
      <c r="EMC100" s="83">
        <v>1</v>
      </c>
      <c r="EMD100" s="83">
        <v>8</v>
      </c>
      <c r="EME100" s="83">
        <v>2</v>
      </c>
      <c r="EMF100" s="83">
        <v>0</v>
      </c>
      <c r="EMG100" s="83">
        <v>5</v>
      </c>
      <c r="FMN100" s="83">
        <v>40</v>
      </c>
      <c r="FMO100" s="83">
        <v>1</v>
      </c>
      <c r="FMR100" s="83">
        <v>1</v>
      </c>
      <c r="FMS100" s="100">
        <v>999</v>
      </c>
      <c r="FMT100" s="83">
        <v>32</v>
      </c>
      <c r="FMU100" s="83">
        <v>0</v>
      </c>
      <c r="FMV100" s="83">
        <v>999</v>
      </c>
      <c r="FNH100" s="83">
        <v>15</v>
      </c>
      <c r="FNI100" s="83">
        <v>1</v>
      </c>
      <c r="FNL100" s="83">
        <v>1</v>
      </c>
      <c r="FNM100" s="83">
        <v>11</v>
      </c>
      <c r="FNN100" s="83">
        <v>5</v>
      </c>
      <c r="FNO100" s="83">
        <v>0</v>
      </c>
      <c r="FNP100" s="83">
        <v>5</v>
      </c>
    </row>
    <row r="101" spans="1:963 1047:2040 2053:3725 4408:4880 5303:5307" s="59" customFormat="1" x14ac:dyDescent="0.25">
      <c r="A101" s="85">
        <v>10091530</v>
      </c>
      <c r="B101" s="60" t="s">
        <v>4194</v>
      </c>
      <c r="BYJ101" s="65"/>
      <c r="BYK101" s="59">
        <v>0</v>
      </c>
      <c r="BYY101" s="59">
        <v>0</v>
      </c>
      <c r="BZL101" s="59">
        <v>0</v>
      </c>
    </row>
    <row r="102" spans="1:963 1047:2040 2053:3725 4408:4880 5303:5307" s="59" customFormat="1" x14ac:dyDescent="0.25">
      <c r="A102" s="59">
        <v>10102052</v>
      </c>
      <c r="B102" s="60" t="s">
        <v>4194</v>
      </c>
      <c r="BYJ102" s="65"/>
      <c r="BYK102" s="59">
        <v>0</v>
      </c>
      <c r="BYY102" s="59">
        <v>0</v>
      </c>
      <c r="BZL102" s="59">
        <v>0</v>
      </c>
    </row>
    <row r="103" spans="1:963 1047:2040 2053:3725 4408:4880 5303:5307" s="59" customFormat="1" x14ac:dyDescent="0.25">
      <c r="A103" s="59">
        <v>10104735</v>
      </c>
      <c r="B103" s="60" t="s">
        <v>4194</v>
      </c>
      <c r="BYJ103" s="65"/>
      <c r="BYK103" s="59">
        <v>0</v>
      </c>
      <c r="BYY103" s="59">
        <v>0</v>
      </c>
      <c r="BZL103" s="59">
        <v>0</v>
      </c>
    </row>
    <row r="104" spans="1:963 1047:2040 2053:3725 4408:4880 5303:5307" s="59" customFormat="1" x14ac:dyDescent="0.25">
      <c r="A104" s="65">
        <v>10109552</v>
      </c>
      <c r="B104" s="60" t="s">
        <v>4194</v>
      </c>
      <c r="BYJ104" s="65"/>
      <c r="BYK104" s="59">
        <v>0</v>
      </c>
      <c r="BYY104" s="59">
        <v>0</v>
      </c>
      <c r="BZL104" s="59">
        <v>0</v>
      </c>
    </row>
    <row r="105" spans="1:963 1047:2040 2053:3725 4408:4880 5303:5307" s="59" customFormat="1" x14ac:dyDescent="0.25">
      <c r="A105" s="59">
        <v>10131550</v>
      </c>
      <c r="B105" s="60" t="s">
        <v>4194</v>
      </c>
      <c r="BYJ105" s="65"/>
      <c r="BYK105" s="59">
        <v>0</v>
      </c>
      <c r="BYY105" s="59">
        <v>0</v>
      </c>
      <c r="BZL105" s="59">
        <v>0</v>
      </c>
    </row>
    <row r="106" spans="1:963 1047:2040 2053:3725 4408:4880 5303:5307" s="59" customFormat="1" x14ac:dyDescent="0.25">
      <c r="A106" s="59">
        <v>10131607</v>
      </c>
      <c r="B106" s="60" t="s">
        <v>4194</v>
      </c>
      <c r="BYJ106" s="65"/>
      <c r="BYK106" s="59">
        <v>0</v>
      </c>
      <c r="BYY106" s="59">
        <v>0</v>
      </c>
      <c r="BZL106" s="59">
        <v>0</v>
      </c>
    </row>
    <row r="107" spans="1:963 1047:2040 2053:3725 4408:4880 5303:5307" s="59" customFormat="1" x14ac:dyDescent="0.25">
      <c r="A107" s="59">
        <v>10145202</v>
      </c>
      <c r="B107" s="60" t="s">
        <v>4194</v>
      </c>
      <c r="BYJ107" s="65"/>
      <c r="BYK107" s="59">
        <v>0</v>
      </c>
      <c r="BYY107" s="59">
        <v>0</v>
      </c>
      <c r="BZL107" s="59">
        <v>0</v>
      </c>
    </row>
    <row r="108" spans="1:963 1047:2040 2053:3725 4408:4880 5303:5307" s="59" customFormat="1" x14ac:dyDescent="0.25">
      <c r="A108" s="59">
        <v>10158770</v>
      </c>
      <c r="B108" s="60" t="s">
        <v>4194</v>
      </c>
      <c r="BYJ108" s="65"/>
      <c r="BYK108" s="59">
        <v>0</v>
      </c>
      <c r="BYY108" s="59">
        <v>0</v>
      </c>
      <c r="BZL108" s="59">
        <v>0</v>
      </c>
    </row>
    <row r="109" spans="1:963 1047:2040 2053:3725 4408:4880 5303:5307" s="59" customFormat="1" x14ac:dyDescent="0.25">
      <c r="A109" s="59">
        <v>10162949</v>
      </c>
      <c r="B109" s="60" t="s">
        <v>4194</v>
      </c>
      <c r="BYJ109" s="65"/>
      <c r="BYK109" s="59">
        <v>0</v>
      </c>
      <c r="BYY109" s="59">
        <v>0</v>
      </c>
      <c r="BZL109" s="59">
        <v>0</v>
      </c>
    </row>
    <row r="110" spans="1:963 1047:2040 2053:3725 4408:4880 5303:5307" s="59" customFormat="1" x14ac:dyDescent="0.25">
      <c r="A110" s="59">
        <v>10171633</v>
      </c>
      <c r="B110" s="60" t="s">
        <v>4194</v>
      </c>
      <c r="BYJ110" s="65"/>
      <c r="BYK110" s="59">
        <v>0</v>
      </c>
      <c r="BYY110" s="59">
        <v>0</v>
      </c>
      <c r="BZL110" s="59">
        <v>0</v>
      </c>
    </row>
    <row r="111" spans="1:963 1047:2040 2053:3725 4408:4880 5303:5307" s="59" customFormat="1" x14ac:dyDescent="0.25">
      <c r="A111" s="59">
        <v>10180409</v>
      </c>
      <c r="B111" s="60" t="s">
        <v>4194</v>
      </c>
      <c r="BYJ111" s="65"/>
      <c r="BYK111" s="59">
        <v>0</v>
      </c>
      <c r="BYY111" s="59">
        <v>0</v>
      </c>
      <c r="BZL111" s="59">
        <v>0</v>
      </c>
    </row>
    <row r="112" spans="1:963 1047:2040 2053:3725 4408:4880 5303:5307" s="59" customFormat="1" x14ac:dyDescent="0.25">
      <c r="A112" s="59">
        <v>11005762</v>
      </c>
      <c r="B112" s="60" t="s">
        <v>4194</v>
      </c>
      <c r="BYJ112" s="65"/>
      <c r="BYK112" s="59">
        <v>0</v>
      </c>
      <c r="BYY112" s="59">
        <v>0</v>
      </c>
      <c r="BZL112" s="59">
        <v>0</v>
      </c>
    </row>
    <row r="113" spans="1:15 2012:2040" s="59" customFormat="1" x14ac:dyDescent="0.25">
      <c r="A113" s="59">
        <v>11014307</v>
      </c>
      <c r="B113" s="60" t="s">
        <v>4194</v>
      </c>
      <c r="BYJ113" s="65"/>
      <c r="BYK113" s="59">
        <v>0</v>
      </c>
      <c r="BYY113" s="59">
        <v>0</v>
      </c>
      <c r="BZL113" s="59">
        <v>0</v>
      </c>
    </row>
    <row r="114" spans="1:15 2012:2040" s="59" customFormat="1" x14ac:dyDescent="0.25">
      <c r="A114" s="59">
        <v>11014313</v>
      </c>
      <c r="B114" s="60" t="s">
        <v>4194</v>
      </c>
      <c r="BYJ114" s="65"/>
      <c r="BYK114" s="59">
        <v>0</v>
      </c>
      <c r="BYY114" s="59">
        <v>0</v>
      </c>
      <c r="BZL114" s="59">
        <v>0</v>
      </c>
    </row>
    <row r="115" spans="1:15 2012:2040" s="59" customFormat="1" x14ac:dyDescent="0.25">
      <c r="A115" s="59">
        <v>11018341</v>
      </c>
      <c r="B115" s="60" t="s">
        <v>4194</v>
      </c>
      <c r="BYJ115" s="65"/>
      <c r="BYK115" s="59">
        <v>0</v>
      </c>
      <c r="BYY115" s="59">
        <v>0</v>
      </c>
      <c r="BZL115" s="59">
        <v>0</v>
      </c>
    </row>
    <row r="116" spans="1:15 2012:2040" s="59" customFormat="1" x14ac:dyDescent="0.25">
      <c r="A116" s="59">
        <v>11021445</v>
      </c>
      <c r="B116" s="60" t="s">
        <v>4194</v>
      </c>
      <c r="BYJ116" s="65"/>
      <c r="BYK116" s="59">
        <v>0</v>
      </c>
      <c r="BYY116" s="59">
        <v>0</v>
      </c>
      <c r="BZL116" s="59">
        <v>0</v>
      </c>
    </row>
    <row r="117" spans="1:15 2012:2040" s="59" customFormat="1" x14ac:dyDescent="0.25">
      <c r="A117" s="59">
        <v>11025151</v>
      </c>
      <c r="B117" s="60" t="s">
        <v>4194</v>
      </c>
      <c r="BYJ117" s="65"/>
      <c r="BYK117" s="59">
        <v>0</v>
      </c>
      <c r="BYY117" s="59">
        <v>0</v>
      </c>
      <c r="BZL117" s="59">
        <v>0</v>
      </c>
    </row>
    <row r="118" spans="1:15 2012:2040" s="59" customFormat="1" x14ac:dyDescent="0.25">
      <c r="A118" s="59">
        <v>11039110</v>
      </c>
      <c r="B118" s="60" t="s">
        <v>4194</v>
      </c>
      <c r="BYJ118" s="65"/>
      <c r="BYK118" s="59">
        <v>0</v>
      </c>
      <c r="BYY118" s="59">
        <v>0</v>
      </c>
      <c r="BZL118" s="59">
        <v>0</v>
      </c>
    </row>
    <row r="119" spans="1:15 2012:2040" s="59" customFormat="1" x14ac:dyDescent="0.25">
      <c r="A119" s="59">
        <v>11084088</v>
      </c>
      <c r="B119" s="60" t="s">
        <v>4194</v>
      </c>
      <c r="BYJ119" s="65"/>
      <c r="BYK119" s="59">
        <v>0</v>
      </c>
      <c r="BYY119" s="59">
        <v>0</v>
      </c>
      <c r="BZL119" s="59">
        <v>0</v>
      </c>
    </row>
    <row r="120" spans="1:15 2012:2040" s="59" customFormat="1" x14ac:dyDescent="0.25">
      <c r="A120" s="59">
        <v>11108410</v>
      </c>
      <c r="B120" s="60" t="s">
        <v>4194</v>
      </c>
      <c r="O120" s="65"/>
      <c r="BYJ120" s="65"/>
      <c r="BYK120" s="59">
        <v>0</v>
      </c>
      <c r="BYY120" s="59">
        <v>0</v>
      </c>
      <c r="BZL120" s="59">
        <v>0</v>
      </c>
    </row>
    <row r="121" spans="1:15 2012:2040" s="59" customFormat="1" x14ac:dyDescent="0.25">
      <c r="A121" s="65">
        <v>11139605</v>
      </c>
      <c r="B121" s="60" t="s">
        <v>4194</v>
      </c>
      <c r="BYJ121" s="65"/>
      <c r="BYK121" s="59">
        <v>0</v>
      </c>
      <c r="BYY121" s="59">
        <v>0</v>
      </c>
      <c r="BZL121" s="59">
        <v>0</v>
      </c>
    </row>
    <row r="122" spans="1:15 2012:2040" s="59" customFormat="1" x14ac:dyDescent="0.25">
      <c r="A122" s="59">
        <v>11201694</v>
      </c>
      <c r="B122" s="60" t="s">
        <v>4194</v>
      </c>
      <c r="BYJ122" s="65"/>
      <c r="BYK122" s="59">
        <v>0</v>
      </c>
      <c r="BYY122" s="59">
        <v>0</v>
      </c>
      <c r="BZL122" s="59">
        <v>0</v>
      </c>
    </row>
    <row r="123" spans="1:15 2012:2040" s="59" customFormat="1" x14ac:dyDescent="0.25">
      <c r="A123" s="59">
        <v>11209748</v>
      </c>
      <c r="B123" s="60" t="s">
        <v>4194</v>
      </c>
      <c r="BYJ123" s="65"/>
      <c r="BYK123" s="59">
        <v>0</v>
      </c>
      <c r="BYY123" s="59">
        <v>0</v>
      </c>
      <c r="BZL123" s="59">
        <v>0</v>
      </c>
    </row>
    <row r="124" spans="1:15 2012:2040" s="59" customFormat="1" x14ac:dyDescent="0.25">
      <c r="A124" s="59">
        <v>11242543</v>
      </c>
      <c r="B124" s="60" t="s">
        <v>4194</v>
      </c>
      <c r="BYJ124" s="65"/>
      <c r="BYK124" s="59">
        <v>0</v>
      </c>
      <c r="BYY124" s="59">
        <v>0</v>
      </c>
      <c r="BZL124" s="59">
        <v>0</v>
      </c>
    </row>
    <row r="125" spans="1:15 2012:2040" s="59" customFormat="1" x14ac:dyDescent="0.25">
      <c r="A125" s="59">
        <v>11247293</v>
      </c>
      <c r="B125" s="60" t="s">
        <v>4194</v>
      </c>
      <c r="BYJ125" s="65"/>
      <c r="BYK125" s="59">
        <v>0</v>
      </c>
      <c r="BYY125" s="59">
        <v>0</v>
      </c>
      <c r="BZL125" s="59">
        <v>0</v>
      </c>
    </row>
    <row r="126" spans="1:15 2012:2040" s="59" customFormat="1" x14ac:dyDescent="0.25">
      <c r="A126" s="65">
        <v>12006449</v>
      </c>
      <c r="B126" s="60" t="s">
        <v>4194</v>
      </c>
      <c r="O126" s="65"/>
      <c r="BYJ126" s="65"/>
      <c r="BYK126" s="59">
        <v>0</v>
      </c>
      <c r="BYY126" s="59">
        <v>0</v>
      </c>
      <c r="BZL126" s="59">
        <v>0</v>
      </c>
    </row>
    <row r="127" spans="1:15 2012:2040" s="59" customFormat="1" x14ac:dyDescent="0.25">
      <c r="A127" s="59">
        <v>12049136</v>
      </c>
      <c r="B127" s="60" t="s">
        <v>4194</v>
      </c>
      <c r="BYJ127" s="65"/>
      <c r="BYK127" s="59">
        <v>0</v>
      </c>
      <c r="BYY127" s="59">
        <v>0</v>
      </c>
      <c r="BZL127" s="59">
        <v>0</v>
      </c>
    </row>
    <row r="128" spans="1:15 2012:2040" s="59" customFormat="1" x14ac:dyDescent="0.25">
      <c r="A128" s="65">
        <v>12087508</v>
      </c>
      <c r="B128" s="60" t="s">
        <v>4194</v>
      </c>
      <c r="BYJ128" s="65"/>
      <c r="BYK128" s="59">
        <v>0</v>
      </c>
      <c r="BYY128" s="59">
        <v>0</v>
      </c>
      <c r="BZL128" s="59">
        <v>0</v>
      </c>
    </row>
    <row r="129" spans="1:1012 1034:2040 2126:3033 3075:3888 4174:5110 5138:5553" s="59" customFormat="1" x14ac:dyDescent="0.25">
      <c r="A129" s="59">
        <v>12088753</v>
      </c>
      <c r="B129" s="60" t="s">
        <v>4194</v>
      </c>
      <c r="BYJ129" s="65"/>
      <c r="BYK129" s="59">
        <v>0</v>
      </c>
      <c r="BYY129" s="59">
        <v>0</v>
      </c>
      <c r="BZL129" s="59">
        <v>0</v>
      </c>
    </row>
    <row r="130" spans="1:1012 1034:2040 2126:3033 3075:3888 4174:5110 5138:5553" s="59" customFormat="1" x14ac:dyDescent="0.25">
      <c r="A130" s="59">
        <v>12229481</v>
      </c>
      <c r="B130" s="60" t="s">
        <v>4194</v>
      </c>
      <c r="BYJ130" s="65"/>
      <c r="BYK130" s="59">
        <v>0</v>
      </c>
      <c r="BYY130" s="59">
        <v>0</v>
      </c>
      <c r="BZL130" s="59">
        <v>0</v>
      </c>
    </row>
    <row r="131" spans="1:1012 1034:2040 2126:3033 3075:3888 4174:5110 5138:5553" s="59" customFormat="1" x14ac:dyDescent="0.25">
      <c r="A131" s="59">
        <v>12258821</v>
      </c>
      <c r="B131" s="60" t="s">
        <v>4194</v>
      </c>
      <c r="BYJ131" s="65"/>
      <c r="BYK131" s="59">
        <v>0</v>
      </c>
      <c r="BYY131" s="59">
        <v>0</v>
      </c>
      <c r="BZL131" s="59">
        <v>0</v>
      </c>
    </row>
    <row r="132" spans="1:1012 1034:2040 2126:3033 3075:3888 4174:5110 5138:5553" s="59" customFormat="1" x14ac:dyDescent="0.25">
      <c r="A132" s="59">
        <v>12309729</v>
      </c>
      <c r="B132" s="60" t="s">
        <v>4194</v>
      </c>
      <c r="BYJ132" s="65"/>
      <c r="BYK132" s="59">
        <v>0</v>
      </c>
      <c r="BYY132" s="59">
        <v>0</v>
      </c>
      <c r="BZL132" s="59">
        <v>0</v>
      </c>
    </row>
    <row r="133" spans="1:1012 1034:2040 2126:3033 3075:3888 4174:5110 5138:5553" s="59" customFormat="1" x14ac:dyDescent="0.25">
      <c r="A133" s="59">
        <v>12314941</v>
      </c>
      <c r="B133" s="60" t="s">
        <v>4194</v>
      </c>
      <c r="BYJ133" s="65"/>
      <c r="BYK133" s="59">
        <v>0</v>
      </c>
      <c r="BYY133" s="59">
        <v>0</v>
      </c>
      <c r="BZL133" s="59">
        <v>0</v>
      </c>
    </row>
    <row r="134" spans="1:1012 1034:2040 2126:3033 3075:3888 4174:5110 5138:5553" s="59" customFormat="1" x14ac:dyDescent="0.25">
      <c r="A134" s="59">
        <v>12323945</v>
      </c>
      <c r="B134" s="60" t="s">
        <v>4194</v>
      </c>
      <c r="BYJ134" s="65"/>
      <c r="BYK134" s="59">
        <v>0</v>
      </c>
      <c r="BYY134" s="59">
        <v>0</v>
      </c>
      <c r="BZL134" s="59">
        <v>0</v>
      </c>
    </row>
    <row r="135" spans="1:1012 1034:2040 2126:3033 3075:3888 4174:5110 5138:5553" s="59" customFormat="1" x14ac:dyDescent="0.25">
      <c r="A135" s="59">
        <v>13005942</v>
      </c>
      <c r="B135" s="60" t="s">
        <v>4194</v>
      </c>
      <c r="BYJ135" s="65"/>
      <c r="BYK135" s="59">
        <v>0</v>
      </c>
      <c r="BYY135" s="59">
        <v>0</v>
      </c>
      <c r="BZL135" s="59">
        <v>0</v>
      </c>
    </row>
    <row r="136" spans="1:1012 1034:2040 2126:3033 3075:3888 4174:5110 5138:5553" s="83" customFormat="1" x14ac:dyDescent="0.25">
      <c r="A136" s="83">
        <v>324</v>
      </c>
      <c r="B136" s="83" t="s">
        <v>4194</v>
      </c>
      <c r="HQ136" s="83">
        <v>4200</v>
      </c>
      <c r="JQ136" s="83">
        <v>29.2</v>
      </c>
      <c r="KR136" s="83">
        <v>11.6</v>
      </c>
      <c r="NF136" s="83">
        <v>33.5</v>
      </c>
      <c r="OG136" s="83">
        <v>14.5</v>
      </c>
      <c r="RS136" s="83">
        <v>10.3</v>
      </c>
      <c r="UE136" s="83">
        <v>198</v>
      </c>
      <c r="VN136" s="83">
        <v>116</v>
      </c>
      <c r="VX136" s="83">
        <v>134</v>
      </c>
      <c r="WE136" s="83">
        <v>154</v>
      </c>
      <c r="WO136" s="83">
        <v>42.8</v>
      </c>
      <c r="WV136" s="83">
        <v>88</v>
      </c>
      <c r="XL136" s="83">
        <v>19.3</v>
      </c>
      <c r="ZS136" s="83">
        <v>15.3</v>
      </c>
      <c r="ACK136" s="83">
        <v>0.7</v>
      </c>
      <c r="AGF136" s="83">
        <v>135</v>
      </c>
      <c r="AHF136" s="83">
        <v>121</v>
      </c>
      <c r="AIH136" s="83">
        <v>66000</v>
      </c>
      <c r="AIU136" s="83">
        <v>6.2</v>
      </c>
      <c r="AJO136" s="83">
        <v>1.26</v>
      </c>
      <c r="AKJ136" s="83">
        <v>1.08</v>
      </c>
      <c r="AKY136" s="83">
        <v>96</v>
      </c>
      <c r="ALW136" s="83">
        <v>30</v>
      </c>
      <c r="AOT136" s="83">
        <v>33</v>
      </c>
      <c r="APJ136" s="83">
        <v>30.7</v>
      </c>
      <c r="APU136" s="83">
        <v>6.6</v>
      </c>
      <c r="AQE136" s="83">
        <v>6.3</v>
      </c>
      <c r="AQS136" s="83">
        <v>5200000</v>
      </c>
      <c r="ASD136" s="83">
        <v>157000</v>
      </c>
      <c r="ATY136" s="83">
        <v>10.1</v>
      </c>
      <c r="AUJ136" s="83">
        <v>6.8</v>
      </c>
      <c r="AVD136" s="83">
        <v>63.8</v>
      </c>
      <c r="AVZ136" s="83">
        <v>0.1</v>
      </c>
      <c r="AZS136" s="83">
        <v>46</v>
      </c>
      <c r="BAR136" s="83">
        <v>34</v>
      </c>
      <c r="BFY136" s="83">
        <v>146</v>
      </c>
      <c r="BGQ136" s="83">
        <v>135</v>
      </c>
      <c r="BHE136" s="83">
        <v>5.07</v>
      </c>
      <c r="BLE136" s="83">
        <v>79</v>
      </c>
      <c r="BOA136" s="83">
        <v>41</v>
      </c>
      <c r="BOB136" s="83">
        <v>1</v>
      </c>
      <c r="BOD136" s="83">
        <v>29.6</v>
      </c>
      <c r="BOF136" s="83">
        <v>1</v>
      </c>
      <c r="BOG136" s="83">
        <v>33</v>
      </c>
      <c r="BOH136" s="83">
        <v>1</v>
      </c>
      <c r="BPX136" s="83">
        <v>1</v>
      </c>
      <c r="BPZ136" s="83">
        <v>1</v>
      </c>
      <c r="BXP136" s="83">
        <v>1</v>
      </c>
      <c r="BYJ136" s="95"/>
      <c r="BYK136" s="83">
        <v>0</v>
      </c>
      <c r="BYM136" s="83">
        <v>2.5</v>
      </c>
      <c r="BYP136" s="83">
        <v>1</v>
      </c>
      <c r="BYS136" s="83">
        <v>8</v>
      </c>
      <c r="BYT136" s="83">
        <v>7</v>
      </c>
      <c r="BYU136" s="83">
        <v>0</v>
      </c>
      <c r="BYV136" s="83">
        <v>0</v>
      </c>
      <c r="BYY136" s="83">
        <v>0</v>
      </c>
      <c r="BZL136" s="83">
        <v>0</v>
      </c>
      <c r="DFD136" s="83">
        <v>300</v>
      </c>
      <c r="DFE136" s="83">
        <v>1</v>
      </c>
      <c r="DFH136" s="83">
        <v>1</v>
      </c>
      <c r="DFI136" s="83">
        <v>9</v>
      </c>
      <c r="DFJ136" s="83">
        <v>215</v>
      </c>
      <c r="DFK136" s="83">
        <v>183</v>
      </c>
      <c r="DFL136" s="83">
        <v>0</v>
      </c>
    </row>
    <row r="137" spans="1:1012 1034:2040 2126:3033 3075:3888 4174:5110 5138:5553" s="59" customFormat="1" x14ac:dyDescent="0.25">
      <c r="A137" s="77">
        <v>3909</v>
      </c>
      <c r="B137" s="60" t="s">
        <v>4194</v>
      </c>
      <c r="BH137" s="59">
        <v>50</v>
      </c>
      <c r="HU137" s="63">
        <v>12000</v>
      </c>
      <c r="JU137" s="59">
        <v>160</v>
      </c>
      <c r="LP137" s="59">
        <v>113</v>
      </c>
      <c r="NJ137" s="59">
        <v>570</v>
      </c>
      <c r="PF137" s="59">
        <v>158</v>
      </c>
      <c r="SN137" s="59">
        <v>90</v>
      </c>
      <c r="WD137" s="77">
        <v>0.6</v>
      </c>
      <c r="WG137" s="59">
        <v>154</v>
      </c>
      <c r="YB137" s="59">
        <v>4.3</v>
      </c>
      <c r="ZW137" s="59">
        <v>12.9</v>
      </c>
      <c r="AAR137" s="59">
        <v>14.7</v>
      </c>
      <c r="ADD137" s="59">
        <v>4.2</v>
      </c>
      <c r="AEY137" s="59">
        <v>5.0999999999999996</v>
      </c>
      <c r="AFJ137" s="59">
        <v>6.8</v>
      </c>
      <c r="AFR137" s="77">
        <v>4.46</v>
      </c>
      <c r="AIL137" s="77">
        <v>1.46</v>
      </c>
      <c r="AIX137" s="77">
        <v>2.12</v>
      </c>
      <c r="AJS137" s="59">
        <v>0.6</v>
      </c>
      <c r="AMT137" s="59">
        <v>177</v>
      </c>
      <c r="ANK137" s="77">
        <v>0.5</v>
      </c>
      <c r="AOG137" s="77">
        <v>0.8</v>
      </c>
      <c r="APN137" s="59">
        <v>49</v>
      </c>
      <c r="AQW137" s="77">
        <v>4</v>
      </c>
      <c r="ARL137" s="77">
        <v>4.2</v>
      </c>
      <c r="ARM137" s="77"/>
      <c r="ARN137" s="77"/>
      <c r="ASH137" s="59">
        <v>132000</v>
      </c>
      <c r="ATD137" s="59">
        <v>160000</v>
      </c>
      <c r="AWR137" s="59">
        <v>56.8</v>
      </c>
      <c r="BAS137" s="59">
        <v>43</v>
      </c>
      <c r="BGC137" s="59">
        <v>139</v>
      </c>
      <c r="BGT137" s="59">
        <v>140</v>
      </c>
      <c r="BHI137" s="59">
        <v>3.5</v>
      </c>
      <c r="BHX137" s="59">
        <v>4.7</v>
      </c>
      <c r="BIL137" s="59">
        <v>2.15</v>
      </c>
      <c r="BLE137" s="59">
        <v>113</v>
      </c>
      <c r="BLX137" s="59">
        <v>98</v>
      </c>
      <c r="BOA137" s="59">
        <v>59</v>
      </c>
      <c r="BOC137" s="59">
        <v>1</v>
      </c>
      <c r="BOF137" s="59">
        <v>1</v>
      </c>
      <c r="BVC137" s="59">
        <v>1</v>
      </c>
      <c r="BYJ137" s="65"/>
      <c r="BYK137" s="59">
        <v>0</v>
      </c>
      <c r="BYL137" s="59">
        <v>50</v>
      </c>
      <c r="BYP137" s="59">
        <v>1</v>
      </c>
      <c r="BYY137" s="59">
        <v>0</v>
      </c>
      <c r="BZL137" s="59">
        <v>0</v>
      </c>
      <c r="CCT137" s="59">
        <v>12.5</v>
      </c>
      <c r="CCU137" s="59">
        <v>1</v>
      </c>
      <c r="CCX137" s="59">
        <v>1</v>
      </c>
      <c r="CCY137" s="59">
        <v>7</v>
      </c>
      <c r="CCZ137" s="59">
        <v>6</v>
      </c>
      <c r="CDA137" s="59">
        <v>0</v>
      </c>
      <c r="CDB137" s="59">
        <v>0</v>
      </c>
      <c r="GXZ137" s="59">
        <v>1</v>
      </c>
      <c r="HBX137" s="59">
        <v>1</v>
      </c>
      <c r="HCB137" s="59">
        <v>1</v>
      </c>
      <c r="HCF137" s="59">
        <v>1</v>
      </c>
    </row>
    <row r="138" spans="1:1012 1034:2040 2126:3033 3075:3888 4174:5110 5138:5553" s="59" customFormat="1" x14ac:dyDescent="0.25">
      <c r="A138" s="77">
        <v>4663</v>
      </c>
      <c r="B138" s="60" t="s">
        <v>4194</v>
      </c>
      <c r="AV138" s="59">
        <v>103</v>
      </c>
      <c r="BQ138" s="59">
        <v>28</v>
      </c>
      <c r="CF138" s="59">
        <v>0.98</v>
      </c>
      <c r="CY138" s="59">
        <v>2.48</v>
      </c>
      <c r="DY138" s="59">
        <v>31</v>
      </c>
      <c r="ET138" s="59">
        <v>40</v>
      </c>
      <c r="GD138" s="63">
        <v>600</v>
      </c>
      <c r="GE138" s="63"/>
      <c r="GF138" s="63"/>
      <c r="GG138" s="63"/>
      <c r="GH138" s="63"/>
      <c r="GU138" s="63">
        <v>440</v>
      </c>
      <c r="JC138" s="59">
        <v>28.2</v>
      </c>
      <c r="KA138" s="63">
        <v>1.1100000000000001</v>
      </c>
      <c r="KB138" s="63"/>
      <c r="KC138" s="63"/>
      <c r="KD138" s="63"/>
      <c r="KE138" s="63"/>
      <c r="KF138" s="63">
        <v>5.69</v>
      </c>
      <c r="KG138" s="63"/>
      <c r="MR138" s="59">
        <v>29.4</v>
      </c>
      <c r="NP138" s="63">
        <v>1.37</v>
      </c>
      <c r="NQ138" s="63"/>
      <c r="NR138" s="63"/>
      <c r="NS138" s="63"/>
      <c r="NT138" s="63"/>
      <c r="NU138" s="63">
        <v>8.31</v>
      </c>
      <c r="NV138" s="63"/>
      <c r="QG138" s="63">
        <v>36</v>
      </c>
      <c r="QH138" s="63"/>
      <c r="QI138" s="63"/>
      <c r="QJ138" s="63"/>
      <c r="RD138" s="77">
        <v>1.38</v>
      </c>
      <c r="RI138" s="77">
        <v>1.7</v>
      </c>
      <c r="TC138" s="77">
        <v>8.01</v>
      </c>
      <c r="TZ138" s="77">
        <v>18.3</v>
      </c>
      <c r="AGP138" s="77">
        <v>7.12</v>
      </c>
      <c r="AGU138" s="77" t="s">
        <v>1017</v>
      </c>
      <c r="BOA138" s="59">
        <v>59</v>
      </c>
      <c r="BOC138" s="59">
        <v>1</v>
      </c>
      <c r="BOE138" s="59">
        <v>1</v>
      </c>
      <c r="BPD138" s="59">
        <v>1</v>
      </c>
      <c r="BSX138" s="59">
        <v>1</v>
      </c>
      <c r="BVB138" s="59">
        <v>1</v>
      </c>
      <c r="BVM138" s="59">
        <v>1</v>
      </c>
      <c r="BYJ138" s="65"/>
      <c r="BYK138" s="59">
        <v>10000</v>
      </c>
      <c r="BYL138" s="59">
        <v>50</v>
      </c>
      <c r="BYM138" s="59">
        <v>1</v>
      </c>
      <c r="BYP138" s="59">
        <v>1</v>
      </c>
      <c r="BYS138" s="59">
        <v>244</v>
      </c>
      <c r="BYT138" s="59">
        <v>200</v>
      </c>
      <c r="BYU138" s="59">
        <v>0</v>
      </c>
      <c r="BYV138" s="59">
        <v>21</v>
      </c>
      <c r="BYY138" s="59">
        <v>0</v>
      </c>
      <c r="BZL138" s="59">
        <v>0</v>
      </c>
      <c r="CIT138" s="63">
        <v>100</v>
      </c>
      <c r="CIU138" s="59">
        <v>1</v>
      </c>
      <c r="CIX138" s="59">
        <v>1</v>
      </c>
      <c r="CIY138" s="59">
        <v>458</v>
      </c>
      <c r="CIZ138" s="59">
        <v>414</v>
      </c>
      <c r="CJA138" s="59">
        <v>0</v>
      </c>
      <c r="CJB138" s="59">
        <v>23</v>
      </c>
      <c r="DXG138" s="59">
        <v>1</v>
      </c>
      <c r="DXH138" s="59">
        <v>26</v>
      </c>
      <c r="DXI138" s="59">
        <v>11</v>
      </c>
      <c r="DXJ138" s="59">
        <v>0</v>
      </c>
      <c r="DXK138" s="59">
        <v>14</v>
      </c>
      <c r="EMI138" s="59">
        <v>40</v>
      </c>
      <c r="EMJ138" s="59">
        <v>1</v>
      </c>
      <c r="EMM138" s="59">
        <v>1</v>
      </c>
      <c r="EMN138" s="59">
        <v>702</v>
      </c>
      <c r="EMO138" s="59">
        <v>671</v>
      </c>
      <c r="EMP138" s="59">
        <v>0</v>
      </c>
      <c r="EMQ138" s="59">
        <v>23</v>
      </c>
      <c r="FDN138" s="59">
        <v>10</v>
      </c>
      <c r="FDO138" s="59">
        <v>1</v>
      </c>
      <c r="FDR138" s="59">
        <v>1</v>
      </c>
      <c r="FDS138" s="59">
        <v>153</v>
      </c>
      <c r="FDT138" s="59">
        <v>87</v>
      </c>
      <c r="FDU138" s="59">
        <v>0</v>
      </c>
      <c r="FDV138" s="59">
        <v>21</v>
      </c>
      <c r="GNJ138" s="59">
        <v>1</v>
      </c>
      <c r="GNK138" s="59">
        <v>92</v>
      </c>
      <c r="GNL138" s="59">
        <v>28</v>
      </c>
      <c r="GNM138" s="59">
        <v>0</v>
      </c>
      <c r="GNN138" s="59">
        <v>23</v>
      </c>
      <c r="GOP138" s="59">
        <v>1</v>
      </c>
      <c r="GOQ138" s="59">
        <v>702</v>
      </c>
      <c r="GOR138" s="59">
        <v>671</v>
      </c>
      <c r="GOS138" s="59">
        <v>0</v>
      </c>
      <c r="GOT138" s="59">
        <v>23</v>
      </c>
      <c r="GQC138" s="59">
        <v>15</v>
      </c>
      <c r="GQD138" s="59">
        <v>1</v>
      </c>
      <c r="GQG138" s="59">
        <v>1</v>
      </c>
      <c r="GQH138" s="59">
        <v>641</v>
      </c>
      <c r="GQI138" s="59">
        <v>619</v>
      </c>
      <c r="GQJ138" s="59">
        <v>0</v>
      </c>
      <c r="GQK138" s="59">
        <v>23</v>
      </c>
      <c r="GXU138" s="59">
        <v>1</v>
      </c>
      <c r="GXZ138" s="59">
        <v>1</v>
      </c>
      <c r="GYA138" s="59">
        <v>1</v>
      </c>
      <c r="GZE138" s="59">
        <v>1</v>
      </c>
      <c r="HBB138" s="59">
        <v>1</v>
      </c>
      <c r="HBX138" s="59">
        <v>1</v>
      </c>
    </row>
    <row r="139" spans="1:1012 1034:2040 2126:3033 3075:3888 4174:5110 5138:5553" s="83" customFormat="1" x14ac:dyDescent="0.25">
      <c r="A139" s="83">
        <v>1005522</v>
      </c>
      <c r="B139" s="83" t="s">
        <v>4194</v>
      </c>
      <c r="HB139" s="83">
        <v>7700</v>
      </c>
      <c r="HD139" s="83">
        <v>8000</v>
      </c>
      <c r="HQ139" s="83">
        <v>5600</v>
      </c>
      <c r="HY139" s="83">
        <v>5200</v>
      </c>
      <c r="IE139" s="83">
        <v>7100</v>
      </c>
      <c r="IY139" s="83">
        <v>8</v>
      </c>
      <c r="JB139" s="83">
        <v>8</v>
      </c>
      <c r="JQ139" s="83">
        <v>28</v>
      </c>
      <c r="JY139" s="83">
        <v>8</v>
      </c>
      <c r="KA139" s="96"/>
      <c r="KB139" s="96"/>
      <c r="KC139" s="96"/>
      <c r="KD139" s="96"/>
      <c r="KE139" s="96">
        <v>9</v>
      </c>
      <c r="KF139" s="96"/>
      <c r="KG139" s="96"/>
      <c r="MM139" s="83">
        <v>10</v>
      </c>
      <c r="MQ139" s="83">
        <v>13</v>
      </c>
      <c r="NF139" s="83">
        <v>63</v>
      </c>
      <c r="NT139" s="83">
        <v>13</v>
      </c>
      <c r="QD139" s="83">
        <v>18</v>
      </c>
      <c r="QF139" s="83">
        <v>21</v>
      </c>
      <c r="QT139" s="83">
        <v>244</v>
      </c>
      <c r="RB139" s="83">
        <v>100</v>
      </c>
      <c r="RH139" s="83">
        <v>57</v>
      </c>
      <c r="XC139" s="83">
        <v>16.399999999999999</v>
      </c>
      <c r="XE139" s="83">
        <v>12.8</v>
      </c>
      <c r="XL139" s="83">
        <v>19</v>
      </c>
      <c r="XS139" s="83">
        <v>18</v>
      </c>
      <c r="XW139" s="83">
        <v>13</v>
      </c>
      <c r="YF139" s="83">
        <v>9.4</v>
      </c>
      <c r="YH139" s="83">
        <v>5.9</v>
      </c>
      <c r="YM139" s="83">
        <v>9.4</v>
      </c>
      <c r="YR139" s="83">
        <v>5.9</v>
      </c>
      <c r="YT139" s="83">
        <v>6</v>
      </c>
      <c r="ZC139" s="83">
        <v>15.2</v>
      </c>
      <c r="ZG139" s="83">
        <v>15.2</v>
      </c>
      <c r="ZS139" s="83">
        <v>15.4</v>
      </c>
      <c r="AAA139" s="83">
        <v>15</v>
      </c>
      <c r="AAG139" s="83">
        <v>14.9</v>
      </c>
      <c r="ABT139" s="83">
        <v>0.3</v>
      </c>
      <c r="ABZ139" s="83">
        <v>0.7</v>
      </c>
      <c r="AFN139" s="83">
        <v>97</v>
      </c>
      <c r="AFQ139" s="83">
        <v>95</v>
      </c>
      <c r="AGE139" s="83">
        <v>198</v>
      </c>
      <c r="AGN139" s="83">
        <v>119</v>
      </c>
      <c r="AGT139" s="83">
        <v>99</v>
      </c>
      <c r="AJB139" s="83">
        <v>0.73</v>
      </c>
      <c r="AJC139" s="83">
        <v>0.7</v>
      </c>
      <c r="AJO139" s="83">
        <v>0.62</v>
      </c>
      <c r="AJW139" s="83">
        <v>0.68</v>
      </c>
      <c r="AKC139" s="83">
        <v>0.77</v>
      </c>
      <c r="AQF139" s="83">
        <v>4780000</v>
      </c>
      <c r="AQH139" s="83">
        <v>4350000</v>
      </c>
      <c r="AQS139" s="83">
        <v>4560000</v>
      </c>
      <c r="ARA139" s="83">
        <v>4540000</v>
      </c>
      <c r="ARG139" s="83">
        <v>4690000</v>
      </c>
      <c r="ARQ139" s="83">
        <v>212000</v>
      </c>
      <c r="ARR139" s="83">
        <v>206000</v>
      </c>
      <c r="ASD139" s="83">
        <v>212000</v>
      </c>
      <c r="ASL139" s="83">
        <v>266000</v>
      </c>
      <c r="ASR139" s="83">
        <v>259000</v>
      </c>
      <c r="AUC139" s="83">
        <v>1.4</v>
      </c>
      <c r="AUD139" s="83">
        <v>0.9</v>
      </c>
      <c r="AUJ139" s="83">
        <v>1.3</v>
      </c>
      <c r="AUN139" s="83">
        <v>1.2</v>
      </c>
      <c r="AUO139" s="83">
        <v>2</v>
      </c>
      <c r="AUV139" s="83">
        <v>71.599999999999994</v>
      </c>
      <c r="AUX139" s="83">
        <v>79.7</v>
      </c>
      <c r="AVD139" s="83">
        <v>69.400000000000006</v>
      </c>
      <c r="AVI139" s="83">
        <v>74.2</v>
      </c>
      <c r="AVS139" s="83">
        <v>0</v>
      </c>
      <c r="AVT139" s="83">
        <v>0.7</v>
      </c>
      <c r="AVZ139" s="83">
        <v>0.9</v>
      </c>
      <c r="AWC139" s="83">
        <v>0.7</v>
      </c>
      <c r="AZE139" s="83">
        <v>43.8</v>
      </c>
      <c r="AZH139" s="83">
        <v>40.6</v>
      </c>
      <c r="AZS139" s="83">
        <v>44.1</v>
      </c>
      <c r="BAA139" s="83">
        <v>44.2</v>
      </c>
      <c r="BAF139" s="83">
        <v>45.4</v>
      </c>
      <c r="BAY139" s="83">
        <v>91.7</v>
      </c>
      <c r="BAZ139" s="83">
        <v>73.400000000000006</v>
      </c>
      <c r="BBK139" s="83">
        <v>96.7</v>
      </c>
      <c r="BBR139" s="83">
        <v>97.2</v>
      </c>
      <c r="BBV139" s="83">
        <v>96.7</v>
      </c>
      <c r="BCF139" s="83">
        <v>31.8</v>
      </c>
      <c r="BCG139" s="83">
        <v>34.9</v>
      </c>
      <c r="BCQ139" s="83">
        <v>33.799999999999997</v>
      </c>
      <c r="BCX139" s="83">
        <v>33</v>
      </c>
      <c r="BDB139" s="83">
        <v>31.8</v>
      </c>
      <c r="BDI139" s="83">
        <v>34.700000000000003</v>
      </c>
      <c r="BDJ139" s="83">
        <v>37.299999999999997</v>
      </c>
      <c r="BDT139" s="83">
        <v>35</v>
      </c>
      <c r="BEA139" s="83">
        <v>33.9</v>
      </c>
      <c r="BEE139" s="83">
        <v>32.799999999999997</v>
      </c>
      <c r="BOA139" s="83">
        <v>30</v>
      </c>
      <c r="BOB139" s="83">
        <v>1</v>
      </c>
      <c r="BOF139" s="83">
        <v>1</v>
      </c>
      <c r="BTP139" s="83">
        <v>1</v>
      </c>
      <c r="BXM139" s="83">
        <v>1</v>
      </c>
      <c r="BXV139" s="83">
        <v>1</v>
      </c>
      <c r="BYJ139" s="95"/>
      <c r="BYK139" s="83">
        <v>0</v>
      </c>
      <c r="BYM139" s="83">
        <v>2</v>
      </c>
      <c r="BYP139" s="83">
        <v>1</v>
      </c>
      <c r="BYS139" s="83">
        <v>3</v>
      </c>
      <c r="BYY139" s="83">
        <v>0</v>
      </c>
      <c r="BZL139" s="83">
        <v>0</v>
      </c>
      <c r="FXZ139" s="83">
        <v>1</v>
      </c>
      <c r="FYC139" s="83">
        <v>1</v>
      </c>
    </row>
    <row r="140" spans="1:1012 1034:2040 2126:3033 3075:3888 4174:5110 5138:5553" s="59" customFormat="1" x14ac:dyDescent="0.25">
      <c r="A140" s="59">
        <v>1007631</v>
      </c>
      <c r="B140" s="60" t="s">
        <v>4194</v>
      </c>
      <c r="BD140" s="59">
        <v>95</v>
      </c>
      <c r="EH140" s="59">
        <v>34</v>
      </c>
      <c r="HR140" s="59">
        <v>8000</v>
      </c>
      <c r="JR140" s="59">
        <v>22</v>
      </c>
      <c r="KB140" s="59">
        <v>36</v>
      </c>
      <c r="KP140" s="59">
        <v>15</v>
      </c>
      <c r="NG140" s="59">
        <v>50</v>
      </c>
      <c r="NN140" s="59">
        <v>16</v>
      </c>
      <c r="NQ140" s="59">
        <v>71</v>
      </c>
      <c r="OE140" s="59">
        <v>27</v>
      </c>
      <c r="QU140" s="59">
        <v>125</v>
      </c>
      <c r="RR140" s="59">
        <v>30</v>
      </c>
      <c r="ZT140" s="59">
        <v>14</v>
      </c>
      <c r="ABM140" s="59">
        <v>8.14</v>
      </c>
      <c r="ABP140" s="59">
        <v>8.14</v>
      </c>
      <c r="ABW140" s="59">
        <v>5.44</v>
      </c>
      <c r="ACJ140" s="59">
        <v>1.96</v>
      </c>
      <c r="ADS140" s="59">
        <v>5.93</v>
      </c>
      <c r="ADY140" s="59">
        <v>3.98</v>
      </c>
      <c r="AJP140" s="59">
        <v>1.7</v>
      </c>
      <c r="ALX140" s="59">
        <v>39</v>
      </c>
      <c r="ANH140" s="59">
        <v>17</v>
      </c>
      <c r="ASE140" s="59">
        <v>290000</v>
      </c>
      <c r="BLF140" s="59">
        <v>84</v>
      </c>
      <c r="BOA140" s="59">
        <v>14</v>
      </c>
      <c r="BOC140" s="59">
        <v>1</v>
      </c>
      <c r="BOD140" s="59">
        <v>27</v>
      </c>
      <c r="BOG140" s="59">
        <v>5</v>
      </c>
      <c r="BRD140" s="59">
        <v>1</v>
      </c>
      <c r="BYJ140" s="65"/>
      <c r="BYK140" s="59">
        <v>0</v>
      </c>
      <c r="BYP140" s="59">
        <v>1</v>
      </c>
      <c r="BYS140" s="59">
        <v>3</v>
      </c>
      <c r="BYT140" s="59">
        <v>2</v>
      </c>
      <c r="BYU140" s="59">
        <v>0</v>
      </c>
      <c r="BYV140" s="59">
        <v>0</v>
      </c>
      <c r="BYY140" s="59">
        <v>0</v>
      </c>
      <c r="BZL140" s="59">
        <v>0</v>
      </c>
      <c r="CPO140" s="59">
        <v>3</v>
      </c>
      <c r="CPP140" s="59">
        <v>2</v>
      </c>
      <c r="CPQ140" s="59">
        <v>0</v>
      </c>
      <c r="CPR140" s="59">
        <v>0</v>
      </c>
      <c r="EJA140" s="59">
        <v>3</v>
      </c>
      <c r="EJB140" s="59">
        <v>2</v>
      </c>
      <c r="EJC140" s="59">
        <v>0</v>
      </c>
      <c r="EJD140" s="59">
        <v>0</v>
      </c>
      <c r="ESK140" s="59">
        <v>3</v>
      </c>
      <c r="ESL140" s="59">
        <v>2</v>
      </c>
      <c r="ESM140" s="59">
        <v>0</v>
      </c>
      <c r="ESN140" s="59">
        <v>0</v>
      </c>
      <c r="GWN140" s="59">
        <v>1</v>
      </c>
      <c r="GXT140" s="59">
        <v>1</v>
      </c>
      <c r="GZF140" s="59">
        <v>1</v>
      </c>
      <c r="HCA140" s="59">
        <v>1</v>
      </c>
      <c r="HCB140" s="59">
        <v>1</v>
      </c>
      <c r="HDF140" s="59">
        <v>1</v>
      </c>
    </row>
    <row r="141" spans="1:1012 1034:2040 2126:3033 3075:3888 4174:5110 5138:5553" s="59" customFormat="1" x14ac:dyDescent="0.25">
      <c r="A141" s="59">
        <v>1009760</v>
      </c>
      <c r="B141" s="60" t="s">
        <v>4194</v>
      </c>
      <c r="HT141" s="59">
        <v>6270</v>
      </c>
      <c r="HZ141" s="59">
        <v>8180</v>
      </c>
      <c r="IB141" s="59">
        <v>19000</v>
      </c>
      <c r="IF141" s="59">
        <v>6270</v>
      </c>
      <c r="JT141" s="59">
        <v>441.8</v>
      </c>
      <c r="JV141" s="59">
        <v>484.1</v>
      </c>
      <c r="JZ141" s="59">
        <v>584.5</v>
      </c>
      <c r="KB141" s="59">
        <v>445.5</v>
      </c>
      <c r="KF141" s="59">
        <v>350.9</v>
      </c>
      <c r="NI141" s="59">
        <v>976.6</v>
      </c>
      <c r="NK141" s="59">
        <v>794.2</v>
      </c>
      <c r="NO141" s="59">
        <v>755.4</v>
      </c>
      <c r="NQ141" s="59">
        <v>852.1</v>
      </c>
      <c r="NU141" s="59">
        <v>623.29999999999995</v>
      </c>
      <c r="QW141" s="59">
        <v>68.099999999999994</v>
      </c>
      <c r="QY141" s="59">
        <v>66.2</v>
      </c>
      <c r="RC141" s="59">
        <v>69.8</v>
      </c>
      <c r="RE141" s="59">
        <v>83.9</v>
      </c>
      <c r="RI141" s="59">
        <v>78.8</v>
      </c>
      <c r="TO141" s="59">
        <v>330</v>
      </c>
      <c r="TQ141" s="59">
        <v>296</v>
      </c>
      <c r="TU141" s="59">
        <v>327</v>
      </c>
      <c r="VP141" s="59">
        <v>174</v>
      </c>
      <c r="WF141" s="59">
        <v>176</v>
      </c>
      <c r="WP141" s="59">
        <v>192</v>
      </c>
      <c r="ZV141" s="59">
        <v>13.8</v>
      </c>
      <c r="AAB141" s="59">
        <v>13.6</v>
      </c>
      <c r="AAD141" s="59">
        <v>13.7</v>
      </c>
      <c r="AAH141" s="59">
        <v>13.9</v>
      </c>
      <c r="ABK141" s="59">
        <v>7.67</v>
      </c>
      <c r="ADN141" s="59">
        <v>7.27</v>
      </c>
      <c r="AEX141" s="59">
        <v>7</v>
      </c>
      <c r="AEZ141" s="59">
        <v>7</v>
      </c>
      <c r="AFB141" s="59">
        <v>6.5</v>
      </c>
      <c r="AFD141" s="59">
        <v>7.2</v>
      </c>
      <c r="AFG141" s="59">
        <v>7.3</v>
      </c>
      <c r="AGI141" s="59">
        <v>106</v>
      </c>
      <c r="AGK141" s="59">
        <v>107</v>
      </c>
      <c r="AGO141" s="59">
        <v>97</v>
      </c>
      <c r="AGQ141" s="59">
        <v>106</v>
      </c>
      <c r="AGU141" s="59">
        <v>85</v>
      </c>
      <c r="AIT141" s="59">
        <v>40000</v>
      </c>
      <c r="AJR141" s="59">
        <v>0.64</v>
      </c>
      <c r="ANJ141" s="59">
        <v>8.4</v>
      </c>
      <c r="ANL141" s="59">
        <v>11.5</v>
      </c>
      <c r="ANP141" s="59">
        <v>14.8</v>
      </c>
      <c r="ANV141" s="59">
        <v>5.0999999999999996</v>
      </c>
      <c r="APX141" s="59">
        <v>5.6</v>
      </c>
      <c r="AQV141" s="59">
        <v>4610000</v>
      </c>
      <c r="ARB141" s="59">
        <v>4420000</v>
      </c>
      <c r="ARD141" s="59">
        <v>4490000</v>
      </c>
      <c r="ARH141" s="59">
        <v>4720000</v>
      </c>
      <c r="ASG141" s="59">
        <v>387000</v>
      </c>
      <c r="ASM141" s="59">
        <v>371000</v>
      </c>
      <c r="ASO141" s="59">
        <v>464000</v>
      </c>
      <c r="ASS141" s="59">
        <v>561000</v>
      </c>
      <c r="AZV141" s="59">
        <v>43.5</v>
      </c>
      <c r="BAB141" s="59">
        <v>40.6</v>
      </c>
      <c r="BAD141" s="59">
        <v>42.9</v>
      </c>
      <c r="BAG141" s="59">
        <v>42.8</v>
      </c>
      <c r="BBN141" s="59">
        <v>94.3</v>
      </c>
      <c r="BBS141" s="59">
        <v>91.9</v>
      </c>
      <c r="BBU141" s="59">
        <v>95.4</v>
      </c>
      <c r="BBW141" s="59">
        <v>90.7</v>
      </c>
      <c r="BCT141" s="59">
        <v>29.9</v>
      </c>
      <c r="BCY141" s="59">
        <v>30.7</v>
      </c>
      <c r="BDA141" s="59">
        <v>30.4</v>
      </c>
      <c r="BDC141" s="59">
        <v>29.6</v>
      </c>
      <c r="BDW141" s="59">
        <v>31.7</v>
      </c>
      <c r="BEB141" s="59">
        <v>33.4</v>
      </c>
      <c r="BED141" s="59">
        <v>31.9</v>
      </c>
      <c r="BEF141" s="59">
        <v>32.6</v>
      </c>
      <c r="BGB141" s="59">
        <v>140</v>
      </c>
      <c r="BIK141" s="59">
        <v>2.2200000000000002</v>
      </c>
      <c r="BLH141" s="59">
        <v>97</v>
      </c>
      <c r="BOA141" s="59">
        <v>48</v>
      </c>
      <c r="BOC141" s="59">
        <v>1</v>
      </c>
      <c r="BOF141" s="59">
        <v>1</v>
      </c>
      <c r="BWP141" s="59">
        <v>1</v>
      </c>
      <c r="BYJ141" s="65"/>
      <c r="BYK141" s="59">
        <v>825</v>
      </c>
      <c r="BYL141" s="59">
        <v>75</v>
      </c>
      <c r="BYM141" s="59">
        <v>1</v>
      </c>
      <c r="BYP141" s="59">
        <v>1</v>
      </c>
      <c r="BYS141" s="59">
        <v>11</v>
      </c>
      <c r="BYT141" s="59">
        <v>25</v>
      </c>
      <c r="BYU141" s="59">
        <v>17</v>
      </c>
      <c r="BYV141" s="59">
        <v>0</v>
      </c>
      <c r="BYY141" s="59">
        <v>0</v>
      </c>
      <c r="BZL141" s="59">
        <v>0</v>
      </c>
      <c r="GWN141" s="59">
        <v>1</v>
      </c>
      <c r="GXU141" s="59">
        <v>1</v>
      </c>
      <c r="GXX141" s="59">
        <v>1</v>
      </c>
      <c r="GXZ141" s="59">
        <v>1</v>
      </c>
      <c r="GYA141" s="59">
        <v>1</v>
      </c>
      <c r="HCA141" s="59">
        <v>1</v>
      </c>
      <c r="HCB141" s="59">
        <v>1</v>
      </c>
      <c r="HCC141" s="59">
        <v>1</v>
      </c>
      <c r="HCO141" s="59">
        <v>1</v>
      </c>
      <c r="HDF141" s="59">
        <v>1</v>
      </c>
    </row>
    <row r="142" spans="1:1012 1034:2040 2126:3033 3075:3888 4174:5110 5138:5553" s="83" customFormat="1" x14ac:dyDescent="0.25">
      <c r="A142" s="96">
        <v>2000646</v>
      </c>
      <c r="B142" s="83" t="s">
        <v>4194</v>
      </c>
      <c r="L142" s="83">
        <v>1987</v>
      </c>
      <c r="M142" s="83">
        <v>5772</v>
      </c>
      <c r="S142" s="83">
        <v>1366</v>
      </c>
      <c r="T142" s="83">
        <v>1330</v>
      </c>
      <c r="U142" s="83">
        <v>1190</v>
      </c>
      <c r="V142" s="83">
        <v>1001</v>
      </c>
      <c r="AF142" s="83">
        <v>104</v>
      </c>
      <c r="AG142" s="83">
        <v>94</v>
      </c>
      <c r="AL142" s="83">
        <v>27</v>
      </c>
      <c r="AM142" s="83">
        <v>37</v>
      </c>
      <c r="AN142" s="83">
        <v>26</v>
      </c>
      <c r="AO142" s="83">
        <v>73</v>
      </c>
      <c r="BC142" s="83">
        <v>84</v>
      </c>
      <c r="BD142" s="83">
        <v>82</v>
      </c>
      <c r="BK142" s="83">
        <v>91</v>
      </c>
      <c r="BL142" s="83">
        <v>100</v>
      </c>
      <c r="BM142" s="83">
        <v>95</v>
      </c>
      <c r="CM142" s="83">
        <v>1.1299999999999999</v>
      </c>
      <c r="CN142" s="83">
        <v>1.1499999999999999</v>
      </c>
      <c r="CU142" s="83">
        <v>1.06</v>
      </c>
      <c r="CV142" s="83">
        <v>0.99</v>
      </c>
      <c r="CW142" s="83">
        <v>1.04</v>
      </c>
      <c r="EG142" s="83">
        <v>31</v>
      </c>
      <c r="EH142" s="83">
        <v>33</v>
      </c>
      <c r="EO142" s="83">
        <v>27</v>
      </c>
      <c r="EP142" s="83">
        <v>26</v>
      </c>
      <c r="EQ142" s="83">
        <v>24</v>
      </c>
      <c r="FJ142" s="83">
        <v>16</v>
      </c>
      <c r="FK142" s="83">
        <v>16</v>
      </c>
      <c r="FL142" s="83">
        <v>17</v>
      </c>
      <c r="GJ142" s="83">
        <v>191</v>
      </c>
      <c r="GK142" s="83">
        <v>145</v>
      </c>
      <c r="GO142" s="83">
        <v>558</v>
      </c>
      <c r="GP142" s="83">
        <v>504</v>
      </c>
      <c r="GQ142" s="83">
        <v>525</v>
      </c>
      <c r="HQ142" s="83">
        <v>16000</v>
      </c>
      <c r="HR142" s="83">
        <v>13000</v>
      </c>
      <c r="HY142" s="83">
        <v>8200</v>
      </c>
      <c r="HZ142" s="83">
        <v>6700</v>
      </c>
      <c r="IA142" s="83">
        <v>6200</v>
      </c>
      <c r="JQ142" s="83">
        <v>216</v>
      </c>
      <c r="JR142" s="83">
        <v>293</v>
      </c>
      <c r="JX142" s="83">
        <v>52</v>
      </c>
      <c r="JY142" s="83">
        <v>52</v>
      </c>
      <c r="JZ142" s="83">
        <v>49</v>
      </c>
      <c r="KA142" s="83">
        <v>50</v>
      </c>
      <c r="NF142" s="83">
        <v>203</v>
      </c>
      <c r="NG142" s="83">
        <v>293</v>
      </c>
      <c r="NN142" s="83">
        <v>68</v>
      </c>
      <c r="NO142" s="83">
        <v>61</v>
      </c>
      <c r="NP142" s="83">
        <v>61</v>
      </c>
      <c r="TL142" s="83">
        <v>648</v>
      </c>
      <c r="TM142" s="83">
        <v>741</v>
      </c>
      <c r="TS142" s="83">
        <v>589</v>
      </c>
      <c r="TT142" s="83">
        <v>589</v>
      </c>
      <c r="TU142" s="83">
        <v>530</v>
      </c>
      <c r="TV142" s="83">
        <v>541</v>
      </c>
      <c r="WE142" s="83">
        <v>203</v>
      </c>
      <c r="ABL142" s="83">
        <v>0.7</v>
      </c>
      <c r="ABM142" s="83">
        <v>0.9</v>
      </c>
      <c r="ABU142" s="83">
        <v>0.7</v>
      </c>
      <c r="ABV142" s="83">
        <v>1.1000000000000001</v>
      </c>
      <c r="AEW142" s="83">
        <v>4.0999999999999996</v>
      </c>
      <c r="AFA142" s="83">
        <v>6.8</v>
      </c>
      <c r="AJO142" s="83">
        <v>1.75</v>
      </c>
      <c r="AJP142" s="83">
        <v>1.6</v>
      </c>
      <c r="AJV142" s="83">
        <v>1.1000000000000001</v>
      </c>
      <c r="AJW142" s="83">
        <v>0.9</v>
      </c>
      <c r="AJX142" s="83">
        <v>1</v>
      </c>
      <c r="AJY142" s="83">
        <v>1</v>
      </c>
      <c r="AKY142" s="83">
        <v>23</v>
      </c>
      <c r="AKZ142" s="83">
        <v>39</v>
      </c>
      <c r="ALG142" s="83">
        <v>158</v>
      </c>
      <c r="ANG142" s="83">
        <v>6.5</v>
      </c>
      <c r="ANH142" s="83">
        <v>20</v>
      </c>
      <c r="ANO142" s="83">
        <v>8</v>
      </c>
      <c r="ANP142" s="83">
        <v>5</v>
      </c>
      <c r="ANQ142" s="83">
        <v>5</v>
      </c>
      <c r="AOT142" s="83">
        <v>45.5</v>
      </c>
      <c r="AOU142" s="83">
        <v>55</v>
      </c>
      <c r="AOZ142" s="83">
        <v>50</v>
      </c>
      <c r="APA142" s="83">
        <v>42</v>
      </c>
      <c r="APB142" s="83">
        <v>45</v>
      </c>
      <c r="AQS142" s="96">
        <v>5000000</v>
      </c>
      <c r="AQT142" s="96">
        <v>3750000</v>
      </c>
      <c r="ARA142" s="83">
        <v>4600000</v>
      </c>
      <c r="ARB142" s="83">
        <v>4400000</v>
      </c>
      <c r="ARC142" s="83">
        <v>4700000</v>
      </c>
      <c r="ASD142" s="83">
        <v>242000</v>
      </c>
      <c r="ASE142" s="83">
        <v>142000</v>
      </c>
      <c r="ASL142" s="83">
        <v>366</v>
      </c>
      <c r="ASM142" s="83">
        <v>365</v>
      </c>
      <c r="ASN142" s="83">
        <v>466</v>
      </c>
      <c r="AZS142" s="83">
        <v>44.5</v>
      </c>
      <c r="AZT142" s="83">
        <v>32.5</v>
      </c>
      <c r="BAA142" s="83">
        <v>39</v>
      </c>
      <c r="BAB142" s="83">
        <v>38</v>
      </c>
      <c r="BAC142" s="83">
        <v>40</v>
      </c>
      <c r="BBK142" s="83">
        <v>89.5</v>
      </c>
      <c r="BBL142" s="83">
        <v>87.5</v>
      </c>
      <c r="BBR142" s="83">
        <v>85</v>
      </c>
      <c r="BBS142" s="83">
        <v>86</v>
      </c>
      <c r="BBT142" s="83">
        <v>86</v>
      </c>
      <c r="BCQ142" s="83">
        <v>30</v>
      </c>
      <c r="BCR142" s="83">
        <v>30</v>
      </c>
      <c r="BCX142" s="83">
        <v>29</v>
      </c>
      <c r="BCY142" s="83">
        <v>29</v>
      </c>
      <c r="BCZ142" s="83">
        <v>29</v>
      </c>
      <c r="BDT142" s="83">
        <v>33.5</v>
      </c>
      <c r="BDU142" s="83">
        <v>34.5</v>
      </c>
      <c r="BEA142" s="83">
        <v>34</v>
      </c>
      <c r="BEB142" s="83">
        <v>34</v>
      </c>
      <c r="BEC142" s="83">
        <v>34</v>
      </c>
      <c r="BFY142" s="83">
        <v>139</v>
      </c>
      <c r="BFZ142" s="83">
        <v>138</v>
      </c>
      <c r="BGG142" s="83">
        <v>140</v>
      </c>
      <c r="BGH142" s="83">
        <v>136</v>
      </c>
      <c r="BGI142" s="83">
        <v>138</v>
      </c>
      <c r="BHE142" s="83">
        <v>3.9</v>
      </c>
      <c r="BHF142" s="83">
        <v>4.05</v>
      </c>
      <c r="BHL142" s="83">
        <v>4.7</v>
      </c>
      <c r="BHM142" s="83">
        <v>4.7</v>
      </c>
      <c r="BHN142" s="83">
        <v>4.5</v>
      </c>
      <c r="BHO142" s="83">
        <v>5.2</v>
      </c>
      <c r="BIH142" s="83">
        <v>2.4</v>
      </c>
      <c r="BII142" s="83">
        <v>2.19</v>
      </c>
      <c r="BIQ142" s="83">
        <v>2.4700000000000002</v>
      </c>
      <c r="BOA142" s="83">
        <v>22</v>
      </c>
      <c r="BOB142" s="83">
        <v>1</v>
      </c>
      <c r="BQW142" s="83">
        <v>1</v>
      </c>
      <c r="BRM142" s="83">
        <v>1</v>
      </c>
      <c r="BWY142" s="83">
        <v>1</v>
      </c>
      <c r="BYJ142" s="95"/>
      <c r="BYK142" s="83">
        <v>0</v>
      </c>
      <c r="BYP142" s="83">
        <v>1</v>
      </c>
      <c r="BYY142" s="83">
        <v>0</v>
      </c>
      <c r="BZL142" s="83">
        <v>0</v>
      </c>
      <c r="HAM142" s="83">
        <v>1</v>
      </c>
      <c r="HAP142" s="83">
        <v>1</v>
      </c>
      <c r="HBO142" s="83">
        <v>1</v>
      </c>
    </row>
    <row r="143" spans="1:1012 1034:2040 2126:3033 3075:3888 4174:5110 5138:5553" s="59" customFormat="1" x14ac:dyDescent="0.25">
      <c r="A143" s="59">
        <v>2003761</v>
      </c>
      <c r="B143" s="60" t="s">
        <v>4194</v>
      </c>
      <c r="AZ143" s="59">
        <v>6</v>
      </c>
      <c r="BC143" s="59">
        <v>6</v>
      </c>
      <c r="EG143" s="59">
        <v>124</v>
      </c>
      <c r="ZS143" s="59">
        <v>6</v>
      </c>
      <c r="AJL143" s="59">
        <v>7.2747000000000002</v>
      </c>
      <c r="AJO143" s="59">
        <v>7.2736000000000001</v>
      </c>
      <c r="AJP143" s="59">
        <v>7.6921999999999997</v>
      </c>
      <c r="BFY143" s="59">
        <v>134</v>
      </c>
      <c r="BHE143" s="59">
        <v>6.7</v>
      </c>
      <c r="BHF143" s="59">
        <v>6.54</v>
      </c>
      <c r="BOA143" s="59">
        <v>78</v>
      </c>
      <c r="BOC143" s="59">
        <v>1</v>
      </c>
      <c r="BQJ143" s="59">
        <v>1</v>
      </c>
      <c r="BSE143" s="59">
        <v>1</v>
      </c>
      <c r="BSG143" s="59">
        <v>1</v>
      </c>
      <c r="BSX143" s="59">
        <v>1</v>
      </c>
      <c r="BUU143" s="59">
        <v>1</v>
      </c>
      <c r="BVG143" s="59">
        <v>1</v>
      </c>
      <c r="BYJ143" s="65"/>
      <c r="BYK143" s="59">
        <v>36400</v>
      </c>
      <c r="BYL143" s="59">
        <v>100</v>
      </c>
      <c r="BYM143" s="59">
        <v>2</v>
      </c>
      <c r="BYP143" s="59">
        <v>1</v>
      </c>
      <c r="BYS143" s="59">
        <v>182</v>
      </c>
      <c r="BYT143" s="59">
        <v>182</v>
      </c>
      <c r="BYU143" s="59">
        <v>0</v>
      </c>
      <c r="BYV143" s="59">
        <v>1</v>
      </c>
      <c r="BYY143" s="59">
        <v>0</v>
      </c>
      <c r="BZL143" s="59">
        <v>0</v>
      </c>
      <c r="DCU143" s="59">
        <v>20</v>
      </c>
      <c r="DCV143" s="59">
        <v>1</v>
      </c>
      <c r="DCY143" s="59">
        <v>1</v>
      </c>
      <c r="DCZ143" s="69">
        <v>999</v>
      </c>
      <c r="DDA143" s="59">
        <v>183</v>
      </c>
      <c r="DDB143" s="59">
        <v>0</v>
      </c>
      <c r="DDC143" s="59">
        <v>999</v>
      </c>
      <c r="DFD143" s="59">
        <v>300</v>
      </c>
      <c r="DFE143" s="59">
        <v>1</v>
      </c>
      <c r="DFH143" s="59">
        <v>1</v>
      </c>
      <c r="DFI143" s="69">
        <v>999</v>
      </c>
      <c r="DFJ143" s="59">
        <v>732</v>
      </c>
      <c r="DFK143" s="59">
        <v>0</v>
      </c>
      <c r="DFL143" s="59">
        <v>999</v>
      </c>
      <c r="DLI143" s="59">
        <v>0.4</v>
      </c>
      <c r="DLJ143" s="59">
        <v>1</v>
      </c>
      <c r="DLM143" s="59">
        <v>1</v>
      </c>
      <c r="DLN143" s="59">
        <v>999</v>
      </c>
      <c r="DLO143" s="59">
        <v>183</v>
      </c>
      <c r="DLP143" s="59">
        <v>0</v>
      </c>
      <c r="DLQ143" s="59">
        <v>999</v>
      </c>
      <c r="DNG143" s="59">
        <v>10</v>
      </c>
      <c r="DNH143" s="59">
        <v>3</v>
      </c>
      <c r="DNK143" s="59">
        <v>1</v>
      </c>
      <c r="DNL143" s="59">
        <v>999</v>
      </c>
      <c r="DNM143" s="59">
        <v>183</v>
      </c>
      <c r="DNN143" s="59">
        <v>0</v>
      </c>
      <c r="DNO143" s="59">
        <v>999</v>
      </c>
      <c r="DSJ143" s="59">
        <v>20</v>
      </c>
      <c r="DSK143" s="59">
        <v>3</v>
      </c>
      <c r="DSN143" s="59">
        <v>1</v>
      </c>
      <c r="DSO143" s="59">
        <v>999</v>
      </c>
      <c r="DSP143" s="59">
        <v>999</v>
      </c>
      <c r="DSQ143" s="59">
        <v>0</v>
      </c>
      <c r="DSR143" s="59">
        <v>999</v>
      </c>
      <c r="DUS143" s="59">
        <v>2</v>
      </c>
      <c r="DUT143" s="59">
        <v>1</v>
      </c>
      <c r="DUW143" s="59">
        <v>1</v>
      </c>
      <c r="DUX143" s="59">
        <v>999</v>
      </c>
      <c r="DUY143" s="59">
        <v>999</v>
      </c>
      <c r="DUZ143" s="59">
        <v>0</v>
      </c>
      <c r="DVA143" s="59">
        <v>999</v>
      </c>
      <c r="DXC143" s="59">
        <v>3</v>
      </c>
      <c r="DXD143" s="59">
        <v>5</v>
      </c>
      <c r="DXG143" s="59">
        <v>1</v>
      </c>
      <c r="DXH143" s="59">
        <v>183</v>
      </c>
      <c r="DXI143" s="59">
        <v>183</v>
      </c>
      <c r="DXJ143" s="59">
        <v>2</v>
      </c>
      <c r="DXK143" s="59">
        <v>0</v>
      </c>
      <c r="EEL143" s="59">
        <v>30</v>
      </c>
      <c r="EEM143" s="59">
        <v>1</v>
      </c>
      <c r="EEP143" s="59">
        <v>1</v>
      </c>
      <c r="EEQ143" s="59">
        <v>4</v>
      </c>
      <c r="EER143" s="59">
        <v>2</v>
      </c>
      <c r="EES143" s="59">
        <v>0</v>
      </c>
      <c r="EET143" s="59">
        <v>1</v>
      </c>
      <c r="EPA143" s="59">
        <v>250</v>
      </c>
      <c r="EPB143" s="59">
        <v>1</v>
      </c>
      <c r="EPF143" s="59">
        <v>1</v>
      </c>
      <c r="EPG143" s="59">
        <v>8</v>
      </c>
      <c r="EPH143" s="59">
        <v>9</v>
      </c>
      <c r="EPI143" s="59">
        <v>2</v>
      </c>
      <c r="EPJ143" s="59">
        <v>0</v>
      </c>
      <c r="GXZ143" s="59">
        <v>1</v>
      </c>
      <c r="GYB143" s="59">
        <v>1</v>
      </c>
      <c r="HCK143" s="59">
        <v>1</v>
      </c>
      <c r="HCQ143" s="59">
        <v>1</v>
      </c>
      <c r="HCZ143" s="59">
        <v>1</v>
      </c>
      <c r="HDG143" s="59">
        <v>1</v>
      </c>
      <c r="HEO143" s="59">
        <v>1</v>
      </c>
    </row>
    <row r="144" spans="1:1012 1034:2040 2126:3033 3075:3888 4174:5110 5138:5553" s="83" customFormat="1" x14ac:dyDescent="0.25">
      <c r="A144" s="83">
        <v>2004061</v>
      </c>
      <c r="B144" s="83" t="s">
        <v>4194</v>
      </c>
      <c r="BC144" s="97">
        <v>64</v>
      </c>
      <c r="BD144" s="83">
        <v>82</v>
      </c>
      <c r="BE144" s="83">
        <v>96</v>
      </c>
      <c r="BF144" s="83">
        <v>110</v>
      </c>
      <c r="EG144" s="97">
        <v>125</v>
      </c>
      <c r="EH144" s="83">
        <v>29</v>
      </c>
      <c r="EI144" s="83">
        <v>28</v>
      </c>
      <c r="EJ144" s="83">
        <v>26</v>
      </c>
      <c r="HQ144" s="97">
        <v>20000</v>
      </c>
      <c r="HR144" s="83">
        <v>12700</v>
      </c>
      <c r="HS144" s="83">
        <v>10900</v>
      </c>
      <c r="HT144" s="83">
        <v>8400</v>
      </c>
      <c r="BHE144" s="97">
        <v>3.8</v>
      </c>
      <c r="BHF144" s="83">
        <v>3.7</v>
      </c>
      <c r="BHG144" s="83">
        <v>3.3</v>
      </c>
      <c r="BHH144" s="83">
        <v>4</v>
      </c>
      <c r="BLE144" s="97">
        <v>160</v>
      </c>
      <c r="BLF144" s="83">
        <v>84</v>
      </c>
      <c r="BOA144" s="83">
        <v>60</v>
      </c>
      <c r="BOB144" s="83">
        <v>1</v>
      </c>
      <c r="BOD144" s="83">
        <v>23.4</v>
      </c>
      <c r="BOF144" s="83">
        <v>1</v>
      </c>
      <c r="BOG144" s="83">
        <v>4</v>
      </c>
      <c r="BYJ144" s="95"/>
      <c r="BYK144" s="83">
        <v>0</v>
      </c>
      <c r="BYL144" s="83">
        <v>50</v>
      </c>
      <c r="BYM144" s="83">
        <v>1</v>
      </c>
      <c r="BYP144" s="83">
        <v>1</v>
      </c>
      <c r="BYS144" s="83">
        <v>1</v>
      </c>
      <c r="BYT144" s="83">
        <v>0</v>
      </c>
      <c r="BYU144" s="83">
        <v>0</v>
      </c>
      <c r="BYV144" s="83">
        <v>0</v>
      </c>
      <c r="BYY144" s="83">
        <v>0</v>
      </c>
      <c r="BZL144" s="83">
        <v>0</v>
      </c>
      <c r="GXM144" s="83">
        <v>1</v>
      </c>
      <c r="HAI144" s="83">
        <v>1</v>
      </c>
      <c r="HAK144" s="83">
        <v>1</v>
      </c>
      <c r="HAS144" s="83">
        <v>1</v>
      </c>
      <c r="HAV144" s="83">
        <v>1</v>
      </c>
      <c r="HAW144" s="83">
        <v>1</v>
      </c>
      <c r="HCX144" s="83">
        <v>1</v>
      </c>
    </row>
    <row r="145" spans="1:979 1040:2040 2053:3053 3439:3808 4377:5110 5333:5522" s="59" customFormat="1" x14ac:dyDescent="0.25">
      <c r="A145" s="59">
        <v>2006469</v>
      </c>
      <c r="B145" s="60" t="s">
        <v>4194</v>
      </c>
      <c r="JP145" s="59">
        <v>254</v>
      </c>
      <c r="JQ145" s="59">
        <v>137</v>
      </c>
      <c r="NE145" s="59">
        <v>399</v>
      </c>
      <c r="NF145" s="59">
        <v>196</v>
      </c>
      <c r="BOA145" s="59">
        <v>59</v>
      </c>
      <c r="BOC145" s="59">
        <v>1</v>
      </c>
      <c r="BOF145" s="59">
        <v>1</v>
      </c>
      <c r="BVB145" s="59">
        <v>1</v>
      </c>
      <c r="BVR145" s="59">
        <v>1</v>
      </c>
      <c r="BYJ145" s="65"/>
      <c r="BYK145" s="59">
        <v>0</v>
      </c>
      <c r="BYM145" s="59">
        <v>3</v>
      </c>
      <c r="BYP145" s="59">
        <v>1</v>
      </c>
      <c r="BYT145" s="59">
        <v>92</v>
      </c>
      <c r="BYX145" s="59">
        <v>1</v>
      </c>
      <c r="BYY145" s="59">
        <v>0</v>
      </c>
      <c r="BZL145" s="59">
        <v>0</v>
      </c>
      <c r="GWD145" s="59">
        <v>1</v>
      </c>
      <c r="GWG145" s="59">
        <v>1</v>
      </c>
    </row>
    <row r="146" spans="1:979 1040:2040 2053:3053 3439:3808 4377:5110 5333:5522" s="59" customFormat="1" x14ac:dyDescent="0.25">
      <c r="A146" s="77">
        <v>3005132</v>
      </c>
      <c r="B146" s="60" t="s">
        <v>4194</v>
      </c>
      <c r="CM146" s="59">
        <v>1.78</v>
      </c>
      <c r="EG146" s="59">
        <v>91</v>
      </c>
      <c r="FN146" s="59">
        <v>36</v>
      </c>
      <c r="HQ146" s="63">
        <v>2700</v>
      </c>
      <c r="QT146" s="59">
        <v>209</v>
      </c>
      <c r="TL146" s="59">
        <v>537</v>
      </c>
      <c r="ZS146" s="59">
        <v>11.5</v>
      </c>
      <c r="ABL146" s="59">
        <v>3.46</v>
      </c>
      <c r="AGF146" s="59">
        <v>517</v>
      </c>
      <c r="AJO146" s="59">
        <v>2.97</v>
      </c>
      <c r="ANG146" s="59">
        <v>247</v>
      </c>
      <c r="ASD146" s="59">
        <v>28000</v>
      </c>
      <c r="AXM146" s="59">
        <v>7.22</v>
      </c>
      <c r="AXW146" s="59">
        <v>-14</v>
      </c>
      <c r="BOA146" s="59">
        <v>56</v>
      </c>
      <c r="BOC146" s="59">
        <v>1</v>
      </c>
      <c r="BOE146" s="59">
        <v>1</v>
      </c>
      <c r="BOG146" s="59">
        <v>1</v>
      </c>
      <c r="BVB146" s="59">
        <v>1</v>
      </c>
      <c r="BYJ146" s="65"/>
      <c r="BYK146" s="59">
        <v>50</v>
      </c>
      <c r="BYL146" s="73">
        <v>50</v>
      </c>
      <c r="BYM146" s="59">
        <v>1</v>
      </c>
      <c r="BYO146" s="59">
        <v>1</v>
      </c>
      <c r="BYT146" s="59">
        <v>1</v>
      </c>
      <c r="BYY146" s="59">
        <v>0</v>
      </c>
      <c r="BZL146" s="59">
        <v>0</v>
      </c>
      <c r="GYJ146" s="59">
        <v>1</v>
      </c>
      <c r="GZL146" s="59">
        <v>1</v>
      </c>
      <c r="GZT146" s="59">
        <v>1</v>
      </c>
      <c r="GZZ146" s="59">
        <v>1</v>
      </c>
      <c r="HAH146" s="59">
        <v>1</v>
      </c>
      <c r="HAJ146" s="59">
        <v>1</v>
      </c>
      <c r="HBH146" s="59">
        <v>1</v>
      </c>
      <c r="HDA146" s="59">
        <v>1</v>
      </c>
      <c r="HDB146" s="59">
        <v>1</v>
      </c>
    </row>
    <row r="147" spans="1:979 1040:2040 2053:3053 3439:3808 4377:5110 5333:5522" s="59" customFormat="1" x14ac:dyDescent="0.25">
      <c r="A147" s="59">
        <v>3009119</v>
      </c>
      <c r="B147" s="60" t="s">
        <v>4194</v>
      </c>
      <c r="L147" s="59">
        <v>250</v>
      </c>
      <c r="NF147" s="59">
        <v>150</v>
      </c>
      <c r="BOC147" s="59">
        <v>1</v>
      </c>
      <c r="BRY147" s="59">
        <v>1</v>
      </c>
      <c r="BUS147" s="59">
        <v>1</v>
      </c>
      <c r="BYJ147" s="65"/>
      <c r="BYK147" s="59">
        <v>0</v>
      </c>
      <c r="BYS147" s="59">
        <v>3</v>
      </c>
      <c r="BYT147" s="59">
        <v>2</v>
      </c>
      <c r="BYU147" s="59">
        <v>0</v>
      </c>
      <c r="BYV147" s="59">
        <v>0</v>
      </c>
      <c r="BYY147" s="59">
        <v>0</v>
      </c>
      <c r="BZL147" s="59">
        <v>0</v>
      </c>
      <c r="EPL147" s="59">
        <v>1</v>
      </c>
    </row>
    <row r="148" spans="1:979 1040:2040 2053:3053 3439:3808 4377:5110 5333:5522" s="83" customFormat="1" x14ac:dyDescent="0.25">
      <c r="A148" s="83">
        <v>3009936</v>
      </c>
      <c r="B148" s="83" t="s">
        <v>4194</v>
      </c>
      <c r="BOA148" s="83">
        <v>49</v>
      </c>
      <c r="BOB148" s="83">
        <v>1</v>
      </c>
      <c r="BOD148" s="83">
        <v>23</v>
      </c>
      <c r="BVB148" s="83">
        <v>1</v>
      </c>
      <c r="BVC148" s="83">
        <v>1</v>
      </c>
      <c r="BYJ148" s="95"/>
      <c r="BYK148" s="83">
        <v>0</v>
      </c>
      <c r="BYL148" s="83">
        <v>50</v>
      </c>
      <c r="BYM148" s="83">
        <v>4</v>
      </c>
      <c r="BYP148" s="83">
        <v>1</v>
      </c>
      <c r="BYU148" s="83">
        <v>0</v>
      </c>
      <c r="BYY148" s="83">
        <v>0</v>
      </c>
      <c r="BZL148" s="83">
        <v>0</v>
      </c>
      <c r="HBY148" s="83">
        <v>1</v>
      </c>
      <c r="HCA148" s="83">
        <v>1</v>
      </c>
    </row>
    <row r="149" spans="1:979 1040:2040 2053:3053 3439:3808 4377:5110 5333:5522" s="83" customFormat="1" x14ac:dyDescent="0.25">
      <c r="A149" s="83">
        <v>3011094</v>
      </c>
      <c r="B149" s="83" t="s">
        <v>4194</v>
      </c>
      <c r="BC149" s="83">
        <v>93</v>
      </c>
      <c r="BE149" s="83">
        <v>64</v>
      </c>
      <c r="HQ149" s="83">
        <v>13600</v>
      </c>
      <c r="HS149" s="83">
        <v>12000</v>
      </c>
      <c r="ZS149" s="83">
        <v>18.2</v>
      </c>
      <c r="ZU149" s="83">
        <v>15.9</v>
      </c>
      <c r="AHN149" s="83">
        <v>64</v>
      </c>
      <c r="BOA149" s="83">
        <v>22</v>
      </c>
      <c r="BOB149" s="83">
        <v>1</v>
      </c>
      <c r="BOD149" s="83">
        <v>23.9</v>
      </c>
      <c r="BOF149" s="83">
        <v>1</v>
      </c>
      <c r="BOG149" s="83">
        <v>1</v>
      </c>
      <c r="BOJ149" s="83">
        <v>1</v>
      </c>
      <c r="BYJ149" s="95"/>
      <c r="BYK149" s="83">
        <v>0</v>
      </c>
      <c r="BYL149" s="83">
        <v>50</v>
      </c>
      <c r="BYM149" s="83">
        <v>20</v>
      </c>
      <c r="BYP149" s="83">
        <v>1</v>
      </c>
      <c r="BYS149" s="83">
        <v>1</v>
      </c>
      <c r="BYT149" s="83">
        <v>0</v>
      </c>
      <c r="BYU149" s="83">
        <v>0</v>
      </c>
      <c r="BYV149" s="83">
        <v>0</v>
      </c>
      <c r="BYY149" s="83">
        <v>0</v>
      </c>
      <c r="BZL149" s="83">
        <v>0</v>
      </c>
      <c r="BZY149" s="83">
        <v>500</v>
      </c>
      <c r="BZZ149" s="83">
        <v>20</v>
      </c>
      <c r="CAC149" s="83">
        <v>1</v>
      </c>
      <c r="CAD149" s="83">
        <v>1</v>
      </c>
      <c r="CAE149" s="83">
        <v>0</v>
      </c>
      <c r="CAF149" s="83">
        <v>0</v>
      </c>
      <c r="CAG149" s="83">
        <v>0</v>
      </c>
      <c r="GWC149" s="83">
        <v>1</v>
      </c>
      <c r="GYP149" s="83">
        <v>1</v>
      </c>
    </row>
    <row r="150" spans="1:979 1040:2040 2053:3053 3439:3808 4377:5110 5333:5522" s="83" customFormat="1" x14ac:dyDescent="0.25">
      <c r="A150" s="83">
        <v>3014643</v>
      </c>
      <c r="B150" s="83" t="s">
        <v>4194</v>
      </c>
      <c r="JQ150" s="83">
        <v>134</v>
      </c>
      <c r="KH150" s="83">
        <v>34</v>
      </c>
      <c r="LC150" s="83">
        <v>17.5</v>
      </c>
      <c r="NF150" s="83">
        <v>143</v>
      </c>
      <c r="NW150" s="83">
        <v>43</v>
      </c>
      <c r="OS150" s="83">
        <v>15.7</v>
      </c>
      <c r="QT150" s="83">
        <v>499</v>
      </c>
      <c r="RJ150" s="83">
        <v>255</v>
      </c>
      <c r="SC150" s="83">
        <v>72.7</v>
      </c>
      <c r="AGF150" s="83">
        <v>138</v>
      </c>
      <c r="ASD150" s="83">
        <v>132000</v>
      </c>
      <c r="BOA150" s="83">
        <v>46</v>
      </c>
      <c r="BOB150" s="83">
        <v>1</v>
      </c>
      <c r="BOF150" s="83">
        <v>1</v>
      </c>
      <c r="BOG150" s="83">
        <v>12</v>
      </c>
      <c r="BSG150" s="83">
        <v>1</v>
      </c>
      <c r="BYJ150" s="95"/>
      <c r="BYK150" s="83">
        <v>3530</v>
      </c>
      <c r="BYL150" s="83">
        <v>10</v>
      </c>
      <c r="BYM150" s="83">
        <v>1</v>
      </c>
      <c r="BYP150" s="83">
        <v>1</v>
      </c>
      <c r="BYS150" s="83">
        <v>353</v>
      </c>
      <c r="BYT150" s="83">
        <v>353</v>
      </c>
      <c r="BYU150" s="83">
        <v>0</v>
      </c>
      <c r="BYV150" s="83">
        <v>0</v>
      </c>
      <c r="BYY150" s="83">
        <v>0</v>
      </c>
      <c r="BZL150" s="83">
        <v>0</v>
      </c>
      <c r="EBG150" s="83">
        <v>10</v>
      </c>
      <c r="EBH150" s="83">
        <v>1</v>
      </c>
      <c r="EBK150" s="83">
        <v>1</v>
      </c>
      <c r="EBL150" s="83">
        <v>353</v>
      </c>
      <c r="EBM150" s="83">
        <v>353</v>
      </c>
      <c r="EBN150" s="83">
        <v>0</v>
      </c>
      <c r="EBO150" s="83">
        <v>0</v>
      </c>
      <c r="GYD150" s="83">
        <v>1</v>
      </c>
    </row>
    <row r="151" spans="1:979 1040:2040 2053:3053 3439:3808 4377:5110 5333:5522" s="59" customFormat="1" x14ac:dyDescent="0.25">
      <c r="A151" s="77">
        <v>3016056</v>
      </c>
      <c r="B151" s="60" t="s">
        <v>4194</v>
      </c>
      <c r="CC151" s="59">
        <v>100</v>
      </c>
      <c r="DG151" s="59">
        <v>1</v>
      </c>
      <c r="HQ151" s="63">
        <v>6000</v>
      </c>
      <c r="JQ151" s="59">
        <v>85</v>
      </c>
      <c r="LX151" s="59">
        <v>100</v>
      </c>
      <c r="LY151" s="59">
        <v>82</v>
      </c>
      <c r="NF151" s="59">
        <v>147</v>
      </c>
      <c r="PO151" s="59">
        <v>213</v>
      </c>
      <c r="PP151" s="59">
        <v>180</v>
      </c>
      <c r="QT151" s="59">
        <v>284</v>
      </c>
      <c r="SU151" s="59">
        <v>405</v>
      </c>
      <c r="SV151" s="59">
        <v>406</v>
      </c>
      <c r="WA151" s="59">
        <v>166</v>
      </c>
      <c r="WE151" s="59">
        <v>296</v>
      </c>
      <c r="WM151" s="59">
        <v>286</v>
      </c>
      <c r="WO151" s="59">
        <v>86</v>
      </c>
      <c r="WT151" s="59">
        <v>82</v>
      </c>
      <c r="WV151" s="59">
        <v>180</v>
      </c>
      <c r="WZ151" s="59">
        <v>171</v>
      </c>
      <c r="XL151" s="59">
        <v>39.799999999999997</v>
      </c>
      <c r="YE151" s="59">
        <v>39.9</v>
      </c>
      <c r="ZS151" s="59">
        <v>13.3</v>
      </c>
      <c r="ADI151" s="59">
        <v>0.9</v>
      </c>
      <c r="AEM151" s="59">
        <v>0.26</v>
      </c>
      <c r="AGF151" s="59">
        <v>131</v>
      </c>
      <c r="AIB151" s="59">
        <v>189</v>
      </c>
      <c r="AIC151" s="59">
        <v>177</v>
      </c>
      <c r="AKQ151" s="59">
        <v>0.8</v>
      </c>
      <c r="AQS151" s="77">
        <v>4.5999999999999996</v>
      </c>
      <c r="ASD151" s="77">
        <v>334</v>
      </c>
      <c r="ATH151" s="59">
        <v>240</v>
      </c>
      <c r="ATY151" s="59">
        <v>3.7</v>
      </c>
      <c r="AUB151" s="59">
        <v>4.5</v>
      </c>
      <c r="AUJ151" s="59">
        <v>1.4</v>
      </c>
      <c r="AUO151" s="59">
        <v>1</v>
      </c>
      <c r="AVD151" s="59">
        <v>51</v>
      </c>
      <c r="AVR151" s="59">
        <v>50.2</v>
      </c>
      <c r="AVZ151" s="59">
        <v>1.1000000000000001</v>
      </c>
      <c r="AWH151" s="59">
        <v>0.9</v>
      </c>
      <c r="AXC151" s="59">
        <v>66.7</v>
      </c>
      <c r="AZS151" s="59">
        <v>40.5</v>
      </c>
      <c r="BAW151" s="59">
        <v>42.3</v>
      </c>
      <c r="BBK151" s="59">
        <v>89</v>
      </c>
      <c r="BCE151" s="59">
        <v>89.7</v>
      </c>
      <c r="BCQ151" s="59">
        <v>29.2</v>
      </c>
      <c r="BDH151" s="59">
        <v>30.3</v>
      </c>
      <c r="BDT151" s="59">
        <v>32.799999999999997</v>
      </c>
      <c r="BEL151" s="59">
        <v>33.799999999999997</v>
      </c>
      <c r="BOA151" s="59">
        <v>47</v>
      </c>
      <c r="BOC151" s="59">
        <v>1</v>
      </c>
      <c r="BXS151" s="59">
        <v>1</v>
      </c>
      <c r="BXT151" s="59">
        <v>1</v>
      </c>
      <c r="BYJ151" s="65"/>
      <c r="BYK151" s="59">
        <v>149850</v>
      </c>
      <c r="BYL151" s="59">
        <v>150</v>
      </c>
      <c r="BYM151" s="59">
        <v>1</v>
      </c>
      <c r="BYP151" s="59">
        <v>1</v>
      </c>
      <c r="BYS151" s="69">
        <v>999</v>
      </c>
      <c r="BYT151" s="59">
        <v>999</v>
      </c>
      <c r="BYU151" s="59">
        <v>0</v>
      </c>
      <c r="BYV151" s="59">
        <v>999</v>
      </c>
      <c r="BYY151" s="59">
        <v>0</v>
      </c>
      <c r="BZL151" s="59">
        <v>0</v>
      </c>
    </row>
    <row r="152" spans="1:979 1040:2040 2053:3053 3439:3808 4377:5110 5333:5522" s="59" customFormat="1" x14ac:dyDescent="0.25">
      <c r="A152" s="77">
        <v>3900219</v>
      </c>
      <c r="B152" s="60" t="s">
        <v>4194</v>
      </c>
      <c r="HG152" s="59">
        <v>11300</v>
      </c>
      <c r="JG152" s="59">
        <v>18</v>
      </c>
      <c r="JI152" s="59">
        <v>16</v>
      </c>
      <c r="JQ152" s="59">
        <v>20</v>
      </c>
      <c r="KF152" s="59">
        <v>17</v>
      </c>
      <c r="MV152" s="59">
        <v>19</v>
      </c>
      <c r="MX152" s="59">
        <v>19</v>
      </c>
      <c r="NF152" s="59">
        <v>24</v>
      </c>
      <c r="NU152" s="59">
        <v>28</v>
      </c>
      <c r="QL152" s="59">
        <v>73</v>
      </c>
      <c r="QT152" s="59">
        <v>116</v>
      </c>
      <c r="RI152" s="59">
        <v>244</v>
      </c>
      <c r="AMZ152" s="64">
        <v>0.2</v>
      </c>
      <c r="ARU152" s="59">
        <v>254000</v>
      </c>
      <c r="BFQ152" s="59">
        <v>141</v>
      </c>
      <c r="BGW152" s="59">
        <v>5.0999999999999996</v>
      </c>
      <c r="BOA152" s="59">
        <v>83</v>
      </c>
      <c r="BOC152" s="59">
        <v>1</v>
      </c>
      <c r="BOF152" s="59">
        <v>1</v>
      </c>
      <c r="BOG152" s="59">
        <v>16</v>
      </c>
      <c r="BPR152" s="59">
        <v>1</v>
      </c>
      <c r="BRC152" s="59">
        <v>1</v>
      </c>
      <c r="BRD152" s="59">
        <v>1</v>
      </c>
      <c r="BRM152" s="59">
        <v>1</v>
      </c>
      <c r="BSG152" s="59">
        <v>1</v>
      </c>
      <c r="BVM152" s="59">
        <v>1</v>
      </c>
      <c r="BYJ152" s="65"/>
      <c r="BYK152" s="59">
        <v>1350</v>
      </c>
      <c r="BYL152" s="59">
        <v>150</v>
      </c>
      <c r="BYM152" s="59">
        <v>1</v>
      </c>
      <c r="BYP152" s="59">
        <v>1</v>
      </c>
      <c r="BYS152" s="59">
        <v>999</v>
      </c>
      <c r="BYT152" s="59">
        <v>9</v>
      </c>
      <c r="BYU152" s="59">
        <v>0</v>
      </c>
      <c r="BYV152" s="59">
        <v>999</v>
      </c>
      <c r="BYY152" s="59">
        <v>0</v>
      </c>
      <c r="BZL152" s="59">
        <v>0</v>
      </c>
      <c r="CIT152" s="59">
        <v>200</v>
      </c>
      <c r="CIU152" s="59">
        <v>1</v>
      </c>
      <c r="CIX152" s="59">
        <v>1</v>
      </c>
      <c r="CIY152" s="59">
        <v>999</v>
      </c>
      <c r="CIZ152" s="59">
        <v>7</v>
      </c>
      <c r="CJA152" s="59">
        <v>0</v>
      </c>
      <c r="CJB152" s="59">
        <v>999</v>
      </c>
      <c r="DMC152" s="59">
        <v>25</v>
      </c>
      <c r="DMD152" s="59">
        <v>1</v>
      </c>
      <c r="DMG152" s="59">
        <v>1</v>
      </c>
      <c r="DMH152" s="71">
        <v>999</v>
      </c>
      <c r="DMI152" s="59">
        <v>999</v>
      </c>
      <c r="DMJ152" s="59">
        <v>0</v>
      </c>
      <c r="DMK152" s="59">
        <v>999</v>
      </c>
      <c r="EJF152" s="59">
        <v>450</v>
      </c>
      <c r="EJG152" s="59">
        <v>1</v>
      </c>
      <c r="EJJ152" s="59">
        <v>1</v>
      </c>
      <c r="EJK152" s="69">
        <v>999</v>
      </c>
      <c r="EJL152" s="59">
        <v>9</v>
      </c>
      <c r="EJM152" s="59">
        <v>0</v>
      </c>
      <c r="EJN152" s="59">
        <v>999</v>
      </c>
      <c r="FNH152" s="73">
        <v>15</v>
      </c>
      <c r="FNI152" s="59">
        <v>1</v>
      </c>
      <c r="FNL152" s="59">
        <v>1</v>
      </c>
      <c r="FNM152" s="69">
        <v>999</v>
      </c>
      <c r="FNN152" s="59">
        <v>13</v>
      </c>
      <c r="FNO152" s="59">
        <v>0</v>
      </c>
      <c r="FNP152" s="59">
        <v>999</v>
      </c>
      <c r="FYS152" s="59">
        <v>75</v>
      </c>
      <c r="FYT152" s="59">
        <v>1</v>
      </c>
      <c r="FYW152" s="59">
        <v>1</v>
      </c>
      <c r="FYX152" s="71">
        <v>999</v>
      </c>
      <c r="FYY152" s="59">
        <v>999</v>
      </c>
      <c r="FYZ152" s="59">
        <v>0</v>
      </c>
      <c r="FZA152" s="59">
        <v>999</v>
      </c>
      <c r="GNF152" s="59">
        <v>250</v>
      </c>
      <c r="GNG152" s="59">
        <v>1</v>
      </c>
      <c r="GNJ152" s="59">
        <v>1</v>
      </c>
      <c r="GNK152" s="71">
        <v>999</v>
      </c>
      <c r="GNL152" s="59">
        <v>999</v>
      </c>
      <c r="GNM152" s="59">
        <v>0</v>
      </c>
      <c r="GNN152" s="59">
        <v>999</v>
      </c>
    </row>
    <row r="153" spans="1:979 1040:2040 2053:3053 3439:3808 4377:5110 5333:5522" s="83" customFormat="1" x14ac:dyDescent="0.25">
      <c r="A153" s="83">
        <v>4000158</v>
      </c>
      <c r="B153" s="83" t="s">
        <v>4194</v>
      </c>
      <c r="BD153" s="83">
        <v>115</v>
      </c>
      <c r="EH153" s="83">
        <v>27.6</v>
      </c>
      <c r="GK153" s="83">
        <v>250</v>
      </c>
      <c r="JR153" s="83">
        <v>48</v>
      </c>
      <c r="JS153" s="83">
        <v>39.6</v>
      </c>
      <c r="KA153" s="83">
        <v>22.8</v>
      </c>
      <c r="NG153" s="83">
        <v>83.4</v>
      </c>
      <c r="NH153" s="83">
        <v>76.8</v>
      </c>
      <c r="NP153" s="83">
        <v>24</v>
      </c>
      <c r="QU153" s="83">
        <v>79.8</v>
      </c>
      <c r="AGG153" s="83">
        <v>174</v>
      </c>
      <c r="AJP153" s="83">
        <v>1.1662999999999999</v>
      </c>
      <c r="BFZ153" s="83">
        <v>141</v>
      </c>
      <c r="BHF153" s="83">
        <v>4.7699999999999996</v>
      </c>
      <c r="BOA153" s="83">
        <v>44</v>
      </c>
      <c r="BOB153" s="83">
        <v>1</v>
      </c>
      <c r="BOD153" s="83">
        <v>24.2</v>
      </c>
      <c r="BOF153" s="83">
        <v>1</v>
      </c>
      <c r="BOG153" s="83">
        <v>11</v>
      </c>
      <c r="BOH153" s="83">
        <v>1</v>
      </c>
      <c r="BOI153" s="83">
        <v>1</v>
      </c>
      <c r="BPR153" s="83">
        <v>1</v>
      </c>
      <c r="BUW153" s="83">
        <v>1</v>
      </c>
      <c r="BXD153" s="83">
        <v>1</v>
      </c>
      <c r="BYJ153" s="95"/>
      <c r="BYK153" s="83">
        <v>13750</v>
      </c>
      <c r="BYL153" s="83">
        <v>50</v>
      </c>
      <c r="BYM153" s="83">
        <v>1</v>
      </c>
      <c r="BYP153" s="83">
        <v>1</v>
      </c>
      <c r="BYS153" s="83">
        <v>275</v>
      </c>
      <c r="BYT153" s="83">
        <v>275</v>
      </c>
      <c r="BYU153" s="83">
        <v>0</v>
      </c>
      <c r="BYV153" s="83">
        <v>2</v>
      </c>
      <c r="BYY153" s="83">
        <v>0</v>
      </c>
      <c r="BZL153" s="83">
        <v>0</v>
      </c>
      <c r="CCT153" s="83">
        <v>25</v>
      </c>
      <c r="CCU153" s="83">
        <v>1</v>
      </c>
      <c r="CCX153" s="83">
        <v>1</v>
      </c>
      <c r="CCY153" s="83">
        <v>183</v>
      </c>
      <c r="CCZ153" s="83">
        <v>181</v>
      </c>
      <c r="CDA153" s="83">
        <v>0</v>
      </c>
      <c r="CDB153" s="83">
        <v>2</v>
      </c>
      <c r="CZP153" s="83">
        <v>50</v>
      </c>
      <c r="CZQ153" s="83">
        <v>1</v>
      </c>
      <c r="CZT153" s="83">
        <v>1</v>
      </c>
      <c r="CZW153" s="83">
        <v>183</v>
      </c>
      <c r="CZX153" s="83">
        <v>181</v>
      </c>
      <c r="CZY153" s="83">
        <v>0</v>
      </c>
      <c r="DAU153" s="83">
        <v>2</v>
      </c>
      <c r="ECA153" s="83">
        <v>40</v>
      </c>
      <c r="ECB153" s="83">
        <v>1</v>
      </c>
      <c r="ECE153" s="83">
        <v>1</v>
      </c>
      <c r="ECF153" s="83">
        <v>999</v>
      </c>
      <c r="ECG153" s="83">
        <v>360</v>
      </c>
      <c r="ECH153" s="83">
        <v>0</v>
      </c>
      <c r="ECI153" s="83">
        <v>999</v>
      </c>
    </row>
    <row r="154" spans="1:979 1040:2040 2053:3053 3439:3808 4377:5110 5333:5522" s="83" customFormat="1" x14ac:dyDescent="0.25">
      <c r="A154" s="83">
        <v>4000304</v>
      </c>
      <c r="B154" s="83" t="s">
        <v>4194</v>
      </c>
      <c r="BC154" s="83">
        <v>100</v>
      </c>
      <c r="HQ154" s="83">
        <v>11900</v>
      </c>
      <c r="JQ154" s="83">
        <v>455</v>
      </c>
      <c r="NF154" s="83">
        <v>1104</v>
      </c>
      <c r="QT154" s="83">
        <v>1026</v>
      </c>
      <c r="ABL154" s="83">
        <v>2.5667</v>
      </c>
      <c r="AGF154" s="83">
        <v>243</v>
      </c>
      <c r="AJO154" s="83">
        <v>1.2556</v>
      </c>
      <c r="BOA154" s="83">
        <v>68</v>
      </c>
      <c r="BOB154" s="83">
        <v>1</v>
      </c>
      <c r="BOD154" s="83">
        <v>25.2</v>
      </c>
      <c r="BQB154" s="83">
        <v>1</v>
      </c>
      <c r="BQE154" s="83">
        <v>1</v>
      </c>
      <c r="BRD154" s="83">
        <v>1</v>
      </c>
      <c r="BRY154" s="83">
        <v>1</v>
      </c>
      <c r="BSA154" s="83">
        <v>1</v>
      </c>
      <c r="BXC154" s="83">
        <v>1</v>
      </c>
      <c r="BXF154" s="83">
        <v>1</v>
      </c>
      <c r="BYJ154" s="95"/>
      <c r="BYK154" s="83">
        <v>12200</v>
      </c>
      <c r="BYL154" s="83">
        <v>50</v>
      </c>
      <c r="BYM154" s="83">
        <v>1</v>
      </c>
      <c r="BYP154" s="83">
        <v>1</v>
      </c>
      <c r="BYS154" s="83">
        <v>244</v>
      </c>
      <c r="BYT154" s="83">
        <v>244</v>
      </c>
      <c r="BYU154" s="83">
        <v>0</v>
      </c>
      <c r="BYV154" s="83">
        <v>0</v>
      </c>
      <c r="BYY154" s="83">
        <v>0</v>
      </c>
      <c r="BZL154" s="83">
        <v>0</v>
      </c>
      <c r="BZZ154" s="83">
        <v>2</v>
      </c>
      <c r="CAC154" s="83">
        <v>1</v>
      </c>
      <c r="CAD154" s="83">
        <v>275</v>
      </c>
      <c r="CAE154" s="83">
        <v>275</v>
      </c>
      <c r="CAF154" s="83">
        <v>0</v>
      </c>
      <c r="CAG154" s="83">
        <v>0</v>
      </c>
      <c r="DCU154" s="83">
        <v>25</v>
      </c>
      <c r="DCV154" s="83">
        <v>1</v>
      </c>
      <c r="DCY154" s="83">
        <v>1</v>
      </c>
      <c r="DCZ154" s="83">
        <v>360</v>
      </c>
      <c r="DDA154" s="83">
        <v>360</v>
      </c>
      <c r="DDB154" s="83">
        <v>0</v>
      </c>
      <c r="DDC154" s="83">
        <v>0</v>
      </c>
      <c r="DJU154" s="83">
        <v>20</v>
      </c>
      <c r="DJV154" s="83">
        <v>1</v>
      </c>
      <c r="DJY154" s="83">
        <v>1</v>
      </c>
      <c r="DJZ154" s="83">
        <v>360</v>
      </c>
      <c r="DKA154" s="83">
        <v>360</v>
      </c>
      <c r="DKB154" s="83">
        <v>0</v>
      </c>
      <c r="DKC154" s="83">
        <v>0</v>
      </c>
      <c r="ECL154" s="83">
        <v>40</v>
      </c>
      <c r="ECM154" s="83">
        <v>1</v>
      </c>
      <c r="ECP154" s="83">
        <v>1</v>
      </c>
      <c r="ECQ154" s="83">
        <v>244</v>
      </c>
      <c r="ECR154" s="83">
        <v>244</v>
      </c>
      <c r="ECS154" s="83">
        <v>0</v>
      </c>
      <c r="ECT154" s="83">
        <v>0</v>
      </c>
      <c r="EFI154" s="83">
        <v>40</v>
      </c>
      <c r="EFJ154" s="83">
        <v>1</v>
      </c>
      <c r="EFM154" s="83">
        <v>1</v>
      </c>
      <c r="EFO154" s="83">
        <v>999</v>
      </c>
      <c r="EFP154" s="83">
        <v>999</v>
      </c>
      <c r="EFQ154" s="83">
        <v>0</v>
      </c>
      <c r="EFR154" s="83">
        <v>9</v>
      </c>
      <c r="EFT154" s="83">
        <v>1.5</v>
      </c>
      <c r="EFU154" s="83">
        <v>1</v>
      </c>
      <c r="EFX154" s="83">
        <v>1</v>
      </c>
      <c r="EFY154" s="83">
        <v>488</v>
      </c>
      <c r="EFZ154" s="83">
        <v>488</v>
      </c>
      <c r="EGA154" s="83">
        <v>0</v>
      </c>
      <c r="EGB154" s="83">
        <v>0</v>
      </c>
      <c r="HCA154" s="83">
        <v>1</v>
      </c>
    </row>
    <row r="155" spans="1:979 1040:2040 2053:3053 3439:3808 4377:5110 5333:5522" s="83" customFormat="1" x14ac:dyDescent="0.25">
      <c r="A155" s="98">
        <v>4001905</v>
      </c>
      <c r="B155" s="83" t="s">
        <v>4194</v>
      </c>
      <c r="L155" s="96">
        <v>8209</v>
      </c>
      <c r="M155" s="96">
        <v>8047</v>
      </c>
      <c r="N155" s="96">
        <v>3881</v>
      </c>
      <c r="O155" s="83">
        <v>1505</v>
      </c>
      <c r="P155" s="83">
        <v>782</v>
      </c>
      <c r="S155" s="83">
        <v>261</v>
      </c>
      <c r="JQ155" s="83">
        <v>217</v>
      </c>
      <c r="JR155" s="83">
        <v>185</v>
      </c>
      <c r="JS155" s="83">
        <v>122</v>
      </c>
      <c r="JT155" s="83">
        <v>95</v>
      </c>
      <c r="JU155" s="83">
        <v>75</v>
      </c>
      <c r="JX155" s="83">
        <v>47</v>
      </c>
      <c r="AJN155" s="83">
        <v>0.9</v>
      </c>
      <c r="BOA155" s="83">
        <v>20</v>
      </c>
      <c r="BOB155" s="83">
        <v>1</v>
      </c>
      <c r="BOD155" s="83">
        <v>20.5</v>
      </c>
      <c r="BOF155" s="83">
        <v>1</v>
      </c>
      <c r="BOG155" s="83">
        <v>8</v>
      </c>
      <c r="BPV155" s="83">
        <v>1</v>
      </c>
      <c r="BYA155" s="83">
        <v>1</v>
      </c>
      <c r="BYJ155" s="95"/>
      <c r="BYK155" s="83">
        <v>3150</v>
      </c>
      <c r="BYL155" s="99">
        <v>75</v>
      </c>
      <c r="BYM155" s="83">
        <v>1</v>
      </c>
      <c r="BYP155" s="83">
        <v>1</v>
      </c>
      <c r="BYR155" s="83">
        <v>1</v>
      </c>
      <c r="BYS155" s="83">
        <v>43</v>
      </c>
      <c r="BYT155" s="83">
        <v>42</v>
      </c>
      <c r="BYU155" s="83">
        <v>0</v>
      </c>
      <c r="BYV155" s="83">
        <v>0</v>
      </c>
      <c r="BYY155" s="83">
        <v>0</v>
      </c>
      <c r="BZL155" s="83">
        <v>0</v>
      </c>
      <c r="FLI155" s="83">
        <v>5</v>
      </c>
      <c r="FLJ155" s="83">
        <v>1</v>
      </c>
      <c r="FLM155" s="83">
        <v>1</v>
      </c>
      <c r="FLN155" s="83">
        <v>999</v>
      </c>
      <c r="FLO155" s="83">
        <v>999</v>
      </c>
      <c r="FLP155" s="83">
        <v>0</v>
      </c>
      <c r="FLQ155" s="83">
        <v>0</v>
      </c>
      <c r="FMC155" s="83">
        <v>20</v>
      </c>
      <c r="FMD155" s="83">
        <v>1</v>
      </c>
      <c r="FMG155" s="83">
        <v>1</v>
      </c>
      <c r="FMH155" s="83">
        <v>732</v>
      </c>
      <c r="FMI155" s="83">
        <v>732</v>
      </c>
      <c r="FMJ155" s="83">
        <v>0</v>
      </c>
      <c r="FMK155" s="83">
        <v>0</v>
      </c>
      <c r="GWR155" s="83">
        <v>1</v>
      </c>
      <c r="GZF155" s="83">
        <v>1</v>
      </c>
      <c r="HAG155" s="83">
        <v>1</v>
      </c>
    </row>
    <row r="156" spans="1:979 1040:2040 2053:3053 3439:3808 4377:5110 5333:5522" s="83" customFormat="1" x14ac:dyDescent="0.25">
      <c r="A156" s="83">
        <v>4002206</v>
      </c>
      <c r="B156" s="83" t="s">
        <v>4194</v>
      </c>
      <c r="BC156" s="83">
        <v>110</v>
      </c>
      <c r="EG156" s="83">
        <v>26.4</v>
      </c>
      <c r="HQ156" s="83">
        <v>7200</v>
      </c>
      <c r="HX156" s="83">
        <v>6700</v>
      </c>
      <c r="JQ156" s="83">
        <v>20.399999999999999</v>
      </c>
      <c r="NF156" s="83">
        <v>25.8</v>
      </c>
      <c r="QT156" s="83">
        <v>180.6</v>
      </c>
      <c r="ZS156" s="83">
        <v>16.500699999999998</v>
      </c>
      <c r="ZX156" s="83">
        <v>14.696</v>
      </c>
      <c r="AGF156" s="83">
        <v>148.80000000000001</v>
      </c>
      <c r="AJO156" s="83">
        <v>0.86650000000000005</v>
      </c>
      <c r="ASD156" s="83">
        <v>209000</v>
      </c>
      <c r="ASK156" s="83">
        <v>203000</v>
      </c>
      <c r="AZS156" s="83">
        <v>50</v>
      </c>
      <c r="AZX156" s="83">
        <v>44</v>
      </c>
      <c r="BBK156" s="83">
        <v>92.8</v>
      </c>
      <c r="BBP156" s="83">
        <v>95.2</v>
      </c>
      <c r="BFY156" s="83">
        <v>135</v>
      </c>
      <c r="BHE156" s="83">
        <v>5.0599999999999996</v>
      </c>
      <c r="BIH156" s="83">
        <v>2.35</v>
      </c>
      <c r="BOA156" s="83">
        <v>36</v>
      </c>
      <c r="BOB156" s="83">
        <v>1</v>
      </c>
      <c r="BOD156" s="83">
        <v>26.7</v>
      </c>
      <c r="BOF156" s="83">
        <v>1</v>
      </c>
      <c r="BOG156" s="83">
        <v>8</v>
      </c>
      <c r="BVF156" s="83">
        <v>1</v>
      </c>
      <c r="BVM156" s="83">
        <v>1</v>
      </c>
      <c r="BYJ156" s="95"/>
      <c r="BYK156" s="83">
        <v>45750</v>
      </c>
      <c r="BYL156" s="83">
        <v>75</v>
      </c>
      <c r="BYM156" s="83">
        <v>2</v>
      </c>
      <c r="BYP156" s="83">
        <v>1</v>
      </c>
      <c r="BYS156" s="83">
        <v>305</v>
      </c>
      <c r="BYT156" s="83">
        <v>305</v>
      </c>
      <c r="BYU156" s="83">
        <v>0</v>
      </c>
      <c r="BYV156" s="83">
        <v>0</v>
      </c>
      <c r="BYY156" s="83">
        <v>0</v>
      </c>
      <c r="BZL156" s="83">
        <v>0</v>
      </c>
      <c r="GXZ156" s="83">
        <v>1</v>
      </c>
      <c r="GZD156" s="83">
        <v>1</v>
      </c>
      <c r="HCR156" s="83">
        <v>1</v>
      </c>
    </row>
    <row r="157" spans="1:979 1040:2040 2053:3053 3439:3808 4377:5110 5333:5522" s="59" customFormat="1" x14ac:dyDescent="0.25">
      <c r="A157" s="59">
        <v>4002715</v>
      </c>
      <c r="B157" s="60" t="s">
        <v>4194</v>
      </c>
      <c r="KA157" s="59">
        <v>96</v>
      </c>
      <c r="KJ157" s="59">
        <v>40</v>
      </c>
      <c r="KT157" s="59">
        <v>27</v>
      </c>
      <c r="RD157" s="59">
        <v>57</v>
      </c>
      <c r="RM157" s="59">
        <v>54</v>
      </c>
      <c r="RU157" s="59">
        <v>27</v>
      </c>
      <c r="UT157" s="59">
        <v>11</v>
      </c>
      <c r="UY157" s="59">
        <v>4.9000000000000004</v>
      </c>
      <c r="VA157" s="59">
        <v>3.6</v>
      </c>
      <c r="BOA157" s="59">
        <v>60</v>
      </c>
      <c r="BOC157" s="59">
        <v>1</v>
      </c>
      <c r="BOD157" s="59">
        <v>22.1</v>
      </c>
      <c r="BYJ157" s="65"/>
      <c r="BYK157" s="59">
        <v>21400</v>
      </c>
      <c r="BYL157" s="59">
        <v>50</v>
      </c>
      <c r="BYM157" s="59">
        <v>2</v>
      </c>
      <c r="BYP157" s="59">
        <v>1</v>
      </c>
      <c r="BYS157" s="69">
        <v>999</v>
      </c>
      <c r="BYT157" s="59">
        <v>214</v>
      </c>
      <c r="BYU157" s="59">
        <v>0</v>
      </c>
      <c r="BYV157" s="59">
        <v>999</v>
      </c>
      <c r="BYY157" s="59">
        <v>0</v>
      </c>
      <c r="BZL157" s="59">
        <v>0</v>
      </c>
      <c r="GWD157" s="59">
        <v>1</v>
      </c>
    </row>
    <row r="158" spans="1:979 1040:2040 2053:3053 3439:3808 4377:5110 5333:5522" s="83" customFormat="1" x14ac:dyDescent="0.25">
      <c r="A158" s="83">
        <v>4003924</v>
      </c>
      <c r="B158" s="83" t="s">
        <v>4194</v>
      </c>
      <c r="BF158" s="83">
        <v>71</v>
      </c>
      <c r="HQ158" s="83">
        <v>3200</v>
      </c>
      <c r="JR158" s="83">
        <v>692</v>
      </c>
      <c r="NG158" s="83">
        <v>1276</v>
      </c>
      <c r="QU158" s="83">
        <v>220</v>
      </c>
      <c r="BOA158" s="83">
        <v>53</v>
      </c>
      <c r="BOB158" s="83">
        <v>1</v>
      </c>
      <c r="BOD158" s="83">
        <v>23.4</v>
      </c>
      <c r="BOI158" s="83">
        <v>1</v>
      </c>
      <c r="BOU158" s="83">
        <v>1</v>
      </c>
      <c r="BPC158" s="83">
        <v>1</v>
      </c>
      <c r="BQM158" s="83">
        <v>1</v>
      </c>
      <c r="BXT158" s="83">
        <v>1</v>
      </c>
      <c r="BYJ158" s="95"/>
      <c r="BYK158" s="83">
        <v>1550</v>
      </c>
      <c r="BYL158" s="83">
        <v>50</v>
      </c>
      <c r="BYM158" s="83">
        <v>1</v>
      </c>
      <c r="BYP158" s="83">
        <v>1</v>
      </c>
      <c r="BYS158" s="83">
        <v>31</v>
      </c>
      <c r="BYT158" s="83">
        <v>39</v>
      </c>
      <c r="BYU158" s="83">
        <v>9</v>
      </c>
      <c r="BYV158" s="83">
        <v>0</v>
      </c>
      <c r="BYY158" s="83">
        <v>0</v>
      </c>
      <c r="BZL158" s="83">
        <v>0</v>
      </c>
      <c r="BZY158" s="83">
        <v>500</v>
      </c>
      <c r="CAC158" s="83">
        <v>1</v>
      </c>
      <c r="CAD158" s="83">
        <v>999</v>
      </c>
      <c r="CAE158" s="83">
        <v>999</v>
      </c>
      <c r="CAF158" s="83">
        <v>0</v>
      </c>
      <c r="CAG158" s="83">
        <v>0</v>
      </c>
      <c r="GWD158" s="83">
        <v>1</v>
      </c>
      <c r="GWE158" s="83">
        <v>1</v>
      </c>
      <c r="HCA158" s="83">
        <v>1</v>
      </c>
    </row>
    <row r="159" spans="1:979 1040:2040 2053:3053 3439:3808 4377:5110 5333:5522" s="59" customFormat="1" x14ac:dyDescent="0.25">
      <c r="A159" s="59">
        <v>4006051</v>
      </c>
      <c r="B159" s="60" t="s">
        <v>4194</v>
      </c>
      <c r="TL159" s="59">
        <v>2028</v>
      </c>
      <c r="ZS159" s="59">
        <v>11.6</v>
      </c>
      <c r="ZY159" s="59">
        <v>3.3</v>
      </c>
      <c r="AJO159" s="59">
        <v>2.2999999999999998</v>
      </c>
      <c r="ATK159" s="59">
        <v>6</v>
      </c>
      <c r="BOA159" s="59">
        <v>66</v>
      </c>
      <c r="BOC159" s="59">
        <v>1</v>
      </c>
      <c r="BOF159" s="59">
        <v>1</v>
      </c>
      <c r="BOG159" s="59">
        <v>49</v>
      </c>
      <c r="BOU159" s="59">
        <v>1</v>
      </c>
      <c r="BPE159" s="59">
        <v>1</v>
      </c>
      <c r="BRJ159" s="59">
        <v>1</v>
      </c>
      <c r="BSG159" s="59">
        <v>1</v>
      </c>
      <c r="BYJ159" s="65"/>
      <c r="BYK159" s="59">
        <v>0</v>
      </c>
      <c r="BYL159" s="59">
        <v>75</v>
      </c>
      <c r="BYM159" s="59">
        <v>1</v>
      </c>
      <c r="BYO159" s="59">
        <v>1</v>
      </c>
      <c r="BYY159" s="59">
        <v>0</v>
      </c>
      <c r="BZL159" s="59">
        <v>0</v>
      </c>
      <c r="GXZ159" s="59">
        <v>1</v>
      </c>
      <c r="HBD159" s="59">
        <v>1</v>
      </c>
      <c r="HCB159" s="59">
        <v>1</v>
      </c>
      <c r="HDA159" s="59">
        <v>1</v>
      </c>
    </row>
    <row r="160" spans="1:979 1040:2040 2053:3053 3439:3808 4377:5110 5333:5522" s="59" customFormat="1" x14ac:dyDescent="0.25">
      <c r="A160" s="59">
        <v>4008140</v>
      </c>
      <c r="B160" s="60" t="s">
        <v>4194</v>
      </c>
      <c r="HP160" s="59">
        <v>5900</v>
      </c>
      <c r="JP160" s="59">
        <v>243</v>
      </c>
      <c r="NE160" s="59">
        <v>291</v>
      </c>
      <c r="QS160" s="59">
        <v>88</v>
      </c>
      <c r="TK160" s="59">
        <v>302</v>
      </c>
      <c r="ZR160" s="59">
        <v>12</v>
      </c>
      <c r="ABK160" s="59">
        <v>5.5</v>
      </c>
      <c r="ACC160" s="59">
        <v>7.3</v>
      </c>
      <c r="ADN160" s="59">
        <v>4.5999999999999996</v>
      </c>
      <c r="ANF160" s="59">
        <v>8</v>
      </c>
      <c r="ASC160" s="59">
        <v>409000</v>
      </c>
      <c r="BOA160" s="59">
        <v>57</v>
      </c>
      <c r="BOC160" s="59">
        <v>1</v>
      </c>
      <c r="BYB160" s="59">
        <v>1</v>
      </c>
      <c r="BYJ160" s="65"/>
      <c r="BYK160" s="59">
        <v>0</v>
      </c>
      <c r="BYP160" s="59">
        <v>1</v>
      </c>
      <c r="BYS160" s="59">
        <v>2</v>
      </c>
      <c r="BYT160" s="59">
        <v>17</v>
      </c>
      <c r="BYU160" s="59">
        <v>16</v>
      </c>
      <c r="BYV160" s="59">
        <v>0</v>
      </c>
      <c r="BYY160" s="59">
        <v>0</v>
      </c>
      <c r="BZL160" s="59">
        <v>0</v>
      </c>
      <c r="CCY160" s="59">
        <v>2</v>
      </c>
      <c r="CCZ160" s="59">
        <v>18</v>
      </c>
      <c r="CDA160" s="59">
        <v>17</v>
      </c>
      <c r="CDB160" s="59">
        <v>0</v>
      </c>
      <c r="CIY160" s="59">
        <v>17</v>
      </c>
      <c r="CIZ160" s="59">
        <v>15</v>
      </c>
      <c r="CJA160" s="59">
        <v>0</v>
      </c>
      <c r="CJB160" s="59">
        <v>1</v>
      </c>
      <c r="CUF160" s="59">
        <v>1</v>
      </c>
      <c r="CUG160" s="59">
        <v>10</v>
      </c>
      <c r="CUH160" s="59">
        <v>10</v>
      </c>
      <c r="CUI160" s="59">
        <v>1</v>
      </c>
      <c r="CUJ160" s="59">
        <v>0</v>
      </c>
      <c r="GWR160" s="59">
        <v>1</v>
      </c>
      <c r="GYD160" s="59">
        <v>1</v>
      </c>
      <c r="HCB160" s="59">
        <v>1</v>
      </c>
      <c r="HDJ160" s="59">
        <v>1</v>
      </c>
    </row>
    <row r="161" spans="1:1018 1025:2040 2292:2989 3449:3848 4347:4835 5334:5522" s="59" customFormat="1" x14ac:dyDescent="0.25">
      <c r="A161" s="77">
        <v>4009906</v>
      </c>
      <c r="B161" s="60" t="s">
        <v>4194</v>
      </c>
      <c r="HR161" s="59">
        <v>6300</v>
      </c>
      <c r="IN161" s="59">
        <v>7100</v>
      </c>
      <c r="IQ161" s="59">
        <v>5300</v>
      </c>
      <c r="JR161" s="59">
        <v>37</v>
      </c>
      <c r="KS161" s="59">
        <v>31</v>
      </c>
      <c r="LQ161" s="59">
        <v>26</v>
      </c>
      <c r="LW161" s="59">
        <v>41</v>
      </c>
      <c r="NG161" s="59">
        <v>32</v>
      </c>
      <c r="OH161" s="59">
        <v>26</v>
      </c>
      <c r="PG161" s="59">
        <v>24</v>
      </c>
      <c r="PN161" s="59">
        <v>46</v>
      </c>
      <c r="QU161" s="59">
        <v>57</v>
      </c>
      <c r="RT161" s="59">
        <v>51</v>
      </c>
      <c r="SO161" s="59">
        <v>83</v>
      </c>
      <c r="ST161" s="59">
        <v>81</v>
      </c>
      <c r="UO161" s="59">
        <v>19.100000000000001</v>
      </c>
      <c r="UZ161" s="59">
        <v>3.7</v>
      </c>
      <c r="VE161" s="59">
        <v>4.3</v>
      </c>
      <c r="VH161" s="59">
        <v>25</v>
      </c>
      <c r="XM161" s="59">
        <v>34.5</v>
      </c>
      <c r="XX161" s="59">
        <v>21</v>
      </c>
      <c r="YC161" s="59">
        <v>37.9</v>
      </c>
      <c r="YD161" s="59">
        <v>31.4</v>
      </c>
      <c r="YN161" s="59">
        <v>4.5999999999999996</v>
      </c>
      <c r="YU161" s="59">
        <v>4.2</v>
      </c>
      <c r="YV161" s="59">
        <v>3.6</v>
      </c>
      <c r="YW161" s="59">
        <v>4.8</v>
      </c>
      <c r="ZT161" s="59">
        <v>13.4</v>
      </c>
      <c r="AAO161" s="59">
        <v>12.1</v>
      </c>
      <c r="AAS161" s="59">
        <v>12.9</v>
      </c>
      <c r="ABM161" s="59">
        <v>0.5</v>
      </c>
      <c r="ACL161" s="59">
        <v>1</v>
      </c>
      <c r="ADE161" s="59">
        <v>0.7</v>
      </c>
      <c r="ADH161" s="59">
        <v>0.6</v>
      </c>
      <c r="AEW161" s="59">
        <v>4.7</v>
      </c>
      <c r="AGG161" s="59">
        <v>65</v>
      </c>
      <c r="AHG161" s="59">
        <v>56</v>
      </c>
      <c r="AHX161" s="59">
        <v>73</v>
      </c>
      <c r="AIA161" s="59">
        <v>67</v>
      </c>
      <c r="AKZ161" s="59">
        <v>64</v>
      </c>
      <c r="ALI161" s="59">
        <v>56</v>
      </c>
      <c r="ALM161" s="59">
        <v>63</v>
      </c>
      <c r="ALO161" s="59">
        <v>33</v>
      </c>
      <c r="ALX161" s="59">
        <v>82</v>
      </c>
      <c r="AMN161" s="59">
        <v>43</v>
      </c>
      <c r="AMU161" s="59">
        <v>74</v>
      </c>
      <c r="AMV161" s="59">
        <v>29</v>
      </c>
      <c r="ANH161" s="59">
        <v>1</v>
      </c>
      <c r="AQT161" s="59">
        <v>4270000</v>
      </c>
      <c r="ARK161" s="59">
        <v>3.96</v>
      </c>
      <c r="ARM161" s="59">
        <v>4.17</v>
      </c>
      <c r="ASE161" s="59">
        <v>226000</v>
      </c>
      <c r="ATA161" s="59">
        <v>223000</v>
      </c>
      <c r="ATE161" s="59">
        <v>248000</v>
      </c>
      <c r="ATG161" s="59">
        <v>225000</v>
      </c>
      <c r="AUK161" s="59">
        <v>4.5999999999999996</v>
      </c>
      <c r="AUP161" s="59">
        <v>3.3</v>
      </c>
      <c r="AUR161" s="59">
        <v>4.8</v>
      </c>
      <c r="AUS161" s="59">
        <v>3.3</v>
      </c>
      <c r="AVE161" s="59">
        <v>53.6</v>
      </c>
      <c r="AVL161" s="59">
        <v>69.5</v>
      </c>
      <c r="AVP161" s="59">
        <v>50.9</v>
      </c>
      <c r="AVQ161" s="59">
        <v>58</v>
      </c>
      <c r="AWA161" s="59">
        <v>0.8</v>
      </c>
      <c r="AWE161" s="59">
        <v>3.3</v>
      </c>
      <c r="AWF161" s="59">
        <v>4.8</v>
      </c>
      <c r="AWG161" s="59">
        <v>0.8</v>
      </c>
      <c r="AZT161" s="59">
        <v>40.5</v>
      </c>
      <c r="BAO161" s="59">
        <v>37.1</v>
      </c>
      <c r="BAT161" s="59">
        <v>38.1</v>
      </c>
      <c r="BAV161" s="59">
        <v>38.9</v>
      </c>
      <c r="BBL161" s="59">
        <v>94.8</v>
      </c>
      <c r="BCA161" s="59">
        <v>93.8</v>
      </c>
      <c r="BCC161" s="59">
        <v>91.3</v>
      </c>
      <c r="BCD161" s="59">
        <v>90.3</v>
      </c>
      <c r="BCR161" s="59">
        <v>31.4</v>
      </c>
      <c r="BDE161" s="59">
        <v>30.5</v>
      </c>
      <c r="BDF161" s="59">
        <v>31</v>
      </c>
      <c r="BDG161" s="59">
        <v>30.2</v>
      </c>
      <c r="BDU161" s="59">
        <v>33.1</v>
      </c>
      <c r="BEI161" s="59">
        <v>32.5</v>
      </c>
      <c r="BEJ161" s="59">
        <v>33.9</v>
      </c>
      <c r="BEK161" s="59">
        <v>33.4</v>
      </c>
      <c r="BOA161" s="59">
        <v>51</v>
      </c>
      <c r="BOC161" s="59">
        <v>1</v>
      </c>
      <c r="BOD161" s="59">
        <v>20.5</v>
      </c>
      <c r="BOU161" s="59">
        <v>1</v>
      </c>
      <c r="BYF161" s="59">
        <v>1</v>
      </c>
      <c r="BYJ161" s="65"/>
      <c r="BYK161" s="59">
        <v>0</v>
      </c>
      <c r="BYL161" s="77"/>
      <c r="BYR161" s="59">
        <v>1</v>
      </c>
      <c r="BYS161" s="59">
        <v>519</v>
      </c>
      <c r="BYT161" s="59">
        <v>519</v>
      </c>
      <c r="BYU161" s="59">
        <v>0</v>
      </c>
      <c r="BYY161" s="59">
        <v>0</v>
      </c>
      <c r="BZL161" s="59">
        <v>0</v>
      </c>
      <c r="GCP161" s="59">
        <v>50</v>
      </c>
      <c r="GCU161" s="59">
        <v>1</v>
      </c>
      <c r="GCV161" s="59">
        <v>999</v>
      </c>
      <c r="GCW161" s="59">
        <v>999</v>
      </c>
      <c r="GCX161" s="59">
        <v>0</v>
      </c>
      <c r="GCY161" s="59">
        <v>90</v>
      </c>
      <c r="GZD161" s="59">
        <v>1</v>
      </c>
    </row>
    <row r="162" spans="1:1018 1025:2040 2292:2989 3449:3848 4347:4835 5334:5522" s="83" customFormat="1" x14ac:dyDescent="0.25">
      <c r="A162" s="83">
        <v>4011027</v>
      </c>
      <c r="B162" s="83" t="s">
        <v>4194</v>
      </c>
      <c r="BD162" s="83">
        <v>28</v>
      </c>
      <c r="BE162" s="83">
        <v>37</v>
      </c>
      <c r="BJ162" s="83">
        <v>81</v>
      </c>
      <c r="BK162" s="83">
        <v>82</v>
      </c>
      <c r="CN162" s="83">
        <v>2.5</v>
      </c>
      <c r="CO162" s="83">
        <v>2</v>
      </c>
      <c r="CT162" s="83">
        <v>1.1000000000000001</v>
      </c>
      <c r="CU162" s="83">
        <v>1.1000000000000001</v>
      </c>
      <c r="EH162" s="83">
        <v>35.6</v>
      </c>
      <c r="EI162" s="83">
        <v>33.799999999999997</v>
      </c>
      <c r="EN162" s="83">
        <v>33.5</v>
      </c>
      <c r="EO162" s="83">
        <v>34.200000000000003</v>
      </c>
      <c r="FF162" s="83">
        <v>18.3</v>
      </c>
      <c r="FG162" s="83">
        <v>6.8</v>
      </c>
      <c r="FI162" s="83">
        <v>19.7</v>
      </c>
      <c r="FJ162" s="83">
        <v>17.7</v>
      </c>
      <c r="HR162" s="83">
        <v>8900</v>
      </c>
      <c r="JR162" s="83">
        <v>37.200000000000003</v>
      </c>
      <c r="JS162" s="83">
        <v>31.8</v>
      </c>
      <c r="NG162" s="83">
        <v>23.4</v>
      </c>
      <c r="NH162" s="83">
        <v>24</v>
      </c>
      <c r="ZT162" s="83">
        <v>8.0570000000000004</v>
      </c>
      <c r="ZU162" s="83">
        <v>9.5073000000000008</v>
      </c>
      <c r="ZV162" s="83">
        <v>10.635199999999999</v>
      </c>
      <c r="ZZ162" s="83">
        <v>10.9575</v>
      </c>
      <c r="AAG162" s="83">
        <v>11.440899999999999</v>
      </c>
      <c r="ABM162" s="83">
        <v>0.2631</v>
      </c>
      <c r="AGG162" s="83">
        <v>84</v>
      </c>
      <c r="AJP162" s="83">
        <v>1.1312</v>
      </c>
      <c r="AJQ162" s="83">
        <v>1.2556</v>
      </c>
      <c r="AKZ162" s="83">
        <v>108.6</v>
      </c>
      <c r="ANI162" s="83">
        <v>14</v>
      </c>
      <c r="AOV162" s="83">
        <v>67.872</v>
      </c>
      <c r="APW162" s="83">
        <v>2.5720999999999998</v>
      </c>
      <c r="ASE162" s="83">
        <v>400000</v>
      </c>
      <c r="AZT162" s="83">
        <v>24</v>
      </c>
      <c r="AZU162" s="83">
        <v>28</v>
      </c>
      <c r="AZV162" s="83">
        <v>32</v>
      </c>
      <c r="AZZ162" s="83">
        <v>34</v>
      </c>
      <c r="BAF162" s="83">
        <v>36</v>
      </c>
      <c r="BFZ162" s="83">
        <v>147</v>
      </c>
      <c r="BGA162" s="83">
        <v>144</v>
      </c>
      <c r="BHF162" s="83">
        <v>3.4</v>
      </c>
      <c r="BHG162" s="83">
        <v>2.7</v>
      </c>
      <c r="BIJ162" s="83">
        <v>1.3</v>
      </c>
      <c r="BJE162" s="83">
        <v>0.23</v>
      </c>
      <c r="BJQ162" s="83">
        <v>84.325999999999993</v>
      </c>
      <c r="BKD162" s="83">
        <v>72</v>
      </c>
      <c r="BLF162" s="83">
        <v>100.8896</v>
      </c>
      <c r="BOA162" s="83">
        <v>45</v>
      </c>
      <c r="BOB162" s="83">
        <v>1</v>
      </c>
      <c r="BOD162" s="83">
        <v>17.899999999999999</v>
      </c>
      <c r="BOF162" s="83">
        <v>1</v>
      </c>
      <c r="BOG162" s="83">
        <v>19</v>
      </c>
      <c r="BQS162" s="83">
        <v>1</v>
      </c>
      <c r="BQT162" s="83">
        <v>1</v>
      </c>
      <c r="BVD162" s="83">
        <v>1</v>
      </c>
      <c r="BYJ162" s="95"/>
      <c r="BYK162" s="83">
        <v>300</v>
      </c>
      <c r="BYL162" s="83">
        <v>50</v>
      </c>
      <c r="BYM162" s="83">
        <v>2</v>
      </c>
      <c r="BYP162" s="83">
        <v>1</v>
      </c>
      <c r="BYS162" s="83">
        <v>3</v>
      </c>
      <c r="BYT162" s="83">
        <v>13</v>
      </c>
      <c r="BYU162" s="83">
        <v>11</v>
      </c>
      <c r="BYV162" s="83">
        <v>0</v>
      </c>
      <c r="BYY162" s="83">
        <v>0</v>
      </c>
      <c r="BZL162" s="83">
        <v>0</v>
      </c>
      <c r="CJD162" s="83">
        <v>4</v>
      </c>
      <c r="CJE162" s="83">
        <v>2</v>
      </c>
      <c r="CJH162" s="83">
        <v>1</v>
      </c>
      <c r="CJI162" s="83">
        <v>3</v>
      </c>
      <c r="CJJ162" s="83">
        <v>13</v>
      </c>
      <c r="CJK162" s="83">
        <v>11</v>
      </c>
      <c r="CJL162" s="83">
        <v>0</v>
      </c>
      <c r="GWD162" s="83">
        <v>1</v>
      </c>
      <c r="GXP162" s="83">
        <v>1</v>
      </c>
      <c r="HCK162" s="83">
        <v>1</v>
      </c>
      <c r="HCN162" s="83">
        <v>1</v>
      </c>
    </row>
    <row r="163" spans="1:1018 1025:2040 2292:2989 3449:3848 4347:4835 5334:5522" s="59" customFormat="1" x14ac:dyDescent="0.25">
      <c r="A163" s="59">
        <v>4011920</v>
      </c>
      <c r="B163" s="60" t="s">
        <v>4194</v>
      </c>
      <c r="JR163" s="59">
        <v>259</v>
      </c>
      <c r="KB163" s="59">
        <v>25</v>
      </c>
      <c r="KL163" s="59">
        <v>23</v>
      </c>
      <c r="NF163" s="59">
        <v>625</v>
      </c>
      <c r="NQ163" s="59">
        <v>76</v>
      </c>
      <c r="OA163" s="59">
        <v>17</v>
      </c>
      <c r="QT163" s="59">
        <v>473</v>
      </c>
      <c r="RE163" s="59">
        <v>234</v>
      </c>
      <c r="RO163" s="59">
        <v>16</v>
      </c>
      <c r="AGF163" s="59">
        <v>426</v>
      </c>
      <c r="AGQ163" s="59">
        <v>166</v>
      </c>
      <c r="AHA163" s="59">
        <v>47</v>
      </c>
      <c r="BOA163" s="59">
        <v>61</v>
      </c>
      <c r="BOC163" s="59">
        <v>1</v>
      </c>
      <c r="BOD163" s="59">
        <v>23.2</v>
      </c>
      <c r="BOG163" s="59">
        <v>14</v>
      </c>
      <c r="BVB163" s="59">
        <v>1</v>
      </c>
      <c r="BYJ163" s="65"/>
      <c r="BYK163" s="59">
        <v>2650</v>
      </c>
      <c r="BYL163" s="59">
        <v>50</v>
      </c>
      <c r="BYM163" s="59">
        <v>1</v>
      </c>
      <c r="BYP163" s="59">
        <v>1</v>
      </c>
      <c r="BYS163" s="59">
        <v>54</v>
      </c>
      <c r="BYT163" s="59">
        <v>53</v>
      </c>
      <c r="BYU163" s="59">
        <v>0</v>
      </c>
      <c r="BYV163" s="59">
        <v>0</v>
      </c>
      <c r="BYY163" s="59">
        <v>0</v>
      </c>
      <c r="BZL163" s="59">
        <v>0</v>
      </c>
      <c r="EPX163" s="59">
        <v>3</v>
      </c>
      <c r="EQA163" s="59">
        <v>1</v>
      </c>
      <c r="EQB163" s="59">
        <v>54</v>
      </c>
      <c r="EQC163" s="59">
        <v>53</v>
      </c>
      <c r="EQD163" s="59">
        <v>0</v>
      </c>
      <c r="EQE163" s="59">
        <v>0</v>
      </c>
      <c r="EQR163" s="59">
        <v>20</v>
      </c>
      <c r="EQS163" s="59">
        <v>1</v>
      </c>
      <c r="EQV163" s="59">
        <v>1</v>
      </c>
      <c r="EQW163" s="69">
        <v>999</v>
      </c>
      <c r="EQX163" s="59">
        <v>35</v>
      </c>
      <c r="EQY163" s="59">
        <v>0</v>
      </c>
      <c r="EQZ163" s="59">
        <v>999</v>
      </c>
    </row>
    <row r="164" spans="1:1018 1025:2040 2292:2989 3449:3848 4347:4835 5334:5522" s="83" customFormat="1" x14ac:dyDescent="0.25">
      <c r="A164" s="83">
        <v>4012248</v>
      </c>
      <c r="B164" s="83" t="s">
        <v>4194</v>
      </c>
      <c r="JQ164" s="83">
        <v>79</v>
      </c>
      <c r="JR164" s="83">
        <v>67</v>
      </c>
      <c r="JT164" s="83">
        <v>52</v>
      </c>
      <c r="JY164" s="83">
        <v>75</v>
      </c>
      <c r="KD164" s="83">
        <v>29</v>
      </c>
      <c r="KK164" s="83">
        <v>19</v>
      </c>
      <c r="KV164" s="83">
        <v>17</v>
      </c>
      <c r="NF164" s="83">
        <v>285</v>
      </c>
      <c r="NG164" s="83">
        <v>256</v>
      </c>
      <c r="NI164" s="83">
        <v>180</v>
      </c>
      <c r="NN164" s="83">
        <v>171</v>
      </c>
      <c r="NS164" s="83">
        <v>86</v>
      </c>
      <c r="NZ164" s="83">
        <v>45</v>
      </c>
      <c r="OJ164" s="83">
        <v>33</v>
      </c>
      <c r="QT164" s="83">
        <v>380</v>
      </c>
      <c r="QU164" s="83">
        <v>392</v>
      </c>
      <c r="QW164" s="83">
        <v>390</v>
      </c>
      <c r="RB164" s="83">
        <v>417</v>
      </c>
      <c r="RG164" s="83">
        <v>403</v>
      </c>
      <c r="RN164" s="83">
        <v>331</v>
      </c>
      <c r="RW164" s="83">
        <v>220</v>
      </c>
      <c r="AGG164" s="83">
        <v>554</v>
      </c>
      <c r="AGI164" s="83">
        <v>516</v>
      </c>
      <c r="AGN164" s="83">
        <v>637</v>
      </c>
      <c r="AGS164" s="83">
        <v>438</v>
      </c>
      <c r="AGZ164" s="83">
        <v>335</v>
      </c>
      <c r="AHI164" s="83">
        <v>259</v>
      </c>
      <c r="BOA164" s="83">
        <v>45</v>
      </c>
      <c r="BOB164" s="83">
        <v>1</v>
      </c>
      <c r="BOF164" s="83">
        <v>1</v>
      </c>
      <c r="BOG164" s="83">
        <v>32</v>
      </c>
      <c r="BPR164" s="83">
        <v>1</v>
      </c>
      <c r="BQB164" s="83">
        <v>1</v>
      </c>
      <c r="BXO164" s="83">
        <v>1</v>
      </c>
      <c r="BYJ164" s="95"/>
      <c r="BYK164" s="83">
        <v>0</v>
      </c>
      <c r="BYY164" s="83">
        <v>0</v>
      </c>
      <c r="BZL164" s="83">
        <v>0</v>
      </c>
      <c r="DBO164" s="83">
        <v>150</v>
      </c>
      <c r="DBP164" s="83">
        <v>1</v>
      </c>
      <c r="DBS164" s="83">
        <v>1</v>
      </c>
      <c r="DBT164" s="83">
        <v>29</v>
      </c>
      <c r="DBU164" s="83">
        <v>28</v>
      </c>
      <c r="DBV164" s="83">
        <v>0</v>
      </c>
      <c r="DBW164" s="83">
        <v>0</v>
      </c>
      <c r="FKE164" s="83">
        <v>3</v>
      </c>
      <c r="FKF164" s="83">
        <v>1</v>
      </c>
      <c r="FKI164" s="83">
        <v>1</v>
      </c>
      <c r="FKJ164" s="83">
        <v>26</v>
      </c>
      <c r="FKK164" s="83">
        <v>25</v>
      </c>
      <c r="FKL164" s="83">
        <v>0</v>
      </c>
      <c r="FKM164" s="83">
        <v>0</v>
      </c>
      <c r="FOL164" s="83">
        <v>1200</v>
      </c>
      <c r="FOM164" s="83">
        <v>1</v>
      </c>
      <c r="FOP164" s="83">
        <v>1</v>
      </c>
      <c r="FOQ164" s="100">
        <v>999</v>
      </c>
      <c r="FOR164" s="83">
        <v>28</v>
      </c>
      <c r="FOS164" s="83">
        <v>0</v>
      </c>
      <c r="FOT164" s="83">
        <v>999</v>
      </c>
      <c r="HBV164" s="83">
        <v>1</v>
      </c>
    </row>
    <row r="165" spans="1:1018 1025:2040 2292:2989 3449:3848 4347:4835 5334:5522" s="59" customFormat="1" x14ac:dyDescent="0.25">
      <c r="A165" s="59">
        <v>4013603</v>
      </c>
      <c r="B165" s="60" t="s">
        <v>4194</v>
      </c>
      <c r="JQ165" s="59">
        <v>134</v>
      </c>
      <c r="NF165" s="59">
        <v>120</v>
      </c>
      <c r="QT165" s="59">
        <v>558</v>
      </c>
      <c r="AGF165" s="59">
        <v>547</v>
      </c>
      <c r="ALW165" s="59">
        <v>84</v>
      </c>
      <c r="BOA165" s="59">
        <v>38</v>
      </c>
      <c r="BOC165" s="59">
        <v>1</v>
      </c>
      <c r="BOD165" s="59">
        <v>30.1</v>
      </c>
      <c r="BPG165" s="59">
        <v>1</v>
      </c>
      <c r="BPH165" s="59">
        <v>1</v>
      </c>
      <c r="BWO165" s="59">
        <v>1</v>
      </c>
      <c r="BYJ165" s="65"/>
      <c r="BYK165" s="59">
        <v>0</v>
      </c>
      <c r="BYO165" s="59">
        <v>1</v>
      </c>
      <c r="BYS165" s="59">
        <v>2</v>
      </c>
      <c r="BYT165" s="59">
        <v>2</v>
      </c>
      <c r="BYU165" s="59">
        <v>1</v>
      </c>
      <c r="BYV165" s="59">
        <v>0</v>
      </c>
      <c r="BYY165" s="59">
        <v>0</v>
      </c>
      <c r="BZL165" s="59">
        <v>0</v>
      </c>
      <c r="FKR165" s="59">
        <v>1</v>
      </c>
      <c r="FKT165" s="69">
        <v>999</v>
      </c>
      <c r="FKU165" s="59">
        <v>2</v>
      </c>
      <c r="FKV165" s="59">
        <v>0</v>
      </c>
      <c r="FKW165" s="59">
        <v>999</v>
      </c>
      <c r="GXZ165" s="59">
        <v>1</v>
      </c>
      <c r="GYA165" s="59">
        <v>1</v>
      </c>
      <c r="GZE165" s="59">
        <v>1</v>
      </c>
      <c r="HBW165" s="59">
        <v>1</v>
      </c>
      <c r="HDD165" s="59">
        <v>1</v>
      </c>
      <c r="HDJ165" s="59">
        <v>1</v>
      </c>
    </row>
    <row r="166" spans="1:1018 1025:2040 2292:2989 3449:3848 4347:4835 5334:5522" s="59" customFormat="1" x14ac:dyDescent="0.25">
      <c r="A166" s="59">
        <v>5004654</v>
      </c>
      <c r="B166" s="60" t="s">
        <v>4194</v>
      </c>
      <c r="M166" s="59">
        <v>186</v>
      </c>
      <c r="AG166" s="59">
        <v>6.6</v>
      </c>
      <c r="BF166" s="59">
        <v>81</v>
      </c>
      <c r="BG166" s="59">
        <v>78</v>
      </c>
      <c r="BH166" s="59">
        <v>82</v>
      </c>
      <c r="BK166" s="59">
        <v>91</v>
      </c>
      <c r="CP166" s="59">
        <v>1.1299999999999999</v>
      </c>
      <c r="CQ166" s="59">
        <v>1.1499999999999999</v>
      </c>
      <c r="CR166" s="59">
        <v>1.1200000000000001</v>
      </c>
      <c r="CU166" s="59">
        <v>1.05</v>
      </c>
      <c r="HR166" s="59">
        <v>2420</v>
      </c>
      <c r="HT166" s="59">
        <v>2310</v>
      </c>
      <c r="HU166" s="59">
        <v>3110</v>
      </c>
      <c r="HV166" s="59">
        <v>3780</v>
      </c>
      <c r="HW166" s="59">
        <v>4290</v>
      </c>
      <c r="HY166" s="59">
        <v>5040</v>
      </c>
      <c r="IA166" s="59">
        <v>4070</v>
      </c>
      <c r="IE166" s="59">
        <v>4030</v>
      </c>
      <c r="JR166" s="59">
        <v>2465</v>
      </c>
      <c r="JS166" s="59">
        <v>2456</v>
      </c>
      <c r="JT166" s="59">
        <v>1673</v>
      </c>
      <c r="JU166" s="59">
        <v>1836</v>
      </c>
      <c r="JV166" s="59">
        <v>2072</v>
      </c>
      <c r="JW166" s="59">
        <v>1527</v>
      </c>
      <c r="JY166" s="59">
        <v>493</v>
      </c>
      <c r="KA166" s="59">
        <v>177</v>
      </c>
      <c r="KE166" s="59">
        <v>65</v>
      </c>
      <c r="KG166" s="59">
        <v>52</v>
      </c>
      <c r="NG166" s="59">
        <v>2002</v>
      </c>
      <c r="NH166" s="59">
        <v>2444</v>
      </c>
      <c r="NI166" s="59">
        <v>2265</v>
      </c>
      <c r="NJ166" s="59">
        <v>3468</v>
      </c>
      <c r="NK166" s="59">
        <v>2847</v>
      </c>
      <c r="NL166" s="59">
        <v>2301</v>
      </c>
      <c r="NN166" s="59">
        <v>1462</v>
      </c>
      <c r="NP166" s="59">
        <v>764</v>
      </c>
      <c r="NT166" s="59">
        <v>294</v>
      </c>
      <c r="NV166" s="59">
        <v>181</v>
      </c>
      <c r="QU166" s="59">
        <v>317</v>
      </c>
      <c r="QV166" s="59">
        <v>441</v>
      </c>
      <c r="QW166" s="59">
        <v>411</v>
      </c>
      <c r="QX166" s="59">
        <v>439</v>
      </c>
      <c r="QY166" s="59">
        <v>529</v>
      </c>
      <c r="QZ166" s="59">
        <v>547</v>
      </c>
      <c r="RB166" s="59">
        <v>672</v>
      </c>
      <c r="RD166" s="59">
        <v>634</v>
      </c>
      <c r="RH166" s="59">
        <v>607</v>
      </c>
      <c r="RJ166" s="59">
        <v>546</v>
      </c>
      <c r="XM166" s="59">
        <v>22.8</v>
      </c>
      <c r="YN166" s="59">
        <v>18.8</v>
      </c>
      <c r="ZT166" s="59">
        <v>11.6988</v>
      </c>
      <c r="ZV166" s="63">
        <v>10.200200000000001</v>
      </c>
      <c r="ZW166" s="59">
        <v>9.2655999999999992</v>
      </c>
      <c r="ZX166" s="59">
        <v>12.101599999999999</v>
      </c>
      <c r="ZY166" s="59">
        <v>11.2959</v>
      </c>
      <c r="AAA166" s="59">
        <v>11.6988</v>
      </c>
      <c r="AAC166" s="59">
        <v>11.3926</v>
      </c>
      <c r="AAG166" s="59">
        <v>11.5054</v>
      </c>
      <c r="ABM166" s="59">
        <v>8.5300000000000001E-2</v>
      </c>
      <c r="ABO166" s="59">
        <v>0.26490000000000002</v>
      </c>
      <c r="ABP166" s="59">
        <v>0.33090000000000003</v>
      </c>
      <c r="ABQ166" s="59">
        <v>0.44019999999999998</v>
      </c>
      <c r="ABR166" s="59">
        <v>0.47570000000000001</v>
      </c>
      <c r="ABV166" s="59">
        <v>0.38919999999999999</v>
      </c>
      <c r="ABZ166" s="59">
        <v>0.24379999999999999</v>
      </c>
      <c r="ACB166" s="59">
        <v>0.1988</v>
      </c>
      <c r="AEX166" s="59">
        <v>5.5</v>
      </c>
      <c r="AEZ166" s="59">
        <v>6.4</v>
      </c>
      <c r="AGH166" s="59">
        <v>181</v>
      </c>
      <c r="AGI166" s="59">
        <v>165</v>
      </c>
      <c r="AGJ166" s="59">
        <v>191</v>
      </c>
      <c r="AGK166" s="59">
        <v>258</v>
      </c>
      <c r="AGL166" s="59">
        <v>248</v>
      </c>
      <c r="AGN166" s="59">
        <v>279</v>
      </c>
      <c r="AGP166" s="59">
        <v>239</v>
      </c>
      <c r="AGT166" s="59">
        <v>227</v>
      </c>
      <c r="AGV166" s="59">
        <v>212</v>
      </c>
      <c r="AJU166" s="59">
        <v>0.61080000000000001</v>
      </c>
      <c r="ALX166" s="59">
        <v>220</v>
      </c>
      <c r="AMD166" s="59">
        <v>215</v>
      </c>
      <c r="AMK166" s="59">
        <v>188</v>
      </c>
      <c r="ANH166" s="59">
        <v>17.8</v>
      </c>
      <c r="ANM166" s="59">
        <v>14.5</v>
      </c>
      <c r="ANO166" s="59">
        <v>11.4</v>
      </c>
      <c r="ANU166" s="59">
        <v>8.5</v>
      </c>
      <c r="AOU166" s="59">
        <v>3.6684999999999999</v>
      </c>
      <c r="AOZ166" s="59">
        <v>34.234200000000001</v>
      </c>
      <c r="APV166" s="59">
        <v>3.2372000000000001</v>
      </c>
      <c r="AQT166" s="59">
        <v>4050000</v>
      </c>
      <c r="AQV166" s="59">
        <v>3500000</v>
      </c>
      <c r="AQW166" s="59">
        <v>39500000000</v>
      </c>
      <c r="AQX166" s="59">
        <v>41100000000</v>
      </c>
      <c r="ARA166" s="59">
        <v>4000000</v>
      </c>
      <c r="ARC166" s="59">
        <v>39300000000</v>
      </c>
      <c r="ARG166" s="59">
        <v>39100000000</v>
      </c>
      <c r="ASE166" s="59">
        <v>138000</v>
      </c>
      <c r="ASG166" s="59">
        <v>137000</v>
      </c>
      <c r="ASH166" s="59">
        <v>141000</v>
      </c>
      <c r="ASI166" s="59">
        <v>218000</v>
      </c>
      <c r="ASJ166" s="59">
        <v>218000</v>
      </c>
      <c r="ASL166" s="59">
        <v>294000</v>
      </c>
      <c r="ASN166" s="59">
        <v>303000</v>
      </c>
      <c r="ASR166" s="59">
        <v>311000</v>
      </c>
      <c r="AUJ166" s="59">
        <v>5.9</v>
      </c>
      <c r="AVE166" s="59">
        <v>45.3</v>
      </c>
      <c r="AWA166" s="59">
        <v>1.2</v>
      </c>
      <c r="AWQ166" s="59">
        <v>28</v>
      </c>
      <c r="AWS166" s="59">
        <v>33</v>
      </c>
      <c r="AXT166" s="59">
        <v>7.4020000000000001</v>
      </c>
      <c r="AZT166" s="59">
        <v>37.700000000000003</v>
      </c>
      <c r="AZV166" s="59">
        <v>34.200000000000003</v>
      </c>
      <c r="AZW166" s="59">
        <v>36.700000000000003</v>
      </c>
      <c r="AZX166" s="59">
        <v>38.6</v>
      </c>
      <c r="AZY166" s="59">
        <v>35.9</v>
      </c>
      <c r="BAA166" s="59">
        <v>37.700000000000003</v>
      </c>
      <c r="BAC166" s="59">
        <v>36.700000000000003</v>
      </c>
      <c r="BAF166" s="59">
        <v>37.1</v>
      </c>
      <c r="BBL166" s="59">
        <v>92.8</v>
      </c>
      <c r="BBN166" s="59">
        <v>93.1</v>
      </c>
      <c r="BBO166" s="59">
        <v>93</v>
      </c>
      <c r="BBP166" s="59">
        <v>93.9</v>
      </c>
      <c r="BBR166" s="59">
        <v>94.4</v>
      </c>
      <c r="BBT166" s="59">
        <v>93.4</v>
      </c>
      <c r="BBV166" s="59">
        <v>94.8</v>
      </c>
      <c r="BCR166" s="59">
        <v>28.844100000000001</v>
      </c>
      <c r="BCT166" s="59">
        <v>27.716100000000001</v>
      </c>
      <c r="BCU166" s="59">
        <v>27.716100000000001</v>
      </c>
      <c r="BCV166" s="59">
        <v>29.488600000000002</v>
      </c>
      <c r="BCX166" s="59">
        <v>29.327500000000001</v>
      </c>
      <c r="BCZ166" s="59">
        <v>29.1663</v>
      </c>
      <c r="BDB166" s="59">
        <v>29.327500000000001</v>
      </c>
      <c r="BDU166" s="59">
        <v>30.9389</v>
      </c>
      <c r="BDW166" s="59">
        <v>29.8109</v>
      </c>
      <c r="BDX166" s="59">
        <v>29.8109</v>
      </c>
      <c r="BDY166" s="59">
        <v>31.4223</v>
      </c>
      <c r="BEA166" s="59">
        <v>30.9389</v>
      </c>
      <c r="BEC166" s="59">
        <v>31.1</v>
      </c>
      <c r="BEE166" s="59">
        <v>30.9389</v>
      </c>
      <c r="BFY166" s="59">
        <v>141</v>
      </c>
      <c r="BGE166" s="59">
        <v>143</v>
      </c>
      <c r="BGG166" s="59">
        <v>143</v>
      </c>
      <c r="BGN166" s="59">
        <v>143</v>
      </c>
      <c r="BHF166" s="59">
        <v>4.1399999999999997</v>
      </c>
      <c r="BHK166" s="59">
        <v>4.43</v>
      </c>
      <c r="BHM166" s="59">
        <v>4.68</v>
      </c>
      <c r="BHS166" s="59">
        <v>5.42</v>
      </c>
      <c r="BII166" s="59">
        <v>2.21</v>
      </c>
      <c r="BIN166" s="59">
        <v>2.25</v>
      </c>
      <c r="BIP166" s="59">
        <v>2.2799999999999998</v>
      </c>
      <c r="BIS166" s="59">
        <v>2.35</v>
      </c>
      <c r="BJQ166" s="59">
        <v>45.792900000000003</v>
      </c>
      <c r="BKC166" s="64">
        <v>1999</v>
      </c>
      <c r="BKV166" s="59">
        <v>7.4</v>
      </c>
      <c r="BLF166" s="59">
        <v>100.8896</v>
      </c>
      <c r="BLH166" s="59">
        <v>136.92160000000001</v>
      </c>
      <c r="BLI166" s="59">
        <v>99.087999999999994</v>
      </c>
      <c r="BLJ166" s="59">
        <v>138.72319999999999</v>
      </c>
      <c r="BLK166" s="59">
        <v>100.8896</v>
      </c>
      <c r="BLM166" s="59">
        <v>153.136</v>
      </c>
      <c r="BLN166" s="59">
        <v>180.16</v>
      </c>
      <c r="BLO166" s="59">
        <v>167.5488</v>
      </c>
      <c r="BLP166" s="59">
        <v>165.74719999999999</v>
      </c>
      <c r="BLQ166" s="59">
        <v>111.51900000000001</v>
      </c>
      <c r="BLR166" s="59">
        <v>129.71520000000001</v>
      </c>
      <c r="BLS166" s="59">
        <v>104.4928</v>
      </c>
      <c r="BLT166" s="59">
        <v>122.50879999999999</v>
      </c>
      <c r="BLU166" s="59">
        <v>113.5008</v>
      </c>
      <c r="BOA166" s="59">
        <v>64</v>
      </c>
      <c r="BOC166" s="59">
        <v>1</v>
      </c>
      <c r="BOP166" s="59">
        <v>1</v>
      </c>
      <c r="BQB166" s="59">
        <v>1</v>
      </c>
      <c r="BSG166" s="59">
        <v>1</v>
      </c>
      <c r="BSL166" s="59">
        <v>1</v>
      </c>
      <c r="BUX166" s="59">
        <v>1</v>
      </c>
      <c r="BUY166" s="59">
        <v>1</v>
      </c>
      <c r="BXD166" s="59">
        <v>1</v>
      </c>
      <c r="BYH166" s="59">
        <v>1</v>
      </c>
      <c r="BYJ166" s="65"/>
      <c r="BYK166" s="59">
        <v>0</v>
      </c>
      <c r="BYP166" s="59">
        <v>1</v>
      </c>
      <c r="BYS166" s="69">
        <v>999</v>
      </c>
      <c r="BYU166" s="59">
        <v>0</v>
      </c>
      <c r="BYV166" s="59">
        <v>999</v>
      </c>
      <c r="BYY166" s="59">
        <v>0</v>
      </c>
      <c r="BZL166" s="59">
        <v>0</v>
      </c>
      <c r="DGL166" s="59">
        <v>1</v>
      </c>
      <c r="DJO166" s="59">
        <v>1</v>
      </c>
      <c r="DJU166" s="59">
        <v>10</v>
      </c>
      <c r="DJY166" s="59">
        <v>1</v>
      </c>
      <c r="EBQ166" s="59">
        <v>10</v>
      </c>
      <c r="EBU166" s="59">
        <v>1</v>
      </c>
      <c r="HCA166" s="59">
        <v>1</v>
      </c>
    </row>
    <row r="167" spans="1:1018 1025:2040 2292:2989 3449:3848 4347:4835 5334:5522" s="59" customFormat="1" x14ac:dyDescent="0.25">
      <c r="A167" s="85">
        <v>5006761</v>
      </c>
      <c r="B167" s="60" t="s">
        <v>4194</v>
      </c>
      <c r="S167" s="65"/>
      <c r="T167" s="65"/>
      <c r="U167" s="65"/>
      <c r="V167" s="65"/>
      <c r="BYJ167" s="65"/>
      <c r="BYK167" s="59">
        <v>0</v>
      </c>
      <c r="BYY167" s="59">
        <v>0</v>
      </c>
      <c r="BZL167" s="59">
        <v>0</v>
      </c>
    </row>
    <row r="168" spans="1:1018 1025:2040 2292:2989 3449:3848 4347:4835 5334:5522" s="59" customFormat="1" x14ac:dyDescent="0.25">
      <c r="A168" s="59">
        <v>5008807</v>
      </c>
      <c r="B168" s="60" t="s">
        <v>4194</v>
      </c>
      <c r="BYJ168" s="65"/>
      <c r="BYK168" s="59">
        <v>0</v>
      </c>
      <c r="BYY168" s="59">
        <v>0</v>
      </c>
      <c r="BZL168" s="59">
        <v>0</v>
      </c>
    </row>
    <row r="169" spans="1:1018 1025:2040 2292:2989 3449:3848 4347:4835 5334:5522" s="59" customFormat="1" x14ac:dyDescent="0.25">
      <c r="A169" s="59">
        <v>5009400</v>
      </c>
      <c r="B169" s="60" t="s">
        <v>4194</v>
      </c>
      <c r="BYJ169" s="65"/>
      <c r="BYK169" s="59">
        <v>0</v>
      </c>
      <c r="BYY169" s="59">
        <v>0</v>
      </c>
      <c r="BZL169" s="59">
        <v>0</v>
      </c>
    </row>
    <row r="170" spans="1:1018 1025:2040 2292:2989 3449:3848 4347:4835 5334:5522" s="59" customFormat="1" x14ac:dyDescent="0.25">
      <c r="A170" s="59">
        <v>5013211</v>
      </c>
      <c r="B170" s="60" t="s">
        <v>4194</v>
      </c>
      <c r="BYJ170" s="65"/>
      <c r="BYK170" s="59">
        <v>0</v>
      </c>
      <c r="BYY170" s="59">
        <v>0</v>
      </c>
      <c r="BZL170" s="59">
        <v>0</v>
      </c>
    </row>
    <row r="171" spans="1:1018 1025:2040 2292:2989 3449:3848 4347:4835 5334:5522" s="59" customFormat="1" x14ac:dyDescent="0.25">
      <c r="A171" s="59">
        <v>5013494</v>
      </c>
      <c r="B171" s="60" t="s">
        <v>4194</v>
      </c>
      <c r="BYJ171" s="65"/>
      <c r="BYK171" s="59">
        <v>0</v>
      </c>
      <c r="BYY171" s="59">
        <v>0</v>
      </c>
      <c r="BZL171" s="59">
        <v>0</v>
      </c>
    </row>
    <row r="172" spans="1:1018 1025:2040 2292:2989 3449:3848 4347:4835 5334:5522" s="59" customFormat="1" x14ac:dyDescent="0.25">
      <c r="A172" s="65">
        <v>5016255</v>
      </c>
      <c r="B172" s="60" t="s">
        <v>4194</v>
      </c>
      <c r="BYJ172" s="65"/>
      <c r="BYK172" s="59">
        <v>0</v>
      </c>
      <c r="BYY172" s="59">
        <v>0</v>
      </c>
      <c r="BZL172" s="59">
        <v>0</v>
      </c>
    </row>
    <row r="173" spans="1:1018 1025:2040 2292:2989 3449:3848 4347:4835 5334:5522" s="59" customFormat="1" x14ac:dyDescent="0.25">
      <c r="A173" s="59">
        <v>6005884</v>
      </c>
      <c r="B173" s="60" t="s">
        <v>4194</v>
      </c>
      <c r="BYJ173" s="65"/>
      <c r="BYK173" s="59">
        <v>0</v>
      </c>
      <c r="BYY173" s="59">
        <v>0</v>
      </c>
      <c r="BZL173" s="59">
        <v>0</v>
      </c>
    </row>
    <row r="174" spans="1:1018 1025:2040 2292:2989 3449:3848 4347:4835 5334:5522" s="59" customFormat="1" x14ac:dyDescent="0.25">
      <c r="A174" s="59">
        <v>6012448</v>
      </c>
      <c r="B174" s="60" t="s">
        <v>4194</v>
      </c>
      <c r="BYJ174" s="65"/>
      <c r="BYK174" s="59">
        <v>0</v>
      </c>
      <c r="BYY174" s="59">
        <v>0</v>
      </c>
      <c r="BZL174" s="59">
        <v>0</v>
      </c>
    </row>
    <row r="175" spans="1:1018 1025:2040 2292:2989 3449:3848 4347:4835 5334:5522" s="59" customFormat="1" x14ac:dyDescent="0.25">
      <c r="A175" s="59">
        <v>7000457</v>
      </c>
      <c r="B175" s="60" t="s">
        <v>4194</v>
      </c>
      <c r="BYJ175" s="65"/>
      <c r="BYK175" s="59">
        <v>0</v>
      </c>
      <c r="BYY175" s="59">
        <v>0</v>
      </c>
      <c r="BZL175" s="59">
        <v>0</v>
      </c>
    </row>
    <row r="176" spans="1:1018 1025:2040 2292:2989 3449:3848 4347:4835 5334:5522" s="59" customFormat="1" x14ac:dyDescent="0.25">
      <c r="A176" s="65">
        <v>7072644</v>
      </c>
      <c r="B176" s="60" t="s">
        <v>4194</v>
      </c>
      <c r="BYJ176" s="65"/>
      <c r="BYK176" s="59">
        <v>0</v>
      </c>
      <c r="BYY176" s="59">
        <v>0</v>
      </c>
      <c r="BZL176" s="59">
        <v>0</v>
      </c>
    </row>
    <row r="177" spans="1:2 2012:2040" s="59" customFormat="1" x14ac:dyDescent="0.25">
      <c r="A177" s="59">
        <v>7076472</v>
      </c>
      <c r="B177" s="60" t="s">
        <v>4194</v>
      </c>
      <c r="BYJ177" s="65"/>
      <c r="BYK177" s="59">
        <v>0</v>
      </c>
      <c r="BYY177" s="59">
        <v>0</v>
      </c>
      <c r="BZL177" s="59">
        <v>0</v>
      </c>
    </row>
    <row r="178" spans="1:2 2012:2040" s="59" customFormat="1" x14ac:dyDescent="0.25">
      <c r="A178" s="59">
        <v>7126387</v>
      </c>
      <c r="B178" s="60" t="s">
        <v>4194</v>
      </c>
      <c r="BYJ178" s="65"/>
      <c r="BYK178" s="59">
        <v>0</v>
      </c>
      <c r="BYY178" s="59">
        <v>0</v>
      </c>
      <c r="BZL178" s="59">
        <v>0</v>
      </c>
    </row>
    <row r="179" spans="1:2 2012:2040" s="59" customFormat="1" x14ac:dyDescent="0.25">
      <c r="A179" s="59">
        <v>10185935</v>
      </c>
      <c r="B179" s="60" t="s">
        <v>4194</v>
      </c>
      <c r="BYJ179" s="65"/>
      <c r="BYK179" s="59">
        <v>0</v>
      </c>
      <c r="BYY179" s="59">
        <v>0</v>
      </c>
      <c r="BZL179" s="59">
        <v>0</v>
      </c>
    </row>
    <row r="180" spans="1:2 2012:2040" s="59" customFormat="1" x14ac:dyDescent="0.25">
      <c r="A180" s="59">
        <v>11061215</v>
      </c>
      <c r="B180" s="60" t="s">
        <v>4194</v>
      </c>
      <c r="BYJ180" s="65"/>
      <c r="BYK180" s="59">
        <v>0</v>
      </c>
      <c r="BYY180" s="59">
        <v>0</v>
      </c>
      <c r="BZL180" s="59">
        <v>0</v>
      </c>
    </row>
    <row r="181" spans="1:2 2012:2040" s="59" customFormat="1" x14ac:dyDescent="0.25">
      <c r="A181" s="59">
        <v>93008468</v>
      </c>
      <c r="B181" s="60" t="s">
        <v>4194</v>
      </c>
      <c r="BYJ181" s="65"/>
      <c r="BYK181" s="59">
        <v>0</v>
      </c>
      <c r="BYY181" s="59">
        <v>0</v>
      </c>
      <c r="BZL181" s="59">
        <v>0</v>
      </c>
    </row>
    <row r="182" spans="1:2 2012:2040" s="59" customFormat="1" x14ac:dyDescent="0.25">
      <c r="A182" s="59">
        <v>93016155</v>
      </c>
      <c r="B182" s="60" t="s">
        <v>4194</v>
      </c>
      <c r="BYJ182" s="65"/>
      <c r="BYK182" s="59">
        <v>0</v>
      </c>
      <c r="BYY182" s="59">
        <v>0</v>
      </c>
      <c r="BZL182" s="59">
        <v>0</v>
      </c>
    </row>
    <row r="183" spans="1:2 2012:2040" s="59" customFormat="1" x14ac:dyDescent="0.25">
      <c r="A183" s="59">
        <v>93016241</v>
      </c>
      <c r="B183" s="60" t="s">
        <v>4194</v>
      </c>
      <c r="BYJ183" s="65"/>
      <c r="BYK183" s="59">
        <v>0</v>
      </c>
      <c r="BYY183" s="59">
        <v>0</v>
      </c>
      <c r="BZL183" s="59">
        <v>0</v>
      </c>
    </row>
    <row r="184" spans="1:2 2012:2040" s="59" customFormat="1" x14ac:dyDescent="0.25">
      <c r="A184" s="59">
        <v>93018845</v>
      </c>
      <c r="B184" s="60" t="s">
        <v>4194</v>
      </c>
      <c r="BYJ184" s="65"/>
      <c r="BYK184" s="59">
        <v>0</v>
      </c>
      <c r="BYY184" s="59">
        <v>0</v>
      </c>
      <c r="BZL184" s="59">
        <v>0</v>
      </c>
    </row>
    <row r="185" spans="1:2 2012:2040" s="59" customFormat="1" x14ac:dyDescent="0.25">
      <c r="A185" s="59">
        <v>94003884</v>
      </c>
      <c r="B185" s="60" t="s">
        <v>4194</v>
      </c>
      <c r="BYJ185" s="65"/>
      <c r="BYK185" s="59">
        <v>0</v>
      </c>
      <c r="BYY185" s="59">
        <v>0</v>
      </c>
      <c r="BZL185" s="59">
        <v>0</v>
      </c>
    </row>
    <row r="186" spans="1:2 2012:2040" s="59" customFormat="1" x14ac:dyDescent="0.25">
      <c r="A186" s="59">
        <v>94003919</v>
      </c>
      <c r="B186" s="60" t="s">
        <v>4194</v>
      </c>
      <c r="BYJ186" s="65"/>
      <c r="BYK186" s="59">
        <v>0</v>
      </c>
      <c r="BYY186" s="59">
        <v>0</v>
      </c>
      <c r="BZL186" s="59">
        <v>0</v>
      </c>
    </row>
    <row r="187" spans="1:2 2012:2040" s="59" customFormat="1" x14ac:dyDescent="0.25">
      <c r="A187" s="59">
        <v>94006009</v>
      </c>
      <c r="B187" s="60" t="s">
        <v>4194</v>
      </c>
      <c r="BYJ187" s="65"/>
      <c r="BYK187" s="59">
        <v>0</v>
      </c>
      <c r="BYY187" s="59">
        <v>0</v>
      </c>
      <c r="BZL187" s="59">
        <v>0</v>
      </c>
    </row>
    <row r="188" spans="1:2 2012:2040" s="59" customFormat="1" x14ac:dyDescent="0.25">
      <c r="A188" s="59">
        <v>94014126</v>
      </c>
      <c r="B188" s="60" t="s">
        <v>4194</v>
      </c>
      <c r="BYJ188" s="65"/>
      <c r="BYK188" s="59">
        <v>0</v>
      </c>
      <c r="BYY188" s="59">
        <v>0</v>
      </c>
      <c r="BZL188" s="59">
        <v>0</v>
      </c>
    </row>
    <row r="189" spans="1:2 2012:2040" s="59" customFormat="1" x14ac:dyDescent="0.25">
      <c r="A189" s="59">
        <v>94900361</v>
      </c>
      <c r="B189" s="60" t="s">
        <v>4194</v>
      </c>
      <c r="BYJ189" s="65"/>
      <c r="BYK189" s="59">
        <v>0</v>
      </c>
      <c r="BYY189" s="59">
        <v>0</v>
      </c>
      <c r="BZL189" s="59">
        <v>0</v>
      </c>
    </row>
    <row r="190" spans="1:2 2012:2040" s="59" customFormat="1" x14ac:dyDescent="0.25">
      <c r="A190" s="59">
        <v>94901890</v>
      </c>
      <c r="B190" s="60" t="s">
        <v>4194</v>
      </c>
      <c r="BYJ190" s="65"/>
      <c r="BYK190" s="59">
        <v>0</v>
      </c>
      <c r="BYY190" s="59">
        <v>0</v>
      </c>
      <c r="BZL190" s="59">
        <v>0</v>
      </c>
    </row>
    <row r="191" spans="1:2 2012:2040" s="59" customFormat="1" x14ac:dyDescent="0.25">
      <c r="A191" s="59">
        <v>95001046</v>
      </c>
      <c r="B191" s="60" t="s">
        <v>4194</v>
      </c>
      <c r="BYJ191" s="65"/>
      <c r="BYK191" s="59">
        <v>0</v>
      </c>
      <c r="BYY191" s="59">
        <v>0</v>
      </c>
      <c r="BZL191" s="59">
        <v>0</v>
      </c>
    </row>
    <row r="192" spans="1:2 2012:2040" s="59" customFormat="1" x14ac:dyDescent="0.25">
      <c r="A192" s="59">
        <v>95003255</v>
      </c>
      <c r="B192" s="60" t="s">
        <v>4194</v>
      </c>
      <c r="BYJ192" s="65"/>
      <c r="BYK192" s="59">
        <v>0</v>
      </c>
      <c r="BYY192" s="59">
        <v>0</v>
      </c>
      <c r="BZL192" s="59">
        <v>0</v>
      </c>
    </row>
    <row r="193" spans="1:953 1086:2040 3290:3298 4438:4662 5364:5513" s="59" customFormat="1" x14ac:dyDescent="0.25">
      <c r="A193" s="59">
        <v>95003777</v>
      </c>
      <c r="B193" s="60" t="s">
        <v>4194</v>
      </c>
      <c r="BYJ193" s="65"/>
      <c r="BYK193" s="59">
        <v>0</v>
      </c>
      <c r="BYY193" s="59">
        <v>0</v>
      </c>
      <c r="BZL193" s="59">
        <v>0</v>
      </c>
    </row>
    <row r="194" spans="1:953 1086:2040 3290:3298 4438:4662 5364:5513" s="59" customFormat="1" x14ac:dyDescent="0.25">
      <c r="A194" s="59">
        <v>95007023</v>
      </c>
      <c r="B194" s="60" t="s">
        <v>4194</v>
      </c>
      <c r="BYJ194" s="65"/>
      <c r="BYK194" s="59">
        <v>0</v>
      </c>
      <c r="BYY194" s="59">
        <v>0</v>
      </c>
      <c r="BZL194" s="59">
        <v>0</v>
      </c>
    </row>
    <row r="195" spans="1:953 1086:2040 3290:3298 4438:4662 5364:5513" s="59" customFormat="1" x14ac:dyDescent="0.25">
      <c r="A195" s="59">
        <v>95900316</v>
      </c>
      <c r="B195" s="60" t="s">
        <v>4194</v>
      </c>
      <c r="BYJ195" s="65"/>
      <c r="BYK195" s="59">
        <v>0</v>
      </c>
      <c r="BYY195" s="59">
        <v>0</v>
      </c>
      <c r="BZL195" s="59">
        <v>0</v>
      </c>
    </row>
    <row r="196" spans="1:953 1086:2040 3290:3298 4438:4662 5364:5513" s="59" customFormat="1" x14ac:dyDescent="0.25">
      <c r="A196" s="59">
        <v>96004031</v>
      </c>
      <c r="B196" s="60" t="s">
        <v>4194</v>
      </c>
      <c r="BYJ196" s="65"/>
      <c r="BYK196" s="59">
        <v>0</v>
      </c>
      <c r="BYY196" s="59">
        <v>0</v>
      </c>
      <c r="BZL196" s="59">
        <v>0</v>
      </c>
    </row>
    <row r="197" spans="1:953 1086:2040 3290:3298 4438:4662 5364:5513" s="59" customFormat="1" x14ac:dyDescent="0.25">
      <c r="A197" s="59">
        <v>96900455</v>
      </c>
      <c r="B197" s="60" t="s">
        <v>4194</v>
      </c>
      <c r="BYJ197" s="65"/>
      <c r="BYK197" s="59">
        <v>0</v>
      </c>
      <c r="BYY197" s="59">
        <v>0</v>
      </c>
      <c r="BZL197" s="59">
        <v>0</v>
      </c>
    </row>
    <row r="198" spans="1:953 1086:2040 3290:3298 4438:4662 5364:5513" s="59" customFormat="1" x14ac:dyDescent="0.25">
      <c r="A198" s="59">
        <v>97004458</v>
      </c>
      <c r="B198" s="60" t="s">
        <v>4194</v>
      </c>
      <c r="BYJ198" s="65"/>
      <c r="BYK198" s="59">
        <v>0</v>
      </c>
      <c r="BYY198" s="59">
        <v>0</v>
      </c>
      <c r="BZL198" s="59">
        <v>0</v>
      </c>
    </row>
    <row r="199" spans="1:953 1086:2040 3290:3298 4438:4662 5364:5513" s="59" customFormat="1" x14ac:dyDescent="0.25">
      <c r="A199" s="59">
        <v>97009212</v>
      </c>
      <c r="B199" s="60" t="s">
        <v>4194</v>
      </c>
      <c r="BYJ199" s="65"/>
      <c r="BYK199" s="59">
        <v>0</v>
      </c>
      <c r="BYY199" s="59">
        <v>0</v>
      </c>
      <c r="BZL199" s="59">
        <v>0</v>
      </c>
    </row>
    <row r="200" spans="1:953 1086:2040 3290:3298 4438:4662 5364:5513" s="59" customFormat="1" x14ac:dyDescent="0.25">
      <c r="A200" s="59">
        <v>98006038</v>
      </c>
      <c r="B200" s="60" t="s">
        <v>4194</v>
      </c>
      <c r="BYJ200" s="65"/>
      <c r="BYK200" s="59">
        <v>0</v>
      </c>
      <c r="BYY200" s="59">
        <v>0</v>
      </c>
      <c r="BZL200" s="59">
        <v>0</v>
      </c>
    </row>
    <row r="201" spans="1:953 1086:2040 3290:3298 4438:4662 5364:5513" s="59" customFormat="1" x14ac:dyDescent="0.25">
      <c r="A201" s="59">
        <v>98009041</v>
      </c>
      <c r="B201" s="60" t="s">
        <v>4194</v>
      </c>
      <c r="BYJ201" s="65"/>
      <c r="BYK201" s="59">
        <v>0</v>
      </c>
      <c r="BYY201" s="59">
        <v>0</v>
      </c>
      <c r="BZL201" s="59">
        <v>0</v>
      </c>
    </row>
    <row r="202" spans="1:953 1086:2040 3290:3298 4438:4662 5364:5513" s="59" customFormat="1" x14ac:dyDescent="0.25">
      <c r="A202" s="59">
        <v>99000714</v>
      </c>
      <c r="B202" s="60" t="s">
        <v>4194</v>
      </c>
      <c r="BYJ202" s="65"/>
      <c r="BYK202" s="59">
        <v>0</v>
      </c>
      <c r="BYY202" s="59">
        <v>0</v>
      </c>
      <c r="BZL202" s="59">
        <v>0</v>
      </c>
    </row>
    <row r="203" spans="1:953 1086:2040 3290:3298 4438:4662 5364:5513" s="59" customFormat="1" x14ac:dyDescent="0.25">
      <c r="A203" s="59">
        <v>99002655</v>
      </c>
      <c r="B203" s="60" t="s">
        <v>4194</v>
      </c>
      <c r="BYJ203" s="65"/>
      <c r="BYK203" s="59">
        <v>0</v>
      </c>
      <c r="BYY203" s="59">
        <v>0</v>
      </c>
      <c r="BZL203" s="59">
        <v>0</v>
      </c>
    </row>
    <row r="204" spans="1:953 1086:2040 3290:3298 4438:4662 5364:5513" s="59" customFormat="1" x14ac:dyDescent="0.25">
      <c r="A204" s="59">
        <v>99007116</v>
      </c>
      <c r="B204" s="60" t="s">
        <v>4194</v>
      </c>
      <c r="BYJ204" s="65"/>
      <c r="BYK204" s="59">
        <v>0</v>
      </c>
      <c r="BYY204" s="59">
        <v>0</v>
      </c>
      <c r="BZL204" s="59">
        <v>0</v>
      </c>
    </row>
    <row r="205" spans="1:953 1086:2040 3290:3298 4438:4662 5364:5513" s="59" customFormat="1" x14ac:dyDescent="0.25">
      <c r="A205" s="59">
        <v>99901293</v>
      </c>
      <c r="B205" s="60" t="s">
        <v>4194</v>
      </c>
      <c r="BYJ205" s="65"/>
      <c r="BYK205" s="59">
        <v>0</v>
      </c>
      <c r="BYY205" s="59">
        <v>0</v>
      </c>
      <c r="BZL205" s="59">
        <v>0</v>
      </c>
    </row>
    <row r="206" spans="1:953 1086:2040 3290:3298 4438:4662 5364:5513" s="59" customFormat="1" x14ac:dyDescent="0.25">
      <c r="A206" s="59">
        <v>99901604</v>
      </c>
      <c r="B206" s="60" t="s">
        <v>4194</v>
      </c>
      <c r="BYJ206" s="65"/>
      <c r="BYK206" s="59">
        <v>0</v>
      </c>
      <c r="BYY206" s="59">
        <v>0</v>
      </c>
      <c r="BZL206" s="59">
        <v>0</v>
      </c>
    </row>
    <row r="207" spans="1:953 1086:2040 3290:3298 4438:4662 5364:5513" s="59" customFormat="1" x14ac:dyDescent="0.25">
      <c r="B207" s="60"/>
      <c r="BYJ207" s="65"/>
      <c r="BYK207" s="59">
        <v>0</v>
      </c>
      <c r="BYY207" s="59">
        <v>0</v>
      </c>
      <c r="BZL207" s="59">
        <v>0</v>
      </c>
    </row>
    <row r="208" spans="1:953 1086:2040 3290:3298 4438:4662 5364:5513" s="59" customFormat="1" x14ac:dyDescent="0.25">
      <c r="A208" s="59">
        <v>4289</v>
      </c>
      <c r="B208" s="60" t="s">
        <v>4195</v>
      </c>
      <c r="M208" s="63">
        <v>18780</v>
      </c>
      <c r="N208" s="63">
        <v>67895</v>
      </c>
      <c r="AG208" s="59">
        <v>280</v>
      </c>
      <c r="BC208" s="59">
        <v>93</v>
      </c>
      <c r="BD208" s="59">
        <v>20</v>
      </c>
      <c r="BE208" s="59">
        <v>17</v>
      </c>
      <c r="CM208" s="59">
        <v>1.02</v>
      </c>
      <c r="CN208" s="59">
        <v>1.4</v>
      </c>
      <c r="CO208" s="59">
        <v>2.37</v>
      </c>
      <c r="CP208" s="59">
        <v>2.72</v>
      </c>
      <c r="HQ208" s="59">
        <v>27500</v>
      </c>
      <c r="HR208" s="76">
        <v>15000</v>
      </c>
      <c r="HS208" s="59">
        <v>23800</v>
      </c>
      <c r="JR208" s="59">
        <v>197</v>
      </c>
      <c r="JS208" s="59">
        <v>1015</v>
      </c>
      <c r="NG208" s="59">
        <v>72</v>
      </c>
      <c r="NH208" s="59">
        <v>1242</v>
      </c>
      <c r="AJP208" s="59">
        <v>2.7</v>
      </c>
      <c r="AJQ208" s="59">
        <v>5</v>
      </c>
      <c r="AOT208" s="59">
        <v>22</v>
      </c>
      <c r="AOU208" s="59">
        <v>73</v>
      </c>
      <c r="AOV208" s="59">
        <v>142</v>
      </c>
      <c r="BIH208" s="59">
        <v>2.1</v>
      </c>
      <c r="BII208" s="59">
        <v>1.9</v>
      </c>
      <c r="BIJ208" s="59">
        <v>1.6</v>
      </c>
      <c r="BKO208" s="59">
        <v>42.2</v>
      </c>
      <c r="BOA208" s="59">
        <v>17</v>
      </c>
      <c r="BOC208" s="59">
        <v>1</v>
      </c>
      <c r="BOD208" s="59">
        <v>20.2</v>
      </c>
      <c r="BOF208" s="59">
        <v>1</v>
      </c>
      <c r="BOG208" s="59">
        <v>274</v>
      </c>
      <c r="BYJ208" s="65"/>
      <c r="BYK208" s="59">
        <v>0</v>
      </c>
      <c r="BYY208" s="59">
        <v>0</v>
      </c>
      <c r="BYZ208" s="59">
        <v>8000</v>
      </c>
      <c r="BZA208" s="59">
        <v>1</v>
      </c>
      <c r="BZD208" s="59">
        <v>1</v>
      </c>
      <c r="BZF208" s="59">
        <v>1</v>
      </c>
      <c r="BZG208" s="59">
        <v>0</v>
      </c>
      <c r="BZH208" s="59">
        <v>0</v>
      </c>
      <c r="BZI208" s="59">
        <v>0</v>
      </c>
      <c r="BZL208" s="59">
        <v>0</v>
      </c>
      <c r="DVN208" s="59">
        <v>2.5</v>
      </c>
      <c r="DVP208" s="59">
        <v>1</v>
      </c>
      <c r="DVS208" s="59">
        <v>2</v>
      </c>
      <c r="DVT208" s="59">
        <v>0</v>
      </c>
      <c r="DVU208" s="59">
        <v>0</v>
      </c>
      <c r="DVV208" s="59">
        <v>1</v>
      </c>
      <c r="FNR208" s="59">
        <v>1725</v>
      </c>
      <c r="FNV208" s="59">
        <v>1</v>
      </c>
      <c r="FNW208" s="59">
        <v>1</v>
      </c>
      <c r="FNX208" s="59">
        <v>0</v>
      </c>
      <c r="FNY208" s="59">
        <v>0</v>
      </c>
      <c r="FNZ208" s="59">
        <v>0</v>
      </c>
      <c r="FOB208" s="59">
        <v>4500</v>
      </c>
      <c r="FOC208" s="59">
        <v>1</v>
      </c>
      <c r="FOF208" s="59">
        <v>1</v>
      </c>
      <c r="FOG208" s="59">
        <v>1</v>
      </c>
      <c r="FOH208" s="59">
        <v>0</v>
      </c>
      <c r="FOI208" s="59">
        <v>0</v>
      </c>
      <c r="FOJ208" s="59">
        <v>0</v>
      </c>
      <c r="FWD208" s="59">
        <v>1</v>
      </c>
      <c r="FWE208" s="59">
        <v>1</v>
      </c>
      <c r="FWF208" s="59">
        <v>0</v>
      </c>
      <c r="FWG208" s="59">
        <v>0</v>
      </c>
      <c r="FWH208" s="59">
        <v>0</v>
      </c>
      <c r="GXH208" s="59">
        <v>1</v>
      </c>
      <c r="GXJ208" s="59">
        <v>1</v>
      </c>
      <c r="GYE208" s="59">
        <v>1</v>
      </c>
      <c r="GYJ208" s="59">
        <v>1</v>
      </c>
      <c r="GZR208" s="59">
        <v>1</v>
      </c>
      <c r="HAG208" s="59">
        <v>1</v>
      </c>
      <c r="HAJ208" s="59">
        <v>1</v>
      </c>
      <c r="HAN208" s="59">
        <v>1</v>
      </c>
      <c r="HAR208" s="59">
        <v>1</v>
      </c>
      <c r="HBO208" s="59">
        <v>1</v>
      </c>
      <c r="HBW208" s="59">
        <v>1</v>
      </c>
      <c r="HDA208" s="59">
        <v>1</v>
      </c>
    </row>
    <row r="209" spans="1:1024 1046:2879 3279:3735 4225:4929 5282:5765" s="83" customFormat="1" x14ac:dyDescent="0.25">
      <c r="A209" s="83">
        <v>500245</v>
      </c>
      <c r="B209" s="83" t="s">
        <v>4195</v>
      </c>
      <c r="BC209" s="83">
        <v>121</v>
      </c>
      <c r="BF209" s="83">
        <v>99</v>
      </c>
      <c r="BL209" s="83">
        <v>109</v>
      </c>
      <c r="EJ209" s="83">
        <v>28</v>
      </c>
      <c r="HQ209" s="83">
        <v>13300</v>
      </c>
      <c r="HR209" s="83">
        <v>359000</v>
      </c>
      <c r="HT209" s="83">
        <v>10600</v>
      </c>
      <c r="HZ209" s="83">
        <v>8660</v>
      </c>
      <c r="JQ209" s="83">
        <v>184</v>
      </c>
      <c r="JR209" s="83">
        <v>298</v>
      </c>
      <c r="JS209" s="83">
        <v>296.8</v>
      </c>
      <c r="JT209" s="83">
        <v>265</v>
      </c>
      <c r="JV209" s="83">
        <v>116.3</v>
      </c>
      <c r="JZ209" s="83">
        <v>72.099999999999994</v>
      </c>
      <c r="NF209" s="83">
        <v>147</v>
      </c>
      <c r="NG209" s="83">
        <v>182</v>
      </c>
      <c r="NH209" s="83">
        <v>381.7</v>
      </c>
      <c r="NI209" s="83">
        <v>335.2</v>
      </c>
      <c r="NK209" s="83">
        <v>225.1</v>
      </c>
      <c r="NO209" s="83">
        <v>176.5</v>
      </c>
      <c r="QT209" s="83">
        <v>170</v>
      </c>
      <c r="QU209" s="83">
        <v>148</v>
      </c>
      <c r="QV209" s="83">
        <v>194.5</v>
      </c>
      <c r="QW209" s="83">
        <v>240.6</v>
      </c>
      <c r="QY209" s="83">
        <v>202.4</v>
      </c>
      <c r="RC209" s="83">
        <v>160.30000000000001</v>
      </c>
      <c r="TL209" s="83">
        <v>851</v>
      </c>
      <c r="TM209" s="83">
        <v>137</v>
      </c>
      <c r="TO209" s="83">
        <v>1123</v>
      </c>
      <c r="TQ209" s="83">
        <v>742</v>
      </c>
      <c r="ZS209" s="83">
        <v>12.7301</v>
      </c>
      <c r="ZV209" s="83">
        <v>12.0855</v>
      </c>
      <c r="AAB209" s="83">
        <v>13.858000000000001</v>
      </c>
      <c r="ABL209" s="83">
        <v>1.105</v>
      </c>
      <c r="ABM209" s="83">
        <v>0.88290000000000002</v>
      </c>
      <c r="ABO209" s="83">
        <v>0.9647</v>
      </c>
      <c r="ABQ209" s="83">
        <v>1.0815999999999999</v>
      </c>
      <c r="ABU209" s="83">
        <v>0.95299999999999996</v>
      </c>
      <c r="AGF209" s="83">
        <v>155</v>
      </c>
      <c r="AGI209" s="83">
        <v>178</v>
      </c>
      <c r="AGK209" s="83">
        <v>165.3</v>
      </c>
      <c r="AGO209" s="83">
        <v>143.19999999999999</v>
      </c>
      <c r="AJO209" s="83">
        <v>1.4682999999999999</v>
      </c>
      <c r="AJX209" s="83">
        <v>0.92869999999999997</v>
      </c>
      <c r="ALW209" s="83">
        <v>98</v>
      </c>
      <c r="ANI209" s="83">
        <v>216</v>
      </c>
      <c r="ANJ209" s="83">
        <v>129</v>
      </c>
      <c r="ANP209" s="83">
        <v>38.299999999999997</v>
      </c>
      <c r="AOW209" s="83">
        <v>68</v>
      </c>
      <c r="ASD209" s="83">
        <v>263000</v>
      </c>
      <c r="ASG209" s="83">
        <v>299000</v>
      </c>
      <c r="ASM209" s="83">
        <v>395000</v>
      </c>
      <c r="AZS209" s="83">
        <v>36</v>
      </c>
      <c r="AZV209" s="83">
        <v>33.799999999999997</v>
      </c>
      <c r="BAB209" s="83">
        <v>0.41</v>
      </c>
      <c r="BFY209" s="83">
        <v>122</v>
      </c>
      <c r="BGB209" s="83">
        <v>150</v>
      </c>
      <c r="BGH209" s="83">
        <v>150</v>
      </c>
      <c r="BIH209" s="83">
        <v>2.8</v>
      </c>
      <c r="BIK209" s="83">
        <v>212</v>
      </c>
      <c r="BIQ209" s="83">
        <v>2.31</v>
      </c>
      <c r="BLE209" s="83">
        <v>70.2624</v>
      </c>
      <c r="BOA209" s="83">
        <v>55</v>
      </c>
      <c r="BOB209" s="83">
        <v>1</v>
      </c>
      <c r="BOD209" s="83">
        <v>27.8</v>
      </c>
      <c r="BOI209" s="83">
        <v>1</v>
      </c>
      <c r="BYJ209" s="95"/>
      <c r="BYK209" s="83">
        <v>0</v>
      </c>
      <c r="BYY209" s="83">
        <v>1800</v>
      </c>
      <c r="BYZ209" s="83">
        <v>200</v>
      </c>
      <c r="BZA209" s="83">
        <v>3</v>
      </c>
      <c r="BZD209" s="83">
        <v>1</v>
      </c>
      <c r="BZF209" s="83">
        <v>3</v>
      </c>
      <c r="BZG209" s="83">
        <v>3</v>
      </c>
      <c r="BZH209" s="83">
        <v>1</v>
      </c>
      <c r="BZI209" s="83">
        <v>0</v>
      </c>
      <c r="BZL209" s="83">
        <v>0</v>
      </c>
      <c r="BZY209" s="83">
        <v>500</v>
      </c>
      <c r="BZZ209" s="83">
        <v>2</v>
      </c>
      <c r="CAC209" s="83">
        <v>1</v>
      </c>
      <c r="CAD209" s="83">
        <v>11</v>
      </c>
      <c r="CAE209" s="83">
        <v>10</v>
      </c>
      <c r="CAF209" s="83">
        <v>0</v>
      </c>
      <c r="CAG209" s="83">
        <v>0</v>
      </c>
      <c r="CMG209" s="83">
        <v>500</v>
      </c>
      <c r="CMH209" s="83">
        <v>3</v>
      </c>
      <c r="CMK209" s="83">
        <v>1</v>
      </c>
      <c r="CML209" s="83">
        <v>3</v>
      </c>
      <c r="CMM209" s="83">
        <v>3</v>
      </c>
      <c r="CMN209" s="83">
        <v>1</v>
      </c>
      <c r="CMO209" s="83">
        <v>0</v>
      </c>
      <c r="GYE209" s="83">
        <v>1</v>
      </c>
      <c r="GZW209" s="83">
        <v>1</v>
      </c>
      <c r="GZZ209" s="83">
        <v>1</v>
      </c>
      <c r="HCA209" s="83">
        <v>1</v>
      </c>
      <c r="HCD209" s="83">
        <v>1</v>
      </c>
      <c r="HMP209" s="83">
        <v>1</v>
      </c>
      <c r="HMS209" s="83">
        <v>1</v>
      </c>
    </row>
    <row r="210" spans="1:1024 1046:2879 3279:3735 4225:4929 5282:5765" s="59" customFormat="1" x14ac:dyDescent="0.25">
      <c r="A210" s="63">
        <v>2002573</v>
      </c>
      <c r="B210" s="60" t="s">
        <v>4195</v>
      </c>
      <c r="HX210" s="59">
        <v>8090</v>
      </c>
      <c r="JX210" s="59">
        <v>136</v>
      </c>
      <c r="KC210" s="59">
        <v>214</v>
      </c>
      <c r="KG210" s="59">
        <v>299</v>
      </c>
      <c r="NM210" s="59">
        <v>583</v>
      </c>
      <c r="NR210" s="59">
        <v>432</v>
      </c>
      <c r="NV210" s="59">
        <v>774</v>
      </c>
      <c r="RA210" s="59">
        <v>204</v>
      </c>
      <c r="RF210" s="59">
        <v>201</v>
      </c>
      <c r="RJ210" s="59">
        <v>142</v>
      </c>
      <c r="TS210" s="59">
        <v>368</v>
      </c>
      <c r="ZZ210" s="59">
        <v>13.858000000000001</v>
      </c>
      <c r="ABS210" s="59">
        <v>4.1512000000000002</v>
      </c>
      <c r="ABX210" s="59">
        <v>3.9758</v>
      </c>
      <c r="AGM210" s="59">
        <v>877</v>
      </c>
      <c r="AGR210" s="59">
        <v>696</v>
      </c>
      <c r="AGV210" s="59">
        <v>535</v>
      </c>
      <c r="AJV210" s="59">
        <v>0.67869999999999997</v>
      </c>
      <c r="ALE210" s="59">
        <v>92</v>
      </c>
      <c r="AMC210" s="59">
        <v>163</v>
      </c>
      <c r="AZZ210" s="59">
        <v>41</v>
      </c>
      <c r="BGF210" s="59">
        <v>136</v>
      </c>
      <c r="BHL210" s="59">
        <v>3.9</v>
      </c>
      <c r="BIO210" s="59">
        <v>2.2599999999999998</v>
      </c>
      <c r="BLL210" s="59">
        <v>104.4928</v>
      </c>
      <c r="BOA210" s="59">
        <v>57</v>
      </c>
      <c r="BOC210" s="59">
        <v>1</v>
      </c>
      <c r="BOG210" s="59">
        <v>19</v>
      </c>
      <c r="BRP210" s="59">
        <v>1</v>
      </c>
      <c r="BRQ210" s="59">
        <v>1</v>
      </c>
      <c r="BUR210" s="59">
        <v>1</v>
      </c>
      <c r="BVB210" s="59">
        <v>1</v>
      </c>
      <c r="BWU210" s="59">
        <v>1</v>
      </c>
      <c r="BYJ210" s="65"/>
      <c r="BYK210" s="59">
        <v>0</v>
      </c>
      <c r="BYZ210" s="59">
        <v>600</v>
      </c>
      <c r="BZA210" s="59">
        <v>1</v>
      </c>
      <c r="BZD210" s="59">
        <v>1</v>
      </c>
      <c r="BZF210" s="68">
        <v>999</v>
      </c>
      <c r="BZG210" s="59">
        <v>999</v>
      </c>
      <c r="BZH210" s="59">
        <v>7</v>
      </c>
      <c r="BZI210" s="59">
        <v>0</v>
      </c>
      <c r="BZL210" s="59">
        <v>0</v>
      </c>
      <c r="FZC210" s="59">
        <v>40</v>
      </c>
      <c r="FZD210" s="59">
        <v>1</v>
      </c>
      <c r="FZG210" s="59">
        <v>11</v>
      </c>
      <c r="FZH210" s="59">
        <v>16</v>
      </c>
      <c r="FZI210" s="59">
        <v>9</v>
      </c>
      <c r="FZJ210" s="59">
        <v>0</v>
      </c>
      <c r="FZK210" s="59">
        <v>6</v>
      </c>
      <c r="GXZ210" s="59">
        <v>1</v>
      </c>
      <c r="GYA210" s="59">
        <v>1</v>
      </c>
      <c r="GYG210" s="59">
        <v>1</v>
      </c>
      <c r="HCO210" s="59">
        <v>1</v>
      </c>
      <c r="HDF210" s="59">
        <v>1</v>
      </c>
      <c r="HDJ210" s="59">
        <v>1</v>
      </c>
    </row>
    <row r="211" spans="1:1024 1046:2879 3279:3735 4225:4929 5282:5765" s="59" customFormat="1" x14ac:dyDescent="0.25">
      <c r="A211" s="59">
        <v>2003539</v>
      </c>
      <c r="B211" s="60" t="s">
        <v>4195</v>
      </c>
      <c r="HU211" s="59">
        <v>15000</v>
      </c>
      <c r="HX211" s="59">
        <v>15700</v>
      </c>
      <c r="JX211" s="59">
        <v>145</v>
      </c>
      <c r="RA211" s="59">
        <v>277</v>
      </c>
      <c r="TS211" s="59">
        <v>458</v>
      </c>
      <c r="XR211" s="59">
        <v>71</v>
      </c>
      <c r="ABS211" s="59">
        <v>1.1000000000000001</v>
      </c>
      <c r="AGM211" s="77">
        <v>1348</v>
      </c>
      <c r="BOA211" s="59">
        <v>62</v>
      </c>
      <c r="BOC211" s="59">
        <v>1</v>
      </c>
      <c r="BOD211" s="59">
        <v>24.6</v>
      </c>
      <c r="BYJ211" s="65"/>
      <c r="BYK211" s="59">
        <v>0</v>
      </c>
      <c r="BYY211" s="59">
        <v>8400</v>
      </c>
      <c r="BYZ211" s="59">
        <v>400</v>
      </c>
      <c r="BZA211" s="59">
        <v>3</v>
      </c>
      <c r="BZD211" s="59">
        <v>1</v>
      </c>
      <c r="BZF211" s="59">
        <v>7</v>
      </c>
      <c r="BZG211" s="59">
        <v>7</v>
      </c>
      <c r="BZH211" s="59">
        <v>1</v>
      </c>
      <c r="BZI211" s="59">
        <v>0</v>
      </c>
      <c r="BZL211" s="59">
        <v>0</v>
      </c>
      <c r="GGG211" s="59">
        <v>2</v>
      </c>
      <c r="GGK211" s="59">
        <v>1</v>
      </c>
      <c r="GGL211" s="59">
        <v>7</v>
      </c>
      <c r="GGM211" s="59">
        <v>7</v>
      </c>
      <c r="GGN211" s="59">
        <v>1</v>
      </c>
      <c r="GGO211" s="59">
        <v>0</v>
      </c>
      <c r="HCA211" s="59">
        <v>1</v>
      </c>
      <c r="HKL211" s="59">
        <v>1</v>
      </c>
    </row>
    <row r="212" spans="1:1024 1046:2879 3279:3735 4225:4929 5282:5765" s="83" customFormat="1" x14ac:dyDescent="0.25">
      <c r="A212" s="83">
        <v>2003649</v>
      </c>
      <c r="B212" s="83" t="s">
        <v>4195</v>
      </c>
      <c r="BC212" s="83">
        <v>58.1</v>
      </c>
      <c r="EG212" s="83">
        <v>33.5</v>
      </c>
      <c r="IW212" s="83">
        <v>65.400000000000006</v>
      </c>
      <c r="JI212" s="83">
        <v>94.8</v>
      </c>
      <c r="JQ212" s="83">
        <v>102</v>
      </c>
      <c r="JX212" s="83">
        <v>70.8</v>
      </c>
      <c r="KC212" s="83">
        <v>78.599999999999994</v>
      </c>
      <c r="KH212" s="83">
        <v>65.400000000000006</v>
      </c>
      <c r="LQ212" s="83">
        <v>94.8</v>
      </c>
      <c r="MI212" s="83">
        <v>65.400000000000006</v>
      </c>
      <c r="MX212" s="83">
        <v>39</v>
      </c>
      <c r="NF212" s="83">
        <v>48.6</v>
      </c>
      <c r="NM212" s="83">
        <v>31.8</v>
      </c>
      <c r="NR212" s="83">
        <v>26.4</v>
      </c>
      <c r="NW212" s="83">
        <v>65.400000000000006</v>
      </c>
      <c r="PG212" s="83">
        <v>39</v>
      </c>
      <c r="PZ212" s="83">
        <v>426.6</v>
      </c>
      <c r="QA212" s="83">
        <v>1188</v>
      </c>
      <c r="QL212" s="83">
        <v>264.60000000000002</v>
      </c>
      <c r="QT212" s="96">
        <v>2326.1999999999998</v>
      </c>
      <c r="RA212" s="83">
        <v>1108.8</v>
      </c>
      <c r="RF212" s="83">
        <v>709.8</v>
      </c>
      <c r="SH212" s="83">
        <v>426.6</v>
      </c>
      <c r="SO212" s="83">
        <v>264.60000000000002</v>
      </c>
      <c r="AFX212" s="83">
        <v>396.6</v>
      </c>
      <c r="AGF212" s="83">
        <v>502.8</v>
      </c>
      <c r="AGM212" s="83">
        <v>516</v>
      </c>
      <c r="AGR212" s="83">
        <v>379.8</v>
      </c>
      <c r="AHX212" s="83">
        <v>516.6</v>
      </c>
      <c r="AJO212" s="102">
        <v>5802</v>
      </c>
      <c r="BOA212" s="83">
        <v>48</v>
      </c>
      <c r="BOB212" s="83">
        <v>1</v>
      </c>
      <c r="BOD212" s="83">
        <v>24</v>
      </c>
      <c r="BOF212" s="83">
        <v>1</v>
      </c>
      <c r="BOH212" s="83">
        <v>1</v>
      </c>
      <c r="BOI212" s="83">
        <v>1</v>
      </c>
      <c r="BQW212" s="83">
        <v>1</v>
      </c>
      <c r="BTP212" s="83">
        <v>1</v>
      </c>
      <c r="BUT212" s="83">
        <v>1</v>
      </c>
      <c r="BXD212" s="83">
        <v>1</v>
      </c>
      <c r="BYJ212" s="95"/>
      <c r="BYK212" s="83">
        <v>0</v>
      </c>
      <c r="BYY212" s="83">
        <v>402000</v>
      </c>
      <c r="BYZ212" s="83">
        <v>600</v>
      </c>
      <c r="BZA212" s="83">
        <v>2</v>
      </c>
      <c r="BZD212" s="83">
        <v>1</v>
      </c>
      <c r="BZF212" s="83">
        <v>336</v>
      </c>
      <c r="BZG212" s="83">
        <v>335</v>
      </c>
      <c r="BZH212" s="83">
        <v>0</v>
      </c>
      <c r="BZI212" s="83">
        <v>1</v>
      </c>
      <c r="BZL212" s="83">
        <v>0</v>
      </c>
      <c r="DFD212" s="83">
        <v>100</v>
      </c>
      <c r="DFE212" s="83">
        <v>1</v>
      </c>
      <c r="DFH212" s="83">
        <v>1</v>
      </c>
      <c r="DFI212" s="100">
        <v>999</v>
      </c>
      <c r="DFJ212" s="83">
        <v>335</v>
      </c>
      <c r="DFK212" s="83">
        <v>0</v>
      </c>
      <c r="DFL212" s="83">
        <v>999</v>
      </c>
      <c r="EAW212" s="83">
        <v>20</v>
      </c>
      <c r="EAX212" s="83">
        <v>1</v>
      </c>
      <c r="EBA212" s="83">
        <v>1</v>
      </c>
      <c r="EBB212" s="83">
        <v>336</v>
      </c>
      <c r="EBC212" s="83">
        <v>335</v>
      </c>
      <c r="EBD212" s="83">
        <v>0</v>
      </c>
      <c r="EBE212" s="83">
        <v>0</v>
      </c>
      <c r="FVF212" s="83">
        <v>50</v>
      </c>
      <c r="FVG212" s="83">
        <v>1</v>
      </c>
      <c r="FVJ212" s="83">
        <v>1</v>
      </c>
      <c r="FVK212" s="83">
        <v>336</v>
      </c>
      <c r="FVL212" s="83">
        <v>335</v>
      </c>
      <c r="FVM212" s="83">
        <v>0</v>
      </c>
      <c r="FVN212" s="83">
        <v>8</v>
      </c>
      <c r="HCB212" s="83">
        <v>1</v>
      </c>
      <c r="HCO212" s="83">
        <v>1</v>
      </c>
    </row>
    <row r="213" spans="1:1024 1046:2879 3279:3735 4225:4929 5282:5765" s="59" customFormat="1" x14ac:dyDescent="0.25">
      <c r="A213" s="59">
        <v>2005572</v>
      </c>
      <c r="B213" s="60" t="s">
        <v>4195</v>
      </c>
      <c r="BC213" s="59">
        <v>90</v>
      </c>
      <c r="CM213" s="59">
        <v>1.04</v>
      </c>
      <c r="EG213" s="59">
        <v>33.200000000000003</v>
      </c>
      <c r="HQ213" s="59">
        <v>13000</v>
      </c>
      <c r="HS213" s="59">
        <v>6840</v>
      </c>
      <c r="HV213" s="59">
        <v>6650</v>
      </c>
      <c r="JQ213" s="59">
        <v>1178</v>
      </c>
      <c r="JS213" s="59">
        <v>83.9</v>
      </c>
      <c r="JV213" s="59">
        <v>21.9</v>
      </c>
      <c r="NF213" s="59">
        <v>863</v>
      </c>
      <c r="NH213" s="59">
        <v>437</v>
      </c>
      <c r="NK213" s="59">
        <v>145</v>
      </c>
      <c r="QT213" s="59">
        <v>155</v>
      </c>
      <c r="QV213" s="59">
        <v>106</v>
      </c>
      <c r="QY213" s="59">
        <v>73</v>
      </c>
      <c r="ZS213" s="59">
        <v>15.1472</v>
      </c>
      <c r="ZU213" s="59">
        <v>15.630599999999999</v>
      </c>
      <c r="ZX213" s="59">
        <v>14.986000000000001</v>
      </c>
      <c r="ABL213" s="59">
        <v>2.8064</v>
      </c>
      <c r="AGK213" s="59">
        <v>173</v>
      </c>
      <c r="AJO213" s="59">
        <v>0.81330000000000002</v>
      </c>
      <c r="AJT213" s="59">
        <v>0.64590000000000003</v>
      </c>
      <c r="ANG213" s="59">
        <v>7.9</v>
      </c>
      <c r="ANL213" s="59">
        <v>3.1</v>
      </c>
      <c r="AOT213" s="59">
        <v>29.184999999999999</v>
      </c>
      <c r="ASD213" s="59">
        <v>245000</v>
      </c>
      <c r="ASF213" s="59">
        <v>235000</v>
      </c>
      <c r="ASI213" s="59">
        <v>237000</v>
      </c>
      <c r="AZS213" s="59">
        <v>42</v>
      </c>
      <c r="AZU213" s="59">
        <v>44</v>
      </c>
      <c r="AZX213" s="59">
        <v>43</v>
      </c>
      <c r="BFY213" s="59">
        <v>138</v>
      </c>
      <c r="BGA213" s="59">
        <v>138</v>
      </c>
      <c r="BGD213" s="59">
        <v>138</v>
      </c>
      <c r="BHE213" s="59">
        <v>3.5</v>
      </c>
      <c r="BHG213" s="59">
        <v>3.8</v>
      </c>
      <c r="BHJ213" s="59">
        <v>3.8</v>
      </c>
      <c r="BIH213" s="59">
        <v>2.31</v>
      </c>
      <c r="BIJ213" s="59">
        <v>2.41</v>
      </c>
      <c r="BIM213" s="59">
        <v>2.31</v>
      </c>
      <c r="BOA213" s="59">
        <v>22</v>
      </c>
      <c r="BOC213" s="59">
        <v>1</v>
      </c>
      <c r="BOD213" s="59">
        <v>19.2</v>
      </c>
      <c r="BOF213" s="59">
        <v>1</v>
      </c>
      <c r="BOG213" s="59">
        <v>6</v>
      </c>
      <c r="BPA213" s="59">
        <v>1</v>
      </c>
      <c r="BQC213" s="59">
        <v>1</v>
      </c>
      <c r="BYJ213" s="65"/>
      <c r="BYK213" s="59">
        <v>0</v>
      </c>
      <c r="BYY213" s="59">
        <v>5600</v>
      </c>
      <c r="BYZ213" s="59">
        <v>400</v>
      </c>
      <c r="BZA213" s="59">
        <v>2</v>
      </c>
      <c r="BZD213" s="59">
        <v>1</v>
      </c>
      <c r="BZF213" s="59">
        <v>7</v>
      </c>
      <c r="BZG213" s="59">
        <v>13</v>
      </c>
      <c r="BZH213" s="59">
        <v>7</v>
      </c>
      <c r="BZI213" s="59">
        <v>0</v>
      </c>
      <c r="BZL213" s="59">
        <v>0</v>
      </c>
      <c r="BZY213" s="59">
        <v>500</v>
      </c>
      <c r="BZZ213" s="59">
        <v>2</v>
      </c>
      <c r="CAC213" s="59">
        <v>1</v>
      </c>
      <c r="CAD213" s="59">
        <v>7</v>
      </c>
      <c r="CAE213" s="59">
        <v>13</v>
      </c>
      <c r="CAF213" s="59">
        <v>7</v>
      </c>
      <c r="CAG213" s="59">
        <v>0</v>
      </c>
      <c r="FFM213" s="59">
        <v>25</v>
      </c>
      <c r="FFN213" s="59">
        <v>3</v>
      </c>
      <c r="FFQ213" s="59">
        <v>1</v>
      </c>
      <c r="FFR213" s="59">
        <v>7</v>
      </c>
      <c r="FFS213" s="59">
        <v>13</v>
      </c>
      <c r="FFT213" s="59">
        <v>7</v>
      </c>
      <c r="FFU213" s="59">
        <v>0</v>
      </c>
      <c r="GXP213" s="59">
        <v>1</v>
      </c>
      <c r="GXX213" s="59">
        <v>1</v>
      </c>
      <c r="GYA213" s="59">
        <v>1</v>
      </c>
      <c r="GZD213" s="59">
        <v>1</v>
      </c>
      <c r="HBW213" s="59">
        <v>1</v>
      </c>
    </row>
    <row r="214" spans="1:1024 1046:2879 3279:3735 4225:4929 5282:5765" s="59" customFormat="1" x14ac:dyDescent="0.25">
      <c r="A214" s="59">
        <v>2013117</v>
      </c>
      <c r="B214" s="60" t="s">
        <v>4195</v>
      </c>
      <c r="NE214" s="59">
        <v>1280</v>
      </c>
      <c r="QS214" s="59">
        <v>176</v>
      </c>
      <c r="AGE214" s="59">
        <v>277</v>
      </c>
      <c r="BOA214" s="59">
        <v>63</v>
      </c>
      <c r="BOC214" s="59">
        <v>1</v>
      </c>
      <c r="BOD214" s="59">
        <v>29.41</v>
      </c>
      <c r="BOG214" s="59">
        <v>30</v>
      </c>
      <c r="BPC214" s="59">
        <v>1</v>
      </c>
      <c r="BQU214" s="59">
        <v>1</v>
      </c>
      <c r="BUT214" s="59">
        <v>1</v>
      </c>
      <c r="BUU214" s="59">
        <v>1</v>
      </c>
      <c r="BYJ214" s="65"/>
      <c r="BYK214" s="59">
        <v>0</v>
      </c>
      <c r="BYY214" s="59">
        <v>55200</v>
      </c>
      <c r="BYZ214" s="59">
        <v>600</v>
      </c>
      <c r="BZA214" s="59">
        <v>1</v>
      </c>
      <c r="BZD214" s="59">
        <v>1</v>
      </c>
      <c r="BZF214" s="59">
        <v>92</v>
      </c>
      <c r="BZL214" s="59">
        <v>0</v>
      </c>
      <c r="GDZ214" s="59">
        <v>1</v>
      </c>
      <c r="GWG214" s="59">
        <v>1</v>
      </c>
      <c r="HCA214" s="59">
        <v>1</v>
      </c>
    </row>
    <row r="215" spans="1:1024 1046:2879 3279:3735 4225:4929 5282:5765" s="59" customFormat="1" x14ac:dyDescent="0.25">
      <c r="A215" s="77">
        <v>3009633</v>
      </c>
      <c r="B215" s="60" t="s">
        <v>4195</v>
      </c>
      <c r="BP215" s="59">
        <v>85.8</v>
      </c>
      <c r="ES215" s="59">
        <v>29.6</v>
      </c>
      <c r="GT215" s="59">
        <v>273</v>
      </c>
      <c r="IE215" s="59">
        <v>3300</v>
      </c>
      <c r="II215" s="59">
        <v>3700</v>
      </c>
      <c r="IK215" s="59">
        <v>4200</v>
      </c>
      <c r="KE215" s="59">
        <v>844.8</v>
      </c>
      <c r="KI215" s="59">
        <v>132</v>
      </c>
      <c r="KK215" s="59">
        <v>59.4</v>
      </c>
      <c r="KM215" s="59">
        <v>63</v>
      </c>
      <c r="NT215" s="59">
        <v>1805.4</v>
      </c>
      <c r="NX215" s="59">
        <v>665.4</v>
      </c>
      <c r="NZ215" s="59">
        <v>309</v>
      </c>
      <c r="OB215" s="59">
        <v>262.8</v>
      </c>
      <c r="RH215" s="59">
        <v>229.8</v>
      </c>
      <c r="RL215" s="59">
        <v>161.4</v>
      </c>
      <c r="RN215" s="59">
        <v>132</v>
      </c>
      <c r="RP215" s="59">
        <v>126</v>
      </c>
      <c r="AAG215" s="59">
        <v>14.293100000000001</v>
      </c>
      <c r="AAK215" s="59">
        <v>14.599299999999999</v>
      </c>
      <c r="AAM215" s="59">
        <v>14.0031</v>
      </c>
      <c r="ACF215" s="59">
        <v>1.6897</v>
      </c>
      <c r="ACH215" s="59">
        <v>1.6136999999999999</v>
      </c>
      <c r="ADZ215" s="59">
        <v>5.4842000000000004</v>
      </c>
      <c r="AED215" s="59">
        <v>5.4842000000000004</v>
      </c>
      <c r="AEE215" s="59">
        <v>0.63139999999999996</v>
      </c>
      <c r="AEF215" s="59">
        <v>0.57879999999999998</v>
      </c>
      <c r="AGT215" s="59">
        <v>751.8</v>
      </c>
      <c r="AGX215" s="59">
        <v>524.4</v>
      </c>
      <c r="AGZ215" s="59">
        <v>433.8</v>
      </c>
      <c r="AHB215" s="59">
        <v>433.2</v>
      </c>
      <c r="AKC215" s="59">
        <v>0.85519999999999996</v>
      </c>
      <c r="ASR215" s="59">
        <v>328000</v>
      </c>
      <c r="ASU215" s="59">
        <v>272000</v>
      </c>
      <c r="ASW215" s="59">
        <v>275000</v>
      </c>
      <c r="BAF215" s="59">
        <v>44</v>
      </c>
      <c r="BAI215" s="59">
        <v>45</v>
      </c>
      <c r="BAK215" s="59">
        <v>43</v>
      </c>
      <c r="BBV215" s="59">
        <v>91.6</v>
      </c>
      <c r="BBX215" s="59">
        <v>89.8</v>
      </c>
      <c r="BBY215" s="59">
        <v>90.4</v>
      </c>
      <c r="BGM215" s="59">
        <v>141</v>
      </c>
      <c r="BHS215" s="59">
        <v>4.08</v>
      </c>
      <c r="BIS215" s="59">
        <v>2.31</v>
      </c>
      <c r="BOA215" s="59">
        <v>67</v>
      </c>
      <c r="BOC215" s="59">
        <v>1</v>
      </c>
      <c r="BOD215" s="59">
        <v>33.200000000000003</v>
      </c>
      <c r="BOG215" s="59">
        <v>23</v>
      </c>
      <c r="BRM215" s="59">
        <v>1</v>
      </c>
      <c r="BUW215" s="59">
        <v>1</v>
      </c>
      <c r="BYJ215" s="65"/>
      <c r="BYK215" s="59">
        <v>0</v>
      </c>
      <c r="BYY215" s="59">
        <v>12600</v>
      </c>
      <c r="BYZ215" s="59">
        <v>600</v>
      </c>
      <c r="BZA215" s="59">
        <v>3</v>
      </c>
      <c r="BZD215" s="59">
        <v>1</v>
      </c>
      <c r="BZF215" s="59">
        <v>7</v>
      </c>
      <c r="BZG215" s="59">
        <v>7</v>
      </c>
      <c r="BZH215" s="59">
        <v>1</v>
      </c>
      <c r="BZI215" s="59">
        <v>0</v>
      </c>
      <c r="BZL215" s="59">
        <v>0</v>
      </c>
      <c r="FYS215" s="77" t="s">
        <v>953</v>
      </c>
      <c r="FYT215" s="59">
        <v>1</v>
      </c>
      <c r="FYW215" s="59">
        <v>1</v>
      </c>
      <c r="FYX215" s="69">
        <v>999</v>
      </c>
      <c r="FYY215" s="59">
        <v>999</v>
      </c>
      <c r="FYZ215" s="59">
        <v>0</v>
      </c>
      <c r="FZA215" s="59">
        <v>999</v>
      </c>
      <c r="GXU215" s="59">
        <v>1</v>
      </c>
      <c r="GXZ215" s="59">
        <v>1</v>
      </c>
      <c r="GYD215" s="59">
        <v>1</v>
      </c>
      <c r="GZD215" s="59">
        <v>1</v>
      </c>
      <c r="HCB215" s="59">
        <v>1</v>
      </c>
      <c r="HDF215" s="59">
        <v>1</v>
      </c>
    </row>
    <row r="216" spans="1:1024 1046:2879 3279:3735 4225:4929 5282:5765" s="83" customFormat="1" x14ac:dyDescent="0.25">
      <c r="A216" s="98">
        <v>3010583</v>
      </c>
      <c r="B216" s="83" t="s">
        <v>4195</v>
      </c>
      <c r="IO216" s="83">
        <v>5900</v>
      </c>
      <c r="JP216" s="97">
        <v>240</v>
      </c>
      <c r="JQ216" s="83">
        <v>852</v>
      </c>
      <c r="KU216" s="83">
        <v>852</v>
      </c>
      <c r="NE216" s="97">
        <v>545</v>
      </c>
      <c r="NF216" s="83">
        <v>1004</v>
      </c>
      <c r="OI216" s="83">
        <v>1004</v>
      </c>
      <c r="QS216" s="97">
        <v>547</v>
      </c>
      <c r="QT216" s="83">
        <v>599</v>
      </c>
      <c r="RV216" s="83">
        <v>599</v>
      </c>
      <c r="TK216" s="97">
        <v>350</v>
      </c>
      <c r="TL216" s="83">
        <v>892</v>
      </c>
      <c r="UG216" s="83">
        <v>501</v>
      </c>
      <c r="XZ216" s="83">
        <v>24</v>
      </c>
      <c r="ABK216" s="97">
        <v>1.3</v>
      </c>
      <c r="ABL216" s="83">
        <v>1.68</v>
      </c>
      <c r="ACN216" s="83">
        <v>1.68</v>
      </c>
      <c r="AGE216" s="97">
        <v>148</v>
      </c>
      <c r="AJO216" s="98">
        <v>132</v>
      </c>
      <c r="AKY216" s="83">
        <v>22</v>
      </c>
      <c r="ANG216" s="83">
        <v>36</v>
      </c>
      <c r="AUA216" s="83">
        <v>11.5</v>
      </c>
      <c r="AUQ216" s="83">
        <v>2</v>
      </c>
      <c r="AVN216" s="83">
        <v>61</v>
      </c>
      <c r="BOA216" s="83">
        <v>36</v>
      </c>
      <c r="BOB216" s="83">
        <v>1</v>
      </c>
      <c r="BOD216" s="83">
        <v>27.8</v>
      </c>
      <c r="BTV216" s="83">
        <v>1</v>
      </c>
      <c r="BUF216" s="83">
        <v>1</v>
      </c>
      <c r="BYJ216" s="95"/>
      <c r="BYK216" s="83">
        <v>0</v>
      </c>
      <c r="BYY216" s="83">
        <v>2400</v>
      </c>
      <c r="BYZ216" s="83">
        <v>1200</v>
      </c>
      <c r="BZA216" s="83">
        <v>1</v>
      </c>
      <c r="BZD216" s="83">
        <v>1</v>
      </c>
      <c r="BZF216" s="83">
        <v>3</v>
      </c>
      <c r="BZG216" s="83">
        <v>2</v>
      </c>
      <c r="BZH216" s="83">
        <v>0</v>
      </c>
      <c r="BZI216" s="83">
        <v>0</v>
      </c>
      <c r="BZL216" s="83">
        <v>0</v>
      </c>
      <c r="CSB216" s="83">
        <v>800</v>
      </c>
      <c r="CSC216" s="83">
        <v>1</v>
      </c>
      <c r="CSF216" s="83">
        <v>1</v>
      </c>
      <c r="CSG216" s="83">
        <v>3</v>
      </c>
      <c r="CSH216" s="83">
        <v>2</v>
      </c>
      <c r="CSI216" s="83">
        <v>0</v>
      </c>
      <c r="CSJ216" s="83">
        <v>0</v>
      </c>
      <c r="GWW216" s="83">
        <v>1</v>
      </c>
      <c r="GXZ216" s="83">
        <v>1</v>
      </c>
      <c r="GZE216" s="83">
        <v>1</v>
      </c>
      <c r="GZP216" s="83">
        <v>1</v>
      </c>
      <c r="HCA216" s="83">
        <v>1</v>
      </c>
      <c r="HCO216" s="83">
        <v>1</v>
      </c>
    </row>
    <row r="217" spans="1:1024 1046:2879 3279:3735 4225:4929 5282:5765" s="59" customFormat="1" x14ac:dyDescent="0.25">
      <c r="A217" s="79">
        <v>3011892</v>
      </c>
      <c r="B217" s="60" t="s">
        <v>4195</v>
      </c>
      <c r="BL217" s="59">
        <v>72</v>
      </c>
      <c r="BV217" s="59">
        <v>100</v>
      </c>
      <c r="HZ217" s="59">
        <v>7700</v>
      </c>
      <c r="JZ217" s="59">
        <v>1880</v>
      </c>
      <c r="KI217" s="59">
        <v>131</v>
      </c>
      <c r="KN217" s="59">
        <v>61</v>
      </c>
      <c r="NO217" s="59">
        <v>3062</v>
      </c>
      <c r="NX217" s="59">
        <v>526</v>
      </c>
      <c r="OC217" s="59">
        <v>248</v>
      </c>
      <c r="TT217" s="59">
        <v>765</v>
      </c>
      <c r="UD217" s="59">
        <v>299</v>
      </c>
      <c r="AAB217" s="59">
        <v>14.502599999999999</v>
      </c>
      <c r="ABU217" s="59">
        <v>21.866700000000002</v>
      </c>
      <c r="ABZ217" s="63"/>
      <c r="ACD217" s="59">
        <v>6.7237</v>
      </c>
      <c r="ACI217" s="59">
        <v>3.6133000000000002</v>
      </c>
      <c r="AEB217" s="59">
        <v>13.330500000000001</v>
      </c>
      <c r="AED217" s="59">
        <v>3.5255999999999998</v>
      </c>
      <c r="AEG217" s="59">
        <v>2.0171000000000001</v>
      </c>
      <c r="AGO217" s="64">
        <v>871</v>
      </c>
      <c r="AHC217" s="59">
        <v>598</v>
      </c>
      <c r="AJX217" s="59">
        <v>0.74890000000000001</v>
      </c>
      <c r="ANP217" s="59">
        <v>13.1</v>
      </c>
      <c r="AOB217" s="59">
        <v>1.58</v>
      </c>
      <c r="APA217" s="59">
        <v>45.247999999999998</v>
      </c>
      <c r="AQA217" s="59">
        <v>1.7081</v>
      </c>
      <c r="ASV217" s="59">
        <v>188000</v>
      </c>
      <c r="ASX217" s="59">
        <v>195000</v>
      </c>
      <c r="BAB217" s="59">
        <v>42</v>
      </c>
      <c r="BGH217" s="59">
        <v>142</v>
      </c>
      <c r="BHN217" s="59">
        <v>3.7</v>
      </c>
      <c r="BIQ217" s="59">
        <v>2.4</v>
      </c>
      <c r="BJS217" s="59">
        <v>351.26510000000002</v>
      </c>
      <c r="BKF217" s="64">
        <v>12989</v>
      </c>
      <c r="BKG217" s="64"/>
      <c r="BKH217" s="64">
        <v>2022</v>
      </c>
      <c r="BLN217" s="59">
        <v>81.072000000000003</v>
      </c>
      <c r="BOA217" s="59">
        <v>48</v>
      </c>
      <c r="BOC217" s="59">
        <v>1</v>
      </c>
      <c r="BOD217" s="59">
        <v>24.2</v>
      </c>
      <c r="BOF217" s="59">
        <v>1</v>
      </c>
      <c r="BOG217" s="59">
        <v>25</v>
      </c>
      <c r="BOI217" s="59">
        <v>1</v>
      </c>
      <c r="BTP217" s="59">
        <v>1</v>
      </c>
      <c r="BUX217" s="59">
        <v>1</v>
      </c>
      <c r="BVM217" s="59">
        <v>1</v>
      </c>
      <c r="BYJ217" s="65"/>
      <c r="BYK217" s="59">
        <v>0</v>
      </c>
      <c r="BYY217" s="59">
        <v>114205.68</v>
      </c>
      <c r="BYZ217" s="59">
        <v>800</v>
      </c>
      <c r="BZA217" s="59">
        <v>0.1429</v>
      </c>
      <c r="BZD217" s="59">
        <v>1</v>
      </c>
      <c r="BZF217" s="59">
        <v>999</v>
      </c>
      <c r="BZG217" s="59">
        <v>999</v>
      </c>
      <c r="BZH217" s="59">
        <v>0</v>
      </c>
      <c r="BZI217" s="59">
        <v>9</v>
      </c>
      <c r="BZL217" s="59">
        <v>0</v>
      </c>
      <c r="EJQ217" s="59">
        <v>0.14000000000000001</v>
      </c>
      <c r="EJT217" s="59">
        <v>1</v>
      </c>
      <c r="EJU217" s="59">
        <v>999</v>
      </c>
      <c r="EJV217" s="59">
        <v>999</v>
      </c>
      <c r="EMI217" s="59">
        <v>20</v>
      </c>
      <c r="EMJ217" s="59">
        <v>1</v>
      </c>
      <c r="EMM217" s="59">
        <v>1</v>
      </c>
      <c r="EMN217" s="59">
        <v>999</v>
      </c>
      <c r="EMO217" s="59">
        <v>999</v>
      </c>
      <c r="EMP217" s="59">
        <v>0</v>
      </c>
      <c r="EMQ217" s="59">
        <v>8</v>
      </c>
      <c r="FUG217" s="59">
        <v>1</v>
      </c>
      <c r="FUH217" s="59">
        <v>1</v>
      </c>
      <c r="FUI217" s="69">
        <v>999</v>
      </c>
      <c r="FUJ217" s="59">
        <v>999</v>
      </c>
      <c r="FUK217" s="59">
        <v>0</v>
      </c>
      <c r="FUL217" s="59">
        <v>999</v>
      </c>
      <c r="FUY217" s="59">
        <v>1</v>
      </c>
      <c r="FUZ217" s="59">
        <v>1</v>
      </c>
      <c r="FVA217" s="69">
        <v>999</v>
      </c>
      <c r="FVB217" s="59">
        <v>999</v>
      </c>
      <c r="FVC217" s="59">
        <v>0</v>
      </c>
      <c r="FVD217" s="59">
        <v>999</v>
      </c>
      <c r="FVF217" s="59">
        <v>10</v>
      </c>
      <c r="FVG217" s="59">
        <v>3</v>
      </c>
      <c r="FVJ217" s="59">
        <v>1</v>
      </c>
      <c r="FVK217" s="59">
        <v>123</v>
      </c>
      <c r="FVL217" s="59">
        <v>123</v>
      </c>
      <c r="FVM217" s="59">
        <v>1</v>
      </c>
      <c r="FVN217" s="59">
        <v>0</v>
      </c>
      <c r="GUD217" s="59">
        <v>1</v>
      </c>
      <c r="GUG217" s="59">
        <v>1</v>
      </c>
      <c r="GUH217" s="69">
        <v>999</v>
      </c>
      <c r="GUI217" s="59">
        <v>999</v>
      </c>
      <c r="GUJ217" s="59">
        <v>0</v>
      </c>
      <c r="GUK217" s="59">
        <v>999</v>
      </c>
      <c r="GWE217" s="59">
        <v>1</v>
      </c>
      <c r="GWR217" s="59">
        <v>1</v>
      </c>
      <c r="GXU217" s="59">
        <v>1</v>
      </c>
      <c r="GXV217" s="59">
        <v>1</v>
      </c>
      <c r="HCA217" s="59">
        <v>1</v>
      </c>
      <c r="HCB217" s="59">
        <v>1</v>
      </c>
      <c r="HCO217" s="59">
        <v>1</v>
      </c>
      <c r="HDF217" s="59">
        <v>1</v>
      </c>
    </row>
    <row r="218" spans="1:1024 1046:2879 3279:3735 4225:4929 5282:5765" s="59" customFormat="1" x14ac:dyDescent="0.25">
      <c r="A218" s="59">
        <v>4001382</v>
      </c>
      <c r="B218" s="60" t="s">
        <v>4195</v>
      </c>
      <c r="X218" s="76">
        <v>126</v>
      </c>
      <c r="Y218" s="76">
        <v>275.5</v>
      </c>
      <c r="BB218" s="59">
        <v>46</v>
      </c>
      <c r="BC218" s="59">
        <v>68</v>
      </c>
      <c r="FV218" s="59">
        <v>212</v>
      </c>
      <c r="FW218" s="76">
        <v>526.5</v>
      </c>
      <c r="JQ218" s="59">
        <v>1161</v>
      </c>
      <c r="KE218" s="76">
        <v>64</v>
      </c>
      <c r="KF218" s="76">
        <v>72.332999999999998</v>
      </c>
      <c r="NF218" s="59">
        <v>916</v>
      </c>
      <c r="NT218" s="76">
        <v>138</v>
      </c>
      <c r="NU218" s="76">
        <v>119.666</v>
      </c>
      <c r="RH218" s="76">
        <v>35</v>
      </c>
      <c r="RI218" s="76">
        <v>41.5</v>
      </c>
      <c r="TY218" s="59">
        <v>319</v>
      </c>
      <c r="TZ218" s="76">
        <v>634.25</v>
      </c>
      <c r="UV218" s="59">
        <v>2.5</v>
      </c>
      <c r="UW218" s="76">
        <v>3.6</v>
      </c>
      <c r="VU218" s="76">
        <v>432.5</v>
      </c>
      <c r="WK218" s="76">
        <v>129</v>
      </c>
      <c r="ABZ218" s="76" t="s">
        <v>2460</v>
      </c>
      <c r="ACA218" s="76">
        <v>11.7</v>
      </c>
      <c r="ADZ218" s="76">
        <v>3.15</v>
      </c>
      <c r="AEA218" s="76">
        <v>3.5666660000000001</v>
      </c>
      <c r="AFF218" s="76">
        <v>4.6500000000000004</v>
      </c>
      <c r="AFG218" s="76">
        <v>5.4</v>
      </c>
      <c r="AFH218" s="63"/>
      <c r="AFI218" s="63"/>
      <c r="AGT218" s="76">
        <v>130.5</v>
      </c>
      <c r="AGU218" s="76">
        <v>168</v>
      </c>
      <c r="ALJ218" s="76">
        <v>203.5</v>
      </c>
      <c r="ALK218" s="76">
        <v>609.5</v>
      </c>
      <c r="AMJ218" s="76">
        <v>1618.5</v>
      </c>
      <c r="ANU218" s="76">
        <v>6.5</v>
      </c>
      <c r="ANV218" s="76">
        <v>28</v>
      </c>
      <c r="APE218" s="76">
        <v>5.5</v>
      </c>
      <c r="APF218" s="76">
        <v>9.6666000000000007</v>
      </c>
      <c r="AQC218" s="76">
        <v>3.15</v>
      </c>
      <c r="AQD218" s="76">
        <v>3.1</v>
      </c>
      <c r="AWW218" s="59">
        <v>26</v>
      </c>
      <c r="BJV218" s="76">
        <v>201.5</v>
      </c>
      <c r="BOA218" s="59">
        <v>26</v>
      </c>
      <c r="BOC218" s="59">
        <v>1</v>
      </c>
      <c r="BOD218" s="59">
        <v>31.1</v>
      </c>
      <c r="BOE218" s="59">
        <v>1</v>
      </c>
      <c r="BOG218" s="59">
        <v>13</v>
      </c>
      <c r="BYJ218" s="65"/>
      <c r="BYK218" s="59">
        <v>0</v>
      </c>
      <c r="BYY218" s="59">
        <v>4800</v>
      </c>
      <c r="BYZ218" s="59">
        <v>800</v>
      </c>
      <c r="BZA218" s="59">
        <v>2</v>
      </c>
      <c r="BZF218" s="59">
        <v>3</v>
      </c>
      <c r="BZL218" s="59">
        <v>0</v>
      </c>
      <c r="CBE218" s="59">
        <v>40</v>
      </c>
      <c r="CBF218" s="59">
        <v>3</v>
      </c>
      <c r="CBI218" s="59">
        <v>1</v>
      </c>
      <c r="CBJ218" s="59">
        <v>4</v>
      </c>
      <c r="CCT218" s="59">
        <v>50</v>
      </c>
      <c r="CCU218" s="59">
        <v>1</v>
      </c>
      <c r="CCX218" s="59">
        <v>1</v>
      </c>
      <c r="CCY218" s="59">
        <v>3</v>
      </c>
      <c r="FGH218" s="59">
        <v>2</v>
      </c>
      <c r="FGK218" s="59">
        <v>1</v>
      </c>
      <c r="FGL218" s="59">
        <v>3</v>
      </c>
      <c r="GZX218" s="59">
        <v>1</v>
      </c>
      <c r="HAX218" s="59">
        <v>1</v>
      </c>
      <c r="HBX218" s="59">
        <v>1</v>
      </c>
      <c r="HDA218" s="59">
        <v>1</v>
      </c>
    </row>
    <row r="219" spans="1:1024 1046:2879 3279:3735 4225:4929 5282:5765" s="59" customFormat="1" x14ac:dyDescent="0.25">
      <c r="A219" s="59">
        <v>5018675</v>
      </c>
      <c r="B219" s="60" t="s">
        <v>4195</v>
      </c>
      <c r="HW219" s="59">
        <v>10700</v>
      </c>
      <c r="JW219" s="59">
        <v>1542</v>
      </c>
      <c r="NL219" s="59">
        <v>1701</v>
      </c>
      <c r="QZ219" s="59">
        <v>120</v>
      </c>
      <c r="ABR219" s="59">
        <v>13.74</v>
      </c>
      <c r="AGL219" s="59">
        <v>251</v>
      </c>
      <c r="AJU219" s="59">
        <v>0.8</v>
      </c>
      <c r="AUN219" s="59">
        <v>7</v>
      </c>
      <c r="BOA219" s="59">
        <v>50</v>
      </c>
      <c r="BOC219" s="59">
        <v>1</v>
      </c>
      <c r="BOD219" s="59">
        <v>21.83</v>
      </c>
      <c r="BSG219" s="59">
        <v>1</v>
      </c>
      <c r="BYJ219" s="65"/>
      <c r="BYK219" s="59">
        <v>0</v>
      </c>
      <c r="BYY219" s="59">
        <v>2400</v>
      </c>
      <c r="BYZ219" s="59">
        <v>400</v>
      </c>
      <c r="BZA219" s="59">
        <v>3</v>
      </c>
      <c r="BZD219" s="59">
        <v>1</v>
      </c>
      <c r="BZF219" s="59">
        <v>7</v>
      </c>
      <c r="BZG219" s="59">
        <v>2</v>
      </c>
      <c r="BZH219" s="59">
        <v>0</v>
      </c>
      <c r="BZI219" s="59">
        <v>4</v>
      </c>
      <c r="BZL219" s="59">
        <v>0</v>
      </c>
      <c r="BZN219" s="59">
        <v>7.1400000000000005E-2</v>
      </c>
      <c r="BZQ219" s="59">
        <v>1</v>
      </c>
      <c r="BZS219" s="59">
        <v>999</v>
      </c>
      <c r="BZT219" s="59">
        <v>999</v>
      </c>
      <c r="BZU219" s="59">
        <v>0</v>
      </c>
      <c r="BZV219" s="59">
        <v>6</v>
      </c>
      <c r="CPJ219" s="59">
        <v>500</v>
      </c>
      <c r="CPK219" s="59">
        <v>2</v>
      </c>
      <c r="CPN219" s="59">
        <v>1</v>
      </c>
      <c r="CPO219" s="59">
        <v>3</v>
      </c>
      <c r="CPP219" s="59">
        <v>0</v>
      </c>
      <c r="CPQ219" s="59">
        <v>0</v>
      </c>
      <c r="CPR219" s="59">
        <v>2</v>
      </c>
      <c r="DFN219" s="59">
        <v>1</v>
      </c>
      <c r="DFO219" s="59">
        <v>1</v>
      </c>
      <c r="DFR219" s="59">
        <v>1</v>
      </c>
      <c r="DFS219" s="59">
        <v>92</v>
      </c>
      <c r="DVC219" s="59">
        <v>0.5</v>
      </c>
      <c r="DVD219" s="59">
        <v>1</v>
      </c>
      <c r="DVG219" s="59">
        <v>1</v>
      </c>
      <c r="DVH219" s="59">
        <v>122</v>
      </c>
      <c r="DVJ219" s="59">
        <v>0</v>
      </c>
      <c r="DVK219" s="59">
        <v>5</v>
      </c>
      <c r="GAH219" s="59">
        <v>1</v>
      </c>
      <c r="GAI219" s="59">
        <v>1</v>
      </c>
      <c r="GAL219" s="59">
        <v>1</v>
      </c>
      <c r="GAM219" s="59">
        <v>999</v>
      </c>
      <c r="GAN219" s="59">
        <v>999</v>
      </c>
      <c r="GAO219" s="59">
        <v>999</v>
      </c>
      <c r="GAP219" s="59">
        <v>0</v>
      </c>
      <c r="GWE219" s="59">
        <v>1</v>
      </c>
      <c r="GXZ219" s="59">
        <v>1</v>
      </c>
      <c r="HCA219" s="59">
        <v>1</v>
      </c>
      <c r="HCB219" s="59">
        <v>1</v>
      </c>
    </row>
    <row r="220" spans="1:1024 1046:2879 3279:3735 4225:4929 5282:5765" s="59" customFormat="1" x14ac:dyDescent="0.25">
      <c r="A220" s="77">
        <v>6050168</v>
      </c>
      <c r="B220" s="60" t="s">
        <v>4195</v>
      </c>
      <c r="JP220" s="63">
        <v>14.13</v>
      </c>
      <c r="NE220" s="63">
        <v>19.329999999999998</v>
      </c>
      <c r="QS220" s="77">
        <v>24.74</v>
      </c>
      <c r="ABK220" s="77">
        <v>97</v>
      </c>
      <c r="ADO220" s="77">
        <v>50</v>
      </c>
      <c r="AGE220" s="77">
        <v>2.54</v>
      </c>
      <c r="ANF220" s="77">
        <v>9.4</v>
      </c>
      <c r="ATQ220" s="59">
        <v>26</v>
      </c>
      <c r="BOA220" s="59">
        <v>33</v>
      </c>
      <c r="BOC220" s="59">
        <v>1</v>
      </c>
      <c r="BOG220" s="59">
        <v>12</v>
      </c>
      <c r="BYJ220" s="65"/>
      <c r="BYK220" s="59">
        <v>0</v>
      </c>
      <c r="BYY220" s="59">
        <v>0</v>
      </c>
      <c r="BZA220" s="59">
        <v>2</v>
      </c>
      <c r="BZD220" s="59">
        <v>1</v>
      </c>
      <c r="BZF220" s="69">
        <v>999</v>
      </c>
      <c r="BZG220" s="59">
        <v>1</v>
      </c>
      <c r="BZH220" s="59">
        <v>0</v>
      </c>
      <c r="BZI220" s="59">
        <v>999</v>
      </c>
      <c r="BZL220" s="59">
        <v>0</v>
      </c>
      <c r="HCA220" s="59">
        <v>1</v>
      </c>
    </row>
    <row r="221" spans="1:1024 1046:2879 3279:3735 4225:4929 5282:5765" s="59" customFormat="1" x14ac:dyDescent="0.25">
      <c r="A221" s="85">
        <v>6062742</v>
      </c>
      <c r="B221" s="60" t="s">
        <v>4195</v>
      </c>
      <c r="BYJ221" s="65"/>
      <c r="BYK221" s="59">
        <v>0</v>
      </c>
      <c r="BYY221" s="59">
        <v>0</v>
      </c>
      <c r="BZL221" s="59">
        <v>0</v>
      </c>
    </row>
    <row r="222" spans="1:1024 1046:2879 3279:3735 4225:4929 5282:5765" s="59" customFormat="1" x14ac:dyDescent="0.25">
      <c r="A222" s="59">
        <v>7003242</v>
      </c>
      <c r="B222" s="60" t="s">
        <v>4195</v>
      </c>
      <c r="BYJ222" s="65"/>
      <c r="BYK222" s="59">
        <v>0</v>
      </c>
      <c r="BYY222" s="59">
        <v>0</v>
      </c>
      <c r="BZL222" s="59">
        <v>0</v>
      </c>
    </row>
    <row r="223" spans="1:1024 1046:2879 3279:3735 4225:4929 5282:5765" s="59" customFormat="1" x14ac:dyDescent="0.25">
      <c r="A223" s="59">
        <v>8016252</v>
      </c>
      <c r="B223" s="60" t="s">
        <v>4195</v>
      </c>
      <c r="BYJ223" s="65"/>
      <c r="BYK223" s="59">
        <v>0</v>
      </c>
      <c r="BYY223" s="59">
        <v>0</v>
      </c>
      <c r="BZL223" s="59">
        <v>0</v>
      </c>
    </row>
    <row r="224" spans="1:1024 1046:2879 3279:3735 4225:4929 5282:5765" s="59" customFormat="1" x14ac:dyDescent="0.25">
      <c r="A224" s="59">
        <v>12022536</v>
      </c>
      <c r="B224" s="60" t="s">
        <v>4195</v>
      </c>
      <c r="BYJ224" s="65"/>
      <c r="BYK224" s="59">
        <v>0</v>
      </c>
      <c r="BYY224" s="59">
        <v>0</v>
      </c>
      <c r="BZL224" s="59">
        <v>0</v>
      </c>
    </row>
    <row r="225" spans="1:1019 1032:2040 2053:3990 4119:5061 5123:5789" s="59" customFormat="1" x14ac:dyDescent="0.25">
      <c r="A225" s="59">
        <v>13020792</v>
      </c>
      <c r="B225" s="60" t="s">
        <v>4195</v>
      </c>
      <c r="BYJ225" s="65"/>
      <c r="BYK225" s="59">
        <v>0</v>
      </c>
      <c r="BYY225" s="59">
        <v>0</v>
      </c>
      <c r="BZL225" s="59">
        <v>0</v>
      </c>
    </row>
    <row r="226" spans="1:1019 1032:2040 2053:3990 4119:5061 5123:5789" s="59" customFormat="1" x14ac:dyDescent="0.25">
      <c r="A226" s="59">
        <v>97005797</v>
      </c>
      <c r="B226" s="60" t="s">
        <v>4195</v>
      </c>
      <c r="BYJ226" s="65"/>
      <c r="BYK226" s="59">
        <v>0</v>
      </c>
      <c r="BYY226" s="59">
        <v>0</v>
      </c>
      <c r="BZL226" s="59">
        <v>0</v>
      </c>
    </row>
    <row r="227" spans="1:1019 1032:2040 2053:3990 4119:5061 5123:5789" s="59" customFormat="1" x14ac:dyDescent="0.25">
      <c r="A227" s="85">
        <v>99000345</v>
      </c>
      <c r="B227" s="60" t="s">
        <v>4195</v>
      </c>
      <c r="BYJ227" s="65"/>
      <c r="BYK227" s="59">
        <v>0</v>
      </c>
      <c r="BYY227" s="59">
        <v>0</v>
      </c>
      <c r="BZL227" s="59">
        <v>0</v>
      </c>
    </row>
    <row r="228" spans="1:1019 1032:2040 2053:3990 4119:5061 5123:5789" s="83" customFormat="1" x14ac:dyDescent="0.25">
      <c r="A228" s="98">
        <v>5006592</v>
      </c>
      <c r="B228" s="83" t="s">
        <v>4195</v>
      </c>
      <c r="JQ228" s="83">
        <v>164</v>
      </c>
      <c r="LI228" s="83">
        <v>68</v>
      </c>
      <c r="MC228" s="83">
        <v>126</v>
      </c>
      <c r="ME228" s="83">
        <v>60</v>
      </c>
      <c r="NF228" s="83">
        <v>175</v>
      </c>
      <c r="OY228" s="83">
        <v>68</v>
      </c>
      <c r="PT228" s="83">
        <v>143</v>
      </c>
      <c r="PV228" s="83">
        <v>37</v>
      </c>
      <c r="ABL228" s="83">
        <v>1.9</v>
      </c>
      <c r="ACY228" s="83">
        <v>2.5</v>
      </c>
      <c r="ADL228" s="83">
        <v>2.4</v>
      </c>
      <c r="AGF228" s="83">
        <v>89</v>
      </c>
      <c r="AHR228" s="83">
        <v>83</v>
      </c>
      <c r="AIE228" s="83">
        <v>84</v>
      </c>
      <c r="BOA228" s="83">
        <v>81</v>
      </c>
      <c r="BOB228" s="83">
        <v>1</v>
      </c>
      <c r="BOF228" s="83">
        <v>1</v>
      </c>
      <c r="BYJ228" s="95">
        <v>1</v>
      </c>
      <c r="BYK228" s="83">
        <v>0</v>
      </c>
      <c r="BYX228" s="83">
        <v>1</v>
      </c>
      <c r="BYY228" s="83">
        <v>0</v>
      </c>
      <c r="BZL228" s="83">
        <v>0</v>
      </c>
      <c r="DKE228" s="98" t="s">
        <v>2189</v>
      </c>
      <c r="DKF228" s="83">
        <v>2</v>
      </c>
      <c r="DKI228" s="83">
        <v>1</v>
      </c>
      <c r="DKJ228" s="83">
        <v>336</v>
      </c>
      <c r="DKK228" s="83">
        <v>305</v>
      </c>
      <c r="DKL228" s="83">
        <v>0</v>
      </c>
      <c r="DKM228" s="83">
        <v>36</v>
      </c>
      <c r="DRO228" s="83">
        <v>1</v>
      </c>
      <c r="DXB228" s="83">
        <v>1</v>
      </c>
      <c r="GDK228" s="83">
        <v>25</v>
      </c>
      <c r="GDL228" s="83">
        <v>1</v>
      </c>
      <c r="GUM228" s="83">
        <v>1</v>
      </c>
    </row>
    <row r="229" spans="1:1019 1032:2040 2053:3990 4119:5061 5123:5789" s="59" customFormat="1" x14ac:dyDescent="0.25">
      <c r="A229" s="59">
        <v>5007274</v>
      </c>
      <c r="B229" s="60" t="s">
        <v>4195</v>
      </c>
      <c r="CM229" s="59">
        <v>2.5</v>
      </c>
      <c r="CX229" s="59">
        <v>4</v>
      </c>
      <c r="JQ229" s="59">
        <v>2114</v>
      </c>
      <c r="KC229" s="59">
        <v>180</v>
      </c>
      <c r="NF229" s="59">
        <v>1474</v>
      </c>
      <c r="NR229" s="59">
        <v>487</v>
      </c>
      <c r="ABL229" s="59">
        <v>7.6</v>
      </c>
      <c r="ABX229" s="59">
        <v>12.3</v>
      </c>
      <c r="ADO229" s="59">
        <v>5.4</v>
      </c>
      <c r="AGF229" s="59">
        <v>232</v>
      </c>
      <c r="AGR229" s="59">
        <v>224</v>
      </c>
      <c r="ANG229" s="77"/>
      <c r="ASP229" s="77" t="s">
        <v>2037</v>
      </c>
      <c r="AWN229" s="59">
        <v>33</v>
      </c>
      <c r="AWU229" s="59">
        <v>27</v>
      </c>
      <c r="BOA229" s="59">
        <v>50</v>
      </c>
      <c r="BOC229" s="59">
        <v>1</v>
      </c>
      <c r="BOF229" s="59">
        <v>1</v>
      </c>
      <c r="BOH229" s="59">
        <v>1</v>
      </c>
      <c r="BYJ229" s="65"/>
      <c r="BYK229" s="59">
        <v>0</v>
      </c>
      <c r="BYX229" s="59">
        <v>1</v>
      </c>
      <c r="BYY229" s="59">
        <v>0</v>
      </c>
      <c r="BZL229" s="59">
        <v>0</v>
      </c>
      <c r="CNF229" s="59">
        <v>720</v>
      </c>
      <c r="EWL229" s="59">
        <v>1</v>
      </c>
      <c r="GDA229" s="59">
        <v>500</v>
      </c>
      <c r="GDB229" s="59">
        <v>1</v>
      </c>
      <c r="GDE229" s="59">
        <v>1</v>
      </c>
      <c r="GDF229" s="59">
        <v>153</v>
      </c>
      <c r="GDG229" s="59">
        <v>153</v>
      </c>
      <c r="GDH229" s="59">
        <v>0</v>
      </c>
      <c r="GDI229" s="59">
        <v>0</v>
      </c>
      <c r="GLQ229" s="59">
        <v>1</v>
      </c>
      <c r="HAZ229" s="59">
        <v>1</v>
      </c>
      <c r="HBQ229" s="59">
        <v>1</v>
      </c>
      <c r="HBX229" s="59">
        <v>1</v>
      </c>
      <c r="HBY229" s="59">
        <v>1</v>
      </c>
      <c r="HCA229" s="59">
        <v>1</v>
      </c>
      <c r="HCB229" s="59">
        <v>1</v>
      </c>
      <c r="HCO229" s="59">
        <v>1</v>
      </c>
      <c r="HDF229" s="59">
        <v>1</v>
      </c>
      <c r="HDJ229" s="59">
        <v>1</v>
      </c>
    </row>
    <row r="230" spans="1:1019 1032:2040 2053:3990 4119:5061 5123:5789" s="59" customFormat="1" x14ac:dyDescent="0.25">
      <c r="A230" s="59">
        <v>5015851</v>
      </c>
      <c r="B230" s="60" t="s">
        <v>4195</v>
      </c>
      <c r="BC230" s="76">
        <v>99</v>
      </c>
      <c r="BX230" s="59">
        <v>113</v>
      </c>
      <c r="BY230" s="59">
        <v>108</v>
      </c>
      <c r="CB230" s="59">
        <v>98</v>
      </c>
      <c r="CD230" s="59">
        <v>107</v>
      </c>
      <c r="DB230" s="59">
        <v>0.9</v>
      </c>
      <c r="DD230" s="59">
        <v>1</v>
      </c>
      <c r="DF230" s="59">
        <v>1</v>
      </c>
      <c r="DH230" s="59">
        <v>1</v>
      </c>
      <c r="EG230" s="76">
        <v>30.05</v>
      </c>
      <c r="EY230" s="59">
        <v>30</v>
      </c>
      <c r="EZ230" s="59">
        <v>29</v>
      </c>
      <c r="FB230" s="59">
        <v>35</v>
      </c>
      <c r="FC230" s="59">
        <v>32</v>
      </c>
      <c r="JQ230" s="76">
        <v>535.20000000000005</v>
      </c>
      <c r="KW230" s="59">
        <v>39</v>
      </c>
      <c r="LG230" s="59">
        <v>42</v>
      </c>
      <c r="LV230" s="59">
        <v>23.4</v>
      </c>
      <c r="MB230" s="59">
        <v>19.8</v>
      </c>
      <c r="NF230" s="59">
        <v>499.2</v>
      </c>
      <c r="OK230" s="59">
        <v>67.8</v>
      </c>
      <c r="OW230" s="59">
        <v>62.4</v>
      </c>
      <c r="PM230" s="59">
        <v>30.6</v>
      </c>
      <c r="PS230" s="59">
        <v>36</v>
      </c>
      <c r="QT230" s="76">
        <v>113.7</v>
      </c>
      <c r="RX230" s="59">
        <v>16.8</v>
      </c>
      <c r="SG230" s="59">
        <v>15</v>
      </c>
      <c r="SS230" s="59">
        <v>10.199999999999999</v>
      </c>
      <c r="SX230" s="59">
        <v>11.4</v>
      </c>
      <c r="VB230" s="59">
        <v>3</v>
      </c>
      <c r="VC230" s="59">
        <v>3</v>
      </c>
      <c r="VG230" s="59">
        <v>3</v>
      </c>
      <c r="VI230" s="59">
        <v>4.1399999999999997</v>
      </c>
      <c r="ACP230" s="59">
        <v>1.0632999999999999</v>
      </c>
      <c r="ACW230" s="59">
        <v>2.9817999999999998</v>
      </c>
      <c r="ADG230" s="59">
        <v>0.7016</v>
      </c>
      <c r="ADK230" s="59">
        <v>0.2923</v>
      </c>
      <c r="AEJ230" s="59">
        <v>0.78510000000000002</v>
      </c>
      <c r="AEK230" s="59">
        <v>0.39029999999999998</v>
      </c>
      <c r="AEN230" s="59">
        <v>3.2800000000000003E-2</v>
      </c>
      <c r="AGF230" s="76">
        <v>72</v>
      </c>
      <c r="AHJ230" s="59">
        <v>94.8</v>
      </c>
      <c r="AHQ230" s="59">
        <v>80.400000000000006</v>
      </c>
      <c r="AHZ230" s="59">
        <v>51</v>
      </c>
      <c r="AID230" s="59">
        <v>53.4</v>
      </c>
      <c r="AIV230" s="59">
        <v>3960</v>
      </c>
      <c r="AIW230" s="59">
        <v>4380</v>
      </c>
      <c r="AIY230" s="59">
        <v>5760</v>
      </c>
      <c r="AIZ230" s="59">
        <v>5520</v>
      </c>
      <c r="AKN230" s="59">
        <v>0.75790000000000002</v>
      </c>
      <c r="AKP230" s="59">
        <v>4.2096</v>
      </c>
      <c r="AKY230" s="76">
        <v>45</v>
      </c>
      <c r="ALW230" s="59">
        <v>29.4</v>
      </c>
      <c r="ANG230" s="76">
        <v>1.9</v>
      </c>
      <c r="AOD230" s="59">
        <v>2</v>
      </c>
      <c r="AOI230" s="59">
        <v>2</v>
      </c>
      <c r="ASD230" s="76">
        <v>9800</v>
      </c>
      <c r="BFY230" s="76">
        <v>3.45</v>
      </c>
      <c r="BJW230" s="59">
        <v>16.753499999999999</v>
      </c>
      <c r="BJX230" s="59">
        <v>49.143599999999999</v>
      </c>
      <c r="BLV230" s="59">
        <v>120.7072</v>
      </c>
      <c r="BLW230" s="59">
        <v>95.484800000000007</v>
      </c>
      <c r="BLY230" s="59">
        <v>81.072000000000003</v>
      </c>
      <c r="BOA230" s="59">
        <v>29</v>
      </c>
      <c r="BOC230" s="59">
        <v>1</v>
      </c>
      <c r="BOF230" s="59">
        <v>1</v>
      </c>
      <c r="BOP230" s="59">
        <v>1</v>
      </c>
      <c r="BYJ230" s="65"/>
      <c r="BYK230" s="59">
        <v>0</v>
      </c>
      <c r="BYY230" s="59">
        <v>0</v>
      </c>
      <c r="BZD230" s="59">
        <v>1</v>
      </c>
      <c r="BZF230" s="59">
        <v>1</v>
      </c>
      <c r="BZG230" s="59">
        <v>1</v>
      </c>
      <c r="BZH230" s="59">
        <v>1</v>
      </c>
      <c r="BZI230" s="59">
        <v>0</v>
      </c>
      <c r="BZL230" s="59">
        <v>0</v>
      </c>
      <c r="CBE230" s="63">
        <v>4000</v>
      </c>
      <c r="CBF230" s="59">
        <v>1</v>
      </c>
      <c r="CBG230" s="59">
        <v>1</v>
      </c>
      <c r="CBJ230" s="59">
        <v>1</v>
      </c>
      <c r="CBK230" s="59">
        <v>0</v>
      </c>
      <c r="CBL230" s="59">
        <v>0</v>
      </c>
      <c r="CBM230" s="59">
        <v>0</v>
      </c>
      <c r="GSY230" s="59">
        <v>1</v>
      </c>
      <c r="GTB230" s="59">
        <v>1</v>
      </c>
      <c r="GTC230" s="59">
        <v>0</v>
      </c>
      <c r="GTD230" s="59">
        <v>0</v>
      </c>
      <c r="GTE230" s="59">
        <v>0</v>
      </c>
      <c r="HBW230" s="59">
        <v>1</v>
      </c>
      <c r="HBX230" s="59">
        <v>1</v>
      </c>
      <c r="HCB230" s="59">
        <v>1</v>
      </c>
      <c r="HNQ230" s="59">
        <v>1</v>
      </c>
    </row>
    <row r="231" spans="1:1019 1032:2040 2053:3990 4119:5061 5123:5789" s="59" customFormat="1" x14ac:dyDescent="0.25">
      <c r="A231" s="59">
        <v>6015647</v>
      </c>
      <c r="B231" s="60" t="s">
        <v>4195</v>
      </c>
      <c r="L231" s="59">
        <v>75</v>
      </c>
      <c r="BC231" s="59">
        <v>70</v>
      </c>
      <c r="CM231" s="59">
        <v>1.21</v>
      </c>
      <c r="FE231" s="59">
        <v>20</v>
      </c>
      <c r="HQ231" s="59">
        <v>8010</v>
      </c>
      <c r="HR231" s="59">
        <v>8020</v>
      </c>
      <c r="HT231" s="59">
        <v>7630</v>
      </c>
      <c r="HW231" s="59">
        <v>11410</v>
      </c>
      <c r="HZ231" s="59">
        <v>10520</v>
      </c>
      <c r="IE231" s="59">
        <v>7250</v>
      </c>
      <c r="IL231" s="59">
        <v>9310</v>
      </c>
      <c r="JQ231" s="59">
        <v>726</v>
      </c>
      <c r="JR231" s="59">
        <v>622</v>
      </c>
      <c r="JS231" s="59">
        <v>558</v>
      </c>
      <c r="JT231" s="59">
        <v>481</v>
      </c>
      <c r="JU231" s="59">
        <v>454</v>
      </c>
      <c r="JW231" s="59">
        <v>596</v>
      </c>
      <c r="JX231" s="59">
        <v>596</v>
      </c>
      <c r="JZ231" s="59">
        <v>688</v>
      </c>
      <c r="KE231" s="59">
        <v>516</v>
      </c>
      <c r="KO231" s="59">
        <v>67</v>
      </c>
      <c r="LS231" s="59">
        <v>400</v>
      </c>
      <c r="LU231" s="79">
        <v>21</v>
      </c>
      <c r="NF231" s="59">
        <v>1451</v>
      </c>
      <c r="NG231" s="59">
        <v>1218</v>
      </c>
      <c r="NH231" s="59">
        <v>1157</v>
      </c>
      <c r="NI231" s="59">
        <v>870</v>
      </c>
      <c r="NJ231" s="59">
        <v>736</v>
      </c>
      <c r="NL231" s="59">
        <v>736</v>
      </c>
      <c r="NM231" s="59">
        <v>730</v>
      </c>
      <c r="NO231" s="59">
        <v>596</v>
      </c>
      <c r="NT231" s="59">
        <v>391</v>
      </c>
      <c r="OD231" s="59">
        <v>111</v>
      </c>
      <c r="PJ231" s="59">
        <v>15</v>
      </c>
      <c r="PL231" s="59">
        <v>23</v>
      </c>
      <c r="QT231" s="59">
        <v>142</v>
      </c>
      <c r="QU231" s="59">
        <v>123</v>
      </c>
      <c r="QV231" s="59">
        <v>126</v>
      </c>
      <c r="QW231" s="59">
        <v>122</v>
      </c>
      <c r="QX231" s="59">
        <v>128</v>
      </c>
      <c r="QZ231" s="59">
        <v>131</v>
      </c>
      <c r="RC231" s="59">
        <v>122</v>
      </c>
      <c r="RH231" s="59">
        <v>121</v>
      </c>
      <c r="RJ231" s="59">
        <v>134</v>
      </c>
      <c r="RV231" s="59">
        <v>85</v>
      </c>
      <c r="SF231" s="59">
        <v>44</v>
      </c>
      <c r="TL231" s="59">
        <v>465</v>
      </c>
      <c r="TM231" s="59">
        <v>320</v>
      </c>
      <c r="TN231" s="59">
        <v>335</v>
      </c>
      <c r="TP231" s="59">
        <v>316</v>
      </c>
      <c r="TU231" s="59">
        <v>360</v>
      </c>
      <c r="VN231" s="59">
        <v>179</v>
      </c>
      <c r="WE231" s="59">
        <v>160</v>
      </c>
      <c r="XL231" s="59">
        <v>23</v>
      </c>
      <c r="YM231" s="59">
        <v>7.7</v>
      </c>
      <c r="ZS231" s="59">
        <v>16</v>
      </c>
      <c r="ZU231" s="59">
        <v>15.2</v>
      </c>
      <c r="ZV231" s="59">
        <v>14.5</v>
      </c>
      <c r="ZY231" s="59">
        <v>15.2</v>
      </c>
      <c r="AAB231" s="59">
        <v>14.7</v>
      </c>
      <c r="AAG231" s="59">
        <v>13.5</v>
      </c>
      <c r="AAJ231" s="59">
        <v>13.6</v>
      </c>
      <c r="ABK231" s="59">
        <v>19.8</v>
      </c>
      <c r="ABL231" s="59">
        <v>12.8</v>
      </c>
      <c r="ABM231" s="59">
        <v>12.8</v>
      </c>
      <c r="ABN231" s="59">
        <v>16.899999999999999</v>
      </c>
      <c r="ABP231" s="59">
        <v>20.2</v>
      </c>
      <c r="ABR231" s="64">
        <v>24.1</v>
      </c>
      <c r="ABS231" s="64">
        <v>24.1</v>
      </c>
      <c r="ABU231" s="63">
        <v>23.7</v>
      </c>
      <c r="ABZ231" s="59">
        <v>19.8</v>
      </c>
      <c r="ADO231" s="59">
        <v>7.8</v>
      </c>
      <c r="ADP231" s="59">
        <v>8.4</v>
      </c>
      <c r="ADQ231" s="59">
        <v>12.3</v>
      </c>
      <c r="ADS231" s="59">
        <v>14</v>
      </c>
      <c r="ADU231" s="59">
        <v>16</v>
      </c>
      <c r="ADW231" s="59">
        <v>17.2</v>
      </c>
      <c r="AEV231" s="59">
        <v>7.55</v>
      </c>
      <c r="AEX231" s="59">
        <v>6.46</v>
      </c>
      <c r="AGF231" s="59">
        <v>293</v>
      </c>
      <c r="AGG231" s="59">
        <v>274</v>
      </c>
      <c r="AGH231" s="59">
        <v>282</v>
      </c>
      <c r="AGI231" s="59">
        <v>280</v>
      </c>
      <c r="AGJ231" s="59">
        <v>254</v>
      </c>
      <c r="AGL231" s="59">
        <v>306</v>
      </c>
      <c r="AGM231" s="59">
        <v>217</v>
      </c>
      <c r="AGO231" s="59">
        <v>324</v>
      </c>
      <c r="AGT231" s="59">
        <v>255</v>
      </c>
      <c r="AIS231" s="59">
        <v>3100</v>
      </c>
      <c r="AJO231" s="59">
        <v>0.9</v>
      </c>
      <c r="AJP231" s="59">
        <v>0.9</v>
      </c>
      <c r="AJR231" s="59">
        <v>0.9</v>
      </c>
      <c r="AJU231" s="59">
        <v>1</v>
      </c>
      <c r="AJX231" s="59">
        <v>0.8</v>
      </c>
      <c r="ALW231" s="59">
        <v>117</v>
      </c>
      <c r="ALX231" s="59">
        <v>132</v>
      </c>
      <c r="ALY231" s="59">
        <v>161</v>
      </c>
      <c r="AMA231" s="59">
        <v>139</v>
      </c>
      <c r="AME231" s="59">
        <v>188</v>
      </c>
      <c r="ANG231" s="59">
        <v>13.6</v>
      </c>
      <c r="ANH231" s="59">
        <v>16</v>
      </c>
      <c r="ANJ231" s="59">
        <v>15</v>
      </c>
      <c r="ANK231" s="59">
        <v>15</v>
      </c>
      <c r="ANM231" s="59">
        <v>15.2</v>
      </c>
      <c r="ANP231" s="59">
        <v>21</v>
      </c>
      <c r="AOT231" s="59">
        <v>16.399999999999999</v>
      </c>
      <c r="AOU231" s="59">
        <v>14</v>
      </c>
      <c r="AOW231" s="59">
        <v>16</v>
      </c>
      <c r="AOY231" s="59">
        <v>18.600000000000001</v>
      </c>
      <c r="APA231" s="59">
        <v>18</v>
      </c>
      <c r="APU231" s="59">
        <v>2.8</v>
      </c>
      <c r="AQS231" s="59">
        <v>5440000</v>
      </c>
      <c r="AQU231" s="59">
        <v>5160000</v>
      </c>
      <c r="AQV231" s="59">
        <v>4790000</v>
      </c>
      <c r="AQY231" s="59">
        <v>5210000</v>
      </c>
      <c r="ARB231" s="59">
        <v>5060000</v>
      </c>
      <c r="ARG231" s="59">
        <v>4420000</v>
      </c>
      <c r="ARJ231" s="59">
        <v>4380000</v>
      </c>
      <c r="ASD231" s="59">
        <v>227000</v>
      </c>
      <c r="ASF231" s="59">
        <v>220000</v>
      </c>
      <c r="ASG231" s="59">
        <v>179000</v>
      </c>
      <c r="ASJ231" s="59">
        <v>180000</v>
      </c>
      <c r="ASM231" s="59">
        <v>148000</v>
      </c>
      <c r="ASR231" s="59">
        <v>246000</v>
      </c>
      <c r="ASY231" s="59">
        <v>242000</v>
      </c>
      <c r="AUJ231" s="59">
        <v>0.4</v>
      </c>
      <c r="AVD231" s="59">
        <v>68.2</v>
      </c>
      <c r="AVZ231" s="59">
        <v>0.5</v>
      </c>
      <c r="AWN231" s="59">
        <v>37</v>
      </c>
      <c r="AWP231" s="59">
        <v>33.9</v>
      </c>
      <c r="AZS231" s="59">
        <v>47.7</v>
      </c>
      <c r="AZU231" s="59">
        <v>45.9</v>
      </c>
      <c r="AZV231" s="59">
        <v>43.8</v>
      </c>
      <c r="AZY231" s="59">
        <v>45.3</v>
      </c>
      <c r="BAB231" s="59">
        <v>43.9</v>
      </c>
      <c r="BAF231" s="59">
        <v>42</v>
      </c>
      <c r="BAM231" s="59">
        <v>40</v>
      </c>
      <c r="BBK231" s="59">
        <v>87.7</v>
      </c>
      <c r="BBM231" s="59">
        <v>89</v>
      </c>
      <c r="BBN231" s="59">
        <v>88.1</v>
      </c>
      <c r="BBQ231" s="59">
        <v>86.9</v>
      </c>
      <c r="BBS231" s="59">
        <v>86.8</v>
      </c>
      <c r="BBV231" s="59">
        <v>94.1</v>
      </c>
      <c r="BBZ231" s="59">
        <v>91.6</v>
      </c>
      <c r="BCQ231" s="59">
        <v>29.4</v>
      </c>
      <c r="BCS231" s="59">
        <v>29.5</v>
      </c>
      <c r="BCT231" s="59">
        <v>29.2</v>
      </c>
      <c r="BCW231" s="59">
        <v>29.1</v>
      </c>
      <c r="BDB231" s="59">
        <v>30.5</v>
      </c>
      <c r="BDD231" s="59">
        <v>31.1</v>
      </c>
      <c r="BDT231" s="59">
        <v>33.5</v>
      </c>
      <c r="BDV231" s="59">
        <v>33.1</v>
      </c>
      <c r="BDW231" s="59">
        <v>33.1</v>
      </c>
      <c r="BDZ231" s="59">
        <v>33.6</v>
      </c>
      <c r="BEB231" s="59">
        <v>33.5</v>
      </c>
      <c r="BEE231" s="59">
        <v>32.5</v>
      </c>
      <c r="BEH231" s="59">
        <v>33.9</v>
      </c>
      <c r="BGM231" s="59">
        <v>140</v>
      </c>
      <c r="BHE231" s="59">
        <v>3.97</v>
      </c>
      <c r="BHF231" s="59">
        <v>4</v>
      </c>
      <c r="BHH231" s="59">
        <v>4.0999999999999996</v>
      </c>
      <c r="BHI231" s="59">
        <v>4.59</v>
      </c>
      <c r="BHK231" s="59">
        <v>3.98</v>
      </c>
      <c r="BHN231" s="59">
        <v>4.2</v>
      </c>
      <c r="BHS231" s="59">
        <v>4</v>
      </c>
      <c r="BIH231" s="59">
        <v>2.33</v>
      </c>
      <c r="BIK231" s="59">
        <v>2.2999999999999998</v>
      </c>
      <c r="BIL231" s="59">
        <v>2.2000000000000002</v>
      </c>
      <c r="BIN231" s="59">
        <v>2.2999999999999998</v>
      </c>
      <c r="BIQ231" s="59">
        <v>2.2999999999999998</v>
      </c>
      <c r="BJS231" s="59">
        <v>36.4</v>
      </c>
      <c r="BJU231" s="59">
        <v>24.7</v>
      </c>
      <c r="BLE231" s="59">
        <v>110</v>
      </c>
      <c r="BOA231" s="59">
        <v>24</v>
      </c>
      <c r="BOC231" s="59">
        <v>1</v>
      </c>
      <c r="BOD231" s="59">
        <v>27.44</v>
      </c>
      <c r="BOF231" s="59">
        <v>1</v>
      </c>
      <c r="BOP231" s="59">
        <v>1</v>
      </c>
      <c r="BXE231" s="59">
        <v>1</v>
      </c>
      <c r="BXJ231" s="59">
        <v>1</v>
      </c>
      <c r="BYJ231" s="65"/>
      <c r="BYK231" s="59">
        <v>0</v>
      </c>
      <c r="BYY231" s="59">
        <v>0</v>
      </c>
      <c r="BZD231" s="59">
        <v>1</v>
      </c>
      <c r="BZL231" s="59">
        <v>0</v>
      </c>
      <c r="CIK231" s="59">
        <v>1</v>
      </c>
      <c r="CIO231" s="59">
        <v>1</v>
      </c>
      <c r="CIP231" s="59">
        <v>81</v>
      </c>
      <c r="CIQ231" s="59">
        <v>81</v>
      </c>
      <c r="CIR231" s="59">
        <v>0</v>
      </c>
      <c r="DCN231" s="59">
        <v>1</v>
      </c>
      <c r="DCO231" s="59">
        <v>1</v>
      </c>
      <c r="DCP231" s="59">
        <v>81</v>
      </c>
      <c r="DCQ231" s="59">
        <v>81</v>
      </c>
      <c r="DCR231" s="59">
        <v>0</v>
      </c>
      <c r="DXR231" s="59">
        <v>1</v>
      </c>
      <c r="EAK231" s="59">
        <v>1</v>
      </c>
      <c r="GCJ231" s="59">
        <v>1</v>
      </c>
      <c r="GCK231" s="59">
        <v>999</v>
      </c>
      <c r="GWM231" s="59">
        <v>1</v>
      </c>
      <c r="GZE231" s="59">
        <v>1</v>
      </c>
      <c r="HCA231" s="59">
        <v>1</v>
      </c>
      <c r="HCB231" s="59">
        <v>1</v>
      </c>
      <c r="HNQ231" s="59">
        <v>1</v>
      </c>
    </row>
    <row r="232" spans="1:1019 1032:2040 2053:3990 4119:5061 5123:5789" s="83" customFormat="1" x14ac:dyDescent="0.25">
      <c r="A232" s="98">
        <v>6056633</v>
      </c>
      <c r="B232" s="83" t="s">
        <v>4195</v>
      </c>
      <c r="HP232" s="83">
        <v>11500</v>
      </c>
      <c r="NC232" s="83">
        <v>88</v>
      </c>
      <c r="NI232" s="83">
        <v>82</v>
      </c>
      <c r="NW232" s="83">
        <v>25</v>
      </c>
      <c r="QQ232" s="83">
        <v>211</v>
      </c>
      <c r="QW232" s="83">
        <v>271</v>
      </c>
      <c r="RK232" s="83">
        <v>40.5</v>
      </c>
      <c r="TO232" s="83">
        <v>226</v>
      </c>
      <c r="UB232" s="83">
        <v>383</v>
      </c>
      <c r="ZR232" s="98">
        <v>11.5</v>
      </c>
      <c r="ABI232" s="83">
        <v>1.1000000000000001</v>
      </c>
      <c r="AGC232" s="83">
        <v>180</v>
      </c>
      <c r="AGI232" s="83">
        <v>300</v>
      </c>
      <c r="AGW232" s="83">
        <v>122.5</v>
      </c>
      <c r="ASC232" s="83">
        <v>676000</v>
      </c>
      <c r="BOA232" s="83">
        <v>44</v>
      </c>
      <c r="BOB232" s="83">
        <v>1</v>
      </c>
      <c r="BOF232" s="83">
        <v>1</v>
      </c>
      <c r="BOG232" s="83">
        <v>18</v>
      </c>
      <c r="BOL232" s="83">
        <v>1</v>
      </c>
      <c r="BPC232" s="83">
        <v>1</v>
      </c>
      <c r="BYJ232" s="95"/>
      <c r="BYK232" s="83">
        <v>0</v>
      </c>
      <c r="BYY232" s="83">
        <v>0</v>
      </c>
      <c r="BYZ232" s="83">
        <v>200</v>
      </c>
      <c r="BZA232" s="83">
        <v>1</v>
      </c>
      <c r="BZD232" s="83">
        <v>1</v>
      </c>
      <c r="BZL232" s="83">
        <v>0</v>
      </c>
      <c r="CUP232" s="83">
        <v>1</v>
      </c>
      <c r="FBK232" s="100">
        <v>999</v>
      </c>
      <c r="FBL232" s="83">
        <v>2</v>
      </c>
      <c r="FBM232" s="83">
        <v>0</v>
      </c>
      <c r="FBN232" s="83">
        <v>999</v>
      </c>
      <c r="GWE232" s="83">
        <v>1</v>
      </c>
      <c r="GWP232" s="83">
        <v>1</v>
      </c>
      <c r="GWS232" s="83">
        <v>1</v>
      </c>
      <c r="GWX232" s="83">
        <v>1</v>
      </c>
      <c r="GXC232" s="83">
        <v>1</v>
      </c>
      <c r="GXI232" s="83">
        <v>1</v>
      </c>
      <c r="GXM232" s="83">
        <v>1</v>
      </c>
      <c r="GYE232" s="83">
        <v>1</v>
      </c>
      <c r="GYK232" s="83">
        <v>1</v>
      </c>
      <c r="GYN232" s="83">
        <v>1</v>
      </c>
      <c r="GYO232" s="83">
        <v>1</v>
      </c>
      <c r="GYP232" s="83">
        <v>1</v>
      </c>
      <c r="GYU232" s="83">
        <v>1</v>
      </c>
      <c r="GYV232" s="83">
        <v>1</v>
      </c>
      <c r="GYZ232" s="83">
        <v>1</v>
      </c>
      <c r="HBV232" s="83">
        <v>1</v>
      </c>
    </row>
    <row r="233" spans="1:1019 1032:2040 2053:3990 4119:5061 5123:5789" s="59" customFormat="1" x14ac:dyDescent="0.25">
      <c r="A233" s="59">
        <v>7086224</v>
      </c>
      <c r="B233" s="60" t="s">
        <v>4195</v>
      </c>
      <c r="BM233" s="59">
        <v>83.8</v>
      </c>
      <c r="CW233" s="59">
        <v>1.19</v>
      </c>
      <c r="EQ233" s="59">
        <v>30.1</v>
      </c>
      <c r="GQ233" s="59">
        <v>314</v>
      </c>
      <c r="IA233" s="59">
        <v>7300</v>
      </c>
      <c r="KA233" s="59">
        <v>1463.4</v>
      </c>
      <c r="KF233" s="59">
        <v>1153.8</v>
      </c>
      <c r="KN233" s="59">
        <v>210</v>
      </c>
      <c r="KS233" s="59">
        <v>112.2</v>
      </c>
      <c r="NP233" s="59">
        <v>1855.8</v>
      </c>
      <c r="NU233" s="59">
        <v>1438.8</v>
      </c>
      <c r="OC233" s="59">
        <v>338.4</v>
      </c>
      <c r="OH233" s="59">
        <v>187.8</v>
      </c>
      <c r="RD233" s="59">
        <v>378.6</v>
      </c>
      <c r="RI233" s="59">
        <v>454.2</v>
      </c>
      <c r="RQ233" s="59">
        <v>247.2</v>
      </c>
      <c r="RT233" s="59">
        <v>181.2</v>
      </c>
      <c r="AAC233" s="59">
        <v>13.29</v>
      </c>
      <c r="ABV233" s="59">
        <v>0.69340000000000002</v>
      </c>
      <c r="ACA233" s="59">
        <v>1.9965999999999999</v>
      </c>
      <c r="ACI233" s="59">
        <v>0.64929999999999999</v>
      </c>
      <c r="ACL233" s="59">
        <v>0.46150000000000002</v>
      </c>
      <c r="ADX233" s="59">
        <v>0.55989999999999995</v>
      </c>
      <c r="AEA233" s="59">
        <v>1.3573999999999999</v>
      </c>
      <c r="AEG233" s="59">
        <v>0.44340000000000002</v>
      </c>
      <c r="AEI233" s="59">
        <v>0.32240000000000002</v>
      </c>
      <c r="AFH233" s="59">
        <v>5.9</v>
      </c>
      <c r="AGP233" s="59">
        <v>196.2</v>
      </c>
      <c r="AGU233" s="59">
        <v>178.2</v>
      </c>
      <c r="AHC233" s="59" t="s">
        <v>2097</v>
      </c>
      <c r="AHG233" s="59">
        <v>116.4</v>
      </c>
      <c r="AJY233" s="59">
        <v>0.82579999999999998</v>
      </c>
      <c r="AKH233" s="59">
        <v>1.1425000000000001</v>
      </c>
      <c r="APB233" s="59">
        <v>58.822400000000002</v>
      </c>
      <c r="ASN233" s="59">
        <v>245000</v>
      </c>
      <c r="ATU233" s="59">
        <v>24</v>
      </c>
      <c r="AWY233" s="59">
        <v>29.6</v>
      </c>
      <c r="BAC233" s="59">
        <v>40</v>
      </c>
      <c r="BAL233" s="59">
        <v>35</v>
      </c>
      <c r="BBT233" s="59">
        <v>92.6</v>
      </c>
      <c r="BGI233" s="59">
        <v>138</v>
      </c>
      <c r="BHO233" s="59">
        <v>5</v>
      </c>
      <c r="BIR233" s="59">
        <v>2.2799999999999998</v>
      </c>
      <c r="BIV233" s="59">
        <v>2.14</v>
      </c>
      <c r="BJM233" s="59">
        <v>111</v>
      </c>
      <c r="BOA233" s="59">
        <v>50</v>
      </c>
      <c r="BOC233" s="59">
        <v>1</v>
      </c>
      <c r="BOD233" s="59">
        <v>47.05</v>
      </c>
      <c r="BOG233" s="59">
        <v>29</v>
      </c>
      <c r="BPC233" s="59">
        <v>1</v>
      </c>
      <c r="BPX233" s="59">
        <v>1</v>
      </c>
      <c r="BPZ233" s="59">
        <v>1</v>
      </c>
      <c r="BRI233" s="59">
        <v>1</v>
      </c>
      <c r="BRJ233" s="59">
        <v>1</v>
      </c>
      <c r="BRM233" s="59">
        <v>1</v>
      </c>
      <c r="BRR233" s="59">
        <v>1</v>
      </c>
      <c r="BSG233" s="59">
        <v>1</v>
      </c>
      <c r="BTP233" s="59">
        <v>1</v>
      </c>
      <c r="BUP233" s="59">
        <v>1</v>
      </c>
      <c r="BUZ233" s="59">
        <v>1</v>
      </c>
      <c r="BWO233" s="59">
        <v>1</v>
      </c>
      <c r="BYI233" s="59">
        <v>1</v>
      </c>
      <c r="BYJ233" s="65"/>
      <c r="BYK233" s="59">
        <v>0</v>
      </c>
      <c r="BYY233" s="59">
        <v>99200</v>
      </c>
      <c r="BYZ233" s="59">
        <v>1600</v>
      </c>
      <c r="BZA233" s="59">
        <v>1</v>
      </c>
      <c r="BZD233" s="59">
        <v>1</v>
      </c>
      <c r="BZF233" s="59">
        <v>74</v>
      </c>
      <c r="BZG233" s="59">
        <v>62</v>
      </c>
      <c r="BZH233" s="59">
        <v>0</v>
      </c>
      <c r="BZI233" s="59">
        <v>11</v>
      </c>
      <c r="BZL233" s="59">
        <v>0</v>
      </c>
      <c r="CDZ233" s="59">
        <v>300</v>
      </c>
      <c r="CEA233" s="59">
        <v>1</v>
      </c>
      <c r="CED233" s="59">
        <v>1</v>
      </c>
      <c r="CEE233" s="59">
        <v>75</v>
      </c>
      <c r="CEF233" s="59">
        <v>62</v>
      </c>
      <c r="CEG233" s="59">
        <v>0</v>
      </c>
      <c r="CEH233" s="59">
        <v>12</v>
      </c>
      <c r="DCY233" s="59">
        <v>1</v>
      </c>
      <c r="DCZ233" s="59">
        <v>36</v>
      </c>
      <c r="DDA233" s="59">
        <v>27</v>
      </c>
      <c r="DDB233" s="59">
        <v>0</v>
      </c>
      <c r="DDC233" s="59">
        <v>9</v>
      </c>
      <c r="DDP233" s="59">
        <v>10</v>
      </c>
      <c r="DDQ233" s="59">
        <v>1</v>
      </c>
      <c r="DDT233" s="59">
        <v>1</v>
      </c>
      <c r="DDU233" s="69">
        <v>999</v>
      </c>
      <c r="DDV233" s="59">
        <v>67</v>
      </c>
      <c r="DDW233" s="59">
        <v>0</v>
      </c>
      <c r="DDX233" s="59">
        <v>999</v>
      </c>
      <c r="DGH233" s="59">
        <v>5</v>
      </c>
      <c r="DGI233" s="59">
        <v>1</v>
      </c>
      <c r="DGL233" s="59">
        <v>1</v>
      </c>
      <c r="DGM233" s="59">
        <v>427</v>
      </c>
      <c r="DGN233" s="59">
        <v>417</v>
      </c>
      <c r="DGO233" s="59">
        <v>0</v>
      </c>
      <c r="DGP233" s="59">
        <v>10</v>
      </c>
      <c r="DMW233" s="59">
        <v>2.5</v>
      </c>
      <c r="DMX233" s="59">
        <v>1</v>
      </c>
      <c r="DNA233" s="59">
        <v>1</v>
      </c>
      <c r="DNB233" s="59">
        <v>26</v>
      </c>
      <c r="DNC233" s="59">
        <v>52</v>
      </c>
      <c r="DND233" s="59">
        <v>28</v>
      </c>
      <c r="DNE233" s="59">
        <v>0</v>
      </c>
      <c r="ELY233" s="59">
        <v>80</v>
      </c>
      <c r="ELZ233" s="59">
        <v>1</v>
      </c>
      <c r="EMC233" s="59">
        <v>1</v>
      </c>
      <c r="EMD233" s="69">
        <v>999</v>
      </c>
      <c r="EME233" s="59">
        <v>732</v>
      </c>
      <c r="EMF233" s="59">
        <v>0</v>
      </c>
      <c r="EMG233" s="59">
        <v>999</v>
      </c>
      <c r="FYS233" s="59">
        <v>25</v>
      </c>
      <c r="FYT233" s="59">
        <v>1</v>
      </c>
      <c r="FYW233" s="59">
        <v>1</v>
      </c>
      <c r="FYX233" s="69">
        <v>999</v>
      </c>
      <c r="FYY233" s="59">
        <v>999</v>
      </c>
      <c r="FYZ233" s="59">
        <v>0</v>
      </c>
      <c r="FZA233" s="59">
        <v>999</v>
      </c>
      <c r="GEV233" s="59">
        <v>1</v>
      </c>
      <c r="GEW233" s="69">
        <v>999</v>
      </c>
      <c r="GEX233" s="59">
        <v>999</v>
      </c>
      <c r="GEY233" s="59">
        <v>0</v>
      </c>
      <c r="GEZ233" s="59">
        <v>999</v>
      </c>
      <c r="GWR233" s="59">
        <v>1</v>
      </c>
      <c r="GXP233" s="59">
        <v>1</v>
      </c>
      <c r="GYA233" s="59">
        <v>1</v>
      </c>
      <c r="GYG233" s="59">
        <v>1</v>
      </c>
      <c r="GZQ233" s="59">
        <v>1</v>
      </c>
      <c r="HAH233" s="59">
        <v>1</v>
      </c>
      <c r="HBW233" s="59">
        <v>1</v>
      </c>
      <c r="HCA233" s="59">
        <v>1</v>
      </c>
      <c r="HCB233" s="59">
        <v>1</v>
      </c>
      <c r="HEA233" s="59">
        <v>1</v>
      </c>
      <c r="HMP233" s="59">
        <v>1</v>
      </c>
      <c r="HMR233" s="59">
        <v>1</v>
      </c>
    </row>
    <row r="234" spans="1:1019 1032:2040 2053:3990 4119:5061 5123:5789" s="83" customFormat="1" x14ac:dyDescent="0.25">
      <c r="A234" s="98">
        <v>8040959</v>
      </c>
      <c r="B234" s="83" t="s">
        <v>4195</v>
      </c>
      <c r="JO234" s="83">
        <v>543.1</v>
      </c>
      <c r="ND234" s="83">
        <v>1375</v>
      </c>
      <c r="QR234" s="83">
        <v>778.1</v>
      </c>
      <c r="BOA234" s="83">
        <v>40</v>
      </c>
      <c r="BOB234" s="83">
        <v>1</v>
      </c>
      <c r="BOD234" s="83">
        <v>37.979999999999997</v>
      </c>
      <c r="BPX234" s="83">
        <v>1</v>
      </c>
      <c r="BYJ234" s="95"/>
      <c r="BYK234" s="83">
        <v>0</v>
      </c>
      <c r="BYY234" s="83">
        <v>21600</v>
      </c>
      <c r="BYZ234" s="99">
        <v>600</v>
      </c>
      <c r="BZA234" s="83">
        <v>1</v>
      </c>
      <c r="BZF234" s="100">
        <v>999</v>
      </c>
      <c r="BZG234" s="83">
        <v>36</v>
      </c>
      <c r="BZH234" s="83">
        <v>0</v>
      </c>
      <c r="BZI234" s="83">
        <v>999</v>
      </c>
      <c r="BZL234" s="83">
        <v>0</v>
      </c>
      <c r="CBJ234" s="100">
        <v>999</v>
      </c>
      <c r="CBK234" s="83">
        <v>50</v>
      </c>
      <c r="CBL234" s="83">
        <v>0</v>
      </c>
      <c r="CBM234" s="83">
        <v>999</v>
      </c>
      <c r="ELY234" s="83">
        <v>40</v>
      </c>
      <c r="ELZ234" s="83">
        <v>1</v>
      </c>
      <c r="EMD234" s="100">
        <v>999</v>
      </c>
      <c r="EME234" s="83">
        <v>153</v>
      </c>
      <c r="EMF234" s="83">
        <v>0</v>
      </c>
      <c r="EMG234" s="83">
        <v>999</v>
      </c>
      <c r="FLI234" s="83">
        <v>75</v>
      </c>
      <c r="FLJ234" s="83">
        <v>1</v>
      </c>
      <c r="FLN234" s="100">
        <v>999</v>
      </c>
      <c r="FLO234" s="83">
        <v>76</v>
      </c>
      <c r="FLP234" s="83">
        <v>0</v>
      </c>
      <c r="FLQ234" s="83">
        <v>999</v>
      </c>
      <c r="GAR234" s="83">
        <v>75</v>
      </c>
      <c r="GAS234" s="83">
        <v>2</v>
      </c>
      <c r="GAW234" s="100">
        <v>999</v>
      </c>
      <c r="GAX234" s="83">
        <v>153</v>
      </c>
      <c r="GAY234" s="83">
        <v>0</v>
      </c>
      <c r="GAZ234" s="83">
        <v>999</v>
      </c>
      <c r="HDF234" s="83">
        <v>1</v>
      </c>
    </row>
    <row r="235" spans="1:1019 1032:2040 2053:3990 4119:5061 5123:5789" s="83" customFormat="1" x14ac:dyDescent="0.25">
      <c r="A235" s="83">
        <v>8107048</v>
      </c>
      <c r="B235" s="83" t="s">
        <v>4195</v>
      </c>
      <c r="CM235" s="83">
        <v>0.92</v>
      </c>
      <c r="JQ235" s="83">
        <v>570</v>
      </c>
      <c r="KA235" s="83">
        <v>276</v>
      </c>
      <c r="NF235" s="83">
        <v>1012.2</v>
      </c>
      <c r="NP235" s="83" t="s">
        <v>2109</v>
      </c>
      <c r="QT235" s="83">
        <v>312</v>
      </c>
      <c r="RD235" s="83">
        <v>271.2</v>
      </c>
      <c r="TL235" s="83">
        <v>292.8</v>
      </c>
      <c r="AQS235" s="83">
        <v>41900000000</v>
      </c>
      <c r="BKB235" s="83">
        <v>379</v>
      </c>
      <c r="BKT235" s="83">
        <v>6.52</v>
      </c>
      <c r="BOA235" s="83">
        <v>56</v>
      </c>
      <c r="BOB235" s="83">
        <v>1</v>
      </c>
      <c r="BOF235" s="83">
        <v>1</v>
      </c>
      <c r="BOI235" s="83">
        <v>1</v>
      </c>
      <c r="BQB235" s="83">
        <v>1</v>
      </c>
      <c r="BRL235" s="83">
        <v>1</v>
      </c>
      <c r="BSG235" s="83">
        <v>1</v>
      </c>
      <c r="BSM235" s="83">
        <v>1</v>
      </c>
      <c r="BVA235" s="83">
        <v>1</v>
      </c>
      <c r="BYJ235" s="95"/>
      <c r="BYK235" s="83">
        <v>0</v>
      </c>
      <c r="BYY235" s="83">
        <v>0</v>
      </c>
      <c r="BZF235" s="83">
        <v>999</v>
      </c>
      <c r="BZG235" s="83">
        <v>999</v>
      </c>
      <c r="BZL235" s="83">
        <v>0</v>
      </c>
      <c r="DCY235" s="83">
        <v>1</v>
      </c>
      <c r="DCZ235" s="100">
        <v>999</v>
      </c>
      <c r="DDA235" s="83">
        <v>999</v>
      </c>
      <c r="DDB235" s="83">
        <v>0</v>
      </c>
      <c r="DDC235" s="83">
        <v>999</v>
      </c>
      <c r="DIJ235" s="83">
        <v>1</v>
      </c>
      <c r="DIK235" s="100">
        <v>999</v>
      </c>
      <c r="DIL235" s="83">
        <v>999</v>
      </c>
      <c r="DIM235" s="83">
        <v>0</v>
      </c>
      <c r="DIN235" s="83">
        <v>999</v>
      </c>
      <c r="DKS235" s="83">
        <v>1</v>
      </c>
      <c r="DKT235" s="100">
        <v>999</v>
      </c>
      <c r="DKU235" s="83">
        <v>999</v>
      </c>
      <c r="DKV235" s="83">
        <v>0</v>
      </c>
      <c r="DKW235" s="83">
        <v>999</v>
      </c>
      <c r="EBU235" s="83">
        <v>1</v>
      </c>
      <c r="EBV235" s="103">
        <v>999</v>
      </c>
      <c r="EBW235" s="83">
        <v>999</v>
      </c>
      <c r="FTQ235" s="100">
        <v>999</v>
      </c>
      <c r="FTR235" s="83">
        <v>580</v>
      </c>
      <c r="FTS235" s="83">
        <v>0</v>
      </c>
      <c r="FTT235" s="83">
        <v>999</v>
      </c>
      <c r="GOA235" s="98" t="s">
        <v>2198</v>
      </c>
      <c r="GOB235" s="83">
        <v>0.14000000000000001</v>
      </c>
      <c r="GOD235" s="83">
        <v>1</v>
      </c>
      <c r="GOG235" s="83">
        <v>79</v>
      </c>
      <c r="GOH235" s="83">
        <v>72</v>
      </c>
      <c r="GOI235" s="83">
        <v>14</v>
      </c>
      <c r="GOJ235" s="83">
        <v>0</v>
      </c>
      <c r="GQC235" s="83">
        <v>10</v>
      </c>
      <c r="GQD235" s="83">
        <v>0.14000000000000001</v>
      </c>
      <c r="GQH235" s="100">
        <v>999</v>
      </c>
      <c r="GQI235" s="83">
        <v>999</v>
      </c>
      <c r="GQJ235" s="83">
        <v>0</v>
      </c>
      <c r="GQK235" s="83">
        <v>999</v>
      </c>
      <c r="HCA235" s="83">
        <v>1</v>
      </c>
    </row>
    <row r="236" spans="1:1019 1032:2040 2053:3990 4119:5061 5123:5789" s="83" customFormat="1" x14ac:dyDescent="0.25">
      <c r="A236" s="98">
        <v>8124044</v>
      </c>
      <c r="B236" s="83" t="s">
        <v>4195</v>
      </c>
      <c r="JQ236" s="83">
        <v>199</v>
      </c>
      <c r="KB236" s="83">
        <v>1002</v>
      </c>
      <c r="KE236" s="83">
        <v>1378</v>
      </c>
      <c r="KI236" s="83">
        <v>510</v>
      </c>
      <c r="KL236" s="83">
        <v>160</v>
      </c>
      <c r="KQ236" s="83">
        <v>60</v>
      </c>
      <c r="LC236" s="83">
        <v>1002</v>
      </c>
      <c r="LE236" s="83">
        <v>1378</v>
      </c>
      <c r="LG236" s="83">
        <v>1194</v>
      </c>
      <c r="LH236" s="83">
        <v>501</v>
      </c>
      <c r="LJ236" s="83">
        <v>160</v>
      </c>
      <c r="LM236" s="83">
        <v>144</v>
      </c>
      <c r="NF236" s="83">
        <v>392</v>
      </c>
      <c r="NQ236" s="83">
        <v>685</v>
      </c>
      <c r="NT236" s="83">
        <v>924</v>
      </c>
      <c r="NX236" s="83">
        <v>742</v>
      </c>
      <c r="OA236" s="83">
        <v>346</v>
      </c>
      <c r="OF236" s="83">
        <v>108</v>
      </c>
      <c r="OS236" s="83">
        <v>685</v>
      </c>
      <c r="OU236" s="83">
        <v>924</v>
      </c>
      <c r="OV236" s="83">
        <v>826</v>
      </c>
      <c r="OW236" s="83">
        <v>913</v>
      </c>
      <c r="OX236" s="83">
        <v>742</v>
      </c>
      <c r="OZ236" s="83">
        <v>346</v>
      </c>
      <c r="PC236" s="83">
        <v>244</v>
      </c>
      <c r="SE236" s="83">
        <v>766</v>
      </c>
      <c r="SG236" s="83">
        <v>741</v>
      </c>
      <c r="SK236" s="83">
        <v>390</v>
      </c>
      <c r="ABL236" s="83">
        <v>0.8</v>
      </c>
      <c r="ACS236" s="83">
        <v>0.76</v>
      </c>
      <c r="ACU236" s="83">
        <v>0.76</v>
      </c>
      <c r="ACX236" s="83">
        <v>0.53</v>
      </c>
      <c r="ACZ236" s="83">
        <v>0.49</v>
      </c>
      <c r="ADC236" s="83">
        <v>0.52</v>
      </c>
      <c r="AHO236" s="83">
        <v>369</v>
      </c>
      <c r="AHQ236" s="83">
        <v>405</v>
      </c>
      <c r="AHU236" s="83">
        <v>195</v>
      </c>
      <c r="AMR236" s="83">
        <v>721</v>
      </c>
      <c r="AMS236" s="83">
        <v>53</v>
      </c>
      <c r="BOA236" s="83">
        <v>19</v>
      </c>
      <c r="BOB236" s="83">
        <v>1</v>
      </c>
      <c r="BOD236" s="83">
        <v>23.39</v>
      </c>
      <c r="BOF236" s="83">
        <v>1</v>
      </c>
      <c r="BOI236" s="83">
        <v>1</v>
      </c>
      <c r="BPC236" s="83">
        <v>1</v>
      </c>
      <c r="BQA236" s="83">
        <v>1</v>
      </c>
      <c r="BQB236" s="83">
        <v>1</v>
      </c>
      <c r="BRE236" s="83">
        <v>1</v>
      </c>
      <c r="BUD236" s="83">
        <v>1</v>
      </c>
      <c r="BYJ236" s="95"/>
      <c r="BYK236" s="83">
        <v>0</v>
      </c>
      <c r="BYY236" s="83">
        <v>28800</v>
      </c>
      <c r="BYZ236" s="83">
        <v>800</v>
      </c>
      <c r="BZA236" s="83">
        <v>4</v>
      </c>
      <c r="BZD236" s="83">
        <v>1</v>
      </c>
      <c r="BZF236" s="83">
        <v>48</v>
      </c>
      <c r="BZG236" s="83">
        <v>9</v>
      </c>
      <c r="BZH236" s="83">
        <v>0</v>
      </c>
      <c r="BZI236" s="83">
        <v>38</v>
      </c>
      <c r="BZL236" s="83">
        <v>0</v>
      </c>
      <c r="BZY236" s="83">
        <v>100</v>
      </c>
      <c r="BZZ236" s="83">
        <v>1</v>
      </c>
      <c r="CAC236" s="83">
        <v>1</v>
      </c>
      <c r="CAD236" s="83">
        <v>244</v>
      </c>
      <c r="CAE236" s="83">
        <v>305</v>
      </c>
      <c r="CAF236" s="83">
        <v>9</v>
      </c>
      <c r="CAG236" s="83">
        <v>0</v>
      </c>
      <c r="EFI236" s="99">
        <v>18</v>
      </c>
      <c r="EFJ236" s="83">
        <v>1</v>
      </c>
      <c r="EFM236" s="83">
        <v>1</v>
      </c>
      <c r="EFO236" s="96">
        <v>999</v>
      </c>
      <c r="EFP236" s="83">
        <v>999</v>
      </c>
      <c r="EFQ236" s="83">
        <v>0</v>
      </c>
      <c r="EFR236" s="83">
        <v>50</v>
      </c>
      <c r="GWN236" s="83">
        <v>1</v>
      </c>
      <c r="GYA236" s="83">
        <v>1</v>
      </c>
      <c r="GZD236" s="83">
        <v>1</v>
      </c>
      <c r="HCA236" s="83">
        <v>1</v>
      </c>
    </row>
    <row r="237" spans="1:1019 1032:2040 2053:3990 4119:5061 5123:5789" s="59" customFormat="1" x14ac:dyDescent="0.25">
      <c r="A237" s="59">
        <v>8142949</v>
      </c>
      <c r="B237" s="60" t="s">
        <v>4195</v>
      </c>
      <c r="JZ237" s="59">
        <v>309</v>
      </c>
      <c r="KB237" s="59">
        <v>369</v>
      </c>
      <c r="KF237" s="59">
        <v>261</v>
      </c>
      <c r="KN237" s="59">
        <v>39</v>
      </c>
      <c r="NO237" s="59">
        <v>592</v>
      </c>
      <c r="NQ237" s="59">
        <v>710</v>
      </c>
      <c r="NU237" s="59">
        <v>582</v>
      </c>
      <c r="OC237" s="59">
        <v>149</v>
      </c>
      <c r="ABU237" s="59">
        <v>4.49</v>
      </c>
      <c r="ABW237" s="59">
        <v>6.3</v>
      </c>
      <c r="ACA237" s="59">
        <v>3</v>
      </c>
      <c r="ACI237" s="59">
        <v>1.1000000000000001</v>
      </c>
      <c r="BOA237" s="59">
        <v>37</v>
      </c>
      <c r="BOC237" s="59">
        <v>1</v>
      </c>
      <c r="BOD237" s="59">
        <v>17.149999999999999</v>
      </c>
      <c r="BOF237" s="59">
        <v>1</v>
      </c>
      <c r="BOG237" s="59">
        <v>122</v>
      </c>
      <c r="BPC237" s="59">
        <v>1</v>
      </c>
      <c r="BXZ237" s="59">
        <v>1</v>
      </c>
      <c r="BYE237" s="59">
        <v>1</v>
      </c>
      <c r="BYJ237" s="65"/>
      <c r="BYK237" s="59">
        <v>0</v>
      </c>
      <c r="BYY237" s="59">
        <v>21600</v>
      </c>
      <c r="BYZ237" s="59">
        <v>400</v>
      </c>
      <c r="BZA237" s="59">
        <v>3</v>
      </c>
      <c r="BZD237" s="59">
        <v>1</v>
      </c>
      <c r="BZF237" s="59">
        <v>19</v>
      </c>
      <c r="BZG237" s="59">
        <v>18</v>
      </c>
      <c r="BZH237" s="59">
        <v>0</v>
      </c>
      <c r="BZI237" s="59">
        <v>0</v>
      </c>
      <c r="BZL237" s="59">
        <v>0</v>
      </c>
      <c r="CBE237" s="59">
        <v>750</v>
      </c>
      <c r="CBF237" s="59">
        <v>1</v>
      </c>
      <c r="CBI237" s="59">
        <v>1</v>
      </c>
      <c r="CBJ237" s="59">
        <v>15</v>
      </c>
      <c r="CBK237" s="59">
        <v>18</v>
      </c>
      <c r="CBL237" s="59">
        <v>5</v>
      </c>
      <c r="CBM237" s="59">
        <v>0</v>
      </c>
      <c r="CHE237" s="59">
        <v>75</v>
      </c>
      <c r="CHF237" s="59">
        <v>1</v>
      </c>
      <c r="CHI237" s="59">
        <v>1</v>
      </c>
      <c r="CHJ237" s="59">
        <v>1</v>
      </c>
      <c r="CHK237" s="59">
        <v>5</v>
      </c>
      <c r="CHL237" s="59">
        <v>5</v>
      </c>
      <c r="CHM237" s="59">
        <v>0</v>
      </c>
      <c r="CYK237" s="59">
        <v>1</v>
      </c>
      <c r="CYL237" s="59">
        <v>1</v>
      </c>
      <c r="CYO237" s="59">
        <v>1</v>
      </c>
      <c r="CYP237" s="59">
        <v>13</v>
      </c>
      <c r="CYQ237" s="59">
        <v>18</v>
      </c>
      <c r="CYR237" s="59">
        <v>6</v>
      </c>
      <c r="CYS237" s="59">
        <v>0</v>
      </c>
      <c r="DXX237" s="59">
        <v>3000</v>
      </c>
      <c r="DXY237" s="59">
        <v>1</v>
      </c>
      <c r="DYC237" s="59">
        <v>1</v>
      </c>
      <c r="DYD237" s="59">
        <v>16</v>
      </c>
      <c r="DYE237" s="59">
        <v>18</v>
      </c>
      <c r="DYF237" s="59">
        <v>4</v>
      </c>
      <c r="DYG237" s="59">
        <v>0</v>
      </c>
      <c r="ELY237" s="59">
        <v>40</v>
      </c>
      <c r="ELZ237" s="59">
        <v>1</v>
      </c>
      <c r="EMC237" s="59">
        <v>1</v>
      </c>
      <c r="EMD237" s="59">
        <v>19</v>
      </c>
      <c r="EME237" s="59">
        <v>18</v>
      </c>
      <c r="EMF237" s="59">
        <v>0</v>
      </c>
      <c r="EMG237" s="59">
        <v>0</v>
      </c>
      <c r="GWL237" s="59">
        <v>1</v>
      </c>
      <c r="GXZ237" s="59">
        <v>1</v>
      </c>
      <c r="GZD237" s="59">
        <v>1</v>
      </c>
      <c r="HCA237" s="59">
        <v>1</v>
      </c>
      <c r="HCB237" s="59">
        <v>1</v>
      </c>
      <c r="HDF237" s="59">
        <v>1</v>
      </c>
    </row>
    <row r="238" spans="1:1019 1032:2040 2053:3990 4119:5061 5123:5789" s="59" customFormat="1" x14ac:dyDescent="0.25">
      <c r="A238" s="59">
        <v>9023306</v>
      </c>
      <c r="B238" s="60" t="s">
        <v>4195</v>
      </c>
      <c r="JT238" s="59">
        <v>227.4</v>
      </c>
      <c r="JU238" s="59">
        <v>157.80000000000001</v>
      </c>
      <c r="JV238" s="59">
        <v>37.799999999999997</v>
      </c>
      <c r="JY238" s="59">
        <v>30</v>
      </c>
      <c r="NI238" s="59">
        <v>336</v>
      </c>
      <c r="NJ238" s="59">
        <v>276</v>
      </c>
      <c r="NK238" s="59">
        <v>120</v>
      </c>
      <c r="NN238" s="59">
        <v>91.8</v>
      </c>
      <c r="QW238" s="59">
        <v>402</v>
      </c>
      <c r="QX238" s="59">
        <v>318</v>
      </c>
      <c r="QY238" s="59">
        <v>258</v>
      </c>
      <c r="RB238" s="59">
        <v>239.4</v>
      </c>
      <c r="TO238" s="59">
        <v>408</v>
      </c>
      <c r="ABO238" s="59">
        <v>0.3508</v>
      </c>
      <c r="AGI238" s="59">
        <v>273</v>
      </c>
      <c r="AGK238" s="59">
        <v>180</v>
      </c>
      <c r="AGN238" s="59">
        <v>165.6</v>
      </c>
      <c r="AJR238" s="59">
        <v>0.85970000000000002</v>
      </c>
      <c r="BOA238" s="59">
        <v>46</v>
      </c>
      <c r="BOC238" s="59">
        <v>1</v>
      </c>
      <c r="BOD238" s="59">
        <v>24.83</v>
      </c>
      <c r="BOF238" s="59">
        <v>1</v>
      </c>
      <c r="BOG238" s="59">
        <v>9</v>
      </c>
      <c r="BYJ238" s="65"/>
      <c r="BYK238" s="59">
        <v>0</v>
      </c>
      <c r="BYY238" s="59">
        <v>10800</v>
      </c>
      <c r="BYZ238" s="59">
        <v>600</v>
      </c>
      <c r="BZA238" s="59">
        <v>2</v>
      </c>
      <c r="BZD238" s="59">
        <v>1</v>
      </c>
      <c r="BZF238" s="59">
        <v>12</v>
      </c>
      <c r="BZG238" s="59">
        <v>9</v>
      </c>
      <c r="BZH238" s="59">
        <v>0</v>
      </c>
      <c r="BZI238" s="59">
        <v>2</v>
      </c>
      <c r="BZL238" s="59">
        <v>0</v>
      </c>
      <c r="CBE238" s="59">
        <v>30</v>
      </c>
      <c r="CBF238" s="59">
        <v>3</v>
      </c>
      <c r="CBI238" s="59">
        <v>1</v>
      </c>
      <c r="CBJ238" s="59">
        <v>2</v>
      </c>
      <c r="CBK238" s="59">
        <v>4</v>
      </c>
      <c r="CBL238" s="59">
        <v>3</v>
      </c>
      <c r="CBM238" s="59">
        <v>0</v>
      </c>
      <c r="GYD238" s="59">
        <v>1</v>
      </c>
      <c r="GYE238" s="59">
        <v>1</v>
      </c>
      <c r="GYG238" s="59">
        <v>1</v>
      </c>
    </row>
    <row r="239" spans="1:1019 1032:2040 2053:3990 4119:5061 5123:5789" s="83" customFormat="1" x14ac:dyDescent="0.25">
      <c r="A239" s="83">
        <v>9034464</v>
      </c>
      <c r="B239" s="83" t="s">
        <v>4195</v>
      </c>
      <c r="BC239" s="83">
        <v>47</v>
      </c>
      <c r="BD239" s="83">
        <v>67</v>
      </c>
      <c r="DN239" s="83">
        <v>91</v>
      </c>
      <c r="DO239" s="83">
        <v>102</v>
      </c>
      <c r="DT239" s="83">
        <v>47</v>
      </c>
      <c r="DU239" s="83">
        <v>67</v>
      </c>
      <c r="EB239" s="83">
        <v>37</v>
      </c>
      <c r="EG239" s="83">
        <v>49</v>
      </c>
      <c r="EH239" s="83">
        <v>44</v>
      </c>
      <c r="HJ239" s="97">
        <v>10590</v>
      </c>
      <c r="ZH239" s="83">
        <v>23.69</v>
      </c>
      <c r="ZM239" s="83">
        <v>14.82</v>
      </c>
      <c r="ZS239" s="83">
        <v>7.9</v>
      </c>
      <c r="ZU239" s="83">
        <v>8.3800000000000008</v>
      </c>
      <c r="ZW239" s="83">
        <v>9.1</v>
      </c>
      <c r="ZX239" s="83">
        <v>10.31</v>
      </c>
      <c r="ZY239" s="83">
        <v>11.76</v>
      </c>
      <c r="ABJ239" s="96"/>
      <c r="ABK239" s="96"/>
      <c r="ABL239" s="96"/>
      <c r="ABM239" s="96"/>
      <c r="ABN239" s="96"/>
      <c r="ABO239" s="96"/>
      <c r="ABP239" s="96"/>
      <c r="ABQ239" s="96"/>
      <c r="ABR239" s="96"/>
      <c r="ABS239" s="96"/>
      <c r="ABT239" s="96"/>
      <c r="ANH239" s="83">
        <v>177</v>
      </c>
      <c r="ANI239" s="83">
        <v>134.30000000000001</v>
      </c>
      <c r="ANK239" s="83">
        <v>139.1</v>
      </c>
      <c r="ANM239" s="83">
        <v>63.1</v>
      </c>
      <c r="BOA239" s="83">
        <v>66</v>
      </c>
      <c r="BOB239" s="83">
        <v>1</v>
      </c>
      <c r="BOD239" s="83">
        <v>26.59</v>
      </c>
      <c r="BOF239" s="83">
        <v>1</v>
      </c>
      <c r="BOG239" s="83">
        <v>2</v>
      </c>
      <c r="BYJ239" s="95"/>
      <c r="BYK239" s="83">
        <v>0</v>
      </c>
      <c r="BYY239" s="83">
        <v>0</v>
      </c>
      <c r="BYZ239" s="83">
        <v>1800</v>
      </c>
      <c r="BZA239" s="83">
        <v>1</v>
      </c>
      <c r="BZL239" s="83">
        <v>0</v>
      </c>
      <c r="EAA239" s="83">
        <v>10</v>
      </c>
      <c r="EAB239" s="83">
        <v>1</v>
      </c>
      <c r="EAF239" s="83">
        <v>2</v>
      </c>
      <c r="EAG239" s="83">
        <v>1</v>
      </c>
      <c r="EAH239" s="83">
        <v>0</v>
      </c>
      <c r="EAI239" s="83">
        <v>0</v>
      </c>
      <c r="ELY239" s="83">
        <v>40</v>
      </c>
      <c r="ELZ239" s="83">
        <v>1</v>
      </c>
      <c r="GWE239" s="83">
        <v>1</v>
      </c>
      <c r="HBD239" s="83">
        <v>1</v>
      </c>
      <c r="HDQ239" s="83">
        <v>1</v>
      </c>
      <c r="HJU239" s="83">
        <v>1</v>
      </c>
    </row>
    <row r="240" spans="1:1019 1032:2040 2053:3990 4119:5061 5123:5789" s="59" customFormat="1" x14ac:dyDescent="0.25">
      <c r="A240" s="59">
        <v>9040167</v>
      </c>
      <c r="B240" s="60" t="s">
        <v>4195</v>
      </c>
      <c r="AZ240" s="59">
        <v>110</v>
      </c>
      <c r="CJ240" s="59">
        <v>0.93</v>
      </c>
      <c r="EE240" s="59">
        <v>27.5</v>
      </c>
      <c r="HN240" s="59">
        <v>7780</v>
      </c>
      <c r="ZP240" s="59">
        <v>13.86</v>
      </c>
      <c r="ABJ240" s="63"/>
      <c r="ABK240" s="63"/>
      <c r="ABL240" s="63"/>
      <c r="ABM240" s="63"/>
      <c r="ABN240" s="63"/>
      <c r="ABO240" s="63"/>
      <c r="ABP240" s="63"/>
      <c r="ABQ240" s="63"/>
      <c r="ABR240" s="63"/>
      <c r="ABS240" s="63"/>
      <c r="ABT240" s="63"/>
      <c r="AJL240" s="59">
        <v>0.88229999999999997</v>
      </c>
      <c r="AJO240" s="59">
        <v>0.85970000000000002</v>
      </c>
      <c r="AND240" s="59">
        <v>2.4900000000000002</v>
      </c>
      <c r="ASA240" s="59">
        <v>236000</v>
      </c>
      <c r="AWN240" s="59">
        <v>35.799999999999997</v>
      </c>
      <c r="AZP240" s="59">
        <v>38</v>
      </c>
      <c r="BFV240" s="59">
        <v>123</v>
      </c>
      <c r="BFY240" s="59">
        <v>132</v>
      </c>
      <c r="BHB240" s="59">
        <v>3.3</v>
      </c>
      <c r="BHE240" s="59">
        <v>3.8</v>
      </c>
      <c r="BIE240" s="59">
        <v>2.33</v>
      </c>
      <c r="BIH240" s="59">
        <v>2.4500000000000002</v>
      </c>
      <c r="BOA240" s="59">
        <v>84</v>
      </c>
      <c r="BOC240" s="59">
        <v>1</v>
      </c>
      <c r="BOD240" s="59">
        <v>26.35</v>
      </c>
      <c r="BOF240" s="59">
        <v>1</v>
      </c>
      <c r="BOG240" s="59">
        <v>31</v>
      </c>
      <c r="BPI240" s="59">
        <v>1</v>
      </c>
      <c r="BRD240" s="59">
        <v>1</v>
      </c>
      <c r="BRM240" s="59">
        <v>1</v>
      </c>
      <c r="BRO240" s="59">
        <v>1</v>
      </c>
      <c r="BRR240" s="59">
        <v>1</v>
      </c>
      <c r="BSF240" s="59">
        <v>1</v>
      </c>
      <c r="BSG240" s="59">
        <v>1</v>
      </c>
      <c r="BSN240" s="59">
        <v>1</v>
      </c>
      <c r="BUV240" s="59">
        <v>1</v>
      </c>
      <c r="BWW240" s="59">
        <v>1</v>
      </c>
      <c r="BWX240" s="59">
        <v>1</v>
      </c>
      <c r="BYJ240" s="65"/>
      <c r="BYK240" s="59">
        <v>0</v>
      </c>
      <c r="BYY240" s="59">
        <v>70800</v>
      </c>
      <c r="BYZ240" s="59">
        <v>600</v>
      </c>
      <c r="BZA240" s="59">
        <v>2</v>
      </c>
      <c r="BZD240" s="59">
        <v>1</v>
      </c>
      <c r="BZF240" s="59">
        <v>61</v>
      </c>
      <c r="BZG240" s="59">
        <v>59</v>
      </c>
      <c r="BZH240" s="59">
        <v>2</v>
      </c>
      <c r="BZI240" s="59">
        <v>0</v>
      </c>
      <c r="BZL240" s="59">
        <v>0</v>
      </c>
      <c r="CAC240" s="59">
        <v>1</v>
      </c>
      <c r="CAD240" s="59">
        <v>824</v>
      </c>
      <c r="CAE240" s="59">
        <v>822</v>
      </c>
      <c r="CAF240" s="59">
        <v>2</v>
      </c>
      <c r="CAG240" s="59">
        <v>0</v>
      </c>
      <c r="CCI240" s="59">
        <v>50</v>
      </c>
      <c r="CCJ240" s="59">
        <v>2</v>
      </c>
      <c r="CCM240" s="59">
        <v>1</v>
      </c>
      <c r="CCN240" s="59">
        <v>31</v>
      </c>
      <c r="DCU240" s="59">
        <v>25</v>
      </c>
      <c r="DCV240" s="59">
        <v>1</v>
      </c>
      <c r="DCY240" s="59">
        <v>1</v>
      </c>
      <c r="DCZ240" s="59">
        <v>824</v>
      </c>
      <c r="DDA240" s="59">
        <v>822</v>
      </c>
      <c r="DDB240" s="59">
        <v>2</v>
      </c>
      <c r="DDC240" s="59">
        <v>0</v>
      </c>
      <c r="DGR240" s="59">
        <v>5</v>
      </c>
      <c r="DGS240" s="59">
        <v>1</v>
      </c>
      <c r="DGV240" s="59">
        <v>1</v>
      </c>
      <c r="DGW240" s="69">
        <v>999</v>
      </c>
      <c r="DGX240" s="59">
        <v>999</v>
      </c>
      <c r="DGY240" s="59">
        <v>0</v>
      </c>
      <c r="DGZ240" s="59">
        <v>999</v>
      </c>
      <c r="DMQ240" s="59">
        <v>1</v>
      </c>
      <c r="DMR240" s="59">
        <v>824</v>
      </c>
      <c r="DMS240" s="59">
        <v>822</v>
      </c>
      <c r="DMT240" s="59">
        <v>2</v>
      </c>
      <c r="DMU240" s="59">
        <v>0</v>
      </c>
      <c r="EGX240" s="59">
        <v>36</v>
      </c>
      <c r="EGY240" s="59">
        <v>1</v>
      </c>
      <c r="EHB240" s="59">
        <v>1</v>
      </c>
      <c r="EHC240" s="59">
        <v>31</v>
      </c>
      <c r="EHD240" s="59">
        <v>30</v>
      </c>
      <c r="EHE240" s="59">
        <v>0</v>
      </c>
      <c r="EHF240" s="59">
        <v>1</v>
      </c>
      <c r="FYS240" s="59">
        <v>50</v>
      </c>
      <c r="FYT240" s="59">
        <v>1</v>
      </c>
      <c r="FYW240" s="59">
        <v>1</v>
      </c>
      <c r="FYX240" s="69">
        <v>999</v>
      </c>
      <c r="FYY240" s="59">
        <v>999</v>
      </c>
      <c r="FYZ240" s="59">
        <v>0</v>
      </c>
      <c r="FZA240" s="59">
        <v>999</v>
      </c>
      <c r="GXT240" s="59">
        <v>1</v>
      </c>
      <c r="GXZ240" s="59">
        <v>1</v>
      </c>
      <c r="GYA240" s="59">
        <v>1</v>
      </c>
      <c r="GYU240" s="59">
        <v>1</v>
      </c>
      <c r="GZB240" s="59">
        <v>1</v>
      </c>
      <c r="HAY240" s="59">
        <v>1</v>
      </c>
      <c r="HBW240" s="59">
        <v>1</v>
      </c>
      <c r="HCL240" s="59">
        <v>1</v>
      </c>
      <c r="HCW240" s="59">
        <v>1</v>
      </c>
      <c r="HCY240" s="59">
        <v>1</v>
      </c>
    </row>
    <row r="241" spans="1:1023 1025:4072 4347:4713 5264:5800" s="83" customFormat="1" x14ac:dyDescent="0.25">
      <c r="A241" s="98">
        <v>9054567</v>
      </c>
      <c r="B241" s="83" t="s">
        <v>4195</v>
      </c>
      <c r="JP241" s="83">
        <v>1331</v>
      </c>
      <c r="NE241" s="83">
        <v>1973</v>
      </c>
      <c r="QS241" s="83">
        <v>407</v>
      </c>
      <c r="ABJ241" s="96"/>
      <c r="ABK241" s="96">
        <v>6.7</v>
      </c>
      <c r="ABL241" s="96"/>
      <c r="ABM241" s="96"/>
      <c r="ABN241" s="96"/>
      <c r="ABO241" s="96"/>
      <c r="ABP241" s="96"/>
      <c r="ABQ241" s="96"/>
      <c r="ABR241" s="96"/>
      <c r="ABS241" s="96"/>
      <c r="ABT241" s="96"/>
      <c r="AGE241" s="83">
        <v>474</v>
      </c>
      <c r="BOA241" s="83">
        <v>46</v>
      </c>
      <c r="BOB241" s="83">
        <v>1</v>
      </c>
      <c r="BOD241" s="83">
        <v>21.22</v>
      </c>
      <c r="BOF241" s="83">
        <v>1</v>
      </c>
      <c r="BYJ241" s="95"/>
      <c r="BYK241" s="83">
        <v>0</v>
      </c>
      <c r="BYY241" s="83">
        <v>4200</v>
      </c>
      <c r="BYZ241" s="83">
        <v>600</v>
      </c>
      <c r="BZA241" s="83">
        <v>1</v>
      </c>
      <c r="BZD241" s="83">
        <v>1</v>
      </c>
      <c r="BZF241" s="83">
        <v>7</v>
      </c>
      <c r="BZG241" s="83">
        <v>14</v>
      </c>
      <c r="BZH241" s="83">
        <v>8</v>
      </c>
      <c r="BZI241" s="83">
        <v>0</v>
      </c>
      <c r="BZL241" s="83">
        <v>0</v>
      </c>
      <c r="CPJ241" s="83">
        <v>500</v>
      </c>
      <c r="CPK241" s="83">
        <v>1</v>
      </c>
      <c r="CPN241" s="83">
        <v>1</v>
      </c>
      <c r="CPO241" s="83">
        <v>7</v>
      </c>
      <c r="CPP241" s="83">
        <v>14</v>
      </c>
      <c r="CPQ241" s="83">
        <v>8</v>
      </c>
      <c r="CPR241" s="83">
        <v>0</v>
      </c>
      <c r="GZP241" s="83">
        <v>1</v>
      </c>
      <c r="HCA241" s="83">
        <v>1</v>
      </c>
      <c r="HCB241" s="83">
        <v>1</v>
      </c>
    </row>
    <row r="242" spans="1:1023 1025:4072 4347:4713 5264:5800" s="83" customFormat="1" x14ac:dyDescent="0.25">
      <c r="A242" s="98">
        <v>9083682</v>
      </c>
      <c r="B242" s="83" t="s">
        <v>4195</v>
      </c>
      <c r="K242" s="83">
        <v>55</v>
      </c>
      <c r="BB242" s="83">
        <v>90</v>
      </c>
      <c r="CL242" s="83">
        <v>1.06</v>
      </c>
      <c r="EF242" s="83">
        <v>36.6</v>
      </c>
      <c r="HP242" s="83">
        <v>4900</v>
      </c>
      <c r="JQ242" s="83">
        <v>997</v>
      </c>
      <c r="LD242" s="83">
        <v>35</v>
      </c>
      <c r="NF242" s="83">
        <v>2410</v>
      </c>
      <c r="NG242" s="83">
        <v>2222</v>
      </c>
      <c r="NQ242" s="83">
        <v>52</v>
      </c>
      <c r="QT242" s="83">
        <v>422</v>
      </c>
      <c r="QW242" s="83">
        <v>335</v>
      </c>
      <c r="RE242" s="83">
        <v>124</v>
      </c>
      <c r="VN242" s="83">
        <v>216</v>
      </c>
      <c r="WE242" s="83">
        <v>132</v>
      </c>
      <c r="WO242" s="83">
        <v>6</v>
      </c>
      <c r="ZR242" s="83">
        <v>15.5</v>
      </c>
      <c r="ABJ242" s="96"/>
      <c r="ABK242" s="96"/>
      <c r="ABL242" s="96">
        <v>7.3</v>
      </c>
      <c r="ABM242" s="96"/>
      <c r="ABN242" s="96"/>
      <c r="ABO242" s="96">
        <v>11.4</v>
      </c>
      <c r="ABP242" s="96"/>
      <c r="ABQ242" s="96"/>
      <c r="ABR242" s="96"/>
      <c r="ABS242" s="96"/>
      <c r="ABT242" s="96"/>
      <c r="AGF242" s="83">
        <v>213</v>
      </c>
      <c r="AGI242" s="83">
        <v>219</v>
      </c>
      <c r="AJN242" s="83">
        <v>0.7</v>
      </c>
      <c r="ALV242" s="83">
        <v>53</v>
      </c>
      <c r="ALW242" s="83">
        <v>64</v>
      </c>
      <c r="ANF242" s="83">
        <v>2.5</v>
      </c>
      <c r="AQR242" s="83">
        <v>5100000</v>
      </c>
      <c r="ASC242" s="83">
        <v>214000</v>
      </c>
      <c r="AZR242" s="83">
        <v>45</v>
      </c>
      <c r="BBJ242" s="83">
        <v>89</v>
      </c>
      <c r="BDS242" s="83">
        <v>34.1</v>
      </c>
      <c r="BFX242" s="83">
        <v>136</v>
      </c>
      <c r="BHD242" s="83">
        <v>4.04</v>
      </c>
      <c r="BIG242" s="83">
        <v>2.25</v>
      </c>
      <c r="BKC242" s="98">
        <v>1462</v>
      </c>
      <c r="BLE242" s="83">
        <v>120</v>
      </c>
      <c r="BLH242" s="83">
        <v>126</v>
      </c>
      <c r="BMR242" s="83">
        <v>90</v>
      </c>
      <c r="BOA242" s="83">
        <v>43</v>
      </c>
      <c r="BOB242" s="83">
        <v>1</v>
      </c>
      <c r="BOD242" s="83">
        <v>25.9</v>
      </c>
      <c r="BOF242" s="83">
        <v>1</v>
      </c>
      <c r="BOV242" s="83">
        <v>1</v>
      </c>
      <c r="BYJ242" s="95"/>
      <c r="BYK242" s="83">
        <v>0</v>
      </c>
      <c r="BYY242" s="83">
        <v>0</v>
      </c>
      <c r="BYZ242" s="83">
        <v>400</v>
      </c>
      <c r="BZA242" s="83">
        <v>1</v>
      </c>
      <c r="BZL242" s="83">
        <v>0</v>
      </c>
      <c r="CDZ242" s="83">
        <v>200</v>
      </c>
      <c r="CEA242" s="83">
        <v>1</v>
      </c>
      <c r="CED242" s="83">
        <v>1</v>
      </c>
      <c r="CEE242" s="100">
        <v>999</v>
      </c>
      <c r="CEF242" s="83">
        <v>35</v>
      </c>
      <c r="CEG242" s="83">
        <v>0</v>
      </c>
      <c r="CEH242" s="83">
        <v>999</v>
      </c>
      <c r="CHD242" s="83">
        <v>1</v>
      </c>
      <c r="EBQ242" s="83">
        <v>40</v>
      </c>
      <c r="EBR242" s="83">
        <v>1</v>
      </c>
      <c r="EBU242" s="83">
        <v>1</v>
      </c>
      <c r="GTL242" s="83">
        <v>1</v>
      </c>
      <c r="GWR242" s="83">
        <v>1</v>
      </c>
      <c r="GXU242" s="83">
        <v>1</v>
      </c>
      <c r="GYA242" s="83">
        <v>1</v>
      </c>
      <c r="GZD242" s="83">
        <v>1</v>
      </c>
      <c r="HCA242" s="83">
        <v>1</v>
      </c>
      <c r="HCB242" s="83">
        <v>1</v>
      </c>
      <c r="HDF242" s="83">
        <v>1</v>
      </c>
      <c r="HOB242" s="83">
        <v>1</v>
      </c>
    </row>
    <row r="243" spans="1:1023 1025:4072 4347:4713 5264:5800" s="59" customFormat="1" x14ac:dyDescent="0.25">
      <c r="A243" s="77">
        <v>9102044</v>
      </c>
      <c r="B243" s="60" t="s">
        <v>4195</v>
      </c>
      <c r="JQ243" s="59">
        <v>1110</v>
      </c>
      <c r="JS243" s="59">
        <v>1212</v>
      </c>
      <c r="JT243" s="59">
        <v>1056</v>
      </c>
      <c r="KD243" s="59">
        <v>672</v>
      </c>
      <c r="LP243" s="59">
        <v>34</v>
      </c>
      <c r="NF243" s="59">
        <v>1668</v>
      </c>
      <c r="NI243" s="59">
        <v>1422</v>
      </c>
      <c r="NS243" s="59">
        <v>894</v>
      </c>
      <c r="PF243" s="59">
        <v>34</v>
      </c>
      <c r="ABJ243" s="63"/>
      <c r="ABK243" s="63"/>
      <c r="ABL243" s="63">
        <v>9</v>
      </c>
      <c r="ABM243" s="63"/>
      <c r="ABN243" s="63"/>
      <c r="ABO243" s="63"/>
      <c r="ABP243" s="63"/>
      <c r="ABQ243" s="63"/>
      <c r="ABR243" s="63"/>
      <c r="ABS243" s="63">
        <v>21.36</v>
      </c>
      <c r="ABT243" s="63"/>
      <c r="ABY243" s="59">
        <v>16.98</v>
      </c>
      <c r="ADD243" s="59">
        <v>1.05</v>
      </c>
      <c r="BOC243" s="59">
        <v>1</v>
      </c>
      <c r="BOD243" s="59">
        <v>23.59</v>
      </c>
      <c r="BOF243" s="59">
        <v>1</v>
      </c>
      <c r="BOG243" s="59">
        <v>84</v>
      </c>
      <c r="BYJ243" s="65"/>
      <c r="BYK243" s="59">
        <v>0</v>
      </c>
      <c r="BYY243" s="59">
        <v>0</v>
      </c>
      <c r="BZD243" s="59">
        <v>1</v>
      </c>
      <c r="BZF243" s="59">
        <v>999</v>
      </c>
      <c r="BZG243" s="59">
        <v>999</v>
      </c>
      <c r="BZH243" s="59">
        <v>26</v>
      </c>
      <c r="BZI243" s="59">
        <v>0</v>
      </c>
      <c r="BZL243" s="59">
        <v>0</v>
      </c>
      <c r="EEL243" s="59">
        <v>1000</v>
      </c>
      <c r="EEM243" s="59">
        <v>1</v>
      </c>
      <c r="EEN243" s="59">
        <v>1</v>
      </c>
      <c r="EEQ243" s="59">
        <v>3</v>
      </c>
      <c r="EER243" s="59">
        <v>30</v>
      </c>
      <c r="EES243" s="59">
        <v>28</v>
      </c>
      <c r="EET243" s="59">
        <v>0</v>
      </c>
      <c r="GWE243" s="59">
        <v>1</v>
      </c>
      <c r="HCA243" s="59">
        <v>1</v>
      </c>
    </row>
    <row r="244" spans="1:1023 1025:4072 4347:4713 5264:5800" s="59" customFormat="1" x14ac:dyDescent="0.25">
      <c r="A244" s="77">
        <v>9119854</v>
      </c>
      <c r="B244" s="60" t="s">
        <v>4195</v>
      </c>
      <c r="JJ244" s="59">
        <v>23</v>
      </c>
      <c r="JU244" s="59">
        <v>346</v>
      </c>
      <c r="JW244" s="59">
        <v>99</v>
      </c>
      <c r="JX244" s="59">
        <v>92</v>
      </c>
      <c r="KB244" s="59">
        <v>200</v>
      </c>
      <c r="KD244" s="59">
        <v>235</v>
      </c>
      <c r="KJ244" s="59">
        <v>140</v>
      </c>
      <c r="KL244" s="59">
        <v>126</v>
      </c>
      <c r="MY244" s="59">
        <v>17</v>
      </c>
      <c r="NJ244" s="59">
        <v>571</v>
      </c>
      <c r="NL244" s="59">
        <v>331</v>
      </c>
      <c r="NM244" s="59">
        <v>267</v>
      </c>
      <c r="NQ244" s="59">
        <v>343</v>
      </c>
      <c r="NS244" s="59">
        <v>449</v>
      </c>
      <c r="NY244" s="59">
        <v>360</v>
      </c>
      <c r="OA244" s="59">
        <v>305</v>
      </c>
      <c r="OD244" s="59">
        <v>23</v>
      </c>
      <c r="ABJ244" s="63"/>
      <c r="ABK244" s="63"/>
      <c r="ABL244" s="63"/>
      <c r="ABM244" s="63"/>
      <c r="ABN244" s="63"/>
      <c r="ABO244" s="63"/>
      <c r="ABP244" s="63"/>
      <c r="ABQ244" s="63"/>
      <c r="ABR244" s="63"/>
      <c r="ABS244" s="63">
        <v>2.84</v>
      </c>
      <c r="ABT244" s="63"/>
      <c r="ABW244" s="59">
        <v>2.39</v>
      </c>
      <c r="ACG244" s="59">
        <v>0.93</v>
      </c>
      <c r="AFY244" s="59">
        <v>83</v>
      </c>
      <c r="AGL244" s="59">
        <v>207</v>
      </c>
      <c r="AGM244" s="59">
        <v>217</v>
      </c>
      <c r="AGS244" s="59">
        <v>189</v>
      </c>
      <c r="AHA244" s="59">
        <v>165</v>
      </c>
      <c r="BOA244" s="59">
        <v>47</v>
      </c>
      <c r="BOC244" s="59">
        <v>1</v>
      </c>
      <c r="BOD244" s="59">
        <v>28.04</v>
      </c>
      <c r="BYJ244" s="65"/>
      <c r="BYK244" s="59">
        <v>0</v>
      </c>
      <c r="BYY244" s="59">
        <v>118800</v>
      </c>
      <c r="BYZ244" s="73">
        <v>400</v>
      </c>
      <c r="BZA244" s="59">
        <v>3</v>
      </c>
      <c r="BZD244" s="59">
        <v>1</v>
      </c>
      <c r="BZF244" s="59">
        <v>103</v>
      </c>
      <c r="BZG244" s="59">
        <v>99</v>
      </c>
      <c r="BZH244" s="59">
        <v>0</v>
      </c>
      <c r="BZI244" s="59">
        <v>4</v>
      </c>
      <c r="BZL244" s="59">
        <v>0</v>
      </c>
      <c r="HCA244" s="59">
        <v>1</v>
      </c>
    </row>
    <row r="245" spans="1:1023 1025:4072 4347:4713 5264:5800" s="83" customFormat="1" x14ac:dyDescent="0.25">
      <c r="A245" s="83">
        <v>9125126</v>
      </c>
      <c r="B245" s="83" t="s">
        <v>4195</v>
      </c>
      <c r="JT245" s="83">
        <v>232</v>
      </c>
      <c r="LB245" s="83">
        <v>23</v>
      </c>
      <c r="NK245" s="83">
        <v>361</v>
      </c>
      <c r="NL245" s="83">
        <v>356</v>
      </c>
      <c r="NP245" s="83">
        <v>128</v>
      </c>
      <c r="OQ245" s="83">
        <v>22</v>
      </c>
      <c r="ABJ245" s="96"/>
      <c r="ABK245" s="96"/>
      <c r="ABL245" s="96"/>
      <c r="ABM245" s="96"/>
      <c r="ABN245" s="96"/>
      <c r="ABO245" s="96"/>
      <c r="ABP245" s="96"/>
      <c r="ABQ245" s="96"/>
      <c r="ABR245" s="96">
        <v>0.53</v>
      </c>
      <c r="ABS245" s="96"/>
      <c r="ABT245" s="96">
        <v>0.42</v>
      </c>
      <c r="AGK245" s="83">
        <v>487</v>
      </c>
      <c r="AGL245" s="83">
        <v>398</v>
      </c>
      <c r="AGP245" s="83">
        <v>148</v>
      </c>
      <c r="AHM245" s="83">
        <v>74</v>
      </c>
      <c r="BOA245" s="83">
        <v>55</v>
      </c>
      <c r="BOB245" s="83">
        <v>1</v>
      </c>
      <c r="BOD245" s="83">
        <v>21.85</v>
      </c>
      <c r="BOG245" s="83">
        <v>40</v>
      </c>
      <c r="BPC245" s="83">
        <v>1</v>
      </c>
      <c r="BRE245" s="83">
        <v>1</v>
      </c>
      <c r="BRL245" s="83">
        <v>1</v>
      </c>
      <c r="BYJ245" s="95"/>
      <c r="BYK245" s="83">
        <v>0</v>
      </c>
      <c r="BYY245" s="83">
        <v>0</v>
      </c>
      <c r="BYZ245" s="83">
        <v>400</v>
      </c>
      <c r="BZD245" s="83">
        <v>1</v>
      </c>
      <c r="BZF245" s="83">
        <v>10</v>
      </c>
      <c r="BZG245" s="83">
        <v>3</v>
      </c>
      <c r="BZH245" s="83">
        <v>0</v>
      </c>
      <c r="BZI245" s="83">
        <v>6</v>
      </c>
      <c r="BZL245" s="83">
        <v>0</v>
      </c>
      <c r="HCA245" s="83">
        <v>1</v>
      </c>
    </row>
    <row r="246" spans="1:1023 1025:4072 4347:4713 5264:5800" s="83" customFormat="1" x14ac:dyDescent="0.25">
      <c r="A246" s="98">
        <v>9174811</v>
      </c>
      <c r="B246" s="83" t="s">
        <v>4195</v>
      </c>
      <c r="O246" s="95"/>
      <c r="JQ246" s="83">
        <v>99</v>
      </c>
      <c r="JR246" s="83">
        <v>83</v>
      </c>
      <c r="JZ246" s="83">
        <v>60</v>
      </c>
      <c r="LA246" s="83">
        <v>463</v>
      </c>
      <c r="LO246" s="83">
        <v>41</v>
      </c>
      <c r="NF246" s="83">
        <v>305</v>
      </c>
      <c r="NG246" s="83">
        <v>264</v>
      </c>
      <c r="NO246" s="83">
        <v>241</v>
      </c>
      <c r="OP246" s="83">
        <v>337</v>
      </c>
      <c r="PE246" s="83">
        <v>59</v>
      </c>
      <c r="QT246" s="83">
        <v>63</v>
      </c>
      <c r="SA246" s="83">
        <v>44</v>
      </c>
      <c r="SM246" s="83">
        <v>30</v>
      </c>
      <c r="ABJ246" s="96"/>
      <c r="ABK246" s="96"/>
      <c r="ABL246" s="96">
        <v>0.53</v>
      </c>
      <c r="ABM246" s="96">
        <v>0.62</v>
      </c>
      <c r="ABN246" s="96"/>
      <c r="ABO246" s="96"/>
      <c r="ABP246" s="96"/>
      <c r="ABQ246" s="96"/>
      <c r="ABR246" s="96"/>
      <c r="ABS246" s="96"/>
      <c r="ABT246" s="96"/>
      <c r="AGF246" s="83">
        <v>116</v>
      </c>
      <c r="AGG246" s="83">
        <v>102</v>
      </c>
      <c r="AGO246" s="83">
        <v>77</v>
      </c>
      <c r="AHW246" s="83">
        <v>84</v>
      </c>
      <c r="BOA246" s="83">
        <v>28</v>
      </c>
      <c r="BOB246" s="83">
        <v>1</v>
      </c>
      <c r="BOD246" s="83">
        <v>21.56</v>
      </c>
      <c r="BOF246" s="83">
        <v>1</v>
      </c>
      <c r="BOL246" s="83">
        <v>1</v>
      </c>
      <c r="BOT246" s="83">
        <v>1</v>
      </c>
      <c r="BPC246" s="83">
        <v>1</v>
      </c>
      <c r="BPF246" s="83">
        <v>1</v>
      </c>
      <c r="BPL246" s="83">
        <v>1</v>
      </c>
      <c r="BYJ246" s="95"/>
      <c r="BYK246" s="83">
        <v>0</v>
      </c>
      <c r="BYY246" s="83">
        <v>4800</v>
      </c>
      <c r="BYZ246" s="83">
        <v>200</v>
      </c>
      <c r="BZA246" s="83">
        <v>3</v>
      </c>
      <c r="BZD246" s="83">
        <v>1</v>
      </c>
      <c r="BZF246" s="83">
        <v>8</v>
      </c>
      <c r="BZG246" s="83">
        <v>29</v>
      </c>
      <c r="BZH246" s="83">
        <v>22</v>
      </c>
      <c r="BZI246" s="83">
        <v>0</v>
      </c>
      <c r="BZL246" s="83">
        <v>0</v>
      </c>
      <c r="BZQ246" s="83">
        <v>1</v>
      </c>
      <c r="BZS246" s="83">
        <v>8</v>
      </c>
      <c r="BZT246" s="83">
        <v>29</v>
      </c>
      <c r="BZU246" s="83">
        <v>22</v>
      </c>
      <c r="BZV246" s="83">
        <v>1</v>
      </c>
      <c r="ELX246" s="83">
        <v>1</v>
      </c>
      <c r="EXR246" s="83">
        <v>2</v>
      </c>
      <c r="EXS246" s="83">
        <v>1</v>
      </c>
      <c r="EXT246" s="83">
        <v>1</v>
      </c>
      <c r="EXW246" s="100">
        <v>999</v>
      </c>
      <c r="EXX246" s="83">
        <v>83</v>
      </c>
      <c r="EXY246" s="83">
        <v>0</v>
      </c>
      <c r="EXZ246" s="83">
        <v>999</v>
      </c>
      <c r="FWX246" s="83">
        <v>1</v>
      </c>
      <c r="FWY246" s="83">
        <v>4</v>
      </c>
      <c r="FWZ246" s="83">
        <v>20</v>
      </c>
      <c r="FXA246" s="83">
        <v>17</v>
      </c>
      <c r="FXB246" s="83">
        <v>0</v>
      </c>
      <c r="FXO246" s="98" t="s">
        <v>2200</v>
      </c>
      <c r="FXS246" s="83">
        <v>1</v>
      </c>
      <c r="FXT246" s="83">
        <v>3</v>
      </c>
      <c r="FXU246" s="83">
        <v>3</v>
      </c>
      <c r="FXV246" s="83">
        <v>1</v>
      </c>
      <c r="FXW246" s="83">
        <v>0</v>
      </c>
      <c r="GXZ246" s="83">
        <v>1</v>
      </c>
      <c r="GYA246" s="83">
        <v>1</v>
      </c>
      <c r="GZD246" s="83">
        <v>1</v>
      </c>
    </row>
    <row r="247" spans="1:1023 1025:4072 4347:4713 5264:5800" s="59" customFormat="1" x14ac:dyDescent="0.25">
      <c r="A247" s="59">
        <v>10002875</v>
      </c>
      <c r="B247" s="60" t="s">
        <v>4195</v>
      </c>
      <c r="O247" s="65"/>
      <c r="JR247" s="59">
        <v>137.4</v>
      </c>
      <c r="JS247" s="59">
        <v>118.8</v>
      </c>
      <c r="JT247" s="59">
        <v>127.2</v>
      </c>
      <c r="JU247" s="59">
        <v>151.80000000000001</v>
      </c>
      <c r="JV247" s="59">
        <v>161.4</v>
      </c>
      <c r="JW247" s="76">
        <v>200</v>
      </c>
      <c r="KE247" s="59">
        <v>145</v>
      </c>
      <c r="KM247" s="59">
        <v>211</v>
      </c>
      <c r="KR247" s="59">
        <v>231</v>
      </c>
      <c r="NG247" s="59">
        <v>55.8</v>
      </c>
      <c r="NH247" s="59">
        <v>47.4</v>
      </c>
      <c r="NI247" s="59">
        <v>46.2</v>
      </c>
      <c r="NJ247" s="59">
        <v>45</v>
      </c>
      <c r="NK247" s="59">
        <v>46.2</v>
      </c>
      <c r="NL247" s="76">
        <v>38.4</v>
      </c>
      <c r="NU247" s="59">
        <v>41.6</v>
      </c>
      <c r="OB247" s="59">
        <v>46.5</v>
      </c>
      <c r="OG247" s="59">
        <v>49.8</v>
      </c>
      <c r="QU247" s="59">
        <v>699.6</v>
      </c>
      <c r="QV247" s="59">
        <v>583.79999999999995</v>
      </c>
      <c r="QY247" s="59">
        <v>363.6</v>
      </c>
      <c r="QZ247" s="76">
        <v>370</v>
      </c>
      <c r="RH247" s="59">
        <v>243</v>
      </c>
      <c r="RP247" s="59">
        <v>268</v>
      </c>
      <c r="RS247" s="59">
        <v>272</v>
      </c>
      <c r="TR247" s="59">
        <v>282</v>
      </c>
      <c r="ABJ247" s="63"/>
      <c r="ABK247" s="63"/>
      <c r="ABL247" s="63"/>
      <c r="ABM247" s="63">
        <v>11.29</v>
      </c>
      <c r="ABN247" s="63">
        <v>9.4600000000000009</v>
      </c>
      <c r="ABO247" s="63">
        <v>9.4657999999999998</v>
      </c>
      <c r="ABP247" s="63">
        <v>11.3192</v>
      </c>
      <c r="ABQ247" s="63">
        <v>13.470800000000001</v>
      </c>
      <c r="ABR247" s="63">
        <v>17.458200000000001</v>
      </c>
      <c r="ABS247" s="63"/>
      <c r="ABT247" s="63"/>
      <c r="ABZ247" s="59">
        <v>19.235600000000002</v>
      </c>
      <c r="ACF247" s="59">
        <v>11.576499999999999</v>
      </c>
      <c r="ACH247" s="59">
        <v>9.5885999999999996</v>
      </c>
      <c r="ACK247" s="59">
        <v>6.9576000000000002</v>
      </c>
      <c r="ADP247" s="59">
        <v>10.646800000000001</v>
      </c>
      <c r="ADQ247" s="59">
        <v>8.5419999999999998</v>
      </c>
      <c r="ADR247" s="59">
        <v>9.1033000000000008</v>
      </c>
      <c r="ADS247" s="59">
        <v>8.8811</v>
      </c>
      <c r="ADT247" s="59">
        <v>12.5646</v>
      </c>
      <c r="ADU247" s="59">
        <v>16.440899999999999</v>
      </c>
      <c r="AGG247" s="59">
        <v>210</v>
      </c>
      <c r="AGH247" s="59">
        <v>181.8</v>
      </c>
      <c r="AGJ247" s="59">
        <v>197.4</v>
      </c>
      <c r="AGK247" s="59">
        <v>216.6</v>
      </c>
      <c r="AGL247" s="76">
        <v>222</v>
      </c>
      <c r="AGT247" s="59">
        <v>202</v>
      </c>
      <c r="AHB247" s="59">
        <v>160</v>
      </c>
      <c r="AHF247" s="59">
        <v>143</v>
      </c>
      <c r="ANH247" s="59">
        <v>2.2999999999999998</v>
      </c>
      <c r="ANW247" s="59">
        <v>56.7</v>
      </c>
      <c r="ANZ247" s="59">
        <v>33.9</v>
      </c>
      <c r="AOA247" s="59">
        <v>28.2</v>
      </c>
      <c r="AOC247" s="59">
        <v>22.2</v>
      </c>
      <c r="BMB247" s="59">
        <v>66</v>
      </c>
      <c r="BOA247" s="59">
        <v>51</v>
      </c>
      <c r="BOC247" s="59">
        <v>1</v>
      </c>
      <c r="BOD247" s="59">
        <v>26.57</v>
      </c>
      <c r="BOF247" s="59">
        <v>1</v>
      </c>
      <c r="BOG247" s="59">
        <v>23</v>
      </c>
      <c r="BOH247" s="59">
        <v>1</v>
      </c>
      <c r="BOI247" s="59">
        <v>1</v>
      </c>
      <c r="BOK247" s="59">
        <v>1</v>
      </c>
      <c r="BQC247" s="59">
        <v>1</v>
      </c>
      <c r="BQE247" s="59">
        <v>1</v>
      </c>
      <c r="BQG247" s="59">
        <v>1</v>
      </c>
      <c r="BQK247" s="59">
        <v>1</v>
      </c>
      <c r="BSG247" s="59">
        <v>1</v>
      </c>
      <c r="BUS247" s="59">
        <v>1</v>
      </c>
      <c r="BYJ247" s="65"/>
      <c r="BYK247" s="59">
        <v>0</v>
      </c>
      <c r="BYY247" s="59">
        <v>18000</v>
      </c>
      <c r="BYZ247" s="59">
        <v>500</v>
      </c>
      <c r="BZA247" s="59">
        <v>6</v>
      </c>
      <c r="BZD247" s="59">
        <v>1</v>
      </c>
      <c r="BZF247" s="59">
        <v>8</v>
      </c>
      <c r="BZG247" s="59">
        <v>6</v>
      </c>
      <c r="BZH247" s="59">
        <v>0</v>
      </c>
      <c r="BZI247" s="59">
        <v>1</v>
      </c>
      <c r="BZL247" s="59">
        <v>2997000</v>
      </c>
      <c r="BZM247" s="59">
        <v>500</v>
      </c>
      <c r="BZN247" s="59">
        <v>6</v>
      </c>
      <c r="BZQ247" s="59">
        <v>1</v>
      </c>
      <c r="BZS247" s="59">
        <v>999</v>
      </c>
      <c r="BZT247" s="59">
        <v>999</v>
      </c>
      <c r="BZU247" s="59">
        <v>7</v>
      </c>
      <c r="BZV247" s="59">
        <v>0</v>
      </c>
      <c r="ELY247" s="59">
        <v>80</v>
      </c>
      <c r="ELZ247" s="59">
        <v>1</v>
      </c>
      <c r="EMC247" s="59">
        <v>1</v>
      </c>
      <c r="EMD247" s="69">
        <v>999</v>
      </c>
      <c r="EME247" s="59">
        <v>999</v>
      </c>
      <c r="EMF247" s="59">
        <v>0</v>
      </c>
      <c r="EMG247" s="59">
        <v>999</v>
      </c>
      <c r="FXY247" s="59">
        <v>1</v>
      </c>
      <c r="FXZ247" s="59">
        <v>1</v>
      </c>
      <c r="FYC247" s="59">
        <v>1</v>
      </c>
      <c r="FYD247" s="68">
        <v>999</v>
      </c>
      <c r="FYE247" s="59">
        <v>999</v>
      </c>
      <c r="FYF247" s="59">
        <v>0</v>
      </c>
      <c r="FYG247" s="59">
        <v>1</v>
      </c>
      <c r="GWN247" s="59">
        <v>1</v>
      </c>
      <c r="GZP247" s="59">
        <v>1</v>
      </c>
      <c r="HBZ247" s="59">
        <v>1</v>
      </c>
      <c r="HCA247" s="59">
        <v>1</v>
      </c>
      <c r="HCB247" s="59">
        <v>1</v>
      </c>
      <c r="HCP247" s="59">
        <v>1</v>
      </c>
      <c r="HDJ247" s="59">
        <v>1</v>
      </c>
      <c r="HDL247" s="59">
        <v>1</v>
      </c>
      <c r="HMP247" s="59">
        <v>1</v>
      </c>
      <c r="HMS247" s="59">
        <v>1</v>
      </c>
      <c r="HMV247" s="59">
        <v>1</v>
      </c>
    </row>
    <row r="248" spans="1:1023 1025:4072 4347:4713 5264:5800" s="83" customFormat="1" x14ac:dyDescent="0.25">
      <c r="A248" s="104">
        <v>10023080</v>
      </c>
      <c r="B248" s="83" t="s">
        <v>4195</v>
      </c>
      <c r="JP248" s="83">
        <v>94</v>
      </c>
      <c r="KU248" s="83">
        <v>35</v>
      </c>
      <c r="NF248" s="83">
        <v>306</v>
      </c>
      <c r="OI248" s="83">
        <v>38</v>
      </c>
      <c r="QS248" s="83">
        <v>357</v>
      </c>
      <c r="RV248" s="83">
        <v>62</v>
      </c>
      <c r="ABJ248" s="96"/>
      <c r="ABK248" s="96">
        <v>8.1999999999999993</v>
      </c>
      <c r="ABL248" s="96"/>
      <c r="ABM248" s="96"/>
      <c r="ABN248" s="96"/>
      <c r="ABO248" s="96"/>
      <c r="ABP248" s="96"/>
      <c r="ABQ248" s="96"/>
      <c r="ABR248" s="96"/>
      <c r="ABS248" s="96"/>
      <c r="ABT248" s="96"/>
      <c r="ACN248" s="83">
        <v>8.1999999999999993</v>
      </c>
      <c r="AGE248" s="83">
        <v>323</v>
      </c>
      <c r="AHH248" s="83">
        <v>94</v>
      </c>
      <c r="BOA248" s="83">
        <v>55</v>
      </c>
      <c r="BOB248" s="83">
        <v>1</v>
      </c>
      <c r="BOD248" s="83">
        <v>28.67</v>
      </c>
      <c r="BPC248" s="83">
        <v>1</v>
      </c>
      <c r="BYJ248" s="95"/>
      <c r="BYK248" s="83">
        <v>0</v>
      </c>
      <c r="BYY248" s="83">
        <v>15600</v>
      </c>
      <c r="BYZ248" s="83">
        <v>600</v>
      </c>
      <c r="BZA248" s="83">
        <v>2</v>
      </c>
      <c r="BZD248" s="83">
        <v>1</v>
      </c>
      <c r="BZF248" s="83">
        <v>13</v>
      </c>
      <c r="BZG248" s="83">
        <v>13</v>
      </c>
      <c r="BZH248" s="83">
        <v>1</v>
      </c>
      <c r="BZI248" s="83">
        <v>0</v>
      </c>
      <c r="BZL248" s="83">
        <v>0</v>
      </c>
      <c r="ELY248" s="83">
        <v>20</v>
      </c>
      <c r="ELZ248" s="83">
        <v>1</v>
      </c>
      <c r="EMC248" s="83">
        <v>1</v>
      </c>
      <c r="EMD248" s="83">
        <v>13</v>
      </c>
      <c r="EME248" s="83">
        <v>13</v>
      </c>
      <c r="EMF248" s="83">
        <v>1</v>
      </c>
      <c r="EMG248" s="83">
        <v>0</v>
      </c>
      <c r="EMH248" s="83">
        <v>10</v>
      </c>
      <c r="GZP248" s="83">
        <v>1</v>
      </c>
      <c r="HCA248" s="83">
        <v>1</v>
      </c>
      <c r="HCB248" s="83">
        <v>1</v>
      </c>
      <c r="HCH248" s="83">
        <v>1</v>
      </c>
      <c r="HMW248" s="83">
        <v>1</v>
      </c>
    </row>
    <row r="249" spans="1:1023 1025:4072 4347:4713 5264:5800" s="83" customFormat="1" x14ac:dyDescent="0.25">
      <c r="A249" s="83">
        <v>10025212</v>
      </c>
      <c r="B249" s="83" t="s">
        <v>4195</v>
      </c>
      <c r="KG249" s="83">
        <v>525</v>
      </c>
      <c r="KI249" s="83">
        <v>1087</v>
      </c>
      <c r="KJ249" s="83">
        <v>940</v>
      </c>
      <c r="KU249" s="83">
        <v>364</v>
      </c>
      <c r="LF249" s="83">
        <v>28</v>
      </c>
      <c r="NV249" s="83">
        <v>599</v>
      </c>
      <c r="NW249" s="83">
        <v>1046</v>
      </c>
      <c r="NY249" s="83">
        <v>1584</v>
      </c>
      <c r="OI249" s="83">
        <v>943</v>
      </c>
      <c r="OT249" s="83">
        <v>79</v>
      </c>
      <c r="RJ249" s="83">
        <v>85</v>
      </c>
      <c r="SD249" s="83">
        <v>85</v>
      </c>
      <c r="ABJ249" s="96"/>
      <c r="ABK249" s="96"/>
      <c r="ABL249" s="96"/>
      <c r="ABM249" s="96"/>
      <c r="ABN249" s="96"/>
      <c r="ABO249" s="96"/>
      <c r="ABP249" s="96"/>
      <c r="ABQ249" s="96"/>
      <c r="ABR249" s="96"/>
      <c r="ABS249" s="96"/>
      <c r="ABT249" s="96"/>
      <c r="ACC249" s="83">
        <v>0.99</v>
      </c>
      <c r="ACD249" s="83">
        <v>1.8</v>
      </c>
      <c r="ACM249" s="83">
        <v>0.96</v>
      </c>
      <c r="AGV249" s="83">
        <v>81</v>
      </c>
      <c r="AHB249" s="83">
        <v>111</v>
      </c>
      <c r="BOA249" s="83">
        <v>61</v>
      </c>
      <c r="BOB249" s="83">
        <v>1</v>
      </c>
      <c r="BPX249" s="83">
        <v>1</v>
      </c>
      <c r="BQB249" s="83">
        <v>1</v>
      </c>
      <c r="BSG249" s="83">
        <v>1</v>
      </c>
      <c r="BSQ249" s="83">
        <v>1</v>
      </c>
      <c r="BSU249" s="83">
        <v>1</v>
      </c>
      <c r="BYJ249" s="95"/>
      <c r="BYK249" s="83">
        <v>0</v>
      </c>
      <c r="BYY249" s="83">
        <v>0</v>
      </c>
      <c r="BYZ249" s="83">
        <v>400</v>
      </c>
      <c r="BZA249" s="83">
        <v>1</v>
      </c>
      <c r="BZD249" s="83">
        <v>1</v>
      </c>
      <c r="BZE249" s="83">
        <v>999</v>
      </c>
      <c r="BZF249" s="83">
        <v>999</v>
      </c>
      <c r="BZG249" s="83">
        <v>0</v>
      </c>
      <c r="BZH249" s="83">
        <v>2</v>
      </c>
      <c r="BZI249" s="83">
        <v>0</v>
      </c>
      <c r="BZJ249" s="83">
        <v>50</v>
      </c>
      <c r="BZL249" s="83">
        <v>999000</v>
      </c>
      <c r="BZM249" s="83">
        <v>500</v>
      </c>
      <c r="BZN249" s="83">
        <v>2</v>
      </c>
      <c r="BZQ249" s="83">
        <v>1</v>
      </c>
      <c r="BZS249" s="83">
        <v>999</v>
      </c>
      <c r="BZT249" s="83">
        <v>999</v>
      </c>
      <c r="BZU249" s="83">
        <v>0</v>
      </c>
      <c r="BZV249" s="83">
        <v>16</v>
      </c>
      <c r="BZW249" s="83">
        <v>30</v>
      </c>
      <c r="CMQ249" s="83">
        <v>600</v>
      </c>
      <c r="CMR249" s="83">
        <v>3</v>
      </c>
      <c r="CMU249" s="83">
        <v>1</v>
      </c>
      <c r="CMV249" s="83">
        <v>7</v>
      </c>
      <c r="CMW249" s="83">
        <v>3</v>
      </c>
      <c r="CMX249" s="83">
        <v>0</v>
      </c>
      <c r="CMY249" s="83">
        <v>3</v>
      </c>
      <c r="CMZ249" s="83">
        <v>30</v>
      </c>
      <c r="GXX249" s="83">
        <v>1</v>
      </c>
      <c r="GXZ249" s="83">
        <v>1</v>
      </c>
      <c r="HCA249" s="83">
        <v>1</v>
      </c>
    </row>
    <row r="250" spans="1:1023 1025:4072 4347:4713 5264:5800" s="59" customFormat="1" x14ac:dyDescent="0.25">
      <c r="A250" s="77">
        <v>10069407</v>
      </c>
      <c r="B250" s="60" t="s">
        <v>4195</v>
      </c>
      <c r="IX250" s="59">
        <v>76</v>
      </c>
      <c r="JQ250" s="59">
        <v>279</v>
      </c>
      <c r="JX250" s="59">
        <v>147</v>
      </c>
      <c r="KP250" s="59">
        <v>17</v>
      </c>
      <c r="MK250" s="59">
        <v>131</v>
      </c>
      <c r="NF250" s="59">
        <v>790</v>
      </c>
      <c r="NM250" s="59">
        <v>465</v>
      </c>
      <c r="OE250" s="59">
        <v>47</v>
      </c>
      <c r="ABJ250" s="63"/>
      <c r="ABK250" s="63"/>
      <c r="ABL250" s="63"/>
      <c r="ABM250" s="63"/>
      <c r="ABN250" s="63"/>
      <c r="ABO250" s="63"/>
      <c r="ABP250" s="63"/>
      <c r="ABQ250" s="63"/>
      <c r="ABR250" s="63"/>
      <c r="ABS250" s="63">
        <v>0.7</v>
      </c>
      <c r="ABT250" s="63"/>
      <c r="AGF250" s="59">
        <v>56</v>
      </c>
      <c r="AGM250" s="59">
        <v>57</v>
      </c>
      <c r="BOA250" s="59">
        <v>61</v>
      </c>
      <c r="BOC250" s="59">
        <v>1</v>
      </c>
      <c r="BOD250" s="59">
        <v>30.41</v>
      </c>
      <c r="BQB250" s="59">
        <v>1</v>
      </c>
      <c r="BRJ250" s="59">
        <v>1</v>
      </c>
      <c r="BRY250" s="59">
        <v>1</v>
      </c>
      <c r="BSC250" s="59">
        <v>1</v>
      </c>
      <c r="BSG250" s="59">
        <v>1</v>
      </c>
      <c r="BTF250" s="59">
        <v>1</v>
      </c>
      <c r="BUD250" s="59">
        <v>1</v>
      </c>
      <c r="BUS250" s="59">
        <v>1</v>
      </c>
      <c r="BYJ250" s="65"/>
      <c r="BYK250" s="59">
        <v>0</v>
      </c>
      <c r="BYY250" s="59">
        <v>34200</v>
      </c>
      <c r="BYZ250" s="59">
        <v>600</v>
      </c>
      <c r="BZA250" s="59">
        <v>1</v>
      </c>
      <c r="BZD250" s="59">
        <v>1</v>
      </c>
      <c r="BZF250" s="59">
        <v>57</v>
      </c>
      <c r="BZG250" s="59">
        <v>61</v>
      </c>
      <c r="BZH250" s="59">
        <v>0</v>
      </c>
      <c r="BZI250" s="59">
        <v>0</v>
      </c>
      <c r="BZL250" s="59">
        <v>0</v>
      </c>
      <c r="CDZ250" s="59">
        <v>100</v>
      </c>
      <c r="CEA250" s="59">
        <v>4</v>
      </c>
      <c r="CED250" s="59">
        <v>1</v>
      </c>
      <c r="CEE250" s="59">
        <v>59</v>
      </c>
      <c r="CEF250" s="59">
        <v>54</v>
      </c>
      <c r="CEG250" s="59">
        <v>0</v>
      </c>
      <c r="CEH250" s="59">
        <v>4</v>
      </c>
      <c r="CIX250" s="59">
        <v>1</v>
      </c>
      <c r="CIY250" s="59">
        <v>59</v>
      </c>
      <c r="CIZ250" s="59">
        <v>54</v>
      </c>
      <c r="CJA250" s="59">
        <v>0</v>
      </c>
      <c r="CJB250" s="59">
        <v>4</v>
      </c>
      <c r="DMW250" s="59">
        <v>2.5</v>
      </c>
      <c r="DMX250" s="59">
        <v>1</v>
      </c>
      <c r="DNA250" s="59">
        <v>1</v>
      </c>
      <c r="DNB250" s="69">
        <v>999</v>
      </c>
      <c r="DNC250" s="59">
        <v>999</v>
      </c>
      <c r="DND250" s="59">
        <v>0</v>
      </c>
      <c r="DNE250" s="59">
        <v>999</v>
      </c>
      <c r="EEL250" s="59">
        <v>20</v>
      </c>
      <c r="EEM250" s="59">
        <v>1</v>
      </c>
      <c r="EEP250" s="59">
        <v>1</v>
      </c>
      <c r="EEQ250" s="59">
        <v>8</v>
      </c>
      <c r="EER250" s="59">
        <v>183</v>
      </c>
      <c r="EES250" s="59">
        <v>175</v>
      </c>
      <c r="EET250" s="59">
        <v>0</v>
      </c>
      <c r="EGN250" s="59">
        <v>100</v>
      </c>
      <c r="EGO250" s="59">
        <v>1</v>
      </c>
      <c r="EGR250" s="59">
        <v>1</v>
      </c>
      <c r="EGS250" s="69">
        <v>999</v>
      </c>
      <c r="EGU250" s="59">
        <v>0</v>
      </c>
      <c r="EGV250" s="59">
        <v>999</v>
      </c>
      <c r="EYB250" s="59">
        <v>10</v>
      </c>
      <c r="EYC250" s="59">
        <v>1</v>
      </c>
      <c r="EYF250" s="59">
        <v>1</v>
      </c>
      <c r="EYG250" s="69">
        <v>999</v>
      </c>
      <c r="EYH250" s="59">
        <v>153</v>
      </c>
      <c r="EYI250" s="59">
        <v>0</v>
      </c>
      <c r="EYJ250" s="59">
        <v>999</v>
      </c>
      <c r="HCA250" s="59">
        <v>1</v>
      </c>
    </row>
    <row r="251" spans="1:1023 1025:4072 4347:4713 5264:5800" s="83" customFormat="1" x14ac:dyDescent="0.25">
      <c r="A251" s="83">
        <v>10071135</v>
      </c>
      <c r="B251" s="83" t="s">
        <v>4195</v>
      </c>
      <c r="IC251" s="83">
        <v>6200</v>
      </c>
      <c r="KC251" s="83">
        <v>52.2</v>
      </c>
      <c r="KE251" s="83">
        <v>40.799999999999997</v>
      </c>
      <c r="KG251" s="83">
        <v>47.4</v>
      </c>
      <c r="KK251" s="83">
        <v>52.2</v>
      </c>
      <c r="NR251" s="83">
        <v>52.8</v>
      </c>
      <c r="NT251" s="83">
        <v>39</v>
      </c>
      <c r="NV251" s="83">
        <v>45</v>
      </c>
      <c r="NZ251" s="83">
        <v>58.8</v>
      </c>
      <c r="RF251" s="83">
        <v>277.2</v>
      </c>
      <c r="RH251" s="83">
        <v>235.2</v>
      </c>
      <c r="RJ251" s="83">
        <v>232.2</v>
      </c>
      <c r="RN251" s="83">
        <v>188.4</v>
      </c>
      <c r="VV251" s="83">
        <v>70.160399999999996</v>
      </c>
      <c r="AAE251" s="83">
        <v>16.59</v>
      </c>
      <c r="ABJ251" s="96"/>
      <c r="ABK251" s="96"/>
      <c r="ABL251" s="96"/>
      <c r="ABM251" s="96"/>
      <c r="ABN251" s="96"/>
      <c r="ABO251" s="96"/>
      <c r="ABP251" s="96"/>
      <c r="ABQ251" s="96"/>
      <c r="ABR251" s="96"/>
      <c r="ABS251" s="96"/>
      <c r="ABT251" s="96"/>
      <c r="ABX251" s="83">
        <v>0.98219999999999996</v>
      </c>
      <c r="ABZ251" s="83">
        <v>1.0173000000000001</v>
      </c>
      <c r="ACB251" s="83">
        <v>1.3097000000000001</v>
      </c>
      <c r="AGR251" s="83" t="s">
        <v>2168</v>
      </c>
      <c r="AGT251" s="83">
        <v>89.4</v>
      </c>
      <c r="AKA251" s="83">
        <v>3.6833999999999998</v>
      </c>
      <c r="AKD251" s="83">
        <v>4.4435000000000002</v>
      </c>
      <c r="AKF251" s="83">
        <v>4.4435000000000002</v>
      </c>
      <c r="ALL251" s="83">
        <v>145.80000000000001</v>
      </c>
      <c r="AMG251" s="83">
        <v>486</v>
      </c>
      <c r="AMI251" s="83">
        <v>138</v>
      </c>
      <c r="AMK251" s="83">
        <v>174</v>
      </c>
      <c r="AMM251" s="83">
        <v>216</v>
      </c>
      <c r="ANS251" s="83">
        <v>3</v>
      </c>
      <c r="ANU251" s="83">
        <v>63.9</v>
      </c>
      <c r="ANW251" s="83">
        <v>18.5</v>
      </c>
      <c r="ANZ251" s="83">
        <v>3</v>
      </c>
      <c r="ASP251" s="83">
        <v>368000</v>
      </c>
      <c r="BAE251" s="83">
        <v>48</v>
      </c>
      <c r="BGK251" s="83">
        <v>142</v>
      </c>
      <c r="BGO251" s="83">
        <v>137</v>
      </c>
      <c r="BHQ251" s="83">
        <v>3.8</v>
      </c>
      <c r="BHT251" s="83">
        <v>4</v>
      </c>
      <c r="BIS251" s="83">
        <v>2.6</v>
      </c>
      <c r="BIT251" s="83">
        <v>2.7</v>
      </c>
      <c r="BOA251" s="83">
        <v>29</v>
      </c>
      <c r="BOB251" s="83">
        <v>1</v>
      </c>
      <c r="BOD251" s="83">
        <v>26.79</v>
      </c>
      <c r="BOF251" s="83">
        <v>1</v>
      </c>
      <c r="BOG251" s="83">
        <v>20</v>
      </c>
      <c r="BOH251" s="83">
        <v>1</v>
      </c>
      <c r="BOI251" s="83">
        <v>1</v>
      </c>
      <c r="BON251" s="83">
        <v>1</v>
      </c>
      <c r="BYA251" s="83">
        <v>1</v>
      </c>
      <c r="BYJ251" s="95"/>
      <c r="BYK251" s="83">
        <v>0</v>
      </c>
      <c r="BYY251" s="83">
        <v>60000</v>
      </c>
      <c r="BYZ251" s="83">
        <v>800</v>
      </c>
      <c r="BZA251" s="83">
        <v>3</v>
      </c>
      <c r="BZD251" s="83">
        <v>1</v>
      </c>
      <c r="BZF251" s="83">
        <v>34</v>
      </c>
      <c r="BZG251" s="83">
        <v>25</v>
      </c>
      <c r="BZH251" s="83">
        <v>0</v>
      </c>
      <c r="BZI251" s="83">
        <v>8</v>
      </c>
      <c r="BZL251" s="83">
        <v>0</v>
      </c>
      <c r="DAK251" s="83">
        <v>384</v>
      </c>
      <c r="DAL251" s="83">
        <v>3</v>
      </c>
      <c r="DAO251" s="83">
        <v>1</v>
      </c>
      <c r="DAP251" s="83">
        <v>6</v>
      </c>
      <c r="DAQ251" s="83">
        <v>25</v>
      </c>
      <c r="DAR251" s="83">
        <v>0</v>
      </c>
      <c r="DAS251" s="83">
        <v>11</v>
      </c>
      <c r="EAL251" s="83">
        <v>40</v>
      </c>
      <c r="EAM251" s="83">
        <v>1</v>
      </c>
      <c r="EAP251" s="83">
        <v>1</v>
      </c>
      <c r="EAR251" s="83">
        <v>37</v>
      </c>
      <c r="EAS251" s="83">
        <v>25</v>
      </c>
      <c r="EAT251" s="83">
        <v>0</v>
      </c>
      <c r="EAU251" s="83">
        <v>11</v>
      </c>
      <c r="ELY251" s="83">
        <v>40</v>
      </c>
      <c r="ELZ251" s="83">
        <v>1</v>
      </c>
      <c r="EMC251" s="83">
        <v>1</v>
      </c>
      <c r="EMD251" s="100">
        <v>999</v>
      </c>
      <c r="EME251" s="83">
        <v>25</v>
      </c>
      <c r="EMF251" s="83">
        <v>0</v>
      </c>
      <c r="EMG251" s="83">
        <v>999</v>
      </c>
      <c r="GYA251" s="83">
        <v>1</v>
      </c>
      <c r="GZD251" s="83">
        <v>1</v>
      </c>
      <c r="GZE251" s="83">
        <v>1</v>
      </c>
      <c r="HCB251" s="83">
        <v>1</v>
      </c>
      <c r="HCD251" s="83">
        <v>1</v>
      </c>
    </row>
    <row r="252" spans="1:1023 1025:4072 4347:4713 5264:5800" s="59" customFormat="1" x14ac:dyDescent="0.25">
      <c r="A252" s="59">
        <v>10083649</v>
      </c>
      <c r="B252" s="60" t="s">
        <v>4195</v>
      </c>
      <c r="BC252" s="59">
        <v>60</v>
      </c>
      <c r="BD252" s="59">
        <v>58</v>
      </c>
      <c r="JQ252" s="59">
        <v>89</v>
      </c>
      <c r="JR252" s="59">
        <v>49</v>
      </c>
      <c r="NF252" s="59">
        <v>70</v>
      </c>
      <c r="NG252" s="59">
        <v>53</v>
      </c>
      <c r="QT252" s="59">
        <v>178</v>
      </c>
      <c r="QU252" s="59">
        <v>139</v>
      </c>
      <c r="ABJ252" s="63"/>
      <c r="ABK252" s="63"/>
      <c r="ABL252" s="63"/>
      <c r="ABM252" s="63"/>
      <c r="ABN252" s="63"/>
      <c r="ABO252" s="63"/>
      <c r="ABP252" s="63"/>
      <c r="ABQ252" s="63"/>
      <c r="ABR252" s="63"/>
      <c r="ABS252" s="63"/>
      <c r="ABT252" s="63"/>
      <c r="BOA252" s="59">
        <v>53</v>
      </c>
      <c r="BOC252" s="59">
        <v>1</v>
      </c>
      <c r="BOF252" s="59">
        <v>1</v>
      </c>
      <c r="BOH252" s="59">
        <v>1</v>
      </c>
      <c r="BPR252" s="59">
        <v>1</v>
      </c>
      <c r="BYJ252" s="65"/>
      <c r="BYK252" s="59">
        <v>0</v>
      </c>
      <c r="BYY252" s="59">
        <v>0</v>
      </c>
      <c r="BZD252" s="59">
        <v>1</v>
      </c>
      <c r="BZF252" s="59">
        <v>1</v>
      </c>
      <c r="BZG252" s="59">
        <v>0</v>
      </c>
      <c r="BZH252" s="59">
        <v>0</v>
      </c>
      <c r="BZI252" s="59">
        <v>0</v>
      </c>
      <c r="BZL252" s="59">
        <v>0</v>
      </c>
      <c r="CHI252" s="59">
        <v>1</v>
      </c>
      <c r="CHJ252" s="59">
        <v>1</v>
      </c>
      <c r="CHK252" s="59">
        <v>0</v>
      </c>
      <c r="CHL252" s="59">
        <v>0</v>
      </c>
      <c r="CHM252" s="59">
        <v>0</v>
      </c>
      <c r="DOP252" s="59">
        <v>1</v>
      </c>
      <c r="DOQ252" s="59">
        <v>0</v>
      </c>
      <c r="DOR252" s="59">
        <v>0</v>
      </c>
      <c r="DOS252" s="59">
        <v>0</v>
      </c>
      <c r="FMX252" s="59">
        <v>2450</v>
      </c>
      <c r="FMY252" s="59">
        <v>1</v>
      </c>
      <c r="FNB252" s="59">
        <v>1</v>
      </c>
      <c r="FNC252" s="59">
        <v>1</v>
      </c>
      <c r="FND252" s="59">
        <v>0</v>
      </c>
      <c r="FNE252" s="59">
        <v>0</v>
      </c>
      <c r="FNF252" s="59">
        <v>0</v>
      </c>
      <c r="GWY252" s="59">
        <v>1</v>
      </c>
    </row>
    <row r="253" spans="1:1023 1025:4072 4347:4713 5264:5800" s="83" customFormat="1" x14ac:dyDescent="0.25">
      <c r="A253" s="83">
        <v>10102021</v>
      </c>
      <c r="B253" s="83" t="s">
        <v>4195</v>
      </c>
      <c r="JR253" s="83">
        <v>55.2</v>
      </c>
      <c r="JT253" s="83">
        <v>55.2</v>
      </c>
      <c r="XO253" s="83">
        <v>66</v>
      </c>
      <c r="ABJ253" s="96"/>
      <c r="ABK253" s="96"/>
      <c r="ABL253" s="96"/>
      <c r="ABM253" s="96"/>
      <c r="ABN253" s="96"/>
      <c r="ABO253" s="96"/>
      <c r="ABP253" s="96"/>
      <c r="ABQ253" s="96"/>
      <c r="ABR253" s="96"/>
      <c r="ABS253" s="96"/>
      <c r="ABT253" s="96"/>
      <c r="ANG253" s="83">
        <v>31.2</v>
      </c>
      <c r="ANJ253" s="83">
        <v>3.51</v>
      </c>
      <c r="AYL253" s="83">
        <v>1800.15</v>
      </c>
      <c r="AYQ253" s="83">
        <v>4200.34</v>
      </c>
      <c r="BBK253" s="83">
        <v>73</v>
      </c>
      <c r="BBN253" s="83">
        <v>73.599999999999994</v>
      </c>
      <c r="BCQ253" s="83">
        <v>24.332100000000001</v>
      </c>
      <c r="BCT253" s="83">
        <v>24.009899999999998</v>
      </c>
      <c r="BOA253" s="83">
        <v>1</v>
      </c>
      <c r="BOB253" s="83">
        <v>1</v>
      </c>
      <c r="BOD253" s="83">
        <v>13.49</v>
      </c>
      <c r="BOG253" s="83">
        <v>1</v>
      </c>
      <c r="BTZ253" s="83">
        <v>1</v>
      </c>
      <c r="BYJ253" s="95"/>
      <c r="BYK253" s="83">
        <v>0</v>
      </c>
      <c r="BYY253" s="83">
        <v>0</v>
      </c>
      <c r="BZD253" s="83">
        <v>1</v>
      </c>
      <c r="BZF253" s="100">
        <v>999</v>
      </c>
      <c r="BZG253" s="83">
        <v>0</v>
      </c>
      <c r="BZH253" s="83">
        <v>0</v>
      </c>
      <c r="BZI253" s="83">
        <v>999</v>
      </c>
      <c r="BZL253" s="83">
        <v>0</v>
      </c>
      <c r="GXL253" s="83">
        <v>1</v>
      </c>
      <c r="GYA253" s="83">
        <v>1</v>
      </c>
      <c r="GYE253" s="83">
        <v>1</v>
      </c>
      <c r="HAJ253" s="83">
        <v>1</v>
      </c>
      <c r="HEY253" s="83">
        <v>1</v>
      </c>
    </row>
    <row r="254" spans="1:1023 1025:4072 4347:4713 5264:5800" s="59" customFormat="1" x14ac:dyDescent="0.25">
      <c r="A254" s="77">
        <v>10123729</v>
      </c>
      <c r="B254" s="60" t="s">
        <v>4195</v>
      </c>
      <c r="JQ254" s="59">
        <v>93.6</v>
      </c>
      <c r="JR254" s="59">
        <v>139</v>
      </c>
      <c r="JT254" s="59">
        <v>37</v>
      </c>
      <c r="KB254" s="59">
        <v>47.4</v>
      </c>
      <c r="LZ254" s="59">
        <v>42</v>
      </c>
      <c r="NF254" s="59">
        <v>107</v>
      </c>
      <c r="NG254" s="59">
        <v>155</v>
      </c>
      <c r="NI254" s="59">
        <v>32</v>
      </c>
      <c r="NQ254" s="59">
        <v>78.599999999999994</v>
      </c>
      <c r="PQ254" s="59">
        <v>26</v>
      </c>
      <c r="ABJ254" s="63"/>
      <c r="ABK254" s="63"/>
      <c r="ABL254" s="63">
        <v>11.1</v>
      </c>
      <c r="ABM254" s="63">
        <v>16.600000000000001</v>
      </c>
      <c r="ABN254" s="63"/>
      <c r="ABO254" s="63"/>
      <c r="ABP254" s="63"/>
      <c r="ABQ254" s="63">
        <v>24.4</v>
      </c>
      <c r="ABR254" s="63"/>
      <c r="ABS254" s="63"/>
      <c r="ABT254" s="63"/>
      <c r="ABW254" s="59">
        <v>14.7</v>
      </c>
      <c r="ADJ254" s="59">
        <v>0.9</v>
      </c>
      <c r="AGG254" s="59">
        <v>545</v>
      </c>
      <c r="AGQ254" s="59">
        <v>469</v>
      </c>
      <c r="BOA254" s="59">
        <v>88</v>
      </c>
      <c r="BOC254" s="59">
        <v>1</v>
      </c>
      <c r="BOD254" s="59">
        <v>17.97</v>
      </c>
      <c r="BSB254" s="59">
        <v>1</v>
      </c>
      <c r="BSG254" s="59">
        <v>1</v>
      </c>
      <c r="BSU254" s="59">
        <v>1</v>
      </c>
      <c r="BUE254" s="59">
        <v>1</v>
      </c>
      <c r="BVB254" s="59">
        <v>1</v>
      </c>
      <c r="BYJ254" s="65"/>
      <c r="BYK254" s="59">
        <v>0</v>
      </c>
      <c r="BYY254" s="59">
        <v>0</v>
      </c>
      <c r="BZD254" s="59">
        <v>1</v>
      </c>
      <c r="BZF254" s="59">
        <v>180</v>
      </c>
      <c r="BZG254" s="59">
        <v>180</v>
      </c>
      <c r="BZH254" s="59">
        <v>1</v>
      </c>
      <c r="BZI254" s="59">
        <v>0</v>
      </c>
      <c r="BZJ254" s="59">
        <v>50</v>
      </c>
      <c r="BZL254" s="59">
        <v>0</v>
      </c>
      <c r="DEJ254" s="59">
        <v>25</v>
      </c>
      <c r="DEK254" s="59">
        <v>1</v>
      </c>
      <c r="DEN254" s="59">
        <v>1</v>
      </c>
      <c r="DEO254" s="69">
        <v>999</v>
      </c>
      <c r="DEP254" s="59">
        <v>26</v>
      </c>
      <c r="DEQ254" s="59">
        <v>0</v>
      </c>
      <c r="DER254" s="59">
        <v>999</v>
      </c>
      <c r="DMW254" s="59">
        <v>2.5</v>
      </c>
      <c r="DMX254" s="59">
        <v>1</v>
      </c>
      <c r="DNA254" s="59">
        <v>1</v>
      </c>
      <c r="DNB254" s="69">
        <v>999</v>
      </c>
      <c r="DNC254" s="59">
        <v>153</v>
      </c>
      <c r="DND254" s="59">
        <v>0</v>
      </c>
      <c r="DNE254" s="59">
        <v>999</v>
      </c>
      <c r="DWH254" s="59">
        <v>15</v>
      </c>
      <c r="DWI254" s="59">
        <v>1</v>
      </c>
      <c r="DWL254" s="59">
        <v>1</v>
      </c>
      <c r="DWM254" s="59">
        <v>122</v>
      </c>
      <c r="DWN254" s="59">
        <v>122</v>
      </c>
      <c r="DWO254" s="59">
        <v>0</v>
      </c>
      <c r="DWP254" s="59">
        <v>1</v>
      </c>
      <c r="DWQ254" s="59">
        <v>50</v>
      </c>
      <c r="EEL254" s="59">
        <v>5</v>
      </c>
      <c r="EEM254" s="59">
        <v>1</v>
      </c>
      <c r="EEP254" s="59">
        <v>1</v>
      </c>
      <c r="EEQ254" s="69">
        <v>999</v>
      </c>
      <c r="EER254" s="59">
        <v>915</v>
      </c>
      <c r="EES254" s="59">
        <v>0</v>
      </c>
      <c r="EET254" s="59">
        <v>999</v>
      </c>
      <c r="ELY254" s="59">
        <v>20</v>
      </c>
      <c r="ELZ254" s="59">
        <v>1</v>
      </c>
      <c r="EMC254" s="59">
        <v>1</v>
      </c>
      <c r="EMD254" s="69">
        <v>999</v>
      </c>
      <c r="EME254" s="59">
        <v>214</v>
      </c>
      <c r="EMF254" s="59">
        <v>0</v>
      </c>
      <c r="EMG254" s="59">
        <v>999</v>
      </c>
      <c r="EZK254" s="59">
        <v>1</v>
      </c>
      <c r="EZL254" s="59">
        <v>92</v>
      </c>
      <c r="EZM254" s="59">
        <v>92</v>
      </c>
      <c r="EZP254" s="59">
        <v>50</v>
      </c>
      <c r="GUM254" s="59">
        <v>1</v>
      </c>
      <c r="HCA254" s="59">
        <v>1</v>
      </c>
    </row>
    <row r="255" spans="1:1023 1025:4072 4347:4713 5264:5800" s="59" customFormat="1" x14ac:dyDescent="0.25">
      <c r="A255" s="59">
        <v>10144736</v>
      </c>
      <c r="B255" s="60" t="s">
        <v>4195</v>
      </c>
      <c r="IZ255" s="59">
        <v>12</v>
      </c>
      <c r="JQ255" s="59">
        <v>204</v>
      </c>
      <c r="JR255" s="59">
        <v>131</v>
      </c>
      <c r="JT255" s="59">
        <v>19</v>
      </c>
      <c r="MO255" s="59">
        <v>11</v>
      </c>
      <c r="NF255" s="59">
        <v>85</v>
      </c>
      <c r="NG255" s="59">
        <v>214</v>
      </c>
      <c r="NI255" s="59">
        <v>96</v>
      </c>
      <c r="ABL255" s="59">
        <v>0.73</v>
      </c>
      <c r="AGF255" s="59">
        <v>92</v>
      </c>
      <c r="BOA255" s="59">
        <v>56</v>
      </c>
      <c r="BOC255" s="59">
        <v>1</v>
      </c>
      <c r="BOD255" s="59">
        <v>23.8</v>
      </c>
      <c r="BQC255" s="59">
        <v>1</v>
      </c>
      <c r="BRJ255" s="59">
        <v>1</v>
      </c>
      <c r="BXB255" s="59">
        <v>1</v>
      </c>
      <c r="BYJ255" s="65"/>
      <c r="BYK255" s="59">
        <v>0</v>
      </c>
      <c r="BYY255" s="59">
        <v>585600</v>
      </c>
      <c r="BYZ255" s="59">
        <v>800</v>
      </c>
      <c r="BZA255" s="59">
        <v>1</v>
      </c>
      <c r="BZD255" s="59">
        <v>1</v>
      </c>
      <c r="BZF255" s="59">
        <v>732</v>
      </c>
      <c r="BZG255" s="59">
        <v>732</v>
      </c>
      <c r="BZH255" s="59">
        <v>1</v>
      </c>
      <c r="BZI255" s="59">
        <v>0</v>
      </c>
      <c r="BZJ255" s="59">
        <v>30</v>
      </c>
      <c r="BZL255" s="59">
        <v>0</v>
      </c>
      <c r="CBI255" s="59">
        <v>1</v>
      </c>
      <c r="CBJ255" s="59">
        <v>1</v>
      </c>
      <c r="CBK255" s="59">
        <v>1</v>
      </c>
      <c r="CBL255" s="59">
        <v>1</v>
      </c>
      <c r="CBM255" s="59">
        <v>0</v>
      </c>
      <c r="CBN255" s="59">
        <v>50</v>
      </c>
      <c r="CHI255" s="59">
        <v>1</v>
      </c>
      <c r="CHJ255" s="59">
        <v>1</v>
      </c>
      <c r="CHK255" s="59">
        <v>1</v>
      </c>
      <c r="CHL255" s="59">
        <v>1</v>
      </c>
      <c r="CHM255" s="59">
        <v>0</v>
      </c>
      <c r="GXZ255" s="59">
        <v>1</v>
      </c>
      <c r="GYA255" s="59">
        <v>1</v>
      </c>
      <c r="GZE255" s="59">
        <v>1</v>
      </c>
      <c r="HCA255" s="59">
        <v>1</v>
      </c>
    </row>
    <row r="256" spans="1:1023 1025:4072 4347:4713 5264:5800" s="59" customFormat="1" x14ac:dyDescent="0.25">
      <c r="A256" s="77">
        <v>10157275</v>
      </c>
      <c r="B256" s="60" t="s">
        <v>4195</v>
      </c>
      <c r="O256" s="65"/>
      <c r="EF256" s="59">
        <v>7</v>
      </c>
      <c r="JR256" s="59">
        <v>462</v>
      </c>
      <c r="KV256" s="59">
        <v>38</v>
      </c>
      <c r="KZ256" s="59">
        <v>462</v>
      </c>
      <c r="LU256" s="59">
        <v>125</v>
      </c>
      <c r="MD256" s="59">
        <v>102</v>
      </c>
      <c r="NF256" s="59">
        <v>401</v>
      </c>
      <c r="ON256" s="59">
        <v>401</v>
      </c>
      <c r="PH256" s="59">
        <v>77</v>
      </c>
      <c r="PU256" s="59">
        <v>67</v>
      </c>
      <c r="PW256" s="59">
        <v>18</v>
      </c>
      <c r="QS256" s="59">
        <v>168</v>
      </c>
      <c r="RA256" s="59">
        <v>173</v>
      </c>
      <c r="SY256" s="59">
        <v>53</v>
      </c>
      <c r="ABL256" s="77" t="s">
        <v>2182</v>
      </c>
      <c r="ADN256" s="64">
        <v>106</v>
      </c>
      <c r="AGE256" s="59">
        <v>133</v>
      </c>
      <c r="AKX256" s="59">
        <v>110</v>
      </c>
      <c r="ALV256" s="59">
        <v>92</v>
      </c>
      <c r="BOA256" s="59">
        <v>71</v>
      </c>
      <c r="BOC256" s="59">
        <v>1</v>
      </c>
      <c r="BOD256" s="59">
        <v>25.08</v>
      </c>
      <c r="BOF256" s="59">
        <v>1</v>
      </c>
      <c r="BSC256" s="59">
        <v>1</v>
      </c>
      <c r="BSY256" s="59">
        <v>1</v>
      </c>
      <c r="BXF256" s="59">
        <v>1</v>
      </c>
      <c r="BXW256" s="59">
        <v>1</v>
      </c>
      <c r="BYJ256" s="65"/>
      <c r="BYK256" s="59">
        <v>0</v>
      </c>
      <c r="BYY256" s="59">
        <v>0</v>
      </c>
      <c r="BYZ256" s="59">
        <v>3000</v>
      </c>
      <c r="BZA256" s="59">
        <v>1</v>
      </c>
      <c r="BZD256" s="59">
        <v>1</v>
      </c>
      <c r="BZK256" s="59">
        <v>1</v>
      </c>
      <c r="BZL256" s="59">
        <v>0</v>
      </c>
      <c r="BZX256" s="59">
        <v>1</v>
      </c>
      <c r="CBD256" s="59">
        <v>1</v>
      </c>
      <c r="CBY256" s="59">
        <v>1660</v>
      </c>
      <c r="CBZ256" s="59">
        <v>1</v>
      </c>
      <c r="CPT256" s="59">
        <v>400</v>
      </c>
      <c r="CPU256" s="59">
        <v>1</v>
      </c>
      <c r="CPX256" s="59">
        <v>1</v>
      </c>
      <c r="CPY256" s="59">
        <v>11</v>
      </c>
      <c r="CPZ256" s="59">
        <v>0</v>
      </c>
      <c r="CQA256" s="59">
        <v>0</v>
      </c>
      <c r="CQB256" s="59">
        <v>10</v>
      </c>
      <c r="DVM256" s="59">
        <v>1</v>
      </c>
      <c r="DXH256" s="59">
        <v>22</v>
      </c>
      <c r="DXI256" s="59">
        <v>11</v>
      </c>
      <c r="DXJ256" s="59">
        <v>0</v>
      </c>
      <c r="DXK256" s="59">
        <v>10</v>
      </c>
      <c r="EBQ256" s="59">
        <v>10</v>
      </c>
      <c r="EBR256" s="59">
        <v>1</v>
      </c>
      <c r="ECL256" s="59">
        <v>20</v>
      </c>
      <c r="ECM256" s="59">
        <v>2</v>
      </c>
      <c r="ECP256" s="59">
        <v>1</v>
      </c>
      <c r="FKE256" s="59">
        <v>1</v>
      </c>
      <c r="FKF256" s="59">
        <v>1</v>
      </c>
      <c r="FKI256" s="59">
        <v>1</v>
      </c>
      <c r="GWZ256" s="59">
        <v>1</v>
      </c>
      <c r="GXP256" s="59">
        <v>1</v>
      </c>
      <c r="GYS256" s="59">
        <v>1</v>
      </c>
      <c r="HBU256" s="59">
        <v>1</v>
      </c>
      <c r="HBX256" s="59">
        <v>1</v>
      </c>
      <c r="HCA256" s="59">
        <v>1</v>
      </c>
    </row>
    <row r="257" spans="1:2 2012:2040" s="59" customFormat="1" x14ac:dyDescent="0.25">
      <c r="A257" s="85">
        <v>10190869</v>
      </c>
      <c r="B257" s="60" t="s">
        <v>4195</v>
      </c>
      <c r="BYJ257" s="65"/>
      <c r="BYK257" s="59">
        <v>0</v>
      </c>
      <c r="BYY257" s="59">
        <v>0</v>
      </c>
      <c r="BZL257" s="59">
        <v>0</v>
      </c>
    </row>
    <row r="258" spans="1:2 2012:2040" s="59" customFormat="1" x14ac:dyDescent="0.25">
      <c r="A258" s="59">
        <v>11008417</v>
      </c>
      <c r="B258" s="60" t="s">
        <v>4195</v>
      </c>
      <c r="BYJ258" s="65"/>
      <c r="BYK258" s="59">
        <v>0</v>
      </c>
      <c r="BYY258" s="59">
        <v>0</v>
      </c>
      <c r="BZL258" s="59">
        <v>0</v>
      </c>
    </row>
    <row r="259" spans="1:2 2012:2040" s="59" customFormat="1" x14ac:dyDescent="0.25">
      <c r="A259" s="59">
        <v>11011791</v>
      </c>
      <c r="B259" s="60" t="s">
        <v>4195</v>
      </c>
      <c r="BYJ259" s="65"/>
      <c r="BYK259" s="59">
        <v>0</v>
      </c>
      <c r="BYY259" s="59">
        <v>0</v>
      </c>
      <c r="BZL259" s="59">
        <v>0</v>
      </c>
    </row>
    <row r="260" spans="1:2 2012:2040" s="59" customFormat="1" x14ac:dyDescent="0.25">
      <c r="A260" s="59">
        <v>11043926</v>
      </c>
      <c r="B260" s="60" t="s">
        <v>4195</v>
      </c>
      <c r="BYJ260" s="65"/>
      <c r="BYK260" s="59">
        <v>0</v>
      </c>
      <c r="BYY260" s="59">
        <v>0</v>
      </c>
      <c r="BZL260" s="59">
        <v>0</v>
      </c>
    </row>
    <row r="261" spans="1:2 2012:2040" s="59" customFormat="1" x14ac:dyDescent="0.25">
      <c r="A261" s="59">
        <v>11049060</v>
      </c>
      <c r="B261" s="60" t="s">
        <v>4195</v>
      </c>
      <c r="BYJ261" s="65"/>
      <c r="BYK261" s="59">
        <v>0</v>
      </c>
      <c r="BYY261" s="59">
        <v>0</v>
      </c>
      <c r="BZL261" s="59">
        <v>0</v>
      </c>
    </row>
    <row r="262" spans="1:2 2012:2040" s="59" customFormat="1" x14ac:dyDescent="0.25">
      <c r="A262" s="59">
        <v>11058012</v>
      </c>
      <c r="B262" s="60" t="s">
        <v>4195</v>
      </c>
      <c r="BYJ262" s="65"/>
      <c r="BYK262" s="59">
        <v>0</v>
      </c>
      <c r="BYY262" s="59">
        <v>0</v>
      </c>
      <c r="BZL262" s="59">
        <v>0</v>
      </c>
    </row>
    <row r="263" spans="1:2 2012:2040" s="59" customFormat="1" x14ac:dyDescent="0.25">
      <c r="A263" s="59">
        <v>11082290</v>
      </c>
      <c r="B263" s="60" t="s">
        <v>4195</v>
      </c>
      <c r="BYJ263" s="65"/>
      <c r="BYK263" s="59">
        <v>0</v>
      </c>
      <c r="BYY263" s="59">
        <v>0</v>
      </c>
      <c r="BZL263" s="59">
        <v>0</v>
      </c>
    </row>
    <row r="264" spans="1:2 2012:2040" s="59" customFormat="1" x14ac:dyDescent="0.25">
      <c r="A264" s="59">
        <v>11096431</v>
      </c>
      <c r="B264" s="60" t="s">
        <v>4195</v>
      </c>
      <c r="BYJ264" s="65"/>
      <c r="BYK264" s="59">
        <v>0</v>
      </c>
      <c r="BYY264" s="59">
        <v>0</v>
      </c>
      <c r="BZL264" s="59">
        <v>0</v>
      </c>
    </row>
    <row r="265" spans="1:2 2012:2040" s="59" customFormat="1" x14ac:dyDescent="0.25">
      <c r="A265" s="59">
        <v>11105672</v>
      </c>
      <c r="B265" s="60" t="s">
        <v>4195</v>
      </c>
      <c r="BYJ265" s="65"/>
      <c r="BYK265" s="59">
        <v>0</v>
      </c>
      <c r="BYY265" s="59">
        <v>0</v>
      </c>
      <c r="BZL265" s="59">
        <v>0</v>
      </c>
    </row>
    <row r="266" spans="1:2 2012:2040" s="59" customFormat="1" x14ac:dyDescent="0.25">
      <c r="A266" s="65">
        <v>11130494</v>
      </c>
      <c r="B266" s="60" t="s">
        <v>4195</v>
      </c>
      <c r="BYJ266" s="65"/>
      <c r="BYK266" s="59">
        <v>0</v>
      </c>
      <c r="BYY266" s="59">
        <v>0</v>
      </c>
      <c r="BZL266" s="59">
        <v>0</v>
      </c>
    </row>
    <row r="267" spans="1:2 2012:2040" s="59" customFormat="1" x14ac:dyDescent="0.25">
      <c r="A267" s="59">
        <v>11136262</v>
      </c>
      <c r="B267" s="60" t="s">
        <v>4195</v>
      </c>
      <c r="BYJ267" s="65"/>
      <c r="BYK267" s="59">
        <v>0</v>
      </c>
      <c r="BYY267" s="59">
        <v>0</v>
      </c>
      <c r="BZL267" s="59">
        <v>0</v>
      </c>
    </row>
    <row r="268" spans="1:2 2012:2040" s="59" customFormat="1" x14ac:dyDescent="0.25">
      <c r="A268" s="59">
        <v>11156782</v>
      </c>
      <c r="B268" s="60" t="s">
        <v>4195</v>
      </c>
      <c r="BYJ268" s="65"/>
      <c r="BYK268" s="59">
        <v>0</v>
      </c>
      <c r="BYY268" s="59">
        <v>0</v>
      </c>
      <c r="BZL268" s="59">
        <v>0</v>
      </c>
    </row>
    <row r="269" spans="1:2 2012:2040" s="59" customFormat="1" x14ac:dyDescent="0.25">
      <c r="A269" s="59">
        <v>11178455</v>
      </c>
      <c r="B269" s="60" t="s">
        <v>4195</v>
      </c>
      <c r="BYJ269" s="65"/>
      <c r="BYK269" s="59">
        <v>0</v>
      </c>
      <c r="BYY269" s="59">
        <v>0</v>
      </c>
      <c r="BZL269" s="59">
        <v>0</v>
      </c>
    </row>
    <row r="270" spans="1:2 2012:2040" s="59" customFormat="1" x14ac:dyDescent="0.25">
      <c r="A270" s="59">
        <v>11179526</v>
      </c>
      <c r="B270" s="60" t="s">
        <v>4195</v>
      </c>
      <c r="BYJ270" s="65"/>
      <c r="BYK270" s="59">
        <v>0</v>
      </c>
      <c r="BYY270" s="59">
        <v>0</v>
      </c>
      <c r="BZL270" s="59">
        <v>0</v>
      </c>
    </row>
    <row r="271" spans="1:2 2012:2040" s="59" customFormat="1" x14ac:dyDescent="0.25">
      <c r="A271" s="65">
        <v>11187511</v>
      </c>
      <c r="B271" s="60" t="s">
        <v>4195</v>
      </c>
      <c r="BYJ271" s="65"/>
      <c r="BYK271" s="59">
        <v>0</v>
      </c>
      <c r="BYY271" s="59">
        <v>0</v>
      </c>
      <c r="BZL271" s="59">
        <v>0</v>
      </c>
    </row>
    <row r="272" spans="1:2 2012:2040" s="59" customFormat="1" x14ac:dyDescent="0.25">
      <c r="A272" s="59">
        <v>11186565</v>
      </c>
      <c r="B272" s="60" t="s">
        <v>4195</v>
      </c>
      <c r="BYJ272" s="65"/>
      <c r="BYK272" s="59">
        <v>0</v>
      </c>
      <c r="BYY272" s="59">
        <v>0</v>
      </c>
      <c r="BZL272" s="59">
        <v>0</v>
      </c>
    </row>
    <row r="273" spans="1:739 1743:2249 4083:4091 5482:5482" s="59" customFormat="1" x14ac:dyDescent="0.25">
      <c r="A273" s="59">
        <v>11223290</v>
      </c>
      <c r="B273" s="60" t="s">
        <v>4195</v>
      </c>
      <c r="BYJ273" s="65"/>
      <c r="BYK273" s="59">
        <v>0</v>
      </c>
      <c r="BYY273" s="59">
        <v>0</v>
      </c>
      <c r="BZL273" s="59">
        <v>0</v>
      </c>
    </row>
    <row r="274" spans="1:739 1743:2249 4083:4091 5482:5482" s="59" customFormat="1" x14ac:dyDescent="0.25">
      <c r="A274" s="59">
        <v>11228365</v>
      </c>
      <c r="B274" s="60" t="s">
        <v>4195</v>
      </c>
      <c r="BYJ274" s="65"/>
      <c r="BYK274" s="59">
        <v>0</v>
      </c>
      <c r="BYY274" s="59">
        <v>0</v>
      </c>
      <c r="BZL274" s="59">
        <v>0</v>
      </c>
    </row>
    <row r="275" spans="1:739 1743:2249 4083:4091 5482:5482" s="59" customFormat="1" x14ac:dyDescent="0.25">
      <c r="A275" s="59">
        <v>11242475</v>
      </c>
      <c r="B275" s="60" t="s">
        <v>4195</v>
      </c>
      <c r="BYJ275" s="65"/>
      <c r="BYK275" s="59">
        <v>0</v>
      </c>
      <c r="BYY275" s="59">
        <v>0</v>
      </c>
      <c r="BZL275" s="59">
        <v>0</v>
      </c>
    </row>
    <row r="276" spans="1:739 1743:2249 4083:4091 5482:5482" s="59" customFormat="1" x14ac:dyDescent="0.25">
      <c r="A276" s="65">
        <v>12006392</v>
      </c>
      <c r="B276" s="60" t="s">
        <v>4195</v>
      </c>
      <c r="BYJ276" s="65"/>
      <c r="BYK276" s="59">
        <v>0</v>
      </c>
      <c r="BYY276" s="59">
        <v>0</v>
      </c>
      <c r="BZL276" s="59">
        <v>0</v>
      </c>
    </row>
    <row r="277" spans="1:739 1743:2249 4083:4091 5482:5482" s="59" customFormat="1" x14ac:dyDescent="0.25">
      <c r="A277" s="59">
        <v>12020246</v>
      </c>
      <c r="B277" s="60" t="s">
        <v>4195</v>
      </c>
      <c r="BYJ277" s="65"/>
      <c r="BYK277" s="59">
        <v>0</v>
      </c>
      <c r="BYY277" s="59">
        <v>0</v>
      </c>
      <c r="BZL277" s="59">
        <v>0</v>
      </c>
    </row>
    <row r="278" spans="1:739 1743:2249 4083:4091 5482:5482" s="59" customFormat="1" x14ac:dyDescent="0.25">
      <c r="A278" s="59">
        <v>12035138</v>
      </c>
      <c r="B278" s="60" t="s">
        <v>4195</v>
      </c>
      <c r="BYJ278" s="65"/>
      <c r="BYK278" s="59">
        <v>0</v>
      </c>
      <c r="BYY278" s="59">
        <v>0</v>
      </c>
      <c r="BZL278" s="59">
        <v>0</v>
      </c>
    </row>
    <row r="279" spans="1:739 1743:2249 4083:4091 5482:5482" s="59" customFormat="1" x14ac:dyDescent="0.25">
      <c r="A279" s="65">
        <v>12111578</v>
      </c>
      <c r="B279" s="60" t="s">
        <v>4195</v>
      </c>
      <c r="BYJ279" s="65"/>
      <c r="BYK279" s="59">
        <v>0</v>
      </c>
      <c r="BYY279" s="59">
        <v>0</v>
      </c>
      <c r="BZL279" s="59">
        <v>0</v>
      </c>
    </row>
    <row r="280" spans="1:739 1743:2249 4083:4091 5482:5482" s="59" customFormat="1" x14ac:dyDescent="0.25">
      <c r="A280" s="65">
        <v>12133434</v>
      </c>
      <c r="B280" s="60" t="s">
        <v>4195</v>
      </c>
      <c r="O280" s="65"/>
      <c r="BYJ280" s="65"/>
      <c r="BYK280" s="59">
        <v>0</v>
      </c>
      <c r="BYY280" s="59">
        <v>0</v>
      </c>
      <c r="BZL280" s="59">
        <v>0</v>
      </c>
    </row>
    <row r="281" spans="1:739 1743:2249 4083:4091 5482:5482" s="59" customFormat="1" x14ac:dyDescent="0.25">
      <c r="A281" s="59">
        <v>12164268</v>
      </c>
      <c r="B281" s="60" t="s">
        <v>4195</v>
      </c>
      <c r="BYJ281" s="65"/>
      <c r="BYK281" s="59">
        <v>0</v>
      </c>
      <c r="BYY281" s="59">
        <v>0</v>
      </c>
      <c r="BZL281" s="59">
        <v>0</v>
      </c>
    </row>
    <row r="282" spans="1:739 1743:2249 4083:4091 5482:5482" s="59" customFormat="1" x14ac:dyDescent="0.25">
      <c r="A282" s="59">
        <v>12164269</v>
      </c>
      <c r="B282" s="60" t="s">
        <v>4195</v>
      </c>
      <c r="BYJ282" s="65"/>
      <c r="BYK282" s="59">
        <v>0</v>
      </c>
      <c r="BYY282" s="59">
        <v>0</v>
      </c>
      <c r="BZL282" s="59">
        <v>0</v>
      </c>
    </row>
    <row r="283" spans="1:739 1743:2249 4083:4091 5482:5482" s="59" customFormat="1" x14ac:dyDescent="0.25">
      <c r="A283" s="59">
        <v>12168562</v>
      </c>
      <c r="B283" s="60" t="s">
        <v>4195</v>
      </c>
      <c r="BYJ283" s="65"/>
      <c r="BYK283" s="59">
        <v>0</v>
      </c>
      <c r="BYY283" s="59">
        <v>0</v>
      </c>
      <c r="BZL283" s="59">
        <v>0</v>
      </c>
    </row>
    <row r="284" spans="1:739 1743:2249 4083:4091 5482:5482" s="59" customFormat="1" x14ac:dyDescent="0.25">
      <c r="A284" s="59">
        <v>12190939</v>
      </c>
      <c r="B284" s="60" t="s">
        <v>4195</v>
      </c>
      <c r="BYJ284" s="65"/>
      <c r="BYK284" s="59">
        <v>0</v>
      </c>
      <c r="BYY284" s="59">
        <v>0</v>
      </c>
      <c r="BZL284" s="59">
        <v>0</v>
      </c>
    </row>
    <row r="285" spans="1:739 1743:2249 4083:4091 5482:5482" s="59" customFormat="1" x14ac:dyDescent="0.25">
      <c r="A285" s="59">
        <v>12311081</v>
      </c>
      <c r="B285" s="60" t="s">
        <v>4195</v>
      </c>
      <c r="BYJ285" s="65"/>
      <c r="BYK285" s="59">
        <v>0</v>
      </c>
      <c r="BYY285" s="59">
        <v>0</v>
      </c>
      <c r="BZL285" s="59">
        <v>0</v>
      </c>
    </row>
    <row r="286" spans="1:739 1743:2249 4083:4091 5482:5482" s="59" customFormat="1" x14ac:dyDescent="0.25">
      <c r="A286" s="59">
        <v>13006749</v>
      </c>
      <c r="B286" s="60" t="s">
        <v>4195</v>
      </c>
      <c r="BYJ286" s="65"/>
      <c r="BYK286" s="59">
        <v>0</v>
      </c>
      <c r="BYY286" s="59">
        <v>0</v>
      </c>
      <c r="BZL286" s="59">
        <v>0</v>
      </c>
    </row>
    <row r="287" spans="1:739 1743:2249 4083:4091 5482:5482" s="59" customFormat="1" x14ac:dyDescent="0.25">
      <c r="B287" s="60"/>
      <c r="BYJ287" s="65"/>
      <c r="BYK287" s="59">
        <v>0</v>
      </c>
      <c r="BYY287" s="59">
        <v>0</v>
      </c>
      <c r="BZL287" s="59">
        <v>0</v>
      </c>
    </row>
    <row r="288" spans="1:739 1743:2249 4083:4091 5482:5482" s="59" customFormat="1" x14ac:dyDescent="0.25">
      <c r="A288" s="77">
        <v>5281</v>
      </c>
      <c r="B288" s="60" t="s">
        <v>4196</v>
      </c>
      <c r="BB288" s="59">
        <v>18</v>
      </c>
      <c r="JP288" s="59">
        <v>5300</v>
      </c>
      <c r="JX288" s="59">
        <v>136</v>
      </c>
      <c r="NE288" s="59">
        <v>5300</v>
      </c>
      <c r="NM288" s="59">
        <v>849</v>
      </c>
      <c r="UM288" s="59">
        <v>128</v>
      </c>
      <c r="ABK288" s="59">
        <v>5.8467000000000002</v>
      </c>
      <c r="BOA288" s="59">
        <v>24</v>
      </c>
      <c r="BOC288" s="59">
        <v>1</v>
      </c>
      <c r="BOD288" s="59">
        <v>18.8</v>
      </c>
      <c r="BOF288" s="59">
        <v>1</v>
      </c>
      <c r="BOI288" s="59">
        <v>1</v>
      </c>
      <c r="BYJ288" s="65"/>
      <c r="BYK288" s="59">
        <v>0</v>
      </c>
      <c r="BYP288" s="59">
        <v>1</v>
      </c>
      <c r="BYS288" s="59">
        <v>1</v>
      </c>
      <c r="BYT288" s="59">
        <v>0</v>
      </c>
      <c r="BYU288" s="59">
        <v>0</v>
      </c>
      <c r="BYV288" s="59">
        <v>0</v>
      </c>
      <c r="BYY288" s="59">
        <v>0</v>
      </c>
      <c r="BZL288" s="59">
        <v>0</v>
      </c>
      <c r="BZM288" s="59">
        <v>16</v>
      </c>
      <c r="BZN288" s="59">
        <v>1</v>
      </c>
      <c r="BZQ288" s="59">
        <v>1</v>
      </c>
      <c r="BZS288" s="59">
        <v>1</v>
      </c>
      <c r="BZT288" s="59">
        <v>0</v>
      </c>
      <c r="BZU288" s="59">
        <v>0</v>
      </c>
      <c r="BZV288" s="59">
        <v>0</v>
      </c>
      <c r="CHE288" s="63"/>
      <c r="CHI288" s="59">
        <v>1</v>
      </c>
      <c r="CHJ288" s="59">
        <v>1</v>
      </c>
      <c r="CHK288" s="59">
        <v>0</v>
      </c>
      <c r="CHL288" s="59">
        <v>0</v>
      </c>
      <c r="CHM288" s="59">
        <v>0</v>
      </c>
      <c r="FAA288" s="59">
        <v>20</v>
      </c>
      <c r="FAB288" s="59">
        <v>1</v>
      </c>
      <c r="FAE288" s="59">
        <v>1</v>
      </c>
      <c r="FAF288" s="59">
        <v>1</v>
      </c>
      <c r="FAG288" s="59">
        <v>0</v>
      </c>
      <c r="FAH288" s="59">
        <v>0</v>
      </c>
      <c r="FAI288" s="59">
        <v>0</v>
      </c>
      <c r="HBV288" s="59">
        <v>1</v>
      </c>
    </row>
    <row r="289" spans="1:1023 1026:3063 3167:4066 4210:4824 5198:5762" s="59" customFormat="1" x14ac:dyDescent="0.25">
      <c r="A289" s="77">
        <v>200085</v>
      </c>
      <c r="B289" s="60" t="s">
        <v>4196</v>
      </c>
      <c r="L289" s="59">
        <v>20</v>
      </c>
      <c r="M289" s="59">
        <v>12</v>
      </c>
      <c r="Q289" s="59">
        <v>8</v>
      </c>
      <c r="R289" s="59">
        <v>8</v>
      </c>
      <c r="S289" s="59">
        <v>8</v>
      </c>
      <c r="U289" s="59">
        <v>9</v>
      </c>
      <c r="BG289" s="59">
        <v>100</v>
      </c>
      <c r="BI289" s="59">
        <v>100</v>
      </c>
      <c r="BL289" s="59">
        <v>100</v>
      </c>
      <c r="BN289" s="59">
        <v>100</v>
      </c>
      <c r="BQ289" s="59">
        <v>100</v>
      </c>
      <c r="BR289" s="59">
        <v>100</v>
      </c>
      <c r="EA289" s="59">
        <v>43</v>
      </c>
      <c r="EB289" s="59">
        <v>37</v>
      </c>
      <c r="EC289" s="59">
        <v>25</v>
      </c>
      <c r="ED289" s="59">
        <v>26</v>
      </c>
      <c r="EK289" s="59">
        <v>29</v>
      </c>
      <c r="EM289" s="59">
        <v>26</v>
      </c>
      <c r="EP289" s="59">
        <v>23</v>
      </c>
      <c r="ER289" s="59">
        <v>23</v>
      </c>
      <c r="ET289" s="59">
        <v>23</v>
      </c>
      <c r="EU289" s="59">
        <v>25</v>
      </c>
      <c r="JD289" s="59">
        <v>14</v>
      </c>
      <c r="JE289" s="59">
        <v>14</v>
      </c>
      <c r="JL289" s="59">
        <v>26</v>
      </c>
      <c r="JP289" s="59">
        <v>125</v>
      </c>
      <c r="JQ289" s="59">
        <v>42</v>
      </c>
      <c r="JR289" s="59">
        <v>88</v>
      </c>
      <c r="JS289" s="59">
        <v>104</v>
      </c>
      <c r="JT289" s="59">
        <v>125</v>
      </c>
      <c r="JU289" s="59">
        <v>105</v>
      </c>
      <c r="JV289" s="59">
        <v>70</v>
      </c>
      <c r="JW289" s="59">
        <v>51</v>
      </c>
      <c r="JX289" s="59">
        <v>41</v>
      </c>
      <c r="JZ289" s="59">
        <v>36</v>
      </c>
      <c r="KB289" s="59">
        <v>21</v>
      </c>
      <c r="KF289" s="59">
        <v>17</v>
      </c>
      <c r="KI289" s="59">
        <v>12</v>
      </c>
      <c r="KM289" s="59">
        <v>13</v>
      </c>
      <c r="KO289" s="59">
        <v>13</v>
      </c>
      <c r="MS289" s="59">
        <v>27</v>
      </c>
      <c r="MZ289" s="59">
        <v>36</v>
      </c>
      <c r="NA289" s="59">
        <v>58</v>
      </c>
      <c r="NE289" s="59">
        <v>343</v>
      </c>
      <c r="NF289" s="59">
        <v>110</v>
      </c>
      <c r="NG289" s="59">
        <v>205</v>
      </c>
      <c r="NH289" s="59">
        <v>277</v>
      </c>
      <c r="NI289" s="59">
        <v>343</v>
      </c>
      <c r="NJ289" s="59">
        <v>302</v>
      </c>
      <c r="NK289" s="59">
        <v>278</v>
      </c>
      <c r="NL289" s="59">
        <v>241</v>
      </c>
      <c r="NM289" s="59">
        <v>195</v>
      </c>
      <c r="NO289" s="59">
        <v>145</v>
      </c>
      <c r="NQ289" s="59">
        <v>102</v>
      </c>
      <c r="NU289" s="59">
        <v>48</v>
      </c>
      <c r="NW289" s="59">
        <v>29</v>
      </c>
      <c r="NX289" s="59">
        <v>23</v>
      </c>
      <c r="OB289" s="59">
        <v>22</v>
      </c>
      <c r="OE289" s="59">
        <v>21</v>
      </c>
      <c r="QH289" s="59">
        <v>42</v>
      </c>
      <c r="QM289" s="59">
        <v>38</v>
      </c>
      <c r="QN289" s="59">
        <v>33</v>
      </c>
      <c r="QS289" s="59">
        <v>240</v>
      </c>
      <c r="QT289" s="59">
        <v>82</v>
      </c>
      <c r="QU289" s="59">
        <v>174</v>
      </c>
      <c r="QV289" s="59">
        <v>216</v>
      </c>
      <c r="QW289" s="59">
        <v>242</v>
      </c>
      <c r="QX289" s="59">
        <v>221</v>
      </c>
      <c r="QY289" s="59">
        <v>215</v>
      </c>
      <c r="QZ289" s="59">
        <v>216</v>
      </c>
      <c r="RA289" s="59">
        <v>191</v>
      </c>
      <c r="RC289" s="59">
        <v>192</v>
      </c>
      <c r="RE289" s="59">
        <v>168</v>
      </c>
      <c r="RI289" s="59">
        <v>135</v>
      </c>
      <c r="RK289" s="59">
        <v>98</v>
      </c>
      <c r="RP289" s="59">
        <v>78</v>
      </c>
      <c r="RR289" s="59">
        <v>56</v>
      </c>
      <c r="TA289" s="59">
        <v>166</v>
      </c>
      <c r="TL289" s="59">
        <v>170</v>
      </c>
      <c r="TM289" s="59">
        <v>222</v>
      </c>
      <c r="TN289" s="59">
        <v>248</v>
      </c>
      <c r="TO289" s="59">
        <v>257</v>
      </c>
      <c r="TP289" s="59">
        <v>254</v>
      </c>
      <c r="TQ289" s="59">
        <v>193</v>
      </c>
      <c r="TR289" s="59">
        <v>182</v>
      </c>
      <c r="TS289" s="59">
        <v>169</v>
      </c>
      <c r="TU289" s="59">
        <v>157</v>
      </c>
      <c r="TW289" s="59">
        <v>147</v>
      </c>
      <c r="TZ289" s="59">
        <v>156</v>
      </c>
      <c r="ABA289" s="59">
        <v>0.42</v>
      </c>
      <c r="ABM289" s="59">
        <v>0.73</v>
      </c>
      <c r="ABN289" s="59">
        <v>0.7</v>
      </c>
      <c r="ABP289" s="59">
        <v>0.57999999999999996</v>
      </c>
      <c r="ABQ289" s="59">
        <v>0.55000000000000004</v>
      </c>
      <c r="ABR289" s="59">
        <v>0.59</v>
      </c>
      <c r="ABS289" s="59">
        <v>0.45</v>
      </c>
      <c r="ABU289" s="59">
        <v>0.54</v>
      </c>
      <c r="ABW289" s="59">
        <v>0.48</v>
      </c>
      <c r="ACJ289" s="59">
        <v>0.51</v>
      </c>
      <c r="AFS289" s="59">
        <v>203</v>
      </c>
      <c r="AFT289" s="59">
        <v>203</v>
      </c>
      <c r="AFZ289" s="59">
        <v>164</v>
      </c>
      <c r="AGA289" s="59">
        <v>156</v>
      </c>
      <c r="AGE289" s="59">
        <v>240</v>
      </c>
      <c r="AGF289" s="59">
        <v>152</v>
      </c>
      <c r="AGH289" s="59">
        <v>188</v>
      </c>
      <c r="AGI289" s="59">
        <v>206</v>
      </c>
      <c r="AGJ289" s="59">
        <v>198</v>
      </c>
      <c r="AGK289" s="59">
        <v>185</v>
      </c>
      <c r="AGL289" s="59">
        <v>199</v>
      </c>
      <c r="AGM289" s="59">
        <v>241</v>
      </c>
      <c r="AGO289" s="59">
        <v>221</v>
      </c>
      <c r="AGQ289" s="59">
        <v>212</v>
      </c>
      <c r="AGU289" s="59">
        <v>198</v>
      </c>
      <c r="AGW289" s="59">
        <v>184</v>
      </c>
      <c r="AHB289" s="59">
        <v>174</v>
      </c>
      <c r="AHE289" s="59">
        <v>159</v>
      </c>
      <c r="AII289" s="64">
        <v>8.74</v>
      </c>
      <c r="AIJ289" s="64"/>
      <c r="AIK289" s="64"/>
      <c r="AIL289" s="64">
        <v>5.89</v>
      </c>
      <c r="AIM289" s="64">
        <v>4.67</v>
      </c>
      <c r="AIN289" s="64">
        <v>5.54</v>
      </c>
      <c r="AIO289" s="64"/>
      <c r="AIP289" s="64"/>
      <c r="AIQ289" s="64">
        <v>6.33</v>
      </c>
      <c r="AIR289" s="64">
        <v>6.55</v>
      </c>
      <c r="AIS289" s="64"/>
      <c r="AIT289" s="64">
        <v>7.66</v>
      </c>
      <c r="BOA289" s="59">
        <v>60</v>
      </c>
      <c r="BOC289" s="59">
        <v>1</v>
      </c>
      <c r="BOG289" s="59">
        <v>26</v>
      </c>
      <c r="BRT289" s="59">
        <v>1</v>
      </c>
      <c r="BVP289" s="59">
        <v>1</v>
      </c>
      <c r="BYJ289" s="65"/>
      <c r="BYK289" s="59">
        <v>0</v>
      </c>
      <c r="BYY289" s="59">
        <v>0</v>
      </c>
      <c r="BZL289" s="59">
        <v>16500</v>
      </c>
      <c r="BZM289" s="63">
        <v>500</v>
      </c>
      <c r="BZN289" s="59">
        <v>3</v>
      </c>
      <c r="BZO289" s="73">
        <v>1</v>
      </c>
      <c r="BZQ289" s="59">
        <v>1</v>
      </c>
      <c r="BZS289" s="59">
        <v>13</v>
      </c>
      <c r="BZT289" s="59">
        <v>11</v>
      </c>
      <c r="BZU289" s="59">
        <v>0</v>
      </c>
      <c r="BZV289" s="59">
        <v>1</v>
      </c>
      <c r="BZY289" s="59">
        <v>35000</v>
      </c>
      <c r="CAA289" s="59">
        <v>1</v>
      </c>
      <c r="CAD289" s="59">
        <v>5</v>
      </c>
      <c r="CAE289" s="59">
        <v>6</v>
      </c>
      <c r="CAF289" s="59">
        <v>2</v>
      </c>
      <c r="CAG289" s="59">
        <v>0</v>
      </c>
      <c r="DJK289" s="59">
        <v>2.5</v>
      </c>
      <c r="DJL289" s="59">
        <v>1</v>
      </c>
      <c r="DJO289" s="59">
        <v>1</v>
      </c>
      <c r="EEL289" s="59">
        <v>80</v>
      </c>
      <c r="EEM289" s="59">
        <v>1</v>
      </c>
      <c r="EEP289" s="59">
        <v>1</v>
      </c>
      <c r="EEQ289" s="59">
        <v>5</v>
      </c>
      <c r="EER289" s="59">
        <v>3</v>
      </c>
      <c r="EES289" s="59">
        <v>0</v>
      </c>
      <c r="EET289" s="59">
        <v>1</v>
      </c>
      <c r="EJF289" s="59">
        <v>150</v>
      </c>
      <c r="EJG289" s="59">
        <v>1</v>
      </c>
      <c r="EJJ289" s="59">
        <v>1</v>
      </c>
      <c r="EJK289" s="59">
        <v>5</v>
      </c>
      <c r="EJL289" s="59">
        <v>3</v>
      </c>
      <c r="EJM289" s="59">
        <v>1</v>
      </c>
      <c r="FYS289" s="59">
        <v>50</v>
      </c>
      <c r="FYT289" s="59">
        <v>0.14299999999999999</v>
      </c>
      <c r="HCA289" s="59">
        <v>1</v>
      </c>
    </row>
    <row r="290" spans="1:1023 1026:3063 3167:4066 4210:4824 5198:5762" s="59" customFormat="1" x14ac:dyDescent="0.25">
      <c r="A290" s="77">
        <v>500129</v>
      </c>
      <c r="B290" s="60" t="s">
        <v>4196</v>
      </c>
      <c r="BL290" s="59">
        <v>39</v>
      </c>
      <c r="BO290" s="59">
        <v>48</v>
      </c>
      <c r="BW290" s="59">
        <v>88</v>
      </c>
      <c r="CR290" s="59">
        <v>1.2</v>
      </c>
      <c r="CT290" s="59">
        <v>1.73</v>
      </c>
      <c r="EL290" s="59">
        <v>31</v>
      </c>
      <c r="EN290" s="59">
        <v>36</v>
      </c>
      <c r="ER290" s="59">
        <v>30.9</v>
      </c>
      <c r="EX290" s="59">
        <v>28</v>
      </c>
      <c r="FP290" s="59">
        <v>25</v>
      </c>
      <c r="GR290" s="59">
        <v>240</v>
      </c>
      <c r="GS290" s="59">
        <v>250</v>
      </c>
      <c r="JV290" s="59">
        <v>29.9</v>
      </c>
      <c r="JX290" s="59">
        <v>52</v>
      </c>
      <c r="JZ290" s="59">
        <v>4125</v>
      </c>
      <c r="KB290" s="59">
        <v>2577</v>
      </c>
      <c r="KC290" s="59">
        <v>1223</v>
      </c>
      <c r="KJ290" s="59">
        <v>132</v>
      </c>
      <c r="KV290" s="59">
        <v>269</v>
      </c>
      <c r="KW290" s="59">
        <v>125</v>
      </c>
      <c r="LV290" s="59">
        <v>120</v>
      </c>
      <c r="NK290" s="59">
        <v>24.6</v>
      </c>
      <c r="NM290" s="59">
        <v>8.6</v>
      </c>
      <c r="NO290" s="59">
        <v>4298</v>
      </c>
      <c r="NQ290" s="59">
        <v>3607</v>
      </c>
      <c r="NR290" s="59">
        <v>2361</v>
      </c>
      <c r="NY290" s="59">
        <v>274</v>
      </c>
      <c r="OH290" s="59">
        <v>186</v>
      </c>
      <c r="OK290" s="59">
        <v>76</v>
      </c>
      <c r="PL290" s="59">
        <v>69</v>
      </c>
      <c r="QY290" s="59">
        <v>10.73</v>
      </c>
      <c r="RA290" s="59">
        <v>9.1199999999999992</v>
      </c>
      <c r="RC290" s="59">
        <v>526</v>
      </c>
      <c r="RE290" s="59">
        <v>399</v>
      </c>
      <c r="RF290" s="59">
        <v>362</v>
      </c>
      <c r="RM290" s="59">
        <v>399</v>
      </c>
      <c r="RW290" s="59">
        <v>619</v>
      </c>
      <c r="RX290" s="59">
        <v>900</v>
      </c>
      <c r="ABU290" s="59">
        <v>18.23</v>
      </c>
      <c r="ABW290" s="59">
        <v>20.8201</v>
      </c>
      <c r="ABX290" s="59">
        <v>20.825900000000001</v>
      </c>
      <c r="ACO290" s="59">
        <v>24.965399999999999</v>
      </c>
      <c r="ACP290" s="59">
        <v>12.2781</v>
      </c>
      <c r="ADF290" s="59">
        <v>5.8467000000000002</v>
      </c>
      <c r="ADW290" s="59">
        <v>15.7042</v>
      </c>
      <c r="AGK290" s="59">
        <v>5.4</v>
      </c>
      <c r="AGM290" s="59">
        <v>4.9400000000000004</v>
      </c>
      <c r="AGO290" s="59">
        <v>144</v>
      </c>
      <c r="AGQ290" s="59">
        <v>135</v>
      </c>
      <c r="AGR290" s="59">
        <v>139</v>
      </c>
      <c r="AGY290" s="59">
        <v>211</v>
      </c>
      <c r="AHI290" s="59">
        <v>437</v>
      </c>
      <c r="AHJ290" s="59">
        <v>440</v>
      </c>
      <c r="AJT290" s="59">
        <v>0.88229999999999997</v>
      </c>
      <c r="AJX290" s="59">
        <v>0.8054</v>
      </c>
      <c r="AJZ290" s="59">
        <v>0.6663</v>
      </c>
      <c r="AKA290" s="59">
        <v>0.58030000000000004</v>
      </c>
      <c r="AKM290" s="59">
        <v>0.69</v>
      </c>
      <c r="ALD290" s="59">
        <v>152</v>
      </c>
      <c r="ALN290" s="59">
        <v>142</v>
      </c>
      <c r="AMB290" s="77">
        <v>0.84</v>
      </c>
      <c r="AMC290" s="77"/>
      <c r="AMP290" s="59">
        <v>200</v>
      </c>
      <c r="ANL290" s="59">
        <v>54</v>
      </c>
      <c r="APL290" s="59">
        <v>52.6008</v>
      </c>
      <c r="ATB290" s="59">
        <v>156000</v>
      </c>
      <c r="BGD290" s="59">
        <v>135</v>
      </c>
      <c r="BGJ290" s="59">
        <v>144</v>
      </c>
      <c r="BGK290" s="59">
        <v>141</v>
      </c>
      <c r="BGR290" s="59">
        <v>140</v>
      </c>
      <c r="BHJ290" s="59">
        <v>3.69</v>
      </c>
      <c r="BHP290" s="59">
        <v>5.01</v>
      </c>
      <c r="BHQ290" s="59">
        <v>3.4</v>
      </c>
      <c r="BHV290" s="59">
        <v>3.64</v>
      </c>
      <c r="BOA290" s="59">
        <v>72</v>
      </c>
      <c r="BOC290" s="59">
        <v>1</v>
      </c>
      <c r="BOF290" s="59">
        <v>1</v>
      </c>
      <c r="BOK290" s="59">
        <v>1</v>
      </c>
      <c r="BOW290" s="59">
        <v>1</v>
      </c>
      <c r="BPC290" s="59">
        <v>1</v>
      </c>
      <c r="BPZ290" s="59">
        <v>1</v>
      </c>
      <c r="BQB290" s="59">
        <v>1</v>
      </c>
      <c r="BQL290" s="59">
        <v>1</v>
      </c>
      <c r="BSE290" s="59">
        <v>1</v>
      </c>
      <c r="BSG290" s="59">
        <v>1</v>
      </c>
      <c r="BUF290" s="59">
        <v>1</v>
      </c>
      <c r="BYJ290" s="65"/>
      <c r="BYK290" s="59">
        <v>0</v>
      </c>
      <c r="BYY290" s="59">
        <v>0</v>
      </c>
      <c r="BZM290" s="59">
        <v>500</v>
      </c>
      <c r="BZN290" s="59">
        <v>1</v>
      </c>
      <c r="BZQ290" s="59">
        <v>1</v>
      </c>
      <c r="BZS290" s="68">
        <v>999</v>
      </c>
      <c r="BZT290" s="59">
        <v>999</v>
      </c>
      <c r="BZU290" s="59">
        <v>0</v>
      </c>
      <c r="BZV290" s="59">
        <v>9</v>
      </c>
      <c r="BZZ290" s="59">
        <v>3</v>
      </c>
      <c r="CAC290" s="59">
        <v>1</v>
      </c>
      <c r="CAD290" s="68">
        <v>999</v>
      </c>
      <c r="CAE290" s="59">
        <v>999</v>
      </c>
      <c r="DCY290" s="59">
        <v>1</v>
      </c>
      <c r="DCZ290" s="68">
        <v>999</v>
      </c>
      <c r="DDA290" s="59">
        <v>999</v>
      </c>
      <c r="DDB290" s="59">
        <v>0</v>
      </c>
      <c r="DDC290" s="59">
        <v>9</v>
      </c>
      <c r="DMQ290" s="59">
        <v>1</v>
      </c>
      <c r="DMR290" s="68">
        <v>999</v>
      </c>
      <c r="DMS290" s="59">
        <v>999</v>
      </c>
      <c r="DMT290" s="59">
        <v>0</v>
      </c>
      <c r="DMU290" s="59">
        <v>9</v>
      </c>
      <c r="DQU290" s="59">
        <v>7.0000000000000007E-2</v>
      </c>
      <c r="DQV290" s="59">
        <v>1</v>
      </c>
      <c r="DQY290" s="59">
        <v>1</v>
      </c>
      <c r="DUI290" s="59">
        <v>120</v>
      </c>
      <c r="DUJ290" s="59">
        <v>2</v>
      </c>
      <c r="DUM290" s="59">
        <v>1</v>
      </c>
      <c r="DUN290" s="68">
        <v>999</v>
      </c>
      <c r="DUO290" s="59">
        <v>999</v>
      </c>
      <c r="DUP290" s="59">
        <v>0</v>
      </c>
      <c r="DUQ290" s="59">
        <v>9</v>
      </c>
      <c r="EEL290" s="59">
        <v>5</v>
      </c>
      <c r="EEM290" s="59">
        <v>1</v>
      </c>
      <c r="EEP290" s="59">
        <v>1</v>
      </c>
      <c r="EEQ290" s="69">
        <v>999</v>
      </c>
      <c r="EER290" s="59">
        <v>360</v>
      </c>
      <c r="EES290" s="59">
        <v>0</v>
      </c>
      <c r="EET290" s="59">
        <v>999</v>
      </c>
      <c r="EZF290" s="59">
        <v>8</v>
      </c>
      <c r="EZG290" s="59">
        <v>2</v>
      </c>
      <c r="EZJ290" s="59">
        <v>1</v>
      </c>
      <c r="GWT290" s="59">
        <v>1</v>
      </c>
      <c r="GXQ290" s="59">
        <v>1</v>
      </c>
      <c r="GXZ290" s="59">
        <v>1</v>
      </c>
      <c r="GYA290" s="59">
        <v>1</v>
      </c>
      <c r="GYU290" s="59">
        <v>1</v>
      </c>
      <c r="HBW290" s="59">
        <v>1</v>
      </c>
      <c r="HCB290" s="59">
        <v>1</v>
      </c>
      <c r="HCO290" s="59">
        <v>1</v>
      </c>
      <c r="HDF290" s="59">
        <v>1</v>
      </c>
    </row>
    <row r="291" spans="1:1023 1026:3063 3167:4066 4210:4824 5198:5762" s="59" customFormat="1" x14ac:dyDescent="0.25">
      <c r="A291" s="84">
        <v>1002033</v>
      </c>
      <c r="B291" s="60" t="s">
        <v>4196</v>
      </c>
      <c r="JB291" s="59">
        <v>9</v>
      </c>
      <c r="JJ291" s="59">
        <v>22</v>
      </c>
      <c r="JQ291" s="59">
        <v>47</v>
      </c>
      <c r="JV291" s="59">
        <v>18</v>
      </c>
      <c r="KJ291" s="59">
        <v>13</v>
      </c>
      <c r="KX291" s="59">
        <v>17</v>
      </c>
      <c r="MQ291" s="59">
        <v>34</v>
      </c>
      <c r="MY291" s="59">
        <v>49</v>
      </c>
      <c r="NF291" s="59">
        <v>190</v>
      </c>
      <c r="NK291" s="59">
        <v>111</v>
      </c>
      <c r="NY291" s="59">
        <v>30</v>
      </c>
      <c r="OL291" s="59">
        <v>50</v>
      </c>
      <c r="QF291" s="59">
        <v>17</v>
      </c>
      <c r="QJ291" s="59">
        <v>20</v>
      </c>
      <c r="QT291" s="59">
        <v>57</v>
      </c>
      <c r="QY291" s="59">
        <v>45</v>
      </c>
      <c r="RM291" s="59">
        <v>20</v>
      </c>
      <c r="RY291" s="59">
        <v>30</v>
      </c>
      <c r="BAZ291" s="59">
        <v>91</v>
      </c>
      <c r="BBC291" s="59">
        <v>90</v>
      </c>
      <c r="BBK291" s="59">
        <v>91</v>
      </c>
      <c r="BOA291" s="59">
        <v>28</v>
      </c>
      <c r="BOC291" s="59">
        <v>1</v>
      </c>
      <c r="BOH291" s="59">
        <v>1</v>
      </c>
      <c r="BPX291" s="59">
        <v>1</v>
      </c>
      <c r="BYJ291" s="65"/>
      <c r="BYK291" s="59">
        <v>0</v>
      </c>
      <c r="BYY291" s="59">
        <v>0</v>
      </c>
      <c r="BZL291" s="59">
        <v>16000</v>
      </c>
      <c r="BZM291" s="59">
        <v>2000</v>
      </c>
      <c r="BZN291" s="59">
        <v>1</v>
      </c>
      <c r="BZQ291" s="59">
        <v>1</v>
      </c>
      <c r="BZS291" s="69">
        <v>999</v>
      </c>
      <c r="BZT291" s="59">
        <v>8</v>
      </c>
      <c r="BZU291" s="59">
        <v>0</v>
      </c>
      <c r="BZV291" s="59">
        <v>999</v>
      </c>
      <c r="FLS291" s="77" t="s">
        <v>1982</v>
      </c>
      <c r="FLT291" s="59">
        <v>1</v>
      </c>
      <c r="FLW291" s="59">
        <v>1</v>
      </c>
      <c r="FLX291" s="59">
        <v>12</v>
      </c>
      <c r="FLY291" s="59">
        <v>20</v>
      </c>
      <c r="FLZ291" s="59">
        <v>9</v>
      </c>
      <c r="FMA291" s="59">
        <v>0</v>
      </c>
      <c r="FPP291" s="59">
        <v>20</v>
      </c>
      <c r="FPQ291" s="59">
        <v>1</v>
      </c>
      <c r="FPT291" s="59">
        <v>1</v>
      </c>
      <c r="FPU291" s="59">
        <v>12</v>
      </c>
      <c r="FPV291" s="59">
        <v>0</v>
      </c>
      <c r="FPW291" s="59">
        <v>0</v>
      </c>
      <c r="FPX291" s="59">
        <v>11</v>
      </c>
      <c r="FPZ291" s="59">
        <v>5</v>
      </c>
      <c r="FQA291" s="59">
        <v>1</v>
      </c>
      <c r="FQD291" s="59">
        <v>1</v>
      </c>
      <c r="FQE291" s="59">
        <v>12</v>
      </c>
      <c r="FQF291" s="59">
        <v>20</v>
      </c>
      <c r="FQG291" s="59">
        <v>9</v>
      </c>
      <c r="FQH291" s="59">
        <v>0</v>
      </c>
      <c r="HBV291" s="59">
        <v>1</v>
      </c>
    </row>
    <row r="292" spans="1:1023 1026:3063 3167:4066 4210:4824 5198:5762" s="59" customFormat="1" x14ac:dyDescent="0.25">
      <c r="A292" s="77">
        <v>1003457</v>
      </c>
      <c r="B292" s="60" t="s">
        <v>4196</v>
      </c>
      <c r="JQ292" s="59">
        <v>75</v>
      </c>
      <c r="NF292" s="59">
        <v>193</v>
      </c>
      <c r="QV292" s="59">
        <v>158</v>
      </c>
      <c r="BOA292" s="59">
        <v>48</v>
      </c>
      <c r="BOC292" s="59">
        <v>1</v>
      </c>
      <c r="BOG292" s="59">
        <v>35</v>
      </c>
      <c r="BPW292" s="59">
        <v>1</v>
      </c>
      <c r="BPY292" s="59">
        <v>1</v>
      </c>
      <c r="BXS292" s="59">
        <v>1</v>
      </c>
      <c r="BYJ292" s="65"/>
      <c r="BYK292" s="59">
        <v>0</v>
      </c>
      <c r="BYY292" s="59">
        <v>0</v>
      </c>
      <c r="BZL292" s="59">
        <v>0</v>
      </c>
      <c r="BZQ292" s="59">
        <v>1</v>
      </c>
      <c r="BZS292" s="69">
        <v>999</v>
      </c>
      <c r="BZT292" s="59">
        <v>3</v>
      </c>
      <c r="BZU292" s="59">
        <v>0</v>
      </c>
      <c r="BZV292" s="59">
        <v>999</v>
      </c>
      <c r="CJX292" s="59">
        <v>20</v>
      </c>
      <c r="CJY292" s="59">
        <v>1</v>
      </c>
      <c r="CKB292" s="59">
        <v>1</v>
      </c>
      <c r="CKC292" s="69">
        <v>999</v>
      </c>
      <c r="CKD292" s="59">
        <v>580</v>
      </c>
      <c r="CKE292" s="59">
        <v>0</v>
      </c>
      <c r="CKF292" s="59">
        <v>999</v>
      </c>
      <c r="DAE292" s="59">
        <v>1</v>
      </c>
      <c r="DAF292" s="59">
        <v>6</v>
      </c>
      <c r="DAG292" s="59">
        <v>4</v>
      </c>
      <c r="DAH292" s="59">
        <v>0</v>
      </c>
      <c r="DAI292" s="59">
        <v>1</v>
      </c>
      <c r="FIP292" s="59">
        <v>150</v>
      </c>
      <c r="FIQ292" s="59">
        <v>1</v>
      </c>
      <c r="FIT292" s="59">
        <v>1</v>
      </c>
      <c r="FIU292" s="59">
        <v>5</v>
      </c>
      <c r="FIV292" s="59">
        <v>3</v>
      </c>
      <c r="FIW292" s="59">
        <v>0</v>
      </c>
      <c r="FIX292" s="59">
        <v>1</v>
      </c>
      <c r="FPF292" s="59">
        <v>375</v>
      </c>
      <c r="FPG292" s="59">
        <v>1</v>
      </c>
      <c r="FPJ292" s="59">
        <v>1</v>
      </c>
      <c r="FPK292" s="69">
        <v>999</v>
      </c>
      <c r="FPL292" s="59">
        <v>32</v>
      </c>
      <c r="FPM292" s="59">
        <v>0</v>
      </c>
      <c r="FPN292" s="59">
        <v>999</v>
      </c>
      <c r="FPZ292" s="77" t="s">
        <v>1983</v>
      </c>
      <c r="FQA292" s="59">
        <v>1</v>
      </c>
      <c r="FQD292" s="59">
        <v>1</v>
      </c>
      <c r="FQE292" s="59">
        <v>50</v>
      </c>
      <c r="FQF292" s="59">
        <v>397</v>
      </c>
      <c r="FQG292" s="59">
        <v>336</v>
      </c>
      <c r="FQH292" s="59">
        <v>0</v>
      </c>
      <c r="GWN292" s="59">
        <v>1</v>
      </c>
      <c r="HBV292" s="59">
        <v>1</v>
      </c>
    </row>
    <row r="293" spans="1:1023 1026:3063 3167:4066 4210:4824 5198:5762" s="83" customFormat="1" x14ac:dyDescent="0.25">
      <c r="A293" s="98">
        <v>2005223</v>
      </c>
      <c r="B293" s="83" t="s">
        <v>4196</v>
      </c>
      <c r="N293" s="83">
        <v>348.6</v>
      </c>
      <c r="HQ293" s="83">
        <v>12700</v>
      </c>
      <c r="JQ293" s="83">
        <v>84.6</v>
      </c>
      <c r="JS293" s="83">
        <v>111</v>
      </c>
      <c r="KH293" s="83">
        <v>96</v>
      </c>
      <c r="NF293" s="83">
        <v>173.4</v>
      </c>
      <c r="NH293" s="83">
        <v>142.80000000000001</v>
      </c>
      <c r="NW293" s="83">
        <v>252</v>
      </c>
      <c r="QV293" s="98">
        <v>7.24</v>
      </c>
      <c r="RK293" s="98">
        <v>13.9</v>
      </c>
      <c r="WB293" s="96"/>
      <c r="WL293" s="98">
        <v>8.6999999999999993</v>
      </c>
      <c r="AAJ293" s="83">
        <v>8.1</v>
      </c>
      <c r="ABL293" s="83">
        <v>6.0922999999999998</v>
      </c>
      <c r="ABN293" s="83">
        <v>5.6421000000000001</v>
      </c>
      <c r="ACC293" s="83">
        <v>1.6721999999999999</v>
      </c>
      <c r="ADQ293" s="83">
        <v>6.1390000000000002</v>
      </c>
      <c r="AEC293" s="83">
        <v>1.0289999999999999</v>
      </c>
      <c r="AGH293" s="98">
        <v>10.9</v>
      </c>
      <c r="AGW293" s="98">
        <v>21.4</v>
      </c>
      <c r="AML293" s="98">
        <v>5.2</v>
      </c>
      <c r="AMM293" s="98"/>
      <c r="ANG293" s="83">
        <v>237.3</v>
      </c>
      <c r="BFY293" s="83">
        <v>134.9</v>
      </c>
      <c r="BLE293" s="83">
        <v>102.69119999999999</v>
      </c>
      <c r="BOA293" s="83">
        <v>39</v>
      </c>
      <c r="BOB293" s="83">
        <v>1</v>
      </c>
      <c r="BOF293" s="83">
        <v>1</v>
      </c>
      <c r="BOG293" s="83">
        <v>28</v>
      </c>
      <c r="BXO293" s="83">
        <v>1</v>
      </c>
      <c r="BYJ293" s="95"/>
      <c r="BYK293" s="83">
        <v>0</v>
      </c>
      <c r="BYY293" s="83">
        <v>0</v>
      </c>
      <c r="BZL293" s="83">
        <v>6000</v>
      </c>
      <c r="BZM293" s="83">
        <v>500</v>
      </c>
      <c r="BZN293" s="83">
        <v>3</v>
      </c>
      <c r="BZQ293" s="83">
        <v>1</v>
      </c>
      <c r="BZS293" s="83">
        <v>5</v>
      </c>
      <c r="BZT293" s="83">
        <v>4</v>
      </c>
      <c r="BZU293" s="83">
        <v>0</v>
      </c>
      <c r="BZV293" s="83">
        <v>0</v>
      </c>
      <c r="CLW293" s="83">
        <v>4.5</v>
      </c>
      <c r="CLX293" s="83">
        <v>1</v>
      </c>
      <c r="CMA293" s="83">
        <v>1</v>
      </c>
      <c r="CMB293" s="83">
        <v>5</v>
      </c>
      <c r="CMC293" s="83">
        <v>4</v>
      </c>
      <c r="CMD293" s="83">
        <v>0</v>
      </c>
      <c r="CME293" s="83">
        <v>0</v>
      </c>
      <c r="EVV293" s="83">
        <v>1</v>
      </c>
      <c r="EVW293" s="83">
        <v>5</v>
      </c>
      <c r="EVX293" s="83">
        <v>4</v>
      </c>
      <c r="EVY293" s="83">
        <v>0</v>
      </c>
      <c r="EVZ293" s="83">
        <v>0</v>
      </c>
      <c r="EWX293" s="83">
        <v>250</v>
      </c>
      <c r="EWY293" s="83">
        <v>2</v>
      </c>
      <c r="EXB293" s="83">
        <v>1</v>
      </c>
      <c r="EXC293" s="83">
        <v>5</v>
      </c>
      <c r="EXD293" s="83">
        <v>4</v>
      </c>
      <c r="EXE293" s="83">
        <v>0</v>
      </c>
      <c r="EXF293" s="83">
        <v>0</v>
      </c>
      <c r="GYA293" s="83">
        <v>1</v>
      </c>
      <c r="GYC293" s="83">
        <v>1</v>
      </c>
      <c r="GYE293" s="83">
        <v>1</v>
      </c>
      <c r="GYG293" s="83">
        <v>1</v>
      </c>
      <c r="GZC293" s="83">
        <v>1</v>
      </c>
      <c r="GZD293" s="83">
        <v>1</v>
      </c>
      <c r="GZE293" s="83">
        <v>1</v>
      </c>
      <c r="GZN293" s="83">
        <v>1</v>
      </c>
      <c r="HAB293" s="83">
        <v>1</v>
      </c>
      <c r="HCB293" s="83">
        <v>1</v>
      </c>
      <c r="HDJ293" s="83">
        <v>1</v>
      </c>
    </row>
    <row r="294" spans="1:1023 1026:3063 3167:4066 4210:4824 5198:5762" s="59" customFormat="1" x14ac:dyDescent="0.25">
      <c r="A294" s="59">
        <v>2006107</v>
      </c>
      <c r="B294" s="60" t="s">
        <v>4196</v>
      </c>
      <c r="NF294" s="59">
        <v>523</v>
      </c>
      <c r="NM294" s="59">
        <v>77</v>
      </c>
      <c r="QT294" s="59">
        <v>128</v>
      </c>
      <c r="TL294" s="59">
        <v>346</v>
      </c>
      <c r="ABL294" s="59">
        <v>4.1500000000000004</v>
      </c>
      <c r="AGF294" s="59">
        <v>328</v>
      </c>
      <c r="BOA294" s="59">
        <v>15</v>
      </c>
      <c r="BOC294" s="59">
        <v>1</v>
      </c>
      <c r="BYJ294" s="65"/>
      <c r="BYK294" s="59">
        <v>0</v>
      </c>
      <c r="BYY294" s="59">
        <v>0</v>
      </c>
      <c r="BZL294" s="59">
        <v>0</v>
      </c>
      <c r="BZQ294" s="59">
        <v>1</v>
      </c>
      <c r="BZS294" s="79">
        <v>1</v>
      </c>
      <c r="BZT294" s="59">
        <v>1</v>
      </c>
      <c r="BZU294" s="59">
        <v>0</v>
      </c>
      <c r="BZV294" s="59">
        <v>0</v>
      </c>
      <c r="FWN294" s="59">
        <v>1</v>
      </c>
      <c r="FWO294" s="59">
        <v>13</v>
      </c>
      <c r="FWP294" s="59">
        <v>12</v>
      </c>
      <c r="FWQ294" s="59">
        <v>0</v>
      </c>
      <c r="FWR294" s="59">
        <v>0</v>
      </c>
      <c r="GXZ294" s="59">
        <v>1</v>
      </c>
      <c r="GYA294" s="59">
        <v>1</v>
      </c>
      <c r="HCB294" s="59">
        <v>1</v>
      </c>
    </row>
    <row r="295" spans="1:1023 1026:3063 3167:4066 4210:4824 5198:5762" s="59" customFormat="1" x14ac:dyDescent="0.25">
      <c r="A295" s="77">
        <v>2012014</v>
      </c>
      <c r="B295" s="60" t="s">
        <v>4196</v>
      </c>
      <c r="AV295" s="59">
        <v>114</v>
      </c>
      <c r="BF295" s="59">
        <v>95</v>
      </c>
      <c r="DY295" s="59">
        <v>31</v>
      </c>
      <c r="EJ295" s="59">
        <v>31</v>
      </c>
      <c r="GD295" s="59">
        <v>441</v>
      </c>
      <c r="HF295" s="59">
        <v>8800</v>
      </c>
      <c r="HS295" s="59">
        <v>62400</v>
      </c>
      <c r="HT295" s="59">
        <v>40500</v>
      </c>
      <c r="JF295" s="59">
        <v>7</v>
      </c>
      <c r="MU295" s="59">
        <v>8</v>
      </c>
      <c r="QI295" s="59">
        <v>5</v>
      </c>
      <c r="TC295" s="59">
        <v>153</v>
      </c>
      <c r="UM295" s="64"/>
      <c r="XG295" s="59">
        <v>20.7</v>
      </c>
      <c r="XN295" s="59">
        <v>2</v>
      </c>
      <c r="YO295" s="59">
        <v>4</v>
      </c>
      <c r="ZJ295" s="59">
        <v>13.4</v>
      </c>
      <c r="ZV295" s="59">
        <v>10.8</v>
      </c>
      <c r="ABB295" s="59">
        <v>0.3</v>
      </c>
      <c r="AEQ295" s="59">
        <v>7.1</v>
      </c>
      <c r="AIF295" s="59">
        <v>5100</v>
      </c>
      <c r="AJE295" s="59">
        <v>0.7</v>
      </c>
      <c r="AMX295" s="59">
        <v>4.8</v>
      </c>
      <c r="APP295" s="59">
        <v>3.1</v>
      </c>
      <c r="APW295" s="59">
        <v>4.7</v>
      </c>
      <c r="AQJ295" s="59">
        <v>4100000</v>
      </c>
      <c r="AQU295" s="59">
        <v>3980000</v>
      </c>
      <c r="AQV295" s="59">
        <v>3320000</v>
      </c>
      <c r="ART295" s="59">
        <v>340000</v>
      </c>
      <c r="ASF295" s="59">
        <v>312000</v>
      </c>
      <c r="ASG295" s="59">
        <v>106000</v>
      </c>
      <c r="ATW295" s="59">
        <v>3.9</v>
      </c>
      <c r="AUF295" s="59">
        <v>1.5</v>
      </c>
      <c r="AUL295" s="59">
        <v>2</v>
      </c>
      <c r="AVF295" s="59">
        <v>36.5</v>
      </c>
      <c r="AVV295" s="59">
        <v>0.6</v>
      </c>
      <c r="AWB295" s="59">
        <v>1</v>
      </c>
      <c r="AZJ295" s="59">
        <v>40</v>
      </c>
      <c r="AZV295" s="59">
        <v>32.200000000000003</v>
      </c>
      <c r="BBB295" s="59">
        <v>98</v>
      </c>
      <c r="BBM295" s="59">
        <v>95</v>
      </c>
      <c r="BCI295" s="59">
        <v>33</v>
      </c>
      <c r="BCS295" s="59">
        <v>33.6</v>
      </c>
      <c r="BDL295" s="59">
        <v>33.299999999999997</v>
      </c>
      <c r="BDV295" s="59">
        <v>33.5</v>
      </c>
      <c r="BEM295" s="77" t="s">
        <v>1807</v>
      </c>
      <c r="BFP295" s="59">
        <v>142</v>
      </c>
      <c r="BGV295" s="59">
        <v>4.4000000000000004</v>
      </c>
      <c r="BHH295" s="59">
        <v>3</v>
      </c>
      <c r="BHZ295" s="59">
        <v>2.4</v>
      </c>
      <c r="BIK295" s="59">
        <v>2.46</v>
      </c>
      <c r="BIX295" s="59">
        <v>0.8</v>
      </c>
      <c r="BJF295" s="59">
        <v>0.67</v>
      </c>
      <c r="BJN295" s="59">
        <v>62</v>
      </c>
      <c r="BKX295" s="59">
        <v>102</v>
      </c>
      <c r="BOA295" s="59">
        <v>36</v>
      </c>
      <c r="BOC295" s="59">
        <v>1</v>
      </c>
      <c r="BOD295" s="59">
        <v>24.2</v>
      </c>
      <c r="BOF295" s="59">
        <v>1</v>
      </c>
      <c r="BOG295" s="59">
        <v>18</v>
      </c>
      <c r="BYJ295" s="65"/>
      <c r="BZL295" s="59">
        <v>500</v>
      </c>
      <c r="BZM295" s="59">
        <v>500</v>
      </c>
      <c r="BZN295" s="59">
        <v>1</v>
      </c>
      <c r="BZS295" s="59">
        <v>5</v>
      </c>
      <c r="BZT295" s="59">
        <v>1</v>
      </c>
      <c r="BZU295" s="59">
        <v>0</v>
      </c>
      <c r="BZV295" s="59">
        <v>3</v>
      </c>
      <c r="GQX295" s="59">
        <v>700</v>
      </c>
      <c r="GRA295" s="59">
        <v>1</v>
      </c>
      <c r="GRD295" s="59">
        <v>4</v>
      </c>
      <c r="GRE295" s="59">
        <v>1</v>
      </c>
      <c r="GRF295" s="59">
        <v>0</v>
      </c>
      <c r="GRG295" s="59">
        <v>2</v>
      </c>
      <c r="HCG295" s="59">
        <v>1</v>
      </c>
      <c r="HIO295" s="59">
        <v>1</v>
      </c>
      <c r="HMP295" s="59">
        <v>1</v>
      </c>
    </row>
    <row r="296" spans="1:1023 1026:3063 3167:4066 4210:4824 5198:5762" s="83" customFormat="1" x14ac:dyDescent="0.25">
      <c r="A296" s="98">
        <v>3000152</v>
      </c>
      <c r="B296" s="83" t="s">
        <v>4196</v>
      </c>
      <c r="K296" s="83">
        <v>65.400000000000006</v>
      </c>
      <c r="BB296" s="83">
        <v>74</v>
      </c>
      <c r="EF296" s="83">
        <v>36.9</v>
      </c>
      <c r="FM296" s="83">
        <v>105</v>
      </c>
      <c r="FS296" s="83">
        <v>26.5</v>
      </c>
      <c r="JP296" s="97">
        <v>17.34</v>
      </c>
      <c r="NE296" s="97">
        <v>47.32</v>
      </c>
      <c r="QS296" s="97">
        <v>9</v>
      </c>
      <c r="UM296" s="97">
        <v>1421.3330000000001</v>
      </c>
      <c r="WD296" s="98">
        <v>6.9</v>
      </c>
      <c r="WN296" s="98">
        <v>1.18</v>
      </c>
      <c r="WS296" s="96"/>
      <c r="WU296" s="96">
        <v>21.9</v>
      </c>
      <c r="ZR296" s="83">
        <v>9.1999999999999993</v>
      </c>
      <c r="ABK296" s="83">
        <v>7.8929999999999998</v>
      </c>
      <c r="ADN296" s="83">
        <v>5.8467000000000002</v>
      </c>
      <c r="AGE296" s="98">
        <v>12.8</v>
      </c>
      <c r="AIG296" s="97">
        <v>5391</v>
      </c>
      <c r="AJN296" s="83">
        <v>74</v>
      </c>
      <c r="AKX296" s="98">
        <v>2.2650000000000001</v>
      </c>
      <c r="ALV296" s="98">
        <v>1.4550000000000001</v>
      </c>
      <c r="ANF296" s="83">
        <v>0.3</v>
      </c>
      <c r="AOS296" s="83">
        <v>5.69</v>
      </c>
      <c r="APT296" s="83">
        <v>4.2195999999999998</v>
      </c>
      <c r="ATX296" s="83">
        <v>14</v>
      </c>
      <c r="AUI296" s="83">
        <v>14</v>
      </c>
      <c r="AVC296" s="83">
        <v>7</v>
      </c>
      <c r="AZR296" s="83">
        <v>44</v>
      </c>
      <c r="BFX296" s="83">
        <v>131</v>
      </c>
      <c r="BHD296" s="83">
        <v>3.69</v>
      </c>
      <c r="BIG296" s="83">
        <v>2.38</v>
      </c>
      <c r="BJI296" s="83">
        <v>95.9</v>
      </c>
      <c r="BJO296" s="98">
        <v>18</v>
      </c>
      <c r="BKA296" s="98">
        <v>1000</v>
      </c>
      <c r="BLD296" s="98">
        <v>5</v>
      </c>
      <c r="BLZ296" s="83">
        <v>27</v>
      </c>
      <c r="BOA296" s="83">
        <v>48</v>
      </c>
      <c r="BOB296" s="83">
        <v>1</v>
      </c>
      <c r="BOD296" s="83">
        <v>25.4</v>
      </c>
      <c r="BOF296" s="83">
        <v>1</v>
      </c>
      <c r="BOG296" s="83">
        <v>10</v>
      </c>
      <c r="BYJ296" s="95"/>
      <c r="BZL296" s="83">
        <v>2000</v>
      </c>
      <c r="BZM296" s="83">
        <v>1000</v>
      </c>
      <c r="BZN296" s="83">
        <v>1</v>
      </c>
      <c r="BZQ296" s="83">
        <v>1</v>
      </c>
      <c r="BZS296" s="83">
        <v>3</v>
      </c>
      <c r="BZT296" s="83">
        <v>2</v>
      </c>
      <c r="BZU296" s="83">
        <v>0</v>
      </c>
      <c r="BZV296" s="83">
        <v>0</v>
      </c>
      <c r="GYU296" s="83">
        <v>1</v>
      </c>
      <c r="GYX296" s="83">
        <v>1</v>
      </c>
      <c r="GYZ296" s="83">
        <v>1</v>
      </c>
      <c r="GZO296" s="83">
        <v>1</v>
      </c>
      <c r="HCA296" s="83">
        <v>1</v>
      </c>
      <c r="HCB296" s="83">
        <v>1</v>
      </c>
    </row>
    <row r="297" spans="1:1023 1026:3063 3167:4066 4210:4824 5198:5762" s="83" customFormat="1" x14ac:dyDescent="0.25">
      <c r="A297" s="83">
        <v>3014566</v>
      </c>
      <c r="B297" s="83" t="s">
        <v>4196</v>
      </c>
      <c r="JQ297" s="83">
        <v>49</v>
      </c>
      <c r="NF297" s="83">
        <v>24</v>
      </c>
      <c r="UM297" s="102"/>
      <c r="AKS297" s="83">
        <v>1747</v>
      </c>
      <c r="ANG297" s="83">
        <v>7</v>
      </c>
      <c r="BMV297" s="83">
        <v>49</v>
      </c>
      <c r="BMW297" s="83">
        <v>23</v>
      </c>
      <c r="BOA297" s="83">
        <v>8</v>
      </c>
      <c r="BOB297" s="83">
        <v>1</v>
      </c>
      <c r="BOF297" s="83">
        <v>1</v>
      </c>
      <c r="BOG297" s="83">
        <v>10</v>
      </c>
      <c r="BYJ297" s="95"/>
      <c r="BZL297" s="83">
        <v>0</v>
      </c>
      <c r="BZS297" s="100">
        <v>999</v>
      </c>
      <c r="BZV297" s="83">
        <v>999</v>
      </c>
      <c r="GYV297" s="83">
        <v>1</v>
      </c>
      <c r="HBL297" s="83">
        <v>1</v>
      </c>
      <c r="HBV297" s="83">
        <v>1</v>
      </c>
    </row>
    <row r="298" spans="1:1023 1026:3063 3167:4066 4210:4824 5198:5762" s="83" customFormat="1" x14ac:dyDescent="0.25">
      <c r="A298" s="83">
        <v>3015058</v>
      </c>
      <c r="B298" s="83" t="s">
        <v>4196</v>
      </c>
      <c r="D298" s="83">
        <v>105</v>
      </c>
      <c r="M298" s="83">
        <v>56</v>
      </c>
      <c r="N298" s="83">
        <v>37</v>
      </c>
      <c r="T298" s="83">
        <v>132</v>
      </c>
      <c r="AV298" s="83">
        <v>105</v>
      </c>
      <c r="AW298" s="97">
        <v>77</v>
      </c>
      <c r="BC298" s="83">
        <v>23</v>
      </c>
      <c r="BD298" s="83">
        <v>64</v>
      </c>
      <c r="BE298" s="83">
        <v>91</v>
      </c>
      <c r="BK298" s="83">
        <v>93</v>
      </c>
      <c r="CF298" s="83">
        <v>1</v>
      </c>
      <c r="CG298" s="97">
        <v>1.1499999999999999</v>
      </c>
      <c r="CM298" s="83">
        <v>3.4</v>
      </c>
      <c r="CN298" s="83">
        <v>64</v>
      </c>
      <c r="CO298" s="83">
        <v>91</v>
      </c>
      <c r="CU298" s="83">
        <v>1</v>
      </c>
      <c r="DY298" s="83">
        <v>28</v>
      </c>
      <c r="DZ298" s="83">
        <v>26.5</v>
      </c>
      <c r="EG298" s="83">
        <v>36</v>
      </c>
      <c r="EH298" s="83">
        <v>27</v>
      </c>
      <c r="EI298" s="83">
        <v>24</v>
      </c>
      <c r="EO298" s="83">
        <v>26</v>
      </c>
      <c r="FO298" s="83">
        <v>103</v>
      </c>
      <c r="GD298" s="83">
        <v>493</v>
      </c>
      <c r="GE298" s="97">
        <v>421</v>
      </c>
      <c r="GF298" s="96"/>
      <c r="GG298" s="96"/>
      <c r="GH298" s="96"/>
      <c r="GJ298" s="83">
        <v>599</v>
      </c>
      <c r="GK298" s="83">
        <v>547</v>
      </c>
      <c r="GL298" s="83">
        <v>524</v>
      </c>
      <c r="GO298" s="83">
        <v>364</v>
      </c>
      <c r="HF298" s="83">
        <v>7100</v>
      </c>
      <c r="HH298" s="97">
        <v>13300</v>
      </c>
      <c r="HI298" s="83">
        <v>11300</v>
      </c>
      <c r="HK298" s="83">
        <v>10200</v>
      </c>
      <c r="HR298" s="83">
        <v>11500</v>
      </c>
      <c r="HS298" s="83">
        <v>13300</v>
      </c>
      <c r="HW298" s="83">
        <v>8200</v>
      </c>
      <c r="HY298" s="83">
        <v>11000</v>
      </c>
      <c r="JF298" s="83">
        <v>19</v>
      </c>
      <c r="JR298" s="83">
        <v>127</v>
      </c>
      <c r="JS298" s="83">
        <v>66</v>
      </c>
      <c r="JY298" s="83">
        <v>42</v>
      </c>
      <c r="MU298" s="83">
        <v>7</v>
      </c>
      <c r="NG298" s="83">
        <v>138</v>
      </c>
      <c r="NH298" s="83">
        <v>110</v>
      </c>
      <c r="NN298" s="83">
        <v>47</v>
      </c>
      <c r="QI298" s="83">
        <v>17</v>
      </c>
      <c r="QU298" s="83">
        <v>269</v>
      </c>
      <c r="QV298" s="83">
        <v>269</v>
      </c>
      <c r="RB298" s="83">
        <v>153</v>
      </c>
      <c r="TC298" s="83">
        <v>193</v>
      </c>
      <c r="TM298" s="83">
        <v>269</v>
      </c>
      <c r="TN298" s="83">
        <v>188</v>
      </c>
      <c r="TT298" s="83">
        <v>203</v>
      </c>
      <c r="ZJ298" s="83">
        <v>11.4</v>
      </c>
      <c r="ZK298" s="97">
        <v>11.25</v>
      </c>
      <c r="ZL298" s="83">
        <v>10</v>
      </c>
      <c r="ZN298" s="83">
        <v>10.199999999999999</v>
      </c>
      <c r="ZT298" s="83">
        <v>10.4</v>
      </c>
      <c r="ZU298" s="83">
        <v>11.2</v>
      </c>
      <c r="ZY298" s="83">
        <v>10.199999999999999</v>
      </c>
      <c r="AAA298" s="83">
        <v>10.9</v>
      </c>
      <c r="ABB298" s="83">
        <v>0.6</v>
      </c>
      <c r="ABC298" s="97">
        <v>0.6</v>
      </c>
      <c r="ABM298" s="83">
        <v>0.3</v>
      </c>
      <c r="ABN298" s="83">
        <v>0.4</v>
      </c>
      <c r="ABT298" s="83">
        <v>0.3</v>
      </c>
      <c r="AFV298" s="83">
        <v>75</v>
      </c>
      <c r="AGG298" s="83">
        <v>111</v>
      </c>
      <c r="AGH298" s="83">
        <v>106</v>
      </c>
      <c r="AGN298" s="83">
        <v>93</v>
      </c>
      <c r="AII298" s="102" t="s">
        <v>2462</v>
      </c>
      <c r="AIJ298" s="102"/>
      <c r="AIK298" s="102"/>
      <c r="AIL298" s="102"/>
      <c r="AIM298" s="102"/>
      <c r="AIN298" s="102"/>
      <c r="AIO298" s="102"/>
      <c r="AIP298" s="102">
        <v>5.75</v>
      </c>
      <c r="AJE298" s="83">
        <v>2.2000000000000002</v>
      </c>
      <c r="AJF298" s="83">
        <v>1.95</v>
      </c>
      <c r="AJG298" s="83">
        <v>2.1</v>
      </c>
      <c r="AJI298" s="83">
        <v>1.5</v>
      </c>
      <c r="AJM298" s="83">
        <v>1</v>
      </c>
      <c r="AJP298" s="83">
        <v>1.1000000000000001</v>
      </c>
      <c r="AJQ298" s="83">
        <v>1.1000000000000001</v>
      </c>
      <c r="AJU298" s="83">
        <v>1</v>
      </c>
      <c r="AJW298" s="83">
        <v>1</v>
      </c>
      <c r="ALA298" s="83">
        <v>71</v>
      </c>
      <c r="ALF298" s="83">
        <v>51</v>
      </c>
      <c r="ALY298" s="83">
        <v>483</v>
      </c>
      <c r="AMD298" s="83">
        <v>184</v>
      </c>
      <c r="AMX298" s="83">
        <v>13.8</v>
      </c>
      <c r="AMZ298" s="83">
        <v>228.2</v>
      </c>
      <c r="ANB298" s="83">
        <v>155.80000000000001</v>
      </c>
      <c r="ANH298" s="83">
        <v>63.7</v>
      </c>
      <c r="ANI298" s="83">
        <v>45.4</v>
      </c>
      <c r="ANM298" s="83">
        <v>164.9</v>
      </c>
      <c r="ANO298" s="83">
        <v>40</v>
      </c>
      <c r="AOK298" s="83">
        <v>32</v>
      </c>
      <c r="AOL298" s="97">
        <v>19.5</v>
      </c>
      <c r="AOM298" s="83">
        <v>17</v>
      </c>
      <c r="AOO298" s="83">
        <v>16</v>
      </c>
      <c r="AOU298" s="83">
        <v>5</v>
      </c>
      <c r="AOV298" s="83">
        <v>7</v>
      </c>
      <c r="AOY298" s="83">
        <v>9</v>
      </c>
      <c r="AOZ298" s="83">
        <v>7</v>
      </c>
      <c r="APP298" s="83">
        <v>6.7</v>
      </c>
      <c r="APQ298" s="83">
        <v>6.4</v>
      </c>
      <c r="APR298" s="83">
        <v>6.8</v>
      </c>
      <c r="APV298" s="83">
        <v>4.4000000000000004</v>
      </c>
      <c r="APW298" s="83">
        <v>4.9000000000000004</v>
      </c>
      <c r="APY298" s="83">
        <v>3.5</v>
      </c>
      <c r="APZ298" s="83">
        <v>4.0999999999999996</v>
      </c>
      <c r="AQJ298" s="83">
        <v>4000000</v>
      </c>
      <c r="AQK298" s="97">
        <v>3950000</v>
      </c>
      <c r="AQL298" s="83">
        <v>3500000</v>
      </c>
      <c r="AQN298" s="83">
        <v>3600000</v>
      </c>
      <c r="AQT298" s="83">
        <v>11500000</v>
      </c>
      <c r="AQU298" s="83">
        <v>13300000</v>
      </c>
      <c r="AQY298" s="83">
        <v>3700000</v>
      </c>
      <c r="ARA298" s="83">
        <v>3900000</v>
      </c>
      <c r="ART298" s="83">
        <v>263000</v>
      </c>
      <c r="ARV298" s="83">
        <v>244000</v>
      </c>
      <c r="ARW298" s="83">
        <v>178000</v>
      </c>
      <c r="ARY298" s="83">
        <v>232000</v>
      </c>
      <c r="ASE298" s="83">
        <v>411000</v>
      </c>
      <c r="ASF298" s="83">
        <v>553000</v>
      </c>
      <c r="ASJ298" s="83">
        <v>648000</v>
      </c>
      <c r="ASL298" s="83">
        <v>834000</v>
      </c>
      <c r="AWI298" s="83">
        <v>44</v>
      </c>
      <c r="AWJ298" s="97">
        <v>28</v>
      </c>
      <c r="AZJ298" s="83">
        <v>34.9</v>
      </c>
      <c r="AZK298" s="97">
        <v>34.299999999999997</v>
      </c>
      <c r="AZL298" s="83">
        <v>39.9</v>
      </c>
      <c r="AZN298" s="83">
        <v>31.7</v>
      </c>
      <c r="AZT298" s="83">
        <v>31.2</v>
      </c>
      <c r="AZU298" s="83">
        <v>34.700000000000003</v>
      </c>
      <c r="AZY298" s="83">
        <v>32.200000000000003</v>
      </c>
      <c r="BAA298" s="83">
        <v>33.200000000000003</v>
      </c>
      <c r="BBB298" s="83">
        <v>86.3</v>
      </c>
      <c r="BBD298" s="83">
        <v>86.75</v>
      </c>
      <c r="BBL298" s="83">
        <v>86.2</v>
      </c>
      <c r="BBM298" s="83">
        <v>87.6</v>
      </c>
      <c r="BBR298" s="83">
        <v>85.6</v>
      </c>
      <c r="BCI298" s="83">
        <v>28.1</v>
      </c>
      <c r="BCJ298" s="97">
        <v>28.25</v>
      </c>
      <c r="BCK298" s="96"/>
      <c r="BCL298" s="96"/>
      <c r="BCM298" s="96"/>
      <c r="BCN298" s="96"/>
      <c r="BCO298" s="96"/>
      <c r="BCR298" s="83">
        <v>28.8</v>
      </c>
      <c r="BCS298" s="83">
        <v>28.4</v>
      </c>
      <c r="BCX298" s="83">
        <v>28.1</v>
      </c>
      <c r="BDL298" s="83">
        <v>32.6</v>
      </c>
      <c r="BDM298" s="97">
        <v>32.6</v>
      </c>
      <c r="BDN298" s="96"/>
      <c r="BDO298" s="96"/>
      <c r="BDP298" s="96"/>
      <c r="BDQ298" s="96"/>
      <c r="BDR298" s="96"/>
      <c r="BDU298" s="83">
        <v>33.4</v>
      </c>
      <c r="BDV298" s="83">
        <v>32.4</v>
      </c>
      <c r="BEA298" s="83">
        <v>32.799999999999997</v>
      </c>
      <c r="BFP298" s="83">
        <v>141</v>
      </c>
      <c r="BFR298" s="97">
        <v>143.5</v>
      </c>
      <c r="BFS298" s="83">
        <v>143</v>
      </c>
      <c r="BFT298" s="83">
        <v>142</v>
      </c>
      <c r="BFZ298" s="83">
        <v>140</v>
      </c>
      <c r="BGA298" s="83">
        <v>140</v>
      </c>
      <c r="BGE298" s="83">
        <v>137</v>
      </c>
      <c r="BGG298" s="83">
        <v>135</v>
      </c>
      <c r="BGV298" s="83">
        <v>4.8</v>
      </c>
      <c r="BGX298" s="83">
        <v>4.6500000000000004</v>
      </c>
      <c r="BGY298" s="83">
        <v>3.5</v>
      </c>
      <c r="BGZ298" s="83">
        <v>3.4</v>
      </c>
      <c r="BHF298" s="83">
        <v>3</v>
      </c>
      <c r="BHG298" s="83">
        <v>2.9</v>
      </c>
      <c r="BHK298" s="83">
        <v>3.3</v>
      </c>
      <c r="BHM298" s="83">
        <v>3.3</v>
      </c>
      <c r="BHZ298" s="83">
        <v>2.5</v>
      </c>
      <c r="BIA298" s="83">
        <v>2.4</v>
      </c>
      <c r="BIB298" s="83">
        <v>2.1</v>
      </c>
      <c r="BIC298" s="83">
        <v>2</v>
      </c>
      <c r="BII298" s="83">
        <v>2.1</v>
      </c>
      <c r="BIJ298" s="83">
        <v>2.1</v>
      </c>
      <c r="BIN298" s="83">
        <v>2.2000000000000002</v>
      </c>
      <c r="BIP298" s="83">
        <v>2.2000000000000002</v>
      </c>
      <c r="BIY298" s="83">
        <v>0.94499999999999995</v>
      </c>
      <c r="BKX298" s="83">
        <v>76</v>
      </c>
      <c r="BKY298" s="97">
        <v>163</v>
      </c>
      <c r="BKZ298" s="96"/>
      <c r="BLA298" s="96"/>
      <c r="BLB298" s="96"/>
      <c r="BLC298" s="96"/>
      <c r="BLG298" s="83">
        <v>103</v>
      </c>
      <c r="BMF298" s="97">
        <v>1.3</v>
      </c>
      <c r="BML298" s="97">
        <v>1.79</v>
      </c>
      <c r="BMM298" s="96"/>
      <c r="BMN298" s="96"/>
      <c r="BOA298" s="83">
        <v>23</v>
      </c>
      <c r="BOB298" s="83">
        <v>1</v>
      </c>
      <c r="BOD298" s="83">
        <v>23</v>
      </c>
      <c r="BOF298" s="83">
        <v>1</v>
      </c>
      <c r="BWJ298" s="83">
        <v>1</v>
      </c>
      <c r="BWV298" s="83">
        <v>1</v>
      </c>
      <c r="BYJ298" s="95"/>
      <c r="BZL298" s="83">
        <v>16000</v>
      </c>
      <c r="BZM298" s="83">
        <v>1000</v>
      </c>
      <c r="BZN298" s="83">
        <v>4</v>
      </c>
      <c r="BZO298" s="83">
        <v>1</v>
      </c>
      <c r="BZS298" s="83">
        <v>4</v>
      </c>
      <c r="BZT298" s="83">
        <v>6</v>
      </c>
      <c r="BZU298" s="83">
        <v>2</v>
      </c>
      <c r="BZV298" s="83">
        <v>0</v>
      </c>
      <c r="COF298" s="83">
        <v>0.5</v>
      </c>
      <c r="COG298" s="83">
        <v>2</v>
      </c>
      <c r="COH298" s="83">
        <v>1</v>
      </c>
      <c r="COK298" s="83">
        <v>1</v>
      </c>
      <c r="COL298" s="83">
        <v>9</v>
      </c>
      <c r="COM298" s="83">
        <v>9</v>
      </c>
      <c r="CON298" s="83">
        <v>0</v>
      </c>
      <c r="COP298" s="83">
        <v>2000</v>
      </c>
      <c r="COQ298" s="83">
        <v>2</v>
      </c>
      <c r="COR298" s="83">
        <v>1</v>
      </c>
      <c r="COU298" s="83">
        <v>1</v>
      </c>
      <c r="COV298" s="83">
        <v>9</v>
      </c>
      <c r="COW298" s="83">
        <v>9</v>
      </c>
      <c r="COX298" s="83">
        <v>0</v>
      </c>
      <c r="EAL298" s="83">
        <v>40</v>
      </c>
      <c r="EAM298" s="83">
        <v>1</v>
      </c>
      <c r="EAP298" s="83">
        <v>1</v>
      </c>
      <c r="EAR298" s="83">
        <v>1</v>
      </c>
      <c r="EAS298" s="83">
        <v>10</v>
      </c>
      <c r="EAT298" s="83">
        <v>10</v>
      </c>
      <c r="EAU298" s="83">
        <v>0</v>
      </c>
      <c r="EUN298" s="83">
        <v>30</v>
      </c>
      <c r="EUO298" s="83">
        <v>3</v>
      </c>
      <c r="EUP298" s="83">
        <v>1</v>
      </c>
      <c r="EUS298" s="83">
        <v>1</v>
      </c>
      <c r="EUT298" s="83">
        <v>10</v>
      </c>
      <c r="EUU298" s="83">
        <v>10</v>
      </c>
      <c r="EUV298" s="83">
        <v>0</v>
      </c>
    </row>
    <row r="299" spans="1:1023 1026:3063 3167:4066 4210:4824 5198:5762" s="59" customFormat="1" x14ac:dyDescent="0.25">
      <c r="A299" s="79">
        <v>4000996</v>
      </c>
      <c r="B299" s="60" t="s">
        <v>4196</v>
      </c>
      <c r="V299" s="59">
        <v>13.8</v>
      </c>
      <c r="BD299" s="59">
        <v>98</v>
      </c>
      <c r="BF299" s="59">
        <v>92</v>
      </c>
      <c r="CN299" s="59">
        <v>1</v>
      </c>
      <c r="CP299" s="59">
        <v>1.1000000000000001</v>
      </c>
      <c r="EH299" s="59">
        <v>31.5</v>
      </c>
      <c r="EJ299" s="59">
        <v>32</v>
      </c>
      <c r="HR299" s="59">
        <v>3500</v>
      </c>
      <c r="HS299" s="59">
        <v>3500</v>
      </c>
      <c r="IA299" s="59">
        <v>5100</v>
      </c>
      <c r="JS299" s="59">
        <v>71.400000000000006</v>
      </c>
      <c r="JT299" s="59">
        <v>55.8</v>
      </c>
      <c r="JX299" s="59">
        <v>79.2</v>
      </c>
      <c r="KE299" s="59">
        <v>19.2</v>
      </c>
      <c r="NG299" s="59">
        <v>142.80000000000001</v>
      </c>
      <c r="NH299" s="59">
        <v>129</v>
      </c>
      <c r="NI299" s="59">
        <v>112.2</v>
      </c>
      <c r="NM299" s="59">
        <v>7080</v>
      </c>
      <c r="NT299" s="59">
        <v>40.200000000000003</v>
      </c>
      <c r="QU299" s="59">
        <v>69</v>
      </c>
      <c r="QV299" s="59">
        <v>67.8</v>
      </c>
      <c r="QW299" s="59">
        <v>75</v>
      </c>
      <c r="RA299" s="59">
        <v>121.2</v>
      </c>
      <c r="RH299" s="59">
        <v>83.4</v>
      </c>
      <c r="TM299" s="59">
        <v>319.8</v>
      </c>
      <c r="TN299" s="59">
        <v>266.39999999999998</v>
      </c>
      <c r="TO299" s="59">
        <v>270.60000000000002</v>
      </c>
      <c r="TS299" s="59">
        <v>238.8</v>
      </c>
      <c r="UP299" s="59">
        <v>20.04</v>
      </c>
      <c r="UQ299" s="59">
        <v>15.48</v>
      </c>
      <c r="VT299" s="59">
        <v>36.345100000000002</v>
      </c>
      <c r="WJ299" s="64">
        <v>0.1338</v>
      </c>
      <c r="ZT299" s="59">
        <v>12.9</v>
      </c>
      <c r="ABN299" s="59">
        <v>0.61980000000000002</v>
      </c>
      <c r="ABO299" s="59">
        <v>0.42680000000000001</v>
      </c>
      <c r="ABZ299" s="59">
        <v>0.57879999999999998</v>
      </c>
      <c r="ADQ299" s="59">
        <v>0.18709999999999999</v>
      </c>
      <c r="ADR299" s="59" t="s">
        <v>1881</v>
      </c>
      <c r="AEW299" s="59">
        <v>5.86</v>
      </c>
      <c r="AEX299" s="59">
        <v>5.72</v>
      </c>
      <c r="AGG299" s="59">
        <v>58.2</v>
      </c>
      <c r="AGH299" s="59">
        <v>53.4</v>
      </c>
      <c r="AGI299" s="59">
        <v>54</v>
      </c>
      <c r="AGM299" s="59">
        <v>59.4</v>
      </c>
      <c r="AIJ299" s="59">
        <v>4020</v>
      </c>
      <c r="AIK299" s="59">
        <v>4200</v>
      </c>
      <c r="AIO299" s="59">
        <v>4380</v>
      </c>
      <c r="AJP299" s="59">
        <v>0.31830000000000003</v>
      </c>
      <c r="AJR299" s="59">
        <v>0.3664</v>
      </c>
      <c r="ALJ299" s="59">
        <v>15</v>
      </c>
      <c r="ALX299" s="59">
        <v>20.399999999999999</v>
      </c>
      <c r="ALZ299" s="59">
        <v>17.399999999999999</v>
      </c>
      <c r="AMC299" s="59">
        <v>33</v>
      </c>
      <c r="AMI299" s="59">
        <v>19.2</v>
      </c>
      <c r="ANH299" s="59">
        <v>135.1</v>
      </c>
      <c r="AOU299" s="59">
        <v>12.6126</v>
      </c>
      <c r="AOW299" s="59">
        <v>10.8108</v>
      </c>
      <c r="APE299" s="59">
        <v>12.012</v>
      </c>
      <c r="AQT299" s="59">
        <v>4500000</v>
      </c>
      <c r="ASE299" s="59">
        <v>222000</v>
      </c>
      <c r="AWQ299" s="59">
        <v>28.3</v>
      </c>
      <c r="AXO299" s="59">
        <v>7.45</v>
      </c>
      <c r="AYE299" s="59">
        <v>24.5</v>
      </c>
      <c r="AZT299" s="59">
        <v>36</v>
      </c>
      <c r="BBL299" s="59">
        <v>81</v>
      </c>
      <c r="BFZ299" s="59">
        <v>138</v>
      </c>
      <c r="BHF299" s="59">
        <v>4.0999999999999996</v>
      </c>
      <c r="BII299" s="59">
        <v>2</v>
      </c>
      <c r="BLG299" s="59">
        <v>85</v>
      </c>
      <c r="BOA299" s="59">
        <v>64</v>
      </c>
      <c r="BOC299" s="59">
        <v>1</v>
      </c>
      <c r="BOD299" s="59">
        <v>25.3</v>
      </c>
      <c r="BOG299" s="59">
        <v>19</v>
      </c>
      <c r="BOJ299" s="59">
        <v>1</v>
      </c>
      <c r="BYJ299" s="65"/>
      <c r="BZL299" s="59">
        <v>5000</v>
      </c>
      <c r="BZM299" s="59">
        <v>500</v>
      </c>
      <c r="BZN299" s="59">
        <v>2</v>
      </c>
      <c r="BZQ299" s="59">
        <v>1</v>
      </c>
      <c r="BZS299" s="59">
        <v>6</v>
      </c>
      <c r="BZT299" s="59">
        <v>5</v>
      </c>
      <c r="BZU299" s="59">
        <v>0</v>
      </c>
      <c r="BZV299" s="59">
        <v>0</v>
      </c>
      <c r="CNU299" s="59">
        <v>100</v>
      </c>
      <c r="CNV299" s="59">
        <v>3</v>
      </c>
      <c r="CNY299" s="59">
        <v>1</v>
      </c>
      <c r="CNZ299" s="59">
        <v>3</v>
      </c>
      <c r="COA299" s="59">
        <v>2</v>
      </c>
      <c r="COB299" s="59">
        <v>0</v>
      </c>
      <c r="COC299" s="59">
        <v>0</v>
      </c>
      <c r="GCJ299" s="59">
        <v>1</v>
      </c>
      <c r="GCK299" s="69">
        <v>999</v>
      </c>
      <c r="GCL299" s="59">
        <v>9</v>
      </c>
      <c r="GCM299" s="59">
        <v>0</v>
      </c>
      <c r="GCN299" s="59">
        <v>999</v>
      </c>
      <c r="GYE299" s="59">
        <v>1</v>
      </c>
    </row>
    <row r="300" spans="1:1023 1026:3063 3167:4066 4210:4824 5198:5762" s="59" customFormat="1" x14ac:dyDescent="0.25">
      <c r="A300" s="59">
        <v>4003768</v>
      </c>
      <c r="B300" s="60" t="s">
        <v>4196</v>
      </c>
      <c r="JK300" s="59">
        <v>15</v>
      </c>
      <c r="JN300" s="59">
        <v>10</v>
      </c>
      <c r="JQ300" s="59">
        <v>506</v>
      </c>
      <c r="JR300" s="59">
        <v>4543</v>
      </c>
      <c r="JS300" s="59">
        <v>4396</v>
      </c>
      <c r="JT300" s="59">
        <v>1897</v>
      </c>
      <c r="MZ300" s="59">
        <v>12</v>
      </c>
      <c r="NC300" s="59">
        <v>14</v>
      </c>
      <c r="NF300" s="59">
        <v>390</v>
      </c>
      <c r="NG300" s="59">
        <v>3135</v>
      </c>
      <c r="NH300" s="59">
        <v>4112</v>
      </c>
      <c r="NI300" s="59">
        <v>2774</v>
      </c>
      <c r="QN300" s="59">
        <v>12</v>
      </c>
      <c r="QQ300" s="59">
        <v>7</v>
      </c>
      <c r="QT300" s="59">
        <v>23</v>
      </c>
      <c r="QU300" s="59">
        <v>47</v>
      </c>
      <c r="QV300" s="59">
        <v>55</v>
      </c>
      <c r="QW300" s="59">
        <v>82</v>
      </c>
      <c r="TF300" s="59">
        <v>110</v>
      </c>
      <c r="TM300" s="59">
        <v>6331</v>
      </c>
      <c r="TN300" s="59">
        <v>6636</v>
      </c>
      <c r="TO300" s="59">
        <v>3323</v>
      </c>
      <c r="ABF300" s="59">
        <v>0.41</v>
      </c>
      <c r="ABI300" s="59">
        <v>0.52</v>
      </c>
      <c r="ABL300" s="59">
        <v>3.74</v>
      </c>
      <c r="ABM300" s="59">
        <v>10.41</v>
      </c>
      <c r="ABN300" s="59">
        <v>13.46</v>
      </c>
      <c r="ABO300" s="59">
        <v>14.36</v>
      </c>
      <c r="AFZ300" s="59">
        <v>60</v>
      </c>
      <c r="AGG300" s="59">
        <v>131</v>
      </c>
      <c r="AGH300" s="59">
        <v>163</v>
      </c>
      <c r="AGI300" s="59">
        <v>153</v>
      </c>
      <c r="ANN300" s="59">
        <v>71.599999999999994</v>
      </c>
      <c r="BOA300" s="59">
        <v>64</v>
      </c>
      <c r="BOC300" s="59">
        <v>1</v>
      </c>
      <c r="BOE300" s="59">
        <v>1</v>
      </c>
      <c r="BTM300" s="59">
        <v>1</v>
      </c>
      <c r="BYJ300" s="65"/>
      <c r="BZL300" s="59">
        <v>12000</v>
      </c>
      <c r="BZM300" s="59">
        <v>4000</v>
      </c>
      <c r="BZN300" s="59">
        <v>1</v>
      </c>
      <c r="BZO300" s="59">
        <v>1</v>
      </c>
      <c r="BZS300" s="59">
        <v>4</v>
      </c>
      <c r="BZT300" s="59">
        <v>3</v>
      </c>
      <c r="BZU300" s="59">
        <v>0</v>
      </c>
      <c r="BZV300" s="59">
        <v>0</v>
      </c>
      <c r="CAO300" s="59">
        <v>1</v>
      </c>
      <c r="CAP300" s="59">
        <v>3</v>
      </c>
      <c r="CAQ300" s="59">
        <v>3</v>
      </c>
      <c r="CAR300" s="59">
        <v>0</v>
      </c>
      <c r="CIO300" s="59">
        <v>1</v>
      </c>
      <c r="CIP300" s="59">
        <v>3</v>
      </c>
      <c r="CIQ300" s="59">
        <v>3</v>
      </c>
      <c r="CIR300" s="59">
        <v>0</v>
      </c>
      <c r="CJS300" s="59">
        <v>1</v>
      </c>
      <c r="CJT300" s="59">
        <v>2</v>
      </c>
      <c r="CJU300" s="59">
        <v>2</v>
      </c>
      <c r="CJV300" s="59">
        <v>0</v>
      </c>
      <c r="COF300" s="59">
        <v>1500</v>
      </c>
      <c r="COG300" s="59">
        <v>1</v>
      </c>
      <c r="COK300" s="59">
        <v>6</v>
      </c>
      <c r="COL300" s="59">
        <v>8</v>
      </c>
      <c r="COM300" s="59">
        <v>3</v>
      </c>
      <c r="CON300" s="59">
        <v>0</v>
      </c>
      <c r="CVF300" s="59">
        <v>80</v>
      </c>
      <c r="CVG300" s="59">
        <v>1</v>
      </c>
      <c r="CVK300" s="59">
        <v>6</v>
      </c>
      <c r="CVL300" s="59">
        <v>8</v>
      </c>
      <c r="CVM300" s="59">
        <v>3</v>
      </c>
      <c r="CVN300" s="59">
        <v>0</v>
      </c>
      <c r="DCC300" s="59">
        <v>1</v>
      </c>
      <c r="DCD300" s="59">
        <v>1</v>
      </c>
      <c r="DCE300" s="59">
        <v>3</v>
      </c>
      <c r="DCF300" s="59">
        <v>3</v>
      </c>
      <c r="DCG300" s="59">
        <v>0</v>
      </c>
      <c r="DEX300" s="59">
        <v>1</v>
      </c>
      <c r="DHV300" s="59">
        <v>80</v>
      </c>
      <c r="DHW300" s="59">
        <v>1</v>
      </c>
      <c r="DHZ300" s="59">
        <v>1</v>
      </c>
      <c r="EIB300" s="59">
        <v>500</v>
      </c>
      <c r="EIC300" s="59">
        <v>1</v>
      </c>
      <c r="EQR300" s="59">
        <v>20</v>
      </c>
      <c r="EQS300" s="59">
        <v>1</v>
      </c>
      <c r="FEX300" s="59">
        <v>1</v>
      </c>
      <c r="FEY300" s="59">
        <v>3</v>
      </c>
      <c r="FEZ300" s="59">
        <v>3</v>
      </c>
      <c r="FFA300" s="59">
        <v>0</v>
      </c>
      <c r="GWD300" s="59">
        <v>1</v>
      </c>
      <c r="GWG300" s="59">
        <v>1</v>
      </c>
      <c r="GWK300" s="59">
        <v>1</v>
      </c>
      <c r="GWL300" s="59">
        <v>1</v>
      </c>
      <c r="GZR300" s="59">
        <v>1</v>
      </c>
      <c r="HAE300" s="59">
        <v>1</v>
      </c>
      <c r="HAF300" s="59">
        <v>1</v>
      </c>
      <c r="HAH300" s="59">
        <v>1</v>
      </c>
      <c r="HBP300" s="59">
        <v>1</v>
      </c>
      <c r="HBX300" s="59">
        <v>1</v>
      </c>
      <c r="HCB300" s="59">
        <v>1</v>
      </c>
    </row>
    <row r="301" spans="1:1023 1026:3063 3167:4066 4210:4824 5198:5762" s="83" customFormat="1" x14ac:dyDescent="0.25">
      <c r="A301" s="83">
        <v>4006540</v>
      </c>
      <c r="B301" s="83" t="s">
        <v>4196</v>
      </c>
      <c r="BM301" s="83">
        <v>96</v>
      </c>
      <c r="CW301" s="83">
        <v>1</v>
      </c>
      <c r="EQ301" s="83">
        <v>32.799999999999997</v>
      </c>
      <c r="FL301" s="83">
        <v>40.700000000000003</v>
      </c>
      <c r="IA301" s="83">
        <v>9400</v>
      </c>
      <c r="IB301" s="83">
        <v>10000</v>
      </c>
      <c r="KA301" s="83">
        <v>1485.6</v>
      </c>
      <c r="KB301" s="83">
        <v>1614</v>
      </c>
      <c r="KE301" s="83">
        <v>1728</v>
      </c>
      <c r="KH301" s="83">
        <v>912</v>
      </c>
      <c r="NP301" s="83">
        <v>2376</v>
      </c>
      <c r="NQ301" s="83">
        <v>2262</v>
      </c>
      <c r="NT301" s="83">
        <v>1722</v>
      </c>
      <c r="NW301" s="83">
        <v>1548</v>
      </c>
      <c r="RD301" s="83">
        <v>243</v>
      </c>
      <c r="TW301" s="83">
        <v>414</v>
      </c>
      <c r="TY301" s="83">
        <v>288</v>
      </c>
      <c r="UB301" s="83">
        <v>258</v>
      </c>
      <c r="AAC301" s="83">
        <v>14.3415</v>
      </c>
      <c r="AAJ301" s="83">
        <v>14.502599999999999</v>
      </c>
      <c r="ABV301" s="83">
        <v>12.161099999999999</v>
      </c>
      <c r="ABW301" s="83">
        <v>1.3271999999999999</v>
      </c>
      <c r="ABZ301" s="83">
        <v>9.0038999999999998</v>
      </c>
      <c r="ACC301" s="83">
        <v>6.7237</v>
      </c>
      <c r="AGP301" s="83">
        <v>243</v>
      </c>
      <c r="AGQ301" s="83">
        <v>219</v>
      </c>
      <c r="AGT301" s="83">
        <v>169.2</v>
      </c>
      <c r="AGW301" s="83">
        <v>181.8</v>
      </c>
      <c r="AJY301" s="83">
        <v>1.1086</v>
      </c>
      <c r="AMF301" s="83">
        <v>55.8</v>
      </c>
      <c r="ANQ301" s="83">
        <v>5</v>
      </c>
      <c r="BAC301" s="83">
        <v>42</v>
      </c>
      <c r="BAH301" s="83">
        <v>44</v>
      </c>
      <c r="BGI301" s="83">
        <v>137</v>
      </c>
      <c r="BHO301" s="83">
        <v>4.5999999999999996</v>
      </c>
      <c r="BLO301" s="83">
        <v>120.7072</v>
      </c>
      <c r="BOA301" s="83">
        <v>39</v>
      </c>
      <c r="BOB301" s="83">
        <v>1</v>
      </c>
      <c r="BOD301" s="83">
        <v>26.1</v>
      </c>
      <c r="BOG301" s="83">
        <v>20</v>
      </c>
      <c r="BOI301" s="83">
        <v>1</v>
      </c>
      <c r="BYJ301" s="95"/>
      <c r="BZL301" s="83">
        <v>4000</v>
      </c>
      <c r="BZM301" s="83">
        <v>500</v>
      </c>
      <c r="BZN301" s="83">
        <v>1</v>
      </c>
      <c r="BZQ301" s="83">
        <v>1</v>
      </c>
      <c r="BZS301" s="83">
        <v>8</v>
      </c>
      <c r="BZT301" s="83">
        <v>9</v>
      </c>
      <c r="BZU301" s="83">
        <v>2</v>
      </c>
      <c r="BZV301" s="83">
        <v>0</v>
      </c>
      <c r="CPJ301" s="83">
        <v>250</v>
      </c>
      <c r="CPK301" s="83">
        <v>2</v>
      </c>
      <c r="CPN301" s="83">
        <v>1</v>
      </c>
      <c r="CPO301" s="83">
        <v>8</v>
      </c>
      <c r="CPP301" s="83">
        <v>9</v>
      </c>
      <c r="CPQ301" s="83">
        <v>2</v>
      </c>
      <c r="CPR301" s="83">
        <v>0</v>
      </c>
      <c r="GYA301" s="83">
        <v>1</v>
      </c>
      <c r="GYE301" s="83">
        <v>1</v>
      </c>
      <c r="HCA301" s="83">
        <v>1</v>
      </c>
      <c r="HCB301" s="83">
        <v>1</v>
      </c>
    </row>
    <row r="302" spans="1:1023 1026:3063 3167:4066 4210:4824 5198:5762" s="83" customFormat="1" x14ac:dyDescent="0.25">
      <c r="A302" s="83">
        <v>4007054</v>
      </c>
      <c r="B302" s="83" t="s">
        <v>4196</v>
      </c>
      <c r="BG302" s="83">
        <v>97</v>
      </c>
      <c r="CQ302" s="83">
        <v>1.1000000000000001</v>
      </c>
      <c r="HU302" s="83">
        <v>8300</v>
      </c>
      <c r="JQ302" s="83">
        <v>20.5</v>
      </c>
      <c r="JU302" s="83">
        <v>161</v>
      </c>
      <c r="NF302" s="83">
        <v>45.8</v>
      </c>
      <c r="NJ302" s="83">
        <v>920</v>
      </c>
      <c r="TP302" s="83">
        <v>255</v>
      </c>
      <c r="ZW302" s="83">
        <v>13.696899999999999</v>
      </c>
      <c r="ABP302" s="83" t="s">
        <v>1892</v>
      </c>
      <c r="ACA302" s="83">
        <v>0.16739999999999999</v>
      </c>
      <c r="AEY302" s="83">
        <v>5.4</v>
      </c>
      <c r="AJS302" s="83">
        <v>0.59160000000000001</v>
      </c>
      <c r="AMA302" s="83">
        <v>48</v>
      </c>
      <c r="ANK302" s="83">
        <v>59.3</v>
      </c>
      <c r="ASH302" s="83">
        <v>72000</v>
      </c>
      <c r="AZW302" s="83">
        <v>39</v>
      </c>
      <c r="BGC302" s="83">
        <v>137</v>
      </c>
      <c r="BHI302" s="83">
        <v>4.2</v>
      </c>
      <c r="BLI302" s="83">
        <v>172.95359999999999</v>
      </c>
      <c r="BMJ302" s="83">
        <v>1.2</v>
      </c>
      <c r="BOA302" s="83">
        <v>44</v>
      </c>
      <c r="BOB302" s="83">
        <v>1</v>
      </c>
      <c r="BOD302" s="83">
        <v>22.4</v>
      </c>
      <c r="BOF302" s="83">
        <v>1</v>
      </c>
      <c r="BOG302" s="83">
        <v>19</v>
      </c>
      <c r="BOH302" s="83">
        <v>1</v>
      </c>
      <c r="BOI302" s="83">
        <v>1</v>
      </c>
      <c r="BQB302" s="83">
        <v>1</v>
      </c>
      <c r="BRK302" s="83">
        <v>1</v>
      </c>
      <c r="BSC302" s="83">
        <v>1</v>
      </c>
      <c r="BSD302" s="83">
        <v>1</v>
      </c>
      <c r="BSG302" s="83">
        <v>1</v>
      </c>
      <c r="BWK302" s="83">
        <v>1</v>
      </c>
      <c r="BXD302" s="83">
        <v>1</v>
      </c>
      <c r="BXK302" s="83">
        <v>1</v>
      </c>
      <c r="BYJ302" s="95"/>
      <c r="BZL302" s="83">
        <v>0</v>
      </c>
      <c r="BZY302" s="83">
        <v>300</v>
      </c>
      <c r="BZZ302" s="83">
        <v>1</v>
      </c>
      <c r="CAC302" s="83">
        <v>1</v>
      </c>
      <c r="CAD302" s="83">
        <v>999</v>
      </c>
      <c r="CAE302" s="83">
        <v>999</v>
      </c>
      <c r="CAF302" s="83">
        <v>0</v>
      </c>
      <c r="CAG302" s="83">
        <v>999</v>
      </c>
      <c r="DKY302" s="83">
        <v>25</v>
      </c>
      <c r="DKZ302" s="83">
        <v>2</v>
      </c>
      <c r="DLC302" s="83">
        <v>1</v>
      </c>
      <c r="DLD302" s="83">
        <v>999</v>
      </c>
      <c r="DLE302" s="83">
        <v>999</v>
      </c>
      <c r="DLF302" s="83">
        <v>0</v>
      </c>
      <c r="DLG302" s="83">
        <v>0</v>
      </c>
      <c r="DSJ302" s="83">
        <v>40</v>
      </c>
      <c r="DSK302" s="83">
        <v>2</v>
      </c>
      <c r="DSN302" s="83">
        <v>1</v>
      </c>
      <c r="DSO302" s="83">
        <v>999</v>
      </c>
      <c r="DSP302" s="83">
        <v>999</v>
      </c>
      <c r="DSQ302" s="83">
        <v>0</v>
      </c>
      <c r="DSR302" s="83">
        <v>0</v>
      </c>
      <c r="DUS302" s="83">
        <v>8</v>
      </c>
      <c r="DUT302" s="83">
        <v>1</v>
      </c>
      <c r="DUW302" s="83">
        <v>1</v>
      </c>
      <c r="DUX302" s="83">
        <v>999</v>
      </c>
      <c r="DUY302" s="83">
        <v>999</v>
      </c>
      <c r="DUZ302" s="83">
        <v>0</v>
      </c>
      <c r="DVA302" s="83">
        <v>0</v>
      </c>
      <c r="GXW302" s="83">
        <v>1</v>
      </c>
      <c r="GXY302" s="83">
        <v>1</v>
      </c>
      <c r="HAQ302" s="83">
        <v>1</v>
      </c>
      <c r="HCM302" s="83">
        <v>1</v>
      </c>
    </row>
    <row r="303" spans="1:1023 1026:3063 3167:4066 4210:4824 5198:5762" s="83" customFormat="1" x14ac:dyDescent="0.25">
      <c r="A303" s="83">
        <v>4011002</v>
      </c>
      <c r="B303" s="83" t="s">
        <v>4196</v>
      </c>
      <c r="BD303" s="83">
        <v>70</v>
      </c>
      <c r="BH303" s="83">
        <v>67</v>
      </c>
      <c r="CN303" s="83">
        <v>1.3</v>
      </c>
      <c r="CR303" s="83">
        <v>1.3</v>
      </c>
      <c r="EH303" s="83" t="s">
        <v>1894</v>
      </c>
      <c r="EL303" s="83">
        <v>42.3</v>
      </c>
      <c r="FF303" s="83">
        <v>18.899999999999999</v>
      </c>
      <c r="FO303" s="83">
        <v>108</v>
      </c>
      <c r="GK303" s="83">
        <v>790</v>
      </c>
      <c r="HQ303" s="83">
        <v>4200</v>
      </c>
      <c r="HR303" s="83">
        <v>4000</v>
      </c>
      <c r="HV303" s="83">
        <v>3800</v>
      </c>
      <c r="HY303" s="83">
        <v>4100</v>
      </c>
      <c r="JP303" s="96"/>
      <c r="JQ303" s="83">
        <v>457.8</v>
      </c>
      <c r="JR303" s="83">
        <v>362.4</v>
      </c>
      <c r="JV303" s="83">
        <v>178.2</v>
      </c>
      <c r="JY303" s="83">
        <v>229.8</v>
      </c>
      <c r="NE303" s="96"/>
      <c r="NF303" s="83">
        <v>410.4</v>
      </c>
      <c r="NG303" s="83">
        <v>505.2</v>
      </c>
      <c r="NK303" s="83">
        <v>315</v>
      </c>
      <c r="NN303" s="83">
        <v>502.8</v>
      </c>
      <c r="QT303" s="83">
        <v>109.8</v>
      </c>
      <c r="QU303" s="83">
        <v>109.8</v>
      </c>
      <c r="QY303" s="83">
        <v>205.8</v>
      </c>
      <c r="RB303" s="83">
        <v>218.4</v>
      </c>
      <c r="ZS303" s="83">
        <v>14.8249</v>
      </c>
      <c r="ZT303" s="83">
        <v>13.2135</v>
      </c>
      <c r="ZX303" s="83">
        <v>13.5358</v>
      </c>
      <c r="AAA303" s="83">
        <v>13.37462</v>
      </c>
      <c r="ABL303" s="83">
        <v>0.2072</v>
      </c>
      <c r="ABQ303" s="83">
        <v>0.16209999999999999</v>
      </c>
      <c r="ABT303" s="83">
        <v>0.19819999999999999</v>
      </c>
      <c r="AGF303" s="83">
        <v>189.6</v>
      </c>
      <c r="AGG303" s="83">
        <v>189</v>
      </c>
      <c r="AGK303" s="83">
        <v>325.2</v>
      </c>
      <c r="AGN303" s="83">
        <v>294</v>
      </c>
      <c r="AJO303" s="83">
        <v>1.2330000000000001</v>
      </c>
      <c r="AJP303" s="83">
        <v>1.0407</v>
      </c>
      <c r="AJW303" s="83">
        <v>0.9728</v>
      </c>
      <c r="ANG303" s="83">
        <v>241</v>
      </c>
      <c r="ANH303" s="83">
        <v>180</v>
      </c>
      <c r="ANL303" s="83">
        <v>49</v>
      </c>
      <c r="ANO303" s="83">
        <v>12.9</v>
      </c>
      <c r="ASD303" s="83">
        <v>113000</v>
      </c>
      <c r="ASE303" s="83">
        <v>108000</v>
      </c>
      <c r="ASI303" s="83">
        <v>285000</v>
      </c>
      <c r="ASL303" s="83">
        <v>411000</v>
      </c>
      <c r="AZS303" s="83">
        <v>42</v>
      </c>
      <c r="AZT303" s="83">
        <v>38</v>
      </c>
      <c r="AZX303" s="83">
        <v>40</v>
      </c>
      <c r="BAA303" s="83">
        <v>41</v>
      </c>
      <c r="BLE303" s="83">
        <v>138.72319999999999</v>
      </c>
      <c r="BOA303" s="83">
        <v>38</v>
      </c>
      <c r="BOB303" s="83">
        <v>1</v>
      </c>
      <c r="BOD303" s="83">
        <v>24.7</v>
      </c>
      <c r="BYJ303" s="95"/>
      <c r="BZL303" s="83">
        <v>9000</v>
      </c>
      <c r="BZM303" s="83">
        <v>500</v>
      </c>
      <c r="BZN303" s="83">
        <v>3</v>
      </c>
      <c r="BZQ303" s="83">
        <v>1</v>
      </c>
      <c r="BZS303" s="83">
        <v>7</v>
      </c>
      <c r="BZT303" s="83">
        <v>6</v>
      </c>
      <c r="BZU303" s="83">
        <v>0</v>
      </c>
      <c r="BZV303" s="83">
        <v>0</v>
      </c>
      <c r="CVF303" s="83">
        <v>500</v>
      </c>
      <c r="CVG303" s="83">
        <v>2</v>
      </c>
      <c r="CVJ303" s="83">
        <v>1</v>
      </c>
      <c r="CVK303" s="83">
        <v>3</v>
      </c>
      <c r="CVL303" s="83">
        <v>2</v>
      </c>
      <c r="CVM303" s="83">
        <v>0</v>
      </c>
      <c r="CVN303" s="83">
        <v>0</v>
      </c>
      <c r="EWB303" s="83">
        <v>8</v>
      </c>
      <c r="EWC303" s="83">
        <v>3</v>
      </c>
      <c r="EWF303" s="83">
        <v>1</v>
      </c>
      <c r="EWG303" s="83">
        <v>7</v>
      </c>
      <c r="EWH303" s="83">
        <v>6</v>
      </c>
      <c r="EWI303" s="83">
        <v>0</v>
      </c>
      <c r="EWJ303" s="83">
        <v>0</v>
      </c>
      <c r="GYE303" s="83">
        <v>1</v>
      </c>
      <c r="GYU303" s="83">
        <v>1</v>
      </c>
      <c r="GZN303" s="83">
        <v>1</v>
      </c>
    </row>
    <row r="304" spans="1:1023 1026:3063 3167:4066 4210:4824 5198:5762" s="59" customFormat="1" x14ac:dyDescent="0.25">
      <c r="A304" s="59">
        <v>4900268</v>
      </c>
      <c r="B304" s="60" t="s">
        <v>4196</v>
      </c>
      <c r="BB304" s="59">
        <v>13</v>
      </c>
      <c r="HS304" s="59">
        <v>4612</v>
      </c>
      <c r="JP304" s="76">
        <v>9489</v>
      </c>
      <c r="JT304" s="59">
        <v>4612</v>
      </c>
      <c r="NE304" s="76">
        <v>9593.5</v>
      </c>
      <c r="AKR304" s="64">
        <v>8000</v>
      </c>
      <c r="BOA304" s="59">
        <v>39</v>
      </c>
      <c r="BOC304" s="59">
        <v>1</v>
      </c>
      <c r="BPU304" s="59">
        <v>1</v>
      </c>
      <c r="BWT304" s="59">
        <v>1</v>
      </c>
      <c r="BYJ304" s="65"/>
      <c r="BZL304" s="59">
        <v>0</v>
      </c>
      <c r="BZM304" s="59">
        <v>1000</v>
      </c>
      <c r="BZN304" s="59">
        <v>1</v>
      </c>
      <c r="BZR304" s="59">
        <v>1</v>
      </c>
      <c r="FHV304" s="59">
        <v>100</v>
      </c>
      <c r="FHW304" s="59">
        <v>3</v>
      </c>
      <c r="FHZ304" s="59">
        <v>1</v>
      </c>
      <c r="FIF304" s="59">
        <v>1800</v>
      </c>
      <c r="FIG304" s="59">
        <v>1</v>
      </c>
      <c r="FIJ304" s="59">
        <v>1</v>
      </c>
      <c r="FKY304" s="59">
        <v>15</v>
      </c>
      <c r="FKZ304" s="59">
        <v>1</v>
      </c>
      <c r="FLC304" s="59">
        <v>1</v>
      </c>
      <c r="GWD304" s="59">
        <v>1</v>
      </c>
      <c r="GYE304" s="59">
        <v>1</v>
      </c>
      <c r="GZR304" s="59">
        <v>1</v>
      </c>
      <c r="GZT304" s="59">
        <v>1</v>
      </c>
      <c r="GZZ304" s="59">
        <v>1</v>
      </c>
      <c r="HBN304" s="59">
        <v>1</v>
      </c>
      <c r="HBX304" s="59">
        <v>1</v>
      </c>
    </row>
    <row r="305" spans="1:1011 1037:3059 3260:3948 5342:5484" s="59" customFormat="1" x14ac:dyDescent="0.25">
      <c r="A305" s="59">
        <v>5001097</v>
      </c>
      <c r="B305" s="60" t="s">
        <v>4196</v>
      </c>
      <c r="E305" s="59">
        <v>63</v>
      </c>
      <c r="F305" s="59">
        <v>42</v>
      </c>
      <c r="AX305" s="59">
        <v>100</v>
      </c>
      <c r="BI305" s="59">
        <v>100</v>
      </c>
      <c r="CH305" s="59">
        <v>0.99</v>
      </c>
      <c r="CS305" s="59">
        <v>0.9</v>
      </c>
      <c r="EA305" s="59">
        <v>115</v>
      </c>
      <c r="EM305" s="59">
        <v>21</v>
      </c>
      <c r="GF305" s="59">
        <v>411</v>
      </c>
      <c r="GN305" s="59">
        <v>368</v>
      </c>
      <c r="HI305" s="59">
        <v>12600</v>
      </c>
      <c r="HK305" s="59">
        <v>11500</v>
      </c>
      <c r="HQ305" s="59">
        <v>12400</v>
      </c>
      <c r="HY305" s="59">
        <v>12600</v>
      </c>
      <c r="JI305" s="59">
        <v>22</v>
      </c>
      <c r="JJ305" s="59">
        <v>22</v>
      </c>
      <c r="JP305" s="63"/>
      <c r="JQ305" s="59">
        <v>36</v>
      </c>
      <c r="JU305" s="59">
        <v>18</v>
      </c>
      <c r="JY305" s="59">
        <v>17</v>
      </c>
      <c r="MX305" s="59">
        <v>23</v>
      </c>
      <c r="MY305" s="59">
        <v>22</v>
      </c>
      <c r="NE305" s="63"/>
      <c r="NF305" s="59">
        <v>58</v>
      </c>
      <c r="NJ305" s="59">
        <v>34</v>
      </c>
      <c r="NN305" s="59">
        <v>33</v>
      </c>
      <c r="QL305" s="59">
        <v>95</v>
      </c>
      <c r="QM305" s="59">
        <v>90</v>
      </c>
      <c r="QP305" s="59">
        <v>91</v>
      </c>
      <c r="QT305" s="59">
        <v>159</v>
      </c>
      <c r="QZ305" s="59">
        <v>136</v>
      </c>
      <c r="RB305" s="59">
        <v>116</v>
      </c>
      <c r="TD305" s="59">
        <v>236</v>
      </c>
      <c r="TE305" s="59">
        <v>235</v>
      </c>
      <c r="XH305" s="59">
        <v>18.7</v>
      </c>
      <c r="XI305" s="59">
        <v>18.5</v>
      </c>
      <c r="XS305" s="59">
        <v>24.8</v>
      </c>
      <c r="YJ305" s="59">
        <v>8.9</v>
      </c>
      <c r="YK305" s="59">
        <v>3.5</v>
      </c>
      <c r="YR305" s="59">
        <v>4.5999999999999996</v>
      </c>
      <c r="ZL305" s="59">
        <v>13.7</v>
      </c>
      <c r="ZM305" s="59">
        <v>13.4</v>
      </c>
      <c r="ZS305" s="59">
        <v>13.4</v>
      </c>
      <c r="AAA305" s="59">
        <v>14.3</v>
      </c>
      <c r="ABE305" s="59">
        <v>0.46</v>
      </c>
      <c r="ABP305" s="59">
        <v>0.36</v>
      </c>
      <c r="AFX305" s="59">
        <v>93</v>
      </c>
      <c r="AFY305" s="59">
        <v>84</v>
      </c>
      <c r="AGF305" s="59">
        <v>94</v>
      </c>
      <c r="AGJ305" s="59">
        <v>89</v>
      </c>
      <c r="AGN305" s="59">
        <v>98</v>
      </c>
      <c r="AJG305" s="59">
        <v>1</v>
      </c>
      <c r="AJH305" s="59">
        <v>1</v>
      </c>
      <c r="AJO305" s="59">
        <v>0.9</v>
      </c>
      <c r="AJW305" s="59">
        <v>0.9</v>
      </c>
      <c r="ALR305" s="76">
        <v>171.5</v>
      </c>
      <c r="ALS305" s="63"/>
      <c r="AMZ305" s="59">
        <v>11</v>
      </c>
      <c r="ANC305" s="59">
        <v>3</v>
      </c>
      <c r="ANG305" s="59">
        <v>2</v>
      </c>
      <c r="ANO305" s="59">
        <v>2</v>
      </c>
      <c r="AON305" s="59">
        <v>38</v>
      </c>
      <c r="AQL305" s="59">
        <v>5050000</v>
      </c>
      <c r="AQM305" s="59">
        <v>49800000000</v>
      </c>
      <c r="AQS305" s="59">
        <v>4960000</v>
      </c>
      <c r="ARA305" s="59">
        <v>5220000</v>
      </c>
      <c r="ARW305" s="59">
        <v>312000</v>
      </c>
      <c r="ARX305" s="59">
        <v>371000</v>
      </c>
      <c r="ASD305" s="59">
        <v>385000</v>
      </c>
      <c r="ASL305" s="59">
        <v>371000</v>
      </c>
      <c r="ATP305" s="59">
        <v>60</v>
      </c>
      <c r="ATR305" s="59">
        <v>15</v>
      </c>
      <c r="ATT305" s="59">
        <v>20</v>
      </c>
      <c r="AUG305" s="59">
        <v>1.5</v>
      </c>
      <c r="AUH305" s="59">
        <v>0.7</v>
      </c>
      <c r="AUN305" s="59">
        <v>1.7</v>
      </c>
      <c r="AVA305" s="59">
        <v>69.900000000000006</v>
      </c>
      <c r="AVB305" s="59">
        <v>76.7</v>
      </c>
      <c r="AVI305" s="59">
        <v>67.900000000000006</v>
      </c>
      <c r="AVW305" s="59">
        <v>1.1000000000000001</v>
      </c>
      <c r="AVX305" s="59">
        <v>0.6</v>
      </c>
      <c r="AWC305" s="59">
        <v>1.1000000000000001</v>
      </c>
      <c r="AZL305" s="59">
        <v>40.6</v>
      </c>
      <c r="AZM305" s="59">
        <v>39.9</v>
      </c>
      <c r="AZS305" s="59">
        <v>40</v>
      </c>
      <c r="BAA305" s="59">
        <v>42.4</v>
      </c>
      <c r="BBE305" s="59">
        <v>80.5</v>
      </c>
      <c r="BBF305" s="59">
        <v>80.099999999999994</v>
      </c>
      <c r="BBK305" s="59">
        <v>80.7</v>
      </c>
      <c r="BBR305" s="59">
        <v>81.3</v>
      </c>
      <c r="BCK305" s="59">
        <v>27.2</v>
      </c>
      <c r="BCL305" s="59">
        <v>26.9</v>
      </c>
      <c r="BCQ305" s="59">
        <v>27</v>
      </c>
      <c r="BCX305" s="59">
        <v>27.3</v>
      </c>
      <c r="BDN305" s="59">
        <v>33.700000000000003</v>
      </c>
      <c r="BDO305" s="59">
        <v>33.5</v>
      </c>
      <c r="BDT305" s="59">
        <v>33.4</v>
      </c>
      <c r="BEA305" s="59">
        <v>33.6</v>
      </c>
      <c r="BGG305" s="59">
        <v>141</v>
      </c>
      <c r="BGY305" s="59">
        <v>3.4</v>
      </c>
      <c r="BHA305" s="59">
        <v>4.0999999999999996</v>
      </c>
      <c r="BHE305" s="59">
        <v>4.0999999999999996</v>
      </c>
      <c r="BHM305" s="59">
        <v>3.5</v>
      </c>
      <c r="BIB305" s="59">
        <v>2.4</v>
      </c>
      <c r="BJZ305" s="64">
        <v>345000</v>
      </c>
      <c r="BKZ305" s="76">
        <v>107.5</v>
      </c>
      <c r="BLA305" s="63"/>
      <c r="BLB305" s="63"/>
      <c r="BLC305" s="63"/>
      <c r="BOA305" s="59">
        <v>77</v>
      </c>
      <c r="BOC305" s="59">
        <v>1</v>
      </c>
      <c r="BOD305" s="59">
        <v>24</v>
      </c>
      <c r="BOF305" s="59">
        <v>1</v>
      </c>
      <c r="BOG305" s="59">
        <v>7</v>
      </c>
      <c r="BQC305" s="59">
        <v>1</v>
      </c>
      <c r="BSG305" s="59">
        <v>1</v>
      </c>
      <c r="BUL305" s="59">
        <v>1</v>
      </c>
      <c r="BVB305" s="59">
        <v>1</v>
      </c>
      <c r="BYJ305" s="65"/>
      <c r="BZL305" s="59">
        <v>9000</v>
      </c>
      <c r="BZM305" s="59">
        <v>1500</v>
      </c>
      <c r="BZN305" s="59">
        <v>1</v>
      </c>
      <c r="BZQ305" s="59">
        <v>1</v>
      </c>
      <c r="BZS305" s="59">
        <v>7</v>
      </c>
      <c r="BZT305" s="59">
        <v>6</v>
      </c>
      <c r="BZU305" s="59">
        <v>0</v>
      </c>
      <c r="BZV305" s="59">
        <v>0</v>
      </c>
      <c r="DMM305" s="59">
        <v>5</v>
      </c>
      <c r="DMN305" s="59">
        <v>1</v>
      </c>
      <c r="DMQ305" s="59">
        <v>1</v>
      </c>
      <c r="EEL305" s="59">
        <v>10</v>
      </c>
      <c r="EEM305" s="59">
        <v>1</v>
      </c>
      <c r="EEP305" s="59">
        <v>1</v>
      </c>
      <c r="EQR305" s="59">
        <v>20</v>
      </c>
      <c r="EQS305" s="59">
        <v>1</v>
      </c>
      <c r="EQV305" s="59">
        <v>1</v>
      </c>
      <c r="EQW305" s="69">
        <v>999</v>
      </c>
      <c r="EQX305" s="59">
        <v>7</v>
      </c>
      <c r="EQY305" s="59">
        <v>0</v>
      </c>
      <c r="EQZ305" s="59">
        <v>999</v>
      </c>
    </row>
    <row r="306" spans="1:1011 1037:3059 3260:3948 5342:5484" s="59" customFormat="1" x14ac:dyDescent="0.25">
      <c r="A306" s="59">
        <v>5001098</v>
      </c>
      <c r="B306" s="60" t="s">
        <v>4196</v>
      </c>
      <c r="C306" s="59">
        <v>24</v>
      </c>
      <c r="E306" s="59">
        <v>16</v>
      </c>
      <c r="AU306" s="59">
        <v>100</v>
      </c>
      <c r="CE306" s="59">
        <v>0.88</v>
      </c>
      <c r="DX306" s="59">
        <v>22</v>
      </c>
      <c r="GC306" s="59">
        <v>435</v>
      </c>
      <c r="HE306" s="59">
        <v>18400</v>
      </c>
      <c r="HH306" s="59">
        <v>13600</v>
      </c>
      <c r="HI306" s="59">
        <v>15900</v>
      </c>
      <c r="JE306" s="59">
        <v>64</v>
      </c>
      <c r="JH306" s="59">
        <v>53</v>
      </c>
      <c r="JI306" s="59">
        <v>54</v>
      </c>
      <c r="JL306" s="59">
        <v>57</v>
      </c>
      <c r="JQ306" s="59">
        <v>57</v>
      </c>
      <c r="MT306" s="59">
        <v>73</v>
      </c>
      <c r="MW306" s="59">
        <v>69</v>
      </c>
      <c r="MX306" s="59">
        <v>72</v>
      </c>
      <c r="NA306" s="59">
        <v>82</v>
      </c>
      <c r="NF306" s="59">
        <v>86</v>
      </c>
      <c r="QH306" s="59">
        <v>224</v>
      </c>
      <c r="QK306" s="59">
        <v>231</v>
      </c>
      <c r="QL306" s="59">
        <v>249</v>
      </c>
      <c r="QO306" s="59">
        <v>301</v>
      </c>
      <c r="QT306" s="59">
        <v>378</v>
      </c>
      <c r="TB306" s="59">
        <v>195</v>
      </c>
      <c r="TD306" s="59">
        <v>152</v>
      </c>
      <c r="TL306" s="59">
        <v>171</v>
      </c>
      <c r="XF306" s="59">
        <v>12.5</v>
      </c>
      <c r="XH306" s="59">
        <v>22</v>
      </c>
      <c r="YI306" s="59">
        <v>5.9</v>
      </c>
      <c r="YJ306" s="59">
        <v>7.6</v>
      </c>
      <c r="ZI306" s="59">
        <v>14.3</v>
      </c>
      <c r="ZK306" s="59">
        <v>14.1</v>
      </c>
      <c r="ZL306" s="59">
        <v>14.1</v>
      </c>
      <c r="ABC306" s="59">
        <v>0.41</v>
      </c>
      <c r="ABD306" s="59">
        <v>0.46</v>
      </c>
      <c r="ABG306" s="59">
        <v>0.52</v>
      </c>
      <c r="AFU306" s="59">
        <v>159</v>
      </c>
      <c r="AFW306" s="59">
        <v>142</v>
      </c>
      <c r="AFX306" s="59">
        <v>138</v>
      </c>
      <c r="AGA306" s="59">
        <v>137</v>
      </c>
      <c r="AGF306" s="59">
        <v>131</v>
      </c>
      <c r="AJD306" s="59">
        <v>1</v>
      </c>
      <c r="AJE306" s="59">
        <v>1</v>
      </c>
      <c r="AJG306" s="59">
        <v>0.9</v>
      </c>
      <c r="ALQ306" s="59">
        <v>267</v>
      </c>
      <c r="ALW306" s="59">
        <v>252</v>
      </c>
      <c r="AMW306" s="59">
        <v>45</v>
      </c>
      <c r="AMY306" s="59">
        <v>10</v>
      </c>
      <c r="AMZ306" s="59">
        <v>5</v>
      </c>
      <c r="AQI306" s="59">
        <v>49000000000</v>
      </c>
      <c r="AQK306" s="59">
        <v>4880000</v>
      </c>
      <c r="AQL306" s="59">
        <v>48200000000</v>
      </c>
      <c r="ARS306" s="59">
        <v>437000</v>
      </c>
      <c r="ARV306" s="59">
        <v>452000</v>
      </c>
      <c r="ARW306" s="59">
        <v>449000</v>
      </c>
      <c r="ATO306" s="59">
        <v>56</v>
      </c>
      <c r="ATP306" s="59">
        <v>64</v>
      </c>
      <c r="AUE306" s="59">
        <v>1.5</v>
      </c>
      <c r="AUG306" s="59">
        <v>0.4</v>
      </c>
      <c r="AUY306" s="59">
        <v>79.8</v>
      </c>
      <c r="AVA306" s="59">
        <v>69.400000000000006</v>
      </c>
      <c r="AVU306" s="59">
        <v>0.4</v>
      </c>
      <c r="AVW306" s="59">
        <v>0.6</v>
      </c>
      <c r="AZI306" s="59">
        <v>41.8</v>
      </c>
      <c r="AZK306" s="59">
        <v>41.6</v>
      </c>
      <c r="AZL306" s="59">
        <v>41.1</v>
      </c>
      <c r="BBA306" s="59">
        <v>85.2</v>
      </c>
      <c r="BBD306" s="59">
        <v>85.3</v>
      </c>
      <c r="BBE306" s="59">
        <v>85.2</v>
      </c>
      <c r="BCH306" s="59">
        <v>29.3</v>
      </c>
      <c r="BCJ306" s="59">
        <v>28.8</v>
      </c>
      <c r="BCK306" s="59">
        <v>29.2</v>
      </c>
      <c r="BDK306" s="59">
        <v>34.299999999999997</v>
      </c>
      <c r="BDM306" s="59">
        <v>33.799999999999997</v>
      </c>
      <c r="BDN306" s="59">
        <v>34.200000000000003</v>
      </c>
      <c r="BFS306" s="59">
        <v>137</v>
      </c>
      <c r="BGU306" s="59">
        <v>3.7</v>
      </c>
      <c r="BGX306" s="59">
        <v>4.2</v>
      </c>
      <c r="BGY306" s="59">
        <v>4.2</v>
      </c>
      <c r="BHY306" s="59">
        <v>2.5</v>
      </c>
      <c r="BJY306" s="59">
        <v>109</v>
      </c>
      <c r="BKY306" s="59">
        <v>142</v>
      </c>
      <c r="BOA306" s="59">
        <v>53</v>
      </c>
      <c r="BOC306" s="59">
        <v>1</v>
      </c>
      <c r="BOD306" s="59">
        <v>30.5</v>
      </c>
      <c r="BQB306" s="59">
        <v>1</v>
      </c>
      <c r="BSG306" s="59">
        <v>1</v>
      </c>
      <c r="BSZ306" s="59">
        <v>1</v>
      </c>
      <c r="BUT306" s="59">
        <v>1</v>
      </c>
      <c r="BYJ306" s="65"/>
      <c r="BZL306" s="59">
        <v>19500</v>
      </c>
      <c r="BZM306" s="59">
        <v>1500</v>
      </c>
      <c r="BZN306" s="59">
        <v>1</v>
      </c>
      <c r="BZQ306" s="59">
        <v>1</v>
      </c>
      <c r="BZS306" s="59">
        <v>13</v>
      </c>
      <c r="BZT306" s="59">
        <v>13</v>
      </c>
      <c r="BZU306" s="59">
        <v>1</v>
      </c>
      <c r="BZV306" s="59">
        <v>0</v>
      </c>
      <c r="CHE306" s="63">
        <v>300</v>
      </c>
      <c r="CHF306" s="59">
        <v>1</v>
      </c>
      <c r="CHI306" s="59">
        <v>1</v>
      </c>
      <c r="DMM306" s="59">
        <v>5</v>
      </c>
      <c r="DMN306" s="59">
        <v>1</v>
      </c>
      <c r="DMQ306" s="59">
        <v>1</v>
      </c>
      <c r="EEL306" s="59">
        <v>30</v>
      </c>
      <c r="EEM306" s="59">
        <v>1</v>
      </c>
      <c r="EEP306" s="59">
        <v>1</v>
      </c>
      <c r="EEQ306" s="69">
        <v>999</v>
      </c>
      <c r="EER306" s="59">
        <v>11</v>
      </c>
      <c r="EES306" s="59">
        <v>0</v>
      </c>
      <c r="EET306" s="59">
        <v>999</v>
      </c>
    </row>
    <row r="307" spans="1:1011 1037:3059 3260:3948 5342:5484" s="59" customFormat="1" x14ac:dyDescent="0.25">
      <c r="A307" s="59">
        <v>5006152</v>
      </c>
      <c r="B307" s="60" t="s">
        <v>4196</v>
      </c>
      <c r="M307" s="59">
        <v>234</v>
      </c>
      <c r="AZ307" s="59">
        <v>110</v>
      </c>
      <c r="BD307" s="59">
        <v>33</v>
      </c>
      <c r="CN307" s="59">
        <v>1.98</v>
      </c>
      <c r="EE307" s="59">
        <v>25.4</v>
      </c>
      <c r="EH307" s="59">
        <v>50.7</v>
      </c>
      <c r="GG307" s="59">
        <v>472</v>
      </c>
      <c r="GK307" s="59">
        <v>285</v>
      </c>
      <c r="HN307" s="59">
        <v>16950</v>
      </c>
      <c r="HR307" s="59">
        <v>16450</v>
      </c>
      <c r="JN307" s="59">
        <v>22.8</v>
      </c>
      <c r="JR307" s="59">
        <v>7231.8</v>
      </c>
      <c r="NC307" s="59">
        <v>27</v>
      </c>
      <c r="NG307" s="59">
        <v>4365</v>
      </c>
      <c r="TM307" s="64">
        <v>8397.6</v>
      </c>
      <c r="ABI307" s="59">
        <v>9.0499999999999997E-2</v>
      </c>
      <c r="ABM307" s="59">
        <v>0.20699999999999999</v>
      </c>
      <c r="AES307" s="59">
        <v>7.67</v>
      </c>
      <c r="AGE307" s="59">
        <v>90</v>
      </c>
      <c r="AGG307" s="59">
        <v>172.2</v>
      </c>
      <c r="AJL307" s="59">
        <v>0.70130000000000003</v>
      </c>
      <c r="AJP307" s="59">
        <v>1.9796</v>
      </c>
      <c r="AKV307" s="59">
        <v>16.2</v>
      </c>
      <c r="ALT307" s="59">
        <v>27</v>
      </c>
      <c r="AOQ307" s="59">
        <v>61.424199999999999</v>
      </c>
      <c r="AOU307" s="59">
        <v>119.2285</v>
      </c>
      <c r="AQP307" s="59">
        <v>5180000</v>
      </c>
      <c r="AQT307" s="59">
        <v>3260000</v>
      </c>
      <c r="ASA307" s="59">
        <v>305000</v>
      </c>
      <c r="ASE307" s="59">
        <v>86000</v>
      </c>
      <c r="AZP307" s="59">
        <v>47</v>
      </c>
      <c r="AZT307" s="59">
        <v>31</v>
      </c>
      <c r="BBH307" s="59">
        <v>90.5</v>
      </c>
      <c r="BBL307" s="59">
        <v>35.4</v>
      </c>
      <c r="BCN307" s="59">
        <v>30.133199999999999</v>
      </c>
      <c r="BCR307" s="59">
        <v>29.649799999999999</v>
      </c>
      <c r="BFV307" s="59">
        <v>133.80000000000001</v>
      </c>
      <c r="BFZ307" s="59">
        <v>142.69999999999999</v>
      </c>
      <c r="BHB307" s="59">
        <v>4.55</v>
      </c>
      <c r="BHF307" s="59">
        <v>5.98</v>
      </c>
      <c r="BJK307" s="59">
        <v>104</v>
      </c>
      <c r="BLB307" s="59">
        <v>119.08580000000001</v>
      </c>
      <c r="BLF307" s="59">
        <v>41.076500000000003</v>
      </c>
      <c r="BOA307" s="59">
        <v>76</v>
      </c>
      <c r="BOC307" s="59">
        <v>1</v>
      </c>
      <c r="BOD307" s="59">
        <v>21.23</v>
      </c>
      <c r="BOE307" s="59">
        <v>1</v>
      </c>
      <c r="BOG307" s="59">
        <v>3</v>
      </c>
      <c r="BSG307" s="59">
        <v>1</v>
      </c>
      <c r="BSR307" s="59">
        <v>1</v>
      </c>
      <c r="BUE307" s="59">
        <v>1</v>
      </c>
      <c r="BWF307" s="59">
        <v>1</v>
      </c>
      <c r="BWG307" s="59">
        <v>1</v>
      </c>
      <c r="BXY307" s="59">
        <v>1</v>
      </c>
      <c r="BYJ307" s="65"/>
      <c r="BZL307" s="59">
        <v>4000</v>
      </c>
      <c r="BZM307" s="59">
        <v>2000</v>
      </c>
      <c r="BZN307" s="59">
        <v>1</v>
      </c>
      <c r="BZO307" s="59">
        <v>1</v>
      </c>
      <c r="BZS307" s="59">
        <v>3</v>
      </c>
      <c r="BZT307" s="59">
        <v>2</v>
      </c>
      <c r="BZU307" s="59">
        <v>0</v>
      </c>
      <c r="BZV307" s="59">
        <v>0</v>
      </c>
      <c r="CEU307" s="59">
        <v>15</v>
      </c>
      <c r="CEV307" s="59">
        <v>1</v>
      </c>
      <c r="CEY307" s="59">
        <v>1</v>
      </c>
      <c r="CFA307" s="59">
        <v>2</v>
      </c>
      <c r="CFB307" s="59">
        <v>2</v>
      </c>
      <c r="CFC307" s="59">
        <v>1</v>
      </c>
      <c r="CFD307" s="59">
        <v>0</v>
      </c>
      <c r="CKR307" s="59">
        <v>10</v>
      </c>
      <c r="CKS307" s="59">
        <v>1</v>
      </c>
      <c r="CKT307" s="59">
        <v>1</v>
      </c>
      <c r="CKW307" s="59">
        <v>1</v>
      </c>
      <c r="CKX307" s="59">
        <v>0</v>
      </c>
      <c r="CKY307" s="59">
        <v>0</v>
      </c>
      <c r="CKZ307" s="59">
        <v>0</v>
      </c>
      <c r="DBP307" s="59">
        <v>1</v>
      </c>
      <c r="DBS307" s="59">
        <v>1</v>
      </c>
      <c r="DBT307" s="68">
        <v>999</v>
      </c>
      <c r="DBU307" s="59">
        <v>999</v>
      </c>
      <c r="DBV307" s="59">
        <v>1</v>
      </c>
      <c r="DBW307" s="59">
        <v>0</v>
      </c>
      <c r="DCN307" s="59">
        <v>1</v>
      </c>
      <c r="DCO307" s="59">
        <v>1</v>
      </c>
      <c r="DCP307" s="59">
        <v>0</v>
      </c>
      <c r="DCQ307" s="59">
        <v>0</v>
      </c>
      <c r="DCR307" s="59">
        <v>0</v>
      </c>
      <c r="DDF307" s="63">
        <v>40</v>
      </c>
      <c r="DDG307" s="59">
        <v>2</v>
      </c>
      <c r="DDJ307" s="59">
        <v>1</v>
      </c>
      <c r="DDK307" s="68">
        <v>999</v>
      </c>
      <c r="DDL307" s="59">
        <v>999</v>
      </c>
      <c r="DDM307" s="59">
        <v>1</v>
      </c>
      <c r="DDN307" s="59">
        <v>0</v>
      </c>
      <c r="DUJ307" s="59">
        <v>2</v>
      </c>
      <c r="DUM307" s="59">
        <v>1</v>
      </c>
      <c r="DUN307" s="68">
        <v>999</v>
      </c>
      <c r="DUO307" s="59">
        <v>999</v>
      </c>
      <c r="DUP307" s="59">
        <v>1</v>
      </c>
      <c r="DUQ307" s="59">
        <v>0</v>
      </c>
      <c r="EEL307" s="59">
        <v>7.5</v>
      </c>
      <c r="EEM307" s="59">
        <v>1</v>
      </c>
      <c r="EEP307" s="59">
        <v>1</v>
      </c>
      <c r="EEQ307" s="68">
        <v>999</v>
      </c>
      <c r="EER307" s="59">
        <v>999</v>
      </c>
      <c r="EES307" s="59">
        <v>1</v>
      </c>
      <c r="EET307" s="59">
        <v>0</v>
      </c>
      <c r="EUN307" s="59">
        <v>600</v>
      </c>
      <c r="EUO307" s="59">
        <v>7</v>
      </c>
      <c r="EUR307" s="59">
        <v>1</v>
      </c>
      <c r="EUS307" s="68">
        <v>999</v>
      </c>
      <c r="EUT307" s="59">
        <v>999</v>
      </c>
      <c r="EUU307" s="59">
        <v>1</v>
      </c>
      <c r="EUV307" s="59">
        <v>0</v>
      </c>
      <c r="GWL307" s="59">
        <v>1</v>
      </c>
      <c r="HAU307" s="59">
        <v>1</v>
      </c>
      <c r="HBP307" s="59">
        <v>1</v>
      </c>
      <c r="HBX307" s="59">
        <v>1</v>
      </c>
    </row>
    <row r="308" spans="1:1011 1037:3059 3260:3948 5342:5484" s="59" customFormat="1" x14ac:dyDescent="0.25">
      <c r="A308" s="85">
        <v>5011824</v>
      </c>
      <c r="B308" s="60" t="s">
        <v>4196</v>
      </c>
      <c r="BYJ308" s="65"/>
    </row>
    <row r="309" spans="1:1011 1037:3059 3260:3948 5342:5484" s="59" customFormat="1" x14ac:dyDescent="0.25">
      <c r="A309" s="59">
        <v>5016179</v>
      </c>
      <c r="B309" s="60" t="s">
        <v>4196</v>
      </c>
      <c r="BYJ309" s="65"/>
    </row>
    <row r="310" spans="1:1011 1037:3059 3260:3948 5342:5484" s="59" customFormat="1" x14ac:dyDescent="0.25">
      <c r="A310" s="59">
        <v>5018677</v>
      </c>
      <c r="B310" s="60" t="s">
        <v>4196</v>
      </c>
      <c r="BYJ310" s="65"/>
    </row>
    <row r="311" spans="1:1011 1037:3059 3260:3948 5342:5484" s="59" customFormat="1" x14ac:dyDescent="0.25">
      <c r="A311" s="59">
        <v>8012361</v>
      </c>
      <c r="B311" s="60" t="s">
        <v>4196</v>
      </c>
      <c r="BYJ311" s="65"/>
    </row>
    <row r="312" spans="1:1011 1037:3059 3260:3948 5342:5484" s="59" customFormat="1" x14ac:dyDescent="0.25">
      <c r="A312" s="59">
        <v>7079011</v>
      </c>
      <c r="B312" s="60" t="s">
        <v>4196</v>
      </c>
      <c r="BYJ312" s="65"/>
    </row>
    <row r="313" spans="1:1011 1037:3059 3260:3948 5342:5484" s="59" customFormat="1" x14ac:dyDescent="0.25">
      <c r="A313" s="59">
        <v>8055349</v>
      </c>
      <c r="B313" s="60" t="s">
        <v>4196</v>
      </c>
      <c r="BYJ313" s="65"/>
    </row>
    <row r="314" spans="1:1011 1037:3059 3260:3948 5342:5484" s="59" customFormat="1" x14ac:dyDescent="0.25">
      <c r="A314" s="59">
        <v>8135416</v>
      </c>
      <c r="B314" s="60" t="s">
        <v>4196</v>
      </c>
      <c r="BYJ314" s="65"/>
    </row>
    <row r="315" spans="1:1011 1037:3059 3260:3948 5342:5484" s="59" customFormat="1" x14ac:dyDescent="0.25">
      <c r="A315" s="59">
        <v>93018945</v>
      </c>
      <c r="B315" s="60" t="s">
        <v>4196</v>
      </c>
      <c r="BYJ315" s="65"/>
    </row>
    <row r="316" spans="1:1011 1037:3059 3260:3948 5342:5484" s="59" customFormat="1" x14ac:dyDescent="0.25">
      <c r="A316" s="59">
        <v>94009028</v>
      </c>
      <c r="B316" s="60" t="s">
        <v>4196</v>
      </c>
      <c r="BYJ316" s="65"/>
    </row>
    <row r="317" spans="1:1011 1037:3059 3260:3948 5342:5484" s="59" customFormat="1" x14ac:dyDescent="0.25">
      <c r="A317" s="59">
        <v>95005907</v>
      </c>
      <c r="B317" s="60" t="s">
        <v>4196</v>
      </c>
      <c r="BYJ317" s="65"/>
    </row>
    <row r="318" spans="1:1011 1037:3059 3260:3948 5342:5484" s="59" customFormat="1" x14ac:dyDescent="0.25">
      <c r="A318" s="59">
        <v>95900164</v>
      </c>
      <c r="B318" s="60" t="s">
        <v>4196</v>
      </c>
      <c r="BYJ318" s="65"/>
    </row>
    <row r="319" spans="1:1011 1037:3059 3260:3948 5342:5484" s="59" customFormat="1" x14ac:dyDescent="0.25">
      <c r="A319" s="59">
        <v>96015811</v>
      </c>
      <c r="B319" s="60" t="s">
        <v>4196</v>
      </c>
      <c r="BYJ319" s="65"/>
    </row>
    <row r="320" spans="1:1011 1037:3059 3260:3948 5342:5484" s="59" customFormat="1" x14ac:dyDescent="0.25">
      <c r="A320" s="59">
        <v>97001240</v>
      </c>
      <c r="B320" s="60" t="s">
        <v>4196</v>
      </c>
      <c r="BYJ320" s="65"/>
    </row>
    <row r="321" spans="1:1015 1043:3026 3459:3716 4124:5049 5350:5770" s="59" customFormat="1" x14ac:dyDescent="0.25">
      <c r="A321" s="59">
        <v>97005366</v>
      </c>
      <c r="B321" s="60" t="s">
        <v>4196</v>
      </c>
      <c r="BYJ321" s="65"/>
    </row>
    <row r="322" spans="1:1015 1043:3026 3459:3716 4124:5049 5350:5770" s="59" customFormat="1" x14ac:dyDescent="0.25">
      <c r="A322" s="59">
        <v>98000595</v>
      </c>
      <c r="B322" s="60" t="s">
        <v>4196</v>
      </c>
      <c r="BYJ322" s="65"/>
    </row>
    <row r="323" spans="1:1015 1043:3026 3459:3716 4124:5049 5350:5770" s="59" customFormat="1" x14ac:dyDescent="0.25">
      <c r="A323" s="108">
        <v>98002692</v>
      </c>
      <c r="B323" s="60" t="s">
        <v>4196</v>
      </c>
      <c r="BYJ323" s="65"/>
    </row>
    <row r="324" spans="1:1015 1043:3026 3459:3716 4124:5049 5350:5770" s="59" customFormat="1" x14ac:dyDescent="0.25">
      <c r="A324" s="59">
        <v>98005277</v>
      </c>
      <c r="B324" s="60" t="s">
        <v>4196</v>
      </c>
      <c r="HP324" s="59">
        <v>17600</v>
      </c>
      <c r="JQ324" s="59">
        <v>41</v>
      </c>
      <c r="JR324" s="59">
        <v>84</v>
      </c>
      <c r="JV324" s="59">
        <v>36</v>
      </c>
      <c r="NF324" s="59">
        <v>23</v>
      </c>
      <c r="NG324" s="59">
        <v>55</v>
      </c>
      <c r="NK324" s="59">
        <v>32</v>
      </c>
      <c r="QS324" s="59">
        <v>12</v>
      </c>
      <c r="VM324" s="59">
        <v>134</v>
      </c>
      <c r="WD324" s="59">
        <v>130</v>
      </c>
      <c r="XK324" s="59">
        <v>70</v>
      </c>
      <c r="ZR324" s="59">
        <v>13.6</v>
      </c>
      <c r="AFA324" s="59">
        <v>7.1</v>
      </c>
      <c r="AGE324" s="59">
        <v>191</v>
      </c>
      <c r="AGH324" s="59">
        <v>154</v>
      </c>
      <c r="AJN324" s="59">
        <v>0.3</v>
      </c>
      <c r="AKX324" s="59">
        <v>70</v>
      </c>
      <c r="ALV324" s="59">
        <v>55</v>
      </c>
      <c r="ANF324" s="77" t="s">
        <v>640</v>
      </c>
      <c r="AOS324" s="59">
        <v>4</v>
      </c>
      <c r="APT324" s="59">
        <v>3.4</v>
      </c>
      <c r="ASC324" s="59">
        <v>495000</v>
      </c>
      <c r="ATQ324" s="59">
        <v>2</v>
      </c>
      <c r="AUI324" s="59">
        <v>10</v>
      </c>
      <c r="AVC324" s="59">
        <v>18</v>
      </c>
      <c r="AZR324" s="59">
        <v>39.6</v>
      </c>
      <c r="BDS324" s="59">
        <v>34.299999999999997</v>
      </c>
      <c r="BLD324" s="59">
        <v>142</v>
      </c>
      <c r="BNA324" s="59">
        <v>20</v>
      </c>
      <c r="BND324" s="59">
        <v>2</v>
      </c>
      <c r="BNL324" s="59">
        <v>0</v>
      </c>
      <c r="BNS324" s="59">
        <v>36</v>
      </c>
      <c r="BNZ324" s="59">
        <v>1</v>
      </c>
      <c r="BOC324" s="59">
        <v>1</v>
      </c>
      <c r="BYJ324" s="65"/>
      <c r="BZQ324" s="59">
        <v>1</v>
      </c>
    </row>
    <row r="325" spans="1:1015 1043:3026 3459:3716 4124:5049 5350:5770" s="59" customFormat="1" ht="13.5" customHeight="1" x14ac:dyDescent="0.25">
      <c r="A325" s="108">
        <v>99001815</v>
      </c>
      <c r="B325" s="60" t="s">
        <v>4196</v>
      </c>
      <c r="BYJ325" s="65"/>
    </row>
    <row r="326" spans="1:1015 1043:3026 3459:3716 4124:5049 5350:5770" s="83" customFormat="1" x14ac:dyDescent="0.25">
      <c r="A326" s="96">
        <v>6012361</v>
      </c>
      <c r="B326" s="83" t="s">
        <v>4196</v>
      </c>
      <c r="HP326" s="83">
        <v>28000</v>
      </c>
      <c r="JS326" s="83">
        <v>147.6</v>
      </c>
      <c r="JT326" s="83">
        <v>126</v>
      </c>
      <c r="NH326" s="83">
        <v>594</v>
      </c>
      <c r="NI326" s="83">
        <v>408</v>
      </c>
      <c r="NW326" s="83">
        <v>78</v>
      </c>
      <c r="QV326" s="96">
        <v>1051.2</v>
      </c>
      <c r="QW326" s="83">
        <v>936.6</v>
      </c>
      <c r="RK326" s="83">
        <v>96</v>
      </c>
      <c r="ABN326" s="83">
        <v>2.4556</v>
      </c>
      <c r="ABO326" s="83">
        <v>2.0756000000000001</v>
      </c>
      <c r="ADQ326" s="83">
        <v>1.754</v>
      </c>
      <c r="ADR326" s="83">
        <v>1.3797999999999999</v>
      </c>
      <c r="AGH326" s="83">
        <v>237</v>
      </c>
      <c r="AJN326" s="83">
        <v>1.8099000000000001</v>
      </c>
      <c r="ALV326" s="83">
        <v>138</v>
      </c>
      <c r="ANJ326" s="83">
        <v>315</v>
      </c>
      <c r="ANX326" s="83">
        <v>100</v>
      </c>
      <c r="BJR326" s="83">
        <v>77</v>
      </c>
      <c r="BOA326" s="83">
        <v>49</v>
      </c>
      <c r="BOB326" s="83">
        <v>1</v>
      </c>
      <c r="BOD326" s="83">
        <v>37.520000000000003</v>
      </c>
      <c r="BOF326" s="83">
        <v>1</v>
      </c>
      <c r="BOL326" s="105">
        <v>1</v>
      </c>
      <c r="BPX326" s="83">
        <v>1</v>
      </c>
      <c r="BSG326" s="83">
        <v>1</v>
      </c>
      <c r="BXF326" s="83">
        <v>1</v>
      </c>
      <c r="BYJ326" s="95"/>
      <c r="BZL326" s="83">
        <v>6000</v>
      </c>
      <c r="BZM326" s="83">
        <v>500</v>
      </c>
      <c r="BZN326" s="83">
        <v>3</v>
      </c>
      <c r="BZQ326" s="83">
        <v>1</v>
      </c>
      <c r="BZS326" s="83">
        <v>4</v>
      </c>
      <c r="DJK326" s="83">
        <v>5</v>
      </c>
      <c r="DJL326" s="83">
        <v>1</v>
      </c>
      <c r="DLI326" s="83">
        <v>0.2</v>
      </c>
      <c r="DLJ326" s="83">
        <v>1</v>
      </c>
      <c r="ECA326" s="83">
        <v>80</v>
      </c>
      <c r="ECB326" s="83">
        <v>0.14285714285714199</v>
      </c>
      <c r="ECE326" s="83">
        <v>1</v>
      </c>
      <c r="ECF326" s="83">
        <v>29</v>
      </c>
      <c r="ECG326" s="83">
        <v>26</v>
      </c>
      <c r="ECH326" s="83">
        <v>0</v>
      </c>
      <c r="ECI326" s="83">
        <v>2</v>
      </c>
      <c r="GZU326" s="83">
        <v>1</v>
      </c>
      <c r="GZY326" s="83">
        <v>1</v>
      </c>
      <c r="HAO326" s="83">
        <v>1</v>
      </c>
      <c r="HBW326" s="83">
        <v>1</v>
      </c>
      <c r="HCB326" s="83">
        <v>1</v>
      </c>
      <c r="HCD326" s="83">
        <v>1</v>
      </c>
      <c r="HCE326" s="83">
        <v>1</v>
      </c>
      <c r="HCJ326" s="83">
        <v>1</v>
      </c>
      <c r="HCT326" s="83">
        <v>1</v>
      </c>
      <c r="HCU326" s="83">
        <v>1</v>
      </c>
      <c r="HDA326" s="83">
        <v>1</v>
      </c>
      <c r="HDF326" s="83">
        <v>1</v>
      </c>
      <c r="HMP326" s="83">
        <v>1</v>
      </c>
      <c r="HMS326" s="83">
        <v>1</v>
      </c>
    </row>
    <row r="327" spans="1:1015 1043:3026 3459:3716 4124:5049 5350:5770" s="83" customFormat="1" x14ac:dyDescent="0.25">
      <c r="A327" s="96">
        <v>6015793</v>
      </c>
      <c r="B327" s="83" t="s">
        <v>4196</v>
      </c>
      <c r="BA327" s="83">
        <v>90</v>
      </c>
      <c r="BC327" s="83">
        <v>54</v>
      </c>
      <c r="BD327" s="83">
        <v>53</v>
      </c>
      <c r="BG327" s="83">
        <v>74</v>
      </c>
      <c r="HO327" s="83">
        <v>8000</v>
      </c>
      <c r="HQ327" s="83">
        <v>7200</v>
      </c>
      <c r="HR327" s="83">
        <v>6500</v>
      </c>
      <c r="HS327" s="83">
        <v>3610</v>
      </c>
      <c r="HT327" s="83">
        <v>3550</v>
      </c>
      <c r="HU327" s="83">
        <v>6400</v>
      </c>
      <c r="JO327" s="83">
        <v>31</v>
      </c>
      <c r="JQ327" s="83">
        <v>4875</v>
      </c>
      <c r="JR327" s="83">
        <v>1371</v>
      </c>
      <c r="JU327" s="83">
        <v>98</v>
      </c>
      <c r="NF327" s="83">
        <v>4937</v>
      </c>
      <c r="NG327" s="83">
        <v>3826</v>
      </c>
      <c r="NJ327" s="83">
        <v>905</v>
      </c>
      <c r="QT327" s="83">
        <v>363</v>
      </c>
      <c r="QU327" s="83">
        <v>415</v>
      </c>
      <c r="QX327" s="83">
        <v>438</v>
      </c>
      <c r="ABJ327" s="83">
        <v>2.2000000000000002</v>
      </c>
      <c r="ABL327" s="83">
        <v>2.11</v>
      </c>
      <c r="ABM327" s="83">
        <v>1.73</v>
      </c>
      <c r="ABP327" s="83">
        <v>1.28</v>
      </c>
      <c r="ALU327" s="83">
        <v>121</v>
      </c>
      <c r="ALW327" s="83">
        <v>520</v>
      </c>
      <c r="ALX327" s="83">
        <v>449</v>
      </c>
      <c r="AMA327" s="102">
        <v>1.091</v>
      </c>
      <c r="ANE327" s="83">
        <v>183</v>
      </c>
      <c r="ANG327" s="83">
        <v>260</v>
      </c>
      <c r="ANH327" s="83">
        <v>139</v>
      </c>
      <c r="ANK327" s="83">
        <v>41</v>
      </c>
      <c r="BOA327" s="83">
        <v>67</v>
      </c>
      <c r="BOB327" s="83">
        <v>1</v>
      </c>
      <c r="BOD327" s="83">
        <v>29.39</v>
      </c>
      <c r="BOE327" s="83">
        <v>1</v>
      </c>
      <c r="BON327" s="105">
        <v>1</v>
      </c>
      <c r="BOO327" s="96"/>
      <c r="BQB327" s="83">
        <v>1</v>
      </c>
      <c r="BSG327" s="83">
        <v>1</v>
      </c>
      <c r="BTM327" s="83">
        <v>1</v>
      </c>
      <c r="BUE327" s="83">
        <v>1</v>
      </c>
      <c r="BUH327" s="83">
        <v>1</v>
      </c>
      <c r="BUI327" s="83">
        <v>1</v>
      </c>
      <c r="BYJ327" s="95"/>
      <c r="BZL327" s="83">
        <v>1</v>
      </c>
      <c r="BZM327" s="83">
        <v>1</v>
      </c>
      <c r="BZN327" s="83">
        <v>1</v>
      </c>
      <c r="BZO327" s="83">
        <v>1</v>
      </c>
      <c r="BZS327" s="83">
        <v>2</v>
      </c>
      <c r="BZT327" s="83">
        <v>1</v>
      </c>
      <c r="BZU327" s="83">
        <v>0</v>
      </c>
      <c r="BZV327" s="83">
        <v>0</v>
      </c>
      <c r="HBX327" s="83">
        <v>1</v>
      </c>
    </row>
    <row r="328" spans="1:1015 1043:3026 3459:3716 4124:5049 5350:5770" s="59" customFormat="1" x14ac:dyDescent="0.25">
      <c r="A328" s="63">
        <v>6043619</v>
      </c>
      <c r="B328" s="60" t="s">
        <v>4196</v>
      </c>
      <c r="JQ328" s="59">
        <v>3306.6</v>
      </c>
      <c r="NF328" s="59">
        <v>5887.2</v>
      </c>
      <c r="QT328" s="59">
        <v>274.8</v>
      </c>
      <c r="AGF328" s="59">
        <v>307.8</v>
      </c>
      <c r="BOA328" s="59">
        <v>50</v>
      </c>
      <c r="BOC328" s="59">
        <v>1</v>
      </c>
      <c r="BOD328" s="59">
        <v>33.97</v>
      </c>
      <c r="BOG328" s="59">
        <v>5</v>
      </c>
      <c r="BON328" s="86">
        <v>1</v>
      </c>
      <c r="BOO328" s="63"/>
      <c r="BRW328" s="59">
        <v>1</v>
      </c>
      <c r="BYJ328" s="65"/>
      <c r="BZL328" s="59">
        <v>16000</v>
      </c>
      <c r="BZM328" s="59">
        <v>4000</v>
      </c>
      <c r="BZN328" s="59">
        <v>1</v>
      </c>
      <c r="BZO328" s="59">
        <v>1</v>
      </c>
      <c r="BZS328" s="59">
        <v>5</v>
      </c>
      <c r="BZT328" s="59">
        <v>4</v>
      </c>
      <c r="BZU328" s="59">
        <v>0</v>
      </c>
      <c r="BZV328" s="59">
        <v>0</v>
      </c>
      <c r="HBV328" s="59">
        <v>1</v>
      </c>
    </row>
    <row r="329" spans="1:1015 1043:3026 3459:3716 4124:5049 5350:5770" s="83" customFormat="1" x14ac:dyDescent="0.25">
      <c r="A329" s="96">
        <v>7001097</v>
      </c>
      <c r="B329" s="83" t="s">
        <v>4196</v>
      </c>
      <c r="JN329" s="83">
        <v>16</v>
      </c>
      <c r="JO329" s="83">
        <v>53</v>
      </c>
      <c r="JQ329" s="83">
        <v>42</v>
      </c>
      <c r="JR329" s="83">
        <v>35</v>
      </c>
      <c r="JS329" s="83">
        <v>49</v>
      </c>
      <c r="JT329" s="83">
        <v>34</v>
      </c>
      <c r="JU329" s="83">
        <v>28</v>
      </c>
      <c r="JV329" s="83">
        <v>47</v>
      </c>
      <c r="JX329" s="83">
        <v>123</v>
      </c>
      <c r="JY329" s="83">
        <v>25</v>
      </c>
      <c r="KD329" s="83">
        <v>26</v>
      </c>
      <c r="KE329" s="83">
        <v>52</v>
      </c>
      <c r="KF329" s="83">
        <v>41</v>
      </c>
      <c r="NC329" s="83">
        <v>12</v>
      </c>
      <c r="ND329" s="83">
        <v>30</v>
      </c>
      <c r="NF329" s="83">
        <v>29</v>
      </c>
      <c r="NG329" s="83">
        <v>39</v>
      </c>
      <c r="NH329" s="83">
        <v>57</v>
      </c>
      <c r="NI329" s="83">
        <v>37</v>
      </c>
      <c r="NJ329" s="83">
        <v>28</v>
      </c>
      <c r="NK329" s="83">
        <v>35</v>
      </c>
      <c r="NM329" s="83">
        <v>125</v>
      </c>
      <c r="NN329" s="83">
        <v>73</v>
      </c>
      <c r="NS329" s="83">
        <v>47</v>
      </c>
      <c r="NT329" s="83">
        <v>64</v>
      </c>
      <c r="NU329" s="83">
        <v>59</v>
      </c>
      <c r="AGC329" s="83">
        <v>37</v>
      </c>
      <c r="AGD329" s="83">
        <v>59</v>
      </c>
      <c r="AGF329" s="83">
        <v>48</v>
      </c>
      <c r="AGG329" s="83">
        <v>56</v>
      </c>
      <c r="AGH329" s="83">
        <v>79</v>
      </c>
      <c r="AGI329" s="83">
        <v>73</v>
      </c>
      <c r="AGJ329" s="83">
        <v>56</v>
      </c>
      <c r="AGK329" s="83">
        <v>52</v>
      </c>
      <c r="AGM329" s="83">
        <v>66</v>
      </c>
      <c r="AGN329" s="83">
        <v>66</v>
      </c>
      <c r="AGS329" s="83">
        <v>65</v>
      </c>
      <c r="AGT329" s="83">
        <v>89</v>
      </c>
      <c r="AGU329" s="83">
        <v>95</v>
      </c>
      <c r="AJL329" s="83">
        <v>1.2</v>
      </c>
      <c r="AJM329" s="83">
        <v>1.99</v>
      </c>
      <c r="AJN329" s="83">
        <v>2.1</v>
      </c>
      <c r="AJO329" s="83">
        <v>2.1</v>
      </c>
      <c r="AJP329" s="83">
        <v>1.9</v>
      </c>
      <c r="AJQ329" s="83">
        <v>1.46</v>
      </c>
      <c r="AJR329" s="83">
        <v>1.68</v>
      </c>
      <c r="AJS329" s="83">
        <v>2.08</v>
      </c>
      <c r="AJT329" s="83">
        <v>2.09</v>
      </c>
      <c r="AJW329" s="83">
        <v>0.98</v>
      </c>
      <c r="AJX329" s="83">
        <v>1.35</v>
      </c>
      <c r="AKA329" s="83">
        <v>1.17</v>
      </c>
      <c r="AKB329" s="83">
        <v>1.03</v>
      </c>
      <c r="AKC329" s="83">
        <v>1.08</v>
      </c>
      <c r="AKD329" s="83">
        <v>0.96</v>
      </c>
      <c r="BOB329" s="83">
        <v>1</v>
      </c>
      <c r="BOF329" s="83">
        <v>1</v>
      </c>
      <c r="BXY329" s="105">
        <v>1</v>
      </c>
      <c r="BYJ329" s="95"/>
      <c r="BZL329" s="83">
        <v>0</v>
      </c>
      <c r="BZM329" s="83">
        <v>7000</v>
      </c>
      <c r="BZN329" s="83">
        <v>1</v>
      </c>
      <c r="BZO329" s="83">
        <v>1</v>
      </c>
      <c r="BZS329" s="100">
        <v>999</v>
      </c>
      <c r="BZT329" s="83">
        <v>0</v>
      </c>
      <c r="BZU329" s="83">
        <v>0</v>
      </c>
      <c r="BZV329" s="83">
        <v>999</v>
      </c>
      <c r="HDA329" s="83">
        <v>1</v>
      </c>
    </row>
    <row r="330" spans="1:1015 1043:3026 3459:3716 4124:5049 5350:5770" s="59" customFormat="1" x14ac:dyDescent="0.25">
      <c r="A330" s="63">
        <v>7011435</v>
      </c>
      <c r="B330" s="60" t="s">
        <v>4196</v>
      </c>
      <c r="HQ330" s="59">
        <v>3880</v>
      </c>
      <c r="HS330" s="59">
        <v>4350</v>
      </c>
      <c r="HW330" s="59">
        <v>5910</v>
      </c>
      <c r="JN330" s="59">
        <v>23.5</v>
      </c>
      <c r="JQ330" s="59">
        <v>516</v>
      </c>
      <c r="JS330" s="59">
        <v>292</v>
      </c>
      <c r="JW330" s="59">
        <v>119</v>
      </c>
      <c r="NC330" s="59">
        <v>24.2</v>
      </c>
      <c r="NF330" s="59">
        <v>437</v>
      </c>
      <c r="NH330" s="59">
        <v>367</v>
      </c>
      <c r="NL330" s="59">
        <v>257</v>
      </c>
      <c r="QT330" s="59">
        <v>533</v>
      </c>
      <c r="QV330" s="59">
        <v>651</v>
      </c>
      <c r="QZ330" s="59">
        <v>666</v>
      </c>
      <c r="ZS330" s="59">
        <v>13</v>
      </c>
      <c r="ZU330" s="59">
        <v>11.1</v>
      </c>
      <c r="ZY330" s="59">
        <v>12.1</v>
      </c>
      <c r="ABL330" s="63">
        <v>8.3023000000000007</v>
      </c>
      <c r="ABM330" s="63"/>
      <c r="ABN330" s="63">
        <v>4.3849999999999998</v>
      </c>
      <c r="ABO330" s="63"/>
      <c r="ABP330" s="63"/>
      <c r="ABQ330" s="63"/>
      <c r="ABR330" s="63">
        <v>2.0463</v>
      </c>
      <c r="ABS330" s="63"/>
      <c r="ABT330" s="63"/>
      <c r="ABU330" s="63"/>
      <c r="ABV330" s="63"/>
      <c r="ABW330" s="63"/>
      <c r="ADO330" s="63">
        <v>3.2742</v>
      </c>
      <c r="AGF330" s="59">
        <v>470</v>
      </c>
      <c r="AGH330" s="59">
        <v>569</v>
      </c>
      <c r="AGL330" s="59">
        <v>470</v>
      </c>
      <c r="ALW330" s="59">
        <v>99.8</v>
      </c>
      <c r="ANG330" s="59">
        <v>117</v>
      </c>
      <c r="ANI330" s="59">
        <v>54</v>
      </c>
      <c r="ANM330" s="59">
        <v>20</v>
      </c>
      <c r="ASD330" s="59">
        <v>93000</v>
      </c>
      <c r="ASF330" s="59">
        <v>248000</v>
      </c>
      <c r="ASJ330" s="59">
        <v>532000</v>
      </c>
      <c r="AZS330" s="59">
        <v>37</v>
      </c>
      <c r="AZU330" s="59">
        <v>33</v>
      </c>
      <c r="AZY330" s="59">
        <v>38</v>
      </c>
      <c r="BOA330" s="59">
        <v>49</v>
      </c>
      <c r="BOC330" s="59">
        <v>1</v>
      </c>
      <c r="BOF330" s="59">
        <v>1</v>
      </c>
      <c r="BOG330" s="59">
        <v>11</v>
      </c>
      <c r="BOY330" s="86">
        <v>1</v>
      </c>
      <c r="BSG330" s="59">
        <v>1</v>
      </c>
      <c r="BVX330" s="59">
        <v>1</v>
      </c>
      <c r="BXF330" s="59">
        <v>1</v>
      </c>
      <c r="BYJ330" s="65"/>
      <c r="BZL330" s="59">
        <v>0</v>
      </c>
      <c r="BZQ330" s="59">
        <v>1</v>
      </c>
      <c r="CPT330" s="59">
        <v>400</v>
      </c>
      <c r="CPU330" s="59">
        <v>1</v>
      </c>
      <c r="CPX330" s="59">
        <v>1</v>
      </c>
      <c r="CPY330" s="59">
        <v>4</v>
      </c>
      <c r="CPZ330" s="59">
        <v>6</v>
      </c>
      <c r="CQA330" s="59">
        <v>3</v>
      </c>
      <c r="CQB330" s="59">
        <v>0</v>
      </c>
      <c r="GYA330" s="59">
        <v>1</v>
      </c>
      <c r="HCB330" s="59">
        <v>1</v>
      </c>
    </row>
    <row r="331" spans="1:1015 1043:3026 3459:3716 4124:5049 5350:5770" s="83" customFormat="1" x14ac:dyDescent="0.25">
      <c r="A331" s="96">
        <v>7045811</v>
      </c>
      <c r="B331" s="83" t="s">
        <v>4196</v>
      </c>
      <c r="P331" s="83">
        <v>500.4</v>
      </c>
      <c r="S331" s="83">
        <v>336</v>
      </c>
      <c r="AJ331" s="83">
        <v>34.799999999999997</v>
      </c>
      <c r="DT331" s="83">
        <v>118</v>
      </c>
      <c r="DV331" s="83">
        <v>293</v>
      </c>
      <c r="JQ331" s="83">
        <v>61.2</v>
      </c>
      <c r="JU331" s="83">
        <v>5346</v>
      </c>
      <c r="KB331" s="83">
        <v>110.4</v>
      </c>
      <c r="NJ331" s="96">
        <v>12864</v>
      </c>
      <c r="NQ331" s="83">
        <v>1533</v>
      </c>
      <c r="RE331" s="83">
        <v>225</v>
      </c>
      <c r="TP331" s="83">
        <v>942.6</v>
      </c>
      <c r="TR331" s="83">
        <v>435.6</v>
      </c>
      <c r="UR331" s="83">
        <v>68.7</v>
      </c>
      <c r="ABL331" s="96"/>
      <c r="ABM331" s="96"/>
      <c r="ABN331" s="96"/>
      <c r="ABO331" s="96"/>
      <c r="ABP331" s="96">
        <v>7.7877999999999998</v>
      </c>
      <c r="ABQ331" s="96">
        <v>8.7057000000000002</v>
      </c>
      <c r="ABR331" s="96"/>
      <c r="ABS331" s="96"/>
      <c r="ABT331" s="96"/>
      <c r="ABU331" s="96"/>
      <c r="ABV331" s="96"/>
      <c r="ABW331" s="96">
        <v>3.9699</v>
      </c>
      <c r="AGQ331" s="83">
        <v>139.80000000000001</v>
      </c>
      <c r="AJO331" s="97">
        <v>1.4705999999999999</v>
      </c>
      <c r="AJZ331" s="83">
        <v>1.2103999999999999</v>
      </c>
      <c r="BKN331" s="83">
        <v>40</v>
      </c>
      <c r="BLE331" s="83">
        <v>185.02430000000001</v>
      </c>
      <c r="BMH331" s="102" t="s">
        <v>2469</v>
      </c>
      <c r="BNM331" s="83">
        <v>260</v>
      </c>
      <c r="BNO331" s="83">
        <v>454</v>
      </c>
      <c r="BOA331" s="83">
        <v>43</v>
      </c>
      <c r="BOB331" s="83">
        <v>1</v>
      </c>
      <c r="BOF331" s="83">
        <v>1</v>
      </c>
      <c r="BSW331" s="83">
        <v>1</v>
      </c>
      <c r="BYJ331" s="95"/>
      <c r="BZL331" s="83">
        <v>0</v>
      </c>
      <c r="BZM331" s="83">
        <v>1000</v>
      </c>
      <c r="BZN331" s="83">
        <v>1</v>
      </c>
      <c r="BZO331" s="83">
        <v>1</v>
      </c>
      <c r="BZS331" s="100">
        <v>999</v>
      </c>
      <c r="BZT331" s="83">
        <v>0</v>
      </c>
      <c r="BZU331" s="83">
        <v>0</v>
      </c>
      <c r="BZV331" s="83">
        <v>999</v>
      </c>
      <c r="GWT331" s="83">
        <v>1</v>
      </c>
      <c r="GYE331" s="83">
        <v>1</v>
      </c>
      <c r="HBX331" s="83">
        <v>1</v>
      </c>
      <c r="HBY331" s="83">
        <v>1</v>
      </c>
      <c r="HCB331" s="83">
        <v>1</v>
      </c>
    </row>
    <row r="332" spans="1:1015 1043:3026 3459:3716 4124:5049 5350:5770" s="83" customFormat="1" x14ac:dyDescent="0.25">
      <c r="A332" s="96">
        <v>7071198</v>
      </c>
      <c r="B332" s="83" t="s">
        <v>4196</v>
      </c>
      <c r="GY332" s="83">
        <v>6800</v>
      </c>
      <c r="HU332" s="83">
        <v>8000</v>
      </c>
      <c r="SZ332" s="83">
        <v>372</v>
      </c>
      <c r="TL332" s="83">
        <v>507</v>
      </c>
      <c r="XP332" s="83">
        <v>30.8</v>
      </c>
      <c r="YY332" s="98">
        <v>11.5</v>
      </c>
      <c r="ZW332" s="106">
        <v>11.8</v>
      </c>
      <c r="AAY332" s="83">
        <v>0.39350000000000002</v>
      </c>
      <c r="ABP332" s="83">
        <v>0.49</v>
      </c>
      <c r="ADM332" s="83">
        <v>3.5700000000000003E-2</v>
      </c>
      <c r="ADS332" s="83">
        <v>0.67</v>
      </c>
      <c r="AEO332" s="83">
        <v>15.6</v>
      </c>
      <c r="AJA332" s="83">
        <v>1.1599999999999999</v>
      </c>
      <c r="APO332" s="83">
        <v>6.8</v>
      </c>
      <c r="ATK332" s="83">
        <v>7</v>
      </c>
      <c r="AVD332" s="83">
        <v>57.6</v>
      </c>
      <c r="AZC332" s="83">
        <v>35.6</v>
      </c>
      <c r="AZW332" s="83">
        <v>36.700000000000003</v>
      </c>
      <c r="BKW332" s="83">
        <v>89</v>
      </c>
      <c r="BOA332" s="83">
        <v>43</v>
      </c>
      <c r="BOB332" s="83">
        <v>1</v>
      </c>
      <c r="BOF332" s="83">
        <v>1</v>
      </c>
      <c r="BOH332" s="83">
        <v>1</v>
      </c>
      <c r="BOL332" s="105">
        <v>1</v>
      </c>
      <c r="BWS332" s="83">
        <v>1</v>
      </c>
      <c r="BYJ332" s="95"/>
      <c r="BZL332" s="83">
        <v>16000</v>
      </c>
      <c r="BZM332" s="83">
        <v>4000</v>
      </c>
      <c r="BZN332" s="83">
        <v>1</v>
      </c>
      <c r="BZQ332" s="83">
        <v>1</v>
      </c>
      <c r="BZS332" s="100">
        <v>999</v>
      </c>
      <c r="BZT332" s="83">
        <v>4</v>
      </c>
      <c r="BZU332" s="83">
        <v>0</v>
      </c>
      <c r="BZV332" s="83">
        <v>999</v>
      </c>
      <c r="GKC332" s="83">
        <v>400</v>
      </c>
      <c r="GKD332" s="83">
        <v>1</v>
      </c>
      <c r="GKG332" s="83">
        <v>1</v>
      </c>
      <c r="GKH332" s="83">
        <v>999</v>
      </c>
      <c r="GKI332" s="83">
        <v>999</v>
      </c>
      <c r="GKJ332" s="83">
        <v>0</v>
      </c>
      <c r="GKK332" s="83">
        <v>6</v>
      </c>
      <c r="GKR332" s="83">
        <v>999</v>
      </c>
      <c r="GKW332" s="83">
        <v>100</v>
      </c>
      <c r="GKX332" s="83">
        <v>1</v>
      </c>
      <c r="GLA332" s="83">
        <v>1</v>
      </c>
      <c r="GLB332" s="83">
        <v>999</v>
      </c>
      <c r="GLC332" s="83">
        <v>999</v>
      </c>
      <c r="GLD332" s="83">
        <v>0</v>
      </c>
      <c r="GLE332" s="83">
        <v>6</v>
      </c>
      <c r="GYE332" s="83">
        <v>1</v>
      </c>
      <c r="HBC332" s="83">
        <v>1</v>
      </c>
      <c r="HBE332" s="83">
        <v>1</v>
      </c>
      <c r="HCB332" s="83">
        <v>1</v>
      </c>
    </row>
    <row r="333" spans="1:1015 1043:3026 3459:3716 4124:5049 5350:5770" s="59" customFormat="1" x14ac:dyDescent="0.25">
      <c r="A333" s="63">
        <v>7101143</v>
      </c>
      <c r="B333" s="60" t="s">
        <v>4196</v>
      </c>
      <c r="JQ333" s="59">
        <v>778</v>
      </c>
      <c r="JS333" s="59">
        <v>908</v>
      </c>
      <c r="JT333" s="59">
        <v>746</v>
      </c>
      <c r="JX333" s="59">
        <v>532</v>
      </c>
      <c r="KA333" s="59">
        <v>305</v>
      </c>
      <c r="KC333" s="59">
        <v>196</v>
      </c>
      <c r="NF333" s="59">
        <v>1917.49</v>
      </c>
      <c r="NH333" s="59">
        <v>2074.65</v>
      </c>
      <c r="NI333" s="59">
        <v>1898.18</v>
      </c>
      <c r="NM333" s="59">
        <v>1436.2</v>
      </c>
      <c r="NP333" s="59">
        <v>961.74</v>
      </c>
      <c r="NR333" s="59">
        <v>689.06</v>
      </c>
      <c r="QT333" s="59">
        <v>21.44</v>
      </c>
      <c r="QV333" s="59">
        <v>21.63</v>
      </c>
      <c r="QW333" s="59">
        <v>24.25</v>
      </c>
      <c r="RA333" s="59">
        <v>22.4</v>
      </c>
      <c r="RD333" s="59">
        <v>23.58</v>
      </c>
      <c r="RF333" s="59">
        <v>24.02</v>
      </c>
      <c r="ABL333" s="59">
        <v>1.61</v>
      </c>
      <c r="ABN333" s="59">
        <v>2.2599999999999998</v>
      </c>
      <c r="ABO333" s="59">
        <v>1.76</v>
      </c>
      <c r="ABS333" s="59">
        <v>1.59</v>
      </c>
      <c r="ABV333" s="59">
        <v>1.57</v>
      </c>
      <c r="ABX333" s="59">
        <v>0.99</v>
      </c>
      <c r="ADO333" s="59">
        <v>0.96</v>
      </c>
      <c r="ADQ333" s="59">
        <v>0.98</v>
      </c>
      <c r="ADR333" s="59">
        <v>0.86</v>
      </c>
      <c r="ADV333" s="59">
        <v>0.74</v>
      </c>
      <c r="ADX333" s="59">
        <v>0.67</v>
      </c>
      <c r="AKY333" s="59">
        <v>56.6</v>
      </c>
      <c r="ALB333" s="59">
        <v>50.4</v>
      </c>
      <c r="ALG333" s="59">
        <v>56.5</v>
      </c>
      <c r="BOA333" s="59">
        <v>15</v>
      </c>
      <c r="BOC333" s="59">
        <v>1</v>
      </c>
      <c r="BOD333" s="59">
        <v>22.72</v>
      </c>
      <c r="BOF333" s="59">
        <v>1</v>
      </c>
      <c r="BOS333" s="86">
        <v>1</v>
      </c>
      <c r="BPC333" s="59">
        <v>1</v>
      </c>
      <c r="BXI333" s="59">
        <v>1</v>
      </c>
      <c r="BYJ333" s="65"/>
      <c r="BZL333" s="59">
        <v>3000</v>
      </c>
      <c r="BZM333" s="59">
        <v>500</v>
      </c>
      <c r="BZN333" s="59">
        <v>1</v>
      </c>
      <c r="BZQ333" s="59">
        <v>1</v>
      </c>
      <c r="BZS333" s="59">
        <v>6</v>
      </c>
      <c r="BZT333" s="59">
        <v>8</v>
      </c>
      <c r="BZU333" s="59">
        <v>2</v>
      </c>
      <c r="BZV333" s="59">
        <v>0</v>
      </c>
      <c r="GCF333" s="59">
        <v>30</v>
      </c>
      <c r="GCG333" s="59">
        <v>1</v>
      </c>
      <c r="GCJ333" s="59">
        <v>1</v>
      </c>
      <c r="GCK333" s="59">
        <v>12</v>
      </c>
      <c r="GCL333" s="59">
        <v>0</v>
      </c>
      <c r="GCM333" s="59">
        <v>0</v>
      </c>
      <c r="GCN333" s="59">
        <v>12</v>
      </c>
      <c r="GXL333" s="59">
        <v>1</v>
      </c>
      <c r="GZD333" s="59">
        <v>1</v>
      </c>
      <c r="HMS333" s="59">
        <v>1</v>
      </c>
      <c r="HMX333" s="59">
        <v>1</v>
      </c>
    </row>
    <row r="334" spans="1:1015 1043:3026 3459:3716 4124:5049 5350:5770" s="83" customFormat="1" x14ac:dyDescent="0.25">
      <c r="A334" s="96">
        <v>8073350</v>
      </c>
      <c r="B334" s="83" t="s">
        <v>4196</v>
      </c>
      <c r="ABK334" s="97">
        <v>18</v>
      </c>
      <c r="BOA334" s="83">
        <v>66</v>
      </c>
      <c r="BOB334" s="83">
        <v>1</v>
      </c>
      <c r="BOD334" s="83">
        <v>19.829999999999998</v>
      </c>
      <c r="BOF334" s="83">
        <v>1</v>
      </c>
      <c r="BOI334" s="83">
        <v>1</v>
      </c>
      <c r="BOO334" s="105">
        <v>1</v>
      </c>
      <c r="BSO334" s="83">
        <v>1</v>
      </c>
      <c r="BTA334" s="83">
        <v>1</v>
      </c>
      <c r="BYJ334" s="95"/>
      <c r="BZL334" s="83">
        <v>0</v>
      </c>
      <c r="BZO334" s="83">
        <v>1</v>
      </c>
      <c r="BZS334" s="83">
        <v>5</v>
      </c>
      <c r="BZT334" s="83">
        <v>3</v>
      </c>
      <c r="BZU334" s="83">
        <v>1</v>
      </c>
      <c r="BZV334" s="83">
        <v>0</v>
      </c>
      <c r="CPT334" s="83">
        <v>1000</v>
      </c>
      <c r="CPU334" s="83">
        <v>1</v>
      </c>
      <c r="CPY334" s="100">
        <v>999</v>
      </c>
      <c r="CPZ334" s="83">
        <v>1</v>
      </c>
      <c r="CQA334" s="83">
        <v>0</v>
      </c>
      <c r="CQB334" s="83">
        <v>999</v>
      </c>
      <c r="GXB334" s="83">
        <v>1</v>
      </c>
      <c r="GZZ334" s="83">
        <v>1</v>
      </c>
      <c r="HAC334" s="83">
        <v>1</v>
      </c>
      <c r="HBX334" s="83">
        <v>1</v>
      </c>
    </row>
    <row r="335" spans="1:1015 1043:3026 3459:3716 4124:5049 5350:5770" s="59" customFormat="1" x14ac:dyDescent="0.25">
      <c r="A335" s="63">
        <v>8073645</v>
      </c>
      <c r="B335" s="60" t="s">
        <v>4196</v>
      </c>
      <c r="BD335" s="76">
        <v>32</v>
      </c>
      <c r="DK335" s="63"/>
      <c r="DL335" s="63"/>
      <c r="DM335" s="63"/>
      <c r="DU335" s="76">
        <v>43</v>
      </c>
      <c r="FF335" s="76">
        <v>22</v>
      </c>
      <c r="GK335" s="59">
        <v>345</v>
      </c>
      <c r="HQ335" s="63"/>
      <c r="JR335" s="59">
        <v>2189.3333333333298</v>
      </c>
      <c r="NG335" s="59">
        <v>1197.3333333333301</v>
      </c>
      <c r="TM335" s="76">
        <v>3234</v>
      </c>
      <c r="ZT335" s="59">
        <v>9.9</v>
      </c>
      <c r="ABM335" s="63">
        <v>4.0999999999999996</v>
      </c>
      <c r="ADP335" s="59">
        <v>2.0499999999999998</v>
      </c>
      <c r="AEW335" s="59">
        <v>4.08</v>
      </c>
      <c r="AII335" s="59">
        <v>4058.5</v>
      </c>
      <c r="AJP335" s="59">
        <v>0.75</v>
      </c>
      <c r="AOU335" s="59">
        <v>17</v>
      </c>
      <c r="BEQ335" s="59">
        <v>245.9</v>
      </c>
      <c r="BOA335" s="59">
        <v>58</v>
      </c>
      <c r="BOC335" s="59">
        <v>1</v>
      </c>
      <c r="BOD335" s="59">
        <v>31.64</v>
      </c>
      <c r="BOF335" s="59">
        <v>1</v>
      </c>
      <c r="BOO335" s="86">
        <v>1</v>
      </c>
      <c r="BQC335" s="59">
        <v>1</v>
      </c>
      <c r="BQE335" s="59">
        <v>1</v>
      </c>
      <c r="BQH335" s="59">
        <v>1</v>
      </c>
      <c r="BQN335" s="59">
        <v>1</v>
      </c>
      <c r="BQP335" s="59">
        <v>1</v>
      </c>
      <c r="BQQ335" s="59">
        <v>1</v>
      </c>
      <c r="BQU335" s="59">
        <v>1</v>
      </c>
      <c r="BQV335" s="59">
        <v>1</v>
      </c>
      <c r="BWI335" s="59">
        <v>1</v>
      </c>
      <c r="BXF335" s="59">
        <v>1</v>
      </c>
      <c r="BYJ335" s="65"/>
      <c r="BZL335" s="59">
        <v>20000</v>
      </c>
      <c r="BZM335" s="59">
        <v>10000</v>
      </c>
      <c r="BZN335" s="59">
        <v>1</v>
      </c>
      <c r="BZO335" s="59">
        <v>1</v>
      </c>
      <c r="BZS335" s="59">
        <v>2</v>
      </c>
      <c r="BZT335" s="59">
        <v>2</v>
      </c>
      <c r="BZU335" s="59">
        <v>0</v>
      </c>
      <c r="BZV335" s="59">
        <v>0</v>
      </c>
      <c r="CEU335" s="59">
        <v>30</v>
      </c>
      <c r="CEV335" s="59">
        <v>1</v>
      </c>
      <c r="CEW335" s="59">
        <v>1</v>
      </c>
      <c r="CFA335" s="69">
        <v>999</v>
      </c>
      <c r="CFB335" s="59">
        <v>3</v>
      </c>
      <c r="CFC335" s="59">
        <v>0</v>
      </c>
      <c r="CFD335" s="59">
        <v>999</v>
      </c>
      <c r="FBP335" s="59">
        <v>2000</v>
      </c>
      <c r="FBQ335" s="59">
        <v>1</v>
      </c>
      <c r="FBR335" s="59">
        <v>1</v>
      </c>
      <c r="FBU335" s="69">
        <v>999</v>
      </c>
      <c r="FBV335" s="59">
        <v>3</v>
      </c>
      <c r="FBW335" s="59">
        <v>0</v>
      </c>
      <c r="FBX335" s="59">
        <v>999</v>
      </c>
      <c r="HBX335" s="59">
        <v>1</v>
      </c>
    </row>
    <row r="336" spans="1:1015 1043:3026 3459:3716 4124:5049 5350:5770" s="59" customFormat="1" x14ac:dyDescent="0.25">
      <c r="A336" s="84">
        <v>8089666</v>
      </c>
      <c r="B336" s="60" t="s">
        <v>4196</v>
      </c>
      <c r="I336" s="76">
        <v>55.5</v>
      </c>
      <c r="J336" s="59">
        <v>45</v>
      </c>
      <c r="L336" s="76">
        <v>102.5</v>
      </c>
      <c r="M336" s="59">
        <v>147</v>
      </c>
      <c r="AY336" s="59">
        <v>100</v>
      </c>
      <c r="AZ336" s="76">
        <v>83.3333333333333</v>
      </c>
      <c r="BA336" s="59">
        <v>58</v>
      </c>
      <c r="BC336" s="76">
        <v>10.5</v>
      </c>
      <c r="BD336" s="59">
        <v>12</v>
      </c>
      <c r="CI336" s="59">
        <v>0.85</v>
      </c>
      <c r="CJ336" s="76">
        <v>1.2</v>
      </c>
      <c r="CK336" s="59">
        <v>1.4</v>
      </c>
      <c r="CM336" s="76">
        <v>5.88</v>
      </c>
      <c r="CN336" s="59">
        <v>5.4</v>
      </c>
      <c r="DI336" s="59">
        <v>3</v>
      </c>
      <c r="DJ336" s="59">
        <v>3</v>
      </c>
      <c r="DK336" s="63"/>
      <c r="DL336" s="76">
        <v>4</v>
      </c>
      <c r="DM336" s="63"/>
      <c r="DP336" s="59">
        <v>30</v>
      </c>
      <c r="DQ336" s="76">
        <v>36</v>
      </c>
      <c r="DR336" s="59">
        <v>63</v>
      </c>
      <c r="DT336" s="76">
        <v>97.8</v>
      </c>
      <c r="DU336" s="59">
        <v>85</v>
      </c>
      <c r="FD336" s="76">
        <v>71</v>
      </c>
      <c r="FE336" s="76">
        <v>26.4</v>
      </c>
      <c r="FF336" s="59">
        <v>50</v>
      </c>
      <c r="FQ336" s="59">
        <v>54</v>
      </c>
      <c r="FR336" s="59">
        <v>37</v>
      </c>
      <c r="FT336" s="76">
        <v>79</v>
      </c>
      <c r="GG336" s="76">
        <v>336.66669999999999</v>
      </c>
      <c r="GJ336" s="76">
        <v>203.33332999999999</v>
      </c>
      <c r="GK336" s="59">
        <v>1300</v>
      </c>
      <c r="HM336" s="59">
        <v>7330</v>
      </c>
      <c r="HN336" s="76">
        <v>6700</v>
      </c>
      <c r="HO336" s="59">
        <v>12100</v>
      </c>
      <c r="HQ336" s="76">
        <v>167500</v>
      </c>
      <c r="HR336" s="59">
        <v>22500</v>
      </c>
      <c r="JM336" s="59">
        <v>74</v>
      </c>
      <c r="JN336" s="59">
        <v>16</v>
      </c>
      <c r="JO336" s="59">
        <v>15</v>
      </c>
      <c r="JQ336" s="76">
        <v>4190.5</v>
      </c>
      <c r="JR336" s="59">
        <v>5322</v>
      </c>
      <c r="NB336" s="59">
        <v>63</v>
      </c>
      <c r="NC336" s="59">
        <v>18</v>
      </c>
      <c r="ND336" s="59">
        <v>15</v>
      </c>
      <c r="NF336" s="76">
        <v>1851.25</v>
      </c>
      <c r="NG336" s="59">
        <v>43</v>
      </c>
      <c r="QP336" s="59">
        <v>118</v>
      </c>
      <c r="QQ336" s="59">
        <v>26</v>
      </c>
      <c r="QR336" s="59">
        <v>24</v>
      </c>
      <c r="QT336" s="76">
        <v>31</v>
      </c>
      <c r="QU336" s="59">
        <v>43</v>
      </c>
      <c r="TH336" s="59">
        <v>203</v>
      </c>
      <c r="TI336" s="59">
        <v>150</v>
      </c>
      <c r="TJ336" s="59">
        <v>110</v>
      </c>
      <c r="TL336" s="76">
        <v>6678.25</v>
      </c>
      <c r="TM336" s="64">
        <v>7839</v>
      </c>
      <c r="VK336" s="59">
        <v>69</v>
      </c>
      <c r="VL336" s="59">
        <v>36</v>
      </c>
      <c r="VN336" s="76">
        <v>38</v>
      </c>
      <c r="VO336" s="59">
        <v>116</v>
      </c>
      <c r="ZO336" s="59">
        <v>11</v>
      </c>
      <c r="ZP336" s="76">
        <v>9.4666666666666597</v>
      </c>
      <c r="ZQ336" s="59">
        <v>12.5</v>
      </c>
      <c r="ZS336" s="76">
        <v>86</v>
      </c>
      <c r="ZT336" s="59">
        <v>98</v>
      </c>
      <c r="ABH336" s="59">
        <v>0.8</v>
      </c>
      <c r="ABI336" s="76">
        <v>1.5</v>
      </c>
      <c r="ABJ336" s="59">
        <v>1.9</v>
      </c>
      <c r="ABL336" s="76">
        <v>3.5</v>
      </c>
      <c r="ABM336" s="59">
        <v>5.5</v>
      </c>
      <c r="AER336" s="63">
        <v>6.8</v>
      </c>
      <c r="AES336" s="63">
        <v>4.2</v>
      </c>
      <c r="AET336" s="63">
        <v>3.8</v>
      </c>
      <c r="AEV336" s="76">
        <v>3.5249999999999999</v>
      </c>
      <c r="AEW336" s="63">
        <v>4.3</v>
      </c>
      <c r="AGB336" s="59">
        <v>278</v>
      </c>
      <c r="AGC336" s="59">
        <v>76</v>
      </c>
      <c r="AGD336" s="59">
        <v>73</v>
      </c>
      <c r="AGF336" s="76">
        <v>170.75</v>
      </c>
      <c r="AGG336" s="59">
        <v>227</v>
      </c>
      <c r="AJK336" s="59">
        <v>0.34</v>
      </c>
      <c r="AJL336" s="76">
        <v>0.29499999999999998</v>
      </c>
      <c r="AJM336" s="59">
        <v>0.4</v>
      </c>
      <c r="AJO336" s="87">
        <v>0.73499999999999999</v>
      </c>
      <c r="AJP336" s="59">
        <v>1.1499999999999999</v>
      </c>
      <c r="AKU336" s="59">
        <v>7</v>
      </c>
      <c r="AKV336" s="59">
        <v>12</v>
      </c>
      <c r="AKW336" s="59">
        <v>8</v>
      </c>
      <c r="AKY336" s="76">
        <v>9.75</v>
      </c>
      <c r="AKZ336" s="59">
        <v>13</v>
      </c>
      <c r="ALS336" s="59">
        <v>19</v>
      </c>
      <c r="ALT336" s="59">
        <v>10</v>
      </c>
      <c r="ALU336" s="59">
        <v>10</v>
      </c>
      <c r="ALW336" s="76">
        <v>14</v>
      </c>
      <c r="ALX336" s="59">
        <v>14</v>
      </c>
      <c r="ANC336" s="59">
        <v>173</v>
      </c>
      <c r="AND336" s="59">
        <v>35</v>
      </c>
      <c r="ANE336" s="59">
        <v>120</v>
      </c>
      <c r="ANG336" s="76">
        <v>43</v>
      </c>
      <c r="ANH336" s="59">
        <v>41</v>
      </c>
      <c r="AOP336" s="59">
        <v>28</v>
      </c>
      <c r="AOQ336" s="76">
        <v>14</v>
      </c>
      <c r="AOR336" s="59">
        <v>17</v>
      </c>
      <c r="AOT336" s="76">
        <v>25.5</v>
      </c>
      <c r="AOU336" s="59">
        <v>24</v>
      </c>
      <c r="APS336" s="82">
        <v>0.7</v>
      </c>
      <c r="AQO336" s="59">
        <v>3700000</v>
      </c>
      <c r="AQP336" s="76">
        <v>3200000</v>
      </c>
      <c r="AQQ336" s="59">
        <v>4200000</v>
      </c>
      <c r="AQS336" s="76">
        <v>2900000</v>
      </c>
      <c r="AQT336" s="59">
        <v>3300000</v>
      </c>
      <c r="ARZ336" s="59">
        <v>304000</v>
      </c>
      <c r="ASA336" s="76">
        <v>147333.3333</v>
      </c>
      <c r="ASB336" s="59">
        <v>130000</v>
      </c>
      <c r="ASD336" s="76">
        <v>322000</v>
      </c>
      <c r="ASE336" s="59">
        <v>34000</v>
      </c>
      <c r="AWK336" s="59">
        <v>19</v>
      </c>
      <c r="AWL336" s="59">
        <v>15</v>
      </c>
      <c r="AWN336" s="76">
        <v>15.75</v>
      </c>
      <c r="AWO336" s="59">
        <v>22</v>
      </c>
      <c r="AZO336" s="59">
        <v>32</v>
      </c>
      <c r="AZP336" s="76">
        <v>27</v>
      </c>
      <c r="AZQ336" s="59">
        <v>34</v>
      </c>
      <c r="AZS336" s="76">
        <v>25</v>
      </c>
      <c r="AZT336" s="59">
        <v>29</v>
      </c>
      <c r="BBG336" s="59">
        <v>86</v>
      </c>
      <c r="BBH336" s="76">
        <v>84</v>
      </c>
      <c r="BBI336" s="59">
        <v>81</v>
      </c>
      <c r="BBK336" s="76">
        <v>85</v>
      </c>
      <c r="BBL336" s="59">
        <v>89</v>
      </c>
      <c r="BCM336" s="59">
        <v>30</v>
      </c>
      <c r="BCN336" s="59">
        <v>29</v>
      </c>
      <c r="BCO336" s="59">
        <v>30</v>
      </c>
      <c r="BCQ336" s="76">
        <v>30</v>
      </c>
      <c r="BCR336" s="59">
        <v>30</v>
      </c>
      <c r="BDP336" s="59">
        <v>34.799999999999997</v>
      </c>
      <c r="BDQ336" s="76">
        <v>314.33333333333297</v>
      </c>
      <c r="BDR336" s="59">
        <v>365</v>
      </c>
      <c r="BDT336" s="76">
        <v>347</v>
      </c>
      <c r="BDU336" s="59">
        <v>339</v>
      </c>
      <c r="BFU336" s="59">
        <v>131</v>
      </c>
      <c r="BFV336" s="76">
        <v>137.5</v>
      </c>
      <c r="BFW336" s="59">
        <v>143</v>
      </c>
      <c r="BFY336" s="76">
        <v>145</v>
      </c>
      <c r="BFZ336" s="59">
        <v>149</v>
      </c>
      <c r="BHA336" s="59">
        <v>3.9</v>
      </c>
      <c r="BHB336" s="76">
        <v>3.7</v>
      </c>
      <c r="BHC336" s="59">
        <v>3.9</v>
      </c>
      <c r="BHE336" s="76">
        <v>4.3</v>
      </c>
      <c r="BHF336" s="59">
        <v>3.7</v>
      </c>
      <c r="BID336" s="59">
        <v>2</v>
      </c>
      <c r="BIE336" s="76">
        <v>1.9</v>
      </c>
      <c r="BIF336" s="59">
        <v>2</v>
      </c>
      <c r="BIH336" s="76">
        <v>1.8</v>
      </c>
      <c r="BII336" s="59">
        <v>1.9</v>
      </c>
      <c r="BIZ336" s="59">
        <v>0.61</v>
      </c>
      <c r="BJA336" s="59">
        <v>0.56999999999999995</v>
      </c>
      <c r="BJC336" s="76">
        <v>0.63</v>
      </c>
      <c r="BJD336" s="59">
        <v>0.68</v>
      </c>
      <c r="BJG336" s="59">
        <v>108</v>
      </c>
      <c r="BJH336" s="59">
        <v>114</v>
      </c>
      <c r="BJJ336" s="76">
        <v>112</v>
      </c>
      <c r="BJK336" s="59">
        <v>106</v>
      </c>
      <c r="BLA336" s="59">
        <v>230</v>
      </c>
      <c r="BLB336" s="76">
        <v>139</v>
      </c>
      <c r="BLC336" s="59">
        <v>109</v>
      </c>
      <c r="BLE336" s="76">
        <v>123.25</v>
      </c>
      <c r="BLF336" s="59">
        <v>205</v>
      </c>
      <c r="BMA336" s="59">
        <v>79</v>
      </c>
      <c r="BMM336" s="59">
        <v>1.2</v>
      </c>
      <c r="BMN336" s="59">
        <v>1.1000000000000001</v>
      </c>
      <c r="BMP336" s="76">
        <v>1.7</v>
      </c>
      <c r="BMQ336" s="59">
        <v>1.5</v>
      </c>
      <c r="BOA336" s="59">
        <v>68</v>
      </c>
      <c r="BOC336" s="59">
        <v>1</v>
      </c>
      <c r="BOD336" s="59">
        <v>17.309999999999999</v>
      </c>
      <c r="BOE336" s="59">
        <v>1</v>
      </c>
      <c r="BOG336" s="59">
        <v>2</v>
      </c>
      <c r="BOH336" s="59">
        <v>1</v>
      </c>
      <c r="BOI336" s="59">
        <v>1</v>
      </c>
      <c r="BON336" s="59">
        <v>1</v>
      </c>
      <c r="BOO336" s="86">
        <v>1</v>
      </c>
      <c r="BPD336" s="59">
        <v>1</v>
      </c>
      <c r="BQB336" s="59">
        <v>1</v>
      </c>
      <c r="BQH336" s="59">
        <v>1</v>
      </c>
      <c r="BQR336" s="59">
        <v>1</v>
      </c>
      <c r="BSP336" s="59">
        <v>1</v>
      </c>
      <c r="BTD336" s="59">
        <v>1</v>
      </c>
      <c r="BUE336" s="59">
        <v>1</v>
      </c>
      <c r="BUM336" s="59">
        <v>1</v>
      </c>
      <c r="BVI336" s="59">
        <v>1</v>
      </c>
      <c r="BVZ336" s="59">
        <v>1</v>
      </c>
      <c r="BWL336" s="59">
        <v>1</v>
      </c>
      <c r="BYJ336" s="65"/>
      <c r="BZL336" s="59">
        <v>14000</v>
      </c>
      <c r="BZM336" s="59">
        <v>7000</v>
      </c>
      <c r="BZN336" s="59">
        <v>1</v>
      </c>
      <c r="BZO336" s="59">
        <v>1</v>
      </c>
      <c r="BZS336" s="59">
        <v>3</v>
      </c>
      <c r="BZT336" s="59">
        <v>2</v>
      </c>
      <c r="BZU336" s="59">
        <v>0</v>
      </c>
      <c r="BZV336" s="59">
        <v>0</v>
      </c>
      <c r="COE336" s="59">
        <v>1</v>
      </c>
      <c r="CTG336" s="59">
        <v>1</v>
      </c>
      <c r="ELX336" s="59">
        <v>1</v>
      </c>
      <c r="GWU336" s="59">
        <v>1</v>
      </c>
      <c r="HAZ336" s="59">
        <v>1</v>
      </c>
      <c r="HBP336" s="59">
        <v>1</v>
      </c>
    </row>
    <row r="337" spans="1:1014 1029:4050 4164:5112 5155:5655" s="59" customFormat="1" x14ac:dyDescent="0.25">
      <c r="A337" s="63">
        <v>8103536</v>
      </c>
      <c r="B337" s="60" t="s">
        <v>4196</v>
      </c>
      <c r="K337" s="59">
        <v>83</v>
      </c>
      <c r="CL337" s="59">
        <v>0.98</v>
      </c>
      <c r="DK337" s="63"/>
      <c r="DL337" s="63"/>
      <c r="DM337" s="63"/>
      <c r="EF337" s="59">
        <v>31.4</v>
      </c>
      <c r="FX337" s="59">
        <v>1304</v>
      </c>
      <c r="HP337" s="59">
        <v>5300</v>
      </c>
      <c r="HQ337" s="63"/>
      <c r="JP337" s="59">
        <v>66</v>
      </c>
      <c r="NG337" s="59">
        <v>104</v>
      </c>
      <c r="ZR337" s="59">
        <v>12.3</v>
      </c>
      <c r="AJN337" s="59">
        <v>0.65039999999999998</v>
      </c>
      <c r="ASC337" s="59">
        <v>181000</v>
      </c>
      <c r="BEV337" s="77" t="s">
        <v>2511</v>
      </c>
      <c r="BOA337" s="59">
        <v>44</v>
      </c>
      <c r="BOC337" s="59">
        <v>1</v>
      </c>
      <c r="BOD337" s="59">
        <v>22.58</v>
      </c>
      <c r="BOF337" s="59">
        <v>1</v>
      </c>
      <c r="BOG337" s="59">
        <v>10</v>
      </c>
      <c r="BOP337" s="86">
        <v>1</v>
      </c>
      <c r="BPC337" s="59">
        <v>1</v>
      </c>
      <c r="BTG337" s="59">
        <v>1</v>
      </c>
      <c r="BVJ337" s="59">
        <v>1</v>
      </c>
      <c r="BVV337" s="59">
        <v>1</v>
      </c>
      <c r="BYJ337" s="65"/>
      <c r="BZL337" s="59">
        <v>1498500</v>
      </c>
      <c r="BZM337" s="59">
        <v>1500</v>
      </c>
      <c r="BZN337" s="59">
        <v>1</v>
      </c>
      <c r="BZQ337" s="59">
        <v>1</v>
      </c>
      <c r="BZS337" s="59">
        <v>999</v>
      </c>
      <c r="FDX337" s="59">
        <v>60</v>
      </c>
      <c r="FDY337" s="59">
        <v>1</v>
      </c>
      <c r="FEB337" s="59">
        <v>1</v>
      </c>
      <c r="FEC337" s="69">
        <v>999</v>
      </c>
      <c r="FED337" s="59">
        <v>999</v>
      </c>
      <c r="FEE337" s="59">
        <v>0</v>
      </c>
      <c r="FEF337" s="59">
        <v>999</v>
      </c>
      <c r="GDE337" s="59">
        <v>1</v>
      </c>
      <c r="GDF337" s="59">
        <v>35</v>
      </c>
      <c r="GDG337" s="59">
        <v>34</v>
      </c>
      <c r="GDH337" s="59">
        <v>0</v>
      </c>
      <c r="GDI337" s="59">
        <v>1</v>
      </c>
      <c r="GYU337" s="59">
        <v>1</v>
      </c>
      <c r="GZD337" s="59">
        <v>1</v>
      </c>
      <c r="HAZ337" s="59">
        <v>1</v>
      </c>
      <c r="HCH337" s="59">
        <v>1</v>
      </c>
      <c r="HIM337" s="59">
        <v>1</v>
      </c>
    </row>
    <row r="338" spans="1:1014 1029:4050 4164:5112 5155:5655" s="83" customFormat="1" x14ac:dyDescent="0.25">
      <c r="A338" s="107">
        <v>8124816</v>
      </c>
      <c r="B338" s="83" t="s">
        <v>4196</v>
      </c>
      <c r="GA338" s="83">
        <v>1470</v>
      </c>
      <c r="JQ338" s="83">
        <v>63</v>
      </c>
      <c r="JT338" s="83">
        <v>60</v>
      </c>
      <c r="JX338" s="83">
        <v>21</v>
      </c>
      <c r="KD338" s="83">
        <v>13</v>
      </c>
      <c r="KI338" s="83">
        <v>42</v>
      </c>
      <c r="NF338" s="83">
        <v>113</v>
      </c>
      <c r="NI338" s="83">
        <v>130</v>
      </c>
      <c r="NL338" s="83">
        <v>59</v>
      </c>
      <c r="NS338" s="83">
        <v>27</v>
      </c>
      <c r="NX338" s="83">
        <v>50</v>
      </c>
      <c r="QT338" s="83">
        <v>207</v>
      </c>
      <c r="QW338" s="83">
        <v>317</v>
      </c>
      <c r="RA338" s="83">
        <v>257</v>
      </c>
      <c r="RG338" s="83">
        <v>141</v>
      </c>
      <c r="WF338" s="83">
        <v>200</v>
      </c>
      <c r="WH338" s="83">
        <v>207</v>
      </c>
      <c r="WI338" s="83">
        <v>186</v>
      </c>
      <c r="ZS338" s="83">
        <v>13.5</v>
      </c>
      <c r="ZV338" s="83">
        <v>12.4</v>
      </c>
      <c r="ZZ338" s="83">
        <v>13.1</v>
      </c>
      <c r="AAF338" s="83">
        <v>13.2</v>
      </c>
      <c r="ABT338" s="83">
        <v>1</v>
      </c>
      <c r="ABY338" s="83">
        <v>0.37</v>
      </c>
      <c r="ACD338" s="83">
        <v>0.49</v>
      </c>
      <c r="AFA338" s="102" t="s">
        <v>2491</v>
      </c>
      <c r="AJO338" s="83">
        <v>0.6</v>
      </c>
      <c r="AJR338" s="83">
        <v>0.7</v>
      </c>
      <c r="AJV338" s="83">
        <v>0.6</v>
      </c>
      <c r="AKB338" s="83">
        <v>0.7</v>
      </c>
      <c r="AQS338" s="83">
        <v>4700000</v>
      </c>
      <c r="AQV338" s="83">
        <v>4300000</v>
      </c>
      <c r="AQZ338" s="83">
        <v>4500000</v>
      </c>
      <c r="ARF338" s="83">
        <v>4400000</v>
      </c>
      <c r="BFY338" s="83">
        <v>137</v>
      </c>
      <c r="BGB338" s="83">
        <v>140</v>
      </c>
      <c r="BGF338" s="83">
        <v>136</v>
      </c>
      <c r="BGL338" s="83">
        <v>132</v>
      </c>
      <c r="BHE338" s="83">
        <v>3.3</v>
      </c>
      <c r="BHH338" s="83">
        <v>3.5</v>
      </c>
      <c r="BHL338" s="83">
        <v>3.7</v>
      </c>
      <c r="BHR338" s="83">
        <v>4.0999999999999996</v>
      </c>
      <c r="BLE338" s="83">
        <v>107</v>
      </c>
      <c r="BLH338" s="83">
        <v>144</v>
      </c>
      <c r="BLL338" s="83">
        <v>97</v>
      </c>
      <c r="BLR338" s="83">
        <v>97</v>
      </c>
      <c r="BOA338" s="83">
        <v>56</v>
      </c>
      <c r="BOB338" s="83">
        <v>1</v>
      </c>
      <c r="BOD338" s="83">
        <v>23.62</v>
      </c>
      <c r="BOF338" s="83">
        <v>1</v>
      </c>
      <c r="BOG338" s="83">
        <v>14</v>
      </c>
      <c r="BOM338" s="105">
        <v>1</v>
      </c>
      <c r="BOW338" s="83">
        <v>1</v>
      </c>
      <c r="BPC338" s="83">
        <v>1</v>
      </c>
      <c r="BPI338" s="83">
        <v>1</v>
      </c>
      <c r="BPM338" s="83">
        <v>1</v>
      </c>
      <c r="BPR338" s="83">
        <v>1</v>
      </c>
      <c r="BPS338" s="83">
        <v>1</v>
      </c>
      <c r="BPT338" s="83">
        <v>1</v>
      </c>
      <c r="BQC338" s="83">
        <v>1</v>
      </c>
      <c r="BQZ338" s="83">
        <v>1</v>
      </c>
      <c r="BRA338" s="83">
        <v>1</v>
      </c>
      <c r="BSG338" s="83">
        <v>1</v>
      </c>
      <c r="BUW338" s="83">
        <v>1</v>
      </c>
      <c r="BVS338" s="83">
        <v>1</v>
      </c>
      <c r="BXA338" s="83">
        <v>1</v>
      </c>
      <c r="BYJ338" s="95"/>
      <c r="BYZ338" s="83">
        <v>400</v>
      </c>
      <c r="BZA338" s="83">
        <v>1</v>
      </c>
      <c r="BZD338" s="83">
        <v>1</v>
      </c>
      <c r="BZF338" s="83">
        <v>21</v>
      </c>
      <c r="BZG338" s="83">
        <v>10</v>
      </c>
      <c r="BZH338" s="83">
        <v>0</v>
      </c>
      <c r="BZI338" s="83">
        <v>10</v>
      </c>
      <c r="BZL338" s="83">
        <v>4500</v>
      </c>
      <c r="BZM338" s="83">
        <v>1500</v>
      </c>
      <c r="BZN338" s="83">
        <v>1</v>
      </c>
      <c r="BZQ338" s="83">
        <v>1</v>
      </c>
      <c r="BZS338" s="83">
        <v>4</v>
      </c>
      <c r="BZT338" s="83">
        <v>3</v>
      </c>
      <c r="BZU338" s="83">
        <v>0</v>
      </c>
      <c r="BZV338" s="83">
        <v>0</v>
      </c>
      <c r="BZW338" s="83">
        <v>30</v>
      </c>
      <c r="CPJ338" s="83">
        <v>250</v>
      </c>
      <c r="CPK338" s="83">
        <v>2</v>
      </c>
      <c r="CPN338" s="83">
        <v>1</v>
      </c>
      <c r="CPO338" s="83">
        <v>10</v>
      </c>
      <c r="CPP338" s="83">
        <v>7</v>
      </c>
      <c r="CPQ338" s="83">
        <v>0</v>
      </c>
      <c r="CPR338" s="83">
        <v>2</v>
      </c>
      <c r="CPS338" s="83">
        <v>30</v>
      </c>
      <c r="CYE338" s="83">
        <v>1</v>
      </c>
      <c r="CYF338" s="100">
        <v>999</v>
      </c>
      <c r="CYG338" s="83">
        <v>14</v>
      </c>
      <c r="CYH338" s="83">
        <v>0</v>
      </c>
      <c r="CYI338" s="83">
        <v>999</v>
      </c>
      <c r="DMM338" s="83">
        <v>10</v>
      </c>
      <c r="DMN338" s="83">
        <v>1</v>
      </c>
      <c r="DMQ338" s="83">
        <v>1</v>
      </c>
      <c r="DMR338" s="100">
        <v>999</v>
      </c>
      <c r="DMS338" s="83">
        <v>13</v>
      </c>
      <c r="DMT338" s="83">
        <v>0</v>
      </c>
      <c r="DMU338" s="83">
        <v>999</v>
      </c>
      <c r="ELY338" s="83">
        <v>40</v>
      </c>
      <c r="ELZ338" s="83">
        <v>1</v>
      </c>
      <c r="EMC338" s="83">
        <v>1</v>
      </c>
      <c r="EMD338" s="100">
        <v>999</v>
      </c>
      <c r="EME338" s="83">
        <v>13</v>
      </c>
      <c r="EMF338" s="83">
        <v>0</v>
      </c>
      <c r="EMG338" s="83">
        <v>999</v>
      </c>
      <c r="FMC338" s="83">
        <v>20</v>
      </c>
      <c r="FMD338" s="83">
        <v>1</v>
      </c>
      <c r="FMG338" s="83">
        <v>1</v>
      </c>
      <c r="FMH338" s="83">
        <v>7</v>
      </c>
      <c r="FMI338" s="83">
        <v>13</v>
      </c>
      <c r="FMJ338" s="83">
        <v>6</v>
      </c>
      <c r="FMK338" s="83">
        <v>0</v>
      </c>
      <c r="FNH338" s="83">
        <v>30</v>
      </c>
      <c r="FNI338" s="83">
        <v>1</v>
      </c>
      <c r="FNL338" s="83">
        <v>1</v>
      </c>
      <c r="FNM338" s="83">
        <v>16</v>
      </c>
      <c r="FNN338" s="83">
        <v>13</v>
      </c>
      <c r="FNO338" s="83">
        <v>0</v>
      </c>
      <c r="FNP338" s="83">
        <v>2</v>
      </c>
      <c r="FNQ338" s="83">
        <v>30</v>
      </c>
      <c r="GAA338" s="83">
        <v>1</v>
      </c>
      <c r="GAB338" s="100">
        <v>999</v>
      </c>
      <c r="GAC338" s="83">
        <v>11</v>
      </c>
      <c r="GAD338" s="83">
        <v>0</v>
      </c>
      <c r="GAE338" s="83">
        <v>999</v>
      </c>
      <c r="GRI338" s="96">
        <v>0.4</v>
      </c>
      <c r="GRJ338" s="83">
        <v>1</v>
      </c>
      <c r="GRN338" s="100">
        <v>999</v>
      </c>
      <c r="GRO338" s="83">
        <v>6</v>
      </c>
      <c r="GRP338" s="83">
        <v>0</v>
      </c>
      <c r="GRQ338" s="83">
        <v>999</v>
      </c>
      <c r="GWV338" s="83">
        <v>1</v>
      </c>
      <c r="GXD338" s="83">
        <v>1</v>
      </c>
      <c r="GXE338" s="83">
        <v>1</v>
      </c>
      <c r="GXF338" s="83">
        <v>1</v>
      </c>
      <c r="GXK338" s="83">
        <v>1</v>
      </c>
      <c r="GXL338" s="83">
        <v>1</v>
      </c>
      <c r="GXP338" s="83">
        <v>1</v>
      </c>
      <c r="GYG338" s="83">
        <v>1</v>
      </c>
      <c r="GYV338" s="83">
        <v>1</v>
      </c>
      <c r="GYZ338" s="83">
        <v>1</v>
      </c>
      <c r="GZE338" s="83">
        <v>1</v>
      </c>
      <c r="HCA338" s="83">
        <v>1</v>
      </c>
      <c r="HDS338" s="83">
        <v>1</v>
      </c>
    </row>
    <row r="339" spans="1:1014 1029:4050 4164:5112 5155:5655" s="59" customFormat="1" x14ac:dyDescent="0.25">
      <c r="A339" s="108">
        <v>9003267</v>
      </c>
      <c r="B339" s="60" t="s">
        <v>4196</v>
      </c>
      <c r="HR339" s="59">
        <v>6500</v>
      </c>
      <c r="HV339" s="59">
        <v>13100</v>
      </c>
      <c r="HX339" s="59">
        <v>16000</v>
      </c>
      <c r="HZ339" s="59">
        <v>15700</v>
      </c>
      <c r="IB339" s="59">
        <v>11800</v>
      </c>
      <c r="JR339" s="59">
        <v>240</v>
      </c>
      <c r="JT339" s="59">
        <v>342</v>
      </c>
      <c r="JW339" s="59">
        <v>330</v>
      </c>
      <c r="KA339" s="59">
        <v>276</v>
      </c>
      <c r="KB339" s="59">
        <v>263.39999999999998</v>
      </c>
      <c r="KY339" s="59">
        <v>29.4</v>
      </c>
      <c r="NG339" s="59">
        <v>345</v>
      </c>
      <c r="NI339" s="59">
        <v>471.6</v>
      </c>
      <c r="OM339" s="59">
        <v>45.6</v>
      </c>
      <c r="QU339" s="59">
        <v>272.39999999999998</v>
      </c>
      <c r="QZ339" s="59">
        <v>352.2</v>
      </c>
      <c r="RD339" s="59">
        <v>258</v>
      </c>
      <c r="RE339" s="59">
        <v>266.39999999999998</v>
      </c>
      <c r="RZ339" s="59">
        <v>40.200000000000003</v>
      </c>
      <c r="TM339" s="59">
        <v>540</v>
      </c>
      <c r="TV339" s="59">
        <v>516</v>
      </c>
      <c r="UL339" s="64"/>
      <c r="UM339" s="64"/>
      <c r="UN339" s="64"/>
      <c r="UO339" s="64">
        <v>52020</v>
      </c>
      <c r="UP339" s="64"/>
      <c r="UQ339" s="64">
        <v>57900</v>
      </c>
      <c r="UR339" s="64"/>
      <c r="US339" s="64">
        <v>55800</v>
      </c>
      <c r="AGG339" s="59">
        <v>218.4</v>
      </c>
      <c r="AGI339" s="59">
        <v>289.2</v>
      </c>
      <c r="AGP339" s="59">
        <v>222</v>
      </c>
      <c r="AGQ339" s="59">
        <v>228.6</v>
      </c>
      <c r="AJP339" s="59">
        <v>0.85970000000000002</v>
      </c>
      <c r="ANH339" s="59">
        <v>53.5</v>
      </c>
      <c r="ANP339" s="59">
        <v>9.1999999999999993</v>
      </c>
      <c r="AOU339" s="82">
        <v>12.6126</v>
      </c>
      <c r="ASE339" s="59">
        <v>115000</v>
      </c>
      <c r="ASF339" s="59">
        <v>120000</v>
      </c>
      <c r="BCR339" s="59">
        <v>28.1995</v>
      </c>
      <c r="BCS339" s="59">
        <v>27.5549</v>
      </c>
      <c r="BKD339" s="59">
        <v>419</v>
      </c>
      <c r="BNN339" s="59">
        <v>14.9</v>
      </c>
      <c r="BNP339" s="59">
        <v>26.2</v>
      </c>
      <c r="BOA339">
        <v>33</v>
      </c>
      <c r="BOB339"/>
      <c r="BOC339">
        <v>1</v>
      </c>
      <c r="BOD339">
        <v>35.630000000000003</v>
      </c>
      <c r="BOE339"/>
      <c r="BOF339">
        <v>1</v>
      </c>
      <c r="BOG339"/>
      <c r="BOH339"/>
      <c r="BOI339"/>
      <c r="BYJ339" s="65"/>
      <c r="BZL339" s="59">
        <v>2000</v>
      </c>
      <c r="BZM339" s="59">
        <v>500</v>
      </c>
      <c r="BZN339" s="59">
        <v>1</v>
      </c>
      <c r="BZQ339" s="59">
        <v>1</v>
      </c>
      <c r="BZS339" s="59">
        <v>6</v>
      </c>
      <c r="BZT339" s="59">
        <v>4</v>
      </c>
      <c r="BZU339" s="59">
        <v>0</v>
      </c>
      <c r="BZV339" s="59">
        <v>1</v>
      </c>
      <c r="CBE339" s="59">
        <v>500</v>
      </c>
      <c r="CBF339" s="59">
        <v>1</v>
      </c>
      <c r="CBI339" s="59">
        <v>1</v>
      </c>
      <c r="CBJ339" s="59">
        <v>5</v>
      </c>
      <c r="CBK339" s="59">
        <v>1</v>
      </c>
      <c r="CBL339" s="59">
        <v>0</v>
      </c>
      <c r="CBM339" s="59">
        <v>3</v>
      </c>
    </row>
    <row r="340" spans="1:1014 1029:4050 4164:5112 5155:5655" s="59" customFormat="1" x14ac:dyDescent="0.25">
      <c r="A340" s="59">
        <v>9036964</v>
      </c>
      <c r="B340" s="60" t="s">
        <v>4196</v>
      </c>
      <c r="IU340" s="59">
        <v>50.4</v>
      </c>
      <c r="IV340" s="59">
        <v>83.7</v>
      </c>
      <c r="IY340" s="59">
        <v>15</v>
      </c>
      <c r="JQ340" s="59">
        <v>307</v>
      </c>
      <c r="JR340" s="59">
        <v>357</v>
      </c>
      <c r="JS340" s="59">
        <v>405</v>
      </c>
      <c r="JW340" s="59">
        <v>130</v>
      </c>
      <c r="MG340" s="59">
        <v>43.8</v>
      </c>
      <c r="MH340" s="59">
        <v>57.2</v>
      </c>
      <c r="MM340" s="59">
        <v>43.8</v>
      </c>
      <c r="NF340" s="59">
        <v>210</v>
      </c>
      <c r="NG340" s="59">
        <v>242</v>
      </c>
      <c r="NH340" s="59">
        <v>273</v>
      </c>
      <c r="NL340" s="59">
        <v>170</v>
      </c>
      <c r="PY340" s="59">
        <v>120.6</v>
      </c>
      <c r="QT340" s="59">
        <v>317</v>
      </c>
      <c r="QU340" s="59">
        <v>281</v>
      </c>
      <c r="TL340" s="59">
        <v>486</v>
      </c>
      <c r="TM340" s="59">
        <v>463</v>
      </c>
      <c r="TN340" s="59">
        <v>395</v>
      </c>
      <c r="TR340" s="59">
        <v>232</v>
      </c>
      <c r="UL340" s="64"/>
      <c r="UM340" s="64"/>
      <c r="UN340" s="64"/>
      <c r="UO340" s="64"/>
      <c r="UP340" s="64"/>
      <c r="UQ340" s="64"/>
      <c r="UR340" s="64"/>
      <c r="US340" s="64"/>
      <c r="ZT340" s="59">
        <v>15.79</v>
      </c>
      <c r="AAX340" s="59">
        <v>0.21149999999999999</v>
      </c>
      <c r="ABN340" s="59">
        <v>0.15379999999999999</v>
      </c>
      <c r="ABR340" s="59">
        <v>0.10630000000000001</v>
      </c>
      <c r="AFL340" s="59">
        <v>246</v>
      </c>
      <c r="AGF340" s="59">
        <v>242</v>
      </c>
      <c r="AGG340" s="59">
        <v>229</v>
      </c>
      <c r="AGH340" s="59">
        <v>193</v>
      </c>
      <c r="AGL340" s="59">
        <v>174</v>
      </c>
      <c r="ANH340" s="59">
        <v>20.100000000000001</v>
      </c>
      <c r="ANI340" s="59">
        <v>17.7</v>
      </c>
      <c r="AZT340" s="59">
        <v>46</v>
      </c>
      <c r="BHG340" s="59">
        <v>3.6</v>
      </c>
      <c r="BHH340" s="59">
        <v>3.4</v>
      </c>
      <c r="BKO340" s="59">
        <v>36.200000000000003</v>
      </c>
      <c r="BOA340">
        <v>31</v>
      </c>
      <c r="BOB340"/>
      <c r="BOC340">
        <v>1</v>
      </c>
      <c r="BOD340">
        <v>280.39999999999998</v>
      </c>
      <c r="BOE340"/>
      <c r="BOF340">
        <v>1</v>
      </c>
      <c r="BOG340">
        <v>7</v>
      </c>
      <c r="BOH340"/>
      <c r="BOI340">
        <v>1</v>
      </c>
      <c r="BYJ340" s="65"/>
      <c r="BZL340" s="59">
        <v>76500</v>
      </c>
      <c r="BZM340" s="59">
        <v>500</v>
      </c>
      <c r="BZN340" s="59">
        <v>1</v>
      </c>
      <c r="BZQ340" s="59">
        <v>1</v>
      </c>
      <c r="BZS340" s="59">
        <v>153</v>
      </c>
      <c r="BZU340" s="59">
        <v>0</v>
      </c>
      <c r="BZV340" s="59">
        <v>1</v>
      </c>
      <c r="BZY340" s="59">
        <v>100</v>
      </c>
      <c r="BZZ340" s="59">
        <v>1</v>
      </c>
      <c r="CAC340" s="59">
        <v>1</v>
      </c>
      <c r="CAD340" s="59">
        <v>305</v>
      </c>
      <c r="CAF340" s="59">
        <v>0</v>
      </c>
      <c r="CAG340" s="59">
        <v>2</v>
      </c>
      <c r="DHL340" s="59">
        <v>16</v>
      </c>
      <c r="DHM340" s="59">
        <v>1</v>
      </c>
      <c r="DHP340" s="59">
        <v>1</v>
      </c>
      <c r="DHQ340" s="59">
        <v>999</v>
      </c>
      <c r="DHR340" s="59">
        <v>999</v>
      </c>
      <c r="DHS340" s="59">
        <v>0</v>
      </c>
      <c r="DHT340" s="59">
        <v>1</v>
      </c>
      <c r="DNQ340" s="59">
        <v>20</v>
      </c>
      <c r="DNR340" s="59">
        <v>1</v>
      </c>
      <c r="DNU340" s="59">
        <v>1</v>
      </c>
      <c r="DNV340" s="69">
        <v>999</v>
      </c>
      <c r="DNW340" s="59">
        <v>153</v>
      </c>
      <c r="DNX340" s="59">
        <v>0</v>
      </c>
      <c r="DNY340" s="59">
        <v>999</v>
      </c>
      <c r="DWH340" s="59">
        <v>200</v>
      </c>
      <c r="DWI340" s="59">
        <v>1</v>
      </c>
      <c r="DWL340" s="59">
        <v>1</v>
      </c>
      <c r="DWM340" s="69">
        <v>999</v>
      </c>
      <c r="DWO340" s="59">
        <v>0</v>
      </c>
      <c r="DWP340" s="59">
        <v>999</v>
      </c>
      <c r="ECV340" s="59">
        <v>10</v>
      </c>
      <c r="ECW340" s="59">
        <v>1</v>
      </c>
      <c r="ECZ340" s="59">
        <v>1</v>
      </c>
      <c r="EDA340" s="59">
        <v>305</v>
      </c>
      <c r="EDC340" s="59">
        <v>0</v>
      </c>
      <c r="EDD340" s="59">
        <v>1</v>
      </c>
      <c r="EDF340" s="59">
        <v>1400</v>
      </c>
      <c r="EDG340" s="59">
        <v>3</v>
      </c>
      <c r="EDJ340" s="59">
        <v>1</v>
      </c>
      <c r="EDK340" s="69">
        <v>999</v>
      </c>
      <c r="EDM340" s="59">
        <v>0</v>
      </c>
      <c r="EDN340" s="59">
        <v>999</v>
      </c>
      <c r="EDT340" s="59">
        <v>1</v>
      </c>
      <c r="EDU340" s="69">
        <v>999</v>
      </c>
      <c r="EDV340" s="59">
        <v>244</v>
      </c>
      <c r="EDW340" s="59">
        <v>0</v>
      </c>
      <c r="EDX340" s="59">
        <v>999</v>
      </c>
      <c r="EFM340" s="59">
        <v>1</v>
      </c>
      <c r="EFO340" s="69">
        <v>999</v>
      </c>
      <c r="EFP340" s="59">
        <v>999</v>
      </c>
      <c r="EFQ340" s="59">
        <v>0</v>
      </c>
      <c r="EFR340" s="59">
        <v>999</v>
      </c>
      <c r="GMB340" s="59">
        <v>125</v>
      </c>
      <c r="GMC340" s="59">
        <v>1</v>
      </c>
      <c r="GMF340" s="59">
        <v>1</v>
      </c>
      <c r="GMG340" s="59">
        <v>7</v>
      </c>
      <c r="GMH340" s="59">
        <v>9</v>
      </c>
      <c r="GMI340" s="59">
        <v>3</v>
      </c>
      <c r="GMJ340" s="59">
        <v>0</v>
      </c>
      <c r="GUM340" s="59">
        <v>1</v>
      </c>
    </row>
    <row r="341" spans="1:1014 1029:4050 4164:5112 5155:5655" s="83" customFormat="1" x14ac:dyDescent="0.25">
      <c r="A341" s="83">
        <v>9090287</v>
      </c>
      <c r="B341" s="83" t="s">
        <v>4196</v>
      </c>
      <c r="BE341" s="83">
        <v>36</v>
      </c>
      <c r="BF341" s="83">
        <v>42</v>
      </c>
      <c r="BG341" s="83">
        <v>69</v>
      </c>
      <c r="BH341" s="83">
        <v>86</v>
      </c>
      <c r="CO341" s="83">
        <v>2.04</v>
      </c>
      <c r="CP341" s="83">
        <v>1.69</v>
      </c>
      <c r="EI341" s="83">
        <v>40.200000000000003</v>
      </c>
      <c r="HS341" s="83">
        <v>7090</v>
      </c>
      <c r="JS341" s="96">
        <v>7837</v>
      </c>
      <c r="JT341" s="83">
        <v>4410</v>
      </c>
      <c r="JU341" s="83">
        <v>817</v>
      </c>
      <c r="JV341" s="83">
        <v>291</v>
      </c>
      <c r="JW341" s="83">
        <v>131</v>
      </c>
      <c r="NH341" s="83">
        <v>9462</v>
      </c>
      <c r="NI341" s="83">
        <v>7114</v>
      </c>
      <c r="NJ341" s="83">
        <v>4107</v>
      </c>
      <c r="NK341" s="83">
        <v>2881</v>
      </c>
      <c r="NL341" s="83">
        <v>1819</v>
      </c>
      <c r="QW341" s="83">
        <v>207</v>
      </c>
      <c r="TN341" s="83">
        <v>4314</v>
      </c>
      <c r="UL341" s="102"/>
      <c r="UM341" s="102"/>
      <c r="UN341" s="102"/>
      <c r="UO341" s="102"/>
      <c r="UP341" s="102"/>
      <c r="UQ341" s="102"/>
      <c r="UR341" s="102"/>
      <c r="US341" s="102"/>
      <c r="ZU341" s="83">
        <v>13.21</v>
      </c>
      <c r="ZV341" s="83">
        <v>11.76</v>
      </c>
      <c r="ZX341" s="83">
        <v>12.41</v>
      </c>
      <c r="ZY341" s="83">
        <v>12.09</v>
      </c>
      <c r="ABN341" s="83">
        <v>0.53959999999999997</v>
      </c>
      <c r="ABO341" s="83">
        <v>0.63009999999999999</v>
      </c>
      <c r="ABP341" s="83">
        <v>0.67079999999999995</v>
      </c>
      <c r="ABQ341" s="83">
        <v>0.45700000000000002</v>
      </c>
      <c r="ABR341" s="83">
        <v>0.26919999999999999</v>
      </c>
      <c r="AGH341" s="83">
        <v>48</v>
      </c>
      <c r="AGI341" s="83">
        <v>53</v>
      </c>
      <c r="AJQ341" s="83">
        <v>0.88009999999999999</v>
      </c>
      <c r="AJR341" s="83">
        <v>0.76470000000000005</v>
      </c>
      <c r="ANI341" s="83">
        <v>36.200000000000003</v>
      </c>
      <c r="ANJ341" s="83">
        <v>40.5</v>
      </c>
      <c r="AOW341" s="83">
        <v>37.329599999999999</v>
      </c>
      <c r="ASF341" s="83">
        <v>12000</v>
      </c>
      <c r="ASG341" s="83">
        <v>19000</v>
      </c>
      <c r="ASI341" s="83">
        <v>84000</v>
      </c>
      <c r="ASJ341" s="83">
        <v>129000</v>
      </c>
      <c r="AXO341" s="83">
        <v>7.43</v>
      </c>
      <c r="AXY341" s="83">
        <v>2.9</v>
      </c>
      <c r="AYE341" s="83">
        <v>26.8</v>
      </c>
      <c r="AYS341" s="83">
        <v>41.253386671511002</v>
      </c>
      <c r="AZV341" s="83">
        <v>34</v>
      </c>
      <c r="AZX341" s="83">
        <v>36</v>
      </c>
      <c r="AZY341" s="83">
        <v>36</v>
      </c>
      <c r="BGA341" s="83">
        <v>130</v>
      </c>
      <c r="BGB341" s="83">
        <v>133</v>
      </c>
      <c r="BIJ341" s="83">
        <v>2.1</v>
      </c>
      <c r="BIK341" s="83">
        <v>2.0699999999999998</v>
      </c>
      <c r="BMC341" s="83">
        <v>54.7</v>
      </c>
      <c r="BMD341" s="83">
        <v>35.4</v>
      </c>
      <c r="BME341" s="83">
        <v>52</v>
      </c>
      <c r="BOA341" s="6">
        <v>47</v>
      </c>
      <c r="BOB341" s="6">
        <v>1</v>
      </c>
      <c r="BOC341" s="6"/>
      <c r="BOD341" s="6"/>
      <c r="BOE341" s="6"/>
      <c r="BOF341" s="6">
        <v>1</v>
      </c>
      <c r="BOG341" s="6">
        <v>8</v>
      </c>
      <c r="BOH341" s="6">
        <v>1</v>
      </c>
      <c r="BOI341" s="6">
        <v>1</v>
      </c>
      <c r="BYJ341" s="95"/>
      <c r="BZL341" s="83">
        <v>10000</v>
      </c>
      <c r="BZM341" s="83">
        <v>500</v>
      </c>
      <c r="BZN341" s="83">
        <v>20</v>
      </c>
      <c r="BZQ341" s="83">
        <v>1</v>
      </c>
      <c r="BZS341" s="83">
        <v>1</v>
      </c>
      <c r="BZT341" s="83">
        <v>1</v>
      </c>
      <c r="BZU341" s="83">
        <v>1</v>
      </c>
      <c r="BZV341" s="83">
        <v>0</v>
      </c>
    </row>
    <row r="342" spans="1:1014 1029:4050 4164:5112 5155:5655" s="59" customFormat="1" x14ac:dyDescent="0.25">
      <c r="A342" s="63">
        <v>9095148</v>
      </c>
      <c r="B342" s="60" t="s">
        <v>4196</v>
      </c>
      <c r="BC342" s="59">
        <v>69</v>
      </c>
      <c r="BD342" s="59">
        <v>85</v>
      </c>
      <c r="CM342" s="59">
        <v>1.3</v>
      </c>
      <c r="CN342" s="59">
        <v>1.1100000000000001</v>
      </c>
      <c r="EG342" s="59">
        <v>43.3</v>
      </c>
      <c r="EH342" s="59">
        <v>32.200000000000003</v>
      </c>
      <c r="FN342" s="59">
        <v>82</v>
      </c>
      <c r="FY342" s="63">
        <v>3465</v>
      </c>
      <c r="GJ342" s="59">
        <v>64</v>
      </c>
      <c r="GZ342" s="59">
        <v>26600</v>
      </c>
      <c r="HC342" s="59">
        <v>14100</v>
      </c>
      <c r="HG342" s="59">
        <v>2490</v>
      </c>
      <c r="HR342" s="59">
        <v>3610</v>
      </c>
      <c r="HS342" s="59">
        <v>3160</v>
      </c>
      <c r="HT342" s="59">
        <v>3550</v>
      </c>
      <c r="HU342" s="59">
        <v>7330</v>
      </c>
      <c r="NG342" s="59">
        <v>46</v>
      </c>
      <c r="QU342" s="59">
        <v>213</v>
      </c>
      <c r="TM342" s="59">
        <v>446</v>
      </c>
      <c r="UL342" s="64"/>
      <c r="UM342" s="64"/>
      <c r="UN342" s="64"/>
      <c r="UO342" s="64"/>
      <c r="UP342" s="64"/>
      <c r="UQ342" s="64"/>
      <c r="UR342" s="64"/>
      <c r="US342" s="64"/>
      <c r="YM342" s="76">
        <v>5.5</v>
      </c>
      <c r="YN342" s="59">
        <v>16</v>
      </c>
      <c r="YO342" s="59">
        <v>11</v>
      </c>
      <c r="AEW342" s="59">
        <v>6.1</v>
      </c>
      <c r="AGG342" s="59">
        <v>209</v>
      </c>
      <c r="AJO342" s="59">
        <v>0.7</v>
      </c>
      <c r="AJP342" s="59">
        <v>0.65</v>
      </c>
      <c r="AJQ342" s="59">
        <v>0.68</v>
      </c>
      <c r="AJR342" s="59">
        <v>0.65</v>
      </c>
      <c r="ANG342" s="59">
        <v>41</v>
      </c>
      <c r="ANH342" s="59">
        <v>32.1</v>
      </c>
      <c r="ANI342" s="59">
        <v>46.1</v>
      </c>
      <c r="ANJ342" s="59">
        <v>85.1</v>
      </c>
      <c r="AOU342" s="59">
        <v>32</v>
      </c>
      <c r="ARP342" s="59">
        <v>42</v>
      </c>
      <c r="ASD342" s="76">
        <v>65500</v>
      </c>
      <c r="ASE342" s="76">
        <v>84000</v>
      </c>
      <c r="ASF342" s="76">
        <v>117000</v>
      </c>
      <c r="ASG342" s="59">
        <v>163000</v>
      </c>
      <c r="AUU342" s="59">
        <v>95.7</v>
      </c>
      <c r="AUZ342" s="59">
        <v>30</v>
      </c>
      <c r="AVD342" s="59">
        <v>7</v>
      </c>
      <c r="AVG342" s="59">
        <v>41.7</v>
      </c>
      <c r="AWO342" s="59">
        <v>46</v>
      </c>
      <c r="BFZ342" s="59">
        <v>132</v>
      </c>
      <c r="BGA342" s="59">
        <v>130</v>
      </c>
      <c r="BGB342" s="59">
        <v>128</v>
      </c>
      <c r="BHF342" s="59">
        <v>3.7</v>
      </c>
      <c r="BHG342" s="59">
        <v>3.2</v>
      </c>
      <c r="BHH342" s="59">
        <v>3.4</v>
      </c>
      <c r="BOA342">
        <v>68</v>
      </c>
      <c r="BOB342"/>
      <c r="BOC342">
        <v>1</v>
      </c>
      <c r="BOD342">
        <v>21.31</v>
      </c>
      <c r="BOE342"/>
      <c r="BOF342">
        <v>1</v>
      </c>
      <c r="BOG342">
        <v>5</v>
      </c>
      <c r="BOH342"/>
      <c r="BOI342"/>
      <c r="BYJ342" s="65"/>
      <c r="BZL342" s="59">
        <v>7000</v>
      </c>
      <c r="BZM342" s="73">
        <v>500</v>
      </c>
      <c r="BZN342" s="59">
        <v>1</v>
      </c>
      <c r="BZO342" s="59">
        <v>1</v>
      </c>
      <c r="BZQ342" s="59">
        <v>1</v>
      </c>
      <c r="BZS342" s="59">
        <v>14</v>
      </c>
      <c r="BZT342" s="59">
        <v>17</v>
      </c>
      <c r="BZU342" s="59">
        <v>4</v>
      </c>
      <c r="BZV342" s="59">
        <v>0</v>
      </c>
      <c r="CBE342" s="59">
        <v>500</v>
      </c>
      <c r="CBF342" s="59">
        <v>1</v>
      </c>
      <c r="CBG342" s="59">
        <v>1</v>
      </c>
      <c r="CBJ342" s="59">
        <v>1</v>
      </c>
      <c r="CBK342" s="59">
        <v>3</v>
      </c>
      <c r="CBL342" s="59">
        <v>3</v>
      </c>
      <c r="CBM342" s="59">
        <v>0</v>
      </c>
      <c r="CNK342" s="59">
        <v>0.5</v>
      </c>
      <c r="CNL342" s="59">
        <v>2</v>
      </c>
      <c r="CNM342" s="59">
        <v>1</v>
      </c>
      <c r="CNO342" s="63">
        <v>1</v>
      </c>
      <c r="CNP342" s="59">
        <v>11</v>
      </c>
      <c r="CNQ342" s="59">
        <v>13</v>
      </c>
      <c r="CNR342" s="59">
        <v>3</v>
      </c>
      <c r="CNS342" s="59">
        <v>0</v>
      </c>
      <c r="CVP342" s="59">
        <v>80</v>
      </c>
      <c r="CVQ342" s="59">
        <v>1</v>
      </c>
      <c r="CVR342" s="59">
        <v>1</v>
      </c>
      <c r="CVU342" s="59">
        <v>2</v>
      </c>
      <c r="CVV342" s="59">
        <v>5</v>
      </c>
      <c r="CVW342" s="59">
        <v>4</v>
      </c>
      <c r="CVX342" s="59">
        <v>0</v>
      </c>
      <c r="CWK342" s="59">
        <v>2000</v>
      </c>
      <c r="CWL342" s="59">
        <v>1</v>
      </c>
      <c r="CWM342" s="59">
        <v>1</v>
      </c>
      <c r="CWP342" s="59">
        <v>14</v>
      </c>
      <c r="CWQ342" s="59">
        <v>16</v>
      </c>
      <c r="CWR342" s="59">
        <v>3</v>
      </c>
      <c r="CWS342" s="59">
        <v>0</v>
      </c>
      <c r="DDF342" s="63">
        <v>20</v>
      </c>
      <c r="DDG342" s="59">
        <v>2</v>
      </c>
      <c r="DDH342" s="59">
        <v>1</v>
      </c>
      <c r="DDK342" s="59">
        <v>3</v>
      </c>
      <c r="DDL342" s="59">
        <v>3</v>
      </c>
      <c r="DDM342" s="59">
        <v>1</v>
      </c>
      <c r="DDN342" s="59">
        <v>0</v>
      </c>
      <c r="DJK342" s="59">
        <v>2.5</v>
      </c>
      <c r="DJO342" s="59">
        <v>0</v>
      </c>
      <c r="DJP342" s="68">
        <v>999</v>
      </c>
      <c r="DJQ342" s="59">
        <v>999</v>
      </c>
      <c r="DJR342" s="59">
        <v>19</v>
      </c>
      <c r="DJS342" s="59">
        <v>0</v>
      </c>
      <c r="DQU342" s="59">
        <v>7.0000000000000007E-2</v>
      </c>
      <c r="DQV342" s="59">
        <v>1</v>
      </c>
      <c r="DQY342" s="59">
        <v>1</v>
      </c>
      <c r="DQZ342" s="68">
        <v>999</v>
      </c>
      <c r="DRA342" s="59">
        <v>999</v>
      </c>
      <c r="DRB342" s="59">
        <v>0</v>
      </c>
      <c r="DRC342" s="59">
        <v>4</v>
      </c>
      <c r="DXM342" s="59">
        <v>2500</v>
      </c>
      <c r="DXN342" s="59">
        <v>1</v>
      </c>
      <c r="DXQ342" s="59">
        <v>1</v>
      </c>
      <c r="DXS342" s="59">
        <v>1</v>
      </c>
      <c r="DXT342" s="59">
        <v>2</v>
      </c>
      <c r="DXU342" s="59">
        <v>2</v>
      </c>
      <c r="DXV342" s="59">
        <v>0</v>
      </c>
      <c r="DZF342" s="59">
        <v>2.5</v>
      </c>
      <c r="DZG342" s="59">
        <v>1</v>
      </c>
      <c r="DZJ342" s="59">
        <v>1</v>
      </c>
      <c r="DZL342" s="59">
        <v>3</v>
      </c>
      <c r="DZM342" s="59">
        <v>1</v>
      </c>
      <c r="DZN342" s="59">
        <v>0</v>
      </c>
      <c r="DZO342" s="59">
        <v>1</v>
      </c>
      <c r="EEL342" s="59">
        <v>10</v>
      </c>
      <c r="EEM342" s="59">
        <v>1</v>
      </c>
      <c r="EEP342" s="59">
        <v>1</v>
      </c>
      <c r="EEQ342" s="59">
        <v>999</v>
      </c>
      <c r="EER342" s="59">
        <v>10</v>
      </c>
      <c r="EES342" s="59">
        <v>0</v>
      </c>
      <c r="EHH342" s="59">
        <v>10</v>
      </c>
      <c r="EHI342" s="59">
        <v>1</v>
      </c>
      <c r="EHL342" s="59">
        <v>1</v>
      </c>
      <c r="EHM342" s="59">
        <v>1</v>
      </c>
      <c r="EHN342" s="59">
        <v>2</v>
      </c>
      <c r="EHO342" s="59">
        <v>0</v>
      </c>
      <c r="EHP342" s="59">
        <v>2</v>
      </c>
      <c r="EKK342" s="59">
        <v>1</v>
      </c>
      <c r="EKN342" s="59">
        <v>1</v>
      </c>
      <c r="EKO342" s="59">
        <v>999</v>
      </c>
      <c r="EKP342" s="59">
        <v>999</v>
      </c>
      <c r="EKQ342" s="59">
        <v>2</v>
      </c>
      <c r="EKR342" s="59">
        <v>0</v>
      </c>
      <c r="ELY342" s="59">
        <v>40</v>
      </c>
      <c r="ELZ342" s="59">
        <v>1</v>
      </c>
      <c r="EMC342" s="59">
        <v>1</v>
      </c>
      <c r="EMD342" s="68">
        <v>999</v>
      </c>
      <c r="EME342" s="59">
        <v>999</v>
      </c>
      <c r="EMF342" s="59">
        <v>0</v>
      </c>
      <c r="EMG342" s="59">
        <v>4</v>
      </c>
      <c r="FRX342" s="59">
        <v>400</v>
      </c>
      <c r="FRY342" s="59">
        <v>1</v>
      </c>
      <c r="FRZ342" s="59">
        <v>1</v>
      </c>
      <c r="FSC342" s="59">
        <v>6</v>
      </c>
      <c r="FSD342" s="59">
        <v>9</v>
      </c>
      <c r="FSE342" s="59">
        <v>4</v>
      </c>
      <c r="FSF342" s="59">
        <v>0</v>
      </c>
    </row>
    <row r="343" spans="1:1014 1029:4050 4164:5112 5155:5655" s="59" customFormat="1" x14ac:dyDescent="0.25">
      <c r="A343" s="77">
        <v>9104979</v>
      </c>
      <c r="B343" s="60" t="s">
        <v>4196</v>
      </c>
      <c r="JT343" s="59">
        <v>196</v>
      </c>
      <c r="JW343" s="59">
        <v>153</v>
      </c>
      <c r="KA343" s="59">
        <v>249</v>
      </c>
      <c r="KE343" s="59">
        <v>156</v>
      </c>
      <c r="KV343" s="59">
        <v>106</v>
      </c>
      <c r="LF343" s="59">
        <v>62</v>
      </c>
      <c r="NI343" s="59">
        <v>215</v>
      </c>
      <c r="NL343" s="59">
        <v>109</v>
      </c>
      <c r="NP343" s="59">
        <v>297</v>
      </c>
      <c r="NT343" s="59">
        <v>207</v>
      </c>
      <c r="OJ343" s="59">
        <v>68</v>
      </c>
      <c r="OV343" s="59">
        <v>38</v>
      </c>
      <c r="UL343" s="64"/>
      <c r="UM343" s="64"/>
      <c r="UN343" s="64"/>
      <c r="UO343" s="64"/>
      <c r="UP343" s="64"/>
      <c r="UQ343" s="64"/>
      <c r="UR343" s="64"/>
      <c r="US343" s="64"/>
      <c r="ABL343" s="63"/>
      <c r="ABO343" s="59">
        <v>5.4</v>
      </c>
      <c r="ABR343" s="59">
        <v>2.1</v>
      </c>
      <c r="ABV343" s="59">
        <v>2.4</v>
      </c>
      <c r="ABZ343" s="59">
        <v>1.3</v>
      </c>
      <c r="ACO343" s="59">
        <v>7.8</v>
      </c>
      <c r="ACV343" s="59">
        <v>4.5</v>
      </c>
      <c r="AGI343" s="59">
        <v>377</v>
      </c>
      <c r="AGL343" s="59">
        <v>355</v>
      </c>
      <c r="AGP343" s="59">
        <v>512</v>
      </c>
      <c r="AGT343" s="59">
        <v>483</v>
      </c>
      <c r="AHI343" s="59">
        <v>68</v>
      </c>
      <c r="AHP343" s="59">
        <v>38</v>
      </c>
      <c r="AMO343" s="64">
        <v>3598</v>
      </c>
      <c r="AMQ343" s="59">
        <v>68</v>
      </c>
      <c r="ASD343" s="63"/>
      <c r="ASE343" s="63"/>
      <c r="ASF343" s="63"/>
      <c r="ASG343" s="63"/>
      <c r="BOA343">
        <v>94</v>
      </c>
      <c r="BOB343"/>
      <c r="BOC343">
        <v>1</v>
      </c>
      <c r="BOD343">
        <v>24.97</v>
      </c>
      <c r="BOE343">
        <v>1</v>
      </c>
      <c r="BOF343"/>
      <c r="BOG343">
        <v>8</v>
      </c>
      <c r="BOH343"/>
      <c r="BOI343"/>
      <c r="BYJ343" s="65"/>
      <c r="BZL343" s="59">
        <v>3500</v>
      </c>
      <c r="BZM343" s="59">
        <v>500</v>
      </c>
      <c r="BZN343" s="59">
        <v>1</v>
      </c>
      <c r="BZQ343" s="59">
        <v>1</v>
      </c>
      <c r="BZS343" s="59">
        <v>11</v>
      </c>
      <c r="BZT343" s="59">
        <v>7</v>
      </c>
      <c r="BZU343" s="59">
        <v>0</v>
      </c>
      <c r="BZV343" s="59">
        <v>3</v>
      </c>
      <c r="CBI343" s="59">
        <v>1</v>
      </c>
      <c r="CBJ343" s="59">
        <v>13</v>
      </c>
      <c r="CBK343" s="59">
        <v>6</v>
      </c>
      <c r="CBL343" s="59">
        <v>0</v>
      </c>
      <c r="CBM343" s="59">
        <v>6</v>
      </c>
      <c r="DIP343" s="59">
        <v>10</v>
      </c>
      <c r="DIT343" s="59">
        <v>1</v>
      </c>
      <c r="DIU343" s="59">
        <v>999</v>
      </c>
      <c r="DIV343" s="59">
        <v>999</v>
      </c>
      <c r="DIW343" s="59">
        <v>0</v>
      </c>
      <c r="DIX343" s="59">
        <v>12</v>
      </c>
      <c r="DQJ343" s="59">
        <v>400</v>
      </c>
      <c r="DQK343" s="59">
        <v>1</v>
      </c>
      <c r="DQO343" s="59">
        <v>1</v>
      </c>
      <c r="DQP343" s="59">
        <v>1</v>
      </c>
      <c r="DQQ343" s="59">
        <v>12</v>
      </c>
      <c r="DQR343" s="59">
        <v>12</v>
      </c>
      <c r="DQS343" s="59">
        <v>0</v>
      </c>
      <c r="EAL343" s="77" t="s">
        <v>2412</v>
      </c>
      <c r="EAM343" s="59">
        <v>1</v>
      </c>
      <c r="EAP343" s="59">
        <v>1</v>
      </c>
      <c r="EAR343" s="59">
        <v>7</v>
      </c>
      <c r="EAS343" s="59">
        <v>6</v>
      </c>
      <c r="EAT343" s="59">
        <v>0</v>
      </c>
      <c r="EAU343" s="59">
        <v>0</v>
      </c>
      <c r="ELY343" s="59">
        <v>20</v>
      </c>
      <c r="ELZ343" s="59">
        <v>1</v>
      </c>
      <c r="EMC343" s="59">
        <v>1</v>
      </c>
      <c r="EMD343" s="59">
        <v>11</v>
      </c>
      <c r="EME343" s="59">
        <v>7</v>
      </c>
      <c r="EMF343" s="59">
        <v>0</v>
      </c>
      <c r="EMG343" s="59">
        <v>3</v>
      </c>
      <c r="FDD343" s="59">
        <v>70</v>
      </c>
      <c r="FDE343" s="59">
        <v>1</v>
      </c>
      <c r="FDH343" s="59">
        <v>1</v>
      </c>
      <c r="FDI343" s="59">
        <v>8</v>
      </c>
      <c r="FDJ343" s="59">
        <v>4</v>
      </c>
      <c r="FDK343" s="59">
        <v>0</v>
      </c>
      <c r="FDL343" s="59">
        <v>3</v>
      </c>
    </row>
    <row r="344" spans="1:1014 1029:4050 4164:5112 5155:5655" s="59" customFormat="1" x14ac:dyDescent="0.25">
      <c r="A344" s="59">
        <v>9139514</v>
      </c>
      <c r="B344" s="60" t="s">
        <v>4196</v>
      </c>
      <c r="KA344" s="59">
        <v>1773</v>
      </c>
      <c r="KE344" s="59">
        <v>2057</v>
      </c>
      <c r="KF344" s="59">
        <v>1986</v>
      </c>
      <c r="KR344" s="59">
        <v>717</v>
      </c>
      <c r="LG344" s="59">
        <v>164</v>
      </c>
      <c r="NP344" s="59">
        <v>2988</v>
      </c>
      <c r="NU344" s="59">
        <v>2666</v>
      </c>
      <c r="OG344" s="59">
        <v>940</v>
      </c>
      <c r="OW344" s="59">
        <v>209</v>
      </c>
      <c r="PB344" s="59">
        <v>190</v>
      </c>
      <c r="UL344" s="64"/>
      <c r="UM344" s="64"/>
      <c r="UN344" s="64"/>
      <c r="UO344" s="64"/>
      <c r="UP344" s="64"/>
      <c r="UQ344" s="64"/>
      <c r="UR344" s="64"/>
      <c r="US344" s="64"/>
      <c r="ABL344" s="63"/>
      <c r="ABV344" s="59">
        <v>7.71</v>
      </c>
      <c r="ACA344" s="59">
        <v>17.260000000000002</v>
      </c>
      <c r="ACI344" s="64">
        <v>41</v>
      </c>
      <c r="ACK344" s="59">
        <v>31</v>
      </c>
      <c r="ACW344" s="59">
        <v>7</v>
      </c>
      <c r="ADB344" s="59">
        <v>5</v>
      </c>
      <c r="ADG344" s="59">
        <v>2.2000000000000002</v>
      </c>
      <c r="AGP344" s="59">
        <v>343</v>
      </c>
      <c r="AHF344" s="59">
        <v>248</v>
      </c>
      <c r="BOA344">
        <v>53</v>
      </c>
      <c r="BOB344"/>
      <c r="BOC344">
        <v>1</v>
      </c>
      <c r="BOD344">
        <v>28.33</v>
      </c>
      <c r="BOE344"/>
      <c r="BOF344"/>
      <c r="BOG344"/>
      <c r="BOH344"/>
      <c r="BOI344"/>
      <c r="BYJ344" s="65"/>
      <c r="BYZ344" s="59">
        <v>600</v>
      </c>
      <c r="BZA344" s="59">
        <v>3</v>
      </c>
      <c r="BZD344" s="59">
        <v>1</v>
      </c>
      <c r="BZF344" s="59">
        <v>330</v>
      </c>
      <c r="BZG344" s="59">
        <v>330</v>
      </c>
      <c r="BZH344" s="59">
        <v>0</v>
      </c>
      <c r="BZI344" s="59">
        <v>21</v>
      </c>
      <c r="BZL344" s="59">
        <v>999000</v>
      </c>
      <c r="BZM344" s="59">
        <v>500</v>
      </c>
      <c r="BZN344" s="59">
        <v>2</v>
      </c>
      <c r="BZQ344" s="59">
        <v>1</v>
      </c>
      <c r="BZS344" s="59">
        <v>999</v>
      </c>
      <c r="BZT344" s="59">
        <v>999</v>
      </c>
      <c r="BZU344" s="59">
        <v>61</v>
      </c>
      <c r="BZV344" s="59">
        <v>0</v>
      </c>
      <c r="BZZ344" s="59">
        <v>2</v>
      </c>
      <c r="CAC344" s="59">
        <v>1</v>
      </c>
      <c r="CAD344" s="59">
        <v>720</v>
      </c>
      <c r="CAE344" s="59">
        <v>720</v>
      </c>
      <c r="CAF344" s="59">
        <v>0</v>
      </c>
      <c r="CAG344" s="59">
        <v>4</v>
      </c>
      <c r="CFP344" s="59">
        <v>50</v>
      </c>
      <c r="CFQ344" s="59">
        <v>3</v>
      </c>
      <c r="CFT344" s="59">
        <v>1</v>
      </c>
      <c r="CFU344" s="59">
        <v>360</v>
      </c>
      <c r="CFW344" s="59">
        <v>0</v>
      </c>
      <c r="CFX344" s="59">
        <v>2</v>
      </c>
      <c r="DVN344" s="59">
        <v>23.75</v>
      </c>
      <c r="DVO344" s="59">
        <v>1</v>
      </c>
      <c r="DVR344" s="59">
        <v>1</v>
      </c>
      <c r="DVS344" s="59">
        <v>720</v>
      </c>
      <c r="DVT344" s="59">
        <v>720</v>
      </c>
      <c r="DVU344" s="59">
        <v>0</v>
      </c>
      <c r="DVV344" s="59">
        <v>10</v>
      </c>
      <c r="GLK344" s="59">
        <v>1</v>
      </c>
      <c r="GLL344" s="59">
        <v>720</v>
      </c>
      <c r="GLM344" s="59">
        <v>720</v>
      </c>
      <c r="GLN344" s="59">
        <v>0</v>
      </c>
      <c r="GLO344" s="59">
        <v>10</v>
      </c>
    </row>
    <row r="345" spans="1:1014 1029:4050 4164:5112 5155:5655" s="59" customFormat="1" x14ac:dyDescent="0.25">
      <c r="A345" s="59">
        <v>10020659</v>
      </c>
      <c r="B345" s="60" t="s">
        <v>4196</v>
      </c>
      <c r="AT345" s="59">
        <v>28</v>
      </c>
      <c r="AZ345" s="59">
        <v>17</v>
      </c>
      <c r="BK345" s="59">
        <v>99</v>
      </c>
      <c r="CM345" s="59">
        <v>4.2</v>
      </c>
      <c r="HQ345" s="59">
        <v>3800</v>
      </c>
      <c r="IT345" s="59">
        <v>76.2</v>
      </c>
      <c r="JQ345" s="59">
        <v>624</v>
      </c>
      <c r="JR345" s="59">
        <v>360</v>
      </c>
      <c r="JY345" s="59">
        <v>67.8</v>
      </c>
      <c r="MF345" s="59">
        <v>108.6</v>
      </c>
      <c r="ML345" s="59">
        <v>120</v>
      </c>
      <c r="NF345" s="59">
        <v>288.60000000000002</v>
      </c>
      <c r="NG345" s="59">
        <v>208.8</v>
      </c>
      <c r="NI345" s="59">
        <v>157.80000000000001</v>
      </c>
      <c r="NN345" s="59">
        <v>85.2</v>
      </c>
      <c r="PX345" s="59">
        <v>183.6</v>
      </c>
      <c r="QC345" s="59">
        <v>322.8</v>
      </c>
      <c r="QT345" s="63">
        <v>1350</v>
      </c>
      <c r="QU345" s="63">
        <v>1064.4000000000001</v>
      </c>
      <c r="QV345" s="63"/>
      <c r="QW345" s="63">
        <v>1000.8</v>
      </c>
      <c r="RB345" s="59">
        <v>447</v>
      </c>
      <c r="UL345" s="64">
        <v>21060</v>
      </c>
      <c r="UM345" s="64"/>
      <c r="UN345" s="64">
        <v>165780</v>
      </c>
      <c r="UO345" s="64">
        <v>55920</v>
      </c>
      <c r="UP345" s="64"/>
      <c r="UQ345" s="64"/>
      <c r="UR345" s="64"/>
      <c r="US345" s="64"/>
      <c r="VN345" s="59">
        <v>789.35140000000001</v>
      </c>
      <c r="VP345" s="59">
        <v>33.596600000000002</v>
      </c>
      <c r="ABO345" s="59">
        <v>0.15840000000000001</v>
      </c>
      <c r="AFM345" s="59">
        <v>85.2</v>
      </c>
      <c r="AGG345" s="59">
        <v>133.80000000000001</v>
      </c>
      <c r="AJO345" s="59">
        <v>1.1086</v>
      </c>
      <c r="ANG345" s="59">
        <v>2</v>
      </c>
      <c r="BMD345" s="59">
        <v>42</v>
      </c>
      <c r="BOA345">
        <v>61</v>
      </c>
      <c r="BOB345"/>
      <c r="BOC345">
        <v>1</v>
      </c>
      <c r="BOD345">
        <v>32.58</v>
      </c>
      <c r="BOE345"/>
      <c r="BOF345">
        <v>1</v>
      </c>
      <c r="BOG345">
        <v>9</v>
      </c>
      <c r="BOH345">
        <v>1</v>
      </c>
      <c r="BOI345"/>
      <c r="BYJ345" s="65"/>
      <c r="BZL345" s="59">
        <v>36000</v>
      </c>
      <c r="BZM345" s="59">
        <v>1000</v>
      </c>
      <c r="BZN345" s="59">
        <v>1</v>
      </c>
      <c r="BZQ345" s="59">
        <v>1</v>
      </c>
      <c r="BZS345" s="59">
        <v>36</v>
      </c>
      <c r="BZT345" s="59">
        <v>37</v>
      </c>
      <c r="BZU345" s="59">
        <v>2</v>
      </c>
      <c r="BZV345" s="59">
        <v>0</v>
      </c>
      <c r="DJK345" s="59">
        <v>7.5</v>
      </c>
      <c r="DJL345" s="59">
        <v>2</v>
      </c>
      <c r="DJO345" s="59">
        <v>1</v>
      </c>
      <c r="DJP345" s="69">
        <v>999</v>
      </c>
      <c r="DJQ345" s="59">
        <v>720</v>
      </c>
      <c r="DJR345" s="59">
        <v>0</v>
      </c>
      <c r="DJS345" s="59">
        <v>999</v>
      </c>
      <c r="DMW345" s="59">
        <v>5</v>
      </c>
      <c r="DMX345" s="59">
        <v>1</v>
      </c>
      <c r="DNA345" s="59">
        <v>1</v>
      </c>
      <c r="DNB345" s="59">
        <v>999</v>
      </c>
      <c r="DNC345" s="59">
        <v>720</v>
      </c>
      <c r="DND345" s="59">
        <v>0</v>
      </c>
      <c r="DNE345" s="59">
        <v>999</v>
      </c>
      <c r="DQU345" s="59">
        <v>7.0000000000000007E-2</v>
      </c>
      <c r="DQV345" s="59">
        <v>1</v>
      </c>
      <c r="DQY345" s="59">
        <v>1</v>
      </c>
      <c r="DQZ345" s="69">
        <v>999</v>
      </c>
      <c r="DRA345" s="59">
        <v>720</v>
      </c>
      <c r="DRB345" s="59">
        <v>0</v>
      </c>
      <c r="DRC345" s="59">
        <v>999</v>
      </c>
      <c r="DXC345" s="59">
        <v>3</v>
      </c>
      <c r="DXD345" s="59">
        <v>1</v>
      </c>
      <c r="DXG345" s="59">
        <v>1</v>
      </c>
      <c r="DXH345" s="59">
        <v>720</v>
      </c>
      <c r="DXI345" s="59">
        <v>720</v>
      </c>
      <c r="DXJ345" s="59">
        <v>2</v>
      </c>
      <c r="DXK345" s="59">
        <v>0</v>
      </c>
      <c r="EBQ345" s="59">
        <v>1</v>
      </c>
      <c r="EBR345" s="59">
        <v>1</v>
      </c>
      <c r="EBU345" s="59">
        <v>1</v>
      </c>
      <c r="EBV345" s="59">
        <v>720</v>
      </c>
      <c r="EBW345" s="59">
        <v>720</v>
      </c>
      <c r="EBX345" s="59">
        <v>2</v>
      </c>
      <c r="EBY345" s="59">
        <v>0</v>
      </c>
      <c r="ECV345" s="59">
        <v>1</v>
      </c>
      <c r="ECW345" s="59">
        <v>1</v>
      </c>
      <c r="ECZ345" s="59">
        <v>1</v>
      </c>
      <c r="EDA345" s="59">
        <v>720</v>
      </c>
      <c r="EDB345" s="59">
        <v>720</v>
      </c>
      <c r="EDC345" s="59">
        <v>2</v>
      </c>
      <c r="EDD345" s="59">
        <v>0</v>
      </c>
      <c r="ELY345" s="59">
        <v>40</v>
      </c>
      <c r="ELZ345" s="59">
        <v>2</v>
      </c>
      <c r="EMC345" s="59">
        <v>1</v>
      </c>
      <c r="EMD345" s="59">
        <v>999</v>
      </c>
      <c r="EME345" s="59">
        <v>720</v>
      </c>
      <c r="EMF345" s="59">
        <v>0</v>
      </c>
      <c r="EMG345" s="59">
        <v>999</v>
      </c>
      <c r="EYL345" s="59">
        <v>18</v>
      </c>
      <c r="EYM345" s="59">
        <v>1</v>
      </c>
      <c r="EYN345" s="59">
        <v>1</v>
      </c>
      <c r="EYQ345" s="69">
        <v>999</v>
      </c>
      <c r="EYR345" s="59">
        <v>720</v>
      </c>
      <c r="EYS345" s="59">
        <v>0</v>
      </c>
      <c r="EYT345" s="59">
        <v>999</v>
      </c>
    </row>
    <row r="346" spans="1:1014 1029:4050 4164:5112 5155:5655" s="83" customFormat="1" x14ac:dyDescent="0.25">
      <c r="A346" s="83">
        <v>10025902</v>
      </c>
      <c r="B346" s="83" t="s">
        <v>4196</v>
      </c>
      <c r="BJ346" s="83">
        <v>65</v>
      </c>
      <c r="BM346" s="83">
        <v>75</v>
      </c>
      <c r="HQ346" s="83">
        <v>11700</v>
      </c>
      <c r="JQ346" s="83">
        <v>751.2</v>
      </c>
      <c r="JR346" s="83">
        <v>618</v>
      </c>
      <c r="JW346" s="83">
        <v>446.4</v>
      </c>
      <c r="JX346" s="83">
        <v>306</v>
      </c>
      <c r="KA346" s="83">
        <v>132.6</v>
      </c>
      <c r="KD346" s="83">
        <v>52.2</v>
      </c>
      <c r="NF346" s="83">
        <v>1413</v>
      </c>
      <c r="NG346" s="83">
        <v>1169.4000000000001</v>
      </c>
      <c r="NL346" s="83">
        <v>906</v>
      </c>
      <c r="NM346" s="83">
        <v>733.8</v>
      </c>
      <c r="NP346" s="83">
        <v>395.4</v>
      </c>
      <c r="NS346" s="83">
        <v>206.4</v>
      </c>
      <c r="QT346" s="83">
        <v>678</v>
      </c>
      <c r="QU346" s="83">
        <v>546.6</v>
      </c>
      <c r="QZ346" s="83">
        <v>414.6</v>
      </c>
      <c r="RA346" s="83">
        <v>362.4</v>
      </c>
      <c r="RD346" s="83">
        <v>285</v>
      </c>
      <c r="RG346" s="83">
        <v>233.4</v>
      </c>
      <c r="RM346" s="83">
        <v>351</v>
      </c>
      <c r="UL346" s="102"/>
      <c r="UM346" s="102"/>
      <c r="UN346" s="102">
        <v>99600</v>
      </c>
      <c r="UO346" s="102"/>
      <c r="UP346" s="102"/>
      <c r="UQ346" s="102"/>
      <c r="UR346" s="102"/>
      <c r="US346" s="102"/>
      <c r="ABL346" s="83">
        <v>0.56559999999999999</v>
      </c>
      <c r="ABM346" s="83">
        <v>0.37330000000000002</v>
      </c>
      <c r="ADO346" s="83">
        <v>0.4491</v>
      </c>
      <c r="ADP346" s="83">
        <v>0.2828</v>
      </c>
      <c r="AGG346" s="83">
        <v>682.2</v>
      </c>
      <c r="AGP346" s="83">
        <v>541.79999999999995</v>
      </c>
      <c r="AJO346" s="83">
        <v>0.96150000000000002</v>
      </c>
      <c r="ANG346" s="83">
        <v>41.8</v>
      </c>
      <c r="ANH346" s="83">
        <v>34</v>
      </c>
      <c r="ANN346" s="83">
        <v>9</v>
      </c>
      <c r="ANY346" s="83">
        <v>38.5</v>
      </c>
      <c r="BOA346" s="6">
        <v>67</v>
      </c>
      <c r="BOB346" s="6">
        <v>1</v>
      </c>
      <c r="BOC346" s="6"/>
      <c r="BOD346" s="6">
        <v>26.37</v>
      </c>
      <c r="BOE346" s="6"/>
      <c r="BOF346" s="6">
        <v>1</v>
      </c>
      <c r="BOG346" s="6">
        <v>14</v>
      </c>
      <c r="BOH346" s="6"/>
      <c r="BOI346" s="6"/>
      <c r="BYJ346" s="95"/>
      <c r="BZL346" s="83">
        <v>7000</v>
      </c>
      <c r="BZM346" s="83">
        <v>1000</v>
      </c>
      <c r="BZN346" s="83">
        <v>1</v>
      </c>
      <c r="BZQ346" s="83">
        <v>1</v>
      </c>
      <c r="BZS346" s="83">
        <v>7</v>
      </c>
      <c r="BZT346" s="83">
        <v>9</v>
      </c>
      <c r="BZU346" s="83">
        <v>3</v>
      </c>
      <c r="BZV346" s="83">
        <v>0</v>
      </c>
      <c r="CUV346" s="83">
        <v>500</v>
      </c>
      <c r="CUW346" s="83">
        <v>1</v>
      </c>
      <c r="CUZ346" s="83">
        <v>1</v>
      </c>
      <c r="CVA346" s="83">
        <v>7</v>
      </c>
      <c r="CVB346" s="83">
        <v>9</v>
      </c>
      <c r="CVC346" s="83">
        <v>3</v>
      </c>
      <c r="CVD346" s="83">
        <v>0</v>
      </c>
      <c r="CXQ346" s="83">
        <v>100</v>
      </c>
      <c r="CXR346" s="83">
        <v>1</v>
      </c>
      <c r="CXU346" s="83">
        <v>1</v>
      </c>
      <c r="CXV346" s="83">
        <v>999</v>
      </c>
      <c r="CXW346" s="83">
        <v>999</v>
      </c>
      <c r="CXX346" s="83">
        <v>0</v>
      </c>
      <c r="CXY346" s="83">
        <v>0</v>
      </c>
      <c r="DCV346" s="83">
        <v>50</v>
      </c>
      <c r="DCW346" s="83">
        <v>1</v>
      </c>
      <c r="DCY346" s="83">
        <v>1</v>
      </c>
      <c r="DCZ346" s="100">
        <v>999</v>
      </c>
      <c r="DDA346" s="83">
        <v>999</v>
      </c>
      <c r="DDB346" s="83">
        <v>0</v>
      </c>
      <c r="DDC346" s="83">
        <v>999</v>
      </c>
      <c r="EXJ346" s="83">
        <v>1</v>
      </c>
      <c r="FXI346" s="83">
        <v>1</v>
      </c>
      <c r="GRI346" s="83">
        <v>0.4</v>
      </c>
      <c r="GRJ346" s="83">
        <v>1</v>
      </c>
      <c r="GRM346" s="83">
        <v>1</v>
      </c>
      <c r="GRN346" s="100">
        <v>999</v>
      </c>
      <c r="GRP346" s="83">
        <v>0</v>
      </c>
      <c r="GRQ346" s="83">
        <v>999</v>
      </c>
    </row>
    <row r="347" spans="1:1014 1029:4050 4164:5112 5155:5655" s="59" customFormat="1" x14ac:dyDescent="0.25">
      <c r="A347" s="59">
        <v>10027654</v>
      </c>
      <c r="B347" s="60" t="s">
        <v>4196</v>
      </c>
      <c r="JR347" s="59">
        <v>32</v>
      </c>
      <c r="JV347" s="59">
        <v>61</v>
      </c>
      <c r="KD347" s="59">
        <v>39</v>
      </c>
      <c r="KS347" s="59">
        <v>26</v>
      </c>
      <c r="MN347" s="59">
        <v>61</v>
      </c>
      <c r="NF347" s="59">
        <v>168</v>
      </c>
      <c r="NG347" s="59">
        <v>122</v>
      </c>
      <c r="NH347" s="59">
        <v>85</v>
      </c>
      <c r="OH347" s="59">
        <v>38</v>
      </c>
      <c r="ABM347" s="59">
        <v>0.7</v>
      </c>
      <c r="ABY347" s="59">
        <v>0.8</v>
      </c>
      <c r="AFO347" s="59">
        <v>101</v>
      </c>
      <c r="AGQ347" s="59">
        <v>137</v>
      </c>
      <c r="AHG347" s="59">
        <v>98</v>
      </c>
      <c r="BOA347">
        <v>51</v>
      </c>
      <c r="BOB347"/>
      <c r="BOC347">
        <v>1</v>
      </c>
      <c r="BOD347">
        <v>30.86</v>
      </c>
      <c r="BOE347"/>
      <c r="BOF347"/>
      <c r="BOG347"/>
      <c r="BOH347"/>
      <c r="BOI347"/>
      <c r="BYJ347" s="65"/>
      <c r="BZL347" s="59">
        <v>499500</v>
      </c>
      <c r="BZM347" s="59">
        <v>500</v>
      </c>
      <c r="BZN347" s="59">
        <v>1</v>
      </c>
      <c r="BZQ347" s="59">
        <v>1</v>
      </c>
      <c r="BZS347" s="69">
        <v>999</v>
      </c>
      <c r="BZT347" s="59">
        <v>999</v>
      </c>
      <c r="BZU347" s="59">
        <v>0</v>
      </c>
      <c r="BZV347" s="59">
        <v>999</v>
      </c>
      <c r="FMN347" s="59">
        <v>10</v>
      </c>
      <c r="FMO347" s="59">
        <v>1</v>
      </c>
      <c r="FMR347" s="59">
        <v>1</v>
      </c>
      <c r="FMS347" s="59">
        <v>30</v>
      </c>
      <c r="FMT347" s="59">
        <v>59</v>
      </c>
      <c r="FMU347" s="59">
        <v>30</v>
      </c>
      <c r="FMV347" s="59">
        <v>0</v>
      </c>
      <c r="FNL347" s="59">
        <v>1</v>
      </c>
      <c r="FNM347" s="59">
        <v>30</v>
      </c>
      <c r="FNN347" s="59">
        <v>30</v>
      </c>
      <c r="FNO347" s="59">
        <v>1</v>
      </c>
      <c r="FNP347" s="59">
        <v>0</v>
      </c>
      <c r="FPJ347" s="59">
        <v>1</v>
      </c>
      <c r="FPK347" s="59">
        <v>30</v>
      </c>
      <c r="FPL347" s="59">
        <v>30</v>
      </c>
      <c r="FPM347" s="59">
        <v>1</v>
      </c>
      <c r="FPN347" s="59">
        <v>0</v>
      </c>
    </row>
    <row r="348" spans="1:1014 1029:4050 4164:5112 5155:5655" s="83" customFormat="1" x14ac:dyDescent="0.25">
      <c r="A348" s="83">
        <v>10084485</v>
      </c>
      <c r="B348" s="83" t="s">
        <v>4196</v>
      </c>
      <c r="L348" s="96">
        <v>4000</v>
      </c>
      <c r="JQ348" s="83">
        <v>150</v>
      </c>
      <c r="NF348" s="83">
        <v>40</v>
      </c>
      <c r="QT348" s="83">
        <v>110</v>
      </c>
      <c r="BOA348" s="6">
        <v>61</v>
      </c>
      <c r="BOB348" s="6">
        <v>1</v>
      </c>
      <c r="BOC348" s="6"/>
      <c r="BOD348" s="6"/>
      <c r="BOE348" s="6"/>
      <c r="BOF348" s="6">
        <v>1</v>
      </c>
      <c r="BOG348" s="6"/>
      <c r="BOH348" s="6"/>
      <c r="BOI348" s="6"/>
      <c r="BYJ348" s="95"/>
      <c r="BZL348" s="83">
        <v>0</v>
      </c>
      <c r="BZQ348" s="83">
        <v>1</v>
      </c>
      <c r="BZS348" s="83">
        <v>1</v>
      </c>
      <c r="BZT348" s="83">
        <v>1</v>
      </c>
      <c r="BZU348" s="83">
        <v>1</v>
      </c>
      <c r="BZV348" s="83">
        <v>0</v>
      </c>
      <c r="CYE348" s="83">
        <v>1</v>
      </c>
      <c r="CYF348" s="83">
        <v>1</v>
      </c>
      <c r="CYG348" s="83">
        <v>1</v>
      </c>
      <c r="CYH348" s="83">
        <v>1</v>
      </c>
      <c r="CYI348" s="83">
        <v>0</v>
      </c>
      <c r="FLM348" s="83">
        <v>1</v>
      </c>
      <c r="FLN348" s="83">
        <v>1</v>
      </c>
      <c r="FLO348" s="83">
        <v>1</v>
      </c>
      <c r="FLP348" s="83">
        <v>1</v>
      </c>
      <c r="FLQ348" s="83">
        <v>0</v>
      </c>
      <c r="GWC348" s="83">
        <v>1</v>
      </c>
    </row>
    <row r="349" spans="1:1014 1029:4050 4164:5112 5155:5655" s="59" customFormat="1" x14ac:dyDescent="0.25">
      <c r="A349" s="59">
        <v>10098420</v>
      </c>
      <c r="B349" s="60" t="s">
        <v>4196</v>
      </c>
      <c r="BC349" s="59">
        <v>8</v>
      </c>
      <c r="BD349" s="59">
        <v>15</v>
      </c>
      <c r="BF349" s="59">
        <v>12</v>
      </c>
      <c r="CM349" s="59">
        <v>6.07</v>
      </c>
      <c r="CN349" s="59">
        <v>4</v>
      </c>
      <c r="CO349" s="59">
        <v>4.6399999999999997</v>
      </c>
      <c r="EG349" s="59">
        <v>47</v>
      </c>
      <c r="EH349" s="59">
        <v>53</v>
      </c>
      <c r="EJ349" s="59">
        <v>57</v>
      </c>
      <c r="JR349" s="63">
        <v>8581</v>
      </c>
      <c r="JS349" s="59">
        <v>2450</v>
      </c>
      <c r="JT349" s="59">
        <v>1391</v>
      </c>
      <c r="NF349" s="59">
        <v>6950</v>
      </c>
      <c r="NG349" s="76">
        <v>6450</v>
      </c>
      <c r="NI349" s="59">
        <v>3094</v>
      </c>
      <c r="QT349" s="59">
        <v>73</v>
      </c>
      <c r="QU349" s="59">
        <v>75</v>
      </c>
      <c r="QV349" s="59">
        <v>84</v>
      </c>
      <c r="QW349" s="59">
        <v>111</v>
      </c>
      <c r="ABM349" s="59">
        <v>4.88</v>
      </c>
      <c r="ABN349" s="59">
        <v>1.99</v>
      </c>
      <c r="AJO349" s="59">
        <v>1.48</v>
      </c>
      <c r="AJP349" s="59">
        <v>2.09</v>
      </c>
      <c r="AJR349" s="59">
        <v>5.26</v>
      </c>
      <c r="ALW349" s="59">
        <v>97</v>
      </c>
      <c r="ALX349" s="59">
        <v>127</v>
      </c>
      <c r="ALZ349" s="59">
        <v>323</v>
      </c>
      <c r="BOA349">
        <v>27</v>
      </c>
      <c r="BOB349"/>
      <c r="BOC349">
        <v>1</v>
      </c>
      <c r="BOD349"/>
      <c r="BOE349">
        <v>1</v>
      </c>
      <c r="BOF349"/>
      <c r="BOG349"/>
      <c r="BOH349"/>
      <c r="BOI349"/>
      <c r="BYJ349" s="65"/>
      <c r="BZL349" s="59">
        <v>0</v>
      </c>
      <c r="BZQ349" s="59">
        <v>1</v>
      </c>
      <c r="BZS349" s="59">
        <v>6</v>
      </c>
    </row>
    <row r="350" spans="1:1014 1029:4050 4164:5112 5155:5655" s="59" customFormat="1" x14ac:dyDescent="0.25">
      <c r="A350" s="59">
        <v>10129565</v>
      </c>
      <c r="B350" s="60" t="s">
        <v>4196</v>
      </c>
      <c r="JR350" s="59">
        <v>1092</v>
      </c>
      <c r="JS350" s="59">
        <v>376.2</v>
      </c>
      <c r="JU350" s="59">
        <v>98.4</v>
      </c>
      <c r="KB350" s="59">
        <v>22.2</v>
      </c>
      <c r="NG350" s="59">
        <v>2796</v>
      </c>
      <c r="NH350" s="59">
        <v>1938</v>
      </c>
      <c r="NJ350" s="59">
        <v>1104</v>
      </c>
      <c r="NQ350" s="59">
        <v>214.8</v>
      </c>
      <c r="QU350" s="59">
        <v>435.6</v>
      </c>
      <c r="QX350" s="59">
        <v>503.4</v>
      </c>
      <c r="RE350" s="59">
        <v>201.6</v>
      </c>
      <c r="AJQ350" s="59">
        <v>0.8145</v>
      </c>
      <c r="AJZ350" s="59">
        <v>0.78049999999999997</v>
      </c>
      <c r="ANH350" s="59">
        <v>85.3</v>
      </c>
      <c r="ANI350" s="59">
        <v>56.9</v>
      </c>
      <c r="ANR350" s="59">
        <v>3.3</v>
      </c>
      <c r="BOA350">
        <v>53</v>
      </c>
      <c r="BOB350"/>
      <c r="BOC350">
        <v>1</v>
      </c>
      <c r="BOD350">
        <v>21.76</v>
      </c>
      <c r="BOE350"/>
      <c r="BOF350">
        <v>1</v>
      </c>
      <c r="BOG350">
        <v>43</v>
      </c>
      <c r="BOH350"/>
      <c r="BOI350"/>
      <c r="BYJ350" s="65"/>
      <c r="BZL350" s="59">
        <v>0</v>
      </c>
      <c r="BZM350" s="59">
        <v>2</v>
      </c>
      <c r="BZN350" s="59">
        <v>1</v>
      </c>
    </row>
    <row r="351" spans="1:1014 1029:4050 4164:5112 5155:5655" s="59" customFormat="1" x14ac:dyDescent="0.25">
      <c r="A351" s="77">
        <v>10146828</v>
      </c>
      <c r="B351" s="60" t="s">
        <v>4196</v>
      </c>
      <c r="JQ351" s="59">
        <v>585</v>
      </c>
      <c r="JR351" s="59">
        <v>128</v>
      </c>
      <c r="JV351" s="59">
        <v>32</v>
      </c>
      <c r="KD351" s="59">
        <v>20</v>
      </c>
      <c r="NF351" s="59">
        <v>469</v>
      </c>
      <c r="NG351" s="59">
        <v>240</v>
      </c>
      <c r="NK351" s="59">
        <v>81</v>
      </c>
      <c r="NS351" s="59">
        <v>19</v>
      </c>
      <c r="ABL351" s="59">
        <v>0.4</v>
      </c>
      <c r="ABY351" s="59">
        <v>0.4</v>
      </c>
      <c r="AGS351" s="59">
        <v>156</v>
      </c>
      <c r="BOA351">
        <v>87</v>
      </c>
      <c r="BOB351"/>
      <c r="BOC351">
        <v>1</v>
      </c>
      <c r="BOD351">
        <v>22.51</v>
      </c>
      <c r="BOE351"/>
      <c r="BOF351"/>
      <c r="BOG351"/>
      <c r="BOH351"/>
      <c r="BOI351"/>
      <c r="BYJ351" s="65"/>
      <c r="BZL351" s="59">
        <v>0</v>
      </c>
      <c r="BZM351" s="59">
        <v>500</v>
      </c>
      <c r="BZQ351" s="59">
        <v>1</v>
      </c>
      <c r="BZS351" s="59">
        <v>18</v>
      </c>
      <c r="BZT351" s="59">
        <v>20</v>
      </c>
      <c r="BZU351" s="59">
        <v>0</v>
      </c>
      <c r="BZV351" s="59">
        <v>0</v>
      </c>
      <c r="BZY351" s="59">
        <v>100</v>
      </c>
      <c r="BZZ351" s="59">
        <v>1</v>
      </c>
      <c r="CAC351" s="59">
        <v>1</v>
      </c>
      <c r="CAD351" s="69">
        <v>999</v>
      </c>
      <c r="CAE351" s="59">
        <v>999</v>
      </c>
      <c r="CAF351" s="59">
        <v>0</v>
      </c>
      <c r="CAG351" s="59">
        <v>999</v>
      </c>
      <c r="CII351" s="59">
        <v>600</v>
      </c>
      <c r="CIJ351" s="59">
        <v>1</v>
      </c>
      <c r="CIM351" s="59">
        <v>1</v>
      </c>
      <c r="CIO351" s="69">
        <v>999</v>
      </c>
      <c r="CIP351" s="59">
        <v>7</v>
      </c>
      <c r="CIQ351" s="59">
        <v>0</v>
      </c>
      <c r="CIR351" s="59">
        <v>999</v>
      </c>
      <c r="CIT351" s="63">
        <v>50</v>
      </c>
      <c r="CIU351" s="59">
        <v>1</v>
      </c>
      <c r="CIX351" s="59">
        <v>1</v>
      </c>
      <c r="CIY351" s="59">
        <v>3</v>
      </c>
      <c r="CIZ351" s="59">
        <v>9</v>
      </c>
      <c r="CJA351" s="59">
        <v>7</v>
      </c>
      <c r="DMM351" s="59">
        <v>10</v>
      </c>
      <c r="DMN351" s="59">
        <v>3</v>
      </c>
      <c r="DMQ351" s="59">
        <v>1</v>
      </c>
      <c r="DMR351" s="69">
        <v>999</v>
      </c>
      <c r="DMS351" s="59">
        <v>999</v>
      </c>
      <c r="DMT351" s="59">
        <v>0</v>
      </c>
      <c r="DMU351" s="59">
        <v>999</v>
      </c>
      <c r="DVC351" s="59">
        <v>25</v>
      </c>
      <c r="DVD351" s="59">
        <v>1</v>
      </c>
      <c r="DVG351" s="59">
        <v>1</v>
      </c>
      <c r="DVH351" s="69">
        <v>999</v>
      </c>
      <c r="DVI351" s="59">
        <v>999</v>
      </c>
      <c r="DVJ351" s="59">
        <v>0</v>
      </c>
      <c r="DVK351" s="59">
        <v>999</v>
      </c>
      <c r="DWH351" s="59">
        <v>10</v>
      </c>
      <c r="DWL351" s="59">
        <v>1</v>
      </c>
      <c r="DWM351" s="69">
        <v>999</v>
      </c>
      <c r="DWN351" s="59">
        <v>20</v>
      </c>
      <c r="DWO351" s="59">
        <v>0</v>
      </c>
      <c r="DWP351" s="59">
        <v>999</v>
      </c>
      <c r="DYI351" s="59">
        <v>5000</v>
      </c>
      <c r="DYJ351" s="59">
        <v>1</v>
      </c>
      <c r="DYL351" s="59">
        <v>1</v>
      </c>
      <c r="DYO351" s="69">
        <v>999</v>
      </c>
      <c r="DYP351" s="59">
        <v>3</v>
      </c>
      <c r="DYQ351" s="59">
        <v>0</v>
      </c>
      <c r="DYR351" s="59">
        <v>999</v>
      </c>
      <c r="EBR351" s="59">
        <v>40</v>
      </c>
      <c r="EBS351" s="59">
        <v>1</v>
      </c>
      <c r="EBU351" s="59">
        <v>1</v>
      </c>
      <c r="EBV351" s="59">
        <v>999</v>
      </c>
      <c r="EBW351" s="59">
        <v>999</v>
      </c>
      <c r="EBX351" s="59">
        <v>0</v>
      </c>
      <c r="EBY351" s="59">
        <v>0</v>
      </c>
      <c r="EQK351" s="59">
        <v>1</v>
      </c>
      <c r="EQL351" s="59">
        <v>12</v>
      </c>
      <c r="EQM351" s="59">
        <v>12</v>
      </c>
      <c r="EQN351" s="59">
        <v>1</v>
      </c>
      <c r="EQO351" s="59">
        <v>0</v>
      </c>
    </row>
    <row r="352" spans="1:1014 1029:4050 4164:5112 5155:5655" s="59" customFormat="1" x14ac:dyDescent="0.25">
      <c r="A352" s="59">
        <v>10163776</v>
      </c>
      <c r="B352" s="60" t="s">
        <v>4196</v>
      </c>
      <c r="CM352" s="59">
        <v>5.0199999999999996</v>
      </c>
      <c r="MJ352" s="59">
        <v>17</v>
      </c>
      <c r="NF352" s="59">
        <v>98</v>
      </c>
      <c r="QB352" s="59">
        <v>66</v>
      </c>
      <c r="QT352" s="59">
        <v>1027</v>
      </c>
      <c r="WB352" s="59">
        <v>210</v>
      </c>
      <c r="WE352" s="59">
        <v>202</v>
      </c>
      <c r="WV352" s="59">
        <v>125</v>
      </c>
      <c r="ANG352" s="59">
        <v>18.7</v>
      </c>
      <c r="BMS352" s="59">
        <v>40.4</v>
      </c>
      <c r="BOA352">
        <v>85</v>
      </c>
      <c r="BOB352"/>
      <c r="BOC352">
        <v>1</v>
      </c>
      <c r="BOD352"/>
      <c r="BOE352">
        <v>1</v>
      </c>
      <c r="BOF352"/>
      <c r="BOG352"/>
      <c r="BOH352"/>
      <c r="BOI352"/>
      <c r="BYJ352" s="65"/>
      <c r="BZK352" s="59">
        <v>1</v>
      </c>
      <c r="BZL352" s="59">
        <v>0</v>
      </c>
      <c r="CBD352" s="59">
        <v>1</v>
      </c>
      <c r="CIT352" s="59">
        <v>5</v>
      </c>
      <c r="CIU352" s="59">
        <v>1</v>
      </c>
      <c r="CIX352" s="59">
        <v>1</v>
      </c>
      <c r="CIY352" s="59">
        <v>999</v>
      </c>
      <c r="CIZ352" s="59">
        <v>8</v>
      </c>
      <c r="CJA352" s="59">
        <v>0</v>
      </c>
      <c r="CJB352" s="59">
        <v>999</v>
      </c>
      <c r="DDE352" s="59">
        <v>1</v>
      </c>
      <c r="DJJ352" s="59">
        <v>1</v>
      </c>
      <c r="DRO352" s="59">
        <v>1</v>
      </c>
      <c r="DXB352" s="59">
        <v>1</v>
      </c>
      <c r="ECK352" s="59">
        <v>1</v>
      </c>
      <c r="FIZ352" s="59">
        <v>1</v>
      </c>
      <c r="FMM352" s="59">
        <v>1</v>
      </c>
      <c r="GNP352" s="59">
        <v>1</v>
      </c>
      <c r="GPG352" s="59">
        <v>1</v>
      </c>
    </row>
    <row r="353" spans="1:954 1050:2050 4194:4203" s="83" customFormat="1" x14ac:dyDescent="0.25">
      <c r="A353" s="83">
        <v>10173664</v>
      </c>
      <c r="B353" s="83" t="s">
        <v>4196</v>
      </c>
      <c r="BF353" s="83">
        <v>77.8</v>
      </c>
      <c r="CP353" s="83">
        <v>1.1200000000000001</v>
      </c>
      <c r="EJ353" s="83">
        <v>33.4</v>
      </c>
      <c r="HT353" s="83">
        <v>6490</v>
      </c>
      <c r="IA353" s="83">
        <v>6000</v>
      </c>
      <c r="JT353" s="83">
        <v>963.6</v>
      </c>
      <c r="JV353" s="83">
        <v>779.4</v>
      </c>
      <c r="KA353" s="83">
        <v>715.2</v>
      </c>
      <c r="NI353" s="83">
        <v>2065.1999999999998</v>
      </c>
      <c r="NK353" s="83">
        <v>1780.2</v>
      </c>
      <c r="NP353" s="83">
        <v>1845.6</v>
      </c>
      <c r="QW353" s="83">
        <v>193.8</v>
      </c>
      <c r="QY353" s="83">
        <v>191.4</v>
      </c>
      <c r="RD353" s="83">
        <v>227.4</v>
      </c>
      <c r="ZV353" s="83">
        <v>15.9</v>
      </c>
      <c r="ADR353" s="83">
        <v>0.11650000000000001</v>
      </c>
      <c r="ADT353" s="83">
        <v>0.13120000000000001</v>
      </c>
      <c r="ADX353" s="83">
        <v>0.2364</v>
      </c>
      <c r="AGI353" s="83">
        <v>129</v>
      </c>
      <c r="AGK353" s="83">
        <v>118.2</v>
      </c>
      <c r="AGP353" s="83">
        <v>125.4</v>
      </c>
      <c r="AJR353" s="83">
        <v>0.73980000000000001</v>
      </c>
      <c r="ANJ353" s="83">
        <v>2.1</v>
      </c>
      <c r="ANQ353" s="83">
        <v>1.5</v>
      </c>
      <c r="AOW353" s="83">
        <v>28.828800000000001</v>
      </c>
      <c r="ASG353" s="83">
        <v>180000</v>
      </c>
      <c r="AZV353" s="83">
        <v>46</v>
      </c>
      <c r="BCT353" s="102" t="s">
        <v>2465</v>
      </c>
      <c r="BGB353" s="83">
        <v>140</v>
      </c>
      <c r="BHH353" s="83">
        <v>4.21</v>
      </c>
      <c r="BIK353" s="83">
        <v>2.4300000000000002</v>
      </c>
      <c r="BOA353" s="6">
        <v>20</v>
      </c>
      <c r="BOB353" s="6">
        <v>1</v>
      </c>
      <c r="BOC353" s="6"/>
      <c r="BOD353" s="6">
        <v>20.96</v>
      </c>
      <c r="BOE353" s="6"/>
      <c r="BOF353" s="6">
        <v>1</v>
      </c>
      <c r="BOG353" s="6"/>
      <c r="BOH353" s="6"/>
      <c r="BOI353" s="6"/>
      <c r="BYJ353" s="95"/>
      <c r="BZL353" s="83">
        <v>0</v>
      </c>
      <c r="BZQ353" s="83">
        <v>1</v>
      </c>
      <c r="BZS353" s="83">
        <v>92</v>
      </c>
      <c r="BZT353" s="83">
        <v>92</v>
      </c>
      <c r="BZU353" s="83">
        <v>0</v>
      </c>
      <c r="BZV353" s="83">
        <v>0</v>
      </c>
      <c r="FEH353" s="83">
        <v>44</v>
      </c>
      <c r="FEI353" s="83">
        <v>3</v>
      </c>
      <c r="FEL353" s="83">
        <v>1</v>
      </c>
      <c r="FEN353" s="83">
        <v>92</v>
      </c>
      <c r="FEO353" s="83">
        <v>92</v>
      </c>
      <c r="FEP353" s="83">
        <v>0</v>
      </c>
      <c r="FEQ353" s="83">
        <v>0</v>
      </c>
    </row>
    <row r="354" spans="1:954 1050:2050 4194:4203" s="59" customFormat="1" x14ac:dyDescent="0.25">
      <c r="A354" s="88">
        <v>11000454</v>
      </c>
      <c r="B354" s="60" t="s">
        <v>4196</v>
      </c>
      <c r="BYJ354" s="65"/>
    </row>
    <row r="355" spans="1:954 1050:2050 4194:4203" s="59" customFormat="1" x14ac:dyDescent="0.25">
      <c r="A355" s="59">
        <v>11034329</v>
      </c>
      <c r="B355" s="60" t="s">
        <v>4196</v>
      </c>
      <c r="BYJ355" s="65"/>
    </row>
    <row r="356" spans="1:954 1050:2050 4194:4203" s="59" customFormat="1" x14ac:dyDescent="0.25">
      <c r="A356" s="59">
        <v>11083498</v>
      </c>
      <c r="B356" s="60" t="s">
        <v>4196</v>
      </c>
      <c r="BYJ356" s="65"/>
    </row>
    <row r="357" spans="1:954 1050:2050 4194:4203" s="59" customFormat="1" x14ac:dyDescent="0.25">
      <c r="A357" s="65">
        <v>11138447</v>
      </c>
      <c r="B357" s="60" t="s">
        <v>4196</v>
      </c>
      <c r="BYJ357" s="65"/>
    </row>
    <row r="358" spans="1:954 1050:2050 4194:4203" s="59" customFormat="1" x14ac:dyDescent="0.25">
      <c r="A358" s="59">
        <v>11144001</v>
      </c>
      <c r="B358" s="60" t="s">
        <v>4196</v>
      </c>
      <c r="BYJ358" s="65"/>
    </row>
    <row r="359" spans="1:954 1050:2050 4194:4203" s="59" customFormat="1" x14ac:dyDescent="0.25">
      <c r="A359" s="59">
        <v>11187503</v>
      </c>
      <c r="B359" s="60" t="s">
        <v>4196</v>
      </c>
      <c r="BYJ359" s="65"/>
    </row>
    <row r="360" spans="1:954 1050:2050 4194:4203" s="59" customFormat="1" x14ac:dyDescent="0.25">
      <c r="A360" s="59">
        <v>11224315</v>
      </c>
      <c r="B360" s="60" t="s">
        <v>4196</v>
      </c>
      <c r="BYJ360" s="65"/>
    </row>
    <row r="361" spans="1:954 1050:2050 4194:4203" s="59" customFormat="1" x14ac:dyDescent="0.25">
      <c r="A361" s="59">
        <v>11231446</v>
      </c>
      <c r="B361" s="60" t="s">
        <v>4196</v>
      </c>
      <c r="BYJ361" s="65"/>
    </row>
    <row r="362" spans="1:954 1050:2050 4194:4203" s="59" customFormat="1" x14ac:dyDescent="0.25">
      <c r="A362" s="59">
        <v>11241625</v>
      </c>
      <c r="B362" s="60" t="s">
        <v>4196</v>
      </c>
      <c r="BYJ362" s="65"/>
    </row>
    <row r="363" spans="1:954 1050:2050 4194:4203" s="59" customFormat="1" x14ac:dyDescent="0.25">
      <c r="A363" s="59">
        <v>11243521</v>
      </c>
      <c r="B363" s="60" t="s">
        <v>4196</v>
      </c>
      <c r="BYJ363" s="65"/>
    </row>
    <row r="364" spans="1:954 1050:2050 4194:4203" s="59" customFormat="1" x14ac:dyDescent="0.25">
      <c r="A364" s="59">
        <v>12021531</v>
      </c>
      <c r="B364" s="60" t="s">
        <v>4196</v>
      </c>
      <c r="BYJ364" s="65"/>
    </row>
    <row r="365" spans="1:954 1050:2050 4194:4203" s="59" customFormat="1" x14ac:dyDescent="0.25">
      <c r="A365" s="59">
        <v>12118054</v>
      </c>
      <c r="B365" s="60" t="s">
        <v>4196</v>
      </c>
      <c r="BYJ365" s="65"/>
    </row>
    <row r="366" spans="1:954 1050:2050 4194:4203" s="59" customFormat="1" x14ac:dyDescent="0.25">
      <c r="A366" s="59">
        <v>12185514</v>
      </c>
      <c r="B366" s="60" t="s">
        <v>4196</v>
      </c>
      <c r="BYJ366" s="65"/>
    </row>
    <row r="367" spans="1:954 1050:2050 4194:4203" s="59" customFormat="1" x14ac:dyDescent="0.25">
      <c r="A367" s="59">
        <v>12188410</v>
      </c>
      <c r="B367" s="60" t="s">
        <v>4196</v>
      </c>
      <c r="BYJ367" s="65"/>
    </row>
    <row r="368" spans="1:954 1050:2050 4194:4203" s="59" customFormat="1" x14ac:dyDescent="0.25">
      <c r="A368" s="65">
        <v>12202633</v>
      </c>
      <c r="B368" s="60" t="s">
        <v>4196</v>
      </c>
      <c r="BYJ368" s="65"/>
    </row>
    <row r="369" spans="1:10 2012:2012" s="59" customFormat="1" x14ac:dyDescent="0.25">
      <c r="A369" s="59">
        <v>12261672</v>
      </c>
      <c r="B369" s="60" t="s">
        <v>4196</v>
      </c>
      <c r="BYJ369" s="65"/>
    </row>
    <row r="370" spans="1:10 2012:2012" s="59" customFormat="1" x14ac:dyDescent="0.25">
      <c r="A370" s="59">
        <v>12311299</v>
      </c>
      <c r="B370" s="60" t="s">
        <v>4196</v>
      </c>
      <c r="BYJ370" s="65"/>
    </row>
    <row r="371" spans="1:10 2012:2012" s="59" customFormat="1" x14ac:dyDescent="0.25">
      <c r="A371" s="59">
        <v>12325258</v>
      </c>
      <c r="B371" s="60" t="s">
        <v>4196</v>
      </c>
      <c r="BYJ371" s="65"/>
    </row>
    <row r="378" spans="1:10 2012:2012" x14ac:dyDescent="0.25">
      <c r="J378" s="59"/>
    </row>
    <row r="384" spans="1:10 2012:2012" x14ac:dyDescent="0.25">
      <c r="A384" s="21"/>
    </row>
    <row r="385" spans="1:1" x14ac:dyDescent="0.25">
      <c r="A385" s="21"/>
    </row>
  </sheetData>
  <conditionalFormatting sqref="P34">
    <cfRule type="duplicateValues" dxfId="30" priority="13"/>
  </conditionalFormatting>
  <conditionalFormatting sqref="P34">
    <cfRule type="duplicateValues" dxfId="29" priority="12"/>
  </conditionalFormatting>
  <conditionalFormatting sqref="D27:K27">
    <cfRule type="duplicateValues" dxfId="28" priority="76"/>
  </conditionalFormatting>
  <conditionalFormatting sqref="D28:K28">
    <cfRule type="duplicateValues" dxfId="27" priority="79"/>
  </conditionalFormatting>
  <conditionalFormatting sqref="D30:K30">
    <cfRule type="duplicateValues" dxfId="26" priority="88"/>
  </conditionalFormatting>
  <conditionalFormatting sqref="D31:K31">
    <cfRule type="duplicateValues" dxfId="25" priority="91"/>
  </conditionalFormatting>
  <conditionalFormatting sqref="D34:F34">
    <cfRule type="duplicateValues" dxfId="24" priority="94"/>
  </conditionalFormatting>
  <conditionalFormatting sqref="D32:K32">
    <cfRule type="duplicateValues" dxfId="23" priority="100"/>
  </conditionalFormatting>
  <conditionalFormatting sqref="D6:K6">
    <cfRule type="duplicateValues" dxfId="22" priority="103"/>
  </conditionalFormatting>
  <conditionalFormatting sqref="D7:K7">
    <cfRule type="duplicateValues" dxfId="21" priority="106"/>
  </conditionalFormatting>
  <conditionalFormatting sqref="D8:K8">
    <cfRule type="duplicateValues" dxfId="20" priority="109"/>
  </conditionalFormatting>
  <conditionalFormatting sqref="D9:K9">
    <cfRule type="duplicateValues" dxfId="19" priority="112"/>
  </conditionalFormatting>
  <conditionalFormatting sqref="D21:F21">
    <cfRule type="duplicateValues" dxfId="18" priority="118"/>
  </conditionalFormatting>
  <conditionalFormatting sqref="D22:F22">
    <cfRule type="duplicateValues" dxfId="17" priority="121"/>
  </conditionalFormatting>
  <conditionalFormatting sqref="D23:F23">
    <cfRule type="duplicateValues" dxfId="16" priority="124"/>
  </conditionalFormatting>
  <conditionalFormatting sqref="D11:F11">
    <cfRule type="duplicateValues" dxfId="15" priority="127"/>
  </conditionalFormatting>
  <conditionalFormatting sqref="D12:F12">
    <cfRule type="duplicateValues" dxfId="14" priority="130"/>
  </conditionalFormatting>
  <conditionalFormatting sqref="D35:F35">
    <cfRule type="duplicateValues" dxfId="13" priority="136"/>
  </conditionalFormatting>
  <conditionalFormatting sqref="D25:F25">
    <cfRule type="duplicateValues" dxfId="12" priority="139"/>
  </conditionalFormatting>
  <conditionalFormatting sqref="D24:F24">
    <cfRule type="duplicateValues" dxfId="11" priority="142"/>
  </conditionalFormatting>
  <conditionalFormatting sqref="D36:F36">
    <cfRule type="duplicateValues" dxfId="10" priority="148"/>
  </conditionalFormatting>
  <conditionalFormatting sqref="D37:F37">
    <cfRule type="duplicateValues" dxfId="9" priority="151"/>
  </conditionalFormatting>
  <conditionalFormatting sqref="D38:F38">
    <cfRule type="duplicateValues" dxfId="8" priority="157"/>
  </conditionalFormatting>
  <conditionalFormatting sqref="D39:F39">
    <cfRule type="duplicateValues" dxfId="7" priority="160"/>
  </conditionalFormatting>
  <conditionalFormatting sqref="D26:F26">
    <cfRule type="duplicateValues" dxfId="6" priority="166"/>
  </conditionalFormatting>
  <conditionalFormatting sqref="D33:K33">
    <cfRule type="duplicateValues" dxfId="5" priority="169"/>
  </conditionalFormatting>
  <conditionalFormatting sqref="D29:K29">
    <cfRule type="duplicateValues" dxfId="4" priority="174"/>
  </conditionalFormatting>
  <conditionalFormatting sqref="D15:F15">
    <cfRule type="duplicateValues" dxfId="3" priority="181"/>
  </conditionalFormatting>
  <conditionalFormatting sqref="D38:F38">
    <cfRule type="duplicateValues" dxfId="2" priority="183"/>
  </conditionalFormatting>
  <conditionalFormatting sqref="A17">
    <cfRule type="duplicateValues" dxfId="1" priority="18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918D-F7E7-4A80-981F-80620B19BE7B}">
  <dimension ref="A2:AH512"/>
  <sheetViews>
    <sheetView topLeftCell="P321" workbookViewId="0">
      <selection activeCell="AH327" sqref="AH327:AH354"/>
    </sheetView>
  </sheetViews>
  <sheetFormatPr baseColWidth="10" defaultRowHeight="15" x14ac:dyDescent="0.25"/>
  <sheetData>
    <row r="2" spans="1:34" x14ac:dyDescent="0.25">
      <c r="A2" s="54" t="str">
        <f t="shared" ref="A2:D2" si="0">"Diclofenac_"&amp;A3</f>
        <v>Diclofenac_Diclofenac_Dosis (Mg/Verabreichung)</v>
      </c>
      <c r="B2" s="54" t="str">
        <f t="shared" si="0"/>
        <v>Diclofenac_Häufigkeit der Einnahme pro Tag</v>
      </c>
      <c r="C2" s="54" t="str">
        <f t="shared" si="0"/>
        <v>Diclofenac_Dauer der Einnahme (Tage)</v>
      </c>
      <c r="D2" s="54" t="str">
        <f t="shared" si="0"/>
        <v>Diclofenac_Zeitraum: erste Einnahme bis Krankheitsbeginn (Tage)</v>
      </c>
      <c r="O2" s="54" t="str">
        <f t="shared" ref="O2:R2" si="1">"Ibuprofen_"&amp;O3</f>
        <v>Ibuprofen_Ibuprofen_Dosis (Mg/Verabreichung)</v>
      </c>
      <c r="P2" s="54" t="str">
        <f t="shared" si="1"/>
        <v>Ibuprofen_Häufigkeit der Einnahme pro Tag</v>
      </c>
      <c r="Q2" s="54" t="str">
        <f t="shared" si="1"/>
        <v>Ibuprofen_Dauer der Einnahme (Tage)</v>
      </c>
      <c r="R2" s="54" t="str">
        <f t="shared" si="1"/>
        <v>Ibuprofen_Zeitraum: erste Einnahme bis Krankheitsbeginn (Tage)</v>
      </c>
      <c r="AA2" s="54" t="str">
        <f t="shared" ref="AA2:AD2" si="2">"Paracetamol_"&amp;AA3</f>
        <v>Paracetamol_Paracetamol_Dosis (Mg/Verabreichung)</v>
      </c>
      <c r="AB2" s="54" t="str">
        <f t="shared" si="2"/>
        <v>Paracetamol_Häufigkeit der Einnahme pro Tag</v>
      </c>
      <c r="AC2" s="54" t="str">
        <f t="shared" si="2"/>
        <v>Paracetamol_Dauer der Einnahme (Tage)</v>
      </c>
      <c r="AD2" s="54" t="str">
        <f t="shared" si="2"/>
        <v>Paracetamol_Zeitraum: erste Einnahme bis Krankheitsbeginn (Tage)</v>
      </c>
    </row>
    <row r="3" spans="1:34" ht="105" x14ac:dyDescent="0.25">
      <c r="A3" s="9" t="s">
        <v>4198</v>
      </c>
      <c r="B3" s="9" t="s">
        <v>158</v>
      </c>
      <c r="C3" s="9" t="s">
        <v>152</v>
      </c>
      <c r="D3" s="9" t="s">
        <v>340</v>
      </c>
      <c r="O3" s="9" t="s">
        <v>4199</v>
      </c>
      <c r="P3" s="9" t="s">
        <v>158</v>
      </c>
      <c r="Q3" s="9" t="s">
        <v>152</v>
      </c>
      <c r="R3" s="9" t="s">
        <v>340</v>
      </c>
      <c r="AA3" s="9" t="s">
        <v>4200</v>
      </c>
      <c r="AB3" s="9" t="s">
        <v>158</v>
      </c>
      <c r="AC3" s="9" t="s">
        <v>152</v>
      </c>
      <c r="AD3" s="9" t="s">
        <v>340</v>
      </c>
    </row>
    <row r="4" spans="1:34" x14ac:dyDescent="0.25">
      <c r="A4">
        <v>75</v>
      </c>
      <c r="B4">
        <v>1</v>
      </c>
      <c r="C4">
        <v>1</v>
      </c>
    </row>
    <row r="5" spans="1:34" x14ac:dyDescent="0.25">
      <c r="A5">
        <v>50</v>
      </c>
      <c r="B5">
        <v>3</v>
      </c>
      <c r="Q5">
        <v>3</v>
      </c>
      <c r="AC5">
        <v>3</v>
      </c>
    </row>
    <row r="7" spans="1:34" x14ac:dyDescent="0.25">
      <c r="C7">
        <v>3</v>
      </c>
      <c r="D7">
        <v>18</v>
      </c>
      <c r="G7" s="6">
        <f>MIN(C7,D7)</f>
        <v>3</v>
      </c>
      <c r="H7">
        <f t="shared" ref="H7:H22" si="3">A7*B7*G7</f>
        <v>0</v>
      </c>
      <c r="U7" s="6">
        <f>MIN(Q7,R7)</f>
        <v>0</v>
      </c>
      <c r="V7">
        <f t="shared" ref="V7:V22" si="4">O7*P7*U7</f>
        <v>0</v>
      </c>
      <c r="AG7" s="6">
        <f>MIN(AC7,AD7)</f>
        <v>0</v>
      </c>
      <c r="AH7">
        <f t="shared" ref="AH7:AH22" si="5">AA7*AB7*AG7</f>
        <v>0</v>
      </c>
    </row>
    <row r="8" spans="1:34" x14ac:dyDescent="0.25">
      <c r="B8">
        <v>1</v>
      </c>
      <c r="C8" s="10">
        <v>19</v>
      </c>
      <c r="D8" s="53">
        <v>999</v>
      </c>
      <c r="G8" s="6">
        <f t="shared" ref="G8:G71" si="6">MIN(C8,D8)</f>
        <v>19</v>
      </c>
      <c r="H8">
        <f t="shared" si="3"/>
        <v>0</v>
      </c>
      <c r="U8" s="6">
        <f t="shared" ref="U8:U71" si="7">MIN(Q8,R8)</f>
        <v>0</v>
      </c>
      <c r="V8">
        <f t="shared" si="4"/>
        <v>0</v>
      </c>
      <c r="AG8" s="6">
        <f t="shared" ref="AG8:AG71" si="8">MIN(AC8,AD8)</f>
        <v>0</v>
      </c>
      <c r="AH8">
        <f t="shared" si="5"/>
        <v>0</v>
      </c>
    </row>
    <row r="9" spans="1:34" x14ac:dyDescent="0.25">
      <c r="A9">
        <v>46.5</v>
      </c>
      <c r="B9" s="35">
        <v>0.56999999999999995</v>
      </c>
      <c r="C9" s="26">
        <v>29</v>
      </c>
      <c r="D9">
        <v>999</v>
      </c>
      <c r="G9" s="6">
        <f t="shared" si="6"/>
        <v>29</v>
      </c>
      <c r="H9">
        <f t="shared" si="3"/>
        <v>768.64499999999998</v>
      </c>
      <c r="U9" s="6">
        <f t="shared" si="7"/>
        <v>0</v>
      </c>
      <c r="V9">
        <f t="shared" si="4"/>
        <v>0</v>
      </c>
      <c r="AG9" s="6">
        <f t="shared" si="8"/>
        <v>0</v>
      </c>
      <c r="AH9">
        <f t="shared" si="5"/>
        <v>0</v>
      </c>
    </row>
    <row r="10" spans="1:34" x14ac:dyDescent="0.25">
      <c r="C10" s="25">
        <v>22</v>
      </c>
      <c r="D10">
        <v>17</v>
      </c>
      <c r="G10" s="6">
        <f t="shared" si="6"/>
        <v>17</v>
      </c>
      <c r="H10">
        <f t="shared" si="3"/>
        <v>0</v>
      </c>
      <c r="U10" s="6">
        <f t="shared" si="7"/>
        <v>0</v>
      </c>
      <c r="V10">
        <f t="shared" si="4"/>
        <v>0</v>
      </c>
      <c r="AG10" s="6">
        <f t="shared" si="8"/>
        <v>0</v>
      </c>
      <c r="AH10">
        <f t="shared" si="5"/>
        <v>0</v>
      </c>
    </row>
    <row r="11" spans="1:34" x14ac:dyDescent="0.25">
      <c r="B11">
        <v>2</v>
      </c>
      <c r="C11">
        <v>10</v>
      </c>
      <c r="D11">
        <v>21</v>
      </c>
      <c r="G11" s="6">
        <f t="shared" si="6"/>
        <v>10</v>
      </c>
      <c r="H11">
        <f t="shared" si="3"/>
        <v>0</v>
      </c>
      <c r="U11" s="6">
        <f t="shared" si="7"/>
        <v>0</v>
      </c>
      <c r="V11">
        <f t="shared" si="4"/>
        <v>0</v>
      </c>
      <c r="AG11" s="6">
        <f t="shared" si="8"/>
        <v>0</v>
      </c>
      <c r="AH11">
        <f t="shared" si="5"/>
        <v>0</v>
      </c>
    </row>
    <row r="12" spans="1:34" x14ac:dyDescent="0.25">
      <c r="B12">
        <v>2</v>
      </c>
      <c r="C12">
        <v>1</v>
      </c>
      <c r="D12">
        <v>10</v>
      </c>
      <c r="G12" s="6">
        <f t="shared" si="6"/>
        <v>1</v>
      </c>
      <c r="H12">
        <f t="shared" si="3"/>
        <v>0</v>
      </c>
      <c r="U12" s="6">
        <f t="shared" si="7"/>
        <v>0</v>
      </c>
      <c r="V12">
        <f t="shared" si="4"/>
        <v>0</v>
      </c>
      <c r="AC12">
        <v>4</v>
      </c>
      <c r="AD12">
        <v>11</v>
      </c>
      <c r="AG12" s="6">
        <f t="shared" si="8"/>
        <v>4</v>
      </c>
      <c r="AH12">
        <f t="shared" si="5"/>
        <v>0</v>
      </c>
    </row>
    <row r="13" spans="1:34" x14ac:dyDescent="0.25">
      <c r="D13">
        <v>4</v>
      </c>
      <c r="G13" s="6">
        <f t="shared" si="6"/>
        <v>4</v>
      </c>
      <c r="H13">
        <f t="shared" si="3"/>
        <v>0</v>
      </c>
      <c r="U13" s="6">
        <f t="shared" si="7"/>
        <v>0</v>
      </c>
      <c r="V13">
        <f t="shared" si="4"/>
        <v>0</v>
      </c>
      <c r="AG13" s="6">
        <f t="shared" si="8"/>
        <v>0</v>
      </c>
      <c r="AH13">
        <f t="shared" si="5"/>
        <v>0</v>
      </c>
    </row>
    <row r="14" spans="1:34" x14ac:dyDescent="0.25">
      <c r="G14" s="6">
        <f t="shared" si="6"/>
        <v>0</v>
      </c>
      <c r="H14">
        <f t="shared" si="3"/>
        <v>0</v>
      </c>
      <c r="U14" s="6">
        <f t="shared" si="7"/>
        <v>0</v>
      </c>
      <c r="V14">
        <f t="shared" si="4"/>
        <v>0</v>
      </c>
      <c r="AG14" s="6">
        <f t="shared" si="8"/>
        <v>0</v>
      </c>
      <c r="AH14">
        <f t="shared" si="5"/>
        <v>0</v>
      </c>
    </row>
    <row r="15" spans="1:34" x14ac:dyDescent="0.25">
      <c r="G15" s="6">
        <f t="shared" si="6"/>
        <v>0</v>
      </c>
      <c r="H15">
        <f t="shared" si="3"/>
        <v>0</v>
      </c>
      <c r="U15" s="6">
        <f t="shared" si="7"/>
        <v>0</v>
      </c>
      <c r="V15">
        <f t="shared" si="4"/>
        <v>0</v>
      </c>
      <c r="AG15" s="6">
        <f t="shared" si="8"/>
        <v>0</v>
      </c>
      <c r="AH15">
        <f t="shared" si="5"/>
        <v>0</v>
      </c>
    </row>
    <row r="16" spans="1:34" x14ac:dyDescent="0.25">
      <c r="G16" s="6">
        <f t="shared" si="6"/>
        <v>0</v>
      </c>
      <c r="H16">
        <f t="shared" si="3"/>
        <v>0</v>
      </c>
      <c r="O16">
        <v>500</v>
      </c>
      <c r="P16">
        <v>1</v>
      </c>
      <c r="Q16" s="25">
        <v>10</v>
      </c>
      <c r="R16">
        <v>2</v>
      </c>
      <c r="U16" s="6">
        <f>MIN(Q16,R16)</f>
        <v>2</v>
      </c>
      <c r="V16">
        <f t="shared" si="4"/>
        <v>1000</v>
      </c>
      <c r="AG16" s="6">
        <f t="shared" si="8"/>
        <v>0</v>
      </c>
      <c r="AH16">
        <f t="shared" si="5"/>
        <v>0</v>
      </c>
    </row>
    <row r="17" spans="1:34" x14ac:dyDescent="0.25">
      <c r="G17" s="6">
        <f t="shared" si="6"/>
        <v>0</v>
      </c>
      <c r="H17">
        <f t="shared" si="3"/>
        <v>0</v>
      </c>
      <c r="O17">
        <v>800</v>
      </c>
      <c r="P17">
        <v>1</v>
      </c>
      <c r="Q17">
        <v>2</v>
      </c>
      <c r="R17">
        <v>2</v>
      </c>
      <c r="U17" s="6">
        <f t="shared" si="7"/>
        <v>2</v>
      </c>
      <c r="V17">
        <f t="shared" si="4"/>
        <v>1600</v>
      </c>
      <c r="AG17" s="6">
        <f t="shared" si="8"/>
        <v>0</v>
      </c>
      <c r="AH17">
        <f t="shared" si="5"/>
        <v>0</v>
      </c>
    </row>
    <row r="18" spans="1:34" x14ac:dyDescent="0.25">
      <c r="G18" s="6">
        <f t="shared" si="6"/>
        <v>0</v>
      </c>
      <c r="H18">
        <f t="shared" si="3"/>
        <v>0</v>
      </c>
      <c r="R18">
        <v>22</v>
      </c>
      <c r="U18" s="6">
        <f t="shared" si="7"/>
        <v>22</v>
      </c>
      <c r="V18">
        <f t="shared" si="4"/>
        <v>0</v>
      </c>
      <c r="AG18" s="6">
        <f t="shared" si="8"/>
        <v>0</v>
      </c>
      <c r="AH18">
        <f t="shared" si="5"/>
        <v>0</v>
      </c>
    </row>
    <row r="19" spans="1:34" x14ac:dyDescent="0.25">
      <c r="G19" s="6">
        <f t="shared" si="6"/>
        <v>0</v>
      </c>
      <c r="H19">
        <f t="shared" si="3"/>
        <v>0</v>
      </c>
      <c r="U19" s="6">
        <f t="shared" si="7"/>
        <v>0</v>
      </c>
      <c r="V19">
        <f t="shared" si="4"/>
        <v>0</v>
      </c>
      <c r="AG19" s="6">
        <f t="shared" si="8"/>
        <v>0</v>
      </c>
      <c r="AH19">
        <f t="shared" si="5"/>
        <v>0</v>
      </c>
    </row>
    <row r="20" spans="1:34" x14ac:dyDescent="0.25">
      <c r="G20" s="6">
        <f t="shared" si="6"/>
        <v>0</v>
      </c>
      <c r="H20">
        <f t="shared" si="3"/>
        <v>0</v>
      </c>
      <c r="U20" s="6">
        <f t="shared" si="7"/>
        <v>0</v>
      </c>
      <c r="V20">
        <f t="shared" si="4"/>
        <v>0</v>
      </c>
      <c r="AA20">
        <v>500</v>
      </c>
      <c r="AB20">
        <v>1</v>
      </c>
      <c r="AC20">
        <v>2</v>
      </c>
      <c r="AD20">
        <v>1</v>
      </c>
      <c r="AG20" s="6">
        <f t="shared" si="8"/>
        <v>1</v>
      </c>
      <c r="AH20">
        <f t="shared" si="5"/>
        <v>500</v>
      </c>
    </row>
    <row r="21" spans="1:34" x14ac:dyDescent="0.25">
      <c r="G21" s="6">
        <f t="shared" si="6"/>
        <v>0</v>
      </c>
      <c r="H21">
        <f t="shared" si="3"/>
        <v>0</v>
      </c>
      <c r="U21" s="6">
        <f t="shared" si="7"/>
        <v>0</v>
      </c>
      <c r="V21">
        <f t="shared" si="4"/>
        <v>0</v>
      </c>
      <c r="AG21" s="6">
        <f t="shared" si="8"/>
        <v>0</v>
      </c>
      <c r="AH21">
        <f t="shared" si="5"/>
        <v>0</v>
      </c>
    </row>
    <row r="22" spans="1:34" x14ac:dyDescent="0.25">
      <c r="G22" s="6">
        <f t="shared" si="6"/>
        <v>0</v>
      </c>
      <c r="H22">
        <f t="shared" si="3"/>
        <v>0</v>
      </c>
      <c r="U22" s="6">
        <f t="shared" si="7"/>
        <v>0</v>
      </c>
      <c r="V22">
        <f t="shared" si="4"/>
        <v>0</v>
      </c>
      <c r="AB22">
        <v>1</v>
      </c>
      <c r="AC22" s="10">
        <v>29</v>
      </c>
      <c r="AD22">
        <v>999</v>
      </c>
      <c r="AG22" s="6">
        <f t="shared" si="8"/>
        <v>29</v>
      </c>
      <c r="AH22">
        <f t="shared" si="5"/>
        <v>0</v>
      </c>
    </row>
    <row r="23" spans="1:34" x14ac:dyDescent="0.25">
      <c r="A23">
        <v>150</v>
      </c>
      <c r="B23">
        <v>1</v>
      </c>
      <c r="C23">
        <v>13</v>
      </c>
      <c r="D23">
        <v>12</v>
      </c>
      <c r="G23" s="6">
        <f t="shared" si="6"/>
        <v>12</v>
      </c>
      <c r="H23">
        <f>A23*B23*G23</f>
        <v>1800</v>
      </c>
      <c r="U23" s="6">
        <f t="shared" si="7"/>
        <v>0</v>
      </c>
      <c r="V23">
        <f>O23*P23*U23</f>
        <v>0</v>
      </c>
      <c r="AA23">
        <v>500</v>
      </c>
      <c r="AB23">
        <v>3</v>
      </c>
      <c r="AC23" s="25">
        <v>2</v>
      </c>
      <c r="AD23">
        <v>0</v>
      </c>
      <c r="AG23" s="6">
        <f t="shared" si="8"/>
        <v>0</v>
      </c>
      <c r="AH23">
        <f>AA23*AB23*AG23</f>
        <v>0</v>
      </c>
    </row>
    <row r="24" spans="1:34" x14ac:dyDescent="0.25">
      <c r="G24" s="6">
        <f t="shared" si="6"/>
        <v>0</v>
      </c>
      <c r="H24">
        <f t="shared" ref="H24:H87" si="9">A24*B24*G24</f>
        <v>0</v>
      </c>
      <c r="U24" s="6">
        <f t="shared" si="7"/>
        <v>0</v>
      </c>
      <c r="V24">
        <f t="shared" ref="V24:V87" si="10">O24*P24*U24</f>
        <v>0</v>
      </c>
      <c r="AB24">
        <v>3</v>
      </c>
      <c r="AC24" s="25">
        <v>8</v>
      </c>
      <c r="AD24">
        <v>6</v>
      </c>
      <c r="AG24" s="6">
        <f t="shared" si="8"/>
        <v>6</v>
      </c>
      <c r="AH24">
        <f t="shared" ref="AH24:AH87" si="11">AA24*AB24*AG24</f>
        <v>0</v>
      </c>
    </row>
    <row r="25" spans="1:34" x14ac:dyDescent="0.25">
      <c r="G25" s="6">
        <f t="shared" si="6"/>
        <v>0</v>
      </c>
      <c r="H25">
        <f t="shared" si="9"/>
        <v>0</v>
      </c>
      <c r="U25" s="6">
        <f t="shared" si="7"/>
        <v>0</v>
      </c>
      <c r="V25">
        <f t="shared" si="10"/>
        <v>0</v>
      </c>
      <c r="AA25" s="2">
        <v>1</v>
      </c>
      <c r="AB25">
        <v>1</v>
      </c>
      <c r="AC25">
        <v>2</v>
      </c>
      <c r="AD25">
        <v>24</v>
      </c>
      <c r="AG25" s="6">
        <f t="shared" si="8"/>
        <v>2</v>
      </c>
      <c r="AH25">
        <f t="shared" si="11"/>
        <v>2</v>
      </c>
    </row>
    <row r="26" spans="1:34" x14ac:dyDescent="0.25">
      <c r="G26" s="6">
        <f t="shared" si="6"/>
        <v>0</v>
      </c>
      <c r="H26">
        <f t="shared" si="9"/>
        <v>0</v>
      </c>
      <c r="U26" s="6">
        <f t="shared" si="7"/>
        <v>0</v>
      </c>
      <c r="V26">
        <f t="shared" si="10"/>
        <v>0</v>
      </c>
      <c r="AA26">
        <v>500</v>
      </c>
      <c r="AB26">
        <v>1</v>
      </c>
      <c r="AC26">
        <v>2</v>
      </c>
      <c r="AD26">
        <v>0</v>
      </c>
      <c r="AG26" s="6">
        <f t="shared" si="8"/>
        <v>0</v>
      </c>
      <c r="AH26">
        <f t="shared" si="11"/>
        <v>0</v>
      </c>
    </row>
    <row r="27" spans="1:34" x14ac:dyDescent="0.25">
      <c r="G27" s="6">
        <f t="shared" si="6"/>
        <v>0</v>
      </c>
      <c r="H27">
        <f t="shared" si="9"/>
        <v>0</v>
      </c>
      <c r="U27" s="6">
        <f t="shared" si="7"/>
        <v>0</v>
      </c>
      <c r="V27">
        <f t="shared" si="10"/>
        <v>0</v>
      </c>
      <c r="AA27">
        <v>100</v>
      </c>
      <c r="AB27" s="2">
        <v>1</v>
      </c>
      <c r="AC27">
        <v>1</v>
      </c>
      <c r="AD27">
        <v>1</v>
      </c>
      <c r="AG27" s="6">
        <f t="shared" si="8"/>
        <v>1</v>
      </c>
      <c r="AH27">
        <f t="shared" si="11"/>
        <v>100</v>
      </c>
    </row>
    <row r="28" spans="1:34" x14ac:dyDescent="0.25">
      <c r="G28" s="6">
        <f t="shared" si="6"/>
        <v>0</v>
      </c>
      <c r="H28">
        <f t="shared" si="9"/>
        <v>0</v>
      </c>
      <c r="U28" s="6">
        <f t="shared" si="7"/>
        <v>0</v>
      </c>
      <c r="V28">
        <f t="shared" si="10"/>
        <v>0</v>
      </c>
      <c r="AA28" s="2">
        <v>75</v>
      </c>
      <c r="AB28">
        <v>3</v>
      </c>
      <c r="AC28">
        <v>2</v>
      </c>
      <c r="AD28">
        <v>0</v>
      </c>
      <c r="AG28" s="6">
        <f t="shared" si="8"/>
        <v>0</v>
      </c>
      <c r="AH28">
        <f t="shared" si="11"/>
        <v>0</v>
      </c>
    </row>
    <row r="29" spans="1:34" x14ac:dyDescent="0.25">
      <c r="G29" s="6">
        <f t="shared" si="6"/>
        <v>0</v>
      </c>
      <c r="H29">
        <f t="shared" si="9"/>
        <v>0</v>
      </c>
      <c r="U29" s="6">
        <f t="shared" si="7"/>
        <v>0</v>
      </c>
      <c r="V29">
        <f t="shared" si="10"/>
        <v>0</v>
      </c>
      <c r="AA29">
        <v>250</v>
      </c>
      <c r="AB29" s="2">
        <v>2</v>
      </c>
      <c r="AC29" s="25">
        <v>3</v>
      </c>
      <c r="AD29">
        <v>1</v>
      </c>
      <c r="AG29" s="6">
        <f t="shared" si="8"/>
        <v>1</v>
      </c>
      <c r="AH29">
        <f t="shared" si="11"/>
        <v>500</v>
      </c>
    </row>
    <row r="30" spans="1:34" x14ac:dyDescent="0.25">
      <c r="G30" s="6">
        <f t="shared" si="6"/>
        <v>0</v>
      </c>
      <c r="H30">
        <f t="shared" si="9"/>
        <v>0</v>
      </c>
      <c r="U30" s="6">
        <f t="shared" si="7"/>
        <v>0</v>
      </c>
      <c r="V30">
        <f t="shared" si="10"/>
        <v>0</v>
      </c>
      <c r="AC30">
        <v>11</v>
      </c>
      <c r="AD30">
        <v>15</v>
      </c>
      <c r="AG30" s="6">
        <f t="shared" si="8"/>
        <v>11</v>
      </c>
      <c r="AH30">
        <f t="shared" si="11"/>
        <v>0</v>
      </c>
    </row>
    <row r="31" spans="1:34" x14ac:dyDescent="0.25">
      <c r="C31">
        <v>3</v>
      </c>
      <c r="D31">
        <v>1</v>
      </c>
      <c r="G31" s="6">
        <f t="shared" si="6"/>
        <v>1</v>
      </c>
      <c r="H31">
        <f t="shared" si="9"/>
        <v>0</v>
      </c>
      <c r="U31" s="6">
        <f t="shared" si="7"/>
        <v>0</v>
      </c>
      <c r="V31">
        <f t="shared" si="10"/>
        <v>0</v>
      </c>
      <c r="AC31">
        <v>2</v>
      </c>
      <c r="AD31">
        <v>3</v>
      </c>
      <c r="AG31" s="6">
        <f t="shared" si="8"/>
        <v>2</v>
      </c>
      <c r="AH31">
        <f t="shared" si="11"/>
        <v>0</v>
      </c>
    </row>
    <row r="32" spans="1:34" x14ac:dyDescent="0.25">
      <c r="G32" s="6">
        <f t="shared" si="6"/>
        <v>0</v>
      </c>
      <c r="H32">
        <f t="shared" si="9"/>
        <v>0</v>
      </c>
      <c r="U32" s="6">
        <f t="shared" si="7"/>
        <v>0</v>
      </c>
      <c r="V32">
        <f t="shared" si="10"/>
        <v>0</v>
      </c>
      <c r="AC32">
        <v>3</v>
      </c>
      <c r="AD32">
        <v>1</v>
      </c>
      <c r="AG32" s="6">
        <f t="shared" si="8"/>
        <v>1</v>
      </c>
      <c r="AH32">
        <f t="shared" si="11"/>
        <v>0</v>
      </c>
    </row>
    <row r="33" spans="1:34" x14ac:dyDescent="0.25">
      <c r="G33" s="6">
        <f t="shared" si="6"/>
        <v>0</v>
      </c>
      <c r="H33">
        <f t="shared" si="9"/>
        <v>0</v>
      </c>
      <c r="U33" s="6">
        <f t="shared" si="7"/>
        <v>0</v>
      </c>
      <c r="V33">
        <f t="shared" si="10"/>
        <v>0</v>
      </c>
      <c r="AA33">
        <v>500</v>
      </c>
      <c r="AC33">
        <v>1</v>
      </c>
      <c r="AD33">
        <v>21</v>
      </c>
      <c r="AG33" s="6">
        <f t="shared" si="8"/>
        <v>1</v>
      </c>
      <c r="AH33">
        <f t="shared" si="11"/>
        <v>0</v>
      </c>
    </row>
    <row r="34" spans="1:34" x14ac:dyDescent="0.25">
      <c r="G34" s="6">
        <f t="shared" si="6"/>
        <v>0</v>
      </c>
      <c r="H34">
        <f t="shared" si="9"/>
        <v>0</v>
      </c>
      <c r="U34" s="6">
        <f t="shared" si="7"/>
        <v>0</v>
      </c>
      <c r="V34">
        <f t="shared" si="10"/>
        <v>0</v>
      </c>
      <c r="AC34">
        <v>2</v>
      </c>
      <c r="AD34">
        <v>4</v>
      </c>
      <c r="AG34" s="6">
        <f t="shared" si="8"/>
        <v>2</v>
      </c>
      <c r="AH34">
        <f t="shared" si="11"/>
        <v>0</v>
      </c>
    </row>
    <row r="35" spans="1:34" x14ac:dyDescent="0.25">
      <c r="G35" s="6">
        <f t="shared" si="6"/>
        <v>0</v>
      </c>
      <c r="H35">
        <f t="shared" si="9"/>
        <v>0</v>
      </c>
      <c r="U35" s="6">
        <f t="shared" si="7"/>
        <v>0</v>
      </c>
      <c r="V35">
        <f t="shared" si="10"/>
        <v>0</v>
      </c>
      <c r="AB35">
        <v>3</v>
      </c>
      <c r="AC35">
        <v>3</v>
      </c>
      <c r="AD35">
        <v>0</v>
      </c>
      <c r="AG35" s="6">
        <f t="shared" si="8"/>
        <v>0</v>
      </c>
      <c r="AH35">
        <f t="shared" si="11"/>
        <v>0</v>
      </c>
    </row>
    <row r="36" spans="1:34" x14ac:dyDescent="0.25">
      <c r="G36" s="6">
        <f t="shared" si="6"/>
        <v>0</v>
      </c>
      <c r="H36">
        <f t="shared" si="9"/>
        <v>0</v>
      </c>
      <c r="U36" s="6">
        <f t="shared" si="7"/>
        <v>0</v>
      </c>
      <c r="V36">
        <f t="shared" si="10"/>
        <v>0</v>
      </c>
      <c r="AA36">
        <v>500</v>
      </c>
      <c r="AB36">
        <v>3</v>
      </c>
      <c r="AC36">
        <v>6</v>
      </c>
      <c r="AD36">
        <v>1</v>
      </c>
      <c r="AG36" s="6">
        <f t="shared" si="8"/>
        <v>1</v>
      </c>
      <c r="AH36">
        <f t="shared" si="11"/>
        <v>1500</v>
      </c>
    </row>
    <row r="37" spans="1:34" x14ac:dyDescent="0.25">
      <c r="G37" s="6">
        <f t="shared" si="6"/>
        <v>0</v>
      </c>
      <c r="H37">
        <f t="shared" si="9"/>
        <v>0</v>
      </c>
      <c r="U37" s="6">
        <f t="shared" si="7"/>
        <v>0</v>
      </c>
      <c r="V37">
        <f t="shared" si="10"/>
        <v>0</v>
      </c>
      <c r="AB37">
        <v>5</v>
      </c>
      <c r="AC37">
        <v>2</v>
      </c>
      <c r="AD37">
        <v>5</v>
      </c>
      <c r="AG37" s="6">
        <f t="shared" si="8"/>
        <v>2</v>
      </c>
      <c r="AH37">
        <f t="shared" si="11"/>
        <v>0</v>
      </c>
    </row>
    <row r="38" spans="1:34" x14ac:dyDescent="0.25">
      <c r="G38" s="6">
        <f t="shared" si="6"/>
        <v>0</v>
      </c>
      <c r="H38">
        <f t="shared" si="9"/>
        <v>0</v>
      </c>
      <c r="U38" s="6">
        <f t="shared" si="7"/>
        <v>0</v>
      </c>
      <c r="V38">
        <f t="shared" si="10"/>
        <v>0</v>
      </c>
      <c r="AB38">
        <v>3</v>
      </c>
      <c r="AC38" s="26">
        <v>29</v>
      </c>
      <c r="AD38">
        <v>999</v>
      </c>
      <c r="AG38" s="6">
        <f t="shared" si="8"/>
        <v>29</v>
      </c>
      <c r="AH38">
        <f t="shared" si="11"/>
        <v>0</v>
      </c>
    </row>
    <row r="39" spans="1:34" x14ac:dyDescent="0.25">
      <c r="G39" s="6">
        <f t="shared" si="6"/>
        <v>0</v>
      </c>
      <c r="H39">
        <f t="shared" si="9"/>
        <v>0</v>
      </c>
      <c r="U39" s="6">
        <f t="shared" si="7"/>
        <v>0</v>
      </c>
      <c r="V39">
        <f t="shared" si="10"/>
        <v>0</v>
      </c>
      <c r="AB39" s="2">
        <v>1</v>
      </c>
      <c r="AC39">
        <v>4</v>
      </c>
      <c r="AD39">
        <v>10</v>
      </c>
      <c r="AG39" s="6">
        <f t="shared" si="8"/>
        <v>4</v>
      </c>
      <c r="AH39">
        <f t="shared" si="11"/>
        <v>0</v>
      </c>
    </row>
    <row r="40" spans="1:34" x14ac:dyDescent="0.25">
      <c r="G40" s="6">
        <f t="shared" si="6"/>
        <v>0</v>
      </c>
      <c r="H40">
        <f t="shared" si="9"/>
        <v>0</v>
      </c>
      <c r="U40" s="6">
        <f t="shared" si="7"/>
        <v>0</v>
      </c>
      <c r="V40">
        <f t="shared" si="10"/>
        <v>0</v>
      </c>
      <c r="AA40">
        <v>500</v>
      </c>
      <c r="AB40">
        <v>3</v>
      </c>
      <c r="AC40" s="10">
        <v>26</v>
      </c>
      <c r="AD40">
        <v>999</v>
      </c>
      <c r="AG40" s="6">
        <f t="shared" si="8"/>
        <v>26</v>
      </c>
    </row>
    <row r="41" spans="1:34" x14ac:dyDescent="0.25">
      <c r="G41" s="6">
        <f t="shared" si="6"/>
        <v>0</v>
      </c>
      <c r="H41">
        <f t="shared" si="9"/>
        <v>0</v>
      </c>
      <c r="U41" s="6">
        <f t="shared" si="7"/>
        <v>0</v>
      </c>
      <c r="V41">
        <f t="shared" si="10"/>
        <v>0</v>
      </c>
      <c r="AG41" s="6">
        <f t="shared" si="8"/>
        <v>0</v>
      </c>
      <c r="AH41">
        <f t="shared" si="11"/>
        <v>0</v>
      </c>
    </row>
    <row r="42" spans="1:34" x14ac:dyDescent="0.25">
      <c r="A42">
        <v>50</v>
      </c>
      <c r="B42">
        <v>2</v>
      </c>
      <c r="C42">
        <v>1</v>
      </c>
      <c r="D42">
        <v>0</v>
      </c>
      <c r="G42" s="6">
        <f t="shared" si="6"/>
        <v>0</v>
      </c>
      <c r="H42">
        <f t="shared" si="9"/>
        <v>0</v>
      </c>
      <c r="U42" s="6">
        <f t="shared" si="7"/>
        <v>0</v>
      </c>
      <c r="V42">
        <f t="shared" si="10"/>
        <v>0</v>
      </c>
      <c r="AG42" s="6">
        <f t="shared" si="8"/>
        <v>0</v>
      </c>
      <c r="AH42">
        <f t="shared" si="11"/>
        <v>0</v>
      </c>
    </row>
    <row r="43" spans="1:34" x14ac:dyDescent="0.25">
      <c r="C43">
        <v>1</v>
      </c>
      <c r="D43">
        <v>1</v>
      </c>
      <c r="G43" s="6">
        <f t="shared" si="6"/>
        <v>1</v>
      </c>
      <c r="H43">
        <f t="shared" si="9"/>
        <v>0</v>
      </c>
      <c r="U43" s="6">
        <f t="shared" si="7"/>
        <v>0</v>
      </c>
      <c r="V43">
        <f t="shared" si="10"/>
        <v>0</v>
      </c>
      <c r="AG43" s="6">
        <f t="shared" si="8"/>
        <v>0</v>
      </c>
      <c r="AH43">
        <f t="shared" si="11"/>
        <v>0</v>
      </c>
    </row>
    <row r="44" spans="1:34" x14ac:dyDescent="0.25">
      <c r="B44">
        <v>2</v>
      </c>
      <c r="G44" s="6">
        <f t="shared" si="6"/>
        <v>0</v>
      </c>
      <c r="H44">
        <f t="shared" si="9"/>
        <v>0</v>
      </c>
      <c r="U44" s="6">
        <f t="shared" si="7"/>
        <v>0</v>
      </c>
      <c r="V44">
        <f t="shared" si="10"/>
        <v>0</v>
      </c>
      <c r="AG44" s="6">
        <f t="shared" si="8"/>
        <v>0</v>
      </c>
      <c r="AH44">
        <f t="shared" si="11"/>
        <v>0</v>
      </c>
    </row>
    <row r="45" spans="1:34" x14ac:dyDescent="0.25">
      <c r="B45">
        <v>3</v>
      </c>
      <c r="C45">
        <v>1</v>
      </c>
      <c r="D45">
        <v>4</v>
      </c>
      <c r="G45" s="6">
        <f t="shared" si="6"/>
        <v>1</v>
      </c>
      <c r="H45">
        <f t="shared" si="9"/>
        <v>0</v>
      </c>
      <c r="U45" s="6">
        <f t="shared" si="7"/>
        <v>0</v>
      </c>
      <c r="V45">
        <f t="shared" si="10"/>
        <v>0</v>
      </c>
      <c r="AA45">
        <v>500</v>
      </c>
      <c r="AC45">
        <v>4</v>
      </c>
      <c r="AD45">
        <v>4</v>
      </c>
      <c r="AG45" s="6">
        <f t="shared" si="8"/>
        <v>4</v>
      </c>
      <c r="AH45">
        <f t="shared" si="11"/>
        <v>0</v>
      </c>
    </row>
    <row r="46" spans="1:34" x14ac:dyDescent="0.25">
      <c r="C46">
        <v>2</v>
      </c>
      <c r="D46">
        <v>0</v>
      </c>
      <c r="G46" s="6">
        <f t="shared" si="6"/>
        <v>0</v>
      </c>
      <c r="H46">
        <f t="shared" si="9"/>
        <v>0</v>
      </c>
      <c r="U46" s="6">
        <f t="shared" si="7"/>
        <v>0</v>
      </c>
      <c r="V46">
        <f t="shared" si="10"/>
        <v>0</v>
      </c>
      <c r="AG46" s="6">
        <f t="shared" si="8"/>
        <v>0</v>
      </c>
      <c r="AH46">
        <f t="shared" si="11"/>
        <v>0</v>
      </c>
    </row>
    <row r="47" spans="1:34" x14ac:dyDescent="0.25">
      <c r="C47">
        <v>1</v>
      </c>
      <c r="D47">
        <v>0</v>
      </c>
      <c r="G47" s="6">
        <f t="shared" si="6"/>
        <v>0</v>
      </c>
      <c r="H47">
        <f t="shared" si="9"/>
        <v>0</v>
      </c>
      <c r="U47" s="6">
        <f t="shared" si="7"/>
        <v>0</v>
      </c>
      <c r="V47">
        <f t="shared" si="10"/>
        <v>0</v>
      </c>
      <c r="AG47" s="6">
        <f t="shared" si="8"/>
        <v>0</v>
      </c>
      <c r="AH47">
        <f t="shared" si="11"/>
        <v>0</v>
      </c>
    </row>
    <row r="48" spans="1:34" x14ac:dyDescent="0.25">
      <c r="G48" s="6">
        <f t="shared" si="6"/>
        <v>0</v>
      </c>
      <c r="H48">
        <f t="shared" si="9"/>
        <v>0</v>
      </c>
      <c r="U48" s="6">
        <f t="shared" si="7"/>
        <v>0</v>
      </c>
      <c r="V48">
        <f t="shared" si="10"/>
        <v>0</v>
      </c>
      <c r="AG48" s="6">
        <f t="shared" si="8"/>
        <v>0</v>
      </c>
      <c r="AH48">
        <f t="shared" si="11"/>
        <v>0</v>
      </c>
    </row>
    <row r="49" spans="1:34" x14ac:dyDescent="0.25">
      <c r="G49" s="6">
        <f t="shared" si="6"/>
        <v>0</v>
      </c>
      <c r="H49">
        <f t="shared" si="9"/>
        <v>0</v>
      </c>
      <c r="U49" s="6">
        <f t="shared" si="7"/>
        <v>0</v>
      </c>
      <c r="V49">
        <f t="shared" si="10"/>
        <v>0</v>
      </c>
      <c r="AG49" s="6">
        <f t="shared" si="8"/>
        <v>0</v>
      </c>
      <c r="AH49">
        <f t="shared" si="11"/>
        <v>0</v>
      </c>
    </row>
    <row r="50" spans="1:34" x14ac:dyDescent="0.25">
      <c r="G50" s="6">
        <f t="shared" si="6"/>
        <v>0</v>
      </c>
      <c r="H50">
        <f t="shared" si="9"/>
        <v>0</v>
      </c>
      <c r="Q50">
        <v>9</v>
      </c>
      <c r="R50">
        <v>8</v>
      </c>
      <c r="U50" s="6">
        <f t="shared" si="7"/>
        <v>8</v>
      </c>
      <c r="V50">
        <f t="shared" si="10"/>
        <v>0</v>
      </c>
      <c r="AG50" s="6">
        <f t="shared" si="8"/>
        <v>0</v>
      </c>
      <c r="AH50">
        <f t="shared" si="11"/>
        <v>0</v>
      </c>
    </row>
    <row r="51" spans="1:34" x14ac:dyDescent="0.25">
      <c r="G51" s="6">
        <f t="shared" si="6"/>
        <v>0</v>
      </c>
      <c r="H51">
        <f t="shared" si="9"/>
        <v>0</v>
      </c>
      <c r="O51">
        <v>200</v>
      </c>
      <c r="P51">
        <v>4</v>
      </c>
      <c r="R51">
        <v>6</v>
      </c>
      <c r="U51" s="6">
        <f t="shared" si="7"/>
        <v>6</v>
      </c>
      <c r="V51">
        <f t="shared" si="10"/>
        <v>4800</v>
      </c>
      <c r="AG51" s="6">
        <f t="shared" si="8"/>
        <v>0</v>
      </c>
      <c r="AH51">
        <f t="shared" si="11"/>
        <v>0</v>
      </c>
    </row>
    <row r="52" spans="1:34" x14ac:dyDescent="0.25">
      <c r="G52" s="6">
        <f t="shared" si="6"/>
        <v>0</v>
      </c>
      <c r="H52">
        <f t="shared" si="9"/>
        <v>0</v>
      </c>
      <c r="Q52">
        <v>7</v>
      </c>
      <c r="U52" s="6">
        <f t="shared" si="7"/>
        <v>7</v>
      </c>
      <c r="V52">
        <f t="shared" si="10"/>
        <v>0</v>
      </c>
      <c r="AG52" s="6">
        <f t="shared" si="8"/>
        <v>0</v>
      </c>
      <c r="AH52">
        <f t="shared" si="11"/>
        <v>0</v>
      </c>
    </row>
    <row r="53" spans="1:34" x14ac:dyDescent="0.25">
      <c r="G53" s="6">
        <f t="shared" si="6"/>
        <v>0</v>
      </c>
      <c r="H53">
        <f t="shared" si="9"/>
        <v>0</v>
      </c>
      <c r="O53">
        <v>800</v>
      </c>
      <c r="Q53">
        <v>638</v>
      </c>
      <c r="R53">
        <v>630</v>
      </c>
      <c r="U53" s="6">
        <f t="shared" si="7"/>
        <v>630</v>
      </c>
      <c r="V53">
        <f t="shared" si="10"/>
        <v>0</v>
      </c>
      <c r="AG53" s="6">
        <f t="shared" si="8"/>
        <v>0</v>
      </c>
      <c r="AH53">
        <f t="shared" si="11"/>
        <v>0</v>
      </c>
    </row>
    <row r="54" spans="1:34" x14ac:dyDescent="0.25">
      <c r="G54" s="6">
        <f t="shared" si="6"/>
        <v>0</v>
      </c>
      <c r="H54">
        <f t="shared" si="9"/>
        <v>0</v>
      </c>
      <c r="Q54">
        <v>3</v>
      </c>
      <c r="R54">
        <v>2</v>
      </c>
      <c r="U54" s="6">
        <f t="shared" si="7"/>
        <v>2</v>
      </c>
      <c r="V54">
        <f t="shared" si="10"/>
        <v>0</v>
      </c>
      <c r="AG54" s="6">
        <f t="shared" si="8"/>
        <v>0</v>
      </c>
      <c r="AH54">
        <f t="shared" si="11"/>
        <v>0</v>
      </c>
    </row>
    <row r="55" spans="1:34" x14ac:dyDescent="0.25">
      <c r="G55" s="6">
        <f t="shared" si="6"/>
        <v>0</v>
      </c>
      <c r="H55">
        <f t="shared" si="9"/>
        <v>0</v>
      </c>
      <c r="Q55">
        <v>14</v>
      </c>
      <c r="R55">
        <v>4</v>
      </c>
      <c r="U55" s="6">
        <f t="shared" si="7"/>
        <v>4</v>
      </c>
      <c r="V55">
        <f t="shared" si="10"/>
        <v>0</v>
      </c>
      <c r="AG55" s="6">
        <f t="shared" si="8"/>
        <v>0</v>
      </c>
      <c r="AH55">
        <f t="shared" si="11"/>
        <v>0</v>
      </c>
    </row>
    <row r="56" spans="1:34" x14ac:dyDescent="0.25">
      <c r="G56" s="6">
        <f t="shared" si="6"/>
        <v>0</v>
      </c>
      <c r="H56">
        <f t="shared" si="9"/>
        <v>0</v>
      </c>
      <c r="U56" s="6">
        <f t="shared" si="7"/>
        <v>0</v>
      </c>
      <c r="V56">
        <f t="shared" si="10"/>
        <v>0</v>
      </c>
      <c r="AG56" s="6">
        <f t="shared" si="8"/>
        <v>0</v>
      </c>
      <c r="AH56">
        <f t="shared" si="11"/>
        <v>0</v>
      </c>
    </row>
    <row r="57" spans="1:34" x14ac:dyDescent="0.25">
      <c r="G57" s="6">
        <f t="shared" si="6"/>
        <v>0</v>
      </c>
      <c r="H57">
        <f t="shared" si="9"/>
        <v>0</v>
      </c>
      <c r="U57" s="6">
        <f t="shared" si="7"/>
        <v>0</v>
      </c>
      <c r="V57">
        <f t="shared" si="10"/>
        <v>0</v>
      </c>
      <c r="AC57">
        <v>5</v>
      </c>
      <c r="AD57">
        <v>5</v>
      </c>
      <c r="AG57" s="6">
        <f t="shared" si="8"/>
        <v>5</v>
      </c>
      <c r="AH57">
        <f t="shared" si="11"/>
        <v>0</v>
      </c>
    </row>
    <row r="58" spans="1:34" x14ac:dyDescent="0.25">
      <c r="G58" s="6">
        <f t="shared" si="6"/>
        <v>0</v>
      </c>
      <c r="H58">
        <f t="shared" si="9"/>
        <v>0</v>
      </c>
      <c r="U58" s="6">
        <f t="shared" si="7"/>
        <v>0</v>
      </c>
      <c r="V58">
        <f t="shared" si="10"/>
        <v>0</v>
      </c>
      <c r="AA58">
        <v>500</v>
      </c>
      <c r="AB58">
        <v>4</v>
      </c>
      <c r="AG58" s="6">
        <f t="shared" si="8"/>
        <v>0</v>
      </c>
      <c r="AH58">
        <f t="shared" si="11"/>
        <v>0</v>
      </c>
    </row>
    <row r="59" spans="1:34" x14ac:dyDescent="0.25">
      <c r="G59" s="6">
        <f t="shared" si="6"/>
        <v>0</v>
      </c>
      <c r="H59">
        <f t="shared" si="9"/>
        <v>0</v>
      </c>
      <c r="U59" s="6">
        <f t="shared" si="7"/>
        <v>0</v>
      </c>
      <c r="V59">
        <f t="shared" si="10"/>
        <v>0</v>
      </c>
      <c r="AA59">
        <v>500</v>
      </c>
      <c r="AB59">
        <v>2</v>
      </c>
      <c r="AC59">
        <v>2</v>
      </c>
      <c r="AD59">
        <v>1</v>
      </c>
      <c r="AG59" s="6">
        <f t="shared" si="8"/>
        <v>1</v>
      </c>
      <c r="AH59">
        <f t="shared" si="11"/>
        <v>1000</v>
      </c>
    </row>
    <row r="60" spans="1:34" x14ac:dyDescent="0.25">
      <c r="G60" s="6">
        <f t="shared" si="6"/>
        <v>0</v>
      </c>
      <c r="H60">
        <f t="shared" si="9"/>
        <v>0</v>
      </c>
      <c r="O60">
        <v>1800</v>
      </c>
      <c r="P60">
        <v>1</v>
      </c>
      <c r="U60" s="6">
        <f t="shared" si="7"/>
        <v>0</v>
      </c>
      <c r="V60">
        <f t="shared" si="10"/>
        <v>0</v>
      </c>
      <c r="AA60">
        <v>1000</v>
      </c>
      <c r="AB60">
        <v>4</v>
      </c>
      <c r="AG60" s="6">
        <f t="shared" si="8"/>
        <v>0</v>
      </c>
      <c r="AH60">
        <f t="shared" si="11"/>
        <v>0</v>
      </c>
    </row>
    <row r="61" spans="1:34" x14ac:dyDescent="0.25">
      <c r="G61" s="6">
        <f t="shared" si="6"/>
        <v>0</v>
      </c>
      <c r="H61">
        <f t="shared" si="9"/>
        <v>0</v>
      </c>
      <c r="U61" s="6">
        <f t="shared" si="7"/>
        <v>0</v>
      </c>
      <c r="V61">
        <f t="shared" si="10"/>
        <v>0</v>
      </c>
      <c r="AA61">
        <v>1500</v>
      </c>
      <c r="AC61">
        <v>3</v>
      </c>
      <c r="AD61">
        <v>2</v>
      </c>
      <c r="AG61" s="6">
        <f t="shared" si="8"/>
        <v>2</v>
      </c>
      <c r="AH61">
        <f t="shared" si="11"/>
        <v>0</v>
      </c>
    </row>
    <row r="62" spans="1:34" x14ac:dyDescent="0.25">
      <c r="G62" s="6">
        <f t="shared" si="6"/>
        <v>0</v>
      </c>
      <c r="H62">
        <f t="shared" si="9"/>
        <v>0</v>
      </c>
      <c r="U62" s="6">
        <f t="shared" si="7"/>
        <v>0</v>
      </c>
      <c r="V62">
        <f t="shared" si="10"/>
        <v>0</v>
      </c>
      <c r="AG62" s="6">
        <f t="shared" si="8"/>
        <v>0</v>
      </c>
      <c r="AH62">
        <f t="shared" si="11"/>
        <v>0</v>
      </c>
    </row>
    <row r="63" spans="1:34" x14ac:dyDescent="0.25">
      <c r="A63">
        <v>187.5</v>
      </c>
      <c r="B63">
        <v>1</v>
      </c>
      <c r="C63">
        <v>6</v>
      </c>
      <c r="D63">
        <v>5</v>
      </c>
      <c r="G63" s="6">
        <f t="shared" si="6"/>
        <v>5</v>
      </c>
      <c r="H63">
        <f t="shared" si="9"/>
        <v>937.5</v>
      </c>
      <c r="U63" s="6">
        <f t="shared" si="7"/>
        <v>0</v>
      </c>
      <c r="V63">
        <f t="shared" si="10"/>
        <v>0</v>
      </c>
      <c r="AG63" s="6">
        <f t="shared" si="8"/>
        <v>0</v>
      </c>
      <c r="AH63">
        <f t="shared" si="11"/>
        <v>0</v>
      </c>
    </row>
    <row r="64" spans="1:34" x14ac:dyDescent="0.25">
      <c r="A64" s="17">
        <v>50</v>
      </c>
      <c r="C64">
        <v>69</v>
      </c>
      <c r="D64">
        <v>79</v>
      </c>
      <c r="G64" s="6">
        <f t="shared" si="6"/>
        <v>69</v>
      </c>
      <c r="H64">
        <f t="shared" si="9"/>
        <v>0</v>
      </c>
      <c r="U64" s="6">
        <f t="shared" si="7"/>
        <v>0</v>
      </c>
      <c r="V64">
        <f t="shared" si="10"/>
        <v>0</v>
      </c>
      <c r="AG64" s="6">
        <f t="shared" si="8"/>
        <v>0</v>
      </c>
      <c r="AH64">
        <f t="shared" si="11"/>
        <v>0</v>
      </c>
    </row>
    <row r="65" spans="1:34" x14ac:dyDescent="0.25">
      <c r="G65" s="6">
        <f t="shared" si="6"/>
        <v>0</v>
      </c>
      <c r="H65">
        <f t="shared" si="9"/>
        <v>0</v>
      </c>
      <c r="U65" s="6">
        <f t="shared" si="7"/>
        <v>0</v>
      </c>
      <c r="V65">
        <f t="shared" si="10"/>
        <v>0</v>
      </c>
      <c r="AG65" s="6">
        <f t="shared" si="8"/>
        <v>0</v>
      </c>
      <c r="AH65">
        <f t="shared" si="11"/>
        <v>0</v>
      </c>
    </row>
    <row r="66" spans="1:34" x14ac:dyDescent="0.25">
      <c r="A66">
        <v>100</v>
      </c>
      <c r="B66">
        <v>1</v>
      </c>
      <c r="G66" s="6">
        <f t="shared" si="6"/>
        <v>0</v>
      </c>
      <c r="H66">
        <f t="shared" si="9"/>
        <v>0</v>
      </c>
      <c r="U66" s="6">
        <f t="shared" si="7"/>
        <v>0</v>
      </c>
      <c r="V66">
        <f t="shared" si="10"/>
        <v>0</v>
      </c>
      <c r="AG66" s="6">
        <f t="shared" si="8"/>
        <v>0</v>
      </c>
      <c r="AH66">
        <f t="shared" si="11"/>
        <v>0</v>
      </c>
    </row>
    <row r="67" spans="1:34" x14ac:dyDescent="0.25">
      <c r="A67">
        <v>50</v>
      </c>
      <c r="B67">
        <v>2</v>
      </c>
      <c r="C67">
        <v>8</v>
      </c>
      <c r="D67">
        <v>1</v>
      </c>
      <c r="G67" s="6">
        <f t="shared" si="6"/>
        <v>1</v>
      </c>
      <c r="H67">
        <f t="shared" si="9"/>
        <v>100</v>
      </c>
      <c r="P67">
        <v>1</v>
      </c>
      <c r="Q67">
        <v>9</v>
      </c>
      <c r="R67">
        <v>16</v>
      </c>
      <c r="U67" s="6">
        <f t="shared" si="7"/>
        <v>9</v>
      </c>
      <c r="V67">
        <f t="shared" si="10"/>
        <v>0</v>
      </c>
      <c r="AG67" s="6">
        <f t="shared" si="8"/>
        <v>0</v>
      </c>
      <c r="AH67">
        <f t="shared" si="11"/>
        <v>0</v>
      </c>
    </row>
    <row r="68" spans="1:34" x14ac:dyDescent="0.25">
      <c r="C68">
        <v>22</v>
      </c>
      <c r="D68">
        <v>62</v>
      </c>
      <c r="G68" s="6">
        <f t="shared" si="6"/>
        <v>22</v>
      </c>
      <c r="H68">
        <f t="shared" si="9"/>
        <v>0</v>
      </c>
      <c r="U68" s="6">
        <f t="shared" si="7"/>
        <v>0</v>
      </c>
      <c r="V68">
        <f t="shared" si="10"/>
        <v>0</v>
      </c>
      <c r="AB68">
        <v>3</v>
      </c>
      <c r="AC68">
        <v>11</v>
      </c>
      <c r="AD68">
        <v>72</v>
      </c>
      <c r="AG68" s="6">
        <f t="shared" si="8"/>
        <v>11</v>
      </c>
      <c r="AH68">
        <f t="shared" si="11"/>
        <v>0</v>
      </c>
    </row>
    <row r="69" spans="1:34" x14ac:dyDescent="0.25">
      <c r="G69" s="6">
        <f t="shared" si="6"/>
        <v>0</v>
      </c>
      <c r="H69">
        <f t="shared" si="9"/>
        <v>0</v>
      </c>
      <c r="U69" s="6">
        <f t="shared" si="7"/>
        <v>0</v>
      </c>
      <c r="V69">
        <f t="shared" si="10"/>
        <v>0</v>
      </c>
      <c r="AG69" s="6">
        <f t="shared" si="8"/>
        <v>0</v>
      </c>
      <c r="AH69">
        <f t="shared" si="11"/>
        <v>0</v>
      </c>
    </row>
    <row r="70" spans="1:34" x14ac:dyDescent="0.25">
      <c r="A70">
        <v>150</v>
      </c>
      <c r="B70">
        <v>1</v>
      </c>
      <c r="C70">
        <v>35</v>
      </c>
      <c r="D70">
        <v>46</v>
      </c>
      <c r="G70" s="6">
        <f t="shared" si="6"/>
        <v>35</v>
      </c>
      <c r="H70">
        <f t="shared" si="9"/>
        <v>5250</v>
      </c>
      <c r="U70" s="6">
        <f t="shared" si="7"/>
        <v>0</v>
      </c>
      <c r="V70">
        <f t="shared" si="10"/>
        <v>0</v>
      </c>
      <c r="AG70" s="6">
        <f t="shared" si="8"/>
        <v>0</v>
      </c>
      <c r="AH70">
        <f t="shared" si="11"/>
        <v>0</v>
      </c>
    </row>
    <row r="71" spans="1:34" x14ac:dyDescent="0.25">
      <c r="C71">
        <v>5</v>
      </c>
      <c r="D71">
        <v>11</v>
      </c>
      <c r="G71" s="6">
        <f t="shared" si="6"/>
        <v>5</v>
      </c>
      <c r="H71">
        <f t="shared" si="9"/>
        <v>0</v>
      </c>
      <c r="U71" s="6">
        <f t="shared" si="7"/>
        <v>0</v>
      </c>
      <c r="V71">
        <f t="shared" si="10"/>
        <v>0</v>
      </c>
      <c r="AG71" s="6">
        <f t="shared" si="8"/>
        <v>0</v>
      </c>
      <c r="AH71">
        <f t="shared" si="11"/>
        <v>0</v>
      </c>
    </row>
    <row r="72" spans="1:34" x14ac:dyDescent="0.25">
      <c r="A72">
        <v>75</v>
      </c>
      <c r="B72">
        <v>1</v>
      </c>
      <c r="C72">
        <v>2</v>
      </c>
      <c r="D72">
        <v>5</v>
      </c>
      <c r="G72" s="6">
        <f t="shared" ref="G72:G135" si="12">MIN(C72,D72)</f>
        <v>2</v>
      </c>
      <c r="H72">
        <f t="shared" si="9"/>
        <v>150</v>
      </c>
      <c r="U72" s="6">
        <f t="shared" ref="U72:U135" si="13">MIN(Q72,R72)</f>
        <v>0</v>
      </c>
      <c r="V72">
        <f t="shared" si="10"/>
        <v>0</v>
      </c>
      <c r="AG72" s="6">
        <f t="shared" ref="AG72:AG135" si="14">MIN(AC72,AD72)</f>
        <v>0</v>
      </c>
      <c r="AH72">
        <f t="shared" si="11"/>
        <v>0</v>
      </c>
    </row>
    <row r="73" spans="1:34" x14ac:dyDescent="0.25">
      <c r="A73">
        <v>50</v>
      </c>
      <c r="C73">
        <v>720</v>
      </c>
      <c r="D73">
        <v>709</v>
      </c>
      <c r="G73" s="6">
        <f t="shared" si="12"/>
        <v>709</v>
      </c>
      <c r="H73">
        <f t="shared" si="9"/>
        <v>0</v>
      </c>
      <c r="U73" s="6">
        <f t="shared" si="13"/>
        <v>0</v>
      </c>
      <c r="V73">
        <f t="shared" si="10"/>
        <v>0</v>
      </c>
      <c r="AG73" s="6">
        <f t="shared" si="14"/>
        <v>0</v>
      </c>
      <c r="AH73">
        <f t="shared" si="11"/>
        <v>0</v>
      </c>
    </row>
    <row r="74" spans="1:34" x14ac:dyDescent="0.25">
      <c r="A74">
        <v>50</v>
      </c>
      <c r="B74">
        <v>1</v>
      </c>
      <c r="C74">
        <v>82</v>
      </c>
      <c r="D74">
        <v>87</v>
      </c>
      <c r="G74" s="6">
        <f t="shared" si="12"/>
        <v>82</v>
      </c>
      <c r="H74">
        <f t="shared" si="9"/>
        <v>4100</v>
      </c>
      <c r="U74" s="6">
        <f t="shared" si="13"/>
        <v>0</v>
      </c>
      <c r="V74">
        <f t="shared" si="10"/>
        <v>0</v>
      </c>
      <c r="AG74" s="6">
        <f t="shared" si="14"/>
        <v>0</v>
      </c>
      <c r="AH74">
        <f t="shared" si="11"/>
        <v>0</v>
      </c>
    </row>
    <row r="75" spans="1:34" x14ac:dyDescent="0.25">
      <c r="A75">
        <v>150</v>
      </c>
      <c r="B75">
        <v>1</v>
      </c>
      <c r="C75">
        <v>10</v>
      </c>
      <c r="D75">
        <v>9</v>
      </c>
      <c r="G75" s="6">
        <f t="shared" si="12"/>
        <v>9</v>
      </c>
      <c r="H75">
        <f t="shared" si="9"/>
        <v>1350</v>
      </c>
      <c r="U75" s="6">
        <f t="shared" si="13"/>
        <v>0</v>
      </c>
      <c r="V75">
        <f t="shared" si="10"/>
        <v>0</v>
      </c>
      <c r="AG75" s="6">
        <f t="shared" si="14"/>
        <v>0</v>
      </c>
      <c r="AH75">
        <f t="shared" si="11"/>
        <v>0</v>
      </c>
    </row>
    <row r="76" spans="1:34" x14ac:dyDescent="0.25">
      <c r="C76">
        <v>999</v>
      </c>
      <c r="D76">
        <v>999</v>
      </c>
      <c r="G76" s="6">
        <f t="shared" si="12"/>
        <v>999</v>
      </c>
      <c r="H76">
        <f t="shared" si="9"/>
        <v>0</v>
      </c>
      <c r="Q76">
        <v>183</v>
      </c>
      <c r="R76">
        <v>275</v>
      </c>
      <c r="U76" s="6">
        <f t="shared" si="13"/>
        <v>183</v>
      </c>
      <c r="V76">
        <f t="shared" si="10"/>
        <v>0</v>
      </c>
      <c r="AG76" s="6">
        <f t="shared" si="14"/>
        <v>0</v>
      </c>
      <c r="AH76">
        <f t="shared" si="11"/>
        <v>0</v>
      </c>
    </row>
    <row r="77" spans="1:34" x14ac:dyDescent="0.25">
      <c r="A77">
        <v>75</v>
      </c>
      <c r="B77">
        <v>1</v>
      </c>
      <c r="C77">
        <v>610</v>
      </c>
      <c r="D77">
        <v>610</v>
      </c>
      <c r="G77" s="6">
        <f t="shared" si="12"/>
        <v>610</v>
      </c>
      <c r="H77">
        <f t="shared" si="9"/>
        <v>45750</v>
      </c>
      <c r="U77" s="6">
        <f t="shared" si="13"/>
        <v>0</v>
      </c>
      <c r="V77">
        <f t="shared" si="10"/>
        <v>0</v>
      </c>
      <c r="AG77" s="6">
        <f t="shared" si="14"/>
        <v>0</v>
      </c>
      <c r="AH77">
        <f t="shared" si="11"/>
        <v>0</v>
      </c>
    </row>
    <row r="78" spans="1:34" x14ac:dyDescent="0.25">
      <c r="G78" s="6">
        <f t="shared" si="12"/>
        <v>0</v>
      </c>
      <c r="H78">
        <f t="shared" si="9"/>
        <v>0</v>
      </c>
      <c r="U78" s="6">
        <f t="shared" si="13"/>
        <v>0</v>
      </c>
      <c r="V78">
        <f t="shared" si="10"/>
        <v>0</v>
      </c>
      <c r="AG78" s="6">
        <f t="shared" si="14"/>
        <v>0</v>
      </c>
      <c r="AH78">
        <f t="shared" si="11"/>
        <v>0</v>
      </c>
    </row>
    <row r="79" spans="1:34" x14ac:dyDescent="0.25">
      <c r="C79">
        <v>3</v>
      </c>
      <c r="D79">
        <v>6</v>
      </c>
      <c r="G79" s="6">
        <f t="shared" si="12"/>
        <v>3</v>
      </c>
      <c r="H79">
        <f t="shared" si="9"/>
        <v>0</v>
      </c>
      <c r="U79" s="6">
        <f t="shared" si="13"/>
        <v>0</v>
      </c>
      <c r="V79">
        <f t="shared" si="10"/>
        <v>0</v>
      </c>
      <c r="AG79" s="6">
        <f t="shared" si="14"/>
        <v>0</v>
      </c>
      <c r="AH79">
        <f t="shared" si="11"/>
        <v>0</v>
      </c>
    </row>
    <row r="80" spans="1:34" x14ac:dyDescent="0.25">
      <c r="G80" s="6">
        <f t="shared" si="12"/>
        <v>0</v>
      </c>
      <c r="H80">
        <f t="shared" si="9"/>
        <v>0</v>
      </c>
      <c r="U80" s="6">
        <f t="shared" si="13"/>
        <v>0</v>
      </c>
      <c r="V80">
        <f t="shared" si="10"/>
        <v>0</v>
      </c>
      <c r="AG80" s="6">
        <f t="shared" si="14"/>
        <v>0</v>
      </c>
      <c r="AH80">
        <f t="shared" si="11"/>
        <v>0</v>
      </c>
    </row>
    <row r="81" spans="1:34" x14ac:dyDescent="0.25">
      <c r="C81">
        <v>8</v>
      </c>
      <c r="G81" s="6">
        <f t="shared" si="12"/>
        <v>8</v>
      </c>
      <c r="H81">
        <f t="shared" si="9"/>
        <v>0</v>
      </c>
      <c r="U81" s="6">
        <f t="shared" si="13"/>
        <v>0</v>
      </c>
      <c r="V81">
        <f t="shared" si="10"/>
        <v>0</v>
      </c>
      <c r="AG81" s="6">
        <f t="shared" si="14"/>
        <v>0</v>
      </c>
      <c r="AH81">
        <f t="shared" si="11"/>
        <v>0</v>
      </c>
    </row>
    <row r="82" spans="1:34" x14ac:dyDescent="0.25">
      <c r="A82">
        <v>150</v>
      </c>
      <c r="B82">
        <v>1</v>
      </c>
      <c r="C82">
        <v>28</v>
      </c>
      <c r="D82">
        <v>21</v>
      </c>
      <c r="G82" s="6">
        <f t="shared" si="12"/>
        <v>21</v>
      </c>
      <c r="H82">
        <f t="shared" si="9"/>
        <v>3150</v>
      </c>
      <c r="U82" s="6">
        <f t="shared" si="13"/>
        <v>0</v>
      </c>
      <c r="V82">
        <f t="shared" si="10"/>
        <v>0</v>
      </c>
      <c r="AG82" s="6">
        <f t="shared" si="14"/>
        <v>0</v>
      </c>
      <c r="AH82">
        <f t="shared" si="11"/>
        <v>0</v>
      </c>
    </row>
    <row r="83" spans="1:34" x14ac:dyDescent="0.25">
      <c r="A83">
        <v>150</v>
      </c>
      <c r="B83">
        <v>1</v>
      </c>
      <c r="C83">
        <v>2</v>
      </c>
      <c r="D83">
        <v>1</v>
      </c>
      <c r="G83" s="6">
        <f t="shared" si="12"/>
        <v>1</v>
      </c>
      <c r="H83">
        <f t="shared" si="9"/>
        <v>150</v>
      </c>
      <c r="U83" s="6">
        <f t="shared" si="13"/>
        <v>0</v>
      </c>
      <c r="V83">
        <f t="shared" si="10"/>
        <v>0</v>
      </c>
      <c r="AG83" s="6">
        <f t="shared" si="14"/>
        <v>0</v>
      </c>
      <c r="AH83">
        <f t="shared" si="11"/>
        <v>0</v>
      </c>
    </row>
    <row r="84" spans="1:34" x14ac:dyDescent="0.25">
      <c r="C84">
        <v>999</v>
      </c>
      <c r="D84">
        <v>2</v>
      </c>
      <c r="G84" s="6">
        <f t="shared" si="12"/>
        <v>2</v>
      </c>
      <c r="H84">
        <f t="shared" si="9"/>
        <v>0</v>
      </c>
      <c r="U84" s="6">
        <f t="shared" si="13"/>
        <v>0</v>
      </c>
      <c r="V84">
        <f t="shared" si="10"/>
        <v>0</v>
      </c>
      <c r="AG84" s="6">
        <f t="shared" si="14"/>
        <v>0</v>
      </c>
      <c r="AH84">
        <f t="shared" si="11"/>
        <v>0</v>
      </c>
    </row>
    <row r="85" spans="1:34" x14ac:dyDescent="0.25">
      <c r="G85" s="6">
        <f t="shared" si="12"/>
        <v>0</v>
      </c>
      <c r="H85">
        <f t="shared" si="9"/>
        <v>0</v>
      </c>
      <c r="U85" s="6">
        <f t="shared" si="13"/>
        <v>0</v>
      </c>
      <c r="V85">
        <f t="shared" si="10"/>
        <v>0</v>
      </c>
      <c r="AG85" s="6">
        <f t="shared" si="14"/>
        <v>0</v>
      </c>
      <c r="AH85">
        <f t="shared" si="11"/>
        <v>0</v>
      </c>
    </row>
    <row r="86" spans="1:34" x14ac:dyDescent="0.25">
      <c r="G86" s="6">
        <f t="shared" si="12"/>
        <v>0</v>
      </c>
      <c r="H86">
        <f t="shared" si="9"/>
        <v>0</v>
      </c>
      <c r="U86" s="6">
        <f t="shared" si="13"/>
        <v>0</v>
      </c>
      <c r="V86">
        <f t="shared" si="10"/>
        <v>0</v>
      </c>
      <c r="AG86" s="6">
        <f t="shared" si="14"/>
        <v>0</v>
      </c>
      <c r="AH86">
        <f t="shared" si="11"/>
        <v>0</v>
      </c>
    </row>
    <row r="87" spans="1:34" x14ac:dyDescent="0.25">
      <c r="A87">
        <v>50</v>
      </c>
      <c r="B87">
        <v>1</v>
      </c>
      <c r="C87">
        <v>1</v>
      </c>
      <c r="D87">
        <v>0</v>
      </c>
      <c r="G87" s="6">
        <f t="shared" si="12"/>
        <v>0</v>
      </c>
      <c r="H87">
        <f t="shared" si="9"/>
        <v>0</v>
      </c>
      <c r="U87" s="6">
        <f t="shared" si="13"/>
        <v>0</v>
      </c>
      <c r="V87">
        <f t="shared" si="10"/>
        <v>0</v>
      </c>
      <c r="AG87" s="6">
        <f t="shared" si="14"/>
        <v>0</v>
      </c>
      <c r="AH87">
        <f t="shared" si="11"/>
        <v>0</v>
      </c>
    </row>
    <row r="88" spans="1:34" x14ac:dyDescent="0.25">
      <c r="G88" s="6">
        <f t="shared" si="12"/>
        <v>0</v>
      </c>
      <c r="H88">
        <f t="shared" ref="H88:H151" si="15">A88*B88*G88</f>
        <v>0</v>
      </c>
      <c r="U88" s="6">
        <f t="shared" si="13"/>
        <v>0</v>
      </c>
      <c r="V88">
        <f t="shared" ref="V88:V151" si="16">O88*P88*U88</f>
        <v>0</v>
      </c>
      <c r="AG88" s="6">
        <f t="shared" si="14"/>
        <v>0</v>
      </c>
      <c r="AH88">
        <f t="shared" ref="AH88:AH151" si="17">AA88*AB88*AG88</f>
        <v>0</v>
      </c>
    </row>
    <row r="89" spans="1:34" x14ac:dyDescent="0.25">
      <c r="G89" s="6">
        <f t="shared" si="12"/>
        <v>0</v>
      </c>
      <c r="H89">
        <f t="shared" si="15"/>
        <v>0</v>
      </c>
      <c r="U89" s="6">
        <f t="shared" si="13"/>
        <v>0</v>
      </c>
      <c r="V89">
        <f t="shared" si="16"/>
        <v>0</v>
      </c>
      <c r="AG89" s="6">
        <f t="shared" si="14"/>
        <v>0</v>
      </c>
      <c r="AH89">
        <f t="shared" si="17"/>
        <v>0</v>
      </c>
    </row>
    <row r="90" spans="1:34" x14ac:dyDescent="0.25">
      <c r="A90">
        <v>75</v>
      </c>
      <c r="B90">
        <v>1</v>
      </c>
      <c r="C90">
        <v>42</v>
      </c>
      <c r="D90">
        <v>21</v>
      </c>
      <c r="G90" s="6">
        <f t="shared" si="12"/>
        <v>21</v>
      </c>
      <c r="H90">
        <f t="shared" si="15"/>
        <v>1575</v>
      </c>
      <c r="U90" s="6">
        <f t="shared" si="13"/>
        <v>0</v>
      </c>
      <c r="V90">
        <f t="shared" si="16"/>
        <v>0</v>
      </c>
      <c r="AG90" s="6">
        <f t="shared" si="14"/>
        <v>0</v>
      </c>
      <c r="AH90">
        <f t="shared" si="17"/>
        <v>0</v>
      </c>
    </row>
    <row r="91" spans="1:34" x14ac:dyDescent="0.25">
      <c r="A91">
        <v>75</v>
      </c>
      <c r="B91">
        <v>1</v>
      </c>
      <c r="C91">
        <v>999</v>
      </c>
      <c r="D91">
        <v>999</v>
      </c>
      <c r="G91" s="6">
        <f t="shared" si="12"/>
        <v>999</v>
      </c>
      <c r="H91">
        <f t="shared" si="15"/>
        <v>74925</v>
      </c>
      <c r="U91" s="6">
        <f t="shared" si="13"/>
        <v>0</v>
      </c>
      <c r="V91">
        <f t="shared" si="16"/>
        <v>0</v>
      </c>
      <c r="AG91" s="6">
        <f t="shared" si="14"/>
        <v>0</v>
      </c>
      <c r="AH91">
        <f t="shared" si="17"/>
        <v>0</v>
      </c>
    </row>
    <row r="92" spans="1:34" x14ac:dyDescent="0.25">
      <c r="A92">
        <v>75</v>
      </c>
      <c r="B92">
        <v>1</v>
      </c>
      <c r="C92">
        <v>30</v>
      </c>
      <c r="D92">
        <v>30</v>
      </c>
      <c r="G92" s="6">
        <f t="shared" si="12"/>
        <v>30</v>
      </c>
      <c r="H92">
        <f t="shared" si="15"/>
        <v>2250</v>
      </c>
      <c r="U92" s="6">
        <f t="shared" si="13"/>
        <v>0</v>
      </c>
      <c r="V92">
        <f t="shared" si="16"/>
        <v>0</v>
      </c>
      <c r="AG92" s="6">
        <f t="shared" si="14"/>
        <v>0</v>
      </c>
      <c r="AH92">
        <f t="shared" si="17"/>
        <v>0</v>
      </c>
    </row>
    <row r="93" spans="1:34" x14ac:dyDescent="0.25">
      <c r="A93">
        <v>100</v>
      </c>
      <c r="B93">
        <v>1</v>
      </c>
      <c r="C93">
        <v>12</v>
      </c>
      <c r="D93">
        <v>8</v>
      </c>
      <c r="G93" s="6">
        <f t="shared" si="12"/>
        <v>8</v>
      </c>
      <c r="H93">
        <f t="shared" si="15"/>
        <v>800</v>
      </c>
      <c r="O93">
        <v>400</v>
      </c>
      <c r="P93">
        <v>1</v>
      </c>
      <c r="Q93">
        <v>10</v>
      </c>
      <c r="R93">
        <v>17</v>
      </c>
      <c r="U93" s="6">
        <f t="shared" si="13"/>
        <v>10</v>
      </c>
      <c r="V93">
        <f t="shared" si="16"/>
        <v>4000</v>
      </c>
      <c r="AG93" s="6">
        <f t="shared" si="14"/>
        <v>0</v>
      </c>
      <c r="AH93">
        <f t="shared" si="17"/>
        <v>0</v>
      </c>
    </row>
    <row r="94" spans="1:34" x14ac:dyDescent="0.25">
      <c r="A94">
        <v>150</v>
      </c>
      <c r="B94">
        <v>1</v>
      </c>
      <c r="C94">
        <v>20</v>
      </c>
      <c r="D94">
        <v>22</v>
      </c>
      <c r="G94" s="6">
        <f t="shared" si="12"/>
        <v>20</v>
      </c>
      <c r="H94">
        <f t="shared" si="15"/>
        <v>3000</v>
      </c>
      <c r="U94" s="6">
        <f t="shared" si="13"/>
        <v>0</v>
      </c>
      <c r="V94">
        <f t="shared" si="16"/>
        <v>0</v>
      </c>
      <c r="AG94" s="6">
        <f t="shared" si="14"/>
        <v>0</v>
      </c>
      <c r="AH94">
        <f t="shared" si="17"/>
        <v>0</v>
      </c>
    </row>
    <row r="95" spans="1:34" x14ac:dyDescent="0.25">
      <c r="A95">
        <v>50</v>
      </c>
      <c r="B95">
        <v>1</v>
      </c>
      <c r="C95">
        <v>732</v>
      </c>
      <c r="G95" s="6">
        <f t="shared" si="12"/>
        <v>732</v>
      </c>
      <c r="H95">
        <f t="shared" si="15"/>
        <v>36600</v>
      </c>
      <c r="U95" s="6">
        <f t="shared" si="13"/>
        <v>0</v>
      </c>
      <c r="V95">
        <f t="shared" si="16"/>
        <v>0</v>
      </c>
      <c r="AG95" s="6">
        <f t="shared" si="14"/>
        <v>0</v>
      </c>
      <c r="AH95">
        <f t="shared" si="17"/>
        <v>0</v>
      </c>
    </row>
    <row r="96" spans="1:34" x14ac:dyDescent="0.25">
      <c r="A96">
        <v>150</v>
      </c>
      <c r="B96">
        <v>1</v>
      </c>
      <c r="C96">
        <v>153</v>
      </c>
      <c r="D96">
        <v>151</v>
      </c>
      <c r="G96" s="6">
        <f t="shared" si="12"/>
        <v>151</v>
      </c>
      <c r="H96">
        <f t="shared" si="15"/>
        <v>22650</v>
      </c>
      <c r="U96" s="6">
        <f t="shared" si="13"/>
        <v>0</v>
      </c>
      <c r="V96">
        <f t="shared" si="16"/>
        <v>0</v>
      </c>
      <c r="AG96" s="6">
        <f t="shared" si="14"/>
        <v>0</v>
      </c>
      <c r="AH96">
        <f t="shared" si="17"/>
        <v>0</v>
      </c>
    </row>
    <row r="97" spans="1:34" x14ac:dyDescent="0.25">
      <c r="C97">
        <v>732</v>
      </c>
      <c r="D97">
        <v>732</v>
      </c>
      <c r="G97" s="6">
        <f t="shared" si="12"/>
        <v>732</v>
      </c>
      <c r="H97">
        <f t="shared" si="15"/>
        <v>0</v>
      </c>
      <c r="U97" s="6">
        <f t="shared" si="13"/>
        <v>0</v>
      </c>
      <c r="V97">
        <f t="shared" si="16"/>
        <v>0</v>
      </c>
      <c r="AG97" s="6">
        <f t="shared" si="14"/>
        <v>0</v>
      </c>
      <c r="AH97">
        <f t="shared" si="17"/>
        <v>0</v>
      </c>
    </row>
    <row r="98" spans="1:34" x14ac:dyDescent="0.25">
      <c r="C98" s="10">
        <v>999</v>
      </c>
      <c r="D98">
        <v>999</v>
      </c>
      <c r="G98" s="6">
        <f t="shared" si="12"/>
        <v>999</v>
      </c>
      <c r="H98">
        <f t="shared" si="15"/>
        <v>0</v>
      </c>
      <c r="U98" s="6">
        <f t="shared" si="13"/>
        <v>0</v>
      </c>
      <c r="V98">
        <f t="shared" si="16"/>
        <v>0</v>
      </c>
      <c r="AG98" s="6">
        <f t="shared" si="14"/>
        <v>0</v>
      </c>
      <c r="AH98">
        <f t="shared" si="17"/>
        <v>0</v>
      </c>
    </row>
    <row r="99" spans="1:34" x14ac:dyDescent="0.25">
      <c r="C99">
        <v>122</v>
      </c>
      <c r="D99">
        <v>46</v>
      </c>
      <c r="G99" s="6">
        <f t="shared" si="12"/>
        <v>46</v>
      </c>
      <c r="H99">
        <f t="shared" si="15"/>
        <v>0</v>
      </c>
      <c r="U99" s="6">
        <f t="shared" si="13"/>
        <v>0</v>
      </c>
      <c r="V99">
        <f t="shared" si="16"/>
        <v>0</v>
      </c>
      <c r="AG99" s="6">
        <f t="shared" si="14"/>
        <v>0</v>
      </c>
      <c r="AH99">
        <f t="shared" si="17"/>
        <v>0</v>
      </c>
    </row>
    <row r="100" spans="1:34" x14ac:dyDescent="0.25">
      <c r="A100">
        <v>50</v>
      </c>
      <c r="B100">
        <v>1</v>
      </c>
      <c r="C100" s="10">
        <v>999</v>
      </c>
      <c r="D100">
        <v>999</v>
      </c>
      <c r="G100" s="6">
        <f t="shared" si="12"/>
        <v>999</v>
      </c>
      <c r="H100">
        <f t="shared" si="15"/>
        <v>49950</v>
      </c>
      <c r="U100" s="6">
        <f t="shared" si="13"/>
        <v>0</v>
      </c>
      <c r="V100">
        <f t="shared" si="16"/>
        <v>0</v>
      </c>
      <c r="AG100" s="6">
        <f t="shared" si="14"/>
        <v>0</v>
      </c>
      <c r="AH100">
        <f t="shared" si="17"/>
        <v>0</v>
      </c>
    </row>
    <row r="101" spans="1:34" x14ac:dyDescent="0.25">
      <c r="B101">
        <v>50</v>
      </c>
      <c r="C101">
        <v>8</v>
      </c>
      <c r="D101">
        <v>2</v>
      </c>
      <c r="G101" s="6">
        <f t="shared" si="12"/>
        <v>2</v>
      </c>
      <c r="H101">
        <f t="shared" si="15"/>
        <v>0</v>
      </c>
      <c r="U101" s="6">
        <f t="shared" si="13"/>
        <v>0</v>
      </c>
      <c r="V101">
        <f t="shared" si="16"/>
        <v>0</v>
      </c>
      <c r="AG101" s="6">
        <f t="shared" si="14"/>
        <v>0</v>
      </c>
      <c r="AH101">
        <f t="shared" si="17"/>
        <v>0</v>
      </c>
    </row>
    <row r="102" spans="1:34" x14ac:dyDescent="0.25">
      <c r="G102" s="6">
        <f t="shared" si="12"/>
        <v>0</v>
      </c>
      <c r="H102">
        <f t="shared" si="15"/>
        <v>0</v>
      </c>
      <c r="U102" s="6">
        <f t="shared" si="13"/>
        <v>0</v>
      </c>
      <c r="V102">
        <f t="shared" si="16"/>
        <v>0</v>
      </c>
      <c r="AG102" s="6">
        <f t="shared" si="14"/>
        <v>0</v>
      </c>
      <c r="AH102">
        <f t="shared" si="17"/>
        <v>0</v>
      </c>
    </row>
    <row r="103" spans="1:34" x14ac:dyDescent="0.25">
      <c r="G103" s="6">
        <f t="shared" si="12"/>
        <v>0</v>
      </c>
      <c r="H103">
        <f t="shared" si="15"/>
        <v>0</v>
      </c>
      <c r="U103" s="6">
        <f t="shared" si="13"/>
        <v>0</v>
      </c>
      <c r="V103">
        <f t="shared" si="16"/>
        <v>0</v>
      </c>
      <c r="AG103" s="6">
        <f t="shared" si="14"/>
        <v>0</v>
      </c>
      <c r="AH103">
        <f t="shared" si="17"/>
        <v>0</v>
      </c>
    </row>
    <row r="104" spans="1:34" x14ac:dyDescent="0.25">
      <c r="G104" s="6">
        <f t="shared" si="12"/>
        <v>0</v>
      </c>
      <c r="H104">
        <f t="shared" si="15"/>
        <v>0</v>
      </c>
      <c r="U104" s="6">
        <f t="shared" si="13"/>
        <v>0</v>
      </c>
      <c r="V104">
        <f t="shared" si="16"/>
        <v>0</v>
      </c>
      <c r="AG104" s="6">
        <f t="shared" si="14"/>
        <v>0</v>
      </c>
      <c r="AH104">
        <f t="shared" si="17"/>
        <v>0</v>
      </c>
    </row>
    <row r="105" spans="1:34" x14ac:dyDescent="0.25">
      <c r="G105" s="6">
        <f t="shared" si="12"/>
        <v>0</v>
      </c>
      <c r="H105">
        <f t="shared" si="15"/>
        <v>0</v>
      </c>
      <c r="U105" s="6">
        <f t="shared" si="13"/>
        <v>0</v>
      </c>
      <c r="V105">
        <f t="shared" si="16"/>
        <v>0</v>
      </c>
      <c r="AG105" s="6">
        <f t="shared" si="14"/>
        <v>0</v>
      </c>
      <c r="AH105">
        <f t="shared" si="17"/>
        <v>0</v>
      </c>
    </row>
    <row r="106" spans="1:34" x14ac:dyDescent="0.25">
      <c r="G106" s="6">
        <f t="shared" si="12"/>
        <v>0</v>
      </c>
      <c r="H106">
        <f t="shared" si="15"/>
        <v>0</v>
      </c>
      <c r="U106" s="6">
        <f t="shared" si="13"/>
        <v>0</v>
      </c>
      <c r="V106">
        <f t="shared" si="16"/>
        <v>0</v>
      </c>
      <c r="AG106" s="6">
        <f t="shared" si="14"/>
        <v>0</v>
      </c>
      <c r="AH106">
        <f t="shared" si="17"/>
        <v>0</v>
      </c>
    </row>
    <row r="107" spans="1:34" x14ac:dyDescent="0.25">
      <c r="G107" s="6">
        <f t="shared" si="12"/>
        <v>0</v>
      </c>
      <c r="H107">
        <f t="shared" si="15"/>
        <v>0</v>
      </c>
      <c r="U107" s="6">
        <f t="shared" si="13"/>
        <v>0</v>
      </c>
      <c r="V107">
        <f t="shared" si="16"/>
        <v>0</v>
      </c>
      <c r="AG107" s="6">
        <f t="shared" si="14"/>
        <v>0</v>
      </c>
      <c r="AH107">
        <f t="shared" si="17"/>
        <v>0</v>
      </c>
    </row>
    <row r="108" spans="1:34" x14ac:dyDescent="0.25">
      <c r="G108" s="6">
        <f t="shared" si="12"/>
        <v>0</v>
      </c>
      <c r="H108">
        <f t="shared" si="15"/>
        <v>0</v>
      </c>
      <c r="U108" s="6">
        <f t="shared" si="13"/>
        <v>0</v>
      </c>
      <c r="V108">
        <f t="shared" si="16"/>
        <v>0</v>
      </c>
      <c r="AG108" s="6">
        <f t="shared" si="14"/>
        <v>0</v>
      </c>
      <c r="AH108">
        <f t="shared" si="17"/>
        <v>0</v>
      </c>
    </row>
    <row r="109" spans="1:34" x14ac:dyDescent="0.25">
      <c r="G109" s="6">
        <f t="shared" si="12"/>
        <v>0</v>
      </c>
      <c r="H109">
        <f t="shared" si="15"/>
        <v>0</v>
      </c>
      <c r="U109" s="6">
        <f t="shared" si="13"/>
        <v>0</v>
      </c>
      <c r="V109">
        <f t="shared" si="16"/>
        <v>0</v>
      </c>
      <c r="AG109" s="6">
        <f t="shared" si="14"/>
        <v>0</v>
      </c>
      <c r="AH109">
        <f t="shared" si="17"/>
        <v>0</v>
      </c>
    </row>
    <row r="110" spans="1:34" x14ac:dyDescent="0.25">
      <c r="G110" s="6">
        <f t="shared" si="12"/>
        <v>0</v>
      </c>
      <c r="H110">
        <f t="shared" si="15"/>
        <v>0</v>
      </c>
      <c r="U110" s="6">
        <f t="shared" si="13"/>
        <v>0</v>
      </c>
      <c r="V110">
        <f t="shared" si="16"/>
        <v>0</v>
      </c>
      <c r="AG110" s="6">
        <f t="shared" si="14"/>
        <v>0</v>
      </c>
      <c r="AH110">
        <f t="shared" si="17"/>
        <v>0</v>
      </c>
    </row>
    <row r="111" spans="1:34" x14ac:dyDescent="0.25">
      <c r="G111" s="6">
        <f t="shared" si="12"/>
        <v>0</v>
      </c>
      <c r="H111">
        <f t="shared" si="15"/>
        <v>0</v>
      </c>
      <c r="U111" s="6">
        <f t="shared" si="13"/>
        <v>0</v>
      </c>
      <c r="V111">
        <f t="shared" si="16"/>
        <v>0</v>
      </c>
      <c r="AG111" s="6">
        <f t="shared" si="14"/>
        <v>0</v>
      </c>
      <c r="AH111">
        <f t="shared" si="17"/>
        <v>0</v>
      </c>
    </row>
    <row r="112" spans="1:34" x14ac:dyDescent="0.25">
      <c r="G112" s="6">
        <f t="shared" si="12"/>
        <v>0</v>
      </c>
      <c r="H112">
        <f t="shared" si="15"/>
        <v>0</v>
      </c>
      <c r="U112" s="6">
        <f t="shared" si="13"/>
        <v>0</v>
      </c>
      <c r="V112">
        <f t="shared" si="16"/>
        <v>0</v>
      </c>
      <c r="AG112" s="6">
        <f t="shared" si="14"/>
        <v>0</v>
      </c>
      <c r="AH112">
        <f t="shared" si="17"/>
        <v>0</v>
      </c>
    </row>
    <row r="113" spans="7:34" x14ac:dyDescent="0.25">
      <c r="G113" s="6">
        <f t="shared" si="12"/>
        <v>0</v>
      </c>
      <c r="H113">
        <f t="shared" si="15"/>
        <v>0</v>
      </c>
      <c r="U113" s="6">
        <f t="shared" si="13"/>
        <v>0</v>
      </c>
      <c r="V113">
        <f t="shared" si="16"/>
        <v>0</v>
      </c>
      <c r="AG113" s="6">
        <f t="shared" si="14"/>
        <v>0</v>
      </c>
      <c r="AH113">
        <f t="shared" si="17"/>
        <v>0</v>
      </c>
    </row>
    <row r="114" spans="7:34" x14ac:dyDescent="0.25">
      <c r="G114" s="6">
        <f t="shared" si="12"/>
        <v>0</v>
      </c>
      <c r="H114">
        <f t="shared" si="15"/>
        <v>0</v>
      </c>
      <c r="U114" s="6">
        <f t="shared" si="13"/>
        <v>0</v>
      </c>
      <c r="V114">
        <f t="shared" si="16"/>
        <v>0</v>
      </c>
      <c r="AG114" s="6">
        <f t="shared" si="14"/>
        <v>0</v>
      </c>
      <c r="AH114">
        <f t="shared" si="17"/>
        <v>0</v>
      </c>
    </row>
    <row r="115" spans="7:34" x14ac:dyDescent="0.25">
      <c r="G115" s="6">
        <f t="shared" si="12"/>
        <v>0</v>
      </c>
      <c r="H115">
        <f t="shared" si="15"/>
        <v>0</v>
      </c>
      <c r="U115" s="6">
        <f t="shared" si="13"/>
        <v>0</v>
      </c>
      <c r="V115">
        <f t="shared" si="16"/>
        <v>0</v>
      </c>
      <c r="AG115" s="6">
        <f t="shared" si="14"/>
        <v>0</v>
      </c>
      <c r="AH115">
        <f t="shared" si="17"/>
        <v>0</v>
      </c>
    </row>
    <row r="116" spans="7:34" x14ac:dyDescent="0.25">
      <c r="G116" s="6">
        <f t="shared" si="12"/>
        <v>0</v>
      </c>
      <c r="H116">
        <f t="shared" si="15"/>
        <v>0</v>
      </c>
      <c r="U116" s="6">
        <f t="shared" si="13"/>
        <v>0</v>
      </c>
      <c r="V116">
        <f t="shared" si="16"/>
        <v>0</v>
      </c>
      <c r="AG116" s="6">
        <f t="shared" si="14"/>
        <v>0</v>
      </c>
      <c r="AH116">
        <f t="shared" si="17"/>
        <v>0</v>
      </c>
    </row>
    <row r="117" spans="7:34" x14ac:dyDescent="0.25">
      <c r="G117" s="6">
        <f t="shared" si="12"/>
        <v>0</v>
      </c>
      <c r="H117">
        <f t="shared" si="15"/>
        <v>0</v>
      </c>
      <c r="U117" s="6">
        <f t="shared" si="13"/>
        <v>0</v>
      </c>
      <c r="V117">
        <f t="shared" si="16"/>
        <v>0</v>
      </c>
      <c r="AG117" s="6">
        <f t="shared" si="14"/>
        <v>0</v>
      </c>
      <c r="AH117">
        <f t="shared" si="17"/>
        <v>0</v>
      </c>
    </row>
    <row r="118" spans="7:34" x14ac:dyDescent="0.25">
      <c r="G118" s="6">
        <f t="shared" si="12"/>
        <v>0</v>
      </c>
      <c r="H118">
        <f t="shared" si="15"/>
        <v>0</v>
      </c>
      <c r="U118" s="6">
        <f t="shared" si="13"/>
        <v>0</v>
      </c>
      <c r="V118">
        <f t="shared" si="16"/>
        <v>0</v>
      </c>
      <c r="AG118" s="6">
        <f t="shared" si="14"/>
        <v>0</v>
      </c>
      <c r="AH118">
        <f t="shared" si="17"/>
        <v>0</v>
      </c>
    </row>
    <row r="119" spans="7:34" x14ac:dyDescent="0.25">
      <c r="G119" s="6">
        <f t="shared" si="12"/>
        <v>0</v>
      </c>
      <c r="H119">
        <f t="shared" si="15"/>
        <v>0</v>
      </c>
      <c r="U119" s="6">
        <f t="shared" si="13"/>
        <v>0</v>
      </c>
      <c r="V119">
        <f t="shared" si="16"/>
        <v>0</v>
      </c>
      <c r="AG119" s="6">
        <f t="shared" si="14"/>
        <v>0</v>
      </c>
      <c r="AH119">
        <f t="shared" si="17"/>
        <v>0</v>
      </c>
    </row>
    <row r="120" spans="7:34" x14ac:dyDescent="0.25">
      <c r="G120" s="6">
        <f t="shared" si="12"/>
        <v>0</v>
      </c>
      <c r="H120">
        <f t="shared" si="15"/>
        <v>0</v>
      </c>
      <c r="U120" s="6">
        <f t="shared" si="13"/>
        <v>0</v>
      </c>
      <c r="V120">
        <f t="shared" si="16"/>
        <v>0</v>
      </c>
      <c r="AG120" s="6">
        <f t="shared" si="14"/>
        <v>0</v>
      </c>
      <c r="AH120">
        <f t="shared" si="17"/>
        <v>0</v>
      </c>
    </row>
    <row r="121" spans="7:34" x14ac:dyDescent="0.25">
      <c r="G121" s="6">
        <f t="shared" si="12"/>
        <v>0</v>
      </c>
      <c r="H121">
        <f t="shared" si="15"/>
        <v>0</v>
      </c>
      <c r="U121" s="6">
        <f t="shared" si="13"/>
        <v>0</v>
      </c>
      <c r="V121">
        <f t="shared" si="16"/>
        <v>0</v>
      </c>
      <c r="AG121" s="6">
        <f t="shared" si="14"/>
        <v>0</v>
      </c>
      <c r="AH121">
        <f t="shared" si="17"/>
        <v>0</v>
      </c>
    </row>
    <row r="122" spans="7:34" x14ac:dyDescent="0.25">
      <c r="G122" s="6">
        <f t="shared" si="12"/>
        <v>0</v>
      </c>
      <c r="H122">
        <f t="shared" si="15"/>
        <v>0</v>
      </c>
      <c r="U122" s="6">
        <f t="shared" si="13"/>
        <v>0</v>
      </c>
      <c r="V122">
        <f t="shared" si="16"/>
        <v>0</v>
      </c>
      <c r="AG122" s="6">
        <f t="shared" si="14"/>
        <v>0</v>
      </c>
      <c r="AH122">
        <f t="shared" si="17"/>
        <v>0</v>
      </c>
    </row>
    <row r="123" spans="7:34" x14ac:dyDescent="0.25">
      <c r="G123" s="6">
        <f t="shared" si="12"/>
        <v>0</v>
      </c>
      <c r="H123">
        <f t="shared" si="15"/>
        <v>0</v>
      </c>
      <c r="U123" s="6">
        <f t="shared" si="13"/>
        <v>0</v>
      </c>
      <c r="V123">
        <f t="shared" si="16"/>
        <v>0</v>
      </c>
      <c r="AG123" s="6">
        <f t="shared" si="14"/>
        <v>0</v>
      </c>
      <c r="AH123">
        <f t="shared" si="17"/>
        <v>0</v>
      </c>
    </row>
    <row r="124" spans="7:34" x14ac:dyDescent="0.25">
      <c r="G124" s="6">
        <f t="shared" si="12"/>
        <v>0</v>
      </c>
      <c r="H124">
        <f t="shared" si="15"/>
        <v>0</v>
      </c>
      <c r="U124" s="6">
        <f t="shared" si="13"/>
        <v>0</v>
      </c>
      <c r="V124">
        <f t="shared" si="16"/>
        <v>0</v>
      </c>
      <c r="AG124" s="6">
        <f t="shared" si="14"/>
        <v>0</v>
      </c>
      <c r="AH124">
        <f t="shared" si="17"/>
        <v>0</v>
      </c>
    </row>
    <row r="125" spans="7:34" x14ac:dyDescent="0.25">
      <c r="G125" s="6">
        <f t="shared" si="12"/>
        <v>0</v>
      </c>
      <c r="H125">
        <f t="shared" si="15"/>
        <v>0</v>
      </c>
      <c r="U125" s="6">
        <f t="shared" si="13"/>
        <v>0</v>
      </c>
      <c r="V125">
        <f t="shared" si="16"/>
        <v>0</v>
      </c>
      <c r="AG125" s="6">
        <f t="shared" si="14"/>
        <v>0</v>
      </c>
      <c r="AH125">
        <f t="shared" si="17"/>
        <v>0</v>
      </c>
    </row>
    <row r="126" spans="7:34" x14ac:dyDescent="0.25">
      <c r="G126" s="6">
        <f t="shared" si="12"/>
        <v>0</v>
      </c>
      <c r="H126">
        <f t="shared" si="15"/>
        <v>0</v>
      </c>
      <c r="U126" s="6">
        <f t="shared" si="13"/>
        <v>0</v>
      </c>
      <c r="V126">
        <f t="shared" si="16"/>
        <v>0</v>
      </c>
      <c r="AG126" s="6">
        <f t="shared" si="14"/>
        <v>0</v>
      </c>
      <c r="AH126">
        <f t="shared" si="17"/>
        <v>0</v>
      </c>
    </row>
    <row r="127" spans="7:34" x14ac:dyDescent="0.25">
      <c r="G127" s="6">
        <f t="shared" si="12"/>
        <v>0</v>
      </c>
      <c r="H127">
        <f t="shared" si="15"/>
        <v>0</v>
      </c>
      <c r="U127" s="6">
        <f t="shared" si="13"/>
        <v>0</v>
      </c>
      <c r="V127">
        <f t="shared" si="16"/>
        <v>0</v>
      </c>
      <c r="AG127" s="6">
        <f t="shared" si="14"/>
        <v>0</v>
      </c>
      <c r="AH127">
        <f t="shared" si="17"/>
        <v>0</v>
      </c>
    </row>
    <row r="128" spans="7:34" x14ac:dyDescent="0.25">
      <c r="G128" s="6">
        <f t="shared" si="12"/>
        <v>0</v>
      </c>
      <c r="H128">
        <f t="shared" si="15"/>
        <v>0</v>
      </c>
      <c r="U128" s="6">
        <f t="shared" si="13"/>
        <v>0</v>
      </c>
      <c r="V128">
        <f t="shared" si="16"/>
        <v>0</v>
      </c>
      <c r="AG128" s="6">
        <f t="shared" si="14"/>
        <v>0</v>
      </c>
      <c r="AH128">
        <f t="shared" si="17"/>
        <v>0</v>
      </c>
    </row>
    <row r="129" spans="1:34" x14ac:dyDescent="0.25">
      <c r="G129" s="6">
        <f t="shared" si="12"/>
        <v>0</v>
      </c>
      <c r="H129">
        <f t="shared" si="15"/>
        <v>0</v>
      </c>
      <c r="U129" s="6">
        <f t="shared" si="13"/>
        <v>0</v>
      </c>
      <c r="V129">
        <f t="shared" si="16"/>
        <v>0</v>
      </c>
      <c r="AG129" s="6">
        <f t="shared" si="14"/>
        <v>0</v>
      </c>
      <c r="AH129">
        <f t="shared" si="17"/>
        <v>0</v>
      </c>
    </row>
    <row r="130" spans="1:34" x14ac:dyDescent="0.25">
      <c r="G130" s="6">
        <f t="shared" si="12"/>
        <v>0</v>
      </c>
      <c r="H130">
        <f t="shared" si="15"/>
        <v>0</v>
      </c>
      <c r="U130" s="6">
        <f t="shared" si="13"/>
        <v>0</v>
      </c>
      <c r="V130">
        <f t="shared" si="16"/>
        <v>0</v>
      </c>
      <c r="AG130" s="6">
        <f t="shared" si="14"/>
        <v>0</v>
      </c>
      <c r="AH130">
        <f t="shared" si="17"/>
        <v>0</v>
      </c>
    </row>
    <row r="131" spans="1:34" x14ac:dyDescent="0.25">
      <c r="G131" s="6">
        <f t="shared" si="12"/>
        <v>0</v>
      </c>
      <c r="H131">
        <f t="shared" si="15"/>
        <v>0</v>
      </c>
      <c r="U131" s="6">
        <f t="shared" si="13"/>
        <v>0</v>
      </c>
      <c r="V131">
        <f t="shared" si="16"/>
        <v>0</v>
      </c>
      <c r="AG131" s="6">
        <f t="shared" si="14"/>
        <v>0</v>
      </c>
      <c r="AH131">
        <f t="shared" si="17"/>
        <v>0</v>
      </c>
    </row>
    <row r="132" spans="1:34" x14ac:dyDescent="0.25">
      <c r="G132" s="6">
        <f t="shared" si="12"/>
        <v>0</v>
      </c>
      <c r="H132">
        <f t="shared" si="15"/>
        <v>0</v>
      </c>
      <c r="U132" s="6">
        <f t="shared" si="13"/>
        <v>0</v>
      </c>
      <c r="V132">
        <f t="shared" si="16"/>
        <v>0</v>
      </c>
      <c r="AG132" s="6">
        <f t="shared" si="14"/>
        <v>0</v>
      </c>
      <c r="AH132">
        <f t="shared" si="17"/>
        <v>0</v>
      </c>
    </row>
    <row r="133" spans="1:34" x14ac:dyDescent="0.25">
      <c r="G133" s="6">
        <f t="shared" si="12"/>
        <v>0</v>
      </c>
      <c r="H133">
        <f t="shared" si="15"/>
        <v>0</v>
      </c>
      <c r="U133" s="6">
        <f t="shared" si="13"/>
        <v>0</v>
      </c>
      <c r="V133">
        <f t="shared" si="16"/>
        <v>0</v>
      </c>
      <c r="AG133" s="6">
        <f t="shared" si="14"/>
        <v>0</v>
      </c>
      <c r="AH133">
        <f t="shared" si="17"/>
        <v>0</v>
      </c>
    </row>
    <row r="134" spans="1:34" x14ac:dyDescent="0.25">
      <c r="G134" s="6">
        <f t="shared" si="12"/>
        <v>0</v>
      </c>
      <c r="H134">
        <f t="shared" si="15"/>
        <v>0</v>
      </c>
      <c r="U134" s="6">
        <f t="shared" si="13"/>
        <v>0</v>
      </c>
      <c r="V134">
        <f t="shared" si="16"/>
        <v>0</v>
      </c>
      <c r="AG134" s="6">
        <f t="shared" si="14"/>
        <v>0</v>
      </c>
      <c r="AH134">
        <f t="shared" si="17"/>
        <v>0</v>
      </c>
    </row>
    <row r="135" spans="1:34" x14ac:dyDescent="0.25">
      <c r="G135" s="6">
        <f t="shared" si="12"/>
        <v>0</v>
      </c>
      <c r="H135">
        <f t="shared" si="15"/>
        <v>0</v>
      </c>
      <c r="U135" s="6">
        <f t="shared" si="13"/>
        <v>0</v>
      </c>
      <c r="V135">
        <f t="shared" si="16"/>
        <v>0</v>
      </c>
      <c r="AG135" s="6">
        <f t="shared" si="14"/>
        <v>0</v>
      </c>
      <c r="AH135">
        <f t="shared" si="17"/>
        <v>0</v>
      </c>
    </row>
    <row r="136" spans="1:34" x14ac:dyDescent="0.25">
      <c r="G136" s="6">
        <f t="shared" ref="G136:G199" si="18">MIN(C136,D136)</f>
        <v>0</v>
      </c>
      <c r="H136">
        <f t="shared" si="15"/>
        <v>0</v>
      </c>
      <c r="U136" s="6">
        <f t="shared" ref="U136:U199" si="19">MIN(Q136,R136)</f>
        <v>0</v>
      </c>
      <c r="V136">
        <f t="shared" si="16"/>
        <v>0</v>
      </c>
      <c r="AG136" s="6">
        <f t="shared" ref="AG136:AG199" si="20">MIN(AC136,AD136)</f>
        <v>0</v>
      </c>
      <c r="AH136">
        <f t="shared" si="17"/>
        <v>0</v>
      </c>
    </row>
    <row r="137" spans="1:34" x14ac:dyDescent="0.25">
      <c r="B137">
        <v>2.5</v>
      </c>
      <c r="C137">
        <v>8</v>
      </c>
      <c r="D137">
        <v>7</v>
      </c>
      <c r="G137" s="6">
        <f t="shared" si="18"/>
        <v>7</v>
      </c>
      <c r="H137">
        <f t="shared" si="15"/>
        <v>0</v>
      </c>
      <c r="U137" s="6">
        <f t="shared" si="19"/>
        <v>0</v>
      </c>
      <c r="V137">
        <f t="shared" si="16"/>
        <v>0</v>
      </c>
      <c r="AG137" s="6">
        <f t="shared" si="20"/>
        <v>0</v>
      </c>
      <c r="AH137">
        <f t="shared" si="17"/>
        <v>0</v>
      </c>
    </row>
    <row r="138" spans="1:34" x14ac:dyDescent="0.25">
      <c r="A138">
        <v>50</v>
      </c>
      <c r="G138" s="6">
        <f t="shared" si="18"/>
        <v>0</v>
      </c>
      <c r="H138">
        <f t="shared" si="15"/>
        <v>0</v>
      </c>
      <c r="U138" s="6">
        <f t="shared" si="19"/>
        <v>0</v>
      </c>
      <c r="V138">
        <f t="shared" si="16"/>
        <v>0</v>
      </c>
      <c r="AG138" s="6">
        <f t="shared" si="20"/>
        <v>0</v>
      </c>
      <c r="AH138">
        <f t="shared" si="17"/>
        <v>0</v>
      </c>
    </row>
    <row r="139" spans="1:34" x14ac:dyDescent="0.25">
      <c r="A139">
        <v>50</v>
      </c>
      <c r="B139">
        <v>1</v>
      </c>
      <c r="C139">
        <v>244</v>
      </c>
      <c r="D139">
        <v>200</v>
      </c>
      <c r="G139" s="6">
        <f t="shared" si="18"/>
        <v>200</v>
      </c>
      <c r="H139">
        <f t="shared" si="15"/>
        <v>10000</v>
      </c>
      <c r="U139" s="6">
        <f t="shared" si="19"/>
        <v>0</v>
      </c>
      <c r="V139">
        <f t="shared" si="16"/>
        <v>0</v>
      </c>
      <c r="AG139" s="6">
        <f t="shared" si="20"/>
        <v>0</v>
      </c>
      <c r="AH139">
        <f t="shared" si="17"/>
        <v>0</v>
      </c>
    </row>
    <row r="140" spans="1:34" x14ac:dyDescent="0.25">
      <c r="B140">
        <v>2</v>
      </c>
      <c r="C140">
        <v>3</v>
      </c>
      <c r="G140" s="6">
        <f t="shared" si="18"/>
        <v>3</v>
      </c>
      <c r="H140">
        <f t="shared" si="15"/>
        <v>0</v>
      </c>
      <c r="U140" s="6">
        <f t="shared" si="19"/>
        <v>0</v>
      </c>
      <c r="V140">
        <f t="shared" si="16"/>
        <v>0</v>
      </c>
      <c r="AG140" s="6">
        <f t="shared" si="20"/>
        <v>0</v>
      </c>
      <c r="AH140">
        <f t="shared" si="17"/>
        <v>0</v>
      </c>
    </row>
    <row r="141" spans="1:34" x14ac:dyDescent="0.25">
      <c r="C141">
        <v>3</v>
      </c>
      <c r="D141">
        <v>2</v>
      </c>
      <c r="G141" s="6">
        <f t="shared" si="18"/>
        <v>2</v>
      </c>
      <c r="H141">
        <f t="shared" si="15"/>
        <v>0</v>
      </c>
      <c r="U141" s="6">
        <f t="shared" si="19"/>
        <v>0</v>
      </c>
      <c r="V141">
        <f t="shared" si="16"/>
        <v>0</v>
      </c>
      <c r="AG141" s="6">
        <f t="shared" si="20"/>
        <v>0</v>
      </c>
      <c r="AH141">
        <f t="shared" si="17"/>
        <v>0</v>
      </c>
    </row>
    <row r="142" spans="1:34" x14ac:dyDescent="0.25">
      <c r="A142">
        <v>75</v>
      </c>
      <c r="B142">
        <v>1</v>
      </c>
      <c r="C142">
        <v>11</v>
      </c>
      <c r="D142">
        <v>25</v>
      </c>
      <c r="G142" s="6">
        <f t="shared" si="18"/>
        <v>11</v>
      </c>
      <c r="H142">
        <f t="shared" si="15"/>
        <v>825</v>
      </c>
      <c r="U142" s="6">
        <f t="shared" si="19"/>
        <v>0</v>
      </c>
      <c r="V142">
        <f t="shared" si="16"/>
        <v>0</v>
      </c>
      <c r="AG142" s="6">
        <f t="shared" si="20"/>
        <v>0</v>
      </c>
      <c r="AH142">
        <f t="shared" si="17"/>
        <v>0</v>
      </c>
    </row>
    <row r="143" spans="1:34" x14ac:dyDescent="0.25">
      <c r="G143" s="6">
        <f t="shared" si="18"/>
        <v>0</v>
      </c>
      <c r="H143">
        <f t="shared" si="15"/>
        <v>0</v>
      </c>
      <c r="U143" s="6">
        <f t="shared" si="19"/>
        <v>0</v>
      </c>
      <c r="V143">
        <f t="shared" si="16"/>
        <v>0</v>
      </c>
      <c r="AG143" s="6">
        <f t="shared" si="20"/>
        <v>0</v>
      </c>
      <c r="AH143">
        <f t="shared" si="17"/>
        <v>0</v>
      </c>
    </row>
    <row r="144" spans="1:34" x14ac:dyDescent="0.25">
      <c r="A144">
        <v>100</v>
      </c>
      <c r="B144">
        <v>2</v>
      </c>
      <c r="C144">
        <v>182</v>
      </c>
      <c r="D144">
        <v>182</v>
      </c>
      <c r="G144" s="6">
        <f t="shared" si="18"/>
        <v>182</v>
      </c>
      <c r="H144">
        <f t="shared" si="15"/>
        <v>36400</v>
      </c>
      <c r="U144" s="6">
        <f t="shared" si="19"/>
        <v>0</v>
      </c>
      <c r="V144">
        <f t="shared" si="16"/>
        <v>0</v>
      </c>
      <c r="AG144" s="6">
        <f t="shared" si="20"/>
        <v>0</v>
      </c>
      <c r="AH144">
        <f t="shared" si="17"/>
        <v>0</v>
      </c>
    </row>
    <row r="145" spans="1:34" x14ac:dyDescent="0.25">
      <c r="A145">
        <v>50</v>
      </c>
      <c r="B145">
        <v>1</v>
      </c>
      <c r="C145">
        <v>1</v>
      </c>
      <c r="D145">
        <v>0</v>
      </c>
      <c r="G145" s="6">
        <f t="shared" si="18"/>
        <v>0</v>
      </c>
      <c r="H145">
        <f t="shared" si="15"/>
        <v>0</v>
      </c>
      <c r="U145" s="6">
        <f t="shared" si="19"/>
        <v>0</v>
      </c>
      <c r="V145">
        <f t="shared" si="16"/>
        <v>0</v>
      </c>
      <c r="AG145" s="6">
        <f t="shared" si="20"/>
        <v>0</v>
      </c>
      <c r="AH145">
        <f t="shared" si="17"/>
        <v>0</v>
      </c>
    </row>
    <row r="146" spans="1:34" x14ac:dyDescent="0.25">
      <c r="B146">
        <v>3</v>
      </c>
      <c r="D146">
        <v>92</v>
      </c>
      <c r="G146" s="6">
        <f t="shared" si="18"/>
        <v>92</v>
      </c>
      <c r="H146">
        <f t="shared" si="15"/>
        <v>0</v>
      </c>
      <c r="U146" s="6">
        <f t="shared" si="19"/>
        <v>0</v>
      </c>
      <c r="V146">
        <f t="shared" si="16"/>
        <v>0</v>
      </c>
      <c r="AG146" s="6">
        <f t="shared" si="20"/>
        <v>0</v>
      </c>
      <c r="AH146">
        <f t="shared" si="17"/>
        <v>0</v>
      </c>
    </row>
    <row r="147" spans="1:34" x14ac:dyDescent="0.25">
      <c r="A147" s="37">
        <v>50</v>
      </c>
      <c r="B147">
        <v>1</v>
      </c>
      <c r="D147">
        <v>1</v>
      </c>
      <c r="G147" s="6">
        <f t="shared" si="18"/>
        <v>1</v>
      </c>
      <c r="H147">
        <f t="shared" si="15"/>
        <v>50</v>
      </c>
      <c r="U147" s="6">
        <f t="shared" si="19"/>
        <v>0</v>
      </c>
      <c r="V147">
        <f t="shared" si="16"/>
        <v>0</v>
      </c>
      <c r="AG147" s="6">
        <f t="shared" si="20"/>
        <v>0</v>
      </c>
      <c r="AH147">
        <f t="shared" si="17"/>
        <v>0</v>
      </c>
    </row>
    <row r="148" spans="1:34" x14ac:dyDescent="0.25">
      <c r="C148">
        <v>3</v>
      </c>
      <c r="D148">
        <v>2</v>
      </c>
      <c r="G148" s="6">
        <f t="shared" si="18"/>
        <v>2</v>
      </c>
      <c r="H148">
        <f t="shared" si="15"/>
        <v>0</v>
      </c>
      <c r="U148" s="6">
        <f t="shared" si="19"/>
        <v>0</v>
      </c>
      <c r="V148">
        <f t="shared" si="16"/>
        <v>0</v>
      </c>
      <c r="AG148" s="6">
        <f t="shared" si="20"/>
        <v>0</v>
      </c>
      <c r="AH148">
        <f t="shared" si="17"/>
        <v>0</v>
      </c>
    </row>
    <row r="149" spans="1:34" x14ac:dyDescent="0.25">
      <c r="A149">
        <v>50</v>
      </c>
      <c r="B149">
        <v>4</v>
      </c>
      <c r="G149" s="6">
        <f t="shared" si="18"/>
        <v>0</v>
      </c>
      <c r="H149">
        <f t="shared" si="15"/>
        <v>0</v>
      </c>
      <c r="U149" s="6">
        <f t="shared" si="19"/>
        <v>0</v>
      </c>
      <c r="V149">
        <f t="shared" si="16"/>
        <v>0</v>
      </c>
      <c r="AG149" s="6">
        <f t="shared" si="20"/>
        <v>0</v>
      </c>
      <c r="AH149">
        <f t="shared" si="17"/>
        <v>0</v>
      </c>
    </row>
    <row r="150" spans="1:34" x14ac:dyDescent="0.25">
      <c r="A150">
        <v>50</v>
      </c>
      <c r="B150">
        <v>20</v>
      </c>
      <c r="C150">
        <v>1</v>
      </c>
      <c r="D150">
        <v>0</v>
      </c>
      <c r="G150" s="6">
        <f t="shared" si="18"/>
        <v>0</v>
      </c>
      <c r="H150">
        <f t="shared" si="15"/>
        <v>0</v>
      </c>
      <c r="U150" s="6">
        <f t="shared" si="19"/>
        <v>0</v>
      </c>
      <c r="V150">
        <f t="shared" si="16"/>
        <v>0</v>
      </c>
      <c r="AG150" s="6">
        <f t="shared" si="20"/>
        <v>0</v>
      </c>
      <c r="AH150">
        <f t="shared" si="17"/>
        <v>0</v>
      </c>
    </row>
    <row r="151" spans="1:34" x14ac:dyDescent="0.25">
      <c r="A151">
        <v>10</v>
      </c>
      <c r="B151">
        <v>1</v>
      </c>
      <c r="C151">
        <v>353</v>
      </c>
      <c r="D151">
        <v>353</v>
      </c>
      <c r="G151" s="6">
        <f t="shared" si="18"/>
        <v>353</v>
      </c>
      <c r="H151">
        <f t="shared" si="15"/>
        <v>3530</v>
      </c>
      <c r="U151" s="6">
        <f t="shared" si="19"/>
        <v>0</v>
      </c>
      <c r="V151">
        <f t="shared" si="16"/>
        <v>0</v>
      </c>
      <c r="AG151" s="6">
        <f t="shared" si="20"/>
        <v>0</v>
      </c>
      <c r="AH151">
        <f t="shared" si="17"/>
        <v>0</v>
      </c>
    </row>
    <row r="152" spans="1:34" x14ac:dyDescent="0.25">
      <c r="A152">
        <v>150</v>
      </c>
      <c r="B152">
        <v>1</v>
      </c>
      <c r="C152" s="25">
        <v>999</v>
      </c>
      <c r="D152">
        <v>999</v>
      </c>
      <c r="G152" s="6">
        <f t="shared" si="18"/>
        <v>999</v>
      </c>
      <c r="H152">
        <f t="shared" ref="H152:H215" si="21">A152*B152*G152</f>
        <v>149850</v>
      </c>
      <c r="U152" s="6">
        <f t="shared" si="19"/>
        <v>0</v>
      </c>
      <c r="V152">
        <f t="shared" ref="V152:V215" si="22">O152*P152*U152</f>
        <v>0</v>
      </c>
      <c r="AG152" s="6">
        <f t="shared" si="20"/>
        <v>0</v>
      </c>
      <c r="AH152">
        <f t="shared" ref="AH152:AH215" si="23">AA152*AB152*AG152</f>
        <v>0</v>
      </c>
    </row>
    <row r="153" spans="1:34" x14ac:dyDescent="0.25">
      <c r="A153">
        <v>150</v>
      </c>
      <c r="B153">
        <v>1</v>
      </c>
      <c r="C153">
        <v>999</v>
      </c>
      <c r="D153">
        <v>9</v>
      </c>
      <c r="G153" s="6">
        <f t="shared" si="18"/>
        <v>9</v>
      </c>
      <c r="H153">
        <f t="shared" si="21"/>
        <v>1350</v>
      </c>
      <c r="U153" s="6">
        <f t="shared" si="19"/>
        <v>0</v>
      </c>
      <c r="V153">
        <f t="shared" si="22"/>
        <v>0</v>
      </c>
      <c r="AG153" s="6">
        <f t="shared" si="20"/>
        <v>0</v>
      </c>
      <c r="AH153">
        <f t="shared" si="23"/>
        <v>0</v>
      </c>
    </row>
    <row r="154" spans="1:34" x14ac:dyDescent="0.25">
      <c r="A154">
        <v>50</v>
      </c>
      <c r="B154">
        <v>1</v>
      </c>
      <c r="C154">
        <v>275</v>
      </c>
      <c r="D154">
        <v>275</v>
      </c>
      <c r="G154" s="6">
        <f t="shared" si="18"/>
        <v>275</v>
      </c>
      <c r="H154">
        <f t="shared" si="21"/>
        <v>13750</v>
      </c>
      <c r="U154" s="6">
        <f t="shared" si="19"/>
        <v>0</v>
      </c>
      <c r="V154">
        <f t="shared" si="22"/>
        <v>0</v>
      </c>
      <c r="AG154" s="6">
        <f t="shared" si="20"/>
        <v>0</v>
      </c>
      <c r="AH154">
        <f t="shared" si="23"/>
        <v>0</v>
      </c>
    </row>
    <row r="155" spans="1:34" x14ac:dyDescent="0.25">
      <c r="A155">
        <v>50</v>
      </c>
      <c r="B155">
        <v>1</v>
      </c>
      <c r="C155">
        <v>244</v>
      </c>
      <c r="D155">
        <v>244</v>
      </c>
      <c r="G155" s="6">
        <f t="shared" si="18"/>
        <v>244</v>
      </c>
      <c r="H155">
        <f t="shared" si="21"/>
        <v>12200</v>
      </c>
      <c r="U155" s="6">
        <f t="shared" si="19"/>
        <v>0</v>
      </c>
      <c r="V155">
        <f t="shared" si="22"/>
        <v>0</v>
      </c>
      <c r="AG155" s="6">
        <f t="shared" si="20"/>
        <v>0</v>
      </c>
      <c r="AH155">
        <f t="shared" si="23"/>
        <v>0</v>
      </c>
    </row>
    <row r="156" spans="1:34" x14ac:dyDescent="0.25">
      <c r="A156" s="37">
        <v>75</v>
      </c>
      <c r="B156">
        <v>1</v>
      </c>
      <c r="C156">
        <v>43</v>
      </c>
      <c r="D156">
        <v>42</v>
      </c>
      <c r="G156" s="6">
        <f t="shared" si="18"/>
        <v>42</v>
      </c>
      <c r="H156">
        <f t="shared" si="21"/>
        <v>3150</v>
      </c>
      <c r="U156" s="6">
        <f t="shared" si="19"/>
        <v>0</v>
      </c>
      <c r="V156">
        <f t="shared" si="22"/>
        <v>0</v>
      </c>
      <c r="AG156" s="6">
        <f t="shared" si="20"/>
        <v>0</v>
      </c>
      <c r="AH156">
        <f t="shared" si="23"/>
        <v>0</v>
      </c>
    </row>
    <row r="157" spans="1:34" x14ac:dyDescent="0.25">
      <c r="A157">
        <v>75</v>
      </c>
      <c r="B157">
        <v>2</v>
      </c>
      <c r="C157">
        <v>305</v>
      </c>
      <c r="D157">
        <v>305</v>
      </c>
      <c r="G157" s="6">
        <f t="shared" si="18"/>
        <v>305</v>
      </c>
      <c r="H157">
        <f t="shared" si="21"/>
        <v>45750</v>
      </c>
      <c r="U157" s="6">
        <f t="shared" si="19"/>
        <v>0</v>
      </c>
      <c r="V157">
        <f t="shared" si="22"/>
        <v>0</v>
      </c>
      <c r="AG157" s="6">
        <f t="shared" si="20"/>
        <v>0</v>
      </c>
      <c r="AH157">
        <f t="shared" si="23"/>
        <v>0</v>
      </c>
    </row>
    <row r="158" spans="1:34" x14ac:dyDescent="0.25">
      <c r="A158">
        <v>50</v>
      </c>
      <c r="B158">
        <v>2</v>
      </c>
      <c r="C158" s="25">
        <v>999</v>
      </c>
      <c r="D158">
        <v>214</v>
      </c>
      <c r="G158" s="6">
        <f t="shared" si="18"/>
        <v>214</v>
      </c>
      <c r="H158">
        <f t="shared" si="21"/>
        <v>21400</v>
      </c>
      <c r="U158" s="6">
        <f t="shared" si="19"/>
        <v>0</v>
      </c>
      <c r="V158">
        <f t="shared" si="22"/>
        <v>0</v>
      </c>
      <c r="AG158" s="6">
        <f t="shared" si="20"/>
        <v>0</v>
      </c>
      <c r="AH158">
        <f t="shared" si="23"/>
        <v>0</v>
      </c>
    </row>
    <row r="159" spans="1:34" x14ac:dyDescent="0.25">
      <c r="A159">
        <v>50</v>
      </c>
      <c r="B159">
        <v>1</v>
      </c>
      <c r="C159">
        <v>31</v>
      </c>
      <c r="D159">
        <v>39</v>
      </c>
      <c r="G159" s="6">
        <f t="shared" si="18"/>
        <v>31</v>
      </c>
      <c r="H159">
        <f t="shared" si="21"/>
        <v>1550</v>
      </c>
      <c r="U159" s="6">
        <f t="shared" si="19"/>
        <v>0</v>
      </c>
      <c r="V159">
        <f t="shared" si="22"/>
        <v>0</v>
      </c>
      <c r="AG159" s="6">
        <f t="shared" si="20"/>
        <v>0</v>
      </c>
      <c r="AH159">
        <f t="shared" si="23"/>
        <v>0</v>
      </c>
    </row>
    <row r="160" spans="1:34" x14ac:dyDescent="0.25">
      <c r="A160">
        <v>75</v>
      </c>
      <c r="B160">
        <v>1</v>
      </c>
      <c r="G160" s="6">
        <f t="shared" si="18"/>
        <v>0</v>
      </c>
      <c r="H160">
        <f t="shared" si="21"/>
        <v>0</v>
      </c>
      <c r="U160" s="6">
        <f t="shared" si="19"/>
        <v>0</v>
      </c>
      <c r="V160">
        <f t="shared" si="22"/>
        <v>0</v>
      </c>
      <c r="AG160" s="6">
        <f t="shared" si="20"/>
        <v>0</v>
      </c>
      <c r="AH160">
        <f t="shared" si="23"/>
        <v>0</v>
      </c>
    </row>
    <row r="161" spans="1:34" x14ac:dyDescent="0.25">
      <c r="C161">
        <v>2</v>
      </c>
      <c r="D161">
        <v>17</v>
      </c>
      <c r="G161" s="6">
        <f t="shared" si="18"/>
        <v>2</v>
      </c>
      <c r="H161">
        <f t="shared" si="21"/>
        <v>0</v>
      </c>
      <c r="U161" s="6">
        <f t="shared" si="19"/>
        <v>0</v>
      </c>
      <c r="V161">
        <f t="shared" si="22"/>
        <v>0</v>
      </c>
      <c r="AG161" s="6">
        <f t="shared" si="20"/>
        <v>0</v>
      </c>
      <c r="AH161">
        <f t="shared" si="23"/>
        <v>0</v>
      </c>
    </row>
    <row r="162" spans="1:34" x14ac:dyDescent="0.25">
      <c r="A162" s="34"/>
      <c r="C162">
        <v>519</v>
      </c>
      <c r="D162">
        <v>519</v>
      </c>
      <c r="G162" s="6">
        <f t="shared" si="18"/>
        <v>519</v>
      </c>
      <c r="H162">
        <f t="shared" si="21"/>
        <v>0</v>
      </c>
      <c r="U162" s="6">
        <f t="shared" si="19"/>
        <v>0</v>
      </c>
      <c r="V162">
        <f t="shared" si="22"/>
        <v>0</v>
      </c>
      <c r="AG162" s="6">
        <f t="shared" si="20"/>
        <v>0</v>
      </c>
      <c r="AH162">
        <f t="shared" si="23"/>
        <v>0</v>
      </c>
    </row>
    <row r="163" spans="1:34" x14ac:dyDescent="0.25">
      <c r="A163">
        <v>50</v>
      </c>
      <c r="B163">
        <v>2</v>
      </c>
      <c r="C163">
        <v>3</v>
      </c>
      <c r="D163">
        <v>13</v>
      </c>
      <c r="G163" s="6">
        <f t="shared" si="18"/>
        <v>3</v>
      </c>
      <c r="H163">
        <f t="shared" si="21"/>
        <v>300</v>
      </c>
      <c r="U163" s="6">
        <f t="shared" si="19"/>
        <v>0</v>
      </c>
      <c r="V163">
        <f t="shared" si="22"/>
        <v>0</v>
      </c>
      <c r="AG163" s="6">
        <f t="shared" si="20"/>
        <v>0</v>
      </c>
      <c r="AH163">
        <f t="shared" si="23"/>
        <v>0</v>
      </c>
    </row>
    <row r="164" spans="1:34" x14ac:dyDescent="0.25">
      <c r="A164">
        <v>50</v>
      </c>
      <c r="B164">
        <v>1</v>
      </c>
      <c r="C164">
        <v>54</v>
      </c>
      <c r="D164">
        <v>53</v>
      </c>
      <c r="G164" s="6">
        <f t="shared" si="18"/>
        <v>53</v>
      </c>
      <c r="H164">
        <f t="shared" si="21"/>
        <v>2650</v>
      </c>
      <c r="U164" s="6">
        <f t="shared" si="19"/>
        <v>0</v>
      </c>
      <c r="V164">
        <f t="shared" si="22"/>
        <v>0</v>
      </c>
      <c r="AG164" s="6">
        <f t="shared" si="20"/>
        <v>0</v>
      </c>
      <c r="AH164">
        <f t="shared" si="23"/>
        <v>0</v>
      </c>
    </row>
    <row r="165" spans="1:34" x14ac:dyDescent="0.25">
      <c r="G165" s="6">
        <f t="shared" si="18"/>
        <v>0</v>
      </c>
      <c r="H165">
        <f t="shared" si="21"/>
        <v>0</v>
      </c>
      <c r="U165" s="6">
        <f t="shared" si="19"/>
        <v>0</v>
      </c>
      <c r="V165">
        <f t="shared" si="22"/>
        <v>0</v>
      </c>
      <c r="AG165" s="6">
        <f t="shared" si="20"/>
        <v>0</v>
      </c>
      <c r="AH165">
        <f t="shared" si="23"/>
        <v>0</v>
      </c>
    </row>
    <row r="166" spans="1:34" x14ac:dyDescent="0.25">
      <c r="C166">
        <v>2</v>
      </c>
      <c r="D166">
        <v>2</v>
      </c>
      <c r="G166" s="6">
        <f t="shared" si="18"/>
        <v>2</v>
      </c>
      <c r="H166">
        <f t="shared" si="21"/>
        <v>0</v>
      </c>
      <c r="U166" s="6">
        <f t="shared" si="19"/>
        <v>0</v>
      </c>
      <c r="V166">
        <f t="shared" si="22"/>
        <v>0</v>
      </c>
      <c r="AG166" s="6">
        <f t="shared" si="20"/>
        <v>0</v>
      </c>
      <c r="AH166">
        <f t="shared" si="23"/>
        <v>0</v>
      </c>
    </row>
    <row r="167" spans="1:34" x14ac:dyDescent="0.25">
      <c r="C167" s="25">
        <v>999</v>
      </c>
      <c r="G167" s="6">
        <f t="shared" si="18"/>
        <v>999</v>
      </c>
      <c r="H167">
        <f t="shared" si="21"/>
        <v>0</v>
      </c>
      <c r="U167" s="6">
        <f t="shared" si="19"/>
        <v>0</v>
      </c>
      <c r="V167">
        <f t="shared" si="22"/>
        <v>0</v>
      </c>
      <c r="AG167" s="6">
        <f t="shared" si="20"/>
        <v>0</v>
      </c>
      <c r="AH167">
        <f t="shared" si="23"/>
        <v>0</v>
      </c>
    </row>
    <row r="168" spans="1:34" x14ac:dyDescent="0.25">
      <c r="G168" s="6">
        <f t="shared" si="18"/>
        <v>0</v>
      </c>
      <c r="H168">
        <f t="shared" si="21"/>
        <v>0</v>
      </c>
      <c r="U168" s="6">
        <f t="shared" si="19"/>
        <v>0</v>
      </c>
      <c r="V168">
        <f t="shared" si="22"/>
        <v>0</v>
      </c>
      <c r="AG168" s="6">
        <f t="shared" si="20"/>
        <v>0</v>
      </c>
      <c r="AH168">
        <f t="shared" si="23"/>
        <v>0</v>
      </c>
    </row>
    <row r="169" spans="1:34" x14ac:dyDescent="0.25">
      <c r="G169" s="6">
        <f t="shared" si="18"/>
        <v>0</v>
      </c>
      <c r="H169">
        <f t="shared" si="21"/>
        <v>0</v>
      </c>
      <c r="U169" s="6">
        <f t="shared" si="19"/>
        <v>0</v>
      </c>
      <c r="V169">
        <f t="shared" si="22"/>
        <v>0</v>
      </c>
      <c r="AG169" s="6">
        <f t="shared" si="20"/>
        <v>0</v>
      </c>
      <c r="AH169">
        <f t="shared" si="23"/>
        <v>0</v>
      </c>
    </row>
    <row r="170" spans="1:34" x14ac:dyDescent="0.25">
      <c r="G170" s="6">
        <f t="shared" si="18"/>
        <v>0</v>
      </c>
      <c r="H170">
        <f t="shared" si="21"/>
        <v>0</v>
      </c>
      <c r="U170" s="6">
        <f t="shared" si="19"/>
        <v>0</v>
      </c>
      <c r="V170">
        <f t="shared" si="22"/>
        <v>0</v>
      </c>
      <c r="AG170" s="6">
        <f t="shared" si="20"/>
        <v>0</v>
      </c>
      <c r="AH170">
        <f t="shared" si="23"/>
        <v>0</v>
      </c>
    </row>
    <row r="171" spans="1:34" x14ac:dyDescent="0.25">
      <c r="G171" s="6">
        <f t="shared" si="18"/>
        <v>0</v>
      </c>
      <c r="H171">
        <f t="shared" si="21"/>
        <v>0</v>
      </c>
      <c r="U171" s="6">
        <f t="shared" si="19"/>
        <v>0</v>
      </c>
      <c r="V171">
        <f t="shared" si="22"/>
        <v>0</v>
      </c>
      <c r="AG171" s="6">
        <f t="shared" si="20"/>
        <v>0</v>
      </c>
      <c r="AH171">
        <f t="shared" si="23"/>
        <v>0</v>
      </c>
    </row>
    <row r="172" spans="1:34" x14ac:dyDescent="0.25">
      <c r="G172" s="6">
        <f t="shared" si="18"/>
        <v>0</v>
      </c>
      <c r="H172">
        <f t="shared" si="21"/>
        <v>0</v>
      </c>
      <c r="U172" s="6">
        <f t="shared" si="19"/>
        <v>0</v>
      </c>
      <c r="V172">
        <f t="shared" si="22"/>
        <v>0</v>
      </c>
      <c r="AG172" s="6">
        <f t="shared" si="20"/>
        <v>0</v>
      </c>
      <c r="AH172">
        <f t="shared" si="23"/>
        <v>0</v>
      </c>
    </row>
    <row r="173" spans="1:34" x14ac:dyDescent="0.25">
      <c r="G173" s="6">
        <f t="shared" si="18"/>
        <v>0</v>
      </c>
      <c r="H173">
        <f t="shared" si="21"/>
        <v>0</v>
      </c>
      <c r="U173" s="6">
        <f t="shared" si="19"/>
        <v>0</v>
      </c>
      <c r="V173">
        <f t="shared" si="22"/>
        <v>0</v>
      </c>
      <c r="AG173" s="6">
        <f t="shared" si="20"/>
        <v>0</v>
      </c>
      <c r="AH173">
        <f t="shared" si="23"/>
        <v>0</v>
      </c>
    </row>
    <row r="174" spans="1:34" x14ac:dyDescent="0.25">
      <c r="G174" s="6">
        <f t="shared" si="18"/>
        <v>0</v>
      </c>
      <c r="H174">
        <f t="shared" si="21"/>
        <v>0</v>
      </c>
      <c r="U174" s="6">
        <f t="shared" si="19"/>
        <v>0</v>
      </c>
      <c r="V174">
        <f t="shared" si="22"/>
        <v>0</v>
      </c>
      <c r="AG174" s="6">
        <f t="shared" si="20"/>
        <v>0</v>
      </c>
      <c r="AH174">
        <f t="shared" si="23"/>
        <v>0</v>
      </c>
    </row>
    <row r="175" spans="1:34" x14ac:dyDescent="0.25">
      <c r="G175" s="6">
        <f t="shared" si="18"/>
        <v>0</v>
      </c>
      <c r="H175">
        <f t="shared" si="21"/>
        <v>0</v>
      </c>
      <c r="U175" s="6">
        <f t="shared" si="19"/>
        <v>0</v>
      </c>
      <c r="V175">
        <f t="shared" si="22"/>
        <v>0</v>
      </c>
      <c r="AG175" s="6">
        <f t="shared" si="20"/>
        <v>0</v>
      </c>
      <c r="AH175">
        <f t="shared" si="23"/>
        <v>0</v>
      </c>
    </row>
    <row r="176" spans="1:34" x14ac:dyDescent="0.25">
      <c r="G176" s="6">
        <f t="shared" si="18"/>
        <v>0</v>
      </c>
      <c r="H176">
        <f t="shared" si="21"/>
        <v>0</v>
      </c>
      <c r="U176" s="6">
        <f t="shared" si="19"/>
        <v>0</v>
      </c>
      <c r="V176">
        <f t="shared" si="22"/>
        <v>0</v>
      </c>
      <c r="AG176" s="6">
        <f t="shared" si="20"/>
        <v>0</v>
      </c>
      <c r="AH176">
        <f t="shared" si="23"/>
        <v>0</v>
      </c>
    </row>
    <row r="177" spans="7:34" x14ac:dyDescent="0.25">
      <c r="G177" s="6">
        <f t="shared" si="18"/>
        <v>0</v>
      </c>
      <c r="H177">
        <f t="shared" si="21"/>
        <v>0</v>
      </c>
      <c r="U177" s="6">
        <f t="shared" si="19"/>
        <v>0</v>
      </c>
      <c r="V177">
        <f t="shared" si="22"/>
        <v>0</v>
      </c>
      <c r="AG177" s="6">
        <f t="shared" si="20"/>
        <v>0</v>
      </c>
      <c r="AH177">
        <f t="shared" si="23"/>
        <v>0</v>
      </c>
    </row>
    <row r="178" spans="7:34" x14ac:dyDescent="0.25">
      <c r="G178" s="6">
        <f t="shared" si="18"/>
        <v>0</v>
      </c>
      <c r="H178">
        <f t="shared" si="21"/>
        <v>0</v>
      </c>
      <c r="U178" s="6">
        <f t="shared" si="19"/>
        <v>0</v>
      </c>
      <c r="V178">
        <f t="shared" si="22"/>
        <v>0</v>
      </c>
      <c r="AG178" s="6">
        <f t="shared" si="20"/>
        <v>0</v>
      </c>
      <c r="AH178">
        <f t="shared" si="23"/>
        <v>0</v>
      </c>
    </row>
    <row r="179" spans="7:34" x14ac:dyDescent="0.25">
      <c r="G179" s="6">
        <f t="shared" si="18"/>
        <v>0</v>
      </c>
      <c r="H179">
        <f t="shared" si="21"/>
        <v>0</v>
      </c>
      <c r="U179" s="6">
        <f t="shared" si="19"/>
        <v>0</v>
      </c>
      <c r="V179">
        <f t="shared" si="22"/>
        <v>0</v>
      </c>
      <c r="AG179" s="6">
        <f t="shared" si="20"/>
        <v>0</v>
      </c>
      <c r="AH179">
        <f t="shared" si="23"/>
        <v>0</v>
      </c>
    </row>
    <row r="180" spans="7:34" x14ac:dyDescent="0.25">
      <c r="G180" s="6">
        <f t="shared" si="18"/>
        <v>0</v>
      </c>
      <c r="H180">
        <f t="shared" si="21"/>
        <v>0</v>
      </c>
      <c r="U180" s="6">
        <f t="shared" si="19"/>
        <v>0</v>
      </c>
      <c r="V180">
        <f t="shared" si="22"/>
        <v>0</v>
      </c>
      <c r="AG180" s="6">
        <f t="shared" si="20"/>
        <v>0</v>
      </c>
      <c r="AH180">
        <f t="shared" si="23"/>
        <v>0</v>
      </c>
    </row>
    <row r="181" spans="7:34" x14ac:dyDescent="0.25">
      <c r="G181" s="6">
        <f t="shared" si="18"/>
        <v>0</v>
      </c>
      <c r="H181">
        <f t="shared" si="21"/>
        <v>0</v>
      </c>
      <c r="U181" s="6">
        <f t="shared" si="19"/>
        <v>0</v>
      </c>
      <c r="V181">
        <f t="shared" si="22"/>
        <v>0</v>
      </c>
      <c r="AG181" s="6">
        <f t="shared" si="20"/>
        <v>0</v>
      </c>
      <c r="AH181">
        <f t="shared" si="23"/>
        <v>0</v>
      </c>
    </row>
    <row r="182" spans="7:34" x14ac:dyDescent="0.25">
      <c r="G182" s="6">
        <f t="shared" si="18"/>
        <v>0</v>
      </c>
      <c r="H182">
        <f t="shared" si="21"/>
        <v>0</v>
      </c>
      <c r="U182" s="6">
        <f t="shared" si="19"/>
        <v>0</v>
      </c>
      <c r="V182">
        <f t="shared" si="22"/>
        <v>0</v>
      </c>
      <c r="AG182" s="6">
        <f t="shared" si="20"/>
        <v>0</v>
      </c>
      <c r="AH182">
        <f t="shared" si="23"/>
        <v>0</v>
      </c>
    </row>
    <row r="183" spans="7:34" x14ac:dyDescent="0.25">
      <c r="G183" s="6">
        <f t="shared" si="18"/>
        <v>0</v>
      </c>
      <c r="H183">
        <f t="shared" si="21"/>
        <v>0</v>
      </c>
      <c r="U183" s="6">
        <f t="shared" si="19"/>
        <v>0</v>
      </c>
      <c r="V183">
        <f t="shared" si="22"/>
        <v>0</v>
      </c>
      <c r="AG183" s="6">
        <f t="shared" si="20"/>
        <v>0</v>
      </c>
      <c r="AH183">
        <f t="shared" si="23"/>
        <v>0</v>
      </c>
    </row>
    <row r="184" spans="7:34" x14ac:dyDescent="0.25">
      <c r="G184" s="6">
        <f t="shared" si="18"/>
        <v>0</v>
      </c>
      <c r="H184">
        <f t="shared" si="21"/>
        <v>0</v>
      </c>
      <c r="U184" s="6">
        <f t="shared" si="19"/>
        <v>0</v>
      </c>
      <c r="V184">
        <f t="shared" si="22"/>
        <v>0</v>
      </c>
      <c r="AG184" s="6">
        <f t="shared" si="20"/>
        <v>0</v>
      </c>
      <c r="AH184">
        <f t="shared" si="23"/>
        <v>0</v>
      </c>
    </row>
    <row r="185" spans="7:34" x14ac:dyDescent="0.25">
      <c r="G185" s="6">
        <f t="shared" si="18"/>
        <v>0</v>
      </c>
      <c r="H185">
        <f t="shared" si="21"/>
        <v>0</v>
      </c>
      <c r="U185" s="6">
        <f t="shared" si="19"/>
        <v>0</v>
      </c>
      <c r="V185">
        <f t="shared" si="22"/>
        <v>0</v>
      </c>
      <c r="AG185" s="6">
        <f t="shared" si="20"/>
        <v>0</v>
      </c>
      <c r="AH185">
        <f t="shared" si="23"/>
        <v>0</v>
      </c>
    </row>
    <row r="186" spans="7:34" x14ac:dyDescent="0.25">
      <c r="G186" s="6">
        <f t="shared" si="18"/>
        <v>0</v>
      </c>
      <c r="H186">
        <f t="shared" si="21"/>
        <v>0</v>
      </c>
      <c r="U186" s="6">
        <f t="shared" si="19"/>
        <v>0</v>
      </c>
      <c r="V186">
        <f t="shared" si="22"/>
        <v>0</v>
      </c>
      <c r="AG186" s="6">
        <f t="shared" si="20"/>
        <v>0</v>
      </c>
      <c r="AH186">
        <f t="shared" si="23"/>
        <v>0</v>
      </c>
    </row>
    <row r="187" spans="7:34" x14ac:dyDescent="0.25">
      <c r="G187" s="6">
        <f t="shared" si="18"/>
        <v>0</v>
      </c>
      <c r="H187">
        <f t="shared" si="21"/>
        <v>0</v>
      </c>
      <c r="U187" s="6">
        <f t="shared" si="19"/>
        <v>0</v>
      </c>
      <c r="V187">
        <f t="shared" si="22"/>
        <v>0</v>
      </c>
      <c r="AG187" s="6">
        <f t="shared" si="20"/>
        <v>0</v>
      </c>
      <c r="AH187">
        <f t="shared" si="23"/>
        <v>0</v>
      </c>
    </row>
    <row r="188" spans="7:34" x14ac:dyDescent="0.25">
      <c r="G188" s="6">
        <f t="shared" si="18"/>
        <v>0</v>
      </c>
      <c r="H188">
        <f t="shared" si="21"/>
        <v>0</v>
      </c>
      <c r="U188" s="6">
        <f t="shared" si="19"/>
        <v>0</v>
      </c>
      <c r="V188">
        <f t="shared" si="22"/>
        <v>0</v>
      </c>
      <c r="AG188" s="6">
        <f t="shared" si="20"/>
        <v>0</v>
      </c>
      <c r="AH188">
        <f t="shared" si="23"/>
        <v>0</v>
      </c>
    </row>
    <row r="189" spans="7:34" x14ac:dyDescent="0.25">
      <c r="G189" s="6">
        <f t="shared" si="18"/>
        <v>0</v>
      </c>
      <c r="H189">
        <f t="shared" si="21"/>
        <v>0</v>
      </c>
      <c r="U189" s="6">
        <f t="shared" si="19"/>
        <v>0</v>
      </c>
      <c r="V189">
        <f t="shared" si="22"/>
        <v>0</v>
      </c>
      <c r="AG189" s="6">
        <f t="shared" si="20"/>
        <v>0</v>
      </c>
      <c r="AH189">
        <f t="shared" si="23"/>
        <v>0</v>
      </c>
    </row>
    <row r="190" spans="7:34" x14ac:dyDescent="0.25">
      <c r="G190" s="6">
        <f t="shared" si="18"/>
        <v>0</v>
      </c>
      <c r="H190">
        <f t="shared" si="21"/>
        <v>0</v>
      </c>
      <c r="U190" s="6">
        <f t="shared" si="19"/>
        <v>0</v>
      </c>
      <c r="V190">
        <f t="shared" si="22"/>
        <v>0</v>
      </c>
      <c r="AG190" s="6">
        <f t="shared" si="20"/>
        <v>0</v>
      </c>
      <c r="AH190">
        <f t="shared" si="23"/>
        <v>0</v>
      </c>
    </row>
    <row r="191" spans="7:34" x14ac:dyDescent="0.25">
      <c r="G191" s="6">
        <f t="shared" si="18"/>
        <v>0</v>
      </c>
      <c r="H191">
        <f t="shared" si="21"/>
        <v>0</v>
      </c>
      <c r="U191" s="6">
        <f t="shared" si="19"/>
        <v>0</v>
      </c>
      <c r="V191">
        <f t="shared" si="22"/>
        <v>0</v>
      </c>
      <c r="AG191" s="6">
        <f t="shared" si="20"/>
        <v>0</v>
      </c>
      <c r="AH191">
        <f t="shared" si="23"/>
        <v>0</v>
      </c>
    </row>
    <row r="192" spans="7:34" x14ac:dyDescent="0.25">
      <c r="G192" s="6">
        <f t="shared" si="18"/>
        <v>0</v>
      </c>
      <c r="H192">
        <f t="shared" si="21"/>
        <v>0</v>
      </c>
      <c r="U192" s="6">
        <f t="shared" si="19"/>
        <v>0</v>
      </c>
      <c r="V192">
        <f t="shared" si="22"/>
        <v>0</v>
      </c>
      <c r="AG192" s="6">
        <f t="shared" si="20"/>
        <v>0</v>
      </c>
      <c r="AH192">
        <f t="shared" si="23"/>
        <v>0</v>
      </c>
    </row>
    <row r="193" spans="7:34" x14ac:dyDescent="0.25">
      <c r="G193" s="6">
        <f t="shared" si="18"/>
        <v>0</v>
      </c>
      <c r="H193">
        <f t="shared" si="21"/>
        <v>0</v>
      </c>
      <c r="U193" s="6">
        <f t="shared" si="19"/>
        <v>0</v>
      </c>
      <c r="V193">
        <f t="shared" si="22"/>
        <v>0</v>
      </c>
      <c r="AG193" s="6">
        <f t="shared" si="20"/>
        <v>0</v>
      </c>
      <c r="AH193">
        <f t="shared" si="23"/>
        <v>0</v>
      </c>
    </row>
    <row r="194" spans="7:34" x14ac:dyDescent="0.25">
      <c r="G194" s="6">
        <f t="shared" si="18"/>
        <v>0</v>
      </c>
      <c r="H194">
        <f t="shared" si="21"/>
        <v>0</v>
      </c>
      <c r="U194" s="6">
        <f t="shared" si="19"/>
        <v>0</v>
      </c>
      <c r="V194">
        <f t="shared" si="22"/>
        <v>0</v>
      </c>
      <c r="AG194" s="6">
        <f t="shared" si="20"/>
        <v>0</v>
      </c>
      <c r="AH194">
        <f t="shared" si="23"/>
        <v>0</v>
      </c>
    </row>
    <row r="195" spans="7:34" x14ac:dyDescent="0.25">
      <c r="G195" s="6">
        <f t="shared" si="18"/>
        <v>0</v>
      </c>
      <c r="H195">
        <f t="shared" si="21"/>
        <v>0</v>
      </c>
      <c r="U195" s="6">
        <f t="shared" si="19"/>
        <v>0</v>
      </c>
      <c r="V195">
        <f t="shared" si="22"/>
        <v>0</v>
      </c>
      <c r="AG195" s="6">
        <f t="shared" si="20"/>
        <v>0</v>
      </c>
      <c r="AH195">
        <f t="shared" si="23"/>
        <v>0</v>
      </c>
    </row>
    <row r="196" spans="7:34" x14ac:dyDescent="0.25">
      <c r="G196" s="6">
        <f t="shared" si="18"/>
        <v>0</v>
      </c>
      <c r="H196">
        <f t="shared" si="21"/>
        <v>0</v>
      </c>
      <c r="U196" s="6">
        <f t="shared" si="19"/>
        <v>0</v>
      </c>
      <c r="V196">
        <f t="shared" si="22"/>
        <v>0</v>
      </c>
      <c r="AG196" s="6">
        <f t="shared" si="20"/>
        <v>0</v>
      </c>
      <c r="AH196">
        <f t="shared" si="23"/>
        <v>0</v>
      </c>
    </row>
    <row r="197" spans="7:34" x14ac:dyDescent="0.25">
      <c r="G197" s="6">
        <f t="shared" si="18"/>
        <v>0</v>
      </c>
      <c r="H197">
        <f t="shared" si="21"/>
        <v>0</v>
      </c>
      <c r="U197" s="6">
        <f t="shared" si="19"/>
        <v>0</v>
      </c>
      <c r="V197">
        <f t="shared" si="22"/>
        <v>0</v>
      </c>
      <c r="AG197" s="6">
        <f t="shared" si="20"/>
        <v>0</v>
      </c>
      <c r="AH197">
        <f t="shared" si="23"/>
        <v>0</v>
      </c>
    </row>
    <row r="198" spans="7:34" x14ac:dyDescent="0.25">
      <c r="G198" s="6">
        <f t="shared" si="18"/>
        <v>0</v>
      </c>
      <c r="H198">
        <f t="shared" si="21"/>
        <v>0</v>
      </c>
      <c r="U198" s="6">
        <f t="shared" si="19"/>
        <v>0</v>
      </c>
      <c r="V198">
        <f t="shared" si="22"/>
        <v>0</v>
      </c>
      <c r="AG198" s="6">
        <f t="shared" si="20"/>
        <v>0</v>
      </c>
      <c r="AH198">
        <f t="shared" si="23"/>
        <v>0</v>
      </c>
    </row>
    <row r="199" spans="7:34" x14ac:dyDescent="0.25">
      <c r="G199" s="6">
        <f t="shared" si="18"/>
        <v>0</v>
      </c>
      <c r="H199">
        <f t="shared" si="21"/>
        <v>0</v>
      </c>
      <c r="U199" s="6">
        <f t="shared" si="19"/>
        <v>0</v>
      </c>
      <c r="V199">
        <f t="shared" si="22"/>
        <v>0</v>
      </c>
      <c r="AG199" s="6">
        <f t="shared" si="20"/>
        <v>0</v>
      </c>
      <c r="AH199">
        <f t="shared" si="23"/>
        <v>0</v>
      </c>
    </row>
    <row r="200" spans="7:34" x14ac:dyDescent="0.25">
      <c r="G200" s="6">
        <f t="shared" ref="G200:G263" si="24">MIN(C200,D200)</f>
        <v>0</v>
      </c>
      <c r="H200">
        <f t="shared" si="21"/>
        <v>0</v>
      </c>
      <c r="U200" s="6">
        <f t="shared" ref="U200:U263" si="25">MIN(Q200,R200)</f>
        <v>0</v>
      </c>
      <c r="V200">
        <f t="shared" si="22"/>
        <v>0</v>
      </c>
      <c r="AG200" s="6">
        <f t="shared" ref="AG200:AG263" si="26">MIN(AC200,AD200)</f>
        <v>0</v>
      </c>
      <c r="AH200">
        <f t="shared" si="23"/>
        <v>0</v>
      </c>
    </row>
    <row r="201" spans="7:34" x14ac:dyDescent="0.25">
      <c r="G201" s="6">
        <f t="shared" si="24"/>
        <v>0</v>
      </c>
      <c r="H201">
        <f t="shared" si="21"/>
        <v>0</v>
      </c>
      <c r="U201" s="6">
        <f t="shared" si="25"/>
        <v>0</v>
      </c>
      <c r="V201">
        <f t="shared" si="22"/>
        <v>0</v>
      </c>
      <c r="AG201" s="6">
        <f t="shared" si="26"/>
        <v>0</v>
      </c>
      <c r="AH201">
        <f t="shared" si="23"/>
        <v>0</v>
      </c>
    </row>
    <row r="202" spans="7:34" x14ac:dyDescent="0.25">
      <c r="G202" s="6">
        <f t="shared" si="24"/>
        <v>0</v>
      </c>
      <c r="H202">
        <f t="shared" si="21"/>
        <v>0</v>
      </c>
      <c r="U202" s="6">
        <f t="shared" si="25"/>
        <v>0</v>
      </c>
      <c r="V202">
        <f t="shared" si="22"/>
        <v>0</v>
      </c>
      <c r="AG202" s="6">
        <f t="shared" si="26"/>
        <v>0</v>
      </c>
      <c r="AH202">
        <f t="shared" si="23"/>
        <v>0</v>
      </c>
    </row>
    <row r="203" spans="7:34" x14ac:dyDescent="0.25">
      <c r="G203" s="6">
        <f t="shared" si="24"/>
        <v>0</v>
      </c>
      <c r="H203">
        <f t="shared" si="21"/>
        <v>0</v>
      </c>
      <c r="U203" s="6">
        <f t="shared" si="25"/>
        <v>0</v>
      </c>
      <c r="V203">
        <f t="shared" si="22"/>
        <v>0</v>
      </c>
      <c r="AG203" s="6">
        <f t="shared" si="26"/>
        <v>0</v>
      </c>
      <c r="AH203">
        <f t="shared" si="23"/>
        <v>0</v>
      </c>
    </row>
    <row r="204" spans="7:34" x14ac:dyDescent="0.25">
      <c r="G204" s="6">
        <f t="shared" si="24"/>
        <v>0</v>
      </c>
      <c r="H204">
        <f t="shared" si="21"/>
        <v>0</v>
      </c>
      <c r="U204" s="6">
        <f t="shared" si="25"/>
        <v>0</v>
      </c>
      <c r="V204">
        <f t="shared" si="22"/>
        <v>0</v>
      </c>
      <c r="AG204" s="6">
        <f t="shared" si="26"/>
        <v>0</v>
      </c>
      <c r="AH204">
        <f t="shared" si="23"/>
        <v>0</v>
      </c>
    </row>
    <row r="205" spans="7:34" x14ac:dyDescent="0.25">
      <c r="G205" s="6">
        <f t="shared" si="24"/>
        <v>0</v>
      </c>
      <c r="H205">
        <f t="shared" si="21"/>
        <v>0</v>
      </c>
      <c r="U205" s="6">
        <f t="shared" si="25"/>
        <v>0</v>
      </c>
      <c r="V205">
        <f t="shared" si="22"/>
        <v>0</v>
      </c>
      <c r="AG205" s="6">
        <f t="shared" si="26"/>
        <v>0</v>
      </c>
      <c r="AH205">
        <f t="shared" si="23"/>
        <v>0</v>
      </c>
    </row>
    <row r="206" spans="7:34" x14ac:dyDescent="0.25">
      <c r="G206" s="6">
        <f t="shared" si="24"/>
        <v>0</v>
      </c>
      <c r="H206">
        <f t="shared" si="21"/>
        <v>0</v>
      </c>
      <c r="U206" s="6">
        <f t="shared" si="25"/>
        <v>0</v>
      </c>
      <c r="V206">
        <f t="shared" si="22"/>
        <v>0</v>
      </c>
      <c r="AG206" s="6">
        <f t="shared" si="26"/>
        <v>0</v>
      </c>
      <c r="AH206">
        <f t="shared" si="23"/>
        <v>0</v>
      </c>
    </row>
    <row r="207" spans="7:34" x14ac:dyDescent="0.25">
      <c r="G207" s="6">
        <f t="shared" si="24"/>
        <v>0</v>
      </c>
      <c r="H207">
        <f t="shared" si="21"/>
        <v>0</v>
      </c>
      <c r="U207" s="6">
        <f t="shared" si="25"/>
        <v>0</v>
      </c>
      <c r="V207">
        <f t="shared" si="22"/>
        <v>0</v>
      </c>
      <c r="AG207" s="6">
        <f t="shared" si="26"/>
        <v>0</v>
      </c>
      <c r="AH207">
        <f t="shared" si="23"/>
        <v>0</v>
      </c>
    </row>
    <row r="208" spans="7:34" x14ac:dyDescent="0.25">
      <c r="G208" s="6">
        <f t="shared" si="24"/>
        <v>0</v>
      </c>
      <c r="H208">
        <f t="shared" si="21"/>
        <v>0</v>
      </c>
      <c r="U208" s="6">
        <f t="shared" si="25"/>
        <v>0</v>
      </c>
      <c r="V208">
        <f t="shared" si="22"/>
        <v>0</v>
      </c>
      <c r="AG208" s="6">
        <f t="shared" si="26"/>
        <v>0</v>
      </c>
      <c r="AH208">
        <f t="shared" si="23"/>
        <v>0</v>
      </c>
    </row>
    <row r="209" spans="7:34" x14ac:dyDescent="0.25">
      <c r="G209" s="6">
        <f t="shared" si="24"/>
        <v>0</v>
      </c>
      <c r="H209">
        <f t="shared" si="21"/>
        <v>0</v>
      </c>
      <c r="O209">
        <v>8000</v>
      </c>
      <c r="P209">
        <v>1</v>
      </c>
      <c r="Q209">
        <v>1</v>
      </c>
      <c r="R209">
        <v>0</v>
      </c>
      <c r="U209" s="6">
        <f t="shared" si="25"/>
        <v>0</v>
      </c>
      <c r="V209">
        <f t="shared" si="22"/>
        <v>0</v>
      </c>
      <c r="AG209" s="6">
        <f t="shared" si="26"/>
        <v>0</v>
      </c>
      <c r="AH209">
        <f t="shared" si="23"/>
        <v>0</v>
      </c>
    </row>
    <row r="210" spans="7:34" x14ac:dyDescent="0.25">
      <c r="G210" s="6">
        <f t="shared" si="24"/>
        <v>0</v>
      </c>
      <c r="H210">
        <f t="shared" si="21"/>
        <v>0</v>
      </c>
      <c r="O210">
        <v>200</v>
      </c>
      <c r="P210">
        <v>3</v>
      </c>
      <c r="Q210">
        <v>3</v>
      </c>
      <c r="R210">
        <v>3</v>
      </c>
      <c r="U210" s="6">
        <f t="shared" si="25"/>
        <v>3</v>
      </c>
      <c r="V210">
        <f t="shared" si="22"/>
        <v>1800</v>
      </c>
      <c r="AG210" s="6">
        <f t="shared" si="26"/>
        <v>0</v>
      </c>
      <c r="AH210">
        <f t="shared" si="23"/>
        <v>0</v>
      </c>
    </row>
    <row r="211" spans="7:34" x14ac:dyDescent="0.25">
      <c r="G211" s="6">
        <f t="shared" si="24"/>
        <v>0</v>
      </c>
      <c r="H211">
        <f t="shared" si="21"/>
        <v>0</v>
      </c>
      <c r="O211">
        <v>600</v>
      </c>
      <c r="P211">
        <v>1</v>
      </c>
      <c r="Q211" s="10">
        <v>999</v>
      </c>
      <c r="R211">
        <v>999</v>
      </c>
      <c r="U211" s="6">
        <f t="shared" si="25"/>
        <v>999</v>
      </c>
      <c r="AG211" s="6">
        <f t="shared" si="26"/>
        <v>0</v>
      </c>
      <c r="AH211">
        <f t="shared" si="23"/>
        <v>0</v>
      </c>
    </row>
    <row r="212" spans="7:34" x14ac:dyDescent="0.25">
      <c r="G212" s="6">
        <f t="shared" si="24"/>
        <v>0</v>
      </c>
      <c r="H212">
        <f t="shared" si="21"/>
        <v>0</v>
      </c>
      <c r="O212">
        <v>400</v>
      </c>
      <c r="P212">
        <v>3</v>
      </c>
      <c r="Q212">
        <v>7</v>
      </c>
      <c r="R212">
        <v>7</v>
      </c>
      <c r="U212" s="6">
        <f t="shared" si="25"/>
        <v>7</v>
      </c>
      <c r="V212">
        <f t="shared" si="22"/>
        <v>8400</v>
      </c>
      <c r="AG212" s="6">
        <f t="shared" si="26"/>
        <v>0</v>
      </c>
      <c r="AH212">
        <f t="shared" si="23"/>
        <v>0</v>
      </c>
    </row>
    <row r="213" spans="7:34" x14ac:dyDescent="0.25">
      <c r="G213" s="6">
        <f t="shared" si="24"/>
        <v>0</v>
      </c>
      <c r="H213">
        <f t="shared" si="21"/>
        <v>0</v>
      </c>
      <c r="O213">
        <v>600</v>
      </c>
      <c r="P213">
        <v>2</v>
      </c>
      <c r="Q213">
        <v>336</v>
      </c>
      <c r="R213">
        <v>335</v>
      </c>
      <c r="U213" s="6">
        <f t="shared" si="25"/>
        <v>335</v>
      </c>
      <c r="V213">
        <f t="shared" si="22"/>
        <v>402000</v>
      </c>
      <c r="AG213" s="6">
        <f t="shared" si="26"/>
        <v>0</v>
      </c>
      <c r="AH213">
        <f t="shared" si="23"/>
        <v>0</v>
      </c>
    </row>
    <row r="214" spans="7:34" x14ac:dyDescent="0.25">
      <c r="G214" s="6">
        <f t="shared" si="24"/>
        <v>0</v>
      </c>
      <c r="H214">
        <f t="shared" si="21"/>
        <v>0</v>
      </c>
      <c r="O214">
        <v>400</v>
      </c>
      <c r="P214">
        <v>2</v>
      </c>
      <c r="Q214">
        <v>7</v>
      </c>
      <c r="R214">
        <v>13</v>
      </c>
      <c r="U214" s="6">
        <f t="shared" si="25"/>
        <v>7</v>
      </c>
      <c r="V214">
        <f t="shared" si="22"/>
        <v>5600</v>
      </c>
      <c r="AG214" s="6">
        <f t="shared" si="26"/>
        <v>0</v>
      </c>
      <c r="AH214">
        <f t="shared" si="23"/>
        <v>0</v>
      </c>
    </row>
    <row r="215" spans="7:34" x14ac:dyDescent="0.25">
      <c r="G215" s="6">
        <f t="shared" si="24"/>
        <v>0</v>
      </c>
      <c r="H215">
        <f t="shared" si="21"/>
        <v>0</v>
      </c>
      <c r="O215">
        <v>600</v>
      </c>
      <c r="P215">
        <v>1</v>
      </c>
      <c r="Q215">
        <v>92</v>
      </c>
      <c r="U215" s="6">
        <f t="shared" si="25"/>
        <v>92</v>
      </c>
      <c r="V215">
        <f t="shared" si="22"/>
        <v>55200</v>
      </c>
      <c r="AG215" s="6">
        <f t="shared" si="26"/>
        <v>0</v>
      </c>
      <c r="AH215">
        <f t="shared" si="23"/>
        <v>0</v>
      </c>
    </row>
    <row r="216" spans="7:34" x14ac:dyDescent="0.25">
      <c r="G216" s="6">
        <f t="shared" si="24"/>
        <v>0</v>
      </c>
      <c r="H216">
        <f t="shared" ref="H216:H279" si="27">A216*B216*G216</f>
        <v>0</v>
      </c>
      <c r="O216">
        <v>600</v>
      </c>
      <c r="P216">
        <v>3</v>
      </c>
      <c r="Q216">
        <v>7</v>
      </c>
      <c r="R216">
        <v>7</v>
      </c>
      <c r="U216" s="6">
        <f t="shared" si="25"/>
        <v>7</v>
      </c>
      <c r="V216">
        <f t="shared" ref="V216:V279" si="28">O216*P216*U216</f>
        <v>12600</v>
      </c>
      <c r="AG216" s="6">
        <f t="shared" si="26"/>
        <v>0</v>
      </c>
      <c r="AH216">
        <f t="shared" ref="AH216:AH279" si="29">AA216*AB216*AG216</f>
        <v>0</v>
      </c>
    </row>
    <row r="217" spans="7:34" x14ac:dyDescent="0.25">
      <c r="G217" s="6">
        <f t="shared" si="24"/>
        <v>0</v>
      </c>
      <c r="H217">
        <f t="shared" si="27"/>
        <v>0</v>
      </c>
      <c r="O217">
        <v>1200</v>
      </c>
      <c r="P217">
        <v>1</v>
      </c>
      <c r="Q217">
        <v>3</v>
      </c>
      <c r="R217">
        <v>2</v>
      </c>
      <c r="U217" s="6">
        <f t="shared" si="25"/>
        <v>2</v>
      </c>
      <c r="V217">
        <f t="shared" si="28"/>
        <v>2400</v>
      </c>
      <c r="AG217" s="6">
        <f t="shared" si="26"/>
        <v>0</v>
      </c>
      <c r="AH217">
        <f t="shared" si="29"/>
        <v>0</v>
      </c>
    </row>
    <row r="218" spans="7:34" x14ac:dyDescent="0.25">
      <c r="G218" s="6">
        <f t="shared" si="24"/>
        <v>0</v>
      </c>
      <c r="H218">
        <f t="shared" si="27"/>
        <v>0</v>
      </c>
      <c r="O218">
        <v>800</v>
      </c>
      <c r="P218">
        <v>0.1429</v>
      </c>
      <c r="Q218">
        <v>999</v>
      </c>
      <c r="R218">
        <v>999</v>
      </c>
      <c r="U218" s="6">
        <f t="shared" si="25"/>
        <v>999</v>
      </c>
      <c r="V218">
        <f t="shared" si="28"/>
        <v>114205.68</v>
      </c>
      <c r="AG218" s="6">
        <f t="shared" si="26"/>
        <v>0</v>
      </c>
      <c r="AH218">
        <f t="shared" si="29"/>
        <v>0</v>
      </c>
    </row>
    <row r="219" spans="7:34" x14ac:dyDescent="0.25">
      <c r="G219" s="6">
        <f t="shared" si="24"/>
        <v>0</v>
      </c>
      <c r="H219">
        <f t="shared" si="27"/>
        <v>0</v>
      </c>
      <c r="O219">
        <v>800</v>
      </c>
      <c r="P219">
        <v>2</v>
      </c>
      <c r="Q219">
        <v>3</v>
      </c>
      <c r="U219" s="6">
        <f t="shared" si="25"/>
        <v>3</v>
      </c>
      <c r="V219">
        <f t="shared" si="28"/>
        <v>4800</v>
      </c>
      <c r="AG219" s="6">
        <f t="shared" si="26"/>
        <v>0</v>
      </c>
      <c r="AH219">
        <f t="shared" si="29"/>
        <v>0</v>
      </c>
    </row>
    <row r="220" spans="7:34" x14ac:dyDescent="0.25">
      <c r="G220" s="6">
        <f t="shared" si="24"/>
        <v>0</v>
      </c>
      <c r="H220">
        <f t="shared" si="27"/>
        <v>0</v>
      </c>
      <c r="O220">
        <v>400</v>
      </c>
      <c r="P220">
        <v>3</v>
      </c>
      <c r="Q220">
        <v>7</v>
      </c>
      <c r="R220">
        <v>2</v>
      </c>
      <c r="U220" s="6">
        <f t="shared" si="25"/>
        <v>2</v>
      </c>
      <c r="V220">
        <f t="shared" si="28"/>
        <v>2400</v>
      </c>
      <c r="AB220">
        <v>7.1400000000000005E-2</v>
      </c>
      <c r="AC220">
        <v>999</v>
      </c>
      <c r="AD220">
        <v>999</v>
      </c>
      <c r="AG220" s="6">
        <f t="shared" si="26"/>
        <v>999</v>
      </c>
      <c r="AH220">
        <f t="shared" si="29"/>
        <v>0</v>
      </c>
    </row>
    <row r="221" spans="7:34" x14ac:dyDescent="0.25">
      <c r="G221" s="6">
        <f t="shared" si="24"/>
        <v>0</v>
      </c>
      <c r="H221">
        <f t="shared" si="27"/>
        <v>0</v>
      </c>
      <c r="P221">
        <v>2</v>
      </c>
      <c r="Q221" s="25">
        <v>999</v>
      </c>
      <c r="R221">
        <v>1</v>
      </c>
      <c r="U221" s="6">
        <f t="shared" si="25"/>
        <v>1</v>
      </c>
      <c r="V221">
        <f t="shared" si="28"/>
        <v>0</v>
      </c>
      <c r="AG221" s="6">
        <f t="shared" si="26"/>
        <v>0</v>
      </c>
      <c r="AH221">
        <f t="shared" si="29"/>
        <v>0</v>
      </c>
    </row>
    <row r="222" spans="7:34" x14ac:dyDescent="0.25">
      <c r="G222" s="6">
        <f t="shared" si="24"/>
        <v>0</v>
      </c>
      <c r="H222">
        <f t="shared" si="27"/>
        <v>0</v>
      </c>
      <c r="U222" s="6">
        <f t="shared" si="25"/>
        <v>0</v>
      </c>
      <c r="V222">
        <f t="shared" si="28"/>
        <v>0</v>
      </c>
      <c r="AG222" s="6">
        <f t="shared" si="26"/>
        <v>0</v>
      </c>
      <c r="AH222">
        <f t="shared" si="29"/>
        <v>0</v>
      </c>
    </row>
    <row r="223" spans="7:34" x14ac:dyDescent="0.25">
      <c r="G223" s="6">
        <f t="shared" si="24"/>
        <v>0</v>
      </c>
      <c r="H223">
        <f t="shared" si="27"/>
        <v>0</v>
      </c>
      <c r="U223" s="6">
        <f t="shared" si="25"/>
        <v>0</v>
      </c>
      <c r="V223">
        <f t="shared" si="28"/>
        <v>0</v>
      </c>
      <c r="AG223" s="6">
        <f t="shared" si="26"/>
        <v>0</v>
      </c>
      <c r="AH223">
        <f t="shared" si="29"/>
        <v>0</v>
      </c>
    </row>
    <row r="224" spans="7:34" x14ac:dyDescent="0.25">
      <c r="G224" s="6">
        <f t="shared" si="24"/>
        <v>0</v>
      </c>
      <c r="H224">
        <f t="shared" si="27"/>
        <v>0</v>
      </c>
      <c r="U224" s="6">
        <f t="shared" si="25"/>
        <v>0</v>
      </c>
      <c r="V224">
        <f t="shared" si="28"/>
        <v>0</v>
      </c>
      <c r="AG224" s="6">
        <f t="shared" si="26"/>
        <v>0</v>
      </c>
      <c r="AH224">
        <f t="shared" si="29"/>
        <v>0</v>
      </c>
    </row>
    <row r="225" spans="7:34" x14ac:dyDescent="0.25">
      <c r="G225" s="6">
        <f t="shared" si="24"/>
        <v>0</v>
      </c>
      <c r="H225">
        <f t="shared" si="27"/>
        <v>0</v>
      </c>
      <c r="U225" s="6">
        <f t="shared" si="25"/>
        <v>0</v>
      </c>
      <c r="V225">
        <f t="shared" si="28"/>
        <v>0</v>
      </c>
      <c r="AG225" s="6">
        <f t="shared" si="26"/>
        <v>0</v>
      </c>
      <c r="AH225">
        <f t="shared" si="29"/>
        <v>0</v>
      </c>
    </row>
    <row r="226" spans="7:34" x14ac:dyDescent="0.25">
      <c r="G226" s="6">
        <f t="shared" si="24"/>
        <v>0</v>
      </c>
      <c r="H226">
        <f t="shared" si="27"/>
        <v>0</v>
      </c>
      <c r="U226" s="6">
        <f t="shared" si="25"/>
        <v>0</v>
      </c>
      <c r="V226">
        <f t="shared" si="28"/>
        <v>0</v>
      </c>
      <c r="AG226" s="6">
        <f t="shared" si="26"/>
        <v>0</v>
      </c>
      <c r="AH226">
        <f t="shared" si="29"/>
        <v>0</v>
      </c>
    </row>
    <row r="227" spans="7:34" x14ac:dyDescent="0.25">
      <c r="G227" s="6">
        <f t="shared" si="24"/>
        <v>0</v>
      </c>
      <c r="H227">
        <f t="shared" si="27"/>
        <v>0</v>
      </c>
      <c r="U227" s="6">
        <f t="shared" si="25"/>
        <v>0</v>
      </c>
      <c r="V227">
        <f t="shared" si="28"/>
        <v>0</v>
      </c>
      <c r="AG227" s="6">
        <f t="shared" si="26"/>
        <v>0</v>
      </c>
      <c r="AH227">
        <f t="shared" si="29"/>
        <v>0</v>
      </c>
    </row>
    <row r="228" spans="7:34" x14ac:dyDescent="0.25">
      <c r="G228" s="6">
        <f t="shared" si="24"/>
        <v>0</v>
      </c>
      <c r="H228">
        <f t="shared" si="27"/>
        <v>0</v>
      </c>
      <c r="U228" s="6">
        <f t="shared" si="25"/>
        <v>0</v>
      </c>
      <c r="V228">
        <f t="shared" si="28"/>
        <v>0</v>
      </c>
      <c r="AG228" s="6">
        <f t="shared" si="26"/>
        <v>0</v>
      </c>
      <c r="AH228">
        <f t="shared" si="29"/>
        <v>0</v>
      </c>
    </row>
    <row r="229" spans="7:34" x14ac:dyDescent="0.25">
      <c r="G229" s="6">
        <f t="shared" si="24"/>
        <v>0</v>
      </c>
      <c r="H229">
        <f t="shared" si="27"/>
        <v>0</v>
      </c>
      <c r="U229" s="6">
        <f t="shared" si="25"/>
        <v>0</v>
      </c>
      <c r="V229">
        <f t="shared" si="28"/>
        <v>0</v>
      </c>
      <c r="AG229" s="6">
        <f t="shared" si="26"/>
        <v>0</v>
      </c>
      <c r="AH229">
        <f t="shared" si="29"/>
        <v>0</v>
      </c>
    </row>
    <row r="230" spans="7:34" x14ac:dyDescent="0.25">
      <c r="G230" s="6">
        <f t="shared" si="24"/>
        <v>0</v>
      </c>
      <c r="H230">
        <f t="shared" si="27"/>
        <v>0</v>
      </c>
      <c r="U230" s="6">
        <f t="shared" si="25"/>
        <v>0</v>
      </c>
      <c r="V230">
        <f t="shared" si="28"/>
        <v>0</v>
      </c>
      <c r="AG230" s="6">
        <f t="shared" si="26"/>
        <v>0</v>
      </c>
      <c r="AH230">
        <f t="shared" si="29"/>
        <v>0</v>
      </c>
    </row>
    <row r="231" spans="7:34" x14ac:dyDescent="0.25">
      <c r="G231" s="6">
        <f t="shared" si="24"/>
        <v>0</v>
      </c>
      <c r="H231">
        <f t="shared" si="27"/>
        <v>0</v>
      </c>
      <c r="Q231">
        <v>1</v>
      </c>
      <c r="R231">
        <v>1</v>
      </c>
      <c r="U231" s="6">
        <f t="shared" si="25"/>
        <v>1</v>
      </c>
      <c r="V231">
        <f t="shared" si="28"/>
        <v>0</v>
      </c>
      <c r="AG231" s="6">
        <f t="shared" si="26"/>
        <v>0</v>
      </c>
      <c r="AH231">
        <f t="shared" si="29"/>
        <v>0</v>
      </c>
    </row>
    <row r="232" spans="7:34" x14ac:dyDescent="0.25">
      <c r="G232" s="6">
        <f t="shared" si="24"/>
        <v>0</v>
      </c>
      <c r="H232">
        <f t="shared" si="27"/>
        <v>0</v>
      </c>
      <c r="U232" s="6">
        <f t="shared" si="25"/>
        <v>0</v>
      </c>
      <c r="V232">
        <f t="shared" si="28"/>
        <v>0</v>
      </c>
      <c r="AG232" s="6">
        <f t="shared" si="26"/>
        <v>0</v>
      </c>
      <c r="AH232">
        <f t="shared" si="29"/>
        <v>0</v>
      </c>
    </row>
    <row r="233" spans="7:34" x14ac:dyDescent="0.25">
      <c r="G233" s="6">
        <f t="shared" si="24"/>
        <v>0</v>
      </c>
      <c r="H233">
        <f t="shared" si="27"/>
        <v>0</v>
      </c>
      <c r="O233">
        <v>200</v>
      </c>
      <c r="P233">
        <v>1</v>
      </c>
      <c r="U233" s="6">
        <f t="shared" si="25"/>
        <v>0</v>
      </c>
      <c r="V233">
        <f t="shared" si="28"/>
        <v>0</v>
      </c>
      <c r="AG233" s="6">
        <f t="shared" si="26"/>
        <v>0</v>
      </c>
      <c r="AH233">
        <f t="shared" si="29"/>
        <v>0</v>
      </c>
    </row>
    <row r="234" spans="7:34" x14ac:dyDescent="0.25">
      <c r="G234" s="6">
        <f t="shared" si="24"/>
        <v>0</v>
      </c>
      <c r="H234">
        <f t="shared" si="27"/>
        <v>0</v>
      </c>
      <c r="O234">
        <v>1600</v>
      </c>
      <c r="P234">
        <v>1</v>
      </c>
      <c r="Q234">
        <v>74</v>
      </c>
      <c r="R234">
        <v>62</v>
      </c>
      <c r="U234" s="6">
        <f t="shared" si="25"/>
        <v>62</v>
      </c>
      <c r="V234">
        <f t="shared" si="28"/>
        <v>99200</v>
      </c>
      <c r="AG234" s="6">
        <f t="shared" si="26"/>
        <v>0</v>
      </c>
      <c r="AH234">
        <f t="shared" si="29"/>
        <v>0</v>
      </c>
    </row>
    <row r="235" spans="7:34" x14ac:dyDescent="0.25">
      <c r="G235" s="6">
        <f t="shared" si="24"/>
        <v>0</v>
      </c>
      <c r="H235">
        <f t="shared" si="27"/>
        <v>0</v>
      </c>
      <c r="O235" s="37">
        <v>600</v>
      </c>
      <c r="P235">
        <v>1</v>
      </c>
      <c r="Q235" s="25">
        <v>999</v>
      </c>
      <c r="R235">
        <v>36</v>
      </c>
      <c r="U235" s="6">
        <f t="shared" si="25"/>
        <v>36</v>
      </c>
      <c r="V235">
        <f t="shared" si="28"/>
        <v>21600</v>
      </c>
      <c r="AG235" s="6">
        <f t="shared" si="26"/>
        <v>0</v>
      </c>
      <c r="AH235">
        <f t="shared" si="29"/>
        <v>0</v>
      </c>
    </row>
    <row r="236" spans="7:34" x14ac:dyDescent="0.25">
      <c r="G236" s="6">
        <f t="shared" si="24"/>
        <v>0</v>
      </c>
      <c r="H236">
        <f t="shared" si="27"/>
        <v>0</v>
      </c>
      <c r="Q236">
        <v>999</v>
      </c>
      <c r="R236">
        <v>999</v>
      </c>
      <c r="U236" s="6">
        <f t="shared" si="25"/>
        <v>999</v>
      </c>
      <c r="V236">
        <f t="shared" si="28"/>
        <v>0</v>
      </c>
      <c r="AG236" s="6">
        <f t="shared" si="26"/>
        <v>0</v>
      </c>
      <c r="AH236">
        <f t="shared" si="29"/>
        <v>0</v>
      </c>
    </row>
    <row r="237" spans="7:34" x14ac:dyDescent="0.25">
      <c r="G237" s="6">
        <f t="shared" si="24"/>
        <v>0</v>
      </c>
      <c r="H237">
        <f t="shared" si="27"/>
        <v>0</v>
      </c>
      <c r="O237">
        <v>800</v>
      </c>
      <c r="P237">
        <v>4</v>
      </c>
      <c r="Q237">
        <v>48</v>
      </c>
      <c r="R237">
        <v>9</v>
      </c>
      <c r="U237" s="6">
        <f t="shared" si="25"/>
        <v>9</v>
      </c>
      <c r="V237">
        <f t="shared" si="28"/>
        <v>28800</v>
      </c>
      <c r="AG237" s="6">
        <f t="shared" si="26"/>
        <v>0</v>
      </c>
      <c r="AH237">
        <f t="shared" si="29"/>
        <v>0</v>
      </c>
    </row>
    <row r="238" spans="7:34" x14ac:dyDescent="0.25">
      <c r="G238" s="6">
        <f t="shared" si="24"/>
        <v>0</v>
      </c>
      <c r="H238">
        <f t="shared" si="27"/>
        <v>0</v>
      </c>
      <c r="O238">
        <v>400</v>
      </c>
      <c r="P238">
        <v>3</v>
      </c>
      <c r="Q238">
        <v>19</v>
      </c>
      <c r="R238">
        <v>18</v>
      </c>
      <c r="U238" s="6">
        <f t="shared" si="25"/>
        <v>18</v>
      </c>
      <c r="V238">
        <f t="shared" si="28"/>
        <v>21600</v>
      </c>
      <c r="AG238" s="6">
        <f t="shared" si="26"/>
        <v>0</v>
      </c>
      <c r="AH238">
        <f t="shared" si="29"/>
        <v>0</v>
      </c>
    </row>
    <row r="239" spans="7:34" x14ac:dyDescent="0.25">
      <c r="G239" s="6">
        <f t="shared" si="24"/>
        <v>0</v>
      </c>
      <c r="H239">
        <f t="shared" si="27"/>
        <v>0</v>
      </c>
      <c r="O239">
        <v>600</v>
      </c>
      <c r="P239">
        <v>2</v>
      </c>
      <c r="Q239">
        <v>12</v>
      </c>
      <c r="R239">
        <v>9</v>
      </c>
      <c r="U239" s="6">
        <f t="shared" si="25"/>
        <v>9</v>
      </c>
      <c r="V239">
        <f t="shared" si="28"/>
        <v>10800</v>
      </c>
      <c r="AG239" s="6">
        <f t="shared" si="26"/>
        <v>0</v>
      </c>
      <c r="AH239">
        <f t="shared" si="29"/>
        <v>0</v>
      </c>
    </row>
    <row r="240" spans="7:34" x14ac:dyDescent="0.25">
      <c r="G240" s="6">
        <f t="shared" si="24"/>
        <v>0</v>
      </c>
      <c r="H240">
        <f t="shared" si="27"/>
        <v>0</v>
      </c>
      <c r="O240">
        <v>1800</v>
      </c>
      <c r="P240">
        <v>1</v>
      </c>
      <c r="U240" s="6">
        <f t="shared" si="25"/>
        <v>0</v>
      </c>
      <c r="V240">
        <f t="shared" si="28"/>
        <v>0</v>
      </c>
      <c r="AG240" s="6">
        <f t="shared" si="26"/>
        <v>0</v>
      </c>
      <c r="AH240">
        <f t="shared" si="29"/>
        <v>0</v>
      </c>
    </row>
    <row r="241" spans="7:34" x14ac:dyDescent="0.25">
      <c r="G241" s="6">
        <f t="shared" si="24"/>
        <v>0</v>
      </c>
      <c r="H241">
        <f t="shared" si="27"/>
        <v>0</v>
      </c>
      <c r="O241">
        <v>600</v>
      </c>
      <c r="P241">
        <v>2</v>
      </c>
      <c r="Q241">
        <v>61</v>
      </c>
      <c r="R241">
        <v>59</v>
      </c>
      <c r="U241" s="6">
        <f t="shared" si="25"/>
        <v>59</v>
      </c>
      <c r="V241">
        <f t="shared" si="28"/>
        <v>70800</v>
      </c>
      <c r="AG241" s="6">
        <f t="shared" si="26"/>
        <v>0</v>
      </c>
      <c r="AH241">
        <f t="shared" si="29"/>
        <v>0</v>
      </c>
    </row>
    <row r="242" spans="7:34" x14ac:dyDescent="0.25">
      <c r="G242" s="6">
        <f t="shared" si="24"/>
        <v>0</v>
      </c>
      <c r="H242">
        <f t="shared" si="27"/>
        <v>0</v>
      </c>
      <c r="O242">
        <v>600</v>
      </c>
      <c r="P242">
        <v>1</v>
      </c>
      <c r="Q242">
        <v>7</v>
      </c>
      <c r="R242">
        <v>14</v>
      </c>
      <c r="U242" s="6">
        <f t="shared" si="25"/>
        <v>7</v>
      </c>
      <c r="V242">
        <f t="shared" si="28"/>
        <v>4200</v>
      </c>
      <c r="AG242" s="6">
        <f t="shared" si="26"/>
        <v>0</v>
      </c>
      <c r="AH242">
        <f t="shared" si="29"/>
        <v>0</v>
      </c>
    </row>
    <row r="243" spans="7:34" x14ac:dyDescent="0.25">
      <c r="G243" s="6">
        <f t="shared" si="24"/>
        <v>0</v>
      </c>
      <c r="H243">
        <f t="shared" si="27"/>
        <v>0</v>
      </c>
      <c r="O243">
        <v>400</v>
      </c>
      <c r="P243">
        <v>1</v>
      </c>
      <c r="U243" s="6">
        <f t="shared" si="25"/>
        <v>0</v>
      </c>
      <c r="V243">
        <f t="shared" si="28"/>
        <v>0</v>
      </c>
      <c r="AG243" s="6">
        <f t="shared" si="26"/>
        <v>0</v>
      </c>
      <c r="AH243">
        <f t="shared" si="29"/>
        <v>0</v>
      </c>
    </row>
    <row r="244" spans="7:34" x14ac:dyDescent="0.25">
      <c r="G244" s="6">
        <f t="shared" si="24"/>
        <v>0</v>
      </c>
      <c r="H244">
        <f t="shared" si="27"/>
        <v>0</v>
      </c>
      <c r="Q244">
        <v>999</v>
      </c>
      <c r="R244">
        <v>999</v>
      </c>
      <c r="U244" s="6">
        <f t="shared" si="25"/>
        <v>999</v>
      </c>
      <c r="V244">
        <f t="shared" si="28"/>
        <v>0</v>
      </c>
      <c r="AG244" s="6">
        <f t="shared" si="26"/>
        <v>0</v>
      </c>
      <c r="AH244">
        <f t="shared" si="29"/>
        <v>0</v>
      </c>
    </row>
    <row r="245" spans="7:34" x14ac:dyDescent="0.25">
      <c r="G245" s="6">
        <f t="shared" si="24"/>
        <v>0</v>
      </c>
      <c r="H245">
        <f t="shared" si="27"/>
        <v>0</v>
      </c>
      <c r="O245" s="37">
        <v>400</v>
      </c>
      <c r="P245">
        <v>3</v>
      </c>
      <c r="Q245">
        <v>103</v>
      </c>
      <c r="R245">
        <v>99</v>
      </c>
      <c r="U245" s="6">
        <f t="shared" si="25"/>
        <v>99</v>
      </c>
      <c r="V245">
        <f t="shared" si="28"/>
        <v>118800</v>
      </c>
      <c r="AG245" s="6">
        <f t="shared" si="26"/>
        <v>0</v>
      </c>
      <c r="AH245">
        <f t="shared" si="29"/>
        <v>0</v>
      </c>
    </row>
    <row r="246" spans="7:34" x14ac:dyDescent="0.25">
      <c r="G246" s="6">
        <f t="shared" si="24"/>
        <v>0</v>
      </c>
      <c r="H246">
        <f t="shared" si="27"/>
        <v>0</v>
      </c>
      <c r="O246">
        <v>400</v>
      </c>
      <c r="Q246">
        <v>10</v>
      </c>
      <c r="R246">
        <v>3</v>
      </c>
      <c r="U246" s="6">
        <f t="shared" si="25"/>
        <v>3</v>
      </c>
      <c r="V246">
        <f t="shared" si="28"/>
        <v>0</v>
      </c>
      <c r="AG246" s="6">
        <f t="shared" si="26"/>
        <v>0</v>
      </c>
      <c r="AH246">
        <f t="shared" si="29"/>
        <v>0</v>
      </c>
    </row>
    <row r="247" spans="7:34" x14ac:dyDescent="0.25">
      <c r="G247" s="6">
        <f t="shared" si="24"/>
        <v>0</v>
      </c>
      <c r="H247">
        <f t="shared" si="27"/>
        <v>0</v>
      </c>
      <c r="O247">
        <v>200</v>
      </c>
      <c r="P247">
        <v>3</v>
      </c>
      <c r="Q247">
        <v>8</v>
      </c>
      <c r="R247">
        <v>29</v>
      </c>
      <c r="U247" s="6">
        <f t="shared" si="25"/>
        <v>8</v>
      </c>
      <c r="V247">
        <f t="shared" si="28"/>
        <v>4800</v>
      </c>
      <c r="AC247">
        <v>8</v>
      </c>
      <c r="AD247">
        <v>29</v>
      </c>
      <c r="AG247" s="6">
        <f t="shared" si="26"/>
        <v>8</v>
      </c>
      <c r="AH247">
        <f t="shared" si="29"/>
        <v>0</v>
      </c>
    </row>
    <row r="248" spans="7:34" x14ac:dyDescent="0.25">
      <c r="G248" s="6">
        <f t="shared" si="24"/>
        <v>0</v>
      </c>
      <c r="H248">
        <f t="shared" si="27"/>
        <v>0</v>
      </c>
      <c r="O248">
        <v>500</v>
      </c>
      <c r="P248">
        <v>6</v>
      </c>
      <c r="Q248">
        <v>8</v>
      </c>
      <c r="R248">
        <v>6</v>
      </c>
      <c r="U248" s="6">
        <f t="shared" si="25"/>
        <v>6</v>
      </c>
      <c r="V248">
        <f t="shared" si="28"/>
        <v>18000</v>
      </c>
      <c r="AA248">
        <v>500</v>
      </c>
      <c r="AB248">
        <v>6</v>
      </c>
      <c r="AC248">
        <v>999</v>
      </c>
      <c r="AD248">
        <v>999</v>
      </c>
      <c r="AG248" s="6">
        <f t="shared" si="26"/>
        <v>999</v>
      </c>
      <c r="AH248">
        <f t="shared" si="29"/>
        <v>2997000</v>
      </c>
    </row>
    <row r="249" spans="7:34" x14ac:dyDescent="0.25">
      <c r="G249" s="6">
        <f t="shared" si="24"/>
        <v>0</v>
      </c>
      <c r="H249">
        <f t="shared" si="27"/>
        <v>0</v>
      </c>
      <c r="O249">
        <v>600</v>
      </c>
      <c r="P249">
        <v>2</v>
      </c>
      <c r="Q249">
        <v>13</v>
      </c>
      <c r="R249">
        <v>13</v>
      </c>
      <c r="U249" s="6">
        <f t="shared" si="25"/>
        <v>13</v>
      </c>
      <c r="V249">
        <f t="shared" si="28"/>
        <v>15600</v>
      </c>
      <c r="AG249" s="6">
        <f t="shared" si="26"/>
        <v>0</v>
      </c>
      <c r="AH249">
        <f t="shared" si="29"/>
        <v>0</v>
      </c>
    </row>
    <row r="250" spans="7:34" x14ac:dyDescent="0.25">
      <c r="G250" s="6">
        <f t="shared" si="24"/>
        <v>0</v>
      </c>
      <c r="H250">
        <f t="shared" si="27"/>
        <v>0</v>
      </c>
      <c r="O250">
        <v>400</v>
      </c>
      <c r="P250">
        <v>1</v>
      </c>
      <c r="Q250">
        <v>999</v>
      </c>
      <c r="R250">
        <v>0</v>
      </c>
      <c r="U250" s="6">
        <f t="shared" si="25"/>
        <v>0</v>
      </c>
      <c r="V250">
        <f t="shared" si="28"/>
        <v>0</v>
      </c>
      <c r="AA250">
        <v>500</v>
      </c>
      <c r="AB250">
        <v>2</v>
      </c>
      <c r="AC250">
        <v>999</v>
      </c>
      <c r="AD250">
        <v>999</v>
      </c>
      <c r="AG250" s="6">
        <f t="shared" si="26"/>
        <v>999</v>
      </c>
      <c r="AH250">
        <f t="shared" si="29"/>
        <v>999000</v>
      </c>
    </row>
    <row r="251" spans="7:34" x14ac:dyDescent="0.25">
      <c r="G251" s="6">
        <f t="shared" si="24"/>
        <v>0</v>
      </c>
      <c r="H251">
        <f t="shared" si="27"/>
        <v>0</v>
      </c>
      <c r="O251">
        <v>600</v>
      </c>
      <c r="P251">
        <v>1</v>
      </c>
      <c r="Q251">
        <v>57</v>
      </c>
      <c r="R251">
        <v>61</v>
      </c>
      <c r="U251" s="6">
        <f t="shared" si="25"/>
        <v>57</v>
      </c>
      <c r="V251">
        <f t="shared" si="28"/>
        <v>34200</v>
      </c>
      <c r="AG251" s="6">
        <f t="shared" si="26"/>
        <v>0</v>
      </c>
      <c r="AH251">
        <f t="shared" si="29"/>
        <v>0</v>
      </c>
    </row>
    <row r="252" spans="7:34" x14ac:dyDescent="0.25">
      <c r="G252" s="6">
        <f t="shared" si="24"/>
        <v>0</v>
      </c>
      <c r="H252">
        <f t="shared" si="27"/>
        <v>0</v>
      </c>
      <c r="O252">
        <v>800</v>
      </c>
      <c r="P252">
        <v>3</v>
      </c>
      <c r="Q252">
        <v>34</v>
      </c>
      <c r="R252">
        <v>25</v>
      </c>
      <c r="U252" s="6">
        <f t="shared" si="25"/>
        <v>25</v>
      </c>
      <c r="V252">
        <f t="shared" si="28"/>
        <v>60000</v>
      </c>
      <c r="AG252" s="6">
        <f t="shared" si="26"/>
        <v>0</v>
      </c>
      <c r="AH252">
        <f t="shared" si="29"/>
        <v>0</v>
      </c>
    </row>
    <row r="253" spans="7:34" x14ac:dyDescent="0.25">
      <c r="G253" s="6">
        <f t="shared" si="24"/>
        <v>0</v>
      </c>
      <c r="H253">
        <f t="shared" si="27"/>
        <v>0</v>
      </c>
      <c r="Q253">
        <v>1</v>
      </c>
      <c r="R253">
        <v>0</v>
      </c>
      <c r="U253" s="6">
        <f t="shared" si="25"/>
        <v>0</v>
      </c>
      <c r="V253">
        <f t="shared" si="28"/>
        <v>0</v>
      </c>
      <c r="AG253" s="6">
        <f t="shared" si="26"/>
        <v>0</v>
      </c>
      <c r="AH253">
        <f t="shared" si="29"/>
        <v>0</v>
      </c>
    </row>
    <row r="254" spans="7:34" x14ac:dyDescent="0.25">
      <c r="G254" s="6">
        <f t="shared" si="24"/>
        <v>0</v>
      </c>
      <c r="H254">
        <f t="shared" si="27"/>
        <v>0</v>
      </c>
      <c r="Q254" s="25">
        <v>999</v>
      </c>
      <c r="R254">
        <v>0</v>
      </c>
      <c r="U254" s="6">
        <f t="shared" si="25"/>
        <v>0</v>
      </c>
      <c r="V254">
        <f t="shared" si="28"/>
        <v>0</v>
      </c>
      <c r="AG254" s="6">
        <f t="shared" si="26"/>
        <v>0</v>
      </c>
      <c r="AH254">
        <f t="shared" si="29"/>
        <v>0</v>
      </c>
    </row>
    <row r="255" spans="7:34" x14ac:dyDescent="0.25">
      <c r="G255" s="6">
        <f t="shared" si="24"/>
        <v>0</v>
      </c>
      <c r="H255">
        <f t="shared" si="27"/>
        <v>0</v>
      </c>
      <c r="Q255">
        <v>180</v>
      </c>
      <c r="R255">
        <v>180</v>
      </c>
      <c r="U255" s="6">
        <f t="shared" si="25"/>
        <v>180</v>
      </c>
      <c r="V255">
        <f t="shared" si="28"/>
        <v>0</v>
      </c>
      <c r="AG255" s="6">
        <f t="shared" si="26"/>
        <v>0</v>
      </c>
      <c r="AH255">
        <f t="shared" si="29"/>
        <v>0</v>
      </c>
    </row>
    <row r="256" spans="7:34" x14ac:dyDescent="0.25">
      <c r="G256" s="6">
        <f t="shared" si="24"/>
        <v>0</v>
      </c>
      <c r="H256">
        <f t="shared" si="27"/>
        <v>0</v>
      </c>
      <c r="O256">
        <v>800</v>
      </c>
      <c r="P256">
        <v>1</v>
      </c>
      <c r="Q256">
        <v>732</v>
      </c>
      <c r="R256">
        <v>732</v>
      </c>
      <c r="U256" s="6">
        <f t="shared" si="25"/>
        <v>732</v>
      </c>
      <c r="V256">
        <f t="shared" si="28"/>
        <v>585600</v>
      </c>
      <c r="AG256" s="6">
        <f t="shared" si="26"/>
        <v>0</v>
      </c>
      <c r="AH256">
        <f t="shared" si="29"/>
        <v>0</v>
      </c>
    </row>
    <row r="257" spans="7:34" x14ac:dyDescent="0.25">
      <c r="G257" s="6">
        <f t="shared" si="24"/>
        <v>0</v>
      </c>
      <c r="H257">
        <f t="shared" si="27"/>
        <v>0</v>
      </c>
      <c r="O257">
        <v>3000</v>
      </c>
      <c r="P257">
        <v>1</v>
      </c>
      <c r="U257" s="6">
        <f t="shared" si="25"/>
        <v>0</v>
      </c>
      <c r="V257">
        <f t="shared" si="28"/>
        <v>0</v>
      </c>
      <c r="AG257" s="6">
        <f t="shared" si="26"/>
        <v>0</v>
      </c>
      <c r="AH257">
        <f t="shared" si="29"/>
        <v>0</v>
      </c>
    </row>
    <row r="258" spans="7:34" x14ac:dyDescent="0.25">
      <c r="G258" s="6">
        <f t="shared" si="24"/>
        <v>0</v>
      </c>
      <c r="H258">
        <f t="shared" si="27"/>
        <v>0</v>
      </c>
      <c r="U258" s="6">
        <f t="shared" si="25"/>
        <v>0</v>
      </c>
      <c r="V258">
        <f t="shared" si="28"/>
        <v>0</v>
      </c>
      <c r="AG258" s="6">
        <f t="shared" si="26"/>
        <v>0</v>
      </c>
      <c r="AH258">
        <f t="shared" si="29"/>
        <v>0</v>
      </c>
    </row>
    <row r="259" spans="7:34" x14ac:dyDescent="0.25">
      <c r="G259" s="6">
        <f t="shared" si="24"/>
        <v>0</v>
      </c>
      <c r="H259">
        <f t="shared" si="27"/>
        <v>0</v>
      </c>
      <c r="U259" s="6">
        <f t="shared" si="25"/>
        <v>0</v>
      </c>
      <c r="V259">
        <f t="shared" si="28"/>
        <v>0</v>
      </c>
      <c r="AG259" s="6">
        <f t="shared" si="26"/>
        <v>0</v>
      </c>
      <c r="AH259">
        <f t="shared" si="29"/>
        <v>0</v>
      </c>
    </row>
    <row r="260" spans="7:34" x14ac:dyDescent="0.25">
      <c r="G260" s="6">
        <f t="shared" si="24"/>
        <v>0</v>
      </c>
      <c r="H260">
        <f t="shared" si="27"/>
        <v>0</v>
      </c>
      <c r="U260" s="6">
        <f t="shared" si="25"/>
        <v>0</v>
      </c>
      <c r="V260">
        <f t="shared" si="28"/>
        <v>0</v>
      </c>
      <c r="AG260" s="6">
        <f t="shared" si="26"/>
        <v>0</v>
      </c>
      <c r="AH260">
        <f t="shared" si="29"/>
        <v>0</v>
      </c>
    </row>
    <row r="261" spans="7:34" x14ac:dyDescent="0.25">
      <c r="G261" s="6">
        <f t="shared" si="24"/>
        <v>0</v>
      </c>
      <c r="H261">
        <f t="shared" si="27"/>
        <v>0</v>
      </c>
      <c r="U261" s="6">
        <f t="shared" si="25"/>
        <v>0</v>
      </c>
      <c r="V261">
        <f t="shared" si="28"/>
        <v>0</v>
      </c>
      <c r="AG261" s="6">
        <f t="shared" si="26"/>
        <v>0</v>
      </c>
      <c r="AH261">
        <f t="shared" si="29"/>
        <v>0</v>
      </c>
    </row>
    <row r="262" spans="7:34" x14ac:dyDescent="0.25">
      <c r="G262" s="6">
        <f t="shared" si="24"/>
        <v>0</v>
      </c>
      <c r="H262">
        <f t="shared" si="27"/>
        <v>0</v>
      </c>
      <c r="U262" s="6">
        <f t="shared" si="25"/>
        <v>0</v>
      </c>
      <c r="V262">
        <f t="shared" si="28"/>
        <v>0</v>
      </c>
      <c r="AG262" s="6">
        <f t="shared" si="26"/>
        <v>0</v>
      </c>
      <c r="AH262">
        <f t="shared" si="29"/>
        <v>0</v>
      </c>
    </row>
    <row r="263" spans="7:34" x14ac:dyDescent="0.25">
      <c r="G263" s="6">
        <f t="shared" si="24"/>
        <v>0</v>
      </c>
      <c r="H263">
        <f t="shared" si="27"/>
        <v>0</v>
      </c>
      <c r="U263" s="6">
        <f t="shared" si="25"/>
        <v>0</v>
      </c>
      <c r="V263">
        <f t="shared" si="28"/>
        <v>0</v>
      </c>
      <c r="AG263" s="6">
        <f t="shared" si="26"/>
        <v>0</v>
      </c>
      <c r="AH263">
        <f t="shared" si="29"/>
        <v>0</v>
      </c>
    </row>
    <row r="264" spans="7:34" x14ac:dyDescent="0.25">
      <c r="G264" s="6">
        <f t="shared" ref="G264:G295" si="30">MIN(C264,D264)</f>
        <v>0</v>
      </c>
      <c r="H264">
        <f t="shared" si="27"/>
        <v>0</v>
      </c>
      <c r="U264" s="6">
        <f t="shared" ref="U264:U295" si="31">MIN(Q264,R264)</f>
        <v>0</v>
      </c>
      <c r="V264">
        <f t="shared" si="28"/>
        <v>0</v>
      </c>
      <c r="AG264" s="6">
        <f t="shared" ref="AG264:AG327" si="32">MIN(AC264,AD264)</f>
        <v>0</v>
      </c>
      <c r="AH264">
        <f t="shared" si="29"/>
        <v>0</v>
      </c>
    </row>
    <row r="265" spans="7:34" x14ac:dyDescent="0.25">
      <c r="G265" s="6">
        <f t="shared" si="30"/>
        <v>0</v>
      </c>
      <c r="H265">
        <f t="shared" si="27"/>
        <v>0</v>
      </c>
      <c r="U265" s="6">
        <f t="shared" si="31"/>
        <v>0</v>
      </c>
      <c r="V265">
        <f t="shared" si="28"/>
        <v>0</v>
      </c>
      <c r="AG265" s="6">
        <f t="shared" si="32"/>
        <v>0</v>
      </c>
      <c r="AH265">
        <f t="shared" si="29"/>
        <v>0</v>
      </c>
    </row>
    <row r="266" spans="7:34" x14ac:dyDescent="0.25">
      <c r="G266" s="6">
        <f t="shared" si="30"/>
        <v>0</v>
      </c>
      <c r="H266">
        <f t="shared" si="27"/>
        <v>0</v>
      </c>
      <c r="U266" s="6">
        <f t="shared" si="31"/>
        <v>0</v>
      </c>
      <c r="V266">
        <f t="shared" si="28"/>
        <v>0</v>
      </c>
      <c r="AG266" s="6">
        <f t="shared" si="32"/>
        <v>0</v>
      </c>
      <c r="AH266">
        <f t="shared" si="29"/>
        <v>0</v>
      </c>
    </row>
    <row r="267" spans="7:34" x14ac:dyDescent="0.25">
      <c r="G267" s="6">
        <f t="shared" si="30"/>
        <v>0</v>
      </c>
      <c r="H267">
        <f t="shared" si="27"/>
        <v>0</v>
      </c>
      <c r="U267" s="6">
        <f t="shared" si="31"/>
        <v>0</v>
      </c>
      <c r="V267">
        <f t="shared" si="28"/>
        <v>0</v>
      </c>
      <c r="AG267" s="6">
        <f t="shared" si="32"/>
        <v>0</v>
      </c>
      <c r="AH267">
        <f t="shared" si="29"/>
        <v>0</v>
      </c>
    </row>
    <row r="268" spans="7:34" x14ac:dyDescent="0.25">
      <c r="G268" s="6">
        <f t="shared" si="30"/>
        <v>0</v>
      </c>
      <c r="H268">
        <f t="shared" si="27"/>
        <v>0</v>
      </c>
      <c r="U268" s="6">
        <f t="shared" si="31"/>
        <v>0</v>
      </c>
      <c r="V268">
        <f t="shared" si="28"/>
        <v>0</v>
      </c>
      <c r="AG268" s="6">
        <f t="shared" si="32"/>
        <v>0</v>
      </c>
      <c r="AH268">
        <f t="shared" si="29"/>
        <v>0</v>
      </c>
    </row>
    <row r="269" spans="7:34" x14ac:dyDescent="0.25">
      <c r="G269" s="6">
        <f t="shared" si="30"/>
        <v>0</v>
      </c>
      <c r="H269">
        <f t="shared" si="27"/>
        <v>0</v>
      </c>
      <c r="U269" s="6">
        <f t="shared" si="31"/>
        <v>0</v>
      </c>
      <c r="V269">
        <f t="shared" si="28"/>
        <v>0</v>
      </c>
      <c r="AG269" s="6">
        <f t="shared" si="32"/>
        <v>0</v>
      </c>
      <c r="AH269">
        <f t="shared" si="29"/>
        <v>0</v>
      </c>
    </row>
    <row r="270" spans="7:34" x14ac:dyDescent="0.25">
      <c r="G270" s="6">
        <f t="shared" si="30"/>
        <v>0</v>
      </c>
      <c r="H270">
        <f t="shared" si="27"/>
        <v>0</v>
      </c>
      <c r="U270" s="6">
        <f t="shared" si="31"/>
        <v>0</v>
      </c>
      <c r="V270">
        <f t="shared" si="28"/>
        <v>0</v>
      </c>
      <c r="AG270" s="6">
        <f t="shared" si="32"/>
        <v>0</v>
      </c>
      <c r="AH270">
        <f t="shared" si="29"/>
        <v>0</v>
      </c>
    </row>
    <row r="271" spans="7:34" x14ac:dyDescent="0.25">
      <c r="G271" s="6">
        <f t="shared" si="30"/>
        <v>0</v>
      </c>
      <c r="H271">
        <f t="shared" si="27"/>
        <v>0</v>
      </c>
      <c r="U271" s="6">
        <f t="shared" si="31"/>
        <v>0</v>
      </c>
      <c r="V271">
        <f t="shared" si="28"/>
        <v>0</v>
      </c>
      <c r="AG271" s="6">
        <f t="shared" si="32"/>
        <v>0</v>
      </c>
      <c r="AH271">
        <f t="shared" si="29"/>
        <v>0</v>
      </c>
    </row>
    <row r="272" spans="7:34" x14ac:dyDescent="0.25">
      <c r="G272" s="6">
        <f t="shared" si="30"/>
        <v>0</v>
      </c>
      <c r="H272">
        <f t="shared" si="27"/>
        <v>0</v>
      </c>
      <c r="U272" s="6">
        <f t="shared" si="31"/>
        <v>0</v>
      </c>
      <c r="V272">
        <f t="shared" si="28"/>
        <v>0</v>
      </c>
      <c r="AG272" s="6">
        <f t="shared" si="32"/>
        <v>0</v>
      </c>
      <c r="AH272">
        <f t="shared" si="29"/>
        <v>0</v>
      </c>
    </row>
    <row r="273" spans="7:34" x14ac:dyDescent="0.25">
      <c r="G273" s="6">
        <f t="shared" si="30"/>
        <v>0</v>
      </c>
      <c r="H273">
        <f t="shared" si="27"/>
        <v>0</v>
      </c>
      <c r="U273" s="6">
        <f t="shared" si="31"/>
        <v>0</v>
      </c>
      <c r="V273">
        <f t="shared" si="28"/>
        <v>0</v>
      </c>
      <c r="AG273" s="6">
        <f t="shared" si="32"/>
        <v>0</v>
      </c>
      <c r="AH273">
        <f t="shared" si="29"/>
        <v>0</v>
      </c>
    </row>
    <row r="274" spans="7:34" x14ac:dyDescent="0.25">
      <c r="G274" s="6">
        <f t="shared" si="30"/>
        <v>0</v>
      </c>
      <c r="H274">
        <f t="shared" si="27"/>
        <v>0</v>
      </c>
      <c r="U274" s="6">
        <f t="shared" si="31"/>
        <v>0</v>
      </c>
      <c r="V274">
        <f t="shared" si="28"/>
        <v>0</v>
      </c>
      <c r="AG274" s="6">
        <f t="shared" si="32"/>
        <v>0</v>
      </c>
      <c r="AH274">
        <f t="shared" si="29"/>
        <v>0</v>
      </c>
    </row>
    <row r="275" spans="7:34" x14ac:dyDescent="0.25">
      <c r="G275" s="6">
        <f t="shared" si="30"/>
        <v>0</v>
      </c>
      <c r="H275">
        <f t="shared" si="27"/>
        <v>0</v>
      </c>
      <c r="U275" s="6">
        <f t="shared" si="31"/>
        <v>0</v>
      </c>
      <c r="V275">
        <f t="shared" si="28"/>
        <v>0</v>
      </c>
      <c r="AG275" s="6">
        <f t="shared" si="32"/>
        <v>0</v>
      </c>
      <c r="AH275">
        <f t="shared" si="29"/>
        <v>0</v>
      </c>
    </row>
    <row r="276" spans="7:34" x14ac:dyDescent="0.25">
      <c r="G276" s="6">
        <f t="shared" si="30"/>
        <v>0</v>
      </c>
      <c r="H276">
        <f t="shared" si="27"/>
        <v>0</v>
      </c>
      <c r="U276" s="6">
        <f t="shared" si="31"/>
        <v>0</v>
      </c>
      <c r="V276">
        <f t="shared" si="28"/>
        <v>0</v>
      </c>
      <c r="AG276" s="6">
        <f t="shared" si="32"/>
        <v>0</v>
      </c>
      <c r="AH276">
        <f t="shared" si="29"/>
        <v>0</v>
      </c>
    </row>
    <row r="277" spans="7:34" x14ac:dyDescent="0.25">
      <c r="G277" s="6">
        <f t="shared" si="30"/>
        <v>0</v>
      </c>
      <c r="H277">
        <f t="shared" si="27"/>
        <v>0</v>
      </c>
      <c r="U277" s="6">
        <f t="shared" si="31"/>
        <v>0</v>
      </c>
      <c r="V277">
        <f t="shared" si="28"/>
        <v>0</v>
      </c>
      <c r="AG277" s="6">
        <f t="shared" si="32"/>
        <v>0</v>
      </c>
      <c r="AH277">
        <f t="shared" si="29"/>
        <v>0</v>
      </c>
    </row>
    <row r="278" spans="7:34" x14ac:dyDescent="0.25">
      <c r="G278" s="6">
        <f t="shared" si="30"/>
        <v>0</v>
      </c>
      <c r="H278">
        <f t="shared" si="27"/>
        <v>0</v>
      </c>
      <c r="U278" s="6">
        <f t="shared" si="31"/>
        <v>0</v>
      </c>
      <c r="V278">
        <f t="shared" si="28"/>
        <v>0</v>
      </c>
      <c r="AG278" s="6">
        <f t="shared" si="32"/>
        <v>0</v>
      </c>
      <c r="AH278">
        <f t="shared" si="29"/>
        <v>0</v>
      </c>
    </row>
    <row r="279" spans="7:34" x14ac:dyDescent="0.25">
      <c r="G279" s="6">
        <f t="shared" si="30"/>
        <v>0</v>
      </c>
      <c r="H279">
        <f t="shared" si="27"/>
        <v>0</v>
      </c>
      <c r="U279" s="6">
        <f t="shared" si="31"/>
        <v>0</v>
      </c>
      <c r="V279">
        <f t="shared" si="28"/>
        <v>0</v>
      </c>
      <c r="AG279" s="6">
        <f t="shared" si="32"/>
        <v>0</v>
      </c>
      <c r="AH279">
        <f t="shared" si="29"/>
        <v>0</v>
      </c>
    </row>
    <row r="280" spans="7:34" x14ac:dyDescent="0.25">
      <c r="G280" s="6">
        <f t="shared" si="30"/>
        <v>0</v>
      </c>
      <c r="H280">
        <f t="shared" ref="H280:H295" si="33">A280*B280*G280</f>
        <v>0</v>
      </c>
      <c r="U280" s="6">
        <f t="shared" si="31"/>
        <v>0</v>
      </c>
      <c r="V280">
        <f t="shared" ref="V280:V295" si="34">O280*P280*U280</f>
        <v>0</v>
      </c>
      <c r="AG280" s="6">
        <f t="shared" si="32"/>
        <v>0</v>
      </c>
      <c r="AH280">
        <f t="shared" ref="AH280:AH343" si="35">AA280*AB280*AG280</f>
        <v>0</v>
      </c>
    </row>
    <row r="281" spans="7:34" x14ac:dyDescent="0.25">
      <c r="G281" s="6">
        <f t="shared" si="30"/>
        <v>0</v>
      </c>
      <c r="H281">
        <f t="shared" si="33"/>
        <v>0</v>
      </c>
      <c r="U281" s="6">
        <f t="shared" si="31"/>
        <v>0</v>
      </c>
      <c r="V281">
        <f t="shared" si="34"/>
        <v>0</v>
      </c>
      <c r="AG281" s="6">
        <f t="shared" si="32"/>
        <v>0</v>
      </c>
      <c r="AH281">
        <f t="shared" si="35"/>
        <v>0</v>
      </c>
    </row>
    <row r="282" spans="7:34" x14ac:dyDescent="0.25">
      <c r="G282" s="6">
        <f t="shared" si="30"/>
        <v>0</v>
      </c>
      <c r="H282">
        <f t="shared" si="33"/>
        <v>0</v>
      </c>
      <c r="U282" s="6">
        <f t="shared" si="31"/>
        <v>0</v>
      </c>
      <c r="V282">
        <f t="shared" si="34"/>
        <v>0</v>
      </c>
      <c r="AG282" s="6">
        <f t="shared" si="32"/>
        <v>0</v>
      </c>
      <c r="AH282">
        <f t="shared" si="35"/>
        <v>0</v>
      </c>
    </row>
    <row r="283" spans="7:34" x14ac:dyDescent="0.25">
      <c r="G283" s="6">
        <f t="shared" si="30"/>
        <v>0</v>
      </c>
      <c r="H283">
        <f t="shared" si="33"/>
        <v>0</v>
      </c>
      <c r="U283" s="6">
        <f t="shared" si="31"/>
        <v>0</v>
      </c>
      <c r="V283">
        <f t="shared" si="34"/>
        <v>0</v>
      </c>
      <c r="AG283" s="6">
        <f t="shared" si="32"/>
        <v>0</v>
      </c>
      <c r="AH283">
        <f t="shared" si="35"/>
        <v>0</v>
      </c>
    </row>
    <row r="284" spans="7:34" x14ac:dyDescent="0.25">
      <c r="G284" s="6">
        <f t="shared" si="30"/>
        <v>0</v>
      </c>
      <c r="H284">
        <f t="shared" si="33"/>
        <v>0</v>
      </c>
      <c r="U284" s="6">
        <f t="shared" si="31"/>
        <v>0</v>
      </c>
      <c r="V284">
        <f t="shared" si="34"/>
        <v>0</v>
      </c>
      <c r="AG284" s="6">
        <f t="shared" si="32"/>
        <v>0</v>
      </c>
      <c r="AH284">
        <f t="shared" si="35"/>
        <v>0</v>
      </c>
    </row>
    <row r="285" spans="7:34" x14ac:dyDescent="0.25">
      <c r="G285" s="6">
        <f t="shared" si="30"/>
        <v>0</v>
      </c>
      <c r="H285">
        <f t="shared" si="33"/>
        <v>0</v>
      </c>
      <c r="U285" s="6">
        <f t="shared" si="31"/>
        <v>0</v>
      </c>
      <c r="V285">
        <f t="shared" si="34"/>
        <v>0</v>
      </c>
      <c r="AG285" s="6">
        <f t="shared" si="32"/>
        <v>0</v>
      </c>
      <c r="AH285">
        <f t="shared" si="35"/>
        <v>0</v>
      </c>
    </row>
    <row r="286" spans="7:34" x14ac:dyDescent="0.25">
      <c r="G286" s="6">
        <f t="shared" si="30"/>
        <v>0</v>
      </c>
      <c r="H286">
        <f t="shared" si="33"/>
        <v>0</v>
      </c>
      <c r="U286" s="6">
        <f t="shared" si="31"/>
        <v>0</v>
      </c>
      <c r="V286">
        <f t="shared" si="34"/>
        <v>0</v>
      </c>
      <c r="AG286" s="6">
        <f t="shared" si="32"/>
        <v>0</v>
      </c>
      <c r="AH286">
        <f t="shared" si="35"/>
        <v>0</v>
      </c>
    </row>
    <row r="287" spans="7:34" x14ac:dyDescent="0.25">
      <c r="G287" s="6">
        <f t="shared" si="30"/>
        <v>0</v>
      </c>
      <c r="H287">
        <f t="shared" si="33"/>
        <v>0</v>
      </c>
      <c r="U287" s="6">
        <f t="shared" si="31"/>
        <v>0</v>
      </c>
      <c r="V287">
        <f t="shared" si="34"/>
        <v>0</v>
      </c>
      <c r="AG287" s="6">
        <f t="shared" si="32"/>
        <v>0</v>
      </c>
      <c r="AH287">
        <f t="shared" si="35"/>
        <v>0</v>
      </c>
    </row>
    <row r="288" spans="7:34" x14ac:dyDescent="0.25">
      <c r="G288" s="6">
        <f t="shared" si="30"/>
        <v>0</v>
      </c>
      <c r="H288">
        <f t="shared" si="33"/>
        <v>0</v>
      </c>
      <c r="U288" s="6">
        <f t="shared" si="31"/>
        <v>0</v>
      </c>
      <c r="V288">
        <f t="shared" si="34"/>
        <v>0</v>
      </c>
      <c r="AG288" s="6">
        <f t="shared" si="32"/>
        <v>0</v>
      </c>
      <c r="AH288">
        <f t="shared" si="35"/>
        <v>0</v>
      </c>
    </row>
    <row r="289" spans="3:34" x14ac:dyDescent="0.25">
      <c r="C289">
        <v>1</v>
      </c>
      <c r="D289">
        <v>0</v>
      </c>
      <c r="G289" s="6">
        <f t="shared" si="30"/>
        <v>0</v>
      </c>
      <c r="H289">
        <f t="shared" si="33"/>
        <v>0</v>
      </c>
      <c r="U289" s="6">
        <f t="shared" si="31"/>
        <v>0</v>
      </c>
      <c r="V289">
        <f t="shared" si="34"/>
        <v>0</v>
      </c>
      <c r="AA289">
        <v>16</v>
      </c>
      <c r="AB289">
        <v>1</v>
      </c>
      <c r="AC289">
        <v>1</v>
      </c>
      <c r="AD289">
        <v>0</v>
      </c>
      <c r="AG289" s="6">
        <f t="shared" si="32"/>
        <v>0</v>
      </c>
      <c r="AH289">
        <f t="shared" si="35"/>
        <v>0</v>
      </c>
    </row>
    <row r="290" spans="3:34" x14ac:dyDescent="0.25">
      <c r="G290" s="6">
        <f t="shared" si="30"/>
        <v>0</v>
      </c>
      <c r="H290">
        <f t="shared" si="33"/>
        <v>0</v>
      </c>
      <c r="U290" s="6">
        <f t="shared" si="31"/>
        <v>0</v>
      </c>
      <c r="V290">
        <f t="shared" si="34"/>
        <v>0</v>
      </c>
      <c r="AA290" s="35">
        <v>500</v>
      </c>
      <c r="AB290">
        <v>3</v>
      </c>
      <c r="AC290">
        <v>13</v>
      </c>
      <c r="AD290">
        <v>11</v>
      </c>
      <c r="AG290" s="6">
        <f t="shared" si="32"/>
        <v>11</v>
      </c>
      <c r="AH290">
        <f t="shared" si="35"/>
        <v>16500</v>
      </c>
    </row>
    <row r="291" spans="3:34" x14ac:dyDescent="0.25">
      <c r="G291" s="6">
        <f t="shared" si="30"/>
        <v>0</v>
      </c>
      <c r="H291">
        <f t="shared" si="33"/>
        <v>0</v>
      </c>
      <c r="U291" s="6">
        <f t="shared" si="31"/>
        <v>0</v>
      </c>
      <c r="V291">
        <f t="shared" si="34"/>
        <v>0</v>
      </c>
      <c r="AA291">
        <v>500</v>
      </c>
      <c r="AB291">
        <v>1</v>
      </c>
      <c r="AC291" s="10">
        <v>999</v>
      </c>
      <c r="AD291">
        <v>999</v>
      </c>
      <c r="AG291" s="6">
        <f t="shared" si="32"/>
        <v>999</v>
      </c>
    </row>
    <row r="292" spans="3:34" x14ac:dyDescent="0.25">
      <c r="G292" s="6">
        <f t="shared" si="30"/>
        <v>0</v>
      </c>
      <c r="H292">
        <f t="shared" si="33"/>
        <v>0</v>
      </c>
      <c r="U292" s="6">
        <f t="shared" si="31"/>
        <v>0</v>
      </c>
      <c r="V292">
        <f t="shared" si="34"/>
        <v>0</v>
      </c>
      <c r="AA292">
        <v>2000</v>
      </c>
      <c r="AB292">
        <v>1</v>
      </c>
      <c r="AC292" s="25">
        <v>999</v>
      </c>
      <c r="AD292">
        <v>8</v>
      </c>
      <c r="AG292" s="6">
        <f t="shared" si="32"/>
        <v>8</v>
      </c>
      <c r="AH292">
        <f t="shared" si="35"/>
        <v>16000</v>
      </c>
    </row>
    <row r="293" spans="3:34" x14ac:dyDescent="0.25">
      <c r="G293" s="6">
        <f t="shared" si="30"/>
        <v>0</v>
      </c>
      <c r="H293">
        <f t="shared" si="33"/>
        <v>0</v>
      </c>
      <c r="U293" s="6">
        <f t="shared" si="31"/>
        <v>0</v>
      </c>
      <c r="V293">
        <f t="shared" si="34"/>
        <v>0</v>
      </c>
      <c r="AC293" s="25">
        <v>999</v>
      </c>
      <c r="AD293">
        <v>3</v>
      </c>
      <c r="AG293" s="6">
        <f t="shared" si="32"/>
        <v>3</v>
      </c>
      <c r="AH293">
        <f t="shared" si="35"/>
        <v>0</v>
      </c>
    </row>
    <row r="294" spans="3:34" x14ac:dyDescent="0.25">
      <c r="G294" s="6">
        <f t="shared" si="30"/>
        <v>0</v>
      </c>
      <c r="H294">
        <f t="shared" si="33"/>
        <v>0</v>
      </c>
      <c r="U294" s="6">
        <f t="shared" si="31"/>
        <v>0</v>
      </c>
      <c r="V294">
        <f t="shared" si="34"/>
        <v>0</v>
      </c>
      <c r="AA294">
        <v>500</v>
      </c>
      <c r="AB294">
        <v>3</v>
      </c>
      <c r="AC294">
        <v>5</v>
      </c>
      <c r="AD294">
        <v>4</v>
      </c>
      <c r="AG294" s="6">
        <f t="shared" si="32"/>
        <v>4</v>
      </c>
      <c r="AH294">
        <f t="shared" si="35"/>
        <v>6000</v>
      </c>
    </row>
    <row r="295" spans="3:34" x14ac:dyDescent="0.25">
      <c r="G295" s="6">
        <f t="shared" si="30"/>
        <v>0</v>
      </c>
      <c r="H295">
        <f t="shared" si="33"/>
        <v>0</v>
      </c>
      <c r="U295" s="6">
        <f t="shared" si="31"/>
        <v>0</v>
      </c>
      <c r="V295">
        <f t="shared" si="34"/>
        <v>0</v>
      </c>
      <c r="AC295" s="14">
        <v>1</v>
      </c>
      <c r="AD295">
        <v>1</v>
      </c>
      <c r="AG295" s="6">
        <f t="shared" si="32"/>
        <v>1</v>
      </c>
      <c r="AH295">
        <f t="shared" si="35"/>
        <v>0</v>
      </c>
    </row>
    <row r="296" spans="3:34" x14ac:dyDescent="0.25">
      <c r="AA296">
        <v>500</v>
      </c>
      <c r="AB296">
        <v>1</v>
      </c>
      <c r="AC296">
        <v>5</v>
      </c>
      <c r="AD296">
        <v>1</v>
      </c>
      <c r="AG296" s="6">
        <f t="shared" si="32"/>
        <v>1</v>
      </c>
      <c r="AH296">
        <f t="shared" si="35"/>
        <v>500</v>
      </c>
    </row>
    <row r="297" spans="3:34" x14ac:dyDescent="0.25">
      <c r="AA297">
        <v>1000</v>
      </c>
      <c r="AB297">
        <v>1</v>
      </c>
      <c r="AC297">
        <v>3</v>
      </c>
      <c r="AD297">
        <v>2</v>
      </c>
      <c r="AG297" s="6">
        <f t="shared" si="32"/>
        <v>2</v>
      </c>
      <c r="AH297">
        <f t="shared" si="35"/>
        <v>2000</v>
      </c>
    </row>
    <row r="298" spans="3:34" x14ac:dyDescent="0.25">
      <c r="AC298" s="25">
        <v>999</v>
      </c>
      <c r="AG298" s="6">
        <f t="shared" si="32"/>
        <v>999</v>
      </c>
      <c r="AH298">
        <f t="shared" si="35"/>
        <v>0</v>
      </c>
    </row>
    <row r="299" spans="3:34" x14ac:dyDescent="0.25">
      <c r="AA299">
        <v>1000</v>
      </c>
      <c r="AB299">
        <v>4</v>
      </c>
      <c r="AC299">
        <v>4</v>
      </c>
      <c r="AD299">
        <v>6</v>
      </c>
      <c r="AG299" s="6">
        <f t="shared" si="32"/>
        <v>4</v>
      </c>
      <c r="AH299">
        <f t="shared" si="35"/>
        <v>16000</v>
      </c>
    </row>
    <row r="300" spans="3:34" x14ac:dyDescent="0.25">
      <c r="AA300">
        <v>500</v>
      </c>
      <c r="AB300">
        <v>2</v>
      </c>
      <c r="AC300">
        <v>6</v>
      </c>
      <c r="AD300">
        <v>5</v>
      </c>
      <c r="AG300" s="6">
        <f t="shared" si="32"/>
        <v>5</v>
      </c>
      <c r="AH300">
        <f t="shared" si="35"/>
        <v>5000</v>
      </c>
    </row>
    <row r="301" spans="3:34" x14ac:dyDescent="0.25">
      <c r="AA301">
        <v>4000</v>
      </c>
      <c r="AB301">
        <v>1</v>
      </c>
      <c r="AC301">
        <v>4</v>
      </c>
      <c r="AD301">
        <v>3</v>
      </c>
      <c r="AG301" s="6">
        <f t="shared" si="32"/>
        <v>3</v>
      </c>
      <c r="AH301">
        <f t="shared" si="35"/>
        <v>12000</v>
      </c>
    </row>
    <row r="302" spans="3:34" x14ac:dyDescent="0.25">
      <c r="AA302">
        <v>500</v>
      </c>
      <c r="AB302">
        <v>1</v>
      </c>
      <c r="AC302">
        <v>8</v>
      </c>
      <c r="AD302">
        <v>9</v>
      </c>
      <c r="AG302" s="6">
        <f t="shared" si="32"/>
        <v>8</v>
      </c>
      <c r="AH302">
        <f t="shared" si="35"/>
        <v>4000</v>
      </c>
    </row>
    <row r="303" spans="3:34" x14ac:dyDescent="0.25">
      <c r="AG303" s="6">
        <f t="shared" si="32"/>
        <v>0</v>
      </c>
      <c r="AH303">
        <f t="shared" si="35"/>
        <v>0</v>
      </c>
    </row>
    <row r="304" spans="3:34" x14ac:dyDescent="0.25">
      <c r="AA304">
        <v>500</v>
      </c>
      <c r="AB304">
        <v>3</v>
      </c>
      <c r="AC304">
        <v>7</v>
      </c>
      <c r="AD304">
        <v>6</v>
      </c>
      <c r="AG304" s="6">
        <f t="shared" si="32"/>
        <v>6</v>
      </c>
      <c r="AH304">
        <f t="shared" si="35"/>
        <v>9000</v>
      </c>
    </row>
    <row r="305" spans="27:34" x14ac:dyDescent="0.25">
      <c r="AA305">
        <v>1000</v>
      </c>
      <c r="AB305">
        <v>1</v>
      </c>
      <c r="AG305" s="6">
        <f t="shared" si="32"/>
        <v>0</v>
      </c>
      <c r="AH305">
        <f t="shared" si="35"/>
        <v>0</v>
      </c>
    </row>
    <row r="306" spans="27:34" x14ac:dyDescent="0.25">
      <c r="AA306">
        <v>1500</v>
      </c>
      <c r="AB306">
        <v>1</v>
      </c>
      <c r="AC306">
        <v>7</v>
      </c>
      <c r="AD306">
        <v>6</v>
      </c>
      <c r="AG306" s="6">
        <f t="shared" si="32"/>
        <v>6</v>
      </c>
      <c r="AH306">
        <f t="shared" si="35"/>
        <v>9000</v>
      </c>
    </row>
    <row r="307" spans="27:34" x14ac:dyDescent="0.25">
      <c r="AA307">
        <v>1500</v>
      </c>
      <c r="AB307">
        <v>1</v>
      </c>
      <c r="AC307">
        <v>13</v>
      </c>
      <c r="AD307">
        <v>13</v>
      </c>
      <c r="AG307" s="6">
        <f t="shared" si="32"/>
        <v>13</v>
      </c>
      <c r="AH307">
        <f t="shared" si="35"/>
        <v>19500</v>
      </c>
    </row>
    <row r="308" spans="27:34" x14ac:dyDescent="0.25">
      <c r="AA308">
        <v>2000</v>
      </c>
      <c r="AB308">
        <v>1</v>
      </c>
      <c r="AC308">
        <v>3</v>
      </c>
      <c r="AD308">
        <v>2</v>
      </c>
      <c r="AG308" s="6">
        <f>MIN(AC308,AD308)</f>
        <v>2</v>
      </c>
      <c r="AH308">
        <f t="shared" si="35"/>
        <v>4000</v>
      </c>
    </row>
    <row r="309" spans="27:34" x14ac:dyDescent="0.25">
      <c r="AG309" s="6">
        <f t="shared" si="32"/>
        <v>0</v>
      </c>
      <c r="AH309">
        <f t="shared" si="35"/>
        <v>0</v>
      </c>
    </row>
    <row r="310" spans="27:34" x14ac:dyDescent="0.25">
      <c r="AG310" s="6">
        <f t="shared" si="32"/>
        <v>0</v>
      </c>
      <c r="AH310">
        <f t="shared" si="35"/>
        <v>0</v>
      </c>
    </row>
    <row r="311" spans="27:34" x14ac:dyDescent="0.25">
      <c r="AG311" s="6">
        <f t="shared" si="32"/>
        <v>0</v>
      </c>
      <c r="AH311">
        <f t="shared" si="35"/>
        <v>0</v>
      </c>
    </row>
    <row r="312" spans="27:34" x14ac:dyDescent="0.25">
      <c r="AG312" s="6">
        <f t="shared" si="32"/>
        <v>0</v>
      </c>
      <c r="AH312">
        <f t="shared" si="35"/>
        <v>0</v>
      </c>
    </row>
    <row r="313" spans="27:34" x14ac:dyDescent="0.25">
      <c r="AG313" s="6">
        <f t="shared" si="32"/>
        <v>0</v>
      </c>
      <c r="AH313">
        <f t="shared" si="35"/>
        <v>0</v>
      </c>
    </row>
    <row r="314" spans="27:34" x14ac:dyDescent="0.25">
      <c r="AG314" s="6">
        <f t="shared" si="32"/>
        <v>0</v>
      </c>
      <c r="AH314">
        <f t="shared" si="35"/>
        <v>0</v>
      </c>
    </row>
    <row r="315" spans="27:34" x14ac:dyDescent="0.25">
      <c r="AG315" s="6">
        <f t="shared" si="32"/>
        <v>0</v>
      </c>
      <c r="AH315">
        <f t="shared" si="35"/>
        <v>0</v>
      </c>
    </row>
    <row r="316" spans="27:34" x14ac:dyDescent="0.25">
      <c r="AG316" s="6">
        <f t="shared" si="32"/>
        <v>0</v>
      </c>
      <c r="AH316">
        <f t="shared" si="35"/>
        <v>0</v>
      </c>
    </row>
    <row r="317" spans="27:34" x14ac:dyDescent="0.25">
      <c r="AG317" s="6">
        <f t="shared" si="32"/>
        <v>0</v>
      </c>
      <c r="AH317">
        <f t="shared" si="35"/>
        <v>0</v>
      </c>
    </row>
    <row r="318" spans="27:34" x14ac:dyDescent="0.25">
      <c r="AG318" s="6">
        <f t="shared" si="32"/>
        <v>0</v>
      </c>
      <c r="AH318">
        <f t="shared" si="35"/>
        <v>0</v>
      </c>
    </row>
    <row r="319" spans="27:34" x14ac:dyDescent="0.25">
      <c r="AG319" s="6">
        <f t="shared" si="32"/>
        <v>0</v>
      </c>
      <c r="AH319">
        <f t="shared" si="35"/>
        <v>0</v>
      </c>
    </row>
    <row r="320" spans="27:34" x14ac:dyDescent="0.25">
      <c r="AG320" s="6">
        <f t="shared" si="32"/>
        <v>0</v>
      </c>
      <c r="AH320">
        <f t="shared" si="35"/>
        <v>0</v>
      </c>
    </row>
    <row r="321" spans="27:34" x14ac:dyDescent="0.25">
      <c r="AG321" s="6">
        <f t="shared" si="32"/>
        <v>0</v>
      </c>
      <c r="AH321">
        <f t="shared" si="35"/>
        <v>0</v>
      </c>
    </row>
    <row r="322" spans="27:34" x14ac:dyDescent="0.25">
      <c r="AG322" s="6">
        <f t="shared" si="32"/>
        <v>0</v>
      </c>
      <c r="AH322">
        <f t="shared" si="35"/>
        <v>0</v>
      </c>
    </row>
    <row r="323" spans="27:34" x14ac:dyDescent="0.25">
      <c r="AG323" s="6">
        <f t="shared" si="32"/>
        <v>0</v>
      </c>
      <c r="AH323">
        <f t="shared" si="35"/>
        <v>0</v>
      </c>
    </row>
    <row r="324" spans="27:34" x14ac:dyDescent="0.25">
      <c r="AG324" s="6">
        <f t="shared" si="32"/>
        <v>0</v>
      </c>
      <c r="AH324">
        <f t="shared" si="35"/>
        <v>0</v>
      </c>
    </row>
    <row r="325" spans="27:34" x14ac:dyDescent="0.25">
      <c r="AG325" s="6">
        <f t="shared" si="32"/>
        <v>0</v>
      </c>
      <c r="AH325">
        <f t="shared" si="35"/>
        <v>0</v>
      </c>
    </row>
    <row r="326" spans="27:34" x14ac:dyDescent="0.25">
      <c r="AG326" s="6">
        <f t="shared" si="32"/>
        <v>0</v>
      </c>
      <c r="AH326">
        <f t="shared" si="35"/>
        <v>0</v>
      </c>
    </row>
    <row r="327" spans="27:34" x14ac:dyDescent="0.25">
      <c r="AA327">
        <v>500</v>
      </c>
      <c r="AB327">
        <v>3</v>
      </c>
      <c r="AC327">
        <v>4</v>
      </c>
      <c r="AG327" s="6">
        <f t="shared" si="32"/>
        <v>4</v>
      </c>
      <c r="AH327">
        <f t="shared" si="35"/>
        <v>6000</v>
      </c>
    </row>
    <row r="328" spans="27:34" x14ac:dyDescent="0.25">
      <c r="AA328">
        <v>1</v>
      </c>
      <c r="AB328">
        <v>1</v>
      </c>
      <c r="AC328">
        <v>2</v>
      </c>
      <c r="AD328">
        <v>1</v>
      </c>
      <c r="AG328" s="6">
        <f t="shared" ref="AG328:AG391" si="36">MIN(AC328,AD328)</f>
        <v>1</v>
      </c>
      <c r="AH328">
        <f t="shared" si="35"/>
        <v>1</v>
      </c>
    </row>
    <row r="329" spans="27:34" x14ac:dyDescent="0.25">
      <c r="AA329">
        <v>4000</v>
      </c>
      <c r="AB329">
        <v>1</v>
      </c>
      <c r="AC329">
        <v>5</v>
      </c>
      <c r="AD329">
        <v>4</v>
      </c>
      <c r="AG329" s="6">
        <f t="shared" si="36"/>
        <v>4</v>
      </c>
      <c r="AH329">
        <f t="shared" si="35"/>
        <v>16000</v>
      </c>
    </row>
    <row r="330" spans="27:34" x14ac:dyDescent="0.25">
      <c r="AA330">
        <v>7000</v>
      </c>
      <c r="AB330">
        <v>1</v>
      </c>
      <c r="AC330" s="25">
        <v>999</v>
      </c>
      <c r="AD330">
        <v>0</v>
      </c>
      <c r="AG330" s="6">
        <f t="shared" si="36"/>
        <v>0</v>
      </c>
      <c r="AH330">
        <f t="shared" si="35"/>
        <v>0</v>
      </c>
    </row>
    <row r="331" spans="27:34" x14ac:dyDescent="0.25">
      <c r="AG331" s="6">
        <f t="shared" si="36"/>
        <v>0</v>
      </c>
      <c r="AH331">
        <f t="shared" si="35"/>
        <v>0</v>
      </c>
    </row>
    <row r="332" spans="27:34" x14ac:dyDescent="0.25">
      <c r="AA332">
        <v>1000</v>
      </c>
      <c r="AB332">
        <v>1</v>
      </c>
      <c r="AC332" s="25">
        <v>999</v>
      </c>
      <c r="AD332">
        <v>0</v>
      </c>
      <c r="AG332" s="6">
        <f t="shared" si="36"/>
        <v>0</v>
      </c>
      <c r="AH332">
        <f t="shared" si="35"/>
        <v>0</v>
      </c>
    </row>
    <row r="333" spans="27:34" x14ac:dyDescent="0.25">
      <c r="AA333">
        <v>4000</v>
      </c>
      <c r="AB333">
        <v>1</v>
      </c>
      <c r="AC333" s="25">
        <v>999</v>
      </c>
      <c r="AD333">
        <v>4</v>
      </c>
      <c r="AG333" s="6">
        <f t="shared" si="36"/>
        <v>4</v>
      </c>
      <c r="AH333">
        <f t="shared" si="35"/>
        <v>16000</v>
      </c>
    </row>
    <row r="334" spans="27:34" x14ac:dyDescent="0.25">
      <c r="AA334">
        <v>500</v>
      </c>
      <c r="AB334">
        <v>1</v>
      </c>
      <c r="AC334">
        <v>6</v>
      </c>
      <c r="AD334">
        <v>8</v>
      </c>
      <c r="AG334" s="6">
        <f t="shared" si="36"/>
        <v>6</v>
      </c>
      <c r="AH334">
        <f t="shared" si="35"/>
        <v>3000</v>
      </c>
    </row>
    <row r="335" spans="27:34" x14ac:dyDescent="0.25">
      <c r="AC335">
        <v>5</v>
      </c>
      <c r="AD335">
        <v>3</v>
      </c>
      <c r="AG335" s="6">
        <f t="shared" si="36"/>
        <v>3</v>
      </c>
      <c r="AH335">
        <f t="shared" si="35"/>
        <v>0</v>
      </c>
    </row>
    <row r="336" spans="27:34" x14ac:dyDescent="0.25">
      <c r="AA336">
        <v>10000</v>
      </c>
      <c r="AB336">
        <v>1</v>
      </c>
      <c r="AC336">
        <v>2</v>
      </c>
      <c r="AD336">
        <v>2</v>
      </c>
      <c r="AG336" s="6">
        <f t="shared" si="36"/>
        <v>2</v>
      </c>
      <c r="AH336">
        <f t="shared" si="35"/>
        <v>20000</v>
      </c>
    </row>
    <row r="337" spans="15:34" x14ac:dyDescent="0.25">
      <c r="AA337">
        <v>7000</v>
      </c>
      <c r="AB337">
        <v>1</v>
      </c>
      <c r="AC337">
        <v>3</v>
      </c>
      <c r="AD337">
        <v>2</v>
      </c>
      <c r="AG337" s="6">
        <f t="shared" si="36"/>
        <v>2</v>
      </c>
      <c r="AH337">
        <f t="shared" si="35"/>
        <v>14000</v>
      </c>
    </row>
    <row r="338" spans="15:34" x14ac:dyDescent="0.25">
      <c r="AA338">
        <v>1500</v>
      </c>
      <c r="AB338">
        <v>1</v>
      </c>
      <c r="AC338">
        <v>999</v>
      </c>
      <c r="AG338" s="6">
        <f t="shared" si="36"/>
        <v>999</v>
      </c>
      <c r="AH338">
        <f t="shared" si="35"/>
        <v>1498500</v>
      </c>
    </row>
    <row r="339" spans="15:34" x14ac:dyDescent="0.25">
      <c r="O339">
        <v>400</v>
      </c>
      <c r="P339">
        <v>1</v>
      </c>
      <c r="Q339">
        <v>21</v>
      </c>
      <c r="R339">
        <v>10</v>
      </c>
      <c r="AA339">
        <v>1500</v>
      </c>
      <c r="AB339">
        <v>1</v>
      </c>
      <c r="AC339">
        <v>4</v>
      </c>
      <c r="AD339">
        <v>3</v>
      </c>
      <c r="AG339" s="6">
        <f t="shared" si="36"/>
        <v>3</v>
      </c>
      <c r="AH339">
        <f t="shared" si="35"/>
        <v>4500</v>
      </c>
    </row>
    <row r="340" spans="15:34" x14ac:dyDescent="0.25">
      <c r="AA340">
        <v>500</v>
      </c>
      <c r="AB340">
        <v>1</v>
      </c>
      <c r="AC340">
        <v>6</v>
      </c>
      <c r="AD340">
        <v>4</v>
      </c>
      <c r="AG340" s="6">
        <f t="shared" si="36"/>
        <v>4</v>
      </c>
      <c r="AH340">
        <f t="shared" si="35"/>
        <v>2000</v>
      </c>
    </row>
    <row r="341" spans="15:34" x14ac:dyDescent="0.25">
      <c r="AA341">
        <v>500</v>
      </c>
      <c r="AB341">
        <v>1</v>
      </c>
      <c r="AC341">
        <v>153</v>
      </c>
      <c r="AG341" s="6">
        <f t="shared" si="36"/>
        <v>153</v>
      </c>
      <c r="AH341">
        <f t="shared" si="35"/>
        <v>76500</v>
      </c>
    </row>
    <row r="342" spans="15:34" x14ac:dyDescent="0.25">
      <c r="AA342">
        <v>500</v>
      </c>
      <c r="AB342">
        <v>20</v>
      </c>
      <c r="AC342">
        <v>1</v>
      </c>
      <c r="AD342">
        <v>1</v>
      </c>
      <c r="AG342" s="6">
        <f t="shared" si="36"/>
        <v>1</v>
      </c>
      <c r="AH342">
        <f t="shared" si="35"/>
        <v>10000</v>
      </c>
    </row>
    <row r="343" spans="15:34" x14ac:dyDescent="0.25">
      <c r="AA343" s="37">
        <v>500</v>
      </c>
      <c r="AB343">
        <v>1</v>
      </c>
      <c r="AC343">
        <v>14</v>
      </c>
      <c r="AD343">
        <v>17</v>
      </c>
      <c r="AG343" s="6">
        <f t="shared" si="36"/>
        <v>14</v>
      </c>
      <c r="AH343">
        <f t="shared" si="35"/>
        <v>7000</v>
      </c>
    </row>
    <row r="344" spans="15:34" x14ac:dyDescent="0.25">
      <c r="AA344">
        <v>500</v>
      </c>
      <c r="AB344">
        <v>1</v>
      </c>
      <c r="AC344">
        <v>11</v>
      </c>
      <c r="AD344">
        <v>7</v>
      </c>
      <c r="AG344" s="6">
        <f t="shared" si="36"/>
        <v>7</v>
      </c>
      <c r="AH344">
        <f t="shared" ref="AH344:AH365" si="37">AA344*AB344*AG344</f>
        <v>3500</v>
      </c>
    </row>
    <row r="345" spans="15:34" x14ac:dyDescent="0.25">
      <c r="O345">
        <v>600</v>
      </c>
      <c r="P345">
        <v>3</v>
      </c>
      <c r="Q345">
        <v>330</v>
      </c>
      <c r="R345">
        <v>330</v>
      </c>
      <c r="AA345">
        <v>500</v>
      </c>
      <c r="AB345">
        <v>2</v>
      </c>
      <c r="AC345">
        <v>999</v>
      </c>
      <c r="AD345">
        <v>999</v>
      </c>
      <c r="AG345" s="6">
        <f t="shared" si="36"/>
        <v>999</v>
      </c>
      <c r="AH345">
        <f t="shared" si="37"/>
        <v>999000</v>
      </c>
    </row>
    <row r="346" spans="15:34" x14ac:dyDescent="0.25">
      <c r="AA346">
        <v>1000</v>
      </c>
      <c r="AB346">
        <v>1</v>
      </c>
      <c r="AC346">
        <v>36</v>
      </c>
      <c r="AD346">
        <v>37</v>
      </c>
      <c r="AG346" s="6">
        <f t="shared" si="36"/>
        <v>36</v>
      </c>
      <c r="AH346">
        <f t="shared" si="37"/>
        <v>36000</v>
      </c>
    </row>
    <row r="347" spans="15:34" x14ac:dyDescent="0.25">
      <c r="AA347">
        <v>1000</v>
      </c>
      <c r="AB347">
        <v>1</v>
      </c>
      <c r="AC347">
        <v>7</v>
      </c>
      <c r="AD347">
        <v>9</v>
      </c>
      <c r="AG347" s="6">
        <f t="shared" si="36"/>
        <v>7</v>
      </c>
      <c r="AH347">
        <f t="shared" si="37"/>
        <v>7000</v>
      </c>
    </row>
    <row r="348" spans="15:34" x14ac:dyDescent="0.25">
      <c r="AA348">
        <v>500</v>
      </c>
      <c r="AB348">
        <v>1</v>
      </c>
      <c r="AC348" s="25">
        <v>999</v>
      </c>
      <c r="AD348">
        <v>999</v>
      </c>
      <c r="AG348" s="6">
        <f t="shared" si="36"/>
        <v>999</v>
      </c>
      <c r="AH348">
        <f t="shared" si="37"/>
        <v>499500</v>
      </c>
    </row>
    <row r="349" spans="15:34" x14ac:dyDescent="0.25">
      <c r="AC349">
        <v>1</v>
      </c>
      <c r="AD349">
        <v>1</v>
      </c>
      <c r="AG349" s="6">
        <f t="shared" si="36"/>
        <v>1</v>
      </c>
      <c r="AH349">
        <f t="shared" si="37"/>
        <v>0</v>
      </c>
    </row>
    <row r="350" spans="15:34" x14ac:dyDescent="0.25">
      <c r="AC350">
        <v>6</v>
      </c>
      <c r="AG350" s="6">
        <f t="shared" si="36"/>
        <v>6</v>
      </c>
      <c r="AH350">
        <f t="shared" si="37"/>
        <v>0</v>
      </c>
    </row>
    <row r="351" spans="15:34" x14ac:dyDescent="0.25">
      <c r="AA351">
        <v>2</v>
      </c>
      <c r="AB351">
        <v>1</v>
      </c>
      <c r="AG351" s="6">
        <f t="shared" si="36"/>
        <v>0</v>
      </c>
      <c r="AH351">
        <f t="shared" si="37"/>
        <v>0</v>
      </c>
    </row>
    <row r="352" spans="15:34" x14ac:dyDescent="0.25">
      <c r="AA352">
        <v>500</v>
      </c>
      <c r="AC352">
        <v>18</v>
      </c>
      <c r="AD352">
        <v>20</v>
      </c>
      <c r="AG352" s="6">
        <f t="shared" si="36"/>
        <v>18</v>
      </c>
      <c r="AH352">
        <f t="shared" si="37"/>
        <v>0</v>
      </c>
    </row>
    <row r="353" spans="29:34" x14ac:dyDescent="0.25">
      <c r="AG353" s="6">
        <f t="shared" si="36"/>
        <v>0</v>
      </c>
      <c r="AH353">
        <f t="shared" si="37"/>
        <v>0</v>
      </c>
    </row>
    <row r="354" spans="29:34" x14ac:dyDescent="0.25">
      <c r="AC354">
        <v>92</v>
      </c>
      <c r="AD354">
        <v>92</v>
      </c>
      <c r="AG354" s="6">
        <f t="shared" si="36"/>
        <v>92</v>
      </c>
      <c r="AH354">
        <f t="shared" si="37"/>
        <v>0</v>
      </c>
    </row>
    <row r="355" spans="29:34" x14ac:dyDescent="0.25">
      <c r="AG355" s="6">
        <f t="shared" si="36"/>
        <v>0</v>
      </c>
      <c r="AH355">
        <f t="shared" si="37"/>
        <v>0</v>
      </c>
    </row>
    <row r="356" spans="29:34" x14ac:dyDescent="0.25">
      <c r="AG356" s="6">
        <f t="shared" si="36"/>
        <v>0</v>
      </c>
      <c r="AH356">
        <f t="shared" si="37"/>
        <v>0</v>
      </c>
    </row>
    <row r="357" spans="29:34" x14ac:dyDescent="0.25">
      <c r="AG357" s="6">
        <f t="shared" si="36"/>
        <v>0</v>
      </c>
      <c r="AH357">
        <f t="shared" si="37"/>
        <v>0</v>
      </c>
    </row>
    <row r="358" spans="29:34" x14ac:dyDescent="0.25">
      <c r="AG358" s="6">
        <f t="shared" si="36"/>
        <v>0</v>
      </c>
      <c r="AH358">
        <f t="shared" si="37"/>
        <v>0</v>
      </c>
    </row>
    <row r="359" spans="29:34" x14ac:dyDescent="0.25">
      <c r="AG359" s="6">
        <f t="shared" si="36"/>
        <v>0</v>
      </c>
      <c r="AH359">
        <f t="shared" si="37"/>
        <v>0</v>
      </c>
    </row>
    <row r="360" spans="29:34" x14ac:dyDescent="0.25">
      <c r="AG360" s="6">
        <f t="shared" si="36"/>
        <v>0</v>
      </c>
      <c r="AH360">
        <f t="shared" si="37"/>
        <v>0</v>
      </c>
    </row>
    <row r="361" spans="29:34" x14ac:dyDescent="0.25">
      <c r="AG361" s="6">
        <f t="shared" si="36"/>
        <v>0</v>
      </c>
      <c r="AH361">
        <f t="shared" si="37"/>
        <v>0</v>
      </c>
    </row>
    <row r="362" spans="29:34" x14ac:dyDescent="0.25">
      <c r="AG362" s="6">
        <f t="shared" si="36"/>
        <v>0</v>
      </c>
      <c r="AH362">
        <f t="shared" si="37"/>
        <v>0</v>
      </c>
    </row>
    <row r="363" spans="29:34" x14ac:dyDescent="0.25">
      <c r="AG363" s="6">
        <f t="shared" si="36"/>
        <v>0</v>
      </c>
      <c r="AH363">
        <f t="shared" si="37"/>
        <v>0</v>
      </c>
    </row>
    <row r="364" spans="29:34" x14ac:dyDescent="0.25">
      <c r="AG364" s="6">
        <f t="shared" si="36"/>
        <v>0</v>
      </c>
      <c r="AH364">
        <f t="shared" si="37"/>
        <v>0</v>
      </c>
    </row>
    <row r="365" spans="29:34" x14ac:dyDescent="0.25">
      <c r="AG365" s="6">
        <f t="shared" si="36"/>
        <v>0</v>
      </c>
      <c r="AH365">
        <f t="shared" si="37"/>
        <v>0</v>
      </c>
    </row>
    <row r="366" spans="29:34" x14ac:dyDescent="0.25">
      <c r="AG366" s="6">
        <f t="shared" si="36"/>
        <v>0</v>
      </c>
    </row>
    <row r="367" spans="29:34" x14ac:dyDescent="0.25">
      <c r="AG367" s="6">
        <f t="shared" si="36"/>
        <v>0</v>
      </c>
    </row>
    <row r="368" spans="29:34" x14ac:dyDescent="0.25">
      <c r="AG368" s="6">
        <f t="shared" si="36"/>
        <v>0</v>
      </c>
    </row>
    <row r="369" spans="33:33" x14ac:dyDescent="0.25">
      <c r="AG369" s="6">
        <f t="shared" si="36"/>
        <v>0</v>
      </c>
    </row>
    <row r="370" spans="33:33" x14ac:dyDescent="0.25">
      <c r="AG370" s="6">
        <f t="shared" si="36"/>
        <v>0</v>
      </c>
    </row>
    <row r="371" spans="33:33" x14ac:dyDescent="0.25">
      <c r="AG371" s="6">
        <f t="shared" si="36"/>
        <v>0</v>
      </c>
    </row>
    <row r="372" spans="33:33" x14ac:dyDescent="0.25">
      <c r="AG372" s="6">
        <f t="shared" si="36"/>
        <v>0</v>
      </c>
    </row>
    <row r="373" spans="33:33" x14ac:dyDescent="0.25">
      <c r="AG373" s="6">
        <f t="shared" si="36"/>
        <v>0</v>
      </c>
    </row>
    <row r="374" spans="33:33" x14ac:dyDescent="0.25">
      <c r="AG374" s="6">
        <f t="shared" si="36"/>
        <v>0</v>
      </c>
    </row>
    <row r="375" spans="33:33" x14ac:dyDescent="0.25">
      <c r="AG375" s="6">
        <f t="shared" si="36"/>
        <v>0</v>
      </c>
    </row>
    <row r="376" spans="33:33" x14ac:dyDescent="0.25">
      <c r="AG376" s="6">
        <f t="shared" si="36"/>
        <v>0</v>
      </c>
    </row>
    <row r="377" spans="33:33" x14ac:dyDescent="0.25">
      <c r="AG377" s="6">
        <f t="shared" si="36"/>
        <v>0</v>
      </c>
    </row>
    <row r="378" spans="33:33" x14ac:dyDescent="0.25">
      <c r="AG378" s="6">
        <f t="shared" si="36"/>
        <v>0</v>
      </c>
    </row>
    <row r="379" spans="33:33" x14ac:dyDescent="0.25">
      <c r="AG379" s="6">
        <f t="shared" si="36"/>
        <v>0</v>
      </c>
    </row>
    <row r="380" spans="33:33" x14ac:dyDescent="0.25">
      <c r="AG380" s="6">
        <f t="shared" si="36"/>
        <v>0</v>
      </c>
    </row>
    <row r="381" spans="33:33" x14ac:dyDescent="0.25">
      <c r="AG381" s="6">
        <f t="shared" si="36"/>
        <v>0</v>
      </c>
    </row>
    <row r="382" spans="33:33" x14ac:dyDescent="0.25">
      <c r="AG382" s="6">
        <f t="shared" si="36"/>
        <v>0</v>
      </c>
    </row>
    <row r="383" spans="33:33" x14ac:dyDescent="0.25">
      <c r="AG383" s="6">
        <f t="shared" si="36"/>
        <v>0</v>
      </c>
    </row>
    <row r="384" spans="33:33" x14ac:dyDescent="0.25">
      <c r="AG384" s="6">
        <f t="shared" si="36"/>
        <v>0</v>
      </c>
    </row>
    <row r="385" spans="33:33" x14ac:dyDescent="0.25">
      <c r="AG385" s="6">
        <f t="shared" si="36"/>
        <v>0</v>
      </c>
    </row>
    <row r="386" spans="33:33" x14ac:dyDescent="0.25">
      <c r="AG386" s="6">
        <f t="shared" si="36"/>
        <v>0</v>
      </c>
    </row>
    <row r="387" spans="33:33" x14ac:dyDescent="0.25">
      <c r="AG387" s="6">
        <f t="shared" si="36"/>
        <v>0</v>
      </c>
    </row>
    <row r="388" spans="33:33" x14ac:dyDescent="0.25">
      <c r="AG388" s="6">
        <f t="shared" si="36"/>
        <v>0</v>
      </c>
    </row>
    <row r="389" spans="33:33" x14ac:dyDescent="0.25">
      <c r="AG389" s="6">
        <f t="shared" si="36"/>
        <v>0</v>
      </c>
    </row>
    <row r="390" spans="33:33" x14ac:dyDescent="0.25">
      <c r="AG390" s="6">
        <f t="shared" si="36"/>
        <v>0</v>
      </c>
    </row>
    <row r="391" spans="33:33" x14ac:dyDescent="0.25">
      <c r="AG391" s="6">
        <f t="shared" si="36"/>
        <v>0</v>
      </c>
    </row>
    <row r="392" spans="33:33" x14ac:dyDescent="0.25">
      <c r="AG392" s="6">
        <f t="shared" ref="AG392:AG455" si="38">MIN(AC392,AD392)</f>
        <v>0</v>
      </c>
    </row>
    <row r="393" spans="33:33" x14ac:dyDescent="0.25">
      <c r="AG393" s="6">
        <f t="shared" si="38"/>
        <v>0</v>
      </c>
    </row>
    <row r="394" spans="33:33" x14ac:dyDescent="0.25">
      <c r="AG394" s="6">
        <f t="shared" si="38"/>
        <v>0</v>
      </c>
    </row>
    <row r="395" spans="33:33" x14ac:dyDescent="0.25">
      <c r="AG395" s="6">
        <f t="shared" si="38"/>
        <v>0</v>
      </c>
    </row>
    <row r="396" spans="33:33" x14ac:dyDescent="0.25">
      <c r="AG396" s="6">
        <f t="shared" si="38"/>
        <v>0</v>
      </c>
    </row>
    <row r="397" spans="33:33" x14ac:dyDescent="0.25">
      <c r="AG397" s="6">
        <f t="shared" si="38"/>
        <v>0</v>
      </c>
    </row>
    <row r="398" spans="33:33" x14ac:dyDescent="0.25">
      <c r="AG398" s="6">
        <f t="shared" si="38"/>
        <v>0</v>
      </c>
    </row>
    <row r="399" spans="33:33" x14ac:dyDescent="0.25">
      <c r="AG399" s="6">
        <f t="shared" si="38"/>
        <v>0</v>
      </c>
    </row>
    <row r="400" spans="33:33" x14ac:dyDescent="0.25">
      <c r="AG400" s="6">
        <f t="shared" si="38"/>
        <v>0</v>
      </c>
    </row>
    <row r="401" spans="33:33" x14ac:dyDescent="0.25">
      <c r="AG401" s="6">
        <f t="shared" si="38"/>
        <v>0</v>
      </c>
    </row>
    <row r="402" spans="33:33" x14ac:dyDescent="0.25">
      <c r="AG402" s="6">
        <f t="shared" si="38"/>
        <v>0</v>
      </c>
    </row>
    <row r="403" spans="33:33" x14ac:dyDescent="0.25">
      <c r="AG403" s="6">
        <f t="shared" si="38"/>
        <v>0</v>
      </c>
    </row>
    <row r="404" spans="33:33" x14ac:dyDescent="0.25">
      <c r="AG404" s="6">
        <f t="shared" si="38"/>
        <v>0</v>
      </c>
    </row>
    <row r="405" spans="33:33" x14ac:dyDescent="0.25">
      <c r="AG405" s="6">
        <f t="shared" si="38"/>
        <v>0</v>
      </c>
    </row>
    <row r="406" spans="33:33" x14ac:dyDescent="0.25">
      <c r="AG406" s="6">
        <f t="shared" si="38"/>
        <v>0</v>
      </c>
    </row>
    <row r="407" spans="33:33" x14ac:dyDescent="0.25">
      <c r="AG407" s="6">
        <f t="shared" si="38"/>
        <v>0</v>
      </c>
    </row>
    <row r="408" spans="33:33" x14ac:dyDescent="0.25">
      <c r="AG408" s="6">
        <f t="shared" si="38"/>
        <v>0</v>
      </c>
    </row>
    <row r="409" spans="33:33" x14ac:dyDescent="0.25">
      <c r="AG409" s="6">
        <f t="shared" si="38"/>
        <v>0</v>
      </c>
    </row>
    <row r="410" spans="33:33" x14ac:dyDescent="0.25">
      <c r="AG410" s="6">
        <f t="shared" si="38"/>
        <v>0</v>
      </c>
    </row>
    <row r="411" spans="33:33" x14ac:dyDescent="0.25">
      <c r="AG411" s="6">
        <f t="shared" si="38"/>
        <v>0</v>
      </c>
    </row>
    <row r="412" spans="33:33" x14ac:dyDescent="0.25">
      <c r="AG412" s="6">
        <f t="shared" si="38"/>
        <v>0</v>
      </c>
    </row>
    <row r="413" spans="33:33" x14ac:dyDescent="0.25">
      <c r="AG413" s="6">
        <f t="shared" si="38"/>
        <v>0</v>
      </c>
    </row>
    <row r="414" spans="33:33" x14ac:dyDescent="0.25">
      <c r="AG414" s="6">
        <f t="shared" si="38"/>
        <v>0</v>
      </c>
    </row>
    <row r="415" spans="33:33" x14ac:dyDescent="0.25">
      <c r="AG415" s="6">
        <f t="shared" si="38"/>
        <v>0</v>
      </c>
    </row>
    <row r="416" spans="33:33" x14ac:dyDescent="0.25">
      <c r="AG416" s="6">
        <f t="shared" si="38"/>
        <v>0</v>
      </c>
    </row>
    <row r="417" spans="33:33" x14ac:dyDescent="0.25">
      <c r="AG417" s="6">
        <f t="shared" si="38"/>
        <v>0</v>
      </c>
    </row>
    <row r="418" spans="33:33" x14ac:dyDescent="0.25">
      <c r="AG418" s="6">
        <f t="shared" si="38"/>
        <v>0</v>
      </c>
    </row>
    <row r="419" spans="33:33" x14ac:dyDescent="0.25">
      <c r="AG419" s="6">
        <f t="shared" si="38"/>
        <v>0</v>
      </c>
    </row>
    <row r="420" spans="33:33" x14ac:dyDescent="0.25">
      <c r="AG420" s="6">
        <f t="shared" si="38"/>
        <v>0</v>
      </c>
    </row>
    <row r="421" spans="33:33" x14ac:dyDescent="0.25">
      <c r="AG421" s="6">
        <f t="shared" si="38"/>
        <v>0</v>
      </c>
    </row>
    <row r="422" spans="33:33" x14ac:dyDescent="0.25">
      <c r="AG422" s="6">
        <f t="shared" si="38"/>
        <v>0</v>
      </c>
    </row>
    <row r="423" spans="33:33" x14ac:dyDescent="0.25">
      <c r="AG423" s="6">
        <f t="shared" si="38"/>
        <v>0</v>
      </c>
    </row>
    <row r="424" spans="33:33" x14ac:dyDescent="0.25">
      <c r="AG424" s="6">
        <f t="shared" si="38"/>
        <v>0</v>
      </c>
    </row>
    <row r="425" spans="33:33" x14ac:dyDescent="0.25">
      <c r="AG425" s="6">
        <f t="shared" si="38"/>
        <v>0</v>
      </c>
    </row>
    <row r="426" spans="33:33" x14ac:dyDescent="0.25">
      <c r="AG426" s="6">
        <f t="shared" si="38"/>
        <v>0</v>
      </c>
    </row>
    <row r="427" spans="33:33" x14ac:dyDescent="0.25">
      <c r="AG427" s="6">
        <f t="shared" si="38"/>
        <v>0</v>
      </c>
    </row>
    <row r="428" spans="33:33" x14ac:dyDescent="0.25">
      <c r="AG428" s="6">
        <f t="shared" si="38"/>
        <v>0</v>
      </c>
    </row>
    <row r="429" spans="33:33" x14ac:dyDescent="0.25">
      <c r="AG429" s="6">
        <f t="shared" si="38"/>
        <v>0</v>
      </c>
    </row>
    <row r="430" spans="33:33" x14ac:dyDescent="0.25">
      <c r="AG430" s="6">
        <f t="shared" si="38"/>
        <v>0</v>
      </c>
    </row>
    <row r="431" spans="33:33" x14ac:dyDescent="0.25">
      <c r="AG431" s="6">
        <f t="shared" si="38"/>
        <v>0</v>
      </c>
    </row>
    <row r="432" spans="33:33" x14ac:dyDescent="0.25">
      <c r="AG432" s="6">
        <f t="shared" si="38"/>
        <v>0</v>
      </c>
    </row>
    <row r="433" spans="33:33" x14ac:dyDescent="0.25">
      <c r="AG433" s="6">
        <f t="shared" si="38"/>
        <v>0</v>
      </c>
    </row>
    <row r="434" spans="33:33" x14ac:dyDescent="0.25">
      <c r="AG434" s="6">
        <f t="shared" si="38"/>
        <v>0</v>
      </c>
    </row>
    <row r="435" spans="33:33" x14ac:dyDescent="0.25">
      <c r="AG435" s="6">
        <f t="shared" si="38"/>
        <v>0</v>
      </c>
    </row>
    <row r="436" spans="33:33" x14ac:dyDescent="0.25">
      <c r="AG436" s="6">
        <f t="shared" si="38"/>
        <v>0</v>
      </c>
    </row>
    <row r="437" spans="33:33" x14ac:dyDescent="0.25">
      <c r="AG437" s="6">
        <f t="shared" si="38"/>
        <v>0</v>
      </c>
    </row>
    <row r="438" spans="33:33" x14ac:dyDescent="0.25">
      <c r="AG438" s="6">
        <f t="shared" si="38"/>
        <v>0</v>
      </c>
    </row>
    <row r="439" spans="33:33" x14ac:dyDescent="0.25">
      <c r="AG439" s="6">
        <f t="shared" si="38"/>
        <v>0</v>
      </c>
    </row>
    <row r="440" spans="33:33" x14ac:dyDescent="0.25">
      <c r="AG440" s="6">
        <f t="shared" si="38"/>
        <v>0</v>
      </c>
    </row>
    <row r="441" spans="33:33" x14ac:dyDescent="0.25">
      <c r="AG441" s="6">
        <f t="shared" si="38"/>
        <v>0</v>
      </c>
    </row>
    <row r="442" spans="33:33" x14ac:dyDescent="0.25">
      <c r="AG442" s="6">
        <f t="shared" si="38"/>
        <v>0</v>
      </c>
    </row>
    <row r="443" spans="33:33" x14ac:dyDescent="0.25">
      <c r="AG443" s="6">
        <f t="shared" si="38"/>
        <v>0</v>
      </c>
    </row>
    <row r="444" spans="33:33" x14ac:dyDescent="0.25">
      <c r="AG444" s="6">
        <f t="shared" si="38"/>
        <v>0</v>
      </c>
    </row>
    <row r="445" spans="33:33" x14ac:dyDescent="0.25">
      <c r="AG445" s="6">
        <f t="shared" si="38"/>
        <v>0</v>
      </c>
    </row>
    <row r="446" spans="33:33" x14ac:dyDescent="0.25">
      <c r="AG446" s="6">
        <f t="shared" si="38"/>
        <v>0</v>
      </c>
    </row>
    <row r="447" spans="33:33" x14ac:dyDescent="0.25">
      <c r="AG447" s="6">
        <f t="shared" si="38"/>
        <v>0</v>
      </c>
    </row>
    <row r="448" spans="33:33" x14ac:dyDescent="0.25">
      <c r="AG448" s="6">
        <f t="shared" si="38"/>
        <v>0</v>
      </c>
    </row>
    <row r="449" spans="33:33" x14ac:dyDescent="0.25">
      <c r="AG449" s="6">
        <f t="shared" si="38"/>
        <v>0</v>
      </c>
    </row>
    <row r="450" spans="33:33" x14ac:dyDescent="0.25">
      <c r="AG450" s="6">
        <f t="shared" si="38"/>
        <v>0</v>
      </c>
    </row>
    <row r="451" spans="33:33" x14ac:dyDescent="0.25">
      <c r="AG451" s="6">
        <f t="shared" si="38"/>
        <v>0</v>
      </c>
    </row>
    <row r="452" spans="33:33" x14ac:dyDescent="0.25">
      <c r="AG452" s="6">
        <f t="shared" si="38"/>
        <v>0</v>
      </c>
    </row>
    <row r="453" spans="33:33" x14ac:dyDescent="0.25">
      <c r="AG453" s="6">
        <f t="shared" si="38"/>
        <v>0</v>
      </c>
    </row>
    <row r="454" spans="33:33" x14ac:dyDescent="0.25">
      <c r="AG454" s="6">
        <f t="shared" si="38"/>
        <v>0</v>
      </c>
    </row>
    <row r="455" spans="33:33" x14ac:dyDescent="0.25">
      <c r="AG455" s="6">
        <f t="shared" si="38"/>
        <v>0</v>
      </c>
    </row>
    <row r="456" spans="33:33" x14ac:dyDescent="0.25">
      <c r="AG456" s="6">
        <f t="shared" ref="AG456:AG512" si="39">MIN(AC456,AD456)</f>
        <v>0</v>
      </c>
    </row>
    <row r="457" spans="33:33" x14ac:dyDescent="0.25">
      <c r="AG457" s="6">
        <f t="shared" si="39"/>
        <v>0</v>
      </c>
    </row>
    <row r="458" spans="33:33" x14ac:dyDescent="0.25">
      <c r="AG458" s="6">
        <f t="shared" si="39"/>
        <v>0</v>
      </c>
    </row>
    <row r="459" spans="33:33" x14ac:dyDescent="0.25">
      <c r="AG459" s="6">
        <f t="shared" si="39"/>
        <v>0</v>
      </c>
    </row>
    <row r="460" spans="33:33" x14ac:dyDescent="0.25">
      <c r="AG460" s="6">
        <f t="shared" si="39"/>
        <v>0</v>
      </c>
    </row>
    <row r="461" spans="33:33" x14ac:dyDescent="0.25">
      <c r="AG461" s="6">
        <f t="shared" si="39"/>
        <v>0</v>
      </c>
    </row>
    <row r="462" spans="33:33" x14ac:dyDescent="0.25">
      <c r="AG462" s="6">
        <f t="shared" si="39"/>
        <v>0</v>
      </c>
    </row>
    <row r="463" spans="33:33" x14ac:dyDescent="0.25">
      <c r="AG463" s="6">
        <f t="shared" si="39"/>
        <v>0</v>
      </c>
    </row>
    <row r="464" spans="33:33" x14ac:dyDescent="0.25">
      <c r="AG464" s="6">
        <f t="shared" si="39"/>
        <v>0</v>
      </c>
    </row>
    <row r="465" spans="33:33" x14ac:dyDescent="0.25">
      <c r="AG465" s="6">
        <f t="shared" si="39"/>
        <v>0</v>
      </c>
    </row>
    <row r="466" spans="33:33" x14ac:dyDescent="0.25">
      <c r="AG466" s="6">
        <f t="shared" si="39"/>
        <v>0</v>
      </c>
    </row>
    <row r="467" spans="33:33" x14ac:dyDescent="0.25">
      <c r="AG467" s="6">
        <f t="shared" si="39"/>
        <v>0</v>
      </c>
    </row>
    <row r="468" spans="33:33" x14ac:dyDescent="0.25">
      <c r="AG468" s="6">
        <f t="shared" si="39"/>
        <v>0</v>
      </c>
    </row>
    <row r="469" spans="33:33" x14ac:dyDescent="0.25">
      <c r="AG469" s="6">
        <f t="shared" si="39"/>
        <v>0</v>
      </c>
    </row>
    <row r="470" spans="33:33" x14ac:dyDescent="0.25">
      <c r="AG470" s="6">
        <f t="shared" si="39"/>
        <v>0</v>
      </c>
    </row>
    <row r="471" spans="33:33" x14ac:dyDescent="0.25">
      <c r="AG471" s="6">
        <f t="shared" si="39"/>
        <v>0</v>
      </c>
    </row>
    <row r="472" spans="33:33" x14ac:dyDescent="0.25">
      <c r="AG472" s="6">
        <f t="shared" si="39"/>
        <v>0</v>
      </c>
    </row>
    <row r="473" spans="33:33" x14ac:dyDescent="0.25">
      <c r="AG473" s="6">
        <f t="shared" si="39"/>
        <v>0</v>
      </c>
    </row>
    <row r="474" spans="33:33" x14ac:dyDescent="0.25">
      <c r="AG474" s="6">
        <f t="shared" si="39"/>
        <v>0</v>
      </c>
    </row>
    <row r="475" spans="33:33" x14ac:dyDescent="0.25">
      <c r="AG475" s="6">
        <f t="shared" si="39"/>
        <v>0</v>
      </c>
    </row>
    <row r="476" spans="33:33" x14ac:dyDescent="0.25">
      <c r="AG476" s="6">
        <f t="shared" si="39"/>
        <v>0</v>
      </c>
    </row>
    <row r="477" spans="33:33" x14ac:dyDescent="0.25">
      <c r="AG477" s="6">
        <f t="shared" si="39"/>
        <v>0</v>
      </c>
    </row>
    <row r="478" spans="33:33" x14ac:dyDescent="0.25">
      <c r="AG478" s="6">
        <f t="shared" si="39"/>
        <v>0</v>
      </c>
    </row>
    <row r="479" spans="33:33" x14ac:dyDescent="0.25">
      <c r="AG479" s="6">
        <f t="shared" si="39"/>
        <v>0</v>
      </c>
    </row>
    <row r="480" spans="33:33" x14ac:dyDescent="0.25">
      <c r="AG480" s="6">
        <f t="shared" si="39"/>
        <v>0</v>
      </c>
    </row>
    <row r="481" spans="33:33" x14ac:dyDescent="0.25">
      <c r="AG481" s="6">
        <f t="shared" si="39"/>
        <v>0</v>
      </c>
    </row>
    <row r="482" spans="33:33" x14ac:dyDescent="0.25">
      <c r="AG482" s="6">
        <f t="shared" si="39"/>
        <v>0</v>
      </c>
    </row>
    <row r="483" spans="33:33" x14ac:dyDescent="0.25">
      <c r="AG483" s="6">
        <f t="shared" si="39"/>
        <v>0</v>
      </c>
    </row>
    <row r="484" spans="33:33" x14ac:dyDescent="0.25">
      <c r="AG484" s="6">
        <f t="shared" si="39"/>
        <v>0</v>
      </c>
    </row>
    <row r="485" spans="33:33" x14ac:dyDescent="0.25">
      <c r="AG485" s="6">
        <f t="shared" si="39"/>
        <v>0</v>
      </c>
    </row>
    <row r="486" spans="33:33" x14ac:dyDescent="0.25">
      <c r="AG486" s="6">
        <f t="shared" si="39"/>
        <v>0</v>
      </c>
    </row>
    <row r="487" spans="33:33" x14ac:dyDescent="0.25">
      <c r="AG487" s="6">
        <f t="shared" si="39"/>
        <v>0</v>
      </c>
    </row>
    <row r="488" spans="33:33" x14ac:dyDescent="0.25">
      <c r="AG488" s="6">
        <f t="shared" si="39"/>
        <v>0</v>
      </c>
    </row>
    <row r="489" spans="33:33" x14ac:dyDescent="0.25">
      <c r="AG489" s="6">
        <f t="shared" si="39"/>
        <v>0</v>
      </c>
    </row>
    <row r="490" spans="33:33" x14ac:dyDescent="0.25">
      <c r="AG490" s="6">
        <f t="shared" si="39"/>
        <v>0</v>
      </c>
    </row>
    <row r="491" spans="33:33" x14ac:dyDescent="0.25">
      <c r="AG491" s="6">
        <f t="shared" si="39"/>
        <v>0</v>
      </c>
    </row>
    <row r="492" spans="33:33" x14ac:dyDescent="0.25">
      <c r="AG492" s="6">
        <f t="shared" si="39"/>
        <v>0</v>
      </c>
    </row>
    <row r="493" spans="33:33" x14ac:dyDescent="0.25">
      <c r="AG493" s="6">
        <f t="shared" si="39"/>
        <v>0</v>
      </c>
    </row>
    <row r="494" spans="33:33" x14ac:dyDescent="0.25">
      <c r="AG494" s="6">
        <f t="shared" si="39"/>
        <v>0</v>
      </c>
    </row>
    <row r="495" spans="33:33" x14ac:dyDescent="0.25">
      <c r="AG495" s="6">
        <f t="shared" si="39"/>
        <v>0</v>
      </c>
    </row>
    <row r="496" spans="33:33" x14ac:dyDescent="0.25">
      <c r="AG496" s="6">
        <f t="shared" si="39"/>
        <v>0</v>
      </c>
    </row>
    <row r="497" spans="33:33" x14ac:dyDescent="0.25">
      <c r="AG497" s="6">
        <f t="shared" si="39"/>
        <v>0</v>
      </c>
    </row>
    <row r="498" spans="33:33" x14ac:dyDescent="0.25">
      <c r="AG498" s="6">
        <f t="shared" si="39"/>
        <v>0</v>
      </c>
    </row>
    <row r="499" spans="33:33" x14ac:dyDescent="0.25">
      <c r="AG499" s="6">
        <f t="shared" si="39"/>
        <v>0</v>
      </c>
    </row>
    <row r="500" spans="33:33" x14ac:dyDescent="0.25">
      <c r="AG500" s="6">
        <f t="shared" si="39"/>
        <v>0</v>
      </c>
    </row>
    <row r="501" spans="33:33" x14ac:dyDescent="0.25">
      <c r="AG501" s="6">
        <f t="shared" si="39"/>
        <v>0</v>
      </c>
    </row>
    <row r="502" spans="33:33" x14ac:dyDescent="0.25">
      <c r="AG502" s="6">
        <f t="shared" si="39"/>
        <v>0</v>
      </c>
    </row>
    <row r="503" spans="33:33" x14ac:dyDescent="0.25">
      <c r="AG503" s="6">
        <f t="shared" si="39"/>
        <v>0</v>
      </c>
    </row>
    <row r="504" spans="33:33" x14ac:dyDescent="0.25">
      <c r="AG504" s="6">
        <f t="shared" si="39"/>
        <v>0</v>
      </c>
    </row>
    <row r="505" spans="33:33" x14ac:dyDescent="0.25">
      <c r="AG505" s="6">
        <f t="shared" si="39"/>
        <v>0</v>
      </c>
    </row>
    <row r="506" spans="33:33" x14ac:dyDescent="0.25">
      <c r="AG506" s="6">
        <f t="shared" si="39"/>
        <v>0</v>
      </c>
    </row>
    <row r="507" spans="33:33" x14ac:dyDescent="0.25">
      <c r="AG507" s="6">
        <f t="shared" si="39"/>
        <v>0</v>
      </c>
    </row>
    <row r="508" spans="33:33" x14ac:dyDescent="0.25">
      <c r="AG508" s="6">
        <f t="shared" si="39"/>
        <v>0</v>
      </c>
    </row>
    <row r="509" spans="33:33" x14ac:dyDescent="0.25">
      <c r="AG509" s="6">
        <f t="shared" si="39"/>
        <v>0</v>
      </c>
    </row>
    <row r="510" spans="33:33" x14ac:dyDescent="0.25">
      <c r="AG510" s="6">
        <f t="shared" si="39"/>
        <v>0</v>
      </c>
    </row>
    <row r="511" spans="33:33" x14ac:dyDescent="0.25">
      <c r="AG511" s="6">
        <f t="shared" si="39"/>
        <v>0</v>
      </c>
    </row>
    <row r="512" spans="33:33" x14ac:dyDescent="0.25">
      <c r="AG512" s="6">
        <f t="shared" si="39"/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3"/>
  <sheetViews>
    <sheetView topLeftCell="A437" workbookViewId="0">
      <selection activeCell="G480" sqref="G480"/>
    </sheetView>
  </sheetViews>
  <sheetFormatPr baseColWidth="10" defaultRowHeight="15" x14ac:dyDescent="0.25"/>
  <sheetData>
    <row r="1" spans="1:5" ht="60" x14ac:dyDescent="0.25">
      <c r="A1" s="27" t="s">
        <v>0</v>
      </c>
      <c r="B1" s="27" t="s">
        <v>467</v>
      </c>
      <c r="C1" s="27" t="s">
        <v>468</v>
      </c>
      <c r="D1" s="28" t="s">
        <v>469</v>
      </c>
    </row>
    <row r="5" spans="1:5" x14ac:dyDescent="0.25">
      <c r="A5" s="21" t="s">
        <v>470</v>
      </c>
    </row>
    <row r="6" spans="1:5" x14ac:dyDescent="0.25">
      <c r="A6" s="21">
        <v>92900215</v>
      </c>
      <c r="B6" t="s">
        <v>58</v>
      </c>
      <c r="C6" t="s">
        <v>58</v>
      </c>
      <c r="E6" t="s">
        <v>471</v>
      </c>
    </row>
    <row r="7" spans="1:5" x14ac:dyDescent="0.25">
      <c r="A7">
        <v>92008030</v>
      </c>
      <c r="B7" t="s">
        <v>58</v>
      </c>
      <c r="C7" t="s">
        <v>58</v>
      </c>
    </row>
    <row r="8" spans="1:5" x14ac:dyDescent="0.25">
      <c r="A8">
        <v>92008032</v>
      </c>
      <c r="B8" t="s">
        <v>58</v>
      </c>
      <c r="C8" t="s">
        <v>58</v>
      </c>
    </row>
    <row r="9" spans="1:5" x14ac:dyDescent="0.25">
      <c r="A9">
        <v>92900655</v>
      </c>
      <c r="B9" t="s">
        <v>58</v>
      </c>
      <c r="C9" t="s">
        <v>58</v>
      </c>
    </row>
    <row r="10" spans="1:5" x14ac:dyDescent="0.25">
      <c r="A10">
        <v>93004890</v>
      </c>
      <c r="B10" t="s">
        <v>58</v>
      </c>
      <c r="C10" t="s">
        <v>58</v>
      </c>
    </row>
    <row r="11" spans="1:5" x14ac:dyDescent="0.25">
      <c r="A11">
        <v>93004891</v>
      </c>
      <c r="B11" t="s">
        <v>58</v>
      </c>
      <c r="C11" t="s">
        <v>58</v>
      </c>
    </row>
    <row r="12" spans="1:5" x14ac:dyDescent="0.25">
      <c r="A12">
        <v>93011025</v>
      </c>
      <c r="B12" t="s">
        <v>58</v>
      </c>
      <c r="C12" t="s">
        <v>58</v>
      </c>
    </row>
    <row r="13" spans="1:5" x14ac:dyDescent="0.25">
      <c r="A13">
        <v>93011100</v>
      </c>
      <c r="B13" t="s">
        <v>58</v>
      </c>
      <c r="C13" t="s">
        <v>58</v>
      </c>
    </row>
    <row r="14" spans="1:5" x14ac:dyDescent="0.25">
      <c r="A14">
        <v>95003071</v>
      </c>
      <c r="B14" t="s">
        <v>58</v>
      </c>
      <c r="C14" t="s">
        <v>58</v>
      </c>
    </row>
    <row r="15" spans="1:5" x14ac:dyDescent="0.25">
      <c r="A15">
        <v>95900243</v>
      </c>
      <c r="B15" t="s">
        <v>58</v>
      </c>
      <c r="C15" t="s">
        <v>58</v>
      </c>
    </row>
    <row r="16" spans="1:5" x14ac:dyDescent="0.25">
      <c r="A16">
        <v>95901189</v>
      </c>
      <c r="B16" t="s">
        <v>58</v>
      </c>
      <c r="C16" t="s">
        <v>58</v>
      </c>
    </row>
    <row r="17" spans="1:4" x14ac:dyDescent="0.25">
      <c r="A17">
        <v>95005911</v>
      </c>
      <c r="B17" s="29" t="s">
        <v>58</v>
      </c>
      <c r="C17" s="29" t="s">
        <v>58</v>
      </c>
      <c r="D17" s="29" t="s">
        <v>472</v>
      </c>
    </row>
    <row r="18" spans="1:4" x14ac:dyDescent="0.25">
      <c r="A18">
        <v>95005913</v>
      </c>
      <c r="B18" t="s">
        <v>58</v>
      </c>
      <c r="C18" t="s">
        <v>58</v>
      </c>
    </row>
    <row r="19" spans="1:4" x14ac:dyDescent="0.25">
      <c r="A19">
        <v>95005914</v>
      </c>
      <c r="B19" t="s">
        <v>58</v>
      </c>
      <c r="C19" t="s">
        <v>58</v>
      </c>
    </row>
    <row r="20" spans="1:4" x14ac:dyDescent="0.25">
      <c r="A20">
        <v>95005917</v>
      </c>
      <c r="B20" t="s">
        <v>58</v>
      </c>
      <c r="C20" t="s">
        <v>58</v>
      </c>
    </row>
    <row r="21" spans="1:4" x14ac:dyDescent="0.25">
      <c r="A21">
        <v>96900246</v>
      </c>
      <c r="B21" t="s">
        <v>58</v>
      </c>
      <c r="C21" t="s">
        <v>58</v>
      </c>
    </row>
    <row r="22" spans="1:4" x14ac:dyDescent="0.25">
      <c r="A22">
        <v>96005154</v>
      </c>
      <c r="B22" t="s">
        <v>58</v>
      </c>
      <c r="C22" t="s">
        <v>58</v>
      </c>
    </row>
    <row r="23" spans="1:4" x14ac:dyDescent="0.25">
      <c r="A23">
        <v>96008197</v>
      </c>
      <c r="B23" t="s">
        <v>58</v>
      </c>
      <c r="C23" t="s">
        <v>58</v>
      </c>
    </row>
    <row r="24" spans="1:4" x14ac:dyDescent="0.25">
      <c r="A24">
        <v>96016514</v>
      </c>
      <c r="B24" t="s">
        <v>58</v>
      </c>
      <c r="C24" t="s">
        <v>58</v>
      </c>
    </row>
    <row r="25" spans="1:4" x14ac:dyDescent="0.25">
      <c r="A25">
        <v>96016515</v>
      </c>
      <c r="B25" t="s">
        <v>58</v>
      </c>
      <c r="C25" t="s">
        <v>58</v>
      </c>
    </row>
    <row r="26" spans="1:4" x14ac:dyDescent="0.25">
      <c r="A26">
        <v>96016528</v>
      </c>
      <c r="B26" t="s">
        <v>58</v>
      </c>
      <c r="C26" t="s">
        <v>58</v>
      </c>
    </row>
    <row r="27" spans="1:4" x14ac:dyDescent="0.25">
      <c r="A27">
        <v>97000100</v>
      </c>
      <c r="B27" t="s">
        <v>58</v>
      </c>
      <c r="C27" t="s">
        <v>58</v>
      </c>
    </row>
    <row r="28" spans="1:4" x14ac:dyDescent="0.25">
      <c r="A28">
        <v>97000116</v>
      </c>
      <c r="B28" t="s">
        <v>58</v>
      </c>
      <c r="C28" t="s">
        <v>58</v>
      </c>
    </row>
    <row r="29" spans="1:4" x14ac:dyDescent="0.25">
      <c r="A29">
        <v>97001411</v>
      </c>
      <c r="B29" t="s">
        <v>58</v>
      </c>
      <c r="C29" t="s">
        <v>58</v>
      </c>
    </row>
    <row r="30" spans="1:4" x14ac:dyDescent="0.25">
      <c r="A30">
        <v>97002136</v>
      </c>
      <c r="B30" s="29" t="s">
        <v>58</v>
      </c>
      <c r="C30" s="29" t="s">
        <v>58</v>
      </c>
      <c r="D30" s="29" t="s">
        <v>472</v>
      </c>
    </row>
    <row r="31" spans="1:4" x14ac:dyDescent="0.25">
      <c r="A31">
        <v>97006279</v>
      </c>
      <c r="B31" t="s">
        <v>58</v>
      </c>
      <c r="C31" t="s">
        <v>58</v>
      </c>
    </row>
    <row r="32" spans="1:4" x14ac:dyDescent="0.25">
      <c r="A32">
        <v>97006351</v>
      </c>
      <c r="B32" t="s">
        <v>58</v>
      </c>
      <c r="C32" t="s">
        <v>58</v>
      </c>
    </row>
    <row r="33" spans="1:4" x14ac:dyDescent="0.25">
      <c r="A33">
        <v>98000010</v>
      </c>
      <c r="B33" t="s">
        <v>58</v>
      </c>
      <c r="C33" t="s">
        <v>58</v>
      </c>
    </row>
    <row r="34" spans="1:4" x14ac:dyDescent="0.25">
      <c r="A34">
        <v>98003748</v>
      </c>
      <c r="B34" t="s">
        <v>58</v>
      </c>
      <c r="C34" t="s">
        <v>58</v>
      </c>
    </row>
    <row r="35" spans="1:4" x14ac:dyDescent="0.25">
      <c r="A35">
        <v>98005926</v>
      </c>
      <c r="B35" t="s">
        <v>58</v>
      </c>
      <c r="C35" t="s">
        <v>58</v>
      </c>
    </row>
    <row r="36" spans="1:4" x14ac:dyDescent="0.25">
      <c r="A36">
        <v>98006992</v>
      </c>
      <c r="B36" t="s">
        <v>58</v>
      </c>
      <c r="C36" t="s">
        <v>58</v>
      </c>
    </row>
    <row r="37" spans="1:4" x14ac:dyDescent="0.25">
      <c r="A37">
        <v>98006993</v>
      </c>
      <c r="B37" t="s">
        <v>58</v>
      </c>
      <c r="C37" t="s">
        <v>58</v>
      </c>
    </row>
    <row r="38" spans="1:4" x14ac:dyDescent="0.25">
      <c r="A38">
        <v>98006997</v>
      </c>
      <c r="B38" t="s">
        <v>58</v>
      </c>
      <c r="C38" t="s">
        <v>58</v>
      </c>
    </row>
    <row r="39" spans="1:4" x14ac:dyDescent="0.25">
      <c r="A39">
        <v>98007012</v>
      </c>
      <c r="B39" t="s">
        <v>58</v>
      </c>
      <c r="C39" t="s">
        <v>58</v>
      </c>
    </row>
    <row r="40" spans="1:4" x14ac:dyDescent="0.25">
      <c r="A40">
        <v>98007396</v>
      </c>
      <c r="B40" t="s">
        <v>58</v>
      </c>
      <c r="C40" t="s">
        <v>58</v>
      </c>
    </row>
    <row r="41" spans="1:4" x14ac:dyDescent="0.25">
      <c r="A41">
        <v>98008087</v>
      </c>
      <c r="B41" t="s">
        <v>58</v>
      </c>
      <c r="C41" t="s">
        <v>58</v>
      </c>
    </row>
    <row r="42" spans="1:4" x14ac:dyDescent="0.25">
      <c r="A42">
        <v>98008314</v>
      </c>
      <c r="B42" t="s">
        <v>58</v>
      </c>
      <c r="C42" t="s">
        <v>58</v>
      </c>
    </row>
    <row r="43" spans="1:4" x14ac:dyDescent="0.25">
      <c r="A43">
        <v>98008331</v>
      </c>
      <c r="B43" t="s">
        <v>58</v>
      </c>
      <c r="C43" t="s">
        <v>58</v>
      </c>
    </row>
    <row r="44" spans="1:4" x14ac:dyDescent="0.25">
      <c r="A44">
        <v>98008657</v>
      </c>
      <c r="B44" t="s">
        <v>58</v>
      </c>
      <c r="C44" t="s">
        <v>58</v>
      </c>
    </row>
    <row r="45" spans="1:4" x14ac:dyDescent="0.25">
      <c r="A45">
        <v>99000792</v>
      </c>
      <c r="B45" t="s">
        <v>58</v>
      </c>
      <c r="C45" t="s">
        <v>58</v>
      </c>
    </row>
    <row r="46" spans="1:4" x14ac:dyDescent="0.25">
      <c r="A46">
        <v>99000793</v>
      </c>
      <c r="B46" t="s">
        <v>58</v>
      </c>
      <c r="C46" t="s">
        <v>58</v>
      </c>
    </row>
    <row r="47" spans="1:4" x14ac:dyDescent="0.25">
      <c r="A47">
        <v>99000802</v>
      </c>
      <c r="B47" s="29" t="s">
        <v>58</v>
      </c>
      <c r="C47" s="29" t="s">
        <v>58</v>
      </c>
      <c r="D47" s="29" t="s">
        <v>472</v>
      </c>
    </row>
    <row r="48" spans="1:4" x14ac:dyDescent="0.25">
      <c r="A48">
        <v>99001177</v>
      </c>
      <c r="B48" t="s">
        <v>58</v>
      </c>
      <c r="C48" t="s">
        <v>58</v>
      </c>
    </row>
    <row r="49" spans="1:4" x14ac:dyDescent="0.25">
      <c r="A49">
        <v>99001427</v>
      </c>
      <c r="B49" t="s">
        <v>58</v>
      </c>
      <c r="C49" t="s">
        <v>58</v>
      </c>
    </row>
    <row r="50" spans="1:4" x14ac:dyDescent="0.25">
      <c r="A50">
        <v>99001898</v>
      </c>
      <c r="B50" s="29" t="s">
        <v>58</v>
      </c>
      <c r="C50" s="29" t="s">
        <v>58</v>
      </c>
      <c r="D50" s="29" t="s">
        <v>472</v>
      </c>
    </row>
    <row r="51" spans="1:4" x14ac:dyDescent="0.25">
      <c r="A51">
        <v>99001899</v>
      </c>
      <c r="B51" t="s">
        <v>58</v>
      </c>
      <c r="C51" t="s">
        <v>58</v>
      </c>
    </row>
    <row r="52" spans="1:4" x14ac:dyDescent="0.25">
      <c r="A52">
        <v>99001912</v>
      </c>
      <c r="B52" s="29" t="s">
        <v>58</v>
      </c>
      <c r="C52" s="29" t="s">
        <v>58</v>
      </c>
      <c r="D52" s="29" t="s">
        <v>472</v>
      </c>
    </row>
    <row r="53" spans="1:4" x14ac:dyDescent="0.25">
      <c r="A53">
        <v>99002532</v>
      </c>
      <c r="B53" t="s">
        <v>58</v>
      </c>
      <c r="C53" t="s">
        <v>58</v>
      </c>
    </row>
    <row r="54" spans="1:4" x14ac:dyDescent="0.25">
      <c r="A54">
        <v>99003584</v>
      </c>
      <c r="B54" t="s">
        <v>58</v>
      </c>
      <c r="C54" t="s">
        <v>58</v>
      </c>
    </row>
    <row r="55" spans="1:4" x14ac:dyDescent="0.25">
      <c r="A55">
        <v>99004052</v>
      </c>
      <c r="B55" t="s">
        <v>58</v>
      </c>
      <c r="C55" t="s">
        <v>58</v>
      </c>
    </row>
    <row r="56" spans="1:4" x14ac:dyDescent="0.25">
      <c r="A56">
        <v>99004067</v>
      </c>
      <c r="B56" s="29" t="s">
        <v>58</v>
      </c>
      <c r="C56" s="29" t="s">
        <v>58</v>
      </c>
      <c r="D56" s="29" t="s">
        <v>472</v>
      </c>
    </row>
    <row r="57" spans="1:4" x14ac:dyDescent="0.25">
      <c r="A57">
        <v>1502</v>
      </c>
      <c r="B57" s="29" t="s">
        <v>58</v>
      </c>
      <c r="C57" s="29" t="s">
        <v>58</v>
      </c>
      <c r="D57" s="29" t="s">
        <v>472</v>
      </c>
    </row>
    <row r="58" spans="1:4" x14ac:dyDescent="0.25">
      <c r="A58">
        <v>200088</v>
      </c>
      <c r="B58" t="s">
        <v>58</v>
      </c>
      <c r="C58" t="s">
        <v>58</v>
      </c>
    </row>
    <row r="59" spans="1:4" x14ac:dyDescent="0.25">
      <c r="A59">
        <v>1000203</v>
      </c>
      <c r="B59" t="s">
        <v>58</v>
      </c>
      <c r="C59" t="s">
        <v>58</v>
      </c>
    </row>
    <row r="60" spans="1:4" x14ac:dyDescent="0.25">
      <c r="A60">
        <v>1000218</v>
      </c>
      <c r="B60" t="s">
        <v>58</v>
      </c>
      <c r="C60" t="s">
        <v>4</v>
      </c>
    </row>
    <row r="61" spans="1:4" x14ac:dyDescent="0.25">
      <c r="A61">
        <v>1004540</v>
      </c>
      <c r="B61" t="s">
        <v>58</v>
      </c>
      <c r="C61" t="s">
        <v>58</v>
      </c>
    </row>
    <row r="62" spans="1:4" x14ac:dyDescent="0.25">
      <c r="A62">
        <v>1008523</v>
      </c>
      <c r="B62" t="s">
        <v>58</v>
      </c>
      <c r="C62" t="s">
        <v>58</v>
      </c>
    </row>
    <row r="63" spans="1:4" x14ac:dyDescent="0.25">
      <c r="A63">
        <v>2005472</v>
      </c>
      <c r="B63" t="s">
        <v>58</v>
      </c>
      <c r="C63" t="s">
        <v>58</v>
      </c>
    </row>
    <row r="64" spans="1:4" x14ac:dyDescent="0.25">
      <c r="A64">
        <v>2005507</v>
      </c>
      <c r="B64" t="s">
        <v>58</v>
      </c>
      <c r="C64" t="s">
        <v>58</v>
      </c>
    </row>
    <row r="65" spans="1:5" x14ac:dyDescent="0.25">
      <c r="A65">
        <v>2005417</v>
      </c>
      <c r="B65" t="s">
        <v>58</v>
      </c>
      <c r="C65" t="s">
        <v>58</v>
      </c>
    </row>
    <row r="66" spans="1:5" x14ac:dyDescent="0.25">
      <c r="A66">
        <v>3014760</v>
      </c>
      <c r="B66" t="s">
        <v>58</v>
      </c>
      <c r="C66" t="s">
        <v>58</v>
      </c>
    </row>
    <row r="67" spans="1:5" x14ac:dyDescent="0.25">
      <c r="A67">
        <v>3015398</v>
      </c>
      <c r="B67" t="s">
        <v>58</v>
      </c>
      <c r="C67" t="s">
        <v>58</v>
      </c>
    </row>
    <row r="68" spans="1:5" x14ac:dyDescent="0.25">
      <c r="A68">
        <v>4000341</v>
      </c>
      <c r="B68" t="s">
        <v>58</v>
      </c>
      <c r="C68" t="s">
        <v>58</v>
      </c>
    </row>
    <row r="69" spans="1:5" x14ac:dyDescent="0.25">
      <c r="A69" s="29">
        <v>4003543</v>
      </c>
      <c r="B69" s="29" t="s">
        <v>58</v>
      </c>
      <c r="C69" s="29" t="s">
        <v>4</v>
      </c>
      <c r="D69" s="29" t="s">
        <v>472</v>
      </c>
    </row>
    <row r="70" spans="1:5" x14ac:dyDescent="0.25">
      <c r="A70">
        <v>6060394</v>
      </c>
      <c r="B70" t="s">
        <v>58</v>
      </c>
      <c r="C70" t="s">
        <v>4</v>
      </c>
    </row>
    <row r="71" spans="1:5" x14ac:dyDescent="0.25">
      <c r="A71">
        <v>7008436</v>
      </c>
      <c r="B71" t="s">
        <v>58</v>
      </c>
      <c r="C71" t="s">
        <v>4</v>
      </c>
    </row>
    <row r="72" spans="1:5" x14ac:dyDescent="0.25">
      <c r="A72" s="1">
        <v>7072184</v>
      </c>
      <c r="B72" s="1" t="s">
        <v>4</v>
      </c>
      <c r="C72" s="1" t="s">
        <v>4</v>
      </c>
      <c r="D72" s="1"/>
      <c r="E72" s="1"/>
    </row>
    <row r="73" spans="1:5" x14ac:dyDescent="0.25">
      <c r="A73">
        <v>8008191</v>
      </c>
      <c r="B73" t="s">
        <v>58</v>
      </c>
      <c r="C73" t="s">
        <v>4</v>
      </c>
    </row>
    <row r="74" spans="1:5" x14ac:dyDescent="0.25">
      <c r="A74">
        <v>8008772</v>
      </c>
      <c r="B74" t="s">
        <v>58</v>
      </c>
      <c r="C74" t="s">
        <v>4</v>
      </c>
    </row>
    <row r="75" spans="1:5" x14ac:dyDescent="0.25">
      <c r="A75">
        <v>8007532</v>
      </c>
      <c r="B75" t="s">
        <v>58</v>
      </c>
      <c r="C75" t="s">
        <v>4</v>
      </c>
    </row>
    <row r="76" spans="1:5" x14ac:dyDescent="0.25">
      <c r="A76">
        <v>8007496</v>
      </c>
      <c r="B76" t="s">
        <v>58</v>
      </c>
      <c r="C76" t="s">
        <v>4</v>
      </c>
    </row>
    <row r="77" spans="1:5" x14ac:dyDescent="0.25">
      <c r="A77">
        <v>8008800</v>
      </c>
      <c r="B77" t="s">
        <v>58</v>
      </c>
      <c r="C77" t="s">
        <v>4</v>
      </c>
    </row>
    <row r="78" spans="1:5" x14ac:dyDescent="0.25">
      <c r="A78">
        <v>8009364</v>
      </c>
      <c r="B78" t="s">
        <v>58</v>
      </c>
      <c r="C78" t="s">
        <v>4</v>
      </c>
    </row>
    <row r="79" spans="1:5" x14ac:dyDescent="0.25">
      <c r="A79">
        <v>8013455</v>
      </c>
      <c r="B79" t="s">
        <v>58</v>
      </c>
      <c r="C79" t="s">
        <v>58</v>
      </c>
    </row>
    <row r="80" spans="1:5" x14ac:dyDescent="0.25">
      <c r="A80">
        <v>8014098</v>
      </c>
      <c r="B80" t="s">
        <v>58</v>
      </c>
      <c r="C80" t="s">
        <v>4</v>
      </c>
    </row>
    <row r="81" spans="1:5" x14ac:dyDescent="0.25">
      <c r="A81">
        <v>8014364</v>
      </c>
      <c r="B81" t="s">
        <v>58</v>
      </c>
      <c r="C81" t="s">
        <v>4</v>
      </c>
    </row>
    <row r="82" spans="1:5" x14ac:dyDescent="0.25">
      <c r="A82">
        <v>8015101</v>
      </c>
      <c r="B82" t="s">
        <v>58</v>
      </c>
      <c r="C82" t="s">
        <v>58</v>
      </c>
    </row>
    <row r="83" spans="1:5" x14ac:dyDescent="0.25">
      <c r="A83">
        <v>8015243</v>
      </c>
      <c r="B83" t="s">
        <v>58</v>
      </c>
      <c r="C83" t="s">
        <v>58</v>
      </c>
    </row>
    <row r="84" spans="1:5" x14ac:dyDescent="0.25">
      <c r="A84">
        <v>8015838</v>
      </c>
      <c r="B84" t="s">
        <v>58</v>
      </c>
      <c r="C84" t="s">
        <v>4</v>
      </c>
    </row>
    <row r="85" spans="1:5" x14ac:dyDescent="0.25">
      <c r="A85">
        <v>8027908</v>
      </c>
      <c r="B85" t="s">
        <v>58</v>
      </c>
      <c r="C85" t="s">
        <v>4</v>
      </c>
    </row>
    <row r="86" spans="1:5" x14ac:dyDescent="0.25">
      <c r="A86">
        <v>8153261</v>
      </c>
      <c r="B86" t="s">
        <v>58</v>
      </c>
      <c r="C86" t="s">
        <v>4</v>
      </c>
    </row>
    <row r="87" spans="1:5" x14ac:dyDescent="0.25">
      <c r="A87">
        <v>9002013</v>
      </c>
      <c r="B87" t="s">
        <v>58</v>
      </c>
      <c r="C87" t="s">
        <v>58</v>
      </c>
    </row>
    <row r="88" spans="1:5" x14ac:dyDescent="0.25">
      <c r="A88">
        <v>9003345</v>
      </c>
      <c r="B88" t="s">
        <v>58</v>
      </c>
      <c r="C88" t="s">
        <v>58</v>
      </c>
    </row>
    <row r="89" spans="1:5" x14ac:dyDescent="0.25">
      <c r="A89">
        <v>9082268</v>
      </c>
      <c r="B89" t="s">
        <v>58</v>
      </c>
      <c r="C89" t="s">
        <v>4</v>
      </c>
    </row>
    <row r="90" spans="1:5" x14ac:dyDescent="0.25">
      <c r="A90" s="1">
        <v>9108231</v>
      </c>
      <c r="B90" s="1" t="s">
        <v>4</v>
      </c>
      <c r="C90" s="1" t="s">
        <v>4</v>
      </c>
      <c r="D90" s="1"/>
      <c r="E90" s="1"/>
    </row>
    <row r="91" spans="1:5" x14ac:dyDescent="0.25">
      <c r="A91">
        <v>10004730</v>
      </c>
      <c r="B91" t="s">
        <v>58</v>
      </c>
      <c r="C91" t="s">
        <v>4</v>
      </c>
    </row>
    <row r="92" spans="1:5" x14ac:dyDescent="0.25">
      <c r="A92">
        <v>10025938</v>
      </c>
      <c r="B92" t="s">
        <v>58</v>
      </c>
      <c r="C92" t="s">
        <v>4</v>
      </c>
    </row>
    <row r="93" spans="1:5" x14ac:dyDescent="0.25">
      <c r="A93">
        <v>10023742</v>
      </c>
      <c r="B93" t="s">
        <v>58</v>
      </c>
      <c r="C93" t="s">
        <v>4</v>
      </c>
    </row>
    <row r="94" spans="1:5" x14ac:dyDescent="0.25">
      <c r="A94">
        <v>10029052</v>
      </c>
      <c r="B94" t="s">
        <v>58</v>
      </c>
      <c r="C94" t="s">
        <v>4</v>
      </c>
    </row>
    <row r="95" spans="1:5" x14ac:dyDescent="0.25">
      <c r="A95">
        <v>10030565</v>
      </c>
      <c r="B95" t="s">
        <v>58</v>
      </c>
      <c r="C95" t="s">
        <v>4</v>
      </c>
    </row>
    <row r="96" spans="1:5" x14ac:dyDescent="0.25">
      <c r="A96">
        <v>10039872</v>
      </c>
      <c r="B96" t="s">
        <v>58</v>
      </c>
      <c r="C96" t="s">
        <v>4</v>
      </c>
    </row>
    <row r="97" spans="1:5" x14ac:dyDescent="0.25">
      <c r="A97">
        <v>10039985</v>
      </c>
      <c r="B97" t="s">
        <v>58</v>
      </c>
      <c r="C97" t="s">
        <v>4</v>
      </c>
    </row>
    <row r="98" spans="1:5" x14ac:dyDescent="0.25">
      <c r="A98">
        <v>10061500</v>
      </c>
      <c r="B98" t="s">
        <v>58</v>
      </c>
      <c r="C98" t="s">
        <v>4</v>
      </c>
    </row>
    <row r="99" spans="1:5" x14ac:dyDescent="0.25">
      <c r="A99">
        <v>10065128</v>
      </c>
      <c r="B99" t="s">
        <v>58</v>
      </c>
      <c r="C99" t="s">
        <v>4</v>
      </c>
    </row>
    <row r="100" spans="1:5" x14ac:dyDescent="0.25">
      <c r="A100">
        <v>10069559</v>
      </c>
      <c r="B100" t="s">
        <v>58</v>
      </c>
      <c r="C100" t="s">
        <v>4</v>
      </c>
    </row>
    <row r="101" spans="1:5" x14ac:dyDescent="0.25">
      <c r="A101">
        <v>10098330</v>
      </c>
      <c r="B101" t="s">
        <v>58</v>
      </c>
      <c r="C101" t="s">
        <v>4</v>
      </c>
    </row>
    <row r="102" spans="1:5" x14ac:dyDescent="0.25">
      <c r="A102">
        <v>11084620</v>
      </c>
      <c r="B102" t="s">
        <v>58</v>
      </c>
      <c r="C102" t="s">
        <v>4</v>
      </c>
    </row>
    <row r="103" spans="1:5" x14ac:dyDescent="0.25">
      <c r="A103">
        <v>12055703</v>
      </c>
      <c r="B103" t="s">
        <v>58</v>
      </c>
      <c r="C103" t="s">
        <v>4</v>
      </c>
    </row>
    <row r="104" spans="1:5" x14ac:dyDescent="0.25">
      <c r="A104" s="1">
        <v>12061933</v>
      </c>
      <c r="B104" s="1" t="s">
        <v>58</v>
      </c>
      <c r="C104" s="1" t="s">
        <v>4</v>
      </c>
      <c r="D104" s="1"/>
      <c r="E104" s="1" t="s">
        <v>473</v>
      </c>
    </row>
    <row r="105" spans="1:5" x14ac:dyDescent="0.25">
      <c r="A105">
        <v>12097414</v>
      </c>
      <c r="B105" t="s">
        <v>58</v>
      </c>
      <c r="C105" t="s">
        <v>4</v>
      </c>
    </row>
    <row r="106" spans="1:5" x14ac:dyDescent="0.25">
      <c r="A106">
        <v>12098703</v>
      </c>
      <c r="B106" t="s">
        <v>58</v>
      </c>
      <c r="C106" t="s">
        <v>4</v>
      </c>
    </row>
    <row r="107" spans="1:5" x14ac:dyDescent="0.25">
      <c r="A107">
        <v>12111658</v>
      </c>
      <c r="B107" t="s">
        <v>58</v>
      </c>
      <c r="C107" t="s">
        <v>4</v>
      </c>
    </row>
    <row r="109" spans="1:5" x14ac:dyDescent="0.25">
      <c r="A109">
        <v>92900471</v>
      </c>
      <c r="B109" t="s">
        <v>58</v>
      </c>
      <c r="C109" t="s">
        <v>58</v>
      </c>
      <c r="E109" t="s">
        <v>474</v>
      </c>
    </row>
    <row r="110" spans="1:5" x14ac:dyDescent="0.25">
      <c r="A110">
        <v>93003602</v>
      </c>
      <c r="B110" t="s">
        <v>58</v>
      </c>
      <c r="C110" t="s">
        <v>58</v>
      </c>
    </row>
    <row r="111" spans="1:5" x14ac:dyDescent="0.25">
      <c r="A111">
        <v>93011023</v>
      </c>
      <c r="B111" t="s">
        <v>58</v>
      </c>
      <c r="C111" t="s">
        <v>58</v>
      </c>
    </row>
    <row r="112" spans="1:5" x14ac:dyDescent="0.25">
      <c r="A112">
        <v>94900202</v>
      </c>
      <c r="B112" t="s">
        <v>58</v>
      </c>
      <c r="C112" t="s">
        <v>58</v>
      </c>
    </row>
    <row r="113" spans="1:3" x14ac:dyDescent="0.25">
      <c r="A113">
        <v>94006177</v>
      </c>
      <c r="B113" t="s">
        <v>58</v>
      </c>
      <c r="C113" t="s">
        <v>58</v>
      </c>
    </row>
    <row r="114" spans="1:3" x14ac:dyDescent="0.25">
      <c r="A114">
        <v>95900195</v>
      </c>
      <c r="B114" t="s">
        <v>58</v>
      </c>
      <c r="C114" t="s">
        <v>58</v>
      </c>
    </row>
    <row r="115" spans="1:3" x14ac:dyDescent="0.25">
      <c r="A115">
        <v>95005918</v>
      </c>
      <c r="B115" t="s">
        <v>58</v>
      </c>
      <c r="C115" t="s">
        <v>58</v>
      </c>
    </row>
    <row r="116" spans="1:3" x14ac:dyDescent="0.25">
      <c r="A116">
        <v>96900009</v>
      </c>
      <c r="B116" t="s">
        <v>58</v>
      </c>
      <c r="C116" t="s">
        <v>58</v>
      </c>
    </row>
    <row r="117" spans="1:3" x14ac:dyDescent="0.25">
      <c r="A117">
        <v>96016516</v>
      </c>
      <c r="B117" t="s">
        <v>58</v>
      </c>
      <c r="C117" t="s">
        <v>58</v>
      </c>
    </row>
    <row r="118" spans="1:3" x14ac:dyDescent="0.25">
      <c r="A118">
        <v>96020742</v>
      </c>
      <c r="B118" t="s">
        <v>58</v>
      </c>
      <c r="C118" t="s">
        <v>58</v>
      </c>
    </row>
    <row r="119" spans="1:3" x14ac:dyDescent="0.25">
      <c r="A119">
        <v>97000114</v>
      </c>
      <c r="B119" t="s">
        <v>58</v>
      </c>
      <c r="C119" t="s">
        <v>58</v>
      </c>
    </row>
    <row r="120" spans="1:3" x14ac:dyDescent="0.25">
      <c r="A120">
        <v>98900371</v>
      </c>
      <c r="B120" t="s">
        <v>58</v>
      </c>
      <c r="C120" t="s">
        <v>58</v>
      </c>
    </row>
    <row r="121" spans="1:3" x14ac:dyDescent="0.25">
      <c r="A121">
        <v>98006120</v>
      </c>
      <c r="B121" t="s">
        <v>58</v>
      </c>
      <c r="C121" t="s">
        <v>58</v>
      </c>
    </row>
    <row r="122" spans="1:3" x14ac:dyDescent="0.25">
      <c r="A122">
        <v>98008653</v>
      </c>
      <c r="B122" t="s">
        <v>58</v>
      </c>
      <c r="C122" t="s">
        <v>58</v>
      </c>
    </row>
    <row r="123" spans="1:3" x14ac:dyDescent="0.25">
      <c r="A123">
        <v>99001473</v>
      </c>
      <c r="B123" t="s">
        <v>58</v>
      </c>
      <c r="C123" t="s">
        <v>58</v>
      </c>
    </row>
    <row r="124" spans="1:3" x14ac:dyDescent="0.25">
      <c r="A124">
        <v>99005518</v>
      </c>
      <c r="B124" t="s">
        <v>58</v>
      </c>
      <c r="C124" t="s">
        <v>58</v>
      </c>
    </row>
    <row r="125" spans="1:3" x14ac:dyDescent="0.25">
      <c r="A125">
        <v>99002548</v>
      </c>
      <c r="B125" t="s">
        <v>58</v>
      </c>
      <c r="C125" t="s">
        <v>58</v>
      </c>
    </row>
    <row r="126" spans="1:3" x14ac:dyDescent="0.25">
      <c r="A126">
        <v>1677</v>
      </c>
      <c r="B126" t="s">
        <v>58</v>
      </c>
      <c r="C126" t="s">
        <v>58</v>
      </c>
    </row>
    <row r="127" spans="1:3" x14ac:dyDescent="0.25">
      <c r="A127">
        <v>4001156</v>
      </c>
      <c r="B127" t="s">
        <v>58</v>
      </c>
      <c r="C127" t="s">
        <v>58</v>
      </c>
    </row>
    <row r="128" spans="1:3" x14ac:dyDescent="0.25">
      <c r="A128">
        <v>6023982</v>
      </c>
      <c r="B128" t="s">
        <v>58</v>
      </c>
      <c r="C128" t="s">
        <v>4</v>
      </c>
    </row>
    <row r="129" spans="1:4" x14ac:dyDescent="0.25">
      <c r="A129">
        <v>7079887</v>
      </c>
      <c r="B129" t="s">
        <v>58</v>
      </c>
      <c r="C129" t="s">
        <v>4</v>
      </c>
    </row>
    <row r="130" spans="1:4" x14ac:dyDescent="0.25">
      <c r="A130">
        <v>7126992</v>
      </c>
      <c r="B130" t="s">
        <v>58</v>
      </c>
      <c r="C130" t="s">
        <v>4</v>
      </c>
    </row>
    <row r="131" spans="1:4" x14ac:dyDescent="0.25">
      <c r="A131">
        <v>8008088</v>
      </c>
      <c r="B131" t="s">
        <v>58</v>
      </c>
      <c r="C131" t="s">
        <v>4</v>
      </c>
    </row>
    <row r="132" spans="1:4" x14ac:dyDescent="0.25">
      <c r="A132">
        <v>8014066</v>
      </c>
      <c r="B132" t="s">
        <v>58</v>
      </c>
      <c r="C132" t="s">
        <v>4</v>
      </c>
    </row>
    <row r="133" spans="1:4" x14ac:dyDescent="0.25">
      <c r="A133">
        <v>8016966</v>
      </c>
      <c r="B133" t="s">
        <v>58</v>
      </c>
      <c r="C133" t="s">
        <v>4</v>
      </c>
    </row>
    <row r="134" spans="1:4" x14ac:dyDescent="0.25">
      <c r="A134">
        <v>8017073</v>
      </c>
      <c r="B134" t="s">
        <v>58</v>
      </c>
      <c r="C134" t="s">
        <v>4</v>
      </c>
    </row>
    <row r="135" spans="1:4" x14ac:dyDescent="0.25">
      <c r="A135">
        <v>8017001</v>
      </c>
      <c r="B135" t="s">
        <v>58</v>
      </c>
      <c r="C135" t="s">
        <v>4</v>
      </c>
    </row>
    <row r="136" spans="1:4" x14ac:dyDescent="0.25">
      <c r="A136">
        <v>8030339</v>
      </c>
      <c r="B136" t="s">
        <v>58</v>
      </c>
      <c r="C136" t="s">
        <v>4</v>
      </c>
    </row>
    <row r="137" spans="1:4" x14ac:dyDescent="0.25">
      <c r="A137">
        <v>8027236</v>
      </c>
      <c r="B137" t="s">
        <v>58</v>
      </c>
      <c r="C137" t="s">
        <v>4</v>
      </c>
    </row>
    <row r="138" spans="1:4" x14ac:dyDescent="0.25">
      <c r="A138">
        <v>8148233</v>
      </c>
      <c r="B138" t="s">
        <v>58</v>
      </c>
      <c r="C138" t="s">
        <v>4</v>
      </c>
    </row>
    <row r="139" spans="1:4" x14ac:dyDescent="0.25">
      <c r="A139">
        <v>10026789</v>
      </c>
      <c r="B139" t="s">
        <v>58</v>
      </c>
      <c r="C139" t="s">
        <v>4</v>
      </c>
    </row>
    <row r="140" spans="1:4" x14ac:dyDescent="0.25">
      <c r="A140">
        <v>10041281</v>
      </c>
      <c r="B140" t="s">
        <v>58</v>
      </c>
      <c r="C140" t="s">
        <v>4</v>
      </c>
    </row>
    <row r="141" spans="1:4" x14ac:dyDescent="0.25">
      <c r="A141">
        <v>12098703</v>
      </c>
      <c r="B141" s="29" t="s">
        <v>58</v>
      </c>
      <c r="C141" s="29" t="s">
        <v>4</v>
      </c>
      <c r="D141" s="29" t="s">
        <v>472</v>
      </c>
    </row>
    <row r="142" spans="1:4" x14ac:dyDescent="0.25">
      <c r="A142">
        <v>12116455</v>
      </c>
      <c r="B142" t="s">
        <v>58</v>
      </c>
      <c r="C142" t="s">
        <v>4</v>
      </c>
    </row>
    <row r="145" spans="1:5" x14ac:dyDescent="0.25">
      <c r="A145" t="s">
        <v>475</v>
      </c>
    </row>
    <row r="146" spans="1:5" x14ac:dyDescent="0.25">
      <c r="A146">
        <v>92008034</v>
      </c>
      <c r="B146" t="s">
        <v>58</v>
      </c>
      <c r="C146" t="s">
        <v>58</v>
      </c>
      <c r="E146" t="s">
        <v>471</v>
      </c>
    </row>
    <row r="147" spans="1:5" x14ac:dyDescent="0.25">
      <c r="A147" s="29">
        <v>93011100</v>
      </c>
      <c r="B147" s="29" t="s">
        <v>58</v>
      </c>
      <c r="C147" s="29" t="s">
        <v>58</v>
      </c>
      <c r="D147" s="29" t="s">
        <v>472</v>
      </c>
    </row>
    <row r="148" spans="1:5" x14ac:dyDescent="0.25">
      <c r="A148">
        <v>95002417</v>
      </c>
      <c r="B148" t="s">
        <v>58</v>
      </c>
      <c r="C148" t="s">
        <v>58</v>
      </c>
    </row>
    <row r="149" spans="1:5" x14ac:dyDescent="0.25">
      <c r="A149">
        <v>96016517</v>
      </c>
      <c r="B149" t="s">
        <v>58</v>
      </c>
      <c r="C149" t="s">
        <v>58</v>
      </c>
    </row>
    <row r="150" spans="1:5" x14ac:dyDescent="0.25">
      <c r="A150">
        <v>97001281</v>
      </c>
      <c r="B150" t="s">
        <v>58</v>
      </c>
      <c r="C150" t="s">
        <v>58</v>
      </c>
    </row>
    <row r="151" spans="1:5" x14ac:dyDescent="0.25">
      <c r="A151">
        <v>97900143</v>
      </c>
      <c r="B151" t="s">
        <v>58</v>
      </c>
      <c r="C151" t="s">
        <v>58</v>
      </c>
    </row>
    <row r="152" spans="1:5" x14ac:dyDescent="0.25">
      <c r="A152">
        <v>97002134</v>
      </c>
      <c r="B152" t="s">
        <v>58</v>
      </c>
      <c r="C152" t="s">
        <v>58</v>
      </c>
    </row>
    <row r="153" spans="1:5" x14ac:dyDescent="0.25">
      <c r="A153">
        <v>97002141</v>
      </c>
      <c r="B153" t="s">
        <v>58</v>
      </c>
      <c r="C153" t="s">
        <v>58</v>
      </c>
    </row>
    <row r="154" spans="1:5" x14ac:dyDescent="0.25">
      <c r="A154">
        <v>97002158</v>
      </c>
      <c r="B154" t="s">
        <v>58</v>
      </c>
      <c r="C154" t="s">
        <v>58</v>
      </c>
    </row>
    <row r="155" spans="1:5" x14ac:dyDescent="0.25">
      <c r="A155">
        <v>97006282</v>
      </c>
      <c r="B155" t="s">
        <v>58</v>
      </c>
      <c r="C155" t="s">
        <v>58</v>
      </c>
    </row>
    <row r="156" spans="1:5" x14ac:dyDescent="0.25">
      <c r="A156">
        <v>98003738</v>
      </c>
      <c r="B156" t="s">
        <v>58</v>
      </c>
      <c r="C156" t="s">
        <v>58</v>
      </c>
    </row>
    <row r="157" spans="1:5" x14ac:dyDescent="0.25">
      <c r="A157">
        <v>98006114</v>
      </c>
      <c r="B157" t="s">
        <v>58</v>
      </c>
      <c r="C157" t="s">
        <v>58</v>
      </c>
    </row>
    <row r="158" spans="1:5" x14ac:dyDescent="0.25">
      <c r="A158">
        <v>98008085</v>
      </c>
      <c r="B158" t="s">
        <v>58</v>
      </c>
      <c r="C158" t="s">
        <v>58</v>
      </c>
    </row>
    <row r="159" spans="1:5" x14ac:dyDescent="0.25">
      <c r="A159">
        <v>98008091</v>
      </c>
      <c r="B159" t="s">
        <v>58</v>
      </c>
      <c r="C159" t="s">
        <v>58</v>
      </c>
    </row>
    <row r="160" spans="1:5" x14ac:dyDescent="0.25">
      <c r="A160">
        <v>98008092</v>
      </c>
      <c r="B160" t="s">
        <v>58</v>
      </c>
      <c r="C160" t="s">
        <v>58</v>
      </c>
    </row>
    <row r="161" spans="1:5" x14ac:dyDescent="0.25">
      <c r="A161">
        <v>98008656</v>
      </c>
      <c r="B161" t="s">
        <v>58</v>
      </c>
      <c r="C161" t="s">
        <v>58</v>
      </c>
    </row>
    <row r="162" spans="1:5" x14ac:dyDescent="0.25">
      <c r="A162">
        <v>99001183</v>
      </c>
      <c r="B162" s="29" t="s">
        <v>58</v>
      </c>
      <c r="C162" s="29" t="s">
        <v>58</v>
      </c>
      <c r="D162" s="29" t="s">
        <v>472</v>
      </c>
    </row>
    <row r="163" spans="1:5" x14ac:dyDescent="0.25">
      <c r="A163">
        <v>99002554</v>
      </c>
      <c r="B163" t="s">
        <v>58</v>
      </c>
      <c r="C163" t="s">
        <v>58</v>
      </c>
    </row>
    <row r="164" spans="1:5" x14ac:dyDescent="0.25">
      <c r="A164">
        <v>1008529</v>
      </c>
      <c r="B164" t="s">
        <v>58</v>
      </c>
      <c r="C164" t="s">
        <v>58</v>
      </c>
    </row>
    <row r="165" spans="1:5" x14ac:dyDescent="0.25">
      <c r="A165">
        <v>1010453</v>
      </c>
      <c r="B165" t="s">
        <v>58</v>
      </c>
      <c r="C165" t="s">
        <v>58</v>
      </c>
    </row>
    <row r="166" spans="1:5" x14ac:dyDescent="0.25">
      <c r="A166">
        <v>1010459</v>
      </c>
      <c r="B166" t="s">
        <v>58</v>
      </c>
      <c r="C166" t="s">
        <v>58</v>
      </c>
    </row>
    <row r="167" spans="1:5" x14ac:dyDescent="0.25">
      <c r="A167">
        <v>2004241</v>
      </c>
      <c r="B167" t="s">
        <v>58</v>
      </c>
      <c r="C167" t="s">
        <v>58</v>
      </c>
    </row>
    <row r="168" spans="1:5" x14ac:dyDescent="0.25">
      <c r="A168">
        <v>2005477</v>
      </c>
      <c r="B168" t="s">
        <v>58</v>
      </c>
      <c r="C168" t="s">
        <v>58</v>
      </c>
    </row>
    <row r="169" spans="1:5" x14ac:dyDescent="0.25">
      <c r="A169">
        <v>2005504</v>
      </c>
      <c r="B169" t="s">
        <v>58</v>
      </c>
      <c r="C169" t="s">
        <v>58</v>
      </c>
    </row>
    <row r="170" spans="1:5" x14ac:dyDescent="0.25">
      <c r="A170" s="1">
        <v>3000983</v>
      </c>
      <c r="B170" s="1" t="s">
        <v>4</v>
      </c>
      <c r="C170" s="1" t="s">
        <v>4</v>
      </c>
      <c r="D170" s="1"/>
      <c r="E170" s="1"/>
    </row>
    <row r="171" spans="1:5" x14ac:dyDescent="0.25">
      <c r="A171">
        <v>3014799</v>
      </c>
      <c r="B171" t="s">
        <v>58</v>
      </c>
      <c r="C171" t="s">
        <v>58</v>
      </c>
    </row>
    <row r="172" spans="1:5" x14ac:dyDescent="0.25">
      <c r="A172">
        <v>3014804</v>
      </c>
      <c r="B172" t="s">
        <v>58</v>
      </c>
      <c r="C172" t="s">
        <v>58</v>
      </c>
    </row>
    <row r="173" spans="1:5" x14ac:dyDescent="0.25">
      <c r="A173">
        <v>4000318</v>
      </c>
      <c r="B173" t="s">
        <v>58</v>
      </c>
      <c r="C173" t="s">
        <v>58</v>
      </c>
    </row>
    <row r="174" spans="1:5" x14ac:dyDescent="0.25">
      <c r="A174">
        <v>4000319</v>
      </c>
      <c r="B174" t="s">
        <v>58</v>
      </c>
      <c r="C174" t="s">
        <v>58</v>
      </c>
    </row>
    <row r="175" spans="1:5" x14ac:dyDescent="0.25">
      <c r="A175">
        <v>4000329</v>
      </c>
      <c r="B175" t="s">
        <v>58</v>
      </c>
      <c r="C175" t="s">
        <v>58</v>
      </c>
    </row>
    <row r="176" spans="1:5" x14ac:dyDescent="0.25">
      <c r="A176">
        <v>5006468</v>
      </c>
      <c r="B176" t="s">
        <v>58</v>
      </c>
      <c r="C176" t="s">
        <v>58</v>
      </c>
    </row>
    <row r="177" spans="1:4" x14ac:dyDescent="0.25">
      <c r="A177">
        <v>5014838</v>
      </c>
      <c r="B177" t="s">
        <v>58</v>
      </c>
      <c r="C177" t="s">
        <v>58</v>
      </c>
    </row>
    <row r="178" spans="1:4" x14ac:dyDescent="0.25">
      <c r="A178">
        <v>7077069</v>
      </c>
      <c r="B178" t="s">
        <v>58</v>
      </c>
      <c r="C178" t="s">
        <v>4</v>
      </c>
    </row>
    <row r="179" spans="1:4" x14ac:dyDescent="0.25">
      <c r="A179">
        <v>8008772</v>
      </c>
      <c r="B179" s="29" t="s">
        <v>58</v>
      </c>
      <c r="C179" s="29" t="s">
        <v>4</v>
      </c>
      <c r="D179" s="29" t="s">
        <v>472</v>
      </c>
    </row>
    <row r="180" spans="1:4" x14ac:dyDescent="0.25">
      <c r="A180">
        <v>8014046</v>
      </c>
      <c r="B180" t="s">
        <v>58</v>
      </c>
      <c r="C180" t="s">
        <v>58</v>
      </c>
    </row>
    <row r="181" spans="1:4" x14ac:dyDescent="0.25">
      <c r="A181">
        <v>8014073</v>
      </c>
      <c r="B181" t="s">
        <v>58</v>
      </c>
      <c r="C181" t="s">
        <v>4</v>
      </c>
    </row>
    <row r="182" spans="1:4" x14ac:dyDescent="0.25">
      <c r="A182">
        <v>8014098</v>
      </c>
      <c r="B182" s="29" t="s">
        <v>58</v>
      </c>
      <c r="C182" s="29" t="s">
        <v>4</v>
      </c>
      <c r="D182" s="29" t="s">
        <v>472</v>
      </c>
    </row>
    <row r="183" spans="1:4" x14ac:dyDescent="0.25">
      <c r="A183">
        <v>8019990</v>
      </c>
      <c r="B183" t="s">
        <v>58</v>
      </c>
      <c r="C183" t="s">
        <v>4</v>
      </c>
    </row>
    <row r="184" spans="1:4" x14ac:dyDescent="0.25">
      <c r="A184">
        <v>8020023</v>
      </c>
      <c r="B184" t="s">
        <v>58</v>
      </c>
      <c r="C184" t="s">
        <v>4</v>
      </c>
    </row>
    <row r="185" spans="1:4" x14ac:dyDescent="0.25">
      <c r="A185">
        <v>8148338</v>
      </c>
      <c r="B185" t="s">
        <v>58</v>
      </c>
      <c r="C185" t="s">
        <v>4</v>
      </c>
    </row>
    <row r="186" spans="1:4" x14ac:dyDescent="0.25">
      <c r="A186">
        <v>9000945</v>
      </c>
      <c r="B186" t="s">
        <v>58</v>
      </c>
      <c r="C186" t="s">
        <v>58</v>
      </c>
    </row>
    <row r="187" spans="1:4" x14ac:dyDescent="0.25">
      <c r="A187">
        <v>9000961</v>
      </c>
      <c r="B187" t="s">
        <v>58</v>
      </c>
      <c r="C187" t="s">
        <v>58</v>
      </c>
    </row>
    <row r="188" spans="1:4" x14ac:dyDescent="0.25">
      <c r="A188">
        <v>9000984</v>
      </c>
      <c r="B188" t="s">
        <v>58</v>
      </c>
      <c r="C188" t="s">
        <v>58</v>
      </c>
    </row>
    <row r="189" spans="1:4" x14ac:dyDescent="0.25">
      <c r="A189">
        <v>9001075</v>
      </c>
      <c r="B189" t="s">
        <v>58</v>
      </c>
      <c r="C189" t="s">
        <v>58</v>
      </c>
    </row>
    <row r="190" spans="1:4" x14ac:dyDescent="0.25">
      <c r="A190">
        <v>9003225</v>
      </c>
      <c r="B190" t="s">
        <v>58</v>
      </c>
      <c r="C190" t="s">
        <v>58</v>
      </c>
    </row>
    <row r="191" spans="1:4" x14ac:dyDescent="0.25">
      <c r="A191">
        <v>9003250</v>
      </c>
      <c r="B191" t="s">
        <v>58</v>
      </c>
      <c r="C191" t="s">
        <v>58</v>
      </c>
    </row>
    <row r="192" spans="1:4" x14ac:dyDescent="0.25">
      <c r="A192">
        <v>9003356</v>
      </c>
      <c r="B192" t="s">
        <v>58</v>
      </c>
      <c r="C192" t="s">
        <v>58</v>
      </c>
    </row>
    <row r="193" spans="1:5" x14ac:dyDescent="0.25">
      <c r="A193">
        <v>9004419</v>
      </c>
      <c r="B193" t="s">
        <v>58</v>
      </c>
      <c r="C193" t="s">
        <v>58</v>
      </c>
    </row>
    <row r="194" spans="1:5" x14ac:dyDescent="0.25">
      <c r="A194">
        <v>9040949</v>
      </c>
      <c r="B194" t="s">
        <v>58</v>
      </c>
      <c r="C194" t="s">
        <v>4</v>
      </c>
    </row>
    <row r="195" spans="1:5" x14ac:dyDescent="0.25">
      <c r="A195" s="1">
        <v>9108231</v>
      </c>
      <c r="B195" s="29" t="s">
        <v>4</v>
      </c>
      <c r="C195" s="29" t="s">
        <v>4</v>
      </c>
      <c r="D195" s="29" t="s">
        <v>472</v>
      </c>
      <c r="E195" t="s">
        <v>476</v>
      </c>
    </row>
    <row r="196" spans="1:5" x14ac:dyDescent="0.25">
      <c r="A196" s="1">
        <v>10064335</v>
      </c>
      <c r="B196" s="1" t="s">
        <v>4</v>
      </c>
      <c r="C196" s="1" t="s">
        <v>4</v>
      </c>
      <c r="D196" s="1"/>
      <c r="E196" s="1"/>
    </row>
    <row r="197" spans="1:5" x14ac:dyDescent="0.25">
      <c r="A197">
        <v>10076940</v>
      </c>
      <c r="B197" t="s">
        <v>58</v>
      </c>
      <c r="C197" t="s">
        <v>4</v>
      </c>
    </row>
    <row r="198" spans="1:5" x14ac:dyDescent="0.25">
      <c r="A198">
        <v>10072157</v>
      </c>
      <c r="B198" t="s">
        <v>58</v>
      </c>
      <c r="C198" t="s">
        <v>58</v>
      </c>
    </row>
    <row r="199" spans="1:5" x14ac:dyDescent="0.25">
      <c r="A199">
        <v>10074110</v>
      </c>
      <c r="B199" t="s">
        <v>58</v>
      </c>
      <c r="C199" t="s">
        <v>4</v>
      </c>
    </row>
    <row r="200" spans="1:5" x14ac:dyDescent="0.25">
      <c r="A200">
        <v>11040174</v>
      </c>
      <c r="B200" t="s">
        <v>58</v>
      </c>
      <c r="C200" t="s">
        <v>4</v>
      </c>
    </row>
    <row r="201" spans="1:5" x14ac:dyDescent="0.25">
      <c r="A201">
        <v>14230888</v>
      </c>
      <c r="B201" t="s">
        <v>58</v>
      </c>
      <c r="C201" t="s">
        <v>4</v>
      </c>
    </row>
    <row r="203" spans="1:5" x14ac:dyDescent="0.25">
      <c r="A203">
        <v>98008337</v>
      </c>
      <c r="B203" t="s">
        <v>58</v>
      </c>
      <c r="C203" t="s">
        <v>58</v>
      </c>
      <c r="E203" t="s">
        <v>474</v>
      </c>
    </row>
    <row r="204" spans="1:5" x14ac:dyDescent="0.25">
      <c r="A204">
        <v>8014098</v>
      </c>
      <c r="B204" s="29" t="s">
        <v>58</v>
      </c>
      <c r="C204" s="29" t="s">
        <v>4</v>
      </c>
      <c r="D204" s="29" t="s">
        <v>472</v>
      </c>
    </row>
    <row r="205" spans="1:5" x14ac:dyDescent="0.25">
      <c r="A205">
        <v>11065850</v>
      </c>
      <c r="B205" t="s">
        <v>58</v>
      </c>
      <c r="C205" t="s">
        <v>4</v>
      </c>
    </row>
    <row r="206" spans="1:5" x14ac:dyDescent="0.25">
      <c r="A206" s="1">
        <v>14242856</v>
      </c>
      <c r="B206" s="1" t="s">
        <v>4</v>
      </c>
      <c r="C206" s="1" t="s">
        <v>4</v>
      </c>
      <c r="D206" s="1"/>
      <c r="E206" s="1"/>
    </row>
    <row r="209" spans="1:5" x14ac:dyDescent="0.25">
      <c r="A209" t="s">
        <v>477</v>
      </c>
    </row>
    <row r="210" spans="1:5" x14ac:dyDescent="0.25">
      <c r="A210">
        <v>92003793</v>
      </c>
      <c r="B210" t="s">
        <v>58</v>
      </c>
      <c r="C210" t="s">
        <v>58</v>
      </c>
      <c r="E210" t="s">
        <v>471</v>
      </c>
    </row>
    <row r="211" spans="1:5" x14ac:dyDescent="0.25">
      <c r="A211">
        <v>92900174</v>
      </c>
      <c r="B211" t="s">
        <v>58</v>
      </c>
      <c r="C211" t="s">
        <v>58</v>
      </c>
    </row>
    <row r="212" spans="1:5" x14ac:dyDescent="0.25">
      <c r="A212">
        <v>92901282</v>
      </c>
      <c r="B212" t="s">
        <v>58</v>
      </c>
      <c r="C212" t="s">
        <v>58</v>
      </c>
    </row>
    <row r="213" spans="1:5" x14ac:dyDescent="0.25">
      <c r="A213">
        <v>92003685</v>
      </c>
      <c r="B213" t="s">
        <v>58</v>
      </c>
      <c r="C213" t="s">
        <v>58</v>
      </c>
    </row>
    <row r="214" spans="1:5" x14ac:dyDescent="0.25">
      <c r="A214">
        <v>92008029</v>
      </c>
      <c r="B214" t="s">
        <v>58</v>
      </c>
      <c r="C214" t="s">
        <v>58</v>
      </c>
    </row>
    <row r="215" spans="1:5" x14ac:dyDescent="0.25">
      <c r="A215">
        <v>92008035</v>
      </c>
      <c r="B215" t="s">
        <v>58</v>
      </c>
      <c r="C215" t="s">
        <v>58</v>
      </c>
    </row>
    <row r="216" spans="1:5" x14ac:dyDescent="0.25">
      <c r="A216">
        <v>92008041</v>
      </c>
      <c r="B216" t="s">
        <v>58</v>
      </c>
      <c r="C216" t="s">
        <v>58</v>
      </c>
    </row>
    <row r="217" spans="1:5" x14ac:dyDescent="0.25">
      <c r="A217">
        <v>92008047</v>
      </c>
      <c r="B217" t="s">
        <v>58</v>
      </c>
      <c r="C217" t="s">
        <v>58</v>
      </c>
    </row>
    <row r="218" spans="1:5" x14ac:dyDescent="0.25">
      <c r="A218">
        <v>92008052</v>
      </c>
      <c r="B218" t="s">
        <v>58</v>
      </c>
      <c r="C218" t="s">
        <v>58</v>
      </c>
    </row>
    <row r="219" spans="1:5" x14ac:dyDescent="0.25">
      <c r="A219">
        <v>92008065</v>
      </c>
      <c r="B219" t="s">
        <v>58</v>
      </c>
      <c r="C219" t="s">
        <v>58</v>
      </c>
    </row>
    <row r="220" spans="1:5" x14ac:dyDescent="0.25">
      <c r="A220">
        <v>92008066</v>
      </c>
      <c r="B220" t="s">
        <v>58</v>
      </c>
      <c r="C220" t="s">
        <v>58</v>
      </c>
    </row>
    <row r="221" spans="1:5" x14ac:dyDescent="0.25">
      <c r="A221">
        <v>93004929</v>
      </c>
      <c r="B221" t="s">
        <v>58</v>
      </c>
      <c r="C221" t="s">
        <v>58</v>
      </c>
    </row>
    <row r="222" spans="1:5" x14ac:dyDescent="0.25">
      <c r="A222">
        <v>93004930</v>
      </c>
      <c r="B222" t="s">
        <v>58</v>
      </c>
      <c r="C222" t="s">
        <v>58</v>
      </c>
    </row>
    <row r="223" spans="1:5" x14ac:dyDescent="0.25">
      <c r="A223" s="29">
        <v>93004891</v>
      </c>
      <c r="B223" s="29" t="s">
        <v>58</v>
      </c>
      <c r="C223" s="29" t="s">
        <v>58</v>
      </c>
      <c r="D223" s="29" t="s">
        <v>472</v>
      </c>
    </row>
    <row r="224" spans="1:5" x14ac:dyDescent="0.25">
      <c r="A224">
        <v>93004899</v>
      </c>
      <c r="B224" t="s">
        <v>58</v>
      </c>
      <c r="C224" t="s">
        <v>58</v>
      </c>
    </row>
    <row r="225" spans="1:4" x14ac:dyDescent="0.25">
      <c r="A225">
        <v>93004907</v>
      </c>
      <c r="B225" t="s">
        <v>58</v>
      </c>
      <c r="C225" t="s">
        <v>58</v>
      </c>
    </row>
    <row r="226" spans="1:4" x14ac:dyDescent="0.25">
      <c r="A226">
        <v>93011028</v>
      </c>
      <c r="B226" t="s">
        <v>58</v>
      </c>
      <c r="C226" t="s">
        <v>58</v>
      </c>
    </row>
    <row r="227" spans="1:4" x14ac:dyDescent="0.25">
      <c r="A227">
        <v>93011029</v>
      </c>
      <c r="B227" t="s">
        <v>58</v>
      </c>
      <c r="C227" t="s">
        <v>58</v>
      </c>
    </row>
    <row r="228" spans="1:4" x14ac:dyDescent="0.25">
      <c r="A228">
        <v>93900822</v>
      </c>
      <c r="B228" t="s">
        <v>58</v>
      </c>
      <c r="C228" t="s">
        <v>58</v>
      </c>
    </row>
    <row r="229" spans="1:4" x14ac:dyDescent="0.25">
      <c r="A229">
        <v>94001641</v>
      </c>
      <c r="B229" t="s">
        <v>58</v>
      </c>
      <c r="C229" t="s">
        <v>58</v>
      </c>
    </row>
    <row r="230" spans="1:4" x14ac:dyDescent="0.25">
      <c r="A230">
        <v>94001642</v>
      </c>
      <c r="B230" t="s">
        <v>58</v>
      </c>
      <c r="C230" t="s">
        <v>58</v>
      </c>
    </row>
    <row r="231" spans="1:4" x14ac:dyDescent="0.25">
      <c r="A231">
        <v>94003570</v>
      </c>
      <c r="B231" t="s">
        <v>58</v>
      </c>
      <c r="C231" t="s">
        <v>58</v>
      </c>
    </row>
    <row r="232" spans="1:4" x14ac:dyDescent="0.25">
      <c r="A232">
        <v>94005683</v>
      </c>
      <c r="B232" t="s">
        <v>58</v>
      </c>
      <c r="C232" t="s">
        <v>58</v>
      </c>
    </row>
    <row r="233" spans="1:4" x14ac:dyDescent="0.25">
      <c r="A233">
        <v>95003069</v>
      </c>
      <c r="B233" t="s">
        <v>58</v>
      </c>
      <c r="C233" t="s">
        <v>58</v>
      </c>
    </row>
    <row r="234" spans="1:4" x14ac:dyDescent="0.25">
      <c r="A234">
        <v>95900369</v>
      </c>
      <c r="B234" t="s">
        <v>58</v>
      </c>
      <c r="C234" t="s">
        <v>58</v>
      </c>
    </row>
    <row r="235" spans="1:4" x14ac:dyDescent="0.25">
      <c r="A235">
        <v>95002423</v>
      </c>
      <c r="B235" t="s">
        <v>58</v>
      </c>
      <c r="C235" t="s">
        <v>58</v>
      </c>
    </row>
    <row r="236" spans="1:4" x14ac:dyDescent="0.25">
      <c r="A236">
        <v>95900196</v>
      </c>
      <c r="B236" t="s">
        <v>58</v>
      </c>
      <c r="C236" t="s">
        <v>58</v>
      </c>
    </row>
    <row r="237" spans="1:4" x14ac:dyDescent="0.25">
      <c r="A237">
        <v>95901063</v>
      </c>
      <c r="B237" t="s">
        <v>58</v>
      </c>
      <c r="C237" t="s">
        <v>58</v>
      </c>
    </row>
    <row r="238" spans="1:4" x14ac:dyDescent="0.25">
      <c r="A238">
        <v>95005913</v>
      </c>
      <c r="B238" s="29" t="s">
        <v>58</v>
      </c>
      <c r="C238" s="29" t="s">
        <v>58</v>
      </c>
      <c r="D238" s="29" t="s">
        <v>472</v>
      </c>
    </row>
    <row r="239" spans="1:4" x14ac:dyDescent="0.25">
      <c r="A239">
        <v>95005914</v>
      </c>
      <c r="B239" s="29" t="s">
        <v>58</v>
      </c>
      <c r="C239" s="29" t="s">
        <v>58</v>
      </c>
      <c r="D239" s="29" t="s">
        <v>472</v>
      </c>
    </row>
    <row r="240" spans="1:4" x14ac:dyDescent="0.25">
      <c r="A240">
        <v>95006170</v>
      </c>
      <c r="B240" t="s">
        <v>58</v>
      </c>
      <c r="C240" t="s">
        <v>58</v>
      </c>
    </row>
    <row r="241" spans="1:4" x14ac:dyDescent="0.25">
      <c r="A241">
        <v>96009330</v>
      </c>
      <c r="B241" t="s">
        <v>58</v>
      </c>
      <c r="C241" t="s">
        <v>58</v>
      </c>
    </row>
    <row r="242" spans="1:4" x14ac:dyDescent="0.25">
      <c r="A242">
        <v>96009331</v>
      </c>
      <c r="B242" t="s">
        <v>58</v>
      </c>
      <c r="C242" t="s">
        <v>58</v>
      </c>
    </row>
    <row r="243" spans="1:4" x14ac:dyDescent="0.25">
      <c r="A243">
        <v>96009333</v>
      </c>
      <c r="B243" t="s">
        <v>58</v>
      </c>
      <c r="C243" t="s">
        <v>58</v>
      </c>
    </row>
    <row r="244" spans="1:4" x14ac:dyDescent="0.25">
      <c r="A244">
        <v>96009335</v>
      </c>
      <c r="B244" t="s">
        <v>58</v>
      </c>
      <c r="C244" t="s">
        <v>58</v>
      </c>
    </row>
    <row r="245" spans="1:4" x14ac:dyDescent="0.25">
      <c r="A245">
        <v>96018835</v>
      </c>
      <c r="B245" s="29" t="s">
        <v>58</v>
      </c>
      <c r="C245" s="29" t="s">
        <v>58</v>
      </c>
      <c r="D245" s="29" t="s">
        <v>472</v>
      </c>
    </row>
    <row r="246" spans="1:4" x14ac:dyDescent="0.25">
      <c r="A246">
        <v>96019757</v>
      </c>
      <c r="B246" t="s">
        <v>58</v>
      </c>
      <c r="C246" t="s">
        <v>58</v>
      </c>
    </row>
    <row r="247" spans="1:4" x14ac:dyDescent="0.25">
      <c r="A247">
        <v>96020743</v>
      </c>
      <c r="B247" t="s">
        <v>58</v>
      </c>
      <c r="C247" t="s">
        <v>58</v>
      </c>
    </row>
    <row r="248" spans="1:4" x14ac:dyDescent="0.25">
      <c r="A248">
        <v>97000059</v>
      </c>
      <c r="B248" t="s">
        <v>58</v>
      </c>
      <c r="C248" t="s">
        <v>58</v>
      </c>
    </row>
    <row r="249" spans="1:4" x14ac:dyDescent="0.25">
      <c r="A249">
        <v>97000100</v>
      </c>
      <c r="B249" s="29" t="s">
        <v>58</v>
      </c>
      <c r="C249" s="29" t="s">
        <v>58</v>
      </c>
      <c r="D249" s="29" t="s">
        <v>472</v>
      </c>
    </row>
    <row r="250" spans="1:4" x14ac:dyDescent="0.25">
      <c r="A250">
        <v>97000104</v>
      </c>
      <c r="B250" t="s">
        <v>58</v>
      </c>
      <c r="C250" t="s">
        <v>58</v>
      </c>
    </row>
    <row r="251" spans="1:4" x14ac:dyDescent="0.25">
      <c r="A251">
        <v>97001281</v>
      </c>
      <c r="B251" s="29" t="s">
        <v>58</v>
      </c>
      <c r="C251" s="29" t="s">
        <v>58</v>
      </c>
      <c r="D251" s="29" t="s">
        <v>472</v>
      </c>
    </row>
    <row r="252" spans="1:4" x14ac:dyDescent="0.25">
      <c r="A252">
        <v>97001399</v>
      </c>
      <c r="B252" t="s">
        <v>58</v>
      </c>
      <c r="C252" t="s">
        <v>58</v>
      </c>
    </row>
    <row r="253" spans="1:4" x14ac:dyDescent="0.25">
      <c r="A253">
        <v>97002109</v>
      </c>
      <c r="B253" t="s">
        <v>58</v>
      </c>
      <c r="C253" t="s">
        <v>58</v>
      </c>
    </row>
    <row r="254" spans="1:4" x14ac:dyDescent="0.25">
      <c r="A254">
        <v>97002119</v>
      </c>
      <c r="B254" t="s">
        <v>58</v>
      </c>
      <c r="C254" t="s">
        <v>58</v>
      </c>
    </row>
    <row r="255" spans="1:4" x14ac:dyDescent="0.25">
      <c r="A255">
        <v>97002122</v>
      </c>
      <c r="B255" t="s">
        <v>58</v>
      </c>
      <c r="C255" t="s">
        <v>58</v>
      </c>
    </row>
    <row r="256" spans="1:4" x14ac:dyDescent="0.25">
      <c r="A256">
        <v>97002123</v>
      </c>
      <c r="B256" t="s">
        <v>58</v>
      </c>
      <c r="C256" t="s">
        <v>58</v>
      </c>
    </row>
    <row r="257" spans="1:4" x14ac:dyDescent="0.25">
      <c r="A257">
        <v>97002146</v>
      </c>
      <c r="B257" t="s">
        <v>58</v>
      </c>
      <c r="C257" t="s">
        <v>58</v>
      </c>
    </row>
    <row r="258" spans="1:4" x14ac:dyDescent="0.25">
      <c r="A258">
        <v>97002147</v>
      </c>
      <c r="B258" t="s">
        <v>58</v>
      </c>
      <c r="C258" t="s">
        <v>58</v>
      </c>
    </row>
    <row r="259" spans="1:4" x14ac:dyDescent="0.25">
      <c r="A259">
        <v>97006262</v>
      </c>
      <c r="B259" t="s">
        <v>58</v>
      </c>
      <c r="C259" t="s">
        <v>58</v>
      </c>
    </row>
    <row r="260" spans="1:4" x14ac:dyDescent="0.25">
      <c r="A260">
        <v>97006274</v>
      </c>
      <c r="B260" t="s">
        <v>58</v>
      </c>
      <c r="C260" t="s">
        <v>58</v>
      </c>
    </row>
    <row r="261" spans="1:4" x14ac:dyDescent="0.25">
      <c r="A261">
        <v>97006282</v>
      </c>
      <c r="B261" s="29" t="s">
        <v>58</v>
      </c>
      <c r="C261" s="29" t="s">
        <v>58</v>
      </c>
      <c r="D261" s="29" t="s">
        <v>472</v>
      </c>
    </row>
    <row r="262" spans="1:4" x14ac:dyDescent="0.25">
      <c r="A262">
        <v>97006287</v>
      </c>
      <c r="B262" t="s">
        <v>58</v>
      </c>
      <c r="C262" t="s">
        <v>58</v>
      </c>
    </row>
    <row r="263" spans="1:4" x14ac:dyDescent="0.25">
      <c r="A263">
        <v>97006351</v>
      </c>
      <c r="B263" s="29" t="s">
        <v>58</v>
      </c>
      <c r="C263" s="29" t="s">
        <v>58</v>
      </c>
      <c r="D263" s="29" t="s">
        <v>472</v>
      </c>
    </row>
    <row r="264" spans="1:4" x14ac:dyDescent="0.25">
      <c r="A264">
        <v>97006354</v>
      </c>
      <c r="B264" t="s">
        <v>58</v>
      </c>
      <c r="C264" t="s">
        <v>58</v>
      </c>
    </row>
    <row r="265" spans="1:4" x14ac:dyDescent="0.25">
      <c r="A265">
        <v>97008939</v>
      </c>
      <c r="B265" t="s">
        <v>58</v>
      </c>
      <c r="C265" t="s">
        <v>58</v>
      </c>
    </row>
    <row r="266" spans="1:4" x14ac:dyDescent="0.25">
      <c r="A266">
        <v>98000010</v>
      </c>
      <c r="B266" s="29" t="s">
        <v>58</v>
      </c>
      <c r="C266" s="29" t="s">
        <v>58</v>
      </c>
      <c r="D266" s="29" t="s">
        <v>472</v>
      </c>
    </row>
    <row r="267" spans="1:4" x14ac:dyDescent="0.25">
      <c r="A267">
        <v>98000015</v>
      </c>
      <c r="B267" t="s">
        <v>58</v>
      </c>
      <c r="C267" t="s">
        <v>58</v>
      </c>
    </row>
    <row r="268" spans="1:4" x14ac:dyDescent="0.25">
      <c r="A268">
        <v>98000021</v>
      </c>
      <c r="B268" t="s">
        <v>58</v>
      </c>
      <c r="C268" t="s">
        <v>58</v>
      </c>
    </row>
    <row r="269" spans="1:4" x14ac:dyDescent="0.25">
      <c r="A269">
        <v>98006131</v>
      </c>
      <c r="B269" t="s">
        <v>58</v>
      </c>
      <c r="C269" t="s">
        <v>58</v>
      </c>
    </row>
    <row r="270" spans="1:4" x14ac:dyDescent="0.25">
      <c r="A270">
        <v>98003738</v>
      </c>
      <c r="B270" s="29" t="s">
        <v>58</v>
      </c>
      <c r="C270" s="29" t="s">
        <v>58</v>
      </c>
      <c r="D270" s="29" t="s">
        <v>472</v>
      </c>
    </row>
    <row r="271" spans="1:4" x14ac:dyDescent="0.25">
      <c r="A271">
        <v>98900372</v>
      </c>
      <c r="B271" t="s">
        <v>58</v>
      </c>
      <c r="C271" t="s">
        <v>58</v>
      </c>
    </row>
    <row r="272" spans="1:4" x14ac:dyDescent="0.25">
      <c r="A272">
        <v>98005969</v>
      </c>
      <c r="B272" t="s">
        <v>58</v>
      </c>
      <c r="C272" t="s">
        <v>58</v>
      </c>
    </row>
    <row r="273" spans="1:3" x14ac:dyDescent="0.25">
      <c r="A273">
        <v>98006116</v>
      </c>
      <c r="B273" t="s">
        <v>58</v>
      </c>
      <c r="C273" t="s">
        <v>58</v>
      </c>
    </row>
    <row r="274" spans="1:3" x14ac:dyDescent="0.25">
      <c r="A274">
        <v>98006121</v>
      </c>
      <c r="B274" t="s">
        <v>58</v>
      </c>
      <c r="C274" t="s">
        <v>58</v>
      </c>
    </row>
    <row r="275" spans="1:3" x14ac:dyDescent="0.25">
      <c r="A275">
        <v>98006128</v>
      </c>
      <c r="B275" t="s">
        <v>58</v>
      </c>
      <c r="C275" t="s">
        <v>58</v>
      </c>
    </row>
    <row r="276" spans="1:3" x14ac:dyDescent="0.25">
      <c r="A276">
        <v>98006137</v>
      </c>
      <c r="B276" t="s">
        <v>58</v>
      </c>
      <c r="C276" t="s">
        <v>58</v>
      </c>
    </row>
    <row r="277" spans="1:3" x14ac:dyDescent="0.25">
      <c r="A277">
        <v>98006138</v>
      </c>
      <c r="B277" t="s">
        <v>58</v>
      </c>
      <c r="C277" t="s">
        <v>58</v>
      </c>
    </row>
    <row r="278" spans="1:3" x14ac:dyDescent="0.25">
      <c r="A278">
        <v>98006360</v>
      </c>
      <c r="B278" t="s">
        <v>58</v>
      </c>
      <c r="C278" t="s">
        <v>58</v>
      </c>
    </row>
    <row r="279" spans="1:3" x14ac:dyDescent="0.25">
      <c r="A279">
        <v>98006369</v>
      </c>
      <c r="B279" t="s">
        <v>58</v>
      </c>
      <c r="C279" t="s">
        <v>58</v>
      </c>
    </row>
    <row r="280" spans="1:3" x14ac:dyDescent="0.25">
      <c r="A280">
        <v>98007004</v>
      </c>
      <c r="B280" t="s">
        <v>58</v>
      </c>
      <c r="C280" t="s">
        <v>58</v>
      </c>
    </row>
    <row r="281" spans="1:3" x14ac:dyDescent="0.25">
      <c r="A281">
        <v>98007052</v>
      </c>
      <c r="B281" t="s">
        <v>58</v>
      </c>
      <c r="C281" t="s">
        <v>58</v>
      </c>
    </row>
    <row r="282" spans="1:3" x14ac:dyDescent="0.25">
      <c r="A282">
        <v>98007055</v>
      </c>
      <c r="B282" t="s">
        <v>58</v>
      </c>
      <c r="C282" t="s">
        <v>58</v>
      </c>
    </row>
    <row r="283" spans="1:3" x14ac:dyDescent="0.25">
      <c r="A283">
        <v>98007058</v>
      </c>
      <c r="B283" t="s">
        <v>58</v>
      </c>
      <c r="C283" t="s">
        <v>58</v>
      </c>
    </row>
    <row r="284" spans="1:3" x14ac:dyDescent="0.25">
      <c r="A284">
        <v>98007003</v>
      </c>
      <c r="B284" t="s">
        <v>58</v>
      </c>
      <c r="C284" t="s">
        <v>58</v>
      </c>
    </row>
    <row r="285" spans="1:3" x14ac:dyDescent="0.25">
      <c r="A285">
        <v>98007010</v>
      </c>
      <c r="B285" t="s">
        <v>58</v>
      </c>
      <c r="C285" t="s">
        <v>58</v>
      </c>
    </row>
    <row r="286" spans="1:3" x14ac:dyDescent="0.25">
      <c r="A286">
        <v>98007394</v>
      </c>
      <c r="B286" t="s">
        <v>58</v>
      </c>
      <c r="C286" t="s">
        <v>58</v>
      </c>
    </row>
    <row r="287" spans="1:3" x14ac:dyDescent="0.25">
      <c r="A287">
        <v>98008071</v>
      </c>
      <c r="B287" t="s">
        <v>58</v>
      </c>
      <c r="C287" t="s">
        <v>58</v>
      </c>
    </row>
    <row r="288" spans="1:3" x14ac:dyDescent="0.25">
      <c r="A288">
        <v>98008095</v>
      </c>
      <c r="B288" t="s">
        <v>58</v>
      </c>
      <c r="C288" t="s">
        <v>58</v>
      </c>
    </row>
    <row r="289" spans="1:4" x14ac:dyDescent="0.25">
      <c r="A289">
        <v>98008110</v>
      </c>
      <c r="B289" s="29" t="s">
        <v>58</v>
      </c>
      <c r="C289" s="29" t="s">
        <v>58</v>
      </c>
      <c r="D289" s="29" t="s">
        <v>472</v>
      </c>
    </row>
    <row r="290" spans="1:4" x14ac:dyDescent="0.25">
      <c r="A290">
        <v>98008111</v>
      </c>
      <c r="B290" t="s">
        <v>58</v>
      </c>
      <c r="C290" t="s">
        <v>58</v>
      </c>
    </row>
    <row r="291" spans="1:4" x14ac:dyDescent="0.25">
      <c r="A291">
        <v>98008314</v>
      </c>
      <c r="B291" s="29" t="s">
        <v>58</v>
      </c>
      <c r="C291" s="29" t="s">
        <v>58</v>
      </c>
      <c r="D291" s="29" t="s">
        <v>472</v>
      </c>
    </row>
    <row r="292" spans="1:4" x14ac:dyDescent="0.25">
      <c r="A292">
        <v>98008320</v>
      </c>
      <c r="B292" t="s">
        <v>58</v>
      </c>
      <c r="C292" t="s">
        <v>58</v>
      </c>
    </row>
    <row r="293" spans="1:4" x14ac:dyDescent="0.25">
      <c r="A293">
        <v>98008321</v>
      </c>
      <c r="B293" t="s">
        <v>58</v>
      </c>
      <c r="C293" t="s">
        <v>58</v>
      </c>
    </row>
    <row r="294" spans="1:4" x14ac:dyDescent="0.25">
      <c r="A294">
        <v>98008326</v>
      </c>
      <c r="B294" s="29" t="s">
        <v>58</v>
      </c>
      <c r="C294" s="29" t="s">
        <v>58</v>
      </c>
      <c r="D294" s="29" t="s">
        <v>472</v>
      </c>
    </row>
    <row r="295" spans="1:4" x14ac:dyDescent="0.25">
      <c r="A295">
        <v>98008658</v>
      </c>
      <c r="B295" t="s">
        <v>58</v>
      </c>
      <c r="C295" t="s">
        <v>58</v>
      </c>
    </row>
    <row r="296" spans="1:4" x14ac:dyDescent="0.25">
      <c r="A296">
        <v>98008663</v>
      </c>
      <c r="B296" t="s">
        <v>58</v>
      </c>
      <c r="C296" t="s">
        <v>4</v>
      </c>
    </row>
    <row r="297" spans="1:4" x14ac:dyDescent="0.25">
      <c r="A297">
        <v>98008671</v>
      </c>
      <c r="B297" t="s">
        <v>58</v>
      </c>
      <c r="C297" t="s">
        <v>58</v>
      </c>
    </row>
    <row r="298" spans="1:4" x14ac:dyDescent="0.25">
      <c r="A298">
        <v>98008684</v>
      </c>
      <c r="B298" t="s">
        <v>58</v>
      </c>
      <c r="C298" t="s">
        <v>58</v>
      </c>
    </row>
    <row r="299" spans="1:4" x14ac:dyDescent="0.25">
      <c r="A299">
        <v>99000717</v>
      </c>
      <c r="B299" s="29" t="s">
        <v>58</v>
      </c>
      <c r="C299" s="29" t="s">
        <v>58</v>
      </c>
      <c r="D299" s="29" t="s">
        <v>472</v>
      </c>
    </row>
    <row r="300" spans="1:4" x14ac:dyDescent="0.25">
      <c r="A300">
        <v>99000794</v>
      </c>
      <c r="B300" t="s">
        <v>58</v>
      </c>
      <c r="C300" t="s">
        <v>58</v>
      </c>
    </row>
    <row r="301" spans="1:4" x14ac:dyDescent="0.25">
      <c r="A301">
        <v>99000798</v>
      </c>
      <c r="B301" t="s">
        <v>58</v>
      </c>
      <c r="C301" t="s">
        <v>58</v>
      </c>
    </row>
    <row r="302" spans="1:4" x14ac:dyDescent="0.25">
      <c r="A302" s="29">
        <v>99000802</v>
      </c>
      <c r="B302" s="29" t="s">
        <v>58</v>
      </c>
      <c r="C302" s="29" t="s">
        <v>58</v>
      </c>
      <c r="D302" s="29" t="s">
        <v>472</v>
      </c>
    </row>
    <row r="303" spans="1:4" x14ac:dyDescent="0.25">
      <c r="A303">
        <v>99000892</v>
      </c>
      <c r="B303" s="29" t="s">
        <v>58</v>
      </c>
      <c r="C303" s="29" t="s">
        <v>58</v>
      </c>
      <c r="D303" s="29" t="s">
        <v>472</v>
      </c>
    </row>
    <row r="304" spans="1:4" x14ac:dyDescent="0.25">
      <c r="A304">
        <v>99000893</v>
      </c>
      <c r="B304" t="s">
        <v>58</v>
      </c>
      <c r="C304" t="s">
        <v>58</v>
      </c>
    </row>
    <row r="305" spans="1:4" x14ac:dyDescent="0.25">
      <c r="A305">
        <v>99000894</v>
      </c>
      <c r="B305" s="29" t="s">
        <v>58</v>
      </c>
      <c r="C305" s="29" t="s">
        <v>58</v>
      </c>
      <c r="D305" s="29" t="s">
        <v>472</v>
      </c>
    </row>
    <row r="306" spans="1:4" x14ac:dyDescent="0.25">
      <c r="A306">
        <v>99000897</v>
      </c>
      <c r="B306" s="29" t="s">
        <v>58</v>
      </c>
      <c r="C306" s="29" t="s">
        <v>58</v>
      </c>
      <c r="D306" s="29" t="s">
        <v>472</v>
      </c>
    </row>
    <row r="307" spans="1:4" x14ac:dyDescent="0.25">
      <c r="A307">
        <v>99000941</v>
      </c>
      <c r="B307" t="s">
        <v>58</v>
      </c>
      <c r="C307" t="s">
        <v>58</v>
      </c>
    </row>
    <row r="308" spans="1:4" x14ac:dyDescent="0.25">
      <c r="A308">
        <v>99000942</v>
      </c>
      <c r="B308" t="s">
        <v>58</v>
      </c>
      <c r="C308" t="s">
        <v>58</v>
      </c>
    </row>
    <row r="309" spans="1:4" x14ac:dyDescent="0.25">
      <c r="A309">
        <v>99900093</v>
      </c>
      <c r="B309" t="s">
        <v>58</v>
      </c>
      <c r="C309" t="s">
        <v>58</v>
      </c>
    </row>
    <row r="310" spans="1:4" x14ac:dyDescent="0.25">
      <c r="A310">
        <v>99001184</v>
      </c>
      <c r="B310" t="s">
        <v>58</v>
      </c>
      <c r="C310" t="s">
        <v>58</v>
      </c>
    </row>
    <row r="311" spans="1:4" x14ac:dyDescent="0.25">
      <c r="A311">
        <v>99001240</v>
      </c>
      <c r="B311" t="s">
        <v>58</v>
      </c>
      <c r="C311" t="s">
        <v>58</v>
      </c>
    </row>
    <row r="312" spans="1:4" x14ac:dyDescent="0.25">
      <c r="A312">
        <v>99001244</v>
      </c>
      <c r="B312" t="s">
        <v>58</v>
      </c>
      <c r="C312" t="s">
        <v>58</v>
      </c>
    </row>
    <row r="313" spans="1:4" x14ac:dyDescent="0.25">
      <c r="A313">
        <v>99001426</v>
      </c>
      <c r="B313" t="s">
        <v>58</v>
      </c>
      <c r="C313" t="s">
        <v>58</v>
      </c>
    </row>
    <row r="314" spans="1:4" x14ac:dyDescent="0.25">
      <c r="A314">
        <v>99001433</v>
      </c>
      <c r="B314" t="s">
        <v>58</v>
      </c>
      <c r="C314" t="s">
        <v>58</v>
      </c>
    </row>
    <row r="315" spans="1:4" x14ac:dyDescent="0.25">
      <c r="A315">
        <v>99001474</v>
      </c>
      <c r="B315" t="s">
        <v>58</v>
      </c>
      <c r="C315" t="s">
        <v>58</v>
      </c>
    </row>
    <row r="316" spans="1:4" x14ac:dyDescent="0.25">
      <c r="A316">
        <v>99001590</v>
      </c>
      <c r="B316" t="s">
        <v>58</v>
      </c>
      <c r="C316" t="s">
        <v>58</v>
      </c>
    </row>
    <row r="317" spans="1:4" x14ac:dyDescent="0.25">
      <c r="A317">
        <v>99001898</v>
      </c>
      <c r="B317" s="29" t="s">
        <v>58</v>
      </c>
      <c r="C317" s="29" t="s">
        <v>58</v>
      </c>
      <c r="D317" s="29" t="s">
        <v>472</v>
      </c>
    </row>
    <row r="318" spans="1:4" x14ac:dyDescent="0.25">
      <c r="A318">
        <v>99001902</v>
      </c>
      <c r="B318" s="29" t="s">
        <v>58</v>
      </c>
      <c r="C318" s="29" t="s">
        <v>58</v>
      </c>
      <c r="D318" s="29" t="s">
        <v>472</v>
      </c>
    </row>
    <row r="319" spans="1:4" x14ac:dyDescent="0.25">
      <c r="A319">
        <v>99001912</v>
      </c>
      <c r="B319" s="29" t="s">
        <v>58</v>
      </c>
      <c r="C319" s="29" t="s">
        <v>58</v>
      </c>
      <c r="D319" s="29" t="s">
        <v>472</v>
      </c>
    </row>
    <row r="320" spans="1:4" x14ac:dyDescent="0.25">
      <c r="A320">
        <v>99001914</v>
      </c>
      <c r="B320" t="s">
        <v>58</v>
      </c>
      <c r="C320" t="s">
        <v>58</v>
      </c>
    </row>
    <row r="321" spans="1:4" x14ac:dyDescent="0.25">
      <c r="A321">
        <v>99001917</v>
      </c>
      <c r="B321" t="s">
        <v>58</v>
      </c>
      <c r="C321" t="s">
        <v>58</v>
      </c>
    </row>
    <row r="322" spans="1:4" x14ac:dyDescent="0.25">
      <c r="A322">
        <v>99001923</v>
      </c>
      <c r="B322" t="s">
        <v>58</v>
      </c>
      <c r="C322" t="s">
        <v>58</v>
      </c>
    </row>
    <row r="323" spans="1:4" x14ac:dyDescent="0.25">
      <c r="A323">
        <v>99001927</v>
      </c>
      <c r="B323" s="29" t="s">
        <v>58</v>
      </c>
      <c r="C323" s="29" t="s">
        <v>58</v>
      </c>
      <c r="D323" s="29"/>
    </row>
    <row r="324" spans="1:4" x14ac:dyDescent="0.25">
      <c r="A324">
        <v>99001943</v>
      </c>
      <c r="B324" s="29" t="s">
        <v>58</v>
      </c>
      <c r="C324" s="29" t="s">
        <v>58</v>
      </c>
      <c r="D324" s="29"/>
    </row>
    <row r="325" spans="1:4" x14ac:dyDescent="0.25">
      <c r="A325">
        <v>99002159</v>
      </c>
      <c r="B325" t="s">
        <v>58</v>
      </c>
      <c r="C325" t="s">
        <v>58</v>
      </c>
    </row>
    <row r="326" spans="1:4" x14ac:dyDescent="0.25">
      <c r="A326">
        <v>99002522</v>
      </c>
      <c r="B326" t="s">
        <v>58</v>
      </c>
      <c r="C326" t="s">
        <v>58</v>
      </c>
    </row>
    <row r="327" spans="1:4" x14ac:dyDescent="0.25">
      <c r="A327">
        <v>99002523</v>
      </c>
      <c r="B327" t="s">
        <v>58</v>
      </c>
      <c r="C327" t="s">
        <v>58</v>
      </c>
    </row>
    <row r="328" spans="1:4" x14ac:dyDescent="0.25">
      <c r="A328">
        <v>99002534</v>
      </c>
      <c r="B328" t="s">
        <v>58</v>
      </c>
      <c r="C328" t="s">
        <v>58</v>
      </c>
    </row>
    <row r="329" spans="1:4" x14ac:dyDescent="0.25">
      <c r="A329">
        <v>99002539</v>
      </c>
      <c r="B329" t="s">
        <v>58</v>
      </c>
      <c r="C329" t="s">
        <v>58</v>
      </c>
    </row>
    <row r="330" spans="1:4" x14ac:dyDescent="0.25">
      <c r="A330">
        <v>99002542</v>
      </c>
      <c r="B330" t="s">
        <v>58</v>
      </c>
      <c r="C330" t="s">
        <v>58</v>
      </c>
    </row>
    <row r="331" spans="1:4" x14ac:dyDescent="0.25">
      <c r="A331">
        <v>99004055</v>
      </c>
      <c r="B331" t="s">
        <v>58</v>
      </c>
      <c r="C331" t="s">
        <v>58</v>
      </c>
    </row>
    <row r="332" spans="1:4" x14ac:dyDescent="0.25">
      <c r="A332">
        <v>99004058</v>
      </c>
      <c r="B332" t="s">
        <v>58</v>
      </c>
      <c r="C332" t="s">
        <v>58</v>
      </c>
    </row>
    <row r="333" spans="1:4" x14ac:dyDescent="0.25">
      <c r="A333">
        <v>99004059</v>
      </c>
      <c r="B333" t="s">
        <v>58</v>
      </c>
      <c r="C333" t="s">
        <v>58</v>
      </c>
    </row>
    <row r="334" spans="1:4" x14ac:dyDescent="0.25">
      <c r="A334">
        <v>1481</v>
      </c>
      <c r="B334" t="s">
        <v>58</v>
      </c>
      <c r="C334" t="s">
        <v>58</v>
      </c>
    </row>
    <row r="335" spans="1:4" x14ac:dyDescent="0.25">
      <c r="A335">
        <v>1480</v>
      </c>
      <c r="B335" s="29" t="s">
        <v>58</v>
      </c>
      <c r="C335" s="29" t="s">
        <v>58</v>
      </c>
      <c r="D335" s="29" t="s">
        <v>472</v>
      </c>
    </row>
    <row r="336" spans="1:4" x14ac:dyDescent="0.25">
      <c r="A336">
        <v>1483</v>
      </c>
      <c r="B336" t="s">
        <v>58</v>
      </c>
      <c r="C336" t="s">
        <v>58</v>
      </c>
    </row>
    <row r="337" spans="1:4" x14ac:dyDescent="0.25">
      <c r="A337">
        <v>1506</v>
      </c>
      <c r="B337" s="29" t="s">
        <v>58</v>
      </c>
      <c r="C337" s="29" t="s">
        <v>58</v>
      </c>
      <c r="D337" s="29" t="s">
        <v>472</v>
      </c>
    </row>
    <row r="338" spans="1:4" x14ac:dyDescent="0.25">
      <c r="A338">
        <v>1510</v>
      </c>
      <c r="B338" t="s">
        <v>58</v>
      </c>
      <c r="C338" t="s">
        <v>58</v>
      </c>
    </row>
    <row r="339" spans="1:4" x14ac:dyDescent="0.25">
      <c r="A339">
        <v>200096</v>
      </c>
      <c r="B339" t="s">
        <v>58</v>
      </c>
      <c r="C339" t="s">
        <v>58</v>
      </c>
    </row>
    <row r="340" spans="1:4" x14ac:dyDescent="0.25">
      <c r="A340">
        <v>8394</v>
      </c>
      <c r="B340" t="s">
        <v>58</v>
      </c>
      <c r="C340" t="s">
        <v>58</v>
      </c>
    </row>
    <row r="341" spans="1:4" x14ac:dyDescent="0.25">
      <c r="A341">
        <v>1000192</v>
      </c>
      <c r="B341" s="29" t="s">
        <v>58</v>
      </c>
      <c r="C341" s="29" t="s">
        <v>58</v>
      </c>
      <c r="D341" s="29" t="s">
        <v>472</v>
      </c>
    </row>
    <row r="342" spans="1:4" x14ac:dyDescent="0.25">
      <c r="A342">
        <v>1000193</v>
      </c>
      <c r="B342" t="s">
        <v>58</v>
      </c>
      <c r="C342" t="s">
        <v>58</v>
      </c>
    </row>
    <row r="343" spans="1:4" x14ac:dyDescent="0.25">
      <c r="A343">
        <v>1000197</v>
      </c>
      <c r="B343" s="29" t="s">
        <v>58</v>
      </c>
      <c r="C343" s="29" t="s">
        <v>58</v>
      </c>
      <c r="D343" s="29" t="s">
        <v>472</v>
      </c>
    </row>
    <row r="344" spans="1:4" x14ac:dyDescent="0.25">
      <c r="A344">
        <v>1000212</v>
      </c>
      <c r="B344" t="s">
        <v>58</v>
      </c>
      <c r="C344" t="s">
        <v>58</v>
      </c>
    </row>
    <row r="345" spans="1:4" x14ac:dyDescent="0.25">
      <c r="A345">
        <v>1003215</v>
      </c>
      <c r="B345" s="29" t="s">
        <v>58</v>
      </c>
      <c r="C345" s="29" t="s">
        <v>58</v>
      </c>
      <c r="D345" s="29" t="s">
        <v>472</v>
      </c>
    </row>
    <row r="346" spans="1:4" x14ac:dyDescent="0.25">
      <c r="A346">
        <v>1008526</v>
      </c>
      <c r="B346" t="s">
        <v>58</v>
      </c>
      <c r="C346" t="s">
        <v>58</v>
      </c>
    </row>
    <row r="347" spans="1:4" x14ac:dyDescent="0.25">
      <c r="A347">
        <v>1008529</v>
      </c>
      <c r="B347" s="29" t="s">
        <v>58</v>
      </c>
      <c r="C347" s="29" t="s">
        <v>58</v>
      </c>
      <c r="D347" s="29"/>
    </row>
    <row r="348" spans="1:4" x14ac:dyDescent="0.25">
      <c r="A348">
        <v>1008536</v>
      </c>
      <c r="B348" t="s">
        <v>58</v>
      </c>
      <c r="C348" t="s">
        <v>58</v>
      </c>
    </row>
    <row r="349" spans="1:4" x14ac:dyDescent="0.25">
      <c r="A349">
        <v>1008542</v>
      </c>
      <c r="B349" t="s">
        <v>58</v>
      </c>
      <c r="C349" t="s">
        <v>58</v>
      </c>
    </row>
    <row r="350" spans="1:4" x14ac:dyDescent="0.25">
      <c r="A350">
        <v>1010450</v>
      </c>
      <c r="B350" t="s">
        <v>58</v>
      </c>
      <c r="C350" t="s">
        <v>58</v>
      </c>
    </row>
    <row r="351" spans="1:4" x14ac:dyDescent="0.25">
      <c r="A351">
        <v>1010459</v>
      </c>
      <c r="B351" s="29" t="s">
        <v>58</v>
      </c>
      <c r="C351" s="29" t="s">
        <v>58</v>
      </c>
      <c r="D351" s="29" t="s">
        <v>472</v>
      </c>
    </row>
    <row r="352" spans="1:4" x14ac:dyDescent="0.25">
      <c r="A352">
        <v>1010464</v>
      </c>
      <c r="B352" t="s">
        <v>58</v>
      </c>
      <c r="C352" t="s">
        <v>58</v>
      </c>
    </row>
    <row r="353" spans="1:4" x14ac:dyDescent="0.25">
      <c r="A353">
        <v>1010467</v>
      </c>
      <c r="B353" t="s">
        <v>58</v>
      </c>
      <c r="C353" t="s">
        <v>58</v>
      </c>
    </row>
    <row r="354" spans="1:4" x14ac:dyDescent="0.25">
      <c r="A354">
        <v>1010471</v>
      </c>
      <c r="B354" t="s">
        <v>58</v>
      </c>
      <c r="C354" t="s">
        <v>58</v>
      </c>
    </row>
    <row r="355" spans="1:4" x14ac:dyDescent="0.25">
      <c r="A355">
        <v>2005472</v>
      </c>
      <c r="B355" s="29" t="s">
        <v>58</v>
      </c>
      <c r="C355" s="29" t="s">
        <v>58</v>
      </c>
      <c r="D355" s="29" t="s">
        <v>472</v>
      </c>
    </row>
    <row r="356" spans="1:4" x14ac:dyDescent="0.25">
      <c r="A356">
        <v>2005480</v>
      </c>
      <c r="B356" t="s">
        <v>58</v>
      </c>
      <c r="C356" t="s">
        <v>58</v>
      </c>
    </row>
    <row r="357" spans="1:4" x14ac:dyDescent="0.25">
      <c r="A357">
        <v>2005483</v>
      </c>
      <c r="B357" t="s">
        <v>58</v>
      </c>
      <c r="C357" t="s">
        <v>58</v>
      </c>
    </row>
    <row r="358" spans="1:4" x14ac:dyDescent="0.25">
      <c r="A358">
        <v>2005484</v>
      </c>
      <c r="B358" t="s">
        <v>58</v>
      </c>
      <c r="C358" t="s">
        <v>58</v>
      </c>
    </row>
    <row r="359" spans="1:4" x14ac:dyDescent="0.25">
      <c r="A359">
        <v>2005493</v>
      </c>
      <c r="B359" t="s">
        <v>58</v>
      </c>
      <c r="C359" t="s">
        <v>58</v>
      </c>
    </row>
    <row r="360" spans="1:4" x14ac:dyDescent="0.25">
      <c r="A360">
        <v>2005499</v>
      </c>
      <c r="B360" t="s">
        <v>58</v>
      </c>
      <c r="C360" t="s">
        <v>58</v>
      </c>
    </row>
    <row r="361" spans="1:4" x14ac:dyDescent="0.25">
      <c r="A361">
        <v>2005503</v>
      </c>
      <c r="B361" t="s">
        <v>58</v>
      </c>
      <c r="C361" t="s">
        <v>58</v>
      </c>
    </row>
    <row r="362" spans="1:4" x14ac:dyDescent="0.25">
      <c r="A362">
        <v>3014409</v>
      </c>
      <c r="B362" t="s">
        <v>58</v>
      </c>
      <c r="C362" t="s">
        <v>58</v>
      </c>
    </row>
    <row r="363" spans="1:4" x14ac:dyDescent="0.25">
      <c r="A363">
        <v>3014766</v>
      </c>
      <c r="B363" t="s">
        <v>58</v>
      </c>
      <c r="C363" t="s">
        <v>58</v>
      </c>
    </row>
    <row r="364" spans="1:4" x14ac:dyDescent="0.25">
      <c r="A364">
        <v>3014768</v>
      </c>
      <c r="B364" t="s">
        <v>58</v>
      </c>
      <c r="C364" t="s">
        <v>58</v>
      </c>
    </row>
    <row r="365" spans="1:4" x14ac:dyDescent="0.25">
      <c r="A365">
        <v>3014798</v>
      </c>
      <c r="B365" t="s">
        <v>58</v>
      </c>
      <c r="C365" t="s">
        <v>58</v>
      </c>
    </row>
    <row r="366" spans="1:4" x14ac:dyDescent="0.25">
      <c r="A366">
        <v>3014800</v>
      </c>
      <c r="B366" t="s">
        <v>58</v>
      </c>
      <c r="C366" t="s">
        <v>58</v>
      </c>
    </row>
    <row r="367" spans="1:4" x14ac:dyDescent="0.25">
      <c r="A367">
        <v>3014802</v>
      </c>
      <c r="B367" t="s">
        <v>58</v>
      </c>
      <c r="C367" t="s">
        <v>58</v>
      </c>
    </row>
    <row r="368" spans="1:4" x14ac:dyDescent="0.25">
      <c r="A368">
        <v>3014961</v>
      </c>
      <c r="B368" t="s">
        <v>58</v>
      </c>
      <c r="C368" t="s">
        <v>58</v>
      </c>
    </row>
    <row r="369" spans="1:4" x14ac:dyDescent="0.25">
      <c r="A369">
        <v>3015293</v>
      </c>
      <c r="B369" t="s">
        <v>58</v>
      </c>
      <c r="C369" t="s">
        <v>58</v>
      </c>
    </row>
    <row r="370" spans="1:4" x14ac:dyDescent="0.25">
      <c r="A370">
        <v>3015398</v>
      </c>
      <c r="B370" s="29" t="s">
        <v>58</v>
      </c>
      <c r="C370" s="29" t="s">
        <v>58</v>
      </c>
      <c r="D370" s="29" t="s">
        <v>472</v>
      </c>
    </row>
    <row r="371" spans="1:4" x14ac:dyDescent="0.25">
      <c r="A371">
        <v>3016250</v>
      </c>
      <c r="B371" t="s">
        <v>58</v>
      </c>
      <c r="C371" t="s">
        <v>4</v>
      </c>
    </row>
    <row r="372" spans="1:4" x14ac:dyDescent="0.25">
      <c r="A372">
        <v>4000318</v>
      </c>
      <c r="B372" s="29" t="s">
        <v>58</v>
      </c>
      <c r="C372" s="29" t="s">
        <v>58</v>
      </c>
      <c r="D372" s="29" t="s">
        <v>472</v>
      </c>
    </row>
    <row r="373" spans="1:4" x14ac:dyDescent="0.25">
      <c r="A373">
        <v>4000327</v>
      </c>
      <c r="B373" t="s">
        <v>58</v>
      </c>
      <c r="C373" t="s">
        <v>58</v>
      </c>
    </row>
    <row r="374" spans="1:4" x14ac:dyDescent="0.25">
      <c r="A374">
        <v>4000336</v>
      </c>
      <c r="B374" t="s">
        <v>58</v>
      </c>
      <c r="C374" t="s">
        <v>58</v>
      </c>
    </row>
    <row r="375" spans="1:4" x14ac:dyDescent="0.25">
      <c r="A375">
        <v>4000343</v>
      </c>
      <c r="B375" t="s">
        <v>58</v>
      </c>
      <c r="C375" t="s">
        <v>58</v>
      </c>
    </row>
    <row r="376" spans="1:4" x14ac:dyDescent="0.25">
      <c r="A376">
        <v>4000350</v>
      </c>
      <c r="B376" t="s">
        <v>58</v>
      </c>
      <c r="C376" t="s">
        <v>58</v>
      </c>
    </row>
    <row r="377" spans="1:4" x14ac:dyDescent="0.25">
      <c r="A377">
        <v>4003543</v>
      </c>
      <c r="B377" s="29" t="s">
        <v>58</v>
      </c>
      <c r="C377" s="29" t="s">
        <v>4</v>
      </c>
      <c r="D377" s="29" t="s">
        <v>472</v>
      </c>
    </row>
    <row r="378" spans="1:4" x14ac:dyDescent="0.25">
      <c r="A378">
        <v>5006468</v>
      </c>
      <c r="B378" s="29" t="s">
        <v>58</v>
      </c>
      <c r="C378" s="29" t="s">
        <v>58</v>
      </c>
      <c r="D378" s="29" t="s">
        <v>472</v>
      </c>
    </row>
    <row r="379" spans="1:4" x14ac:dyDescent="0.25">
      <c r="A379">
        <v>5009958</v>
      </c>
      <c r="B379" t="s">
        <v>58</v>
      </c>
      <c r="C379" t="s">
        <v>58</v>
      </c>
    </row>
    <row r="380" spans="1:4" x14ac:dyDescent="0.25">
      <c r="A380">
        <v>8008191</v>
      </c>
      <c r="B380" s="29" t="s">
        <v>58</v>
      </c>
      <c r="C380" s="29" t="s">
        <v>4</v>
      </c>
      <c r="D380" s="29" t="s">
        <v>472</v>
      </c>
    </row>
    <row r="381" spans="1:4" x14ac:dyDescent="0.25">
      <c r="A381">
        <v>8008881</v>
      </c>
      <c r="B381" t="s">
        <v>58</v>
      </c>
      <c r="C381" t="s">
        <v>4</v>
      </c>
    </row>
    <row r="382" spans="1:4" x14ac:dyDescent="0.25">
      <c r="A382">
        <v>8009522</v>
      </c>
      <c r="B382" t="s">
        <v>58</v>
      </c>
      <c r="C382" t="s">
        <v>4</v>
      </c>
    </row>
    <row r="383" spans="1:4" x14ac:dyDescent="0.25">
      <c r="A383">
        <v>8009364</v>
      </c>
      <c r="B383" s="29" t="s">
        <v>58</v>
      </c>
      <c r="C383" s="29" t="s">
        <v>4</v>
      </c>
      <c r="D383" s="29" t="s">
        <v>472</v>
      </c>
    </row>
    <row r="384" spans="1:4" x14ac:dyDescent="0.25">
      <c r="A384">
        <v>8009502</v>
      </c>
      <c r="B384" t="s">
        <v>58</v>
      </c>
      <c r="C384" t="s">
        <v>4</v>
      </c>
    </row>
    <row r="385" spans="1:4" x14ac:dyDescent="0.25">
      <c r="A385">
        <v>8013929</v>
      </c>
      <c r="B385" t="s">
        <v>58</v>
      </c>
      <c r="C385" t="s">
        <v>4</v>
      </c>
    </row>
    <row r="386" spans="1:4" x14ac:dyDescent="0.25">
      <c r="A386">
        <v>8014064</v>
      </c>
      <c r="B386" t="s">
        <v>58</v>
      </c>
      <c r="C386" t="s">
        <v>4</v>
      </c>
    </row>
    <row r="387" spans="1:4" x14ac:dyDescent="0.25">
      <c r="A387">
        <v>8014070</v>
      </c>
      <c r="B387" t="s">
        <v>58</v>
      </c>
      <c r="C387" t="s">
        <v>4</v>
      </c>
    </row>
    <row r="388" spans="1:4" x14ac:dyDescent="0.25">
      <c r="A388">
        <v>8014082</v>
      </c>
      <c r="B388" t="s">
        <v>58</v>
      </c>
      <c r="C388" t="s">
        <v>4</v>
      </c>
    </row>
    <row r="389" spans="1:4" x14ac:dyDescent="0.25">
      <c r="A389">
        <v>8014087</v>
      </c>
      <c r="B389" t="s">
        <v>58</v>
      </c>
      <c r="C389" t="s">
        <v>4</v>
      </c>
    </row>
    <row r="390" spans="1:4" x14ac:dyDescent="0.25">
      <c r="A390">
        <v>8014097</v>
      </c>
      <c r="B390" t="s">
        <v>58</v>
      </c>
      <c r="C390" t="s">
        <v>4</v>
      </c>
    </row>
    <row r="391" spans="1:4" x14ac:dyDescent="0.25">
      <c r="A391">
        <v>8016537</v>
      </c>
      <c r="B391" t="s">
        <v>58</v>
      </c>
      <c r="C391" t="s">
        <v>4</v>
      </c>
    </row>
    <row r="392" spans="1:4" x14ac:dyDescent="0.25">
      <c r="A392">
        <v>8016572</v>
      </c>
      <c r="B392" t="s">
        <v>58</v>
      </c>
      <c r="C392" t="s">
        <v>58</v>
      </c>
    </row>
    <row r="393" spans="1:4" x14ac:dyDescent="0.25">
      <c r="A393">
        <v>8017576</v>
      </c>
      <c r="B393" t="s">
        <v>58</v>
      </c>
      <c r="C393" t="s">
        <v>4</v>
      </c>
    </row>
    <row r="394" spans="1:4" x14ac:dyDescent="0.25">
      <c r="A394">
        <v>8017844</v>
      </c>
      <c r="B394" t="s">
        <v>58</v>
      </c>
      <c r="C394" t="s">
        <v>4</v>
      </c>
    </row>
    <row r="395" spans="1:4" x14ac:dyDescent="0.25">
      <c r="A395">
        <v>8027908</v>
      </c>
      <c r="B395" s="29" t="s">
        <v>58</v>
      </c>
      <c r="C395" s="29" t="s">
        <v>4</v>
      </c>
      <c r="D395" s="29" t="s">
        <v>472</v>
      </c>
    </row>
    <row r="396" spans="1:4" x14ac:dyDescent="0.25">
      <c r="A396">
        <v>8021152</v>
      </c>
      <c r="B396" t="s">
        <v>58</v>
      </c>
      <c r="C396" t="s">
        <v>4</v>
      </c>
    </row>
    <row r="397" spans="1:4" x14ac:dyDescent="0.25">
      <c r="A397">
        <v>8030335</v>
      </c>
      <c r="B397" t="s">
        <v>58</v>
      </c>
      <c r="C397" t="s">
        <v>4</v>
      </c>
    </row>
    <row r="398" spans="1:4" x14ac:dyDescent="0.25">
      <c r="A398">
        <v>8042815</v>
      </c>
      <c r="B398" t="s">
        <v>58</v>
      </c>
      <c r="C398" t="s">
        <v>4</v>
      </c>
    </row>
    <row r="399" spans="1:4" x14ac:dyDescent="0.25">
      <c r="A399">
        <v>8146362</v>
      </c>
      <c r="B399" t="s">
        <v>58</v>
      </c>
      <c r="C399" t="s">
        <v>4</v>
      </c>
    </row>
    <row r="400" spans="1:4" x14ac:dyDescent="0.25">
      <c r="A400">
        <v>8148338</v>
      </c>
      <c r="B400" s="29" t="s">
        <v>58</v>
      </c>
      <c r="C400" s="29" t="s">
        <v>4</v>
      </c>
      <c r="D400" s="29" t="s">
        <v>472</v>
      </c>
    </row>
    <row r="401" spans="1:5" x14ac:dyDescent="0.25">
      <c r="A401">
        <v>8148882</v>
      </c>
      <c r="B401" t="s">
        <v>58</v>
      </c>
      <c r="C401" t="s">
        <v>4</v>
      </c>
    </row>
    <row r="402" spans="1:5" x14ac:dyDescent="0.25">
      <c r="A402">
        <v>9001075</v>
      </c>
      <c r="B402" s="29" t="s">
        <v>58</v>
      </c>
      <c r="C402" s="29" t="s">
        <v>58</v>
      </c>
      <c r="D402" s="29" t="s">
        <v>472</v>
      </c>
    </row>
    <row r="403" spans="1:5" x14ac:dyDescent="0.25">
      <c r="A403">
        <v>9002805</v>
      </c>
      <c r="B403" t="s">
        <v>58</v>
      </c>
      <c r="C403" t="s">
        <v>58</v>
      </c>
    </row>
    <row r="404" spans="1:5" x14ac:dyDescent="0.25">
      <c r="A404">
        <v>9003225</v>
      </c>
      <c r="B404" s="29" t="s">
        <v>58</v>
      </c>
      <c r="C404" s="29" t="s">
        <v>58</v>
      </c>
      <c r="D404" s="29" t="s">
        <v>472</v>
      </c>
    </row>
    <row r="405" spans="1:5" x14ac:dyDescent="0.25">
      <c r="A405">
        <v>9003356</v>
      </c>
      <c r="B405" s="29" t="s">
        <v>58</v>
      </c>
      <c r="C405" s="29" t="s">
        <v>58</v>
      </c>
      <c r="D405" s="29" t="s">
        <v>472</v>
      </c>
    </row>
    <row r="406" spans="1:5" x14ac:dyDescent="0.25">
      <c r="A406">
        <v>9003393</v>
      </c>
      <c r="B406" t="s">
        <v>58</v>
      </c>
      <c r="C406" t="s">
        <v>58</v>
      </c>
    </row>
    <row r="407" spans="1:5" x14ac:dyDescent="0.25">
      <c r="A407" s="1">
        <v>9108231</v>
      </c>
      <c r="B407" s="29" t="s">
        <v>4</v>
      </c>
      <c r="C407" s="29" t="s">
        <v>4</v>
      </c>
      <c r="D407" s="29" t="s">
        <v>472</v>
      </c>
      <c r="E407" t="s">
        <v>476</v>
      </c>
    </row>
    <row r="408" spans="1:5" x14ac:dyDescent="0.25">
      <c r="A408">
        <v>10024784</v>
      </c>
      <c r="B408" t="s">
        <v>58</v>
      </c>
      <c r="C408" t="s">
        <v>4</v>
      </c>
    </row>
    <row r="409" spans="1:5" x14ac:dyDescent="0.25">
      <c r="A409">
        <v>10025329</v>
      </c>
      <c r="B409" t="s">
        <v>58</v>
      </c>
      <c r="C409" t="s">
        <v>4</v>
      </c>
    </row>
    <row r="410" spans="1:5" x14ac:dyDescent="0.25">
      <c r="A410">
        <v>10029852</v>
      </c>
      <c r="B410" t="s">
        <v>58</v>
      </c>
      <c r="C410" t="s">
        <v>4</v>
      </c>
    </row>
    <row r="411" spans="1:5" x14ac:dyDescent="0.25">
      <c r="A411">
        <v>10030567</v>
      </c>
      <c r="B411" t="s">
        <v>58</v>
      </c>
      <c r="C411" t="s">
        <v>4</v>
      </c>
    </row>
    <row r="412" spans="1:5" x14ac:dyDescent="0.25">
      <c r="A412">
        <v>10028893</v>
      </c>
      <c r="B412" t="s">
        <v>58</v>
      </c>
      <c r="C412" t="s">
        <v>4</v>
      </c>
    </row>
    <row r="413" spans="1:5" x14ac:dyDescent="0.25">
      <c r="A413">
        <v>10038990</v>
      </c>
      <c r="B413" t="s">
        <v>58</v>
      </c>
      <c r="C413" t="s">
        <v>4</v>
      </c>
    </row>
    <row r="414" spans="1:5" x14ac:dyDescent="0.25">
      <c r="A414">
        <v>10039872</v>
      </c>
      <c r="B414" s="29" t="s">
        <v>58</v>
      </c>
      <c r="C414" s="29" t="s">
        <v>4</v>
      </c>
      <c r="D414" s="29" t="s">
        <v>472</v>
      </c>
    </row>
    <row r="415" spans="1:5" x14ac:dyDescent="0.25">
      <c r="A415">
        <v>10096009</v>
      </c>
      <c r="B415" t="s">
        <v>58</v>
      </c>
      <c r="C415" t="s">
        <v>4</v>
      </c>
    </row>
    <row r="416" spans="1:5" x14ac:dyDescent="0.25">
      <c r="A416">
        <v>11236823</v>
      </c>
      <c r="B416" t="s">
        <v>58</v>
      </c>
      <c r="C416" t="s">
        <v>4</v>
      </c>
    </row>
    <row r="417" spans="1:5" x14ac:dyDescent="0.25">
      <c r="A417">
        <v>14248672</v>
      </c>
      <c r="B417" t="s">
        <v>58</v>
      </c>
      <c r="C417" t="s">
        <v>4</v>
      </c>
    </row>
    <row r="419" spans="1:5" x14ac:dyDescent="0.25">
      <c r="A419">
        <v>92006324</v>
      </c>
      <c r="B419" t="s">
        <v>58</v>
      </c>
      <c r="C419" t="s">
        <v>58</v>
      </c>
      <c r="E419" t="s">
        <v>474</v>
      </c>
    </row>
    <row r="420" spans="1:5" x14ac:dyDescent="0.25">
      <c r="A420">
        <v>92008038</v>
      </c>
      <c r="B420" t="s">
        <v>58</v>
      </c>
      <c r="C420" t="s">
        <v>58</v>
      </c>
    </row>
    <row r="421" spans="1:5" x14ac:dyDescent="0.25">
      <c r="A421">
        <v>95003062</v>
      </c>
      <c r="B421" t="s">
        <v>58</v>
      </c>
      <c r="C421" t="s">
        <v>58</v>
      </c>
    </row>
    <row r="422" spans="1:5" x14ac:dyDescent="0.25">
      <c r="A422">
        <v>96901568</v>
      </c>
      <c r="B422" t="s">
        <v>58</v>
      </c>
      <c r="C422" t="s">
        <v>58</v>
      </c>
    </row>
    <row r="423" spans="1:5" x14ac:dyDescent="0.25">
      <c r="A423">
        <v>97000096</v>
      </c>
      <c r="B423" t="s">
        <v>58</v>
      </c>
      <c r="C423" t="s">
        <v>58</v>
      </c>
    </row>
    <row r="424" spans="1:5" x14ac:dyDescent="0.25">
      <c r="A424">
        <v>97000099</v>
      </c>
      <c r="B424" t="s">
        <v>58</v>
      </c>
      <c r="C424" t="s">
        <v>58</v>
      </c>
    </row>
    <row r="425" spans="1:5" x14ac:dyDescent="0.25">
      <c r="A425">
        <v>97000103</v>
      </c>
      <c r="B425" t="s">
        <v>58</v>
      </c>
      <c r="C425" t="s">
        <v>58</v>
      </c>
    </row>
    <row r="426" spans="1:5" x14ac:dyDescent="0.25">
      <c r="A426">
        <v>97000117</v>
      </c>
      <c r="B426" t="s">
        <v>58</v>
      </c>
      <c r="C426" t="s">
        <v>58</v>
      </c>
    </row>
    <row r="427" spans="1:5" x14ac:dyDescent="0.25">
      <c r="A427">
        <v>97006284</v>
      </c>
      <c r="B427" t="s">
        <v>58</v>
      </c>
      <c r="C427" t="s">
        <v>58</v>
      </c>
    </row>
    <row r="428" spans="1:5" x14ac:dyDescent="0.25">
      <c r="A428">
        <v>98000014</v>
      </c>
      <c r="B428" t="s">
        <v>58</v>
      </c>
      <c r="C428" t="s">
        <v>4</v>
      </c>
    </row>
    <row r="429" spans="1:5" x14ac:dyDescent="0.25">
      <c r="A429">
        <v>98003750</v>
      </c>
      <c r="B429" t="s">
        <v>58</v>
      </c>
      <c r="C429" t="s">
        <v>58</v>
      </c>
    </row>
    <row r="430" spans="1:5" x14ac:dyDescent="0.25">
      <c r="A430">
        <v>98003759</v>
      </c>
      <c r="B430" t="s">
        <v>58</v>
      </c>
      <c r="C430" t="s">
        <v>58</v>
      </c>
    </row>
    <row r="431" spans="1:5" x14ac:dyDescent="0.25">
      <c r="A431">
        <v>98007059</v>
      </c>
      <c r="B431" t="s">
        <v>58</v>
      </c>
      <c r="C431" t="s">
        <v>58</v>
      </c>
    </row>
    <row r="432" spans="1:5" x14ac:dyDescent="0.25">
      <c r="A432">
        <v>98007053</v>
      </c>
      <c r="B432" t="s">
        <v>58</v>
      </c>
      <c r="C432" t="s">
        <v>58</v>
      </c>
    </row>
    <row r="433" spans="1:5" x14ac:dyDescent="0.25">
      <c r="A433">
        <v>98008650</v>
      </c>
      <c r="B433" t="s">
        <v>58</v>
      </c>
      <c r="C433" t="s">
        <v>58</v>
      </c>
    </row>
    <row r="434" spans="1:5" x14ac:dyDescent="0.25">
      <c r="A434">
        <v>99001245</v>
      </c>
      <c r="B434" s="29" t="s">
        <v>58</v>
      </c>
      <c r="C434" s="29" t="s">
        <v>58</v>
      </c>
      <c r="D434" s="29" t="s">
        <v>472</v>
      </c>
    </row>
    <row r="435" spans="1:5" x14ac:dyDescent="0.25">
      <c r="A435">
        <v>99001924</v>
      </c>
      <c r="B435" t="s">
        <v>58</v>
      </c>
      <c r="C435" t="s">
        <v>58</v>
      </c>
    </row>
    <row r="436" spans="1:5" x14ac:dyDescent="0.25">
      <c r="A436">
        <v>99001937</v>
      </c>
      <c r="B436" s="29" t="s">
        <v>58</v>
      </c>
      <c r="C436" s="29" t="s">
        <v>58</v>
      </c>
      <c r="D436" s="29" t="s">
        <v>472</v>
      </c>
    </row>
    <row r="437" spans="1:5" x14ac:dyDescent="0.25">
      <c r="A437">
        <v>99002548</v>
      </c>
      <c r="B437" s="29" t="s">
        <v>58</v>
      </c>
      <c r="C437" s="29" t="s">
        <v>58</v>
      </c>
      <c r="D437" s="29" t="s">
        <v>472</v>
      </c>
    </row>
    <row r="438" spans="1:5" x14ac:dyDescent="0.25">
      <c r="A438">
        <v>200095</v>
      </c>
      <c r="B438" t="s">
        <v>58</v>
      </c>
      <c r="C438" t="s">
        <v>58</v>
      </c>
    </row>
    <row r="439" spans="1:5" x14ac:dyDescent="0.25">
      <c r="A439">
        <v>1008524</v>
      </c>
      <c r="B439" t="s">
        <v>58</v>
      </c>
      <c r="C439" t="s">
        <v>58</v>
      </c>
    </row>
    <row r="440" spans="1:5" x14ac:dyDescent="0.25">
      <c r="A440">
        <v>3015161</v>
      </c>
      <c r="B440" t="s">
        <v>58</v>
      </c>
      <c r="C440" t="s">
        <v>58</v>
      </c>
    </row>
    <row r="441" spans="1:5" x14ac:dyDescent="0.25">
      <c r="A441">
        <v>3016936</v>
      </c>
      <c r="B441" t="s">
        <v>58</v>
      </c>
      <c r="C441" t="s">
        <v>58</v>
      </c>
    </row>
    <row r="442" spans="1:5" x14ac:dyDescent="0.25">
      <c r="A442" s="1">
        <v>7063959</v>
      </c>
      <c r="B442" s="1" t="s">
        <v>4</v>
      </c>
      <c r="C442" s="1" t="s">
        <v>4</v>
      </c>
      <c r="D442" s="1"/>
      <c r="E442" s="1" t="s">
        <v>478</v>
      </c>
    </row>
    <row r="443" spans="1:5" x14ac:dyDescent="0.25">
      <c r="A443">
        <v>8014009</v>
      </c>
      <c r="B443" t="s">
        <v>58</v>
      </c>
      <c r="C443" t="s">
        <v>4</v>
      </c>
    </row>
    <row r="444" spans="1:5" x14ac:dyDescent="0.25">
      <c r="A444">
        <v>8017073</v>
      </c>
      <c r="B444" s="29" t="s">
        <v>58</v>
      </c>
      <c r="C444" s="29" t="s">
        <v>4</v>
      </c>
      <c r="D444" s="29" t="s">
        <v>472</v>
      </c>
    </row>
    <row r="445" spans="1:5" x14ac:dyDescent="0.25">
      <c r="A445">
        <v>8024983</v>
      </c>
      <c r="B445" t="s">
        <v>58</v>
      </c>
      <c r="C445" t="s">
        <v>4</v>
      </c>
    </row>
    <row r="446" spans="1:5" x14ac:dyDescent="0.25">
      <c r="A446">
        <v>9002808</v>
      </c>
      <c r="B446" t="s">
        <v>58</v>
      </c>
      <c r="C446" t="s">
        <v>58</v>
      </c>
    </row>
    <row r="447" spans="1:5" x14ac:dyDescent="0.25">
      <c r="A447">
        <v>10021913</v>
      </c>
      <c r="B447" t="s">
        <v>58</v>
      </c>
      <c r="C447" t="s">
        <v>4</v>
      </c>
    </row>
    <row r="448" spans="1:5" x14ac:dyDescent="0.25">
      <c r="A448">
        <v>10035300</v>
      </c>
      <c r="B448" t="s">
        <v>58</v>
      </c>
      <c r="C448" t="s">
        <v>4</v>
      </c>
    </row>
    <row r="451" spans="1:4" x14ac:dyDescent="0.25">
      <c r="A451" t="s">
        <v>479</v>
      </c>
    </row>
    <row r="452" spans="1:4" x14ac:dyDescent="0.25">
      <c r="A452">
        <v>95005911</v>
      </c>
      <c r="B452" s="29" t="s">
        <v>58</v>
      </c>
      <c r="C452" s="29" t="s">
        <v>58</v>
      </c>
      <c r="D452" s="29" t="s">
        <v>472</v>
      </c>
    </row>
    <row r="453" spans="1:4" x14ac:dyDescent="0.25">
      <c r="A453">
        <v>97002136</v>
      </c>
      <c r="B453" s="29" t="s">
        <v>58</v>
      </c>
      <c r="C453" s="29" t="s">
        <v>58</v>
      </c>
      <c r="D453" s="29" t="s">
        <v>472</v>
      </c>
    </row>
    <row r="454" spans="1:4" x14ac:dyDescent="0.25">
      <c r="A454">
        <v>99000802</v>
      </c>
      <c r="B454" s="29" t="s">
        <v>58</v>
      </c>
      <c r="C454" s="29" t="s">
        <v>58</v>
      </c>
      <c r="D454" s="29" t="s">
        <v>472</v>
      </c>
    </row>
    <row r="455" spans="1:4" x14ac:dyDescent="0.25">
      <c r="A455">
        <v>99001898</v>
      </c>
      <c r="B455" s="29" t="s">
        <v>58</v>
      </c>
      <c r="C455" s="29" t="s">
        <v>58</v>
      </c>
      <c r="D455" s="29" t="s">
        <v>472</v>
      </c>
    </row>
    <row r="456" spans="1:4" x14ac:dyDescent="0.25">
      <c r="A456">
        <v>99001912</v>
      </c>
      <c r="B456" s="29" t="s">
        <v>58</v>
      </c>
      <c r="C456" s="29" t="s">
        <v>58</v>
      </c>
      <c r="D456" s="29" t="s">
        <v>472</v>
      </c>
    </row>
    <row r="457" spans="1:4" x14ac:dyDescent="0.25">
      <c r="A457">
        <v>99004067</v>
      </c>
      <c r="B457" s="29" t="s">
        <v>58</v>
      </c>
      <c r="C457" s="29" t="s">
        <v>58</v>
      </c>
      <c r="D457" s="29" t="s">
        <v>472</v>
      </c>
    </row>
    <row r="458" spans="1:4" x14ac:dyDescent="0.25">
      <c r="A458">
        <v>1502</v>
      </c>
      <c r="B458" s="29" t="s">
        <v>58</v>
      </c>
      <c r="C458" s="29" t="s">
        <v>58</v>
      </c>
      <c r="D458" s="29" t="s">
        <v>472</v>
      </c>
    </row>
    <row r="459" spans="1:4" x14ac:dyDescent="0.25">
      <c r="A459">
        <v>4003543</v>
      </c>
      <c r="B459" s="29" t="s">
        <v>58</v>
      </c>
      <c r="C459" s="29" t="s">
        <v>4</v>
      </c>
      <c r="D459" s="29" t="s">
        <v>472</v>
      </c>
    </row>
    <row r="462" spans="1:4" x14ac:dyDescent="0.25">
      <c r="A462" t="s">
        <v>480</v>
      </c>
    </row>
    <row r="463" spans="1:4" x14ac:dyDescent="0.25">
      <c r="A463">
        <v>99001183</v>
      </c>
      <c r="B463" s="29" t="s">
        <v>58</v>
      </c>
      <c r="C463" s="29" t="s">
        <v>58</v>
      </c>
      <c r="D463" s="29" t="s">
        <v>472</v>
      </c>
    </row>
    <row r="464" spans="1:4" x14ac:dyDescent="0.25">
      <c r="A464" s="1">
        <v>10064335</v>
      </c>
      <c r="B464" s="29" t="s">
        <v>4</v>
      </c>
      <c r="C464" s="29" t="s">
        <v>4</v>
      </c>
      <c r="D464" s="29" t="s">
        <v>472</v>
      </c>
    </row>
    <row r="465" spans="1:5" x14ac:dyDescent="0.25">
      <c r="A465">
        <v>10064335</v>
      </c>
      <c r="B465" s="29" t="s">
        <v>58</v>
      </c>
      <c r="C465" s="29" t="s">
        <v>58</v>
      </c>
      <c r="D465" s="29" t="s">
        <v>472</v>
      </c>
    </row>
    <row r="468" spans="1:5" x14ac:dyDescent="0.25">
      <c r="A468" t="s">
        <v>481</v>
      </c>
    </row>
    <row r="469" spans="1:5" x14ac:dyDescent="0.25">
      <c r="A469">
        <v>96018835</v>
      </c>
      <c r="B469" s="29" t="s">
        <v>58</v>
      </c>
      <c r="C469" s="29" t="s">
        <v>58</v>
      </c>
      <c r="D469" s="29" t="s">
        <v>472</v>
      </c>
      <c r="E469" t="s">
        <v>471</v>
      </c>
    </row>
    <row r="470" spans="1:5" x14ac:dyDescent="0.25">
      <c r="A470">
        <v>98008110</v>
      </c>
      <c r="B470" s="29" t="s">
        <v>58</v>
      </c>
      <c r="C470" s="29" t="s">
        <v>58</v>
      </c>
      <c r="D470" s="29" t="s">
        <v>472</v>
      </c>
    </row>
    <row r="471" spans="1:5" x14ac:dyDescent="0.25">
      <c r="A471">
        <v>98008326</v>
      </c>
      <c r="B471" s="29" t="s">
        <v>58</v>
      </c>
      <c r="C471" s="29" t="s">
        <v>58</v>
      </c>
      <c r="D471" s="29" t="s">
        <v>472</v>
      </c>
    </row>
    <row r="472" spans="1:5" x14ac:dyDescent="0.25">
      <c r="A472">
        <v>99000717</v>
      </c>
      <c r="B472" s="29" t="s">
        <v>58</v>
      </c>
      <c r="C472" s="29" t="s">
        <v>58</v>
      </c>
      <c r="D472" s="29" t="s">
        <v>472</v>
      </c>
    </row>
    <row r="473" spans="1:5" x14ac:dyDescent="0.25">
      <c r="A473">
        <v>99000802</v>
      </c>
      <c r="B473" s="29" t="s">
        <v>58</v>
      </c>
      <c r="C473" s="29" t="s">
        <v>58</v>
      </c>
      <c r="D473" s="29" t="s">
        <v>472</v>
      </c>
    </row>
    <row r="474" spans="1:5" x14ac:dyDescent="0.25">
      <c r="A474">
        <v>99000892</v>
      </c>
      <c r="B474" s="29" t="s">
        <v>58</v>
      </c>
      <c r="C474" s="29" t="s">
        <v>58</v>
      </c>
      <c r="D474" s="29" t="s">
        <v>472</v>
      </c>
    </row>
    <row r="475" spans="1:5" x14ac:dyDescent="0.25">
      <c r="A475">
        <v>99000894</v>
      </c>
      <c r="B475" s="29" t="s">
        <v>58</v>
      </c>
      <c r="C475" s="29" t="s">
        <v>58</v>
      </c>
      <c r="D475" s="29" t="s">
        <v>472</v>
      </c>
    </row>
    <row r="476" spans="1:5" x14ac:dyDescent="0.25">
      <c r="A476">
        <v>99000897</v>
      </c>
      <c r="B476" s="29" t="s">
        <v>58</v>
      </c>
      <c r="C476" s="29" t="s">
        <v>58</v>
      </c>
      <c r="D476" s="29" t="s">
        <v>472</v>
      </c>
    </row>
    <row r="477" spans="1:5" x14ac:dyDescent="0.25">
      <c r="A477">
        <v>99001898</v>
      </c>
      <c r="B477" s="29" t="s">
        <v>58</v>
      </c>
      <c r="C477" s="29" t="s">
        <v>58</v>
      </c>
      <c r="D477" s="29" t="s">
        <v>472</v>
      </c>
    </row>
    <row r="478" spans="1:5" x14ac:dyDescent="0.25">
      <c r="A478">
        <v>99001902</v>
      </c>
      <c r="B478" s="29" t="s">
        <v>58</v>
      </c>
      <c r="C478" s="29" t="s">
        <v>58</v>
      </c>
      <c r="D478" s="29" t="s">
        <v>472</v>
      </c>
    </row>
    <row r="479" spans="1:5" x14ac:dyDescent="0.25">
      <c r="A479">
        <v>99001912</v>
      </c>
      <c r="B479" s="29" t="s">
        <v>58</v>
      </c>
      <c r="C479" s="29" t="s">
        <v>58</v>
      </c>
      <c r="D479" s="29" t="s">
        <v>472</v>
      </c>
    </row>
    <row r="480" spans="1:5" x14ac:dyDescent="0.25">
      <c r="A480">
        <v>99001927</v>
      </c>
      <c r="B480" s="29" t="s">
        <v>58</v>
      </c>
      <c r="C480" s="29" t="s">
        <v>58</v>
      </c>
      <c r="D480" s="29" t="s">
        <v>472</v>
      </c>
    </row>
    <row r="481" spans="1:5" x14ac:dyDescent="0.25">
      <c r="A481">
        <v>99001943</v>
      </c>
      <c r="B481" s="29" t="s">
        <v>58</v>
      </c>
      <c r="C481" s="29" t="s">
        <v>58</v>
      </c>
      <c r="D481" s="29" t="s">
        <v>472</v>
      </c>
    </row>
    <row r="482" spans="1:5" x14ac:dyDescent="0.25">
      <c r="A482">
        <v>1480</v>
      </c>
      <c r="B482" s="29" t="s">
        <v>58</v>
      </c>
      <c r="C482" s="29" t="s">
        <v>58</v>
      </c>
      <c r="D482" s="29" t="s">
        <v>472</v>
      </c>
    </row>
    <row r="483" spans="1:5" x14ac:dyDescent="0.25">
      <c r="A483">
        <v>1506</v>
      </c>
      <c r="B483" s="29" t="s">
        <v>58</v>
      </c>
      <c r="C483" s="29" t="s">
        <v>58</v>
      </c>
      <c r="D483" s="29" t="s">
        <v>472</v>
      </c>
    </row>
    <row r="484" spans="1:5" x14ac:dyDescent="0.25">
      <c r="A484">
        <v>1000192</v>
      </c>
      <c r="B484" s="29" t="s">
        <v>58</v>
      </c>
      <c r="C484" s="29" t="s">
        <v>58</v>
      </c>
      <c r="D484" s="29" t="s">
        <v>472</v>
      </c>
    </row>
    <row r="485" spans="1:5" x14ac:dyDescent="0.25">
      <c r="A485">
        <v>1000197</v>
      </c>
      <c r="B485" s="29" t="s">
        <v>58</v>
      </c>
      <c r="C485" s="29" t="s">
        <v>58</v>
      </c>
      <c r="D485" s="29" t="s">
        <v>472</v>
      </c>
    </row>
    <row r="486" spans="1:5" x14ac:dyDescent="0.25">
      <c r="A486">
        <v>1003215</v>
      </c>
      <c r="B486" s="29" t="s">
        <v>58</v>
      </c>
      <c r="C486" s="29" t="s">
        <v>58</v>
      </c>
      <c r="D486" s="29" t="s">
        <v>472</v>
      </c>
    </row>
    <row r="487" spans="1:5" x14ac:dyDescent="0.25">
      <c r="A487">
        <v>4003543</v>
      </c>
      <c r="B487" s="29" t="s">
        <v>58</v>
      </c>
      <c r="C487" s="29" t="s">
        <v>4</v>
      </c>
      <c r="D487" s="29" t="s">
        <v>472</v>
      </c>
    </row>
    <row r="488" spans="1:5" x14ac:dyDescent="0.25">
      <c r="A488">
        <v>8148882</v>
      </c>
      <c r="B488" s="29" t="s">
        <v>58</v>
      </c>
      <c r="C488" s="29" t="s">
        <v>4</v>
      </c>
      <c r="D488" s="29" t="s">
        <v>472</v>
      </c>
    </row>
    <row r="489" spans="1:5" x14ac:dyDescent="0.25">
      <c r="A489">
        <v>11236823</v>
      </c>
      <c r="B489" s="29" t="s">
        <v>58</v>
      </c>
      <c r="C489" s="29" t="s">
        <v>4</v>
      </c>
      <c r="D489" s="29" t="s">
        <v>472</v>
      </c>
    </row>
    <row r="491" spans="1:5" x14ac:dyDescent="0.25">
      <c r="A491">
        <v>99001245</v>
      </c>
      <c r="B491" s="29" t="s">
        <v>58</v>
      </c>
      <c r="C491" s="29" t="s">
        <v>58</v>
      </c>
      <c r="D491" s="29" t="s">
        <v>472</v>
      </c>
      <c r="E491" t="s">
        <v>474</v>
      </c>
    </row>
    <row r="492" spans="1:5" x14ac:dyDescent="0.25">
      <c r="A492">
        <v>99001937</v>
      </c>
      <c r="B492" s="29" t="s">
        <v>58</v>
      </c>
      <c r="C492" s="29" t="s">
        <v>58</v>
      </c>
      <c r="D492" s="29" t="s">
        <v>472</v>
      </c>
    </row>
    <row r="495" spans="1:5" x14ac:dyDescent="0.25">
      <c r="A495" t="s">
        <v>482</v>
      </c>
    </row>
    <row r="496" spans="1:5" x14ac:dyDescent="0.25">
      <c r="A496">
        <v>1502</v>
      </c>
      <c r="B496" t="s">
        <v>4</v>
      </c>
      <c r="E496" t="s">
        <v>483</v>
      </c>
    </row>
    <row r="497" spans="1:5" x14ac:dyDescent="0.25">
      <c r="A497">
        <v>4003543</v>
      </c>
      <c r="B497" t="s">
        <v>4</v>
      </c>
    </row>
    <row r="498" spans="1:5" x14ac:dyDescent="0.25">
      <c r="A498">
        <v>95005911</v>
      </c>
      <c r="B498" s="29" t="s">
        <v>58</v>
      </c>
      <c r="C498" s="29"/>
      <c r="D498" s="29" t="s">
        <v>472</v>
      </c>
    </row>
    <row r="499" spans="1:5" x14ac:dyDescent="0.25">
      <c r="A499">
        <v>97002136</v>
      </c>
      <c r="B499" s="29" t="s">
        <v>58</v>
      </c>
      <c r="C499" s="29"/>
      <c r="D499" s="29" t="s">
        <v>472</v>
      </c>
    </row>
    <row r="500" spans="1:5" x14ac:dyDescent="0.25">
      <c r="A500">
        <v>99000802</v>
      </c>
      <c r="B500" s="29" t="s">
        <v>58</v>
      </c>
      <c r="C500" s="29"/>
      <c r="D500" s="29" t="s">
        <v>472</v>
      </c>
    </row>
    <row r="501" spans="1:5" x14ac:dyDescent="0.25">
      <c r="A501">
        <v>99001898</v>
      </c>
      <c r="B501" s="29" t="s">
        <v>58</v>
      </c>
      <c r="C501" s="29"/>
      <c r="D501" s="29" t="s">
        <v>472</v>
      </c>
    </row>
    <row r="502" spans="1:5" x14ac:dyDescent="0.25">
      <c r="A502">
        <v>99001908</v>
      </c>
      <c r="B502" s="29" t="s">
        <v>58</v>
      </c>
      <c r="C502" s="29"/>
      <c r="D502" s="29" t="s">
        <v>472</v>
      </c>
    </row>
    <row r="503" spans="1:5" x14ac:dyDescent="0.25">
      <c r="A503">
        <v>99001912</v>
      </c>
      <c r="B503" s="29" t="s">
        <v>58</v>
      </c>
      <c r="C503" s="29"/>
      <c r="D503" s="29" t="s">
        <v>472</v>
      </c>
    </row>
    <row r="504" spans="1:5" x14ac:dyDescent="0.25">
      <c r="A504">
        <v>99004067</v>
      </c>
      <c r="B504" s="29" t="s">
        <v>58</v>
      </c>
      <c r="C504" s="29"/>
      <c r="D504" s="29" t="s">
        <v>472</v>
      </c>
    </row>
    <row r="505" spans="1:5" x14ac:dyDescent="0.25">
      <c r="A505">
        <v>4900261</v>
      </c>
      <c r="B505" t="s">
        <v>4</v>
      </c>
    </row>
    <row r="508" spans="1:5" x14ac:dyDescent="0.25">
      <c r="A508" t="s">
        <v>484</v>
      </c>
    </row>
    <row r="509" spans="1:5" x14ac:dyDescent="0.25">
      <c r="A509">
        <v>99001183</v>
      </c>
      <c r="B509" t="s">
        <v>4</v>
      </c>
      <c r="E509" t="s">
        <v>483</v>
      </c>
    </row>
    <row r="512" spans="1:5" x14ac:dyDescent="0.25">
      <c r="A512" t="s">
        <v>485</v>
      </c>
    </row>
    <row r="513" spans="1:5" x14ac:dyDescent="0.25">
      <c r="A513">
        <v>1480</v>
      </c>
      <c r="B513" t="s">
        <v>4</v>
      </c>
      <c r="E513" t="s">
        <v>486</v>
      </c>
    </row>
    <row r="514" spans="1:5" x14ac:dyDescent="0.25">
      <c r="A514">
        <v>1505</v>
      </c>
      <c r="B514" t="s">
        <v>4</v>
      </c>
    </row>
    <row r="515" spans="1:5" x14ac:dyDescent="0.25">
      <c r="A515">
        <v>1506</v>
      </c>
      <c r="B515" t="s">
        <v>4</v>
      </c>
    </row>
    <row r="516" spans="1:5" x14ac:dyDescent="0.25">
      <c r="A516">
        <v>1000192</v>
      </c>
      <c r="B516" t="s">
        <v>4</v>
      </c>
    </row>
    <row r="517" spans="1:5" x14ac:dyDescent="0.25">
      <c r="A517">
        <v>1000197</v>
      </c>
      <c r="B517" t="s">
        <v>4</v>
      </c>
    </row>
    <row r="518" spans="1:5" x14ac:dyDescent="0.25">
      <c r="A518">
        <v>1003215</v>
      </c>
      <c r="B518" t="s">
        <v>4</v>
      </c>
    </row>
    <row r="519" spans="1:5" x14ac:dyDescent="0.25">
      <c r="A519">
        <v>3018901</v>
      </c>
      <c r="B519" t="s">
        <v>58</v>
      </c>
    </row>
    <row r="520" spans="1:5" x14ac:dyDescent="0.25">
      <c r="A520">
        <v>4003543</v>
      </c>
      <c r="B520" s="29" t="s">
        <v>4</v>
      </c>
      <c r="C520" s="29"/>
      <c r="D520" s="29" t="s">
        <v>472</v>
      </c>
      <c r="E520" t="s">
        <v>487</v>
      </c>
    </row>
    <row r="521" spans="1:5" x14ac:dyDescent="0.25">
      <c r="A521">
        <v>4003543</v>
      </c>
      <c r="B521" t="s">
        <v>58</v>
      </c>
      <c r="E521" t="s">
        <v>488</v>
      </c>
    </row>
    <row r="522" spans="1:5" x14ac:dyDescent="0.25">
      <c r="A522">
        <v>1960133</v>
      </c>
      <c r="B522" t="s">
        <v>58</v>
      </c>
    </row>
    <row r="523" spans="1:5" x14ac:dyDescent="0.25">
      <c r="A523">
        <v>96018835</v>
      </c>
      <c r="B523" t="s">
        <v>4</v>
      </c>
    </row>
    <row r="524" spans="1:5" x14ac:dyDescent="0.25">
      <c r="A524">
        <v>98008110</v>
      </c>
      <c r="B524" t="s">
        <v>58</v>
      </c>
    </row>
    <row r="525" spans="1:5" x14ac:dyDescent="0.25">
      <c r="A525">
        <v>98008326</v>
      </c>
      <c r="B525" t="s">
        <v>4</v>
      </c>
    </row>
    <row r="526" spans="1:5" x14ac:dyDescent="0.25">
      <c r="A526">
        <v>99000717</v>
      </c>
      <c r="B526" t="s">
        <v>4</v>
      </c>
    </row>
    <row r="527" spans="1:5" x14ac:dyDescent="0.25">
      <c r="A527">
        <v>99000802</v>
      </c>
      <c r="B527" t="s">
        <v>4</v>
      </c>
    </row>
    <row r="528" spans="1:5" x14ac:dyDescent="0.25">
      <c r="A528">
        <v>99000892</v>
      </c>
      <c r="B528" t="s">
        <v>4</v>
      </c>
    </row>
    <row r="529" spans="1:5" x14ac:dyDescent="0.25">
      <c r="A529">
        <v>99000894</v>
      </c>
      <c r="B529" t="s">
        <v>4</v>
      </c>
    </row>
    <row r="530" spans="1:5" x14ac:dyDescent="0.25">
      <c r="A530">
        <v>99000897</v>
      </c>
      <c r="B530" t="s">
        <v>4</v>
      </c>
      <c r="E530" t="s">
        <v>489</v>
      </c>
    </row>
    <row r="531" spans="1:5" x14ac:dyDescent="0.25">
      <c r="A531">
        <v>99001245</v>
      </c>
      <c r="B531" t="s">
        <v>4</v>
      </c>
    </row>
    <row r="532" spans="1:5" x14ac:dyDescent="0.25">
      <c r="A532">
        <v>99001898</v>
      </c>
      <c r="B532" t="s">
        <v>4</v>
      </c>
    </row>
    <row r="533" spans="1:5" x14ac:dyDescent="0.25">
      <c r="A533">
        <v>99001902</v>
      </c>
      <c r="B533" t="s">
        <v>4</v>
      </c>
    </row>
    <row r="534" spans="1:5" x14ac:dyDescent="0.25">
      <c r="A534">
        <v>99001912</v>
      </c>
      <c r="B534" t="s">
        <v>4</v>
      </c>
    </row>
    <row r="535" spans="1:5" x14ac:dyDescent="0.25">
      <c r="A535">
        <v>99001913</v>
      </c>
      <c r="B535" t="s">
        <v>4</v>
      </c>
      <c r="E535" t="s">
        <v>489</v>
      </c>
    </row>
    <row r="536" spans="1:5" x14ac:dyDescent="0.25">
      <c r="A536">
        <v>99001927</v>
      </c>
      <c r="B536" t="s">
        <v>4</v>
      </c>
    </row>
    <row r="537" spans="1:5" x14ac:dyDescent="0.25">
      <c r="A537">
        <v>99001937</v>
      </c>
      <c r="B537" t="s">
        <v>4</v>
      </c>
    </row>
    <row r="538" spans="1:5" x14ac:dyDescent="0.25">
      <c r="A538">
        <v>99001943</v>
      </c>
      <c r="B538" t="s">
        <v>4</v>
      </c>
    </row>
    <row r="539" spans="1:5" x14ac:dyDescent="0.25">
      <c r="A539">
        <v>8148882</v>
      </c>
      <c r="B539" s="29" t="s">
        <v>58</v>
      </c>
      <c r="C539" s="29"/>
      <c r="D539" s="29" t="s">
        <v>472</v>
      </c>
    </row>
    <row r="542" spans="1:5" x14ac:dyDescent="0.25">
      <c r="A542" t="s">
        <v>490</v>
      </c>
    </row>
    <row r="543" spans="1:5" x14ac:dyDescent="0.25">
      <c r="A543">
        <v>1502</v>
      </c>
      <c r="B543" s="29" t="s">
        <v>4</v>
      </c>
      <c r="C543" s="29"/>
      <c r="D543" s="29" t="s">
        <v>472</v>
      </c>
      <c r="E543" t="s">
        <v>486</v>
      </c>
    </row>
    <row r="544" spans="1:5" x14ac:dyDescent="0.25">
      <c r="A544">
        <v>95005911</v>
      </c>
      <c r="B544" t="s">
        <v>4</v>
      </c>
    </row>
    <row r="545" spans="1:5" x14ac:dyDescent="0.25">
      <c r="A545" s="29">
        <v>95005911</v>
      </c>
      <c r="B545" s="29" t="s">
        <v>4</v>
      </c>
      <c r="C545" s="29"/>
      <c r="D545" s="29" t="s">
        <v>472</v>
      </c>
    </row>
    <row r="546" spans="1:5" x14ac:dyDescent="0.25">
      <c r="A546">
        <v>99001908</v>
      </c>
      <c r="B546" t="s">
        <v>4</v>
      </c>
      <c r="E546" t="s">
        <v>491</v>
      </c>
    </row>
    <row r="547" spans="1:5" x14ac:dyDescent="0.25">
      <c r="A547">
        <v>99004067</v>
      </c>
      <c r="B547" t="s">
        <v>4</v>
      </c>
    </row>
    <row r="548" spans="1:5" x14ac:dyDescent="0.25">
      <c r="A548">
        <v>97002136</v>
      </c>
      <c r="B548" t="s">
        <v>4</v>
      </c>
    </row>
    <row r="549" spans="1:5" x14ac:dyDescent="0.25">
      <c r="A549">
        <v>4900261</v>
      </c>
      <c r="B549" s="29" t="s">
        <v>4</v>
      </c>
      <c r="C549" s="29"/>
      <c r="D549" s="29" t="s">
        <v>472</v>
      </c>
    </row>
    <row r="550" spans="1:5" x14ac:dyDescent="0.25">
      <c r="A550">
        <v>6006917</v>
      </c>
      <c r="B550" t="s">
        <v>58</v>
      </c>
    </row>
    <row r="553" spans="1:5" x14ac:dyDescent="0.25">
      <c r="A553" t="s">
        <v>492</v>
      </c>
    </row>
    <row r="554" spans="1:5" x14ac:dyDescent="0.25">
      <c r="A554">
        <v>1480</v>
      </c>
      <c r="B554" s="29" t="s">
        <v>4</v>
      </c>
      <c r="C554" s="29"/>
      <c r="D554" s="29" t="s">
        <v>472</v>
      </c>
      <c r="E554" t="s">
        <v>486</v>
      </c>
    </row>
    <row r="555" spans="1:5" x14ac:dyDescent="0.25">
      <c r="A555">
        <v>1505</v>
      </c>
      <c r="B555" s="29" t="s">
        <v>4</v>
      </c>
      <c r="C555" s="29"/>
      <c r="D555" s="29" t="s">
        <v>472</v>
      </c>
    </row>
    <row r="556" spans="1:5" x14ac:dyDescent="0.25">
      <c r="A556">
        <v>1506</v>
      </c>
      <c r="B556" s="29" t="s">
        <v>4</v>
      </c>
      <c r="C556" s="29"/>
      <c r="D556" s="29" t="s">
        <v>472</v>
      </c>
    </row>
    <row r="557" spans="1:5" x14ac:dyDescent="0.25">
      <c r="A557">
        <v>1000192</v>
      </c>
      <c r="B557" s="29" t="s">
        <v>4</v>
      </c>
      <c r="C557" s="29"/>
      <c r="D557" s="29" t="s">
        <v>472</v>
      </c>
    </row>
    <row r="558" spans="1:5" x14ac:dyDescent="0.25">
      <c r="A558">
        <v>1000197</v>
      </c>
      <c r="B558" s="29" t="s">
        <v>4</v>
      </c>
      <c r="C558" s="29"/>
      <c r="D558" s="29" t="s">
        <v>472</v>
      </c>
    </row>
    <row r="559" spans="1:5" x14ac:dyDescent="0.25">
      <c r="A559">
        <v>1003215</v>
      </c>
      <c r="B559" s="29" t="s">
        <v>4</v>
      </c>
      <c r="C559" s="29"/>
      <c r="D559" s="29" t="s">
        <v>472</v>
      </c>
    </row>
    <row r="560" spans="1:5" x14ac:dyDescent="0.25">
      <c r="A560">
        <v>3018901</v>
      </c>
      <c r="B560" s="29" t="s">
        <v>58</v>
      </c>
      <c r="C560" s="29"/>
      <c r="D560" s="29" t="s">
        <v>472</v>
      </c>
    </row>
    <row r="561" spans="1:5" x14ac:dyDescent="0.25">
      <c r="A561">
        <v>4003543</v>
      </c>
      <c r="B561" s="29" t="s">
        <v>4</v>
      </c>
      <c r="C561" s="29"/>
      <c r="D561" s="29" t="s">
        <v>472</v>
      </c>
      <c r="E561" t="s">
        <v>487</v>
      </c>
    </row>
    <row r="562" spans="1:5" x14ac:dyDescent="0.25">
      <c r="A562">
        <v>4003543</v>
      </c>
      <c r="B562" s="29" t="s">
        <v>58</v>
      </c>
      <c r="C562" s="29"/>
      <c r="D562" s="29" t="s">
        <v>472</v>
      </c>
      <c r="E562" t="s">
        <v>488</v>
      </c>
    </row>
    <row r="563" spans="1:5" x14ac:dyDescent="0.25">
      <c r="A563">
        <v>8148882</v>
      </c>
      <c r="B563" s="29" t="s">
        <v>58</v>
      </c>
      <c r="C563" s="29"/>
      <c r="D563" s="29" t="s">
        <v>472</v>
      </c>
    </row>
    <row r="564" spans="1:5" x14ac:dyDescent="0.25">
      <c r="A564">
        <v>96018835</v>
      </c>
      <c r="B564" s="29" t="s">
        <v>4</v>
      </c>
      <c r="C564" s="29"/>
      <c r="D564" s="29" t="s">
        <v>472</v>
      </c>
    </row>
    <row r="565" spans="1:5" x14ac:dyDescent="0.25">
      <c r="A565">
        <v>98008110</v>
      </c>
      <c r="B565" s="29" t="s">
        <v>58</v>
      </c>
      <c r="C565" s="29"/>
      <c r="D565" s="29" t="s">
        <v>472</v>
      </c>
    </row>
    <row r="566" spans="1:5" x14ac:dyDescent="0.25">
      <c r="A566">
        <v>98008326</v>
      </c>
      <c r="B566" s="29" t="s">
        <v>4</v>
      </c>
      <c r="C566" s="29"/>
      <c r="D566" s="29" t="s">
        <v>472</v>
      </c>
    </row>
    <row r="567" spans="1:5" x14ac:dyDescent="0.25">
      <c r="A567">
        <v>99000717</v>
      </c>
      <c r="B567" s="29" t="s">
        <v>4</v>
      </c>
      <c r="C567" s="29"/>
      <c r="D567" s="29" t="s">
        <v>472</v>
      </c>
    </row>
    <row r="568" spans="1:5" x14ac:dyDescent="0.25">
      <c r="A568">
        <v>99000802</v>
      </c>
      <c r="B568" s="29" t="s">
        <v>4</v>
      </c>
      <c r="C568" s="29"/>
      <c r="D568" s="29" t="s">
        <v>472</v>
      </c>
    </row>
    <row r="569" spans="1:5" x14ac:dyDescent="0.25">
      <c r="A569">
        <v>99000892</v>
      </c>
      <c r="B569" s="29" t="s">
        <v>4</v>
      </c>
      <c r="C569" s="29"/>
      <c r="D569" s="29" t="s">
        <v>472</v>
      </c>
    </row>
    <row r="570" spans="1:5" x14ac:dyDescent="0.25">
      <c r="A570">
        <v>99000894</v>
      </c>
      <c r="B570" s="29" t="s">
        <v>4</v>
      </c>
      <c r="C570" s="29"/>
      <c r="D570" s="29" t="s">
        <v>472</v>
      </c>
    </row>
    <row r="571" spans="1:5" x14ac:dyDescent="0.25">
      <c r="A571">
        <v>99000897</v>
      </c>
      <c r="B571" s="29" t="s">
        <v>4</v>
      </c>
      <c r="C571" s="29"/>
      <c r="D571" s="29" t="s">
        <v>472</v>
      </c>
      <c r="E571" t="s">
        <v>493</v>
      </c>
    </row>
    <row r="572" spans="1:5" x14ac:dyDescent="0.25">
      <c r="A572">
        <v>99001245</v>
      </c>
      <c r="B572" s="29" t="s">
        <v>4</v>
      </c>
      <c r="C572" s="29"/>
      <c r="D572" s="29" t="s">
        <v>472</v>
      </c>
    </row>
    <row r="573" spans="1:5" x14ac:dyDescent="0.25">
      <c r="A573">
        <v>99001898</v>
      </c>
      <c r="B573" s="29" t="s">
        <v>4</v>
      </c>
      <c r="C573" s="29"/>
      <c r="D573" s="29" t="s">
        <v>472</v>
      </c>
    </row>
    <row r="574" spans="1:5" x14ac:dyDescent="0.25">
      <c r="A574">
        <v>99001902</v>
      </c>
      <c r="B574" s="29" t="s">
        <v>4</v>
      </c>
      <c r="C574" s="29"/>
      <c r="D574" s="29" t="s">
        <v>472</v>
      </c>
    </row>
    <row r="575" spans="1:5" x14ac:dyDescent="0.25">
      <c r="A575">
        <v>99001912</v>
      </c>
      <c r="B575" s="29" t="s">
        <v>4</v>
      </c>
      <c r="C575" s="29"/>
      <c r="D575" s="29" t="s">
        <v>472</v>
      </c>
    </row>
    <row r="576" spans="1:5" x14ac:dyDescent="0.25">
      <c r="A576">
        <v>99001913</v>
      </c>
      <c r="B576" s="29" t="s">
        <v>4</v>
      </c>
      <c r="C576" s="29"/>
      <c r="D576" s="29" t="s">
        <v>472</v>
      </c>
    </row>
    <row r="577" spans="1:5" x14ac:dyDescent="0.25">
      <c r="A577">
        <v>99001927</v>
      </c>
      <c r="B577" s="29" t="s">
        <v>4</v>
      </c>
      <c r="C577" s="29"/>
      <c r="D577" s="29" t="s">
        <v>472</v>
      </c>
    </row>
    <row r="578" spans="1:5" x14ac:dyDescent="0.25">
      <c r="A578">
        <v>99001937</v>
      </c>
      <c r="B578" s="29" t="s">
        <v>4</v>
      </c>
      <c r="C578" s="29"/>
      <c r="D578" s="29" t="s">
        <v>472</v>
      </c>
    </row>
    <row r="579" spans="1:5" x14ac:dyDescent="0.25">
      <c r="A579">
        <v>99001943</v>
      </c>
      <c r="B579" s="29" t="s">
        <v>4</v>
      </c>
      <c r="C579" s="29"/>
      <c r="D579" s="29" t="s">
        <v>472</v>
      </c>
    </row>
    <row r="585" spans="1:5" x14ac:dyDescent="0.25">
      <c r="B585" t="s">
        <v>494</v>
      </c>
    </row>
    <row r="586" spans="1:5" x14ac:dyDescent="0.25">
      <c r="B586" t="s">
        <v>495</v>
      </c>
    </row>
    <row r="587" spans="1:5" x14ac:dyDescent="0.25">
      <c r="B587" t="s">
        <v>496</v>
      </c>
    </row>
    <row r="591" spans="1:5" x14ac:dyDescent="0.25">
      <c r="B591" t="s">
        <v>497</v>
      </c>
      <c r="E591">
        <v>408</v>
      </c>
    </row>
    <row r="592" spans="1:5" x14ac:dyDescent="0.25">
      <c r="B592" t="s">
        <v>498</v>
      </c>
      <c r="E592">
        <v>373</v>
      </c>
    </row>
    <row r="593" spans="2:5" x14ac:dyDescent="0.25">
      <c r="B593" t="s">
        <v>499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9"/>
  <sheetViews>
    <sheetView workbookViewId="0">
      <selection activeCell="I30" sqref="I30"/>
    </sheetView>
  </sheetViews>
  <sheetFormatPr baseColWidth="10" defaultRowHeight="15" x14ac:dyDescent="0.25"/>
  <sheetData>
    <row r="1" spans="1:2" ht="30" x14ac:dyDescent="0.25">
      <c r="A1" s="5" t="s">
        <v>67</v>
      </c>
      <c r="B1" s="5" t="s">
        <v>177</v>
      </c>
    </row>
    <row r="2" spans="1:2" x14ac:dyDescent="0.25">
      <c r="A2" s="15" t="s">
        <v>174</v>
      </c>
      <c r="B2" s="15"/>
    </row>
    <row r="3" spans="1:2" x14ac:dyDescent="0.25">
      <c r="A3" s="6" t="s">
        <v>176</v>
      </c>
      <c r="B3" s="6"/>
    </row>
    <row r="4" spans="1:2" x14ac:dyDescent="0.25">
      <c r="A4" s="17">
        <v>6016435</v>
      </c>
      <c r="B4" t="s">
        <v>178</v>
      </c>
    </row>
    <row r="5" spans="1:2" x14ac:dyDescent="0.25">
      <c r="A5">
        <v>8045149</v>
      </c>
      <c r="B5" t="s">
        <v>242</v>
      </c>
    </row>
    <row r="6" spans="1:2" x14ac:dyDescent="0.25">
      <c r="A6">
        <v>10023001</v>
      </c>
      <c r="B6" t="s">
        <v>179</v>
      </c>
    </row>
    <row r="7" spans="1:2" x14ac:dyDescent="0.25">
      <c r="A7" s="17">
        <v>10027526</v>
      </c>
      <c r="B7" t="s">
        <v>180</v>
      </c>
    </row>
    <row r="8" spans="1:2" x14ac:dyDescent="0.25">
      <c r="A8">
        <v>14222171</v>
      </c>
      <c r="B8" t="s">
        <v>181</v>
      </c>
    </row>
    <row r="10" spans="1:2" x14ac:dyDescent="0.25">
      <c r="A10" s="6" t="s">
        <v>182</v>
      </c>
    </row>
    <row r="11" spans="1:2" x14ac:dyDescent="0.25">
      <c r="A11">
        <v>8057159</v>
      </c>
      <c r="B11" t="s">
        <v>183</v>
      </c>
    </row>
    <row r="12" spans="1:2" x14ac:dyDescent="0.25">
      <c r="A12">
        <v>9140312</v>
      </c>
      <c r="B12" t="s">
        <v>184</v>
      </c>
    </row>
    <row r="13" spans="1:2" x14ac:dyDescent="0.25">
      <c r="A13">
        <v>12008230</v>
      </c>
      <c r="B13" t="s">
        <v>185</v>
      </c>
    </row>
    <row r="14" spans="1:2" x14ac:dyDescent="0.25">
      <c r="A14">
        <v>12088444</v>
      </c>
      <c r="B14" t="s">
        <v>186</v>
      </c>
    </row>
    <row r="15" spans="1:2" x14ac:dyDescent="0.25">
      <c r="A15">
        <v>12090163</v>
      </c>
      <c r="B15" t="s">
        <v>187</v>
      </c>
    </row>
    <row r="16" spans="1:2" x14ac:dyDescent="0.25">
      <c r="A16">
        <v>12100613</v>
      </c>
      <c r="B16" t="s">
        <v>188</v>
      </c>
    </row>
    <row r="17" spans="1:2" x14ac:dyDescent="0.25">
      <c r="A17">
        <v>12111434</v>
      </c>
      <c r="B17" t="s">
        <v>189</v>
      </c>
    </row>
    <row r="18" spans="1:2" x14ac:dyDescent="0.25">
      <c r="A18">
        <v>13118872</v>
      </c>
      <c r="B18" t="s">
        <v>190</v>
      </c>
    </row>
    <row r="20" spans="1:2" x14ac:dyDescent="0.25">
      <c r="A20" s="6" t="s">
        <v>191</v>
      </c>
    </row>
    <row r="21" spans="1:2" x14ac:dyDescent="0.25">
      <c r="A21" s="17">
        <v>9074418</v>
      </c>
      <c r="B21" s="20" t="s">
        <v>192</v>
      </c>
    </row>
    <row r="23" spans="1:2" x14ac:dyDescent="0.25">
      <c r="A23" s="6" t="s">
        <v>193</v>
      </c>
    </row>
    <row r="24" spans="1:2" x14ac:dyDescent="0.25">
      <c r="A24">
        <v>8146347</v>
      </c>
      <c r="B24" t="s">
        <v>214</v>
      </c>
    </row>
    <row r="25" spans="1:2" x14ac:dyDescent="0.25">
      <c r="A25">
        <v>11004391</v>
      </c>
      <c r="B25" t="s">
        <v>234</v>
      </c>
    </row>
    <row r="27" spans="1:2" x14ac:dyDescent="0.25">
      <c r="A27" s="6" t="s">
        <v>249</v>
      </c>
    </row>
    <row r="28" spans="1:2" x14ac:dyDescent="0.25">
      <c r="A28">
        <v>1006143</v>
      </c>
      <c r="B28" s="18" t="s">
        <v>255</v>
      </c>
    </row>
    <row r="29" spans="1:2" x14ac:dyDescent="0.25">
      <c r="A29">
        <v>5014014</v>
      </c>
      <c r="B29" t="s">
        <v>278</v>
      </c>
    </row>
    <row r="30" spans="1:2" x14ac:dyDescent="0.25">
      <c r="A30">
        <v>6006917</v>
      </c>
      <c r="B30" s="18" t="s">
        <v>279</v>
      </c>
    </row>
    <row r="31" spans="1:2" x14ac:dyDescent="0.25">
      <c r="A31">
        <v>6034449</v>
      </c>
      <c r="B31" t="s">
        <v>280</v>
      </c>
    </row>
    <row r="33" spans="1:2" x14ac:dyDescent="0.25">
      <c r="A33" s="6" t="s">
        <v>292</v>
      </c>
    </row>
    <row r="34" spans="1:2" x14ac:dyDescent="0.25">
      <c r="A34">
        <v>1263</v>
      </c>
      <c r="B34" s="19" t="s">
        <v>293</v>
      </c>
    </row>
    <row r="35" spans="1:2" x14ac:dyDescent="0.25">
      <c r="A35">
        <v>98004910</v>
      </c>
      <c r="B35" t="s">
        <v>303</v>
      </c>
    </row>
    <row r="36" spans="1:2" x14ac:dyDescent="0.25">
      <c r="A36">
        <v>98005277</v>
      </c>
      <c r="B36" s="20" t="s">
        <v>304</v>
      </c>
    </row>
    <row r="38" spans="1:2" x14ac:dyDescent="0.25">
      <c r="A38" s="6" t="s">
        <v>305</v>
      </c>
      <c r="B38" s="6" t="s">
        <v>305</v>
      </c>
    </row>
    <row r="39" spans="1:2" x14ac:dyDescent="0.25">
      <c r="A39">
        <v>12012030</v>
      </c>
      <c r="B39" t="s">
        <v>311</v>
      </c>
    </row>
    <row r="41" spans="1:2" x14ac:dyDescent="0.25">
      <c r="A41" s="6" t="s">
        <v>313</v>
      </c>
    </row>
    <row r="42" spans="1:2" x14ac:dyDescent="0.25">
      <c r="A42" s="17">
        <v>7103068</v>
      </c>
      <c r="B42" s="20" t="s">
        <v>314</v>
      </c>
    </row>
    <row r="43" spans="1:2" x14ac:dyDescent="0.25">
      <c r="A43">
        <v>11240728</v>
      </c>
      <c r="B43" t="s">
        <v>316</v>
      </c>
    </row>
    <row r="46" spans="1:2" x14ac:dyDescent="0.25">
      <c r="A46" s="16" t="s">
        <v>175</v>
      </c>
      <c r="B46" s="6"/>
    </row>
    <row r="48" spans="1:2" x14ac:dyDescent="0.25">
      <c r="A48" s="6" t="s">
        <v>193</v>
      </c>
    </row>
    <row r="49" spans="1:2" x14ac:dyDescent="0.25">
      <c r="A49" s="17">
        <v>5013780</v>
      </c>
      <c r="B49" s="20" t="s">
        <v>194</v>
      </c>
    </row>
    <row r="50" spans="1:2" x14ac:dyDescent="0.25">
      <c r="A50" s="17">
        <v>5015869</v>
      </c>
      <c r="B50" t="s">
        <v>195</v>
      </c>
    </row>
    <row r="51" spans="1:2" x14ac:dyDescent="0.25">
      <c r="A51" s="17">
        <v>5016969</v>
      </c>
      <c r="B51" t="s">
        <v>196</v>
      </c>
    </row>
    <row r="52" spans="1:2" x14ac:dyDescent="0.25">
      <c r="A52" s="17">
        <v>6006554</v>
      </c>
      <c r="B52" t="s">
        <v>197</v>
      </c>
    </row>
    <row r="53" spans="1:2" x14ac:dyDescent="0.25">
      <c r="A53">
        <v>6023231</v>
      </c>
      <c r="B53" s="18" t="s">
        <v>198</v>
      </c>
    </row>
    <row r="54" spans="1:2" x14ac:dyDescent="0.25">
      <c r="A54">
        <v>6010712</v>
      </c>
      <c r="B54" t="s">
        <v>199</v>
      </c>
    </row>
    <row r="55" spans="1:2" x14ac:dyDescent="0.25">
      <c r="A55">
        <v>6010715</v>
      </c>
      <c r="B55" t="s">
        <v>199</v>
      </c>
    </row>
    <row r="56" spans="1:2" x14ac:dyDescent="0.25">
      <c r="A56">
        <v>6010719</v>
      </c>
      <c r="B56" t="s">
        <v>199</v>
      </c>
    </row>
    <row r="57" spans="1:2" x14ac:dyDescent="0.25">
      <c r="A57">
        <v>6010722</v>
      </c>
      <c r="B57" t="s">
        <v>199</v>
      </c>
    </row>
    <row r="58" spans="1:2" x14ac:dyDescent="0.25">
      <c r="A58" s="17">
        <v>6011198</v>
      </c>
      <c r="B58" t="s">
        <v>199</v>
      </c>
    </row>
    <row r="59" spans="1:2" x14ac:dyDescent="0.25">
      <c r="A59">
        <v>6012681</v>
      </c>
      <c r="B59" t="s">
        <v>200</v>
      </c>
    </row>
    <row r="60" spans="1:2" x14ac:dyDescent="0.25">
      <c r="A60">
        <v>6014511</v>
      </c>
      <c r="B60" t="s">
        <v>201</v>
      </c>
    </row>
    <row r="61" spans="1:2" x14ac:dyDescent="0.25">
      <c r="A61">
        <v>6045127</v>
      </c>
      <c r="B61" t="s">
        <v>202</v>
      </c>
    </row>
    <row r="62" spans="1:2" x14ac:dyDescent="0.25">
      <c r="A62">
        <v>7000458</v>
      </c>
      <c r="B62" t="s">
        <v>203</v>
      </c>
    </row>
    <row r="63" spans="1:2" x14ac:dyDescent="0.25">
      <c r="A63">
        <v>7015502</v>
      </c>
      <c r="B63" t="s">
        <v>204</v>
      </c>
    </row>
    <row r="64" spans="1:2" x14ac:dyDescent="0.25">
      <c r="A64">
        <v>7025847</v>
      </c>
      <c r="B64" t="s">
        <v>201</v>
      </c>
    </row>
    <row r="65" spans="1:2" x14ac:dyDescent="0.25">
      <c r="A65">
        <v>7082707</v>
      </c>
      <c r="B65" t="s">
        <v>204</v>
      </c>
    </row>
    <row r="66" spans="1:2" x14ac:dyDescent="0.25">
      <c r="A66" s="17">
        <v>7083159</v>
      </c>
      <c r="B66" t="s">
        <v>205</v>
      </c>
    </row>
    <row r="67" spans="1:2" x14ac:dyDescent="0.25">
      <c r="A67" s="17">
        <v>7084659</v>
      </c>
      <c r="B67" t="s">
        <v>206</v>
      </c>
    </row>
    <row r="68" spans="1:2" x14ac:dyDescent="0.25">
      <c r="A68">
        <v>7076814</v>
      </c>
      <c r="B68" t="s">
        <v>201</v>
      </c>
    </row>
    <row r="69" spans="1:2" x14ac:dyDescent="0.25">
      <c r="A69">
        <v>7076815</v>
      </c>
      <c r="B69" t="s">
        <v>207</v>
      </c>
    </row>
    <row r="70" spans="1:2" x14ac:dyDescent="0.25">
      <c r="A70">
        <v>7089231</v>
      </c>
      <c r="B70" t="s">
        <v>201</v>
      </c>
    </row>
    <row r="71" spans="1:2" x14ac:dyDescent="0.25">
      <c r="A71">
        <v>7116004</v>
      </c>
      <c r="B71" t="s">
        <v>201</v>
      </c>
    </row>
    <row r="72" spans="1:2" x14ac:dyDescent="0.25">
      <c r="A72">
        <v>8003819</v>
      </c>
      <c r="B72" t="s">
        <v>208</v>
      </c>
    </row>
    <row r="73" spans="1:2" x14ac:dyDescent="0.25">
      <c r="A73" s="17">
        <v>8061313</v>
      </c>
      <c r="B73" t="s">
        <v>205</v>
      </c>
    </row>
    <row r="74" spans="1:2" x14ac:dyDescent="0.25">
      <c r="A74">
        <v>8091779</v>
      </c>
      <c r="B74" t="s">
        <v>209</v>
      </c>
    </row>
    <row r="75" spans="1:2" x14ac:dyDescent="0.25">
      <c r="A75" s="17">
        <v>8097989</v>
      </c>
      <c r="B75" t="s">
        <v>210</v>
      </c>
    </row>
    <row r="76" spans="1:2" x14ac:dyDescent="0.25">
      <c r="A76">
        <v>8112522</v>
      </c>
      <c r="B76" t="s">
        <v>211</v>
      </c>
    </row>
    <row r="77" spans="1:2" x14ac:dyDescent="0.25">
      <c r="A77">
        <v>8127397</v>
      </c>
      <c r="B77" t="s">
        <v>212</v>
      </c>
    </row>
    <row r="78" spans="1:2" x14ac:dyDescent="0.25">
      <c r="A78">
        <v>8130089</v>
      </c>
      <c r="B78" t="s">
        <v>199</v>
      </c>
    </row>
    <row r="79" spans="1:2" x14ac:dyDescent="0.25">
      <c r="A79">
        <v>8130998</v>
      </c>
      <c r="B79" t="s">
        <v>213</v>
      </c>
    </row>
    <row r="80" spans="1:2" x14ac:dyDescent="0.25">
      <c r="A80">
        <v>8146902</v>
      </c>
      <c r="B80" t="s">
        <v>215</v>
      </c>
    </row>
    <row r="81" spans="1:2" x14ac:dyDescent="0.25">
      <c r="A81">
        <v>9002836</v>
      </c>
      <c r="B81" t="s">
        <v>216</v>
      </c>
    </row>
    <row r="82" spans="1:2" x14ac:dyDescent="0.25">
      <c r="A82" s="17">
        <v>9003331</v>
      </c>
      <c r="B82" t="s">
        <v>217</v>
      </c>
    </row>
    <row r="83" spans="1:2" x14ac:dyDescent="0.25">
      <c r="A83">
        <v>9003370</v>
      </c>
      <c r="B83" t="s">
        <v>218</v>
      </c>
    </row>
    <row r="84" spans="1:2" x14ac:dyDescent="0.25">
      <c r="A84">
        <v>9013015</v>
      </c>
      <c r="B84" t="s">
        <v>219</v>
      </c>
    </row>
    <row r="85" spans="1:2" x14ac:dyDescent="0.25">
      <c r="A85">
        <v>9016278</v>
      </c>
      <c r="B85" t="s">
        <v>197</v>
      </c>
    </row>
    <row r="86" spans="1:2" x14ac:dyDescent="0.25">
      <c r="A86">
        <v>9030684</v>
      </c>
      <c r="B86" t="s">
        <v>220</v>
      </c>
    </row>
    <row r="87" spans="1:2" x14ac:dyDescent="0.25">
      <c r="A87">
        <v>9031387</v>
      </c>
      <c r="B87" t="s">
        <v>220</v>
      </c>
    </row>
    <row r="88" spans="1:2" x14ac:dyDescent="0.25">
      <c r="A88">
        <v>9038676</v>
      </c>
      <c r="B88" t="s">
        <v>221</v>
      </c>
    </row>
    <row r="89" spans="1:2" x14ac:dyDescent="0.25">
      <c r="A89">
        <v>9039416</v>
      </c>
      <c r="B89" t="s">
        <v>216</v>
      </c>
    </row>
    <row r="90" spans="1:2" x14ac:dyDescent="0.25">
      <c r="A90" s="17">
        <v>9042861</v>
      </c>
      <c r="B90" t="s">
        <v>222</v>
      </c>
    </row>
    <row r="91" spans="1:2" x14ac:dyDescent="0.25">
      <c r="A91">
        <v>9044899</v>
      </c>
      <c r="B91" t="s">
        <v>204</v>
      </c>
    </row>
    <row r="92" spans="1:2" x14ac:dyDescent="0.25">
      <c r="A92">
        <v>9052398</v>
      </c>
      <c r="B92" t="s">
        <v>202</v>
      </c>
    </row>
    <row r="93" spans="1:2" x14ac:dyDescent="0.25">
      <c r="A93">
        <v>9085204</v>
      </c>
      <c r="B93" t="s">
        <v>223</v>
      </c>
    </row>
    <row r="94" spans="1:2" x14ac:dyDescent="0.25">
      <c r="A94" s="17">
        <v>9090323</v>
      </c>
      <c r="B94" t="s">
        <v>224</v>
      </c>
    </row>
    <row r="95" spans="1:2" x14ac:dyDescent="0.25">
      <c r="A95">
        <v>9097281</v>
      </c>
      <c r="B95" t="s">
        <v>201</v>
      </c>
    </row>
    <row r="96" spans="1:2" x14ac:dyDescent="0.25">
      <c r="A96">
        <v>9105492</v>
      </c>
      <c r="B96" t="s">
        <v>211</v>
      </c>
    </row>
    <row r="97" spans="1:2" x14ac:dyDescent="0.25">
      <c r="A97">
        <v>9125095</v>
      </c>
      <c r="B97" t="s">
        <v>225</v>
      </c>
    </row>
    <row r="98" spans="1:2" x14ac:dyDescent="0.25">
      <c r="A98">
        <v>9138268</v>
      </c>
      <c r="B98" t="s">
        <v>226</v>
      </c>
    </row>
    <row r="99" spans="1:2" x14ac:dyDescent="0.25">
      <c r="A99">
        <v>9138470</v>
      </c>
      <c r="B99" t="s">
        <v>202</v>
      </c>
    </row>
    <row r="100" spans="1:2" x14ac:dyDescent="0.25">
      <c r="A100">
        <v>9150676</v>
      </c>
      <c r="B100" t="s">
        <v>217</v>
      </c>
    </row>
    <row r="101" spans="1:2" x14ac:dyDescent="0.25">
      <c r="A101">
        <v>10010926</v>
      </c>
      <c r="B101" t="s">
        <v>227</v>
      </c>
    </row>
    <row r="102" spans="1:2" x14ac:dyDescent="0.25">
      <c r="A102">
        <v>10016588</v>
      </c>
      <c r="B102" t="s">
        <v>205</v>
      </c>
    </row>
    <row r="103" spans="1:2" x14ac:dyDescent="0.25">
      <c r="A103">
        <v>10027550</v>
      </c>
      <c r="B103" t="s">
        <v>228</v>
      </c>
    </row>
    <row r="104" spans="1:2" x14ac:dyDescent="0.25">
      <c r="A104">
        <v>10030897</v>
      </c>
      <c r="B104" t="s">
        <v>229</v>
      </c>
    </row>
    <row r="105" spans="1:2" x14ac:dyDescent="0.25">
      <c r="A105">
        <v>10091530</v>
      </c>
      <c r="B105" t="s">
        <v>210</v>
      </c>
    </row>
    <row r="106" spans="1:2" x14ac:dyDescent="0.25">
      <c r="A106">
        <v>10102052</v>
      </c>
      <c r="B106" t="s">
        <v>230</v>
      </c>
    </row>
    <row r="107" spans="1:2" x14ac:dyDescent="0.25">
      <c r="A107">
        <v>10104735</v>
      </c>
      <c r="B107" t="s">
        <v>231</v>
      </c>
    </row>
    <row r="108" spans="1:2" x14ac:dyDescent="0.25">
      <c r="A108" s="17">
        <v>10109552</v>
      </c>
      <c r="B108" t="s">
        <v>202</v>
      </c>
    </row>
    <row r="109" spans="1:2" x14ac:dyDescent="0.25">
      <c r="A109">
        <v>10131550</v>
      </c>
      <c r="B109" t="s">
        <v>205</v>
      </c>
    </row>
    <row r="110" spans="1:2" x14ac:dyDescent="0.25">
      <c r="A110">
        <v>10131607</v>
      </c>
      <c r="B110" t="s">
        <v>194</v>
      </c>
    </row>
    <row r="111" spans="1:2" x14ac:dyDescent="0.25">
      <c r="A111">
        <v>10145202</v>
      </c>
      <c r="B111" t="s">
        <v>211</v>
      </c>
    </row>
    <row r="112" spans="1:2" x14ac:dyDescent="0.25">
      <c r="A112">
        <v>10158770</v>
      </c>
      <c r="B112" t="s">
        <v>196</v>
      </c>
    </row>
    <row r="113" spans="1:2" x14ac:dyDescent="0.25">
      <c r="A113">
        <v>10162949</v>
      </c>
      <c r="B113" t="s">
        <v>232</v>
      </c>
    </row>
    <row r="114" spans="1:2" x14ac:dyDescent="0.25">
      <c r="A114">
        <v>10171633</v>
      </c>
      <c r="B114" t="s">
        <v>233</v>
      </c>
    </row>
    <row r="115" spans="1:2" x14ac:dyDescent="0.25">
      <c r="A115">
        <v>10180409</v>
      </c>
      <c r="B115" t="s">
        <v>217</v>
      </c>
    </row>
    <row r="116" spans="1:2" x14ac:dyDescent="0.25">
      <c r="A116">
        <v>11005762</v>
      </c>
      <c r="B116" t="s">
        <v>210</v>
      </c>
    </row>
    <row r="117" spans="1:2" x14ac:dyDescent="0.25">
      <c r="A117">
        <v>11014307</v>
      </c>
      <c r="B117" t="s">
        <v>235</v>
      </c>
    </row>
    <row r="118" spans="1:2" x14ac:dyDescent="0.25">
      <c r="A118">
        <v>11014313</v>
      </c>
      <c r="B118" t="s">
        <v>211</v>
      </c>
    </row>
    <row r="119" spans="1:2" x14ac:dyDescent="0.25">
      <c r="A119">
        <v>11018341</v>
      </c>
      <c r="B119" t="s">
        <v>206</v>
      </c>
    </row>
    <row r="120" spans="1:2" x14ac:dyDescent="0.25">
      <c r="A120">
        <v>11021445</v>
      </c>
      <c r="B120" t="s">
        <v>194</v>
      </c>
    </row>
    <row r="121" spans="1:2" x14ac:dyDescent="0.25">
      <c r="A121">
        <v>11025151</v>
      </c>
      <c r="B121" t="s">
        <v>211</v>
      </c>
    </row>
    <row r="122" spans="1:2" x14ac:dyDescent="0.25">
      <c r="A122">
        <v>11039110</v>
      </c>
      <c r="B122" t="s">
        <v>236</v>
      </c>
    </row>
    <row r="123" spans="1:2" x14ac:dyDescent="0.25">
      <c r="A123">
        <v>11084088</v>
      </c>
      <c r="B123" t="s">
        <v>202</v>
      </c>
    </row>
    <row r="124" spans="1:2" x14ac:dyDescent="0.25">
      <c r="A124">
        <v>11108410</v>
      </c>
      <c r="B124" t="s">
        <v>237</v>
      </c>
    </row>
    <row r="125" spans="1:2" x14ac:dyDescent="0.25">
      <c r="A125" s="17">
        <v>11139605</v>
      </c>
      <c r="B125" t="s">
        <v>202</v>
      </c>
    </row>
    <row r="126" spans="1:2" x14ac:dyDescent="0.25">
      <c r="A126">
        <v>11201694</v>
      </c>
      <c r="B126" t="s">
        <v>202</v>
      </c>
    </row>
    <row r="127" spans="1:2" x14ac:dyDescent="0.25">
      <c r="A127">
        <v>11209748</v>
      </c>
      <c r="B127" t="s">
        <v>196</v>
      </c>
    </row>
    <row r="128" spans="1:2" x14ac:dyDescent="0.25">
      <c r="A128">
        <v>11242543</v>
      </c>
      <c r="B128" t="s">
        <v>238</v>
      </c>
    </row>
    <row r="129" spans="1:2" x14ac:dyDescent="0.25">
      <c r="A129">
        <v>11247293</v>
      </c>
      <c r="B129" t="s">
        <v>239</v>
      </c>
    </row>
    <row r="130" spans="1:2" x14ac:dyDescent="0.25">
      <c r="A130" s="17">
        <v>12006449</v>
      </c>
      <c r="B130" t="s">
        <v>211</v>
      </c>
    </row>
    <row r="131" spans="1:2" x14ac:dyDescent="0.25">
      <c r="A131">
        <v>12049136</v>
      </c>
      <c r="B131" t="s">
        <v>240</v>
      </c>
    </row>
    <row r="132" spans="1:2" x14ac:dyDescent="0.25">
      <c r="A132" s="17">
        <v>12087508</v>
      </c>
      <c r="B132" t="s">
        <v>209</v>
      </c>
    </row>
    <row r="133" spans="1:2" x14ac:dyDescent="0.25">
      <c r="A133">
        <v>12088753</v>
      </c>
      <c r="B133" t="s">
        <v>241</v>
      </c>
    </row>
    <row r="134" spans="1:2" x14ac:dyDescent="0.25">
      <c r="A134">
        <v>12229481</v>
      </c>
      <c r="B134" t="s">
        <v>205</v>
      </c>
    </row>
    <row r="135" spans="1:2" x14ac:dyDescent="0.25">
      <c r="A135">
        <v>12258821</v>
      </c>
      <c r="B135" t="s">
        <v>224</v>
      </c>
    </row>
    <row r="136" spans="1:2" x14ac:dyDescent="0.25">
      <c r="A136">
        <v>12309729</v>
      </c>
      <c r="B136" t="s">
        <v>201</v>
      </c>
    </row>
    <row r="137" spans="1:2" x14ac:dyDescent="0.25">
      <c r="A137">
        <v>12314941</v>
      </c>
      <c r="B137" t="s">
        <v>202</v>
      </c>
    </row>
    <row r="138" spans="1:2" x14ac:dyDescent="0.25">
      <c r="A138">
        <v>12323945</v>
      </c>
      <c r="B138" t="s">
        <v>202</v>
      </c>
    </row>
    <row r="139" spans="1:2" x14ac:dyDescent="0.25">
      <c r="A139">
        <v>13005942</v>
      </c>
      <c r="B139" t="s">
        <v>197</v>
      </c>
    </row>
    <row r="141" spans="1:2" x14ac:dyDescent="0.25">
      <c r="A141" s="6" t="s">
        <v>249</v>
      </c>
    </row>
    <row r="142" spans="1:2" x14ac:dyDescent="0.25">
      <c r="A142">
        <v>324</v>
      </c>
      <c r="B142" t="s">
        <v>250</v>
      </c>
    </row>
    <row r="143" spans="1:2" x14ac:dyDescent="0.25">
      <c r="A143">
        <v>3842</v>
      </c>
      <c r="B143" t="s">
        <v>251</v>
      </c>
    </row>
    <row r="144" spans="1:2" x14ac:dyDescent="0.25">
      <c r="A144">
        <v>3909</v>
      </c>
      <c r="B144" t="s">
        <v>252</v>
      </c>
    </row>
    <row r="145" spans="1:2" x14ac:dyDescent="0.25">
      <c r="A145">
        <v>4663</v>
      </c>
      <c r="B145" t="s">
        <v>253</v>
      </c>
    </row>
    <row r="146" spans="1:2" x14ac:dyDescent="0.25">
      <c r="A146">
        <v>1005522</v>
      </c>
      <c r="B146" t="s">
        <v>254</v>
      </c>
    </row>
    <row r="147" spans="1:2" x14ac:dyDescent="0.25">
      <c r="A147">
        <v>1007631</v>
      </c>
      <c r="B147" t="s">
        <v>256</v>
      </c>
    </row>
    <row r="148" spans="1:2" x14ac:dyDescent="0.25">
      <c r="A148">
        <v>1009760</v>
      </c>
      <c r="B148" t="s">
        <v>257</v>
      </c>
    </row>
    <row r="149" spans="1:2" x14ac:dyDescent="0.25">
      <c r="A149">
        <v>2000646</v>
      </c>
      <c r="B149" t="s">
        <v>258</v>
      </c>
    </row>
    <row r="150" spans="1:2" x14ac:dyDescent="0.25">
      <c r="A150">
        <v>2003761</v>
      </c>
      <c r="B150" t="s">
        <v>260</v>
      </c>
    </row>
    <row r="151" spans="1:2" x14ac:dyDescent="0.25">
      <c r="A151">
        <v>2004061</v>
      </c>
      <c r="B151" t="s">
        <v>259</v>
      </c>
    </row>
    <row r="152" spans="1:2" x14ac:dyDescent="0.25">
      <c r="A152">
        <v>2006469</v>
      </c>
      <c r="B152" t="s">
        <v>261</v>
      </c>
    </row>
    <row r="153" spans="1:2" x14ac:dyDescent="0.25">
      <c r="A153">
        <v>2006739</v>
      </c>
      <c r="B153" t="s">
        <v>262</v>
      </c>
    </row>
    <row r="154" spans="1:2" x14ac:dyDescent="0.25">
      <c r="A154">
        <v>2007360</v>
      </c>
      <c r="B154" t="s">
        <v>263</v>
      </c>
    </row>
    <row r="155" spans="1:2" x14ac:dyDescent="0.25">
      <c r="A155">
        <v>2007648</v>
      </c>
      <c r="B155" t="s">
        <v>254</v>
      </c>
    </row>
    <row r="156" spans="1:2" x14ac:dyDescent="0.25">
      <c r="A156">
        <v>2011811</v>
      </c>
      <c r="B156" t="s">
        <v>254</v>
      </c>
    </row>
    <row r="157" spans="1:2" x14ac:dyDescent="0.25">
      <c r="A157">
        <v>2012411</v>
      </c>
      <c r="B157" t="s">
        <v>205</v>
      </c>
    </row>
    <row r="158" spans="1:2" x14ac:dyDescent="0.25">
      <c r="A158">
        <v>2012826</v>
      </c>
      <c r="B158" t="s">
        <v>264</v>
      </c>
    </row>
    <row r="159" spans="1:2" x14ac:dyDescent="0.25">
      <c r="A159">
        <v>3003602</v>
      </c>
      <c r="B159" t="s">
        <v>265</v>
      </c>
    </row>
    <row r="160" spans="1:2" x14ac:dyDescent="0.25">
      <c r="A160">
        <v>3005132</v>
      </c>
      <c r="B160" s="18" t="s">
        <v>266</v>
      </c>
    </row>
    <row r="161" spans="1:2" x14ac:dyDescent="0.25">
      <c r="A161">
        <v>3007918</v>
      </c>
      <c r="B161" t="s">
        <v>201</v>
      </c>
    </row>
    <row r="162" spans="1:2" x14ac:dyDescent="0.25">
      <c r="A162">
        <v>3008510</v>
      </c>
      <c r="B162" t="s">
        <v>267</v>
      </c>
    </row>
    <row r="163" spans="1:2" x14ac:dyDescent="0.25">
      <c r="A163">
        <v>3009119</v>
      </c>
      <c r="B163" t="s">
        <v>201</v>
      </c>
    </row>
    <row r="164" spans="1:2" x14ac:dyDescent="0.25">
      <c r="A164">
        <v>3009936</v>
      </c>
      <c r="B164" t="s">
        <v>205</v>
      </c>
    </row>
    <row r="165" spans="1:2" x14ac:dyDescent="0.25">
      <c r="A165">
        <v>3010565</v>
      </c>
      <c r="B165" t="s">
        <v>201</v>
      </c>
    </row>
    <row r="166" spans="1:2" x14ac:dyDescent="0.25">
      <c r="A166">
        <v>3011094</v>
      </c>
      <c r="B166" t="s">
        <v>259</v>
      </c>
    </row>
    <row r="167" spans="1:2" x14ac:dyDescent="0.25">
      <c r="A167">
        <v>3014643</v>
      </c>
      <c r="B167" t="s">
        <v>201</v>
      </c>
    </row>
    <row r="168" spans="1:2" x14ac:dyDescent="0.25">
      <c r="A168">
        <v>3016056</v>
      </c>
      <c r="B168" t="s">
        <v>200</v>
      </c>
    </row>
    <row r="169" spans="1:2" x14ac:dyDescent="0.25">
      <c r="A169">
        <v>3018383</v>
      </c>
      <c r="B169" t="s">
        <v>205</v>
      </c>
    </row>
    <row r="170" spans="1:2" x14ac:dyDescent="0.25">
      <c r="A170">
        <v>3017227</v>
      </c>
      <c r="B170" t="s">
        <v>201</v>
      </c>
    </row>
    <row r="171" spans="1:2" x14ac:dyDescent="0.25">
      <c r="A171">
        <v>3900219</v>
      </c>
      <c r="B171" t="s">
        <v>200</v>
      </c>
    </row>
    <row r="172" spans="1:2" x14ac:dyDescent="0.25">
      <c r="A172">
        <v>3900721</v>
      </c>
      <c r="B172" t="s">
        <v>268</v>
      </c>
    </row>
    <row r="173" spans="1:2" x14ac:dyDescent="0.25">
      <c r="A173">
        <v>3900911</v>
      </c>
      <c r="B173" t="s">
        <v>269</v>
      </c>
    </row>
    <row r="174" spans="1:2" x14ac:dyDescent="0.25">
      <c r="A174">
        <v>4000158</v>
      </c>
      <c r="B174" t="s">
        <v>201</v>
      </c>
    </row>
    <row r="175" spans="1:2" x14ac:dyDescent="0.25">
      <c r="A175">
        <v>4000304</v>
      </c>
      <c r="B175" t="s">
        <v>257</v>
      </c>
    </row>
    <row r="176" spans="1:2" x14ac:dyDescent="0.25">
      <c r="A176">
        <v>4000702</v>
      </c>
      <c r="B176" t="s">
        <v>261</v>
      </c>
    </row>
    <row r="177" spans="1:2" x14ac:dyDescent="0.25">
      <c r="A177">
        <v>4001905</v>
      </c>
      <c r="B177" t="s">
        <v>270</v>
      </c>
    </row>
    <row r="178" spans="1:2" x14ac:dyDescent="0.25">
      <c r="A178">
        <v>4002206</v>
      </c>
      <c r="B178" t="s">
        <v>271</v>
      </c>
    </row>
    <row r="179" spans="1:2" x14ac:dyDescent="0.25">
      <c r="A179">
        <v>4002715</v>
      </c>
      <c r="B179" t="s">
        <v>200</v>
      </c>
    </row>
    <row r="180" spans="1:2" x14ac:dyDescent="0.25">
      <c r="A180">
        <v>4003924</v>
      </c>
      <c r="B180" t="s">
        <v>257</v>
      </c>
    </row>
    <row r="181" spans="1:2" x14ac:dyDescent="0.25">
      <c r="A181">
        <v>4004302</v>
      </c>
      <c r="B181" t="s">
        <v>272</v>
      </c>
    </row>
    <row r="182" spans="1:2" x14ac:dyDescent="0.25">
      <c r="A182">
        <v>4004463</v>
      </c>
      <c r="B182" t="s">
        <v>201</v>
      </c>
    </row>
    <row r="183" spans="1:2" x14ac:dyDescent="0.25">
      <c r="A183">
        <v>4006051</v>
      </c>
      <c r="B183" t="s">
        <v>199</v>
      </c>
    </row>
    <row r="184" spans="1:2" x14ac:dyDescent="0.25">
      <c r="A184">
        <v>4008140</v>
      </c>
      <c r="B184" t="s">
        <v>277</v>
      </c>
    </row>
    <row r="185" spans="1:2" x14ac:dyDescent="0.25">
      <c r="A185">
        <v>4009906</v>
      </c>
      <c r="B185" t="s">
        <v>273</v>
      </c>
    </row>
    <row r="186" spans="1:2" x14ac:dyDescent="0.25">
      <c r="A186">
        <v>4011027</v>
      </c>
      <c r="B186" t="s">
        <v>274</v>
      </c>
    </row>
    <row r="187" spans="1:2" x14ac:dyDescent="0.25">
      <c r="A187">
        <v>4011920</v>
      </c>
      <c r="B187" t="s">
        <v>200</v>
      </c>
    </row>
    <row r="188" spans="1:2" x14ac:dyDescent="0.25">
      <c r="A188">
        <v>4012248</v>
      </c>
      <c r="B188" t="s">
        <v>275</v>
      </c>
    </row>
    <row r="189" spans="1:2" x14ac:dyDescent="0.25">
      <c r="A189">
        <v>4013287</v>
      </c>
      <c r="B189" t="s">
        <v>217</v>
      </c>
    </row>
    <row r="190" spans="1:2" x14ac:dyDescent="0.25">
      <c r="A190">
        <v>4013603</v>
      </c>
      <c r="B190" t="s">
        <v>276</v>
      </c>
    </row>
    <row r="191" spans="1:2" x14ac:dyDescent="0.25">
      <c r="A191">
        <v>5002712</v>
      </c>
      <c r="B191" t="s">
        <v>257</v>
      </c>
    </row>
    <row r="192" spans="1:2" x14ac:dyDescent="0.25">
      <c r="A192">
        <v>5004654</v>
      </c>
      <c r="B192" t="s">
        <v>205</v>
      </c>
    </row>
    <row r="193" spans="1:2" x14ac:dyDescent="0.25">
      <c r="A193" s="17">
        <v>5006761</v>
      </c>
      <c r="B193" s="20" t="s">
        <v>276</v>
      </c>
    </row>
    <row r="194" spans="1:2" x14ac:dyDescent="0.25">
      <c r="A194">
        <v>5008807</v>
      </c>
      <c r="B194" t="s">
        <v>252</v>
      </c>
    </row>
    <row r="195" spans="1:2" x14ac:dyDescent="0.25">
      <c r="A195">
        <v>5009400</v>
      </c>
      <c r="B195" t="s">
        <v>277</v>
      </c>
    </row>
    <row r="196" spans="1:2" x14ac:dyDescent="0.25">
      <c r="A196">
        <v>5013211</v>
      </c>
      <c r="B196" t="s">
        <v>259</v>
      </c>
    </row>
    <row r="197" spans="1:2" x14ac:dyDescent="0.25">
      <c r="A197">
        <v>5013494</v>
      </c>
      <c r="B197" t="s">
        <v>201</v>
      </c>
    </row>
    <row r="198" spans="1:2" x14ac:dyDescent="0.25">
      <c r="A198" s="17">
        <v>5016255</v>
      </c>
      <c r="B198" s="20" t="s">
        <v>261</v>
      </c>
    </row>
    <row r="199" spans="1:2" x14ac:dyDescent="0.25">
      <c r="A199">
        <v>6005884</v>
      </c>
      <c r="B199" t="s">
        <v>199</v>
      </c>
    </row>
    <row r="200" spans="1:2" x14ac:dyDescent="0.25">
      <c r="A200">
        <v>6012448</v>
      </c>
      <c r="B200" t="s">
        <v>201</v>
      </c>
    </row>
    <row r="201" spans="1:2" x14ac:dyDescent="0.25">
      <c r="A201">
        <v>7000457</v>
      </c>
      <c r="B201" t="s">
        <v>205</v>
      </c>
    </row>
    <row r="202" spans="1:2" x14ac:dyDescent="0.25">
      <c r="A202" s="17">
        <v>7072644</v>
      </c>
      <c r="B202" t="s">
        <v>281</v>
      </c>
    </row>
    <row r="203" spans="1:2" x14ac:dyDescent="0.25">
      <c r="A203">
        <v>7076472</v>
      </c>
      <c r="B203" t="s">
        <v>257</v>
      </c>
    </row>
    <row r="204" spans="1:2" x14ac:dyDescent="0.25">
      <c r="A204">
        <v>7126387</v>
      </c>
      <c r="B204" t="s">
        <v>275</v>
      </c>
    </row>
    <row r="205" spans="1:2" x14ac:dyDescent="0.25">
      <c r="A205">
        <v>10185935</v>
      </c>
      <c r="B205" t="s">
        <v>205</v>
      </c>
    </row>
    <row r="206" spans="1:2" x14ac:dyDescent="0.25">
      <c r="A206">
        <v>11061215</v>
      </c>
      <c r="B206" t="s">
        <v>205</v>
      </c>
    </row>
    <row r="207" spans="1:2" x14ac:dyDescent="0.25">
      <c r="A207">
        <v>93008468</v>
      </c>
      <c r="B207" t="s">
        <v>261</v>
      </c>
    </row>
    <row r="208" spans="1:2" x14ac:dyDescent="0.25">
      <c r="A208">
        <v>93016155</v>
      </c>
      <c r="B208" t="s">
        <v>257</v>
      </c>
    </row>
    <row r="209" spans="1:2" x14ac:dyDescent="0.25">
      <c r="A209">
        <v>93016241</v>
      </c>
      <c r="B209" t="s">
        <v>205</v>
      </c>
    </row>
    <row r="210" spans="1:2" x14ac:dyDescent="0.25">
      <c r="A210">
        <v>93018845</v>
      </c>
      <c r="B210" t="s">
        <v>256</v>
      </c>
    </row>
    <row r="211" spans="1:2" x14ac:dyDescent="0.25">
      <c r="A211">
        <v>94003884</v>
      </c>
      <c r="B211" t="s">
        <v>257</v>
      </c>
    </row>
    <row r="212" spans="1:2" x14ac:dyDescent="0.25">
      <c r="A212">
        <v>94003919</v>
      </c>
      <c r="B212" t="s">
        <v>256</v>
      </c>
    </row>
    <row r="213" spans="1:2" x14ac:dyDescent="0.25">
      <c r="A213">
        <v>94006009</v>
      </c>
      <c r="B213" t="s">
        <v>282</v>
      </c>
    </row>
    <row r="214" spans="1:2" x14ac:dyDescent="0.25">
      <c r="A214">
        <v>94014126</v>
      </c>
      <c r="B214" t="s">
        <v>276</v>
      </c>
    </row>
    <row r="215" spans="1:2" x14ac:dyDescent="0.25">
      <c r="A215">
        <v>94900361</v>
      </c>
      <c r="B215" t="s">
        <v>201</v>
      </c>
    </row>
    <row r="216" spans="1:2" x14ac:dyDescent="0.25">
      <c r="A216">
        <v>94901890</v>
      </c>
      <c r="B216" s="18" t="s">
        <v>283</v>
      </c>
    </row>
    <row r="217" spans="1:2" x14ac:dyDescent="0.25">
      <c r="A217">
        <v>95001046</v>
      </c>
      <c r="B217" t="s">
        <v>275</v>
      </c>
    </row>
    <row r="218" spans="1:2" x14ac:dyDescent="0.25">
      <c r="A218">
        <v>95003255</v>
      </c>
      <c r="B218" t="s">
        <v>256</v>
      </c>
    </row>
    <row r="219" spans="1:2" x14ac:dyDescent="0.25">
      <c r="A219">
        <v>95003777</v>
      </c>
      <c r="B219" t="s">
        <v>284</v>
      </c>
    </row>
    <row r="220" spans="1:2" x14ac:dyDescent="0.25">
      <c r="A220">
        <v>95007023</v>
      </c>
      <c r="B220" t="s">
        <v>205</v>
      </c>
    </row>
    <row r="221" spans="1:2" x14ac:dyDescent="0.25">
      <c r="A221">
        <v>95900316</v>
      </c>
      <c r="B221" t="s">
        <v>285</v>
      </c>
    </row>
    <row r="222" spans="1:2" x14ac:dyDescent="0.25">
      <c r="A222">
        <v>96004031</v>
      </c>
      <c r="B222" t="s">
        <v>276</v>
      </c>
    </row>
    <row r="223" spans="1:2" x14ac:dyDescent="0.25">
      <c r="A223">
        <v>96900455</v>
      </c>
      <c r="B223" t="s">
        <v>205</v>
      </c>
    </row>
    <row r="224" spans="1:2" x14ac:dyDescent="0.25">
      <c r="A224">
        <v>97004458</v>
      </c>
      <c r="B224" t="s">
        <v>283</v>
      </c>
    </row>
    <row r="225" spans="1:2" x14ac:dyDescent="0.25">
      <c r="A225">
        <v>97009212</v>
      </c>
      <c r="B225" t="s">
        <v>257</v>
      </c>
    </row>
    <row r="226" spans="1:2" x14ac:dyDescent="0.25">
      <c r="A226">
        <v>98006038</v>
      </c>
      <c r="B226" t="s">
        <v>205</v>
      </c>
    </row>
    <row r="227" spans="1:2" x14ac:dyDescent="0.25">
      <c r="A227">
        <v>98009041</v>
      </c>
      <c r="B227" t="s">
        <v>286</v>
      </c>
    </row>
    <row r="228" spans="1:2" x14ac:dyDescent="0.25">
      <c r="A228">
        <v>99000714</v>
      </c>
      <c r="B228" t="s">
        <v>256</v>
      </c>
    </row>
    <row r="229" spans="1:2" x14ac:dyDescent="0.25">
      <c r="A229">
        <v>99002655</v>
      </c>
      <c r="B229" t="s">
        <v>252</v>
      </c>
    </row>
    <row r="230" spans="1:2" x14ac:dyDescent="0.25">
      <c r="A230">
        <v>99007116</v>
      </c>
      <c r="B230" t="s">
        <v>262</v>
      </c>
    </row>
    <row r="231" spans="1:2" x14ac:dyDescent="0.25">
      <c r="A231">
        <v>99901293</v>
      </c>
      <c r="B231" t="s">
        <v>287</v>
      </c>
    </row>
    <row r="232" spans="1:2" x14ac:dyDescent="0.25">
      <c r="A232">
        <v>99901604</v>
      </c>
      <c r="B232" t="s">
        <v>201</v>
      </c>
    </row>
    <row r="234" spans="1:2" x14ac:dyDescent="0.25">
      <c r="A234" s="6" t="s">
        <v>288</v>
      </c>
    </row>
    <row r="235" spans="1:2" x14ac:dyDescent="0.25">
      <c r="A235">
        <v>4289</v>
      </c>
      <c r="B235" t="s">
        <v>276</v>
      </c>
    </row>
    <row r="236" spans="1:2" x14ac:dyDescent="0.25">
      <c r="A236">
        <v>500245</v>
      </c>
      <c r="B236" t="s">
        <v>283</v>
      </c>
    </row>
    <row r="237" spans="1:2" x14ac:dyDescent="0.25">
      <c r="A237">
        <v>2002573</v>
      </c>
      <c r="B237" t="s">
        <v>261</v>
      </c>
    </row>
    <row r="238" spans="1:2" x14ac:dyDescent="0.25">
      <c r="A238">
        <v>2003539</v>
      </c>
      <c r="B238" t="s">
        <v>289</v>
      </c>
    </row>
    <row r="239" spans="1:2" x14ac:dyDescent="0.25">
      <c r="A239">
        <v>2003649</v>
      </c>
      <c r="B239" t="s">
        <v>256</v>
      </c>
    </row>
    <row r="240" spans="1:2" x14ac:dyDescent="0.25">
      <c r="A240">
        <v>2005572</v>
      </c>
      <c r="B240" t="s">
        <v>276</v>
      </c>
    </row>
    <row r="241" spans="1:2" x14ac:dyDescent="0.25">
      <c r="A241">
        <v>2013117</v>
      </c>
      <c r="B241" t="s">
        <v>205</v>
      </c>
    </row>
    <row r="242" spans="1:2" x14ac:dyDescent="0.25">
      <c r="A242">
        <v>3008204</v>
      </c>
      <c r="B242" t="s">
        <v>261</v>
      </c>
    </row>
    <row r="243" spans="1:2" x14ac:dyDescent="0.25">
      <c r="A243">
        <v>3009633</v>
      </c>
      <c r="B243" t="s">
        <v>256</v>
      </c>
    </row>
    <row r="244" spans="1:2" x14ac:dyDescent="0.25">
      <c r="A244">
        <v>3010583</v>
      </c>
      <c r="B244" t="s">
        <v>205</v>
      </c>
    </row>
    <row r="245" spans="1:2" x14ac:dyDescent="0.25">
      <c r="A245">
        <v>3011892</v>
      </c>
      <c r="B245" t="s">
        <v>205</v>
      </c>
    </row>
    <row r="246" spans="1:2" x14ac:dyDescent="0.25">
      <c r="A246">
        <v>4001382</v>
      </c>
      <c r="B246" t="s">
        <v>252</v>
      </c>
    </row>
    <row r="247" spans="1:2" x14ac:dyDescent="0.25">
      <c r="A247" s="17">
        <v>5013714</v>
      </c>
      <c r="B247" s="20" t="s">
        <v>252</v>
      </c>
    </row>
    <row r="248" spans="1:2" x14ac:dyDescent="0.25">
      <c r="A248">
        <v>5018675</v>
      </c>
      <c r="B248" t="s">
        <v>205</v>
      </c>
    </row>
    <row r="249" spans="1:2" x14ac:dyDescent="0.25">
      <c r="A249">
        <v>6000832</v>
      </c>
      <c r="B249" t="s">
        <v>289</v>
      </c>
    </row>
    <row r="250" spans="1:2" x14ac:dyDescent="0.25">
      <c r="A250">
        <v>6050168</v>
      </c>
      <c r="B250" t="s">
        <v>205</v>
      </c>
    </row>
    <row r="251" spans="1:2" x14ac:dyDescent="0.25">
      <c r="A251">
        <v>6062742</v>
      </c>
      <c r="B251" t="s">
        <v>256</v>
      </c>
    </row>
    <row r="252" spans="1:2" x14ac:dyDescent="0.25">
      <c r="A252">
        <v>7003242</v>
      </c>
      <c r="B252" t="s">
        <v>261</v>
      </c>
    </row>
    <row r="253" spans="1:2" x14ac:dyDescent="0.25">
      <c r="A253">
        <v>8016252</v>
      </c>
      <c r="B253" t="s">
        <v>290</v>
      </c>
    </row>
    <row r="254" spans="1:2" x14ac:dyDescent="0.25">
      <c r="A254">
        <v>12022536</v>
      </c>
      <c r="B254" t="s">
        <v>291</v>
      </c>
    </row>
    <row r="255" spans="1:2" x14ac:dyDescent="0.25">
      <c r="A255">
        <v>13020792</v>
      </c>
      <c r="B255" t="s">
        <v>252</v>
      </c>
    </row>
    <row r="256" spans="1:2" x14ac:dyDescent="0.25">
      <c r="A256">
        <v>97005797</v>
      </c>
      <c r="B256" t="s">
        <v>205</v>
      </c>
    </row>
    <row r="257" spans="1:2" x14ac:dyDescent="0.25">
      <c r="A257">
        <v>99000345</v>
      </c>
      <c r="B257" t="s">
        <v>275</v>
      </c>
    </row>
    <row r="259" spans="1:2" x14ac:dyDescent="0.25">
      <c r="A259" s="6" t="s">
        <v>292</v>
      </c>
    </row>
    <row r="260" spans="1:2" x14ac:dyDescent="0.25">
      <c r="A260">
        <v>5281</v>
      </c>
      <c r="B260" s="20" t="s">
        <v>275</v>
      </c>
    </row>
    <row r="261" spans="1:2" x14ac:dyDescent="0.25">
      <c r="A261">
        <v>200085</v>
      </c>
      <c r="B261" s="20" t="s">
        <v>205</v>
      </c>
    </row>
    <row r="262" spans="1:2" x14ac:dyDescent="0.25">
      <c r="A262">
        <v>200149</v>
      </c>
      <c r="B262" s="20" t="s">
        <v>261</v>
      </c>
    </row>
    <row r="263" spans="1:2" x14ac:dyDescent="0.25">
      <c r="A263">
        <v>500129</v>
      </c>
      <c r="B263" s="20" t="s">
        <v>294</v>
      </c>
    </row>
    <row r="264" spans="1:2" x14ac:dyDescent="0.25">
      <c r="A264">
        <v>1002033</v>
      </c>
      <c r="B264" s="20" t="s">
        <v>261</v>
      </c>
    </row>
    <row r="265" spans="1:2" x14ac:dyDescent="0.25">
      <c r="A265">
        <v>1002241</v>
      </c>
      <c r="B265" s="20" t="s">
        <v>284</v>
      </c>
    </row>
    <row r="266" spans="1:2" x14ac:dyDescent="0.25">
      <c r="A266">
        <v>1003457</v>
      </c>
      <c r="B266" s="20" t="s">
        <v>275</v>
      </c>
    </row>
    <row r="267" spans="1:2" x14ac:dyDescent="0.25">
      <c r="A267">
        <v>1006310</v>
      </c>
      <c r="B267" s="20" t="s">
        <v>291</v>
      </c>
    </row>
    <row r="268" spans="1:2" x14ac:dyDescent="0.25">
      <c r="A268">
        <v>1007842</v>
      </c>
      <c r="B268" s="20" t="s">
        <v>263</v>
      </c>
    </row>
    <row r="269" spans="1:2" x14ac:dyDescent="0.25">
      <c r="A269">
        <v>2005223</v>
      </c>
      <c r="B269" s="20" t="s">
        <v>256</v>
      </c>
    </row>
    <row r="270" spans="1:2" x14ac:dyDescent="0.25">
      <c r="A270">
        <v>2006107</v>
      </c>
      <c r="B270" s="20" t="s">
        <v>256</v>
      </c>
    </row>
    <row r="271" spans="1:2" x14ac:dyDescent="0.25">
      <c r="A271">
        <v>2008127</v>
      </c>
      <c r="B271" s="20" t="s">
        <v>252</v>
      </c>
    </row>
    <row r="272" spans="1:2" x14ac:dyDescent="0.25">
      <c r="A272">
        <v>2010754</v>
      </c>
      <c r="B272" s="20" t="s">
        <v>205</v>
      </c>
    </row>
    <row r="273" spans="1:2" x14ac:dyDescent="0.25">
      <c r="A273">
        <v>2012014</v>
      </c>
      <c r="B273" s="20" t="s">
        <v>295</v>
      </c>
    </row>
    <row r="274" spans="1:2" x14ac:dyDescent="0.25">
      <c r="A274">
        <v>3000152</v>
      </c>
      <c r="B274" s="20" t="s">
        <v>205</v>
      </c>
    </row>
    <row r="275" spans="1:2" x14ac:dyDescent="0.25">
      <c r="A275">
        <v>3014566</v>
      </c>
      <c r="B275" s="20" t="s">
        <v>291</v>
      </c>
    </row>
    <row r="276" spans="1:2" x14ac:dyDescent="0.25">
      <c r="A276">
        <v>3015058</v>
      </c>
      <c r="B276" s="20" t="s">
        <v>296</v>
      </c>
    </row>
    <row r="277" spans="1:2" x14ac:dyDescent="0.25">
      <c r="A277">
        <v>3017084</v>
      </c>
      <c r="B277" s="20" t="s">
        <v>205</v>
      </c>
    </row>
    <row r="278" spans="1:2" x14ac:dyDescent="0.25">
      <c r="A278">
        <v>3019249</v>
      </c>
      <c r="B278" s="20" t="s">
        <v>296</v>
      </c>
    </row>
    <row r="279" spans="1:2" x14ac:dyDescent="0.25">
      <c r="A279">
        <v>4000996</v>
      </c>
      <c r="B279" s="20" t="s">
        <v>297</v>
      </c>
    </row>
    <row r="280" spans="1:2" x14ac:dyDescent="0.25">
      <c r="A280">
        <v>4003768</v>
      </c>
      <c r="B280" s="20" t="s">
        <v>298</v>
      </c>
    </row>
    <row r="281" spans="1:2" x14ac:dyDescent="0.25">
      <c r="A281">
        <v>4006540</v>
      </c>
      <c r="B281" s="20" t="s">
        <v>205</v>
      </c>
    </row>
    <row r="282" spans="1:2" x14ac:dyDescent="0.25">
      <c r="A282">
        <v>4007054</v>
      </c>
      <c r="B282" s="20" t="s">
        <v>296</v>
      </c>
    </row>
    <row r="283" spans="1:2" x14ac:dyDescent="0.25">
      <c r="A283">
        <v>4009308</v>
      </c>
      <c r="B283" s="20" t="s">
        <v>291</v>
      </c>
    </row>
    <row r="284" spans="1:2" x14ac:dyDescent="0.25">
      <c r="A284">
        <v>4011002</v>
      </c>
      <c r="B284" s="20" t="s">
        <v>296</v>
      </c>
    </row>
    <row r="285" spans="1:2" x14ac:dyDescent="0.25">
      <c r="A285">
        <v>4900268</v>
      </c>
      <c r="B285" s="20" t="s">
        <v>275</v>
      </c>
    </row>
    <row r="286" spans="1:2" x14ac:dyDescent="0.25">
      <c r="A286">
        <v>5001097</v>
      </c>
      <c r="B286" s="20" t="s">
        <v>291</v>
      </c>
    </row>
    <row r="287" spans="1:2" x14ac:dyDescent="0.25">
      <c r="A287">
        <v>5001098</v>
      </c>
      <c r="B287" s="20" t="s">
        <v>291</v>
      </c>
    </row>
    <row r="288" spans="1:2" x14ac:dyDescent="0.25">
      <c r="A288">
        <v>5005508</v>
      </c>
      <c r="B288" s="20" t="s">
        <v>264</v>
      </c>
    </row>
    <row r="289" spans="1:2" x14ac:dyDescent="0.25">
      <c r="A289">
        <v>5005517</v>
      </c>
      <c r="B289" s="20" t="s">
        <v>264</v>
      </c>
    </row>
    <row r="290" spans="1:2" x14ac:dyDescent="0.25">
      <c r="A290">
        <v>5005523</v>
      </c>
      <c r="B290" s="20" t="s">
        <v>264</v>
      </c>
    </row>
    <row r="291" spans="1:2" x14ac:dyDescent="0.25">
      <c r="A291">
        <v>5005557</v>
      </c>
      <c r="B291" s="20" t="s">
        <v>264</v>
      </c>
    </row>
    <row r="292" spans="1:2" x14ac:dyDescent="0.25">
      <c r="A292">
        <v>5006152</v>
      </c>
      <c r="B292" s="20" t="s">
        <v>252</v>
      </c>
    </row>
    <row r="293" spans="1:2" x14ac:dyDescent="0.25">
      <c r="A293">
        <v>5006717</v>
      </c>
      <c r="B293" s="20" t="s">
        <v>264</v>
      </c>
    </row>
    <row r="294" spans="1:2" x14ac:dyDescent="0.25">
      <c r="A294">
        <v>5006719</v>
      </c>
      <c r="B294" s="20" t="s">
        <v>264</v>
      </c>
    </row>
    <row r="295" spans="1:2" x14ac:dyDescent="0.25">
      <c r="A295">
        <v>5006726</v>
      </c>
      <c r="B295" s="20" t="s">
        <v>264</v>
      </c>
    </row>
    <row r="296" spans="1:2" x14ac:dyDescent="0.25">
      <c r="A296">
        <v>5006732</v>
      </c>
      <c r="B296" s="20" t="s">
        <v>264</v>
      </c>
    </row>
    <row r="297" spans="1:2" x14ac:dyDescent="0.25">
      <c r="A297">
        <v>5006733</v>
      </c>
      <c r="B297" s="20" t="s">
        <v>264</v>
      </c>
    </row>
    <row r="298" spans="1:2" x14ac:dyDescent="0.25">
      <c r="A298">
        <v>5006736</v>
      </c>
      <c r="B298" s="20" t="s">
        <v>264</v>
      </c>
    </row>
    <row r="299" spans="1:2" x14ac:dyDescent="0.25">
      <c r="A299">
        <v>5006764</v>
      </c>
      <c r="B299" s="20" t="s">
        <v>264</v>
      </c>
    </row>
    <row r="300" spans="1:2" x14ac:dyDescent="0.25">
      <c r="A300">
        <v>5006917</v>
      </c>
      <c r="B300" s="20" t="s">
        <v>299</v>
      </c>
    </row>
    <row r="301" spans="1:2" x14ac:dyDescent="0.25">
      <c r="A301">
        <v>5011824</v>
      </c>
      <c r="B301" s="20" t="s">
        <v>300</v>
      </c>
    </row>
    <row r="302" spans="1:2" x14ac:dyDescent="0.25">
      <c r="A302">
        <v>5016179</v>
      </c>
      <c r="B302" s="20" t="s">
        <v>252</v>
      </c>
    </row>
    <row r="303" spans="1:2" x14ac:dyDescent="0.25">
      <c r="A303">
        <v>5018677</v>
      </c>
      <c r="B303" s="20" t="s">
        <v>205</v>
      </c>
    </row>
    <row r="304" spans="1:2" x14ac:dyDescent="0.25">
      <c r="A304">
        <v>8012361</v>
      </c>
      <c r="B304" t="s">
        <v>291</v>
      </c>
    </row>
    <row r="305" spans="1:2" x14ac:dyDescent="0.25">
      <c r="A305">
        <v>7079011</v>
      </c>
      <c r="B305" s="20" t="s">
        <v>275</v>
      </c>
    </row>
    <row r="306" spans="1:2" x14ac:dyDescent="0.25">
      <c r="A306">
        <v>8055349</v>
      </c>
      <c r="B306" t="s">
        <v>252</v>
      </c>
    </row>
    <row r="307" spans="1:2" x14ac:dyDescent="0.25">
      <c r="A307">
        <v>8135416</v>
      </c>
      <c r="B307" s="20" t="s">
        <v>252</v>
      </c>
    </row>
    <row r="308" spans="1:2" x14ac:dyDescent="0.25">
      <c r="A308">
        <v>93018945</v>
      </c>
      <c r="B308" s="20" t="s">
        <v>301</v>
      </c>
    </row>
    <row r="309" spans="1:2" x14ac:dyDescent="0.25">
      <c r="A309">
        <v>94009028</v>
      </c>
      <c r="B309" s="20" t="s">
        <v>252</v>
      </c>
    </row>
    <row r="310" spans="1:2" x14ac:dyDescent="0.25">
      <c r="A310">
        <v>95005907</v>
      </c>
      <c r="B310" s="20" t="s">
        <v>205</v>
      </c>
    </row>
    <row r="311" spans="1:2" x14ac:dyDescent="0.25">
      <c r="A311">
        <v>95900164</v>
      </c>
      <c r="B311" s="20" t="s">
        <v>252</v>
      </c>
    </row>
    <row r="312" spans="1:2" x14ac:dyDescent="0.25">
      <c r="A312">
        <v>96015811</v>
      </c>
      <c r="B312" s="20" t="s">
        <v>252</v>
      </c>
    </row>
    <row r="313" spans="1:2" x14ac:dyDescent="0.25">
      <c r="A313">
        <v>97001240</v>
      </c>
      <c r="B313" t="s">
        <v>302</v>
      </c>
    </row>
    <row r="314" spans="1:2" x14ac:dyDescent="0.25">
      <c r="A314">
        <v>97005366</v>
      </c>
      <c r="B314" s="20" t="s">
        <v>291</v>
      </c>
    </row>
    <row r="315" spans="1:2" x14ac:dyDescent="0.25">
      <c r="A315">
        <v>98000595</v>
      </c>
      <c r="B315" s="20" t="s">
        <v>291</v>
      </c>
    </row>
    <row r="316" spans="1:2" x14ac:dyDescent="0.25">
      <c r="A316">
        <v>98002692</v>
      </c>
      <c r="B316" s="20" t="s">
        <v>256</v>
      </c>
    </row>
    <row r="317" spans="1:2" x14ac:dyDescent="0.25">
      <c r="A317">
        <v>99001815</v>
      </c>
      <c r="B317" s="20" t="s">
        <v>291</v>
      </c>
    </row>
    <row r="319" spans="1:2" x14ac:dyDescent="0.25">
      <c r="A319" s="6" t="s">
        <v>305</v>
      </c>
    </row>
    <row r="320" spans="1:2" x14ac:dyDescent="0.25">
      <c r="A320" s="17">
        <v>5006592</v>
      </c>
      <c r="B320" t="s">
        <v>261</v>
      </c>
    </row>
    <row r="321" spans="1:2" x14ac:dyDescent="0.25">
      <c r="A321" s="17">
        <v>5007274</v>
      </c>
      <c r="B321" t="s">
        <v>252</v>
      </c>
    </row>
    <row r="322" spans="1:2" x14ac:dyDescent="0.25">
      <c r="A322" s="17">
        <v>5015851</v>
      </c>
      <c r="B322" t="s">
        <v>264</v>
      </c>
    </row>
    <row r="323" spans="1:2" x14ac:dyDescent="0.25">
      <c r="A323" s="17">
        <v>6015647</v>
      </c>
      <c r="B323" t="s">
        <v>261</v>
      </c>
    </row>
    <row r="324" spans="1:2" x14ac:dyDescent="0.25">
      <c r="A324">
        <v>6050794</v>
      </c>
      <c r="B324" t="s">
        <v>306</v>
      </c>
    </row>
    <row r="325" spans="1:2" x14ac:dyDescent="0.25">
      <c r="A325" s="17">
        <v>6056633</v>
      </c>
      <c r="B325" t="s">
        <v>261</v>
      </c>
    </row>
    <row r="326" spans="1:2" x14ac:dyDescent="0.25">
      <c r="A326" s="17">
        <v>6058484</v>
      </c>
      <c r="B326" t="s">
        <v>264</v>
      </c>
    </row>
    <row r="327" spans="1:2" x14ac:dyDescent="0.25">
      <c r="A327" s="17">
        <v>7086224</v>
      </c>
      <c r="B327" t="s">
        <v>205</v>
      </c>
    </row>
    <row r="328" spans="1:2" x14ac:dyDescent="0.25">
      <c r="A328">
        <v>8007013</v>
      </c>
      <c r="B328" t="s">
        <v>256</v>
      </c>
    </row>
    <row r="329" spans="1:2" x14ac:dyDescent="0.25">
      <c r="A329">
        <v>8040959</v>
      </c>
      <c r="B329" t="s">
        <v>291</v>
      </c>
    </row>
    <row r="330" spans="1:2" x14ac:dyDescent="0.25">
      <c r="A330">
        <v>8051516</v>
      </c>
      <c r="B330" t="s">
        <v>261</v>
      </c>
    </row>
    <row r="331" spans="1:2" x14ac:dyDescent="0.25">
      <c r="A331">
        <v>8060785</v>
      </c>
      <c r="B331" t="s">
        <v>252</v>
      </c>
    </row>
    <row r="332" spans="1:2" x14ac:dyDescent="0.25">
      <c r="A332">
        <v>8107048</v>
      </c>
      <c r="B332" t="s">
        <v>205</v>
      </c>
    </row>
    <row r="333" spans="1:2" x14ac:dyDescent="0.25">
      <c r="A333">
        <v>8119197</v>
      </c>
      <c r="B333" t="s">
        <v>205</v>
      </c>
    </row>
    <row r="334" spans="1:2" x14ac:dyDescent="0.25">
      <c r="A334">
        <v>8124044</v>
      </c>
      <c r="B334" t="s">
        <v>291</v>
      </c>
    </row>
    <row r="335" spans="1:2" x14ac:dyDescent="0.25">
      <c r="A335">
        <v>8142949</v>
      </c>
      <c r="B335" t="s">
        <v>205</v>
      </c>
    </row>
    <row r="336" spans="1:2" x14ac:dyDescent="0.25">
      <c r="A336">
        <v>9023306</v>
      </c>
      <c r="B336" t="s">
        <v>291</v>
      </c>
    </row>
    <row r="337" spans="1:2" x14ac:dyDescent="0.25">
      <c r="A337">
        <v>9030615</v>
      </c>
      <c r="B337" t="s">
        <v>291</v>
      </c>
    </row>
    <row r="338" spans="1:2" x14ac:dyDescent="0.25">
      <c r="A338">
        <v>9034464</v>
      </c>
      <c r="B338" t="s">
        <v>307</v>
      </c>
    </row>
    <row r="339" spans="1:2" x14ac:dyDescent="0.25">
      <c r="A339">
        <v>9040167</v>
      </c>
      <c r="B339" t="s">
        <v>264</v>
      </c>
    </row>
    <row r="340" spans="1:2" x14ac:dyDescent="0.25">
      <c r="A340">
        <v>9054567</v>
      </c>
      <c r="B340" t="s">
        <v>205</v>
      </c>
    </row>
    <row r="341" spans="1:2" x14ac:dyDescent="0.25">
      <c r="A341">
        <v>9083682</v>
      </c>
      <c r="B341" t="s">
        <v>205</v>
      </c>
    </row>
    <row r="342" spans="1:2" x14ac:dyDescent="0.25">
      <c r="A342">
        <v>9102044</v>
      </c>
      <c r="B342" t="s">
        <v>205</v>
      </c>
    </row>
    <row r="343" spans="1:2" x14ac:dyDescent="0.25">
      <c r="A343">
        <v>9119854</v>
      </c>
      <c r="B343" t="s">
        <v>205</v>
      </c>
    </row>
    <row r="344" spans="1:2" x14ac:dyDescent="0.25">
      <c r="A344">
        <v>9125126</v>
      </c>
      <c r="B344" t="s">
        <v>205</v>
      </c>
    </row>
    <row r="345" spans="1:2" x14ac:dyDescent="0.25">
      <c r="A345" s="17">
        <v>9174811</v>
      </c>
      <c r="B345" t="s">
        <v>205</v>
      </c>
    </row>
    <row r="346" spans="1:2" x14ac:dyDescent="0.25">
      <c r="A346" s="17">
        <v>10002875</v>
      </c>
      <c r="B346" t="s">
        <v>205</v>
      </c>
    </row>
    <row r="347" spans="1:2" x14ac:dyDescent="0.25">
      <c r="A347">
        <v>10023080</v>
      </c>
      <c r="B347" t="s">
        <v>205</v>
      </c>
    </row>
    <row r="348" spans="1:2" x14ac:dyDescent="0.25">
      <c r="A348" s="17">
        <v>10025212</v>
      </c>
      <c r="B348" t="s">
        <v>205</v>
      </c>
    </row>
    <row r="349" spans="1:2" x14ac:dyDescent="0.25">
      <c r="A349">
        <v>10069407</v>
      </c>
      <c r="B349" t="s">
        <v>205</v>
      </c>
    </row>
    <row r="350" spans="1:2" x14ac:dyDescent="0.25">
      <c r="A350">
        <v>10071135</v>
      </c>
      <c r="B350" t="s">
        <v>256</v>
      </c>
    </row>
    <row r="351" spans="1:2" x14ac:dyDescent="0.25">
      <c r="A351">
        <v>10083649</v>
      </c>
      <c r="B351" t="s">
        <v>291</v>
      </c>
    </row>
    <row r="352" spans="1:2" x14ac:dyDescent="0.25">
      <c r="A352">
        <v>10102021</v>
      </c>
      <c r="B352" t="s">
        <v>291</v>
      </c>
    </row>
    <row r="353" spans="1:2" x14ac:dyDescent="0.25">
      <c r="A353">
        <v>10123729</v>
      </c>
      <c r="B353" t="s">
        <v>205</v>
      </c>
    </row>
    <row r="354" spans="1:2" x14ac:dyDescent="0.25">
      <c r="A354">
        <v>10137498</v>
      </c>
      <c r="B354" t="s">
        <v>291</v>
      </c>
    </row>
    <row r="355" spans="1:2" x14ac:dyDescent="0.25">
      <c r="A355">
        <v>10144736</v>
      </c>
      <c r="B355" t="s">
        <v>205</v>
      </c>
    </row>
    <row r="356" spans="1:2" x14ac:dyDescent="0.25">
      <c r="A356" s="17">
        <v>10157275</v>
      </c>
      <c r="B356" t="s">
        <v>291</v>
      </c>
    </row>
    <row r="357" spans="1:2" x14ac:dyDescent="0.25">
      <c r="A357">
        <v>10190869</v>
      </c>
      <c r="B357" t="s">
        <v>308</v>
      </c>
    </row>
    <row r="358" spans="1:2" x14ac:dyDescent="0.25">
      <c r="A358">
        <v>11008417</v>
      </c>
      <c r="B358" t="s">
        <v>205</v>
      </c>
    </row>
    <row r="359" spans="1:2" x14ac:dyDescent="0.25">
      <c r="A359">
        <v>11011791</v>
      </c>
      <c r="B359" t="s">
        <v>261</v>
      </c>
    </row>
    <row r="360" spans="1:2" x14ac:dyDescent="0.25">
      <c r="A360">
        <v>11043926</v>
      </c>
      <c r="B360" t="s">
        <v>261</v>
      </c>
    </row>
    <row r="361" spans="1:2" x14ac:dyDescent="0.25">
      <c r="A361">
        <v>11049060</v>
      </c>
      <c r="B361" t="s">
        <v>309</v>
      </c>
    </row>
    <row r="362" spans="1:2" x14ac:dyDescent="0.25">
      <c r="A362">
        <v>11058012</v>
      </c>
      <c r="B362" t="s">
        <v>291</v>
      </c>
    </row>
    <row r="363" spans="1:2" x14ac:dyDescent="0.25">
      <c r="A363">
        <v>11082290</v>
      </c>
      <c r="B363" t="s">
        <v>261</v>
      </c>
    </row>
    <row r="364" spans="1:2" x14ac:dyDescent="0.25">
      <c r="A364">
        <v>11096431</v>
      </c>
      <c r="B364" t="s">
        <v>310</v>
      </c>
    </row>
    <row r="365" spans="1:2" x14ac:dyDescent="0.25">
      <c r="A365">
        <v>11105672</v>
      </c>
      <c r="B365" t="s">
        <v>205</v>
      </c>
    </row>
    <row r="366" spans="1:2" x14ac:dyDescent="0.25">
      <c r="A366" s="17">
        <v>11130494</v>
      </c>
      <c r="B366" t="s">
        <v>205</v>
      </c>
    </row>
    <row r="367" spans="1:2" x14ac:dyDescent="0.25">
      <c r="A367">
        <v>11136262</v>
      </c>
      <c r="B367" t="s">
        <v>291</v>
      </c>
    </row>
    <row r="368" spans="1:2" x14ac:dyDescent="0.25">
      <c r="A368">
        <v>11156782</v>
      </c>
      <c r="B368" t="s">
        <v>205</v>
      </c>
    </row>
    <row r="369" spans="1:2" x14ac:dyDescent="0.25">
      <c r="A369">
        <v>11178455</v>
      </c>
      <c r="B369" t="s">
        <v>205</v>
      </c>
    </row>
    <row r="370" spans="1:2" x14ac:dyDescent="0.25">
      <c r="A370">
        <v>11179526</v>
      </c>
      <c r="B370" t="s">
        <v>205</v>
      </c>
    </row>
    <row r="371" spans="1:2" x14ac:dyDescent="0.25">
      <c r="A371" s="17">
        <v>11187511</v>
      </c>
      <c r="B371" t="s">
        <v>291</v>
      </c>
    </row>
    <row r="372" spans="1:2" x14ac:dyDescent="0.25">
      <c r="A372">
        <v>11186565</v>
      </c>
      <c r="B372" t="s">
        <v>205</v>
      </c>
    </row>
    <row r="373" spans="1:2" x14ac:dyDescent="0.25">
      <c r="A373">
        <v>11223290</v>
      </c>
      <c r="B373" t="s">
        <v>252</v>
      </c>
    </row>
    <row r="374" spans="1:2" x14ac:dyDescent="0.25">
      <c r="A374">
        <v>11228365</v>
      </c>
      <c r="B374" t="s">
        <v>205</v>
      </c>
    </row>
    <row r="375" spans="1:2" x14ac:dyDescent="0.25">
      <c r="A375">
        <v>11242475</v>
      </c>
      <c r="B375" t="s">
        <v>256</v>
      </c>
    </row>
    <row r="376" spans="1:2" x14ac:dyDescent="0.25">
      <c r="A376" s="17">
        <v>12006392</v>
      </c>
      <c r="B376" t="s">
        <v>256</v>
      </c>
    </row>
    <row r="377" spans="1:2" x14ac:dyDescent="0.25">
      <c r="A377">
        <v>12020246</v>
      </c>
      <c r="B377" t="s">
        <v>291</v>
      </c>
    </row>
    <row r="378" spans="1:2" x14ac:dyDescent="0.25">
      <c r="A378">
        <v>12035138</v>
      </c>
      <c r="B378" t="s">
        <v>291</v>
      </c>
    </row>
    <row r="379" spans="1:2" x14ac:dyDescent="0.25">
      <c r="A379" s="17">
        <v>12111578</v>
      </c>
      <c r="B379" t="s">
        <v>291</v>
      </c>
    </row>
    <row r="380" spans="1:2" x14ac:dyDescent="0.25">
      <c r="A380" s="17">
        <v>12133434</v>
      </c>
      <c r="B380" t="s">
        <v>291</v>
      </c>
    </row>
    <row r="381" spans="1:2" x14ac:dyDescent="0.25">
      <c r="A381">
        <v>12164268</v>
      </c>
      <c r="B381" t="s">
        <v>312</v>
      </c>
    </row>
    <row r="382" spans="1:2" x14ac:dyDescent="0.25">
      <c r="A382">
        <v>12164269</v>
      </c>
      <c r="B382" t="s">
        <v>264</v>
      </c>
    </row>
    <row r="383" spans="1:2" x14ac:dyDescent="0.25">
      <c r="A383">
        <v>12168562</v>
      </c>
      <c r="B383" t="s">
        <v>291</v>
      </c>
    </row>
    <row r="384" spans="1:2" x14ac:dyDescent="0.25">
      <c r="A384">
        <v>12190939</v>
      </c>
      <c r="B384" t="s">
        <v>312</v>
      </c>
    </row>
    <row r="385" spans="1:2" x14ac:dyDescent="0.25">
      <c r="A385">
        <v>12311081</v>
      </c>
      <c r="B385" t="s">
        <v>205</v>
      </c>
    </row>
    <row r="386" spans="1:2" x14ac:dyDescent="0.25">
      <c r="A386">
        <v>13006749</v>
      </c>
      <c r="B386" t="s">
        <v>291</v>
      </c>
    </row>
    <row r="388" spans="1:2" x14ac:dyDescent="0.25">
      <c r="A388" s="6" t="s">
        <v>313</v>
      </c>
    </row>
    <row r="389" spans="1:2" x14ac:dyDescent="0.25">
      <c r="A389">
        <v>6012361</v>
      </c>
      <c r="B389" s="20" t="s">
        <v>264</v>
      </c>
    </row>
    <row r="390" spans="1:2" x14ac:dyDescent="0.25">
      <c r="A390">
        <v>6015793</v>
      </c>
      <c r="B390" t="s">
        <v>281</v>
      </c>
    </row>
    <row r="391" spans="1:2" x14ac:dyDescent="0.25">
      <c r="A391" s="17">
        <v>6064311</v>
      </c>
      <c r="B391" s="20" t="s">
        <v>261</v>
      </c>
    </row>
    <row r="392" spans="1:2" x14ac:dyDescent="0.25">
      <c r="A392" s="17">
        <v>6081681</v>
      </c>
      <c r="B392" s="20" t="s">
        <v>281</v>
      </c>
    </row>
    <row r="393" spans="1:2" x14ac:dyDescent="0.25">
      <c r="A393">
        <v>6043619</v>
      </c>
      <c r="B393" s="20" t="s">
        <v>291</v>
      </c>
    </row>
    <row r="394" spans="1:2" x14ac:dyDescent="0.25">
      <c r="A394">
        <v>6058367</v>
      </c>
      <c r="B394" t="s">
        <v>264</v>
      </c>
    </row>
    <row r="395" spans="1:2" x14ac:dyDescent="0.25">
      <c r="A395">
        <v>6058438</v>
      </c>
      <c r="B395" t="s">
        <v>264</v>
      </c>
    </row>
    <row r="396" spans="1:2" x14ac:dyDescent="0.25">
      <c r="A396">
        <v>6058443</v>
      </c>
      <c r="B396" t="s">
        <v>264</v>
      </c>
    </row>
    <row r="397" spans="1:2" x14ac:dyDescent="0.25">
      <c r="A397">
        <v>6058445</v>
      </c>
      <c r="B397" t="s">
        <v>264</v>
      </c>
    </row>
    <row r="398" spans="1:2" x14ac:dyDescent="0.25">
      <c r="A398">
        <v>6058471</v>
      </c>
      <c r="B398" t="s">
        <v>264</v>
      </c>
    </row>
    <row r="399" spans="1:2" x14ac:dyDescent="0.25">
      <c r="A399">
        <v>6058474</v>
      </c>
      <c r="B399" t="s">
        <v>264</v>
      </c>
    </row>
    <row r="400" spans="1:2" x14ac:dyDescent="0.25">
      <c r="A400">
        <v>6058477</v>
      </c>
      <c r="B400" t="s">
        <v>264</v>
      </c>
    </row>
    <row r="401" spans="1:2" x14ac:dyDescent="0.25">
      <c r="A401">
        <v>6058478</v>
      </c>
      <c r="B401" t="s">
        <v>264</v>
      </c>
    </row>
    <row r="402" spans="1:2" x14ac:dyDescent="0.25">
      <c r="A402">
        <v>6058479</v>
      </c>
      <c r="B402" t="s">
        <v>264</v>
      </c>
    </row>
    <row r="403" spans="1:2" x14ac:dyDescent="0.25">
      <c r="A403">
        <v>6058480</v>
      </c>
      <c r="B403" t="s">
        <v>264</v>
      </c>
    </row>
    <row r="404" spans="1:2" x14ac:dyDescent="0.25">
      <c r="A404">
        <v>6058485</v>
      </c>
      <c r="B404" t="s">
        <v>264</v>
      </c>
    </row>
    <row r="405" spans="1:2" x14ac:dyDescent="0.25">
      <c r="A405">
        <v>7001097</v>
      </c>
      <c r="B405" t="s">
        <v>291</v>
      </c>
    </row>
    <row r="406" spans="1:2" x14ac:dyDescent="0.25">
      <c r="A406">
        <v>7011435</v>
      </c>
      <c r="B406" s="20" t="s">
        <v>256</v>
      </c>
    </row>
    <row r="407" spans="1:2" x14ac:dyDescent="0.25">
      <c r="A407">
        <v>7045811</v>
      </c>
      <c r="B407" t="s">
        <v>281</v>
      </c>
    </row>
    <row r="408" spans="1:2" x14ac:dyDescent="0.25">
      <c r="A408">
        <v>7065854</v>
      </c>
      <c r="B408" t="s">
        <v>281</v>
      </c>
    </row>
    <row r="409" spans="1:2" x14ac:dyDescent="0.25">
      <c r="A409">
        <v>7066720</v>
      </c>
      <c r="B409" t="s">
        <v>261</v>
      </c>
    </row>
    <row r="410" spans="1:2" x14ac:dyDescent="0.25">
      <c r="A410">
        <v>7071198</v>
      </c>
      <c r="B410" t="s">
        <v>256</v>
      </c>
    </row>
    <row r="411" spans="1:2" x14ac:dyDescent="0.25">
      <c r="A411">
        <v>7101143</v>
      </c>
      <c r="B411" t="s">
        <v>291</v>
      </c>
    </row>
    <row r="412" spans="1:2" x14ac:dyDescent="0.25">
      <c r="A412">
        <v>8019333</v>
      </c>
      <c r="B412" s="20" t="s">
        <v>295</v>
      </c>
    </row>
    <row r="413" spans="1:2" x14ac:dyDescent="0.25">
      <c r="A413">
        <v>8055792</v>
      </c>
      <c r="B413" t="s">
        <v>252</v>
      </c>
    </row>
    <row r="414" spans="1:2" x14ac:dyDescent="0.25">
      <c r="A414">
        <v>8055749</v>
      </c>
      <c r="B414" t="s">
        <v>261</v>
      </c>
    </row>
    <row r="415" spans="1:2" x14ac:dyDescent="0.25">
      <c r="A415">
        <v>8058506</v>
      </c>
      <c r="B415" t="s">
        <v>252</v>
      </c>
    </row>
    <row r="416" spans="1:2" x14ac:dyDescent="0.25">
      <c r="A416" s="17">
        <v>8065877</v>
      </c>
      <c r="B416" s="20" t="s">
        <v>252</v>
      </c>
    </row>
    <row r="417" spans="1:2" x14ac:dyDescent="0.25">
      <c r="A417">
        <v>8064173</v>
      </c>
      <c r="B417" t="s">
        <v>252</v>
      </c>
    </row>
    <row r="418" spans="1:2" x14ac:dyDescent="0.25">
      <c r="A418">
        <v>8073350</v>
      </c>
      <c r="B418" t="s">
        <v>252</v>
      </c>
    </row>
    <row r="419" spans="1:2" x14ac:dyDescent="0.25">
      <c r="A419">
        <v>8073645</v>
      </c>
      <c r="B419" t="s">
        <v>252</v>
      </c>
    </row>
    <row r="420" spans="1:2" x14ac:dyDescent="0.25">
      <c r="A420" s="17">
        <v>8089666</v>
      </c>
      <c r="B420" s="20" t="s">
        <v>261</v>
      </c>
    </row>
    <row r="421" spans="1:2" x14ac:dyDescent="0.25">
      <c r="A421" s="17">
        <v>8103536</v>
      </c>
      <c r="B421" s="20" t="s">
        <v>261</v>
      </c>
    </row>
    <row r="422" spans="1:2" x14ac:dyDescent="0.25">
      <c r="A422" s="17">
        <v>8124816</v>
      </c>
      <c r="B422" s="20" t="s">
        <v>205</v>
      </c>
    </row>
    <row r="423" spans="1:2" x14ac:dyDescent="0.25">
      <c r="A423">
        <v>8141206</v>
      </c>
      <c r="B423" t="s">
        <v>291</v>
      </c>
    </row>
    <row r="424" spans="1:2" x14ac:dyDescent="0.25">
      <c r="A424">
        <v>8148370</v>
      </c>
      <c r="B424" t="s">
        <v>252</v>
      </c>
    </row>
    <row r="425" spans="1:2" x14ac:dyDescent="0.25">
      <c r="A425">
        <v>9003267</v>
      </c>
      <c r="B425" t="s">
        <v>291</v>
      </c>
    </row>
    <row r="426" spans="1:2" x14ac:dyDescent="0.25">
      <c r="A426">
        <v>9036964</v>
      </c>
      <c r="B426" t="s">
        <v>291</v>
      </c>
    </row>
    <row r="427" spans="1:2" x14ac:dyDescent="0.25">
      <c r="A427">
        <v>9090287</v>
      </c>
      <c r="B427" t="s">
        <v>252</v>
      </c>
    </row>
    <row r="428" spans="1:2" x14ac:dyDescent="0.25">
      <c r="A428">
        <v>9095148</v>
      </c>
      <c r="B428" s="20" t="s">
        <v>275</v>
      </c>
    </row>
    <row r="429" spans="1:2" x14ac:dyDescent="0.25">
      <c r="A429">
        <v>9104979</v>
      </c>
      <c r="B429" t="s">
        <v>205</v>
      </c>
    </row>
    <row r="430" spans="1:2" x14ac:dyDescent="0.25">
      <c r="A430">
        <v>9109244</v>
      </c>
      <c r="B430" t="s">
        <v>205</v>
      </c>
    </row>
    <row r="431" spans="1:2" x14ac:dyDescent="0.25">
      <c r="A431">
        <v>9130880</v>
      </c>
      <c r="B431" t="s">
        <v>205</v>
      </c>
    </row>
    <row r="432" spans="1:2" x14ac:dyDescent="0.25">
      <c r="A432">
        <v>9139514</v>
      </c>
      <c r="B432" t="s">
        <v>205</v>
      </c>
    </row>
    <row r="433" spans="1:2" x14ac:dyDescent="0.25">
      <c r="A433">
        <v>10020659</v>
      </c>
      <c r="B433" t="s">
        <v>252</v>
      </c>
    </row>
    <row r="434" spans="1:2" x14ac:dyDescent="0.25">
      <c r="A434">
        <v>10025902</v>
      </c>
      <c r="B434" t="s">
        <v>252</v>
      </c>
    </row>
    <row r="435" spans="1:2" x14ac:dyDescent="0.25">
      <c r="A435">
        <v>10027654</v>
      </c>
      <c r="B435" t="s">
        <v>205</v>
      </c>
    </row>
    <row r="436" spans="1:2" x14ac:dyDescent="0.25">
      <c r="A436">
        <v>10084485</v>
      </c>
      <c r="B436" t="s">
        <v>291</v>
      </c>
    </row>
    <row r="437" spans="1:2" x14ac:dyDescent="0.25">
      <c r="A437">
        <v>10098420</v>
      </c>
      <c r="B437" s="20" t="s">
        <v>252</v>
      </c>
    </row>
    <row r="438" spans="1:2" x14ac:dyDescent="0.25">
      <c r="A438">
        <v>10129565</v>
      </c>
      <c r="B438" t="s">
        <v>315</v>
      </c>
    </row>
    <row r="439" spans="1:2" x14ac:dyDescent="0.25">
      <c r="A439">
        <v>10146828</v>
      </c>
      <c r="B439" t="s">
        <v>205</v>
      </c>
    </row>
    <row r="440" spans="1:2" x14ac:dyDescent="0.25">
      <c r="A440">
        <v>10163776</v>
      </c>
      <c r="B440" t="s">
        <v>252</v>
      </c>
    </row>
    <row r="441" spans="1:2" x14ac:dyDescent="0.25">
      <c r="A441">
        <v>10173664</v>
      </c>
      <c r="B441" s="20" t="s">
        <v>264</v>
      </c>
    </row>
    <row r="442" spans="1:2" x14ac:dyDescent="0.25">
      <c r="A442" s="17">
        <v>11000454</v>
      </c>
      <c r="B442" s="20" t="s">
        <v>252</v>
      </c>
    </row>
    <row r="443" spans="1:2" x14ac:dyDescent="0.25">
      <c r="A443">
        <v>11034329</v>
      </c>
      <c r="B443" t="s">
        <v>205</v>
      </c>
    </row>
    <row r="444" spans="1:2" x14ac:dyDescent="0.25">
      <c r="A444">
        <v>11083498</v>
      </c>
      <c r="B444" t="s">
        <v>252</v>
      </c>
    </row>
    <row r="445" spans="1:2" x14ac:dyDescent="0.25">
      <c r="A445" s="17">
        <v>11138447</v>
      </c>
      <c r="B445" s="20" t="s">
        <v>261</v>
      </c>
    </row>
    <row r="446" spans="1:2" x14ac:dyDescent="0.25">
      <c r="A446">
        <v>11144001</v>
      </c>
      <c r="B446" t="s">
        <v>252</v>
      </c>
    </row>
    <row r="447" spans="1:2" x14ac:dyDescent="0.25">
      <c r="A447">
        <v>11187503</v>
      </c>
      <c r="B447" s="20" t="s">
        <v>205</v>
      </c>
    </row>
    <row r="448" spans="1:2" x14ac:dyDescent="0.25">
      <c r="A448">
        <v>11224315</v>
      </c>
      <c r="B448" t="s">
        <v>205</v>
      </c>
    </row>
    <row r="449" spans="1:2" x14ac:dyDescent="0.25">
      <c r="A449">
        <v>11231446</v>
      </c>
      <c r="B449" s="20" t="s">
        <v>291</v>
      </c>
    </row>
    <row r="450" spans="1:2" x14ac:dyDescent="0.25">
      <c r="A450">
        <v>11241625</v>
      </c>
      <c r="B450" t="s">
        <v>252</v>
      </c>
    </row>
    <row r="451" spans="1:2" x14ac:dyDescent="0.25">
      <c r="A451">
        <v>11243521</v>
      </c>
      <c r="B451" t="s">
        <v>291</v>
      </c>
    </row>
    <row r="452" spans="1:2" x14ac:dyDescent="0.25">
      <c r="A452">
        <v>12021531</v>
      </c>
      <c r="B452" t="s">
        <v>261</v>
      </c>
    </row>
    <row r="453" spans="1:2" x14ac:dyDescent="0.25">
      <c r="A453">
        <v>12118054</v>
      </c>
      <c r="B453" t="s">
        <v>256</v>
      </c>
    </row>
    <row r="454" spans="1:2" x14ac:dyDescent="0.25">
      <c r="A454">
        <v>12185514</v>
      </c>
      <c r="B454" t="s">
        <v>275</v>
      </c>
    </row>
    <row r="455" spans="1:2" x14ac:dyDescent="0.25">
      <c r="A455">
        <v>12188410</v>
      </c>
      <c r="B455" t="s">
        <v>312</v>
      </c>
    </row>
    <row r="456" spans="1:2" x14ac:dyDescent="0.25">
      <c r="A456" s="17">
        <v>12202633</v>
      </c>
      <c r="B456" s="20" t="s">
        <v>291</v>
      </c>
    </row>
    <row r="457" spans="1:2" x14ac:dyDescent="0.25">
      <c r="A457">
        <v>12261672</v>
      </c>
      <c r="B457" t="s">
        <v>291</v>
      </c>
    </row>
    <row r="458" spans="1:2" x14ac:dyDescent="0.25">
      <c r="A458">
        <v>12311299</v>
      </c>
      <c r="B458" t="s">
        <v>205</v>
      </c>
    </row>
    <row r="459" spans="1:2" x14ac:dyDescent="0.25">
      <c r="A459">
        <v>12325258</v>
      </c>
      <c r="B459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Arbeitsmaterial Literaturfälle</vt:lpstr>
      <vt:lpstr>Berechnung akkumulative Dosis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2023-06-23T14:20:13Z</dcterms:modified>
</cp:coreProperties>
</file>